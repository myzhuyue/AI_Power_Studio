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Moon\Desktop\"/>
    </mc:Choice>
  </mc:AlternateContent>
  <xr:revisionPtr revIDLastSave="0" documentId="13_ncr:1_{6EAEB51D-3BEE-41DB-B6A4-78AF3492F634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厂内不良" sheetId="3" r:id="rId1"/>
    <sheet name="客退" sheetId="1" r:id="rId2"/>
    <sheet name="重工工时" sheetId="2" r:id="rId3"/>
    <sheet name="整合" sheetId="4" r:id="rId4"/>
    <sheet name="报废总表" sheetId="5" r:id="rId5"/>
  </sheets>
  <definedNames>
    <definedName name="_xlnm._FilterDatabase" localSheetId="4" hidden="1">报废总表!$A$1:$J$412</definedName>
    <definedName name="_xlnm._FilterDatabase" localSheetId="0" hidden="1">厂内不良!$A$1:$M$284</definedName>
    <definedName name="_xlnm._FilterDatabase" localSheetId="1" hidden="1">客退!$A$1:$I$230</definedName>
    <definedName name="_xlnm._FilterDatabase" localSheetId="3" hidden="1">整合!$A$1:$J$540</definedName>
    <definedName name="_xlnm._FilterDatabase" localSheetId="2" hidden="1">重工工时!$A$1:$P$1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5" l="1"/>
  <c r="L3" i="5"/>
  <c r="F4" i="5"/>
  <c r="J4" i="5"/>
  <c r="L4" i="5"/>
  <c r="J5" i="5"/>
  <c r="K5" i="5"/>
  <c r="L5" i="5"/>
  <c r="J7" i="5"/>
  <c r="L7" i="5"/>
  <c r="F8" i="5"/>
  <c r="J8" i="5"/>
  <c r="K8" i="5"/>
  <c r="L8" i="5"/>
  <c r="F10" i="5"/>
  <c r="L10" i="5" s="1"/>
  <c r="J10" i="5"/>
  <c r="H14" i="5"/>
  <c r="J14" i="5"/>
  <c r="K14" i="5"/>
  <c r="L14" i="5"/>
  <c r="J15" i="5"/>
  <c r="L15" i="5"/>
  <c r="F17" i="5"/>
  <c r="J17" i="5"/>
  <c r="K17" i="5"/>
  <c r="L17" i="5"/>
  <c r="F19" i="5"/>
  <c r="J19" i="5"/>
  <c r="L19" i="5"/>
  <c r="F20" i="5"/>
  <c r="L20" i="5" s="1"/>
  <c r="H20" i="5"/>
  <c r="J20" i="5" s="1"/>
  <c r="F22" i="5"/>
  <c r="J22" i="5"/>
  <c r="L22" i="5"/>
  <c r="F23" i="5"/>
  <c r="J23" i="5"/>
  <c r="L23" i="5"/>
  <c r="F24" i="5"/>
  <c r="J24" i="5"/>
  <c r="L24" i="5"/>
  <c r="F25" i="5"/>
  <c r="J25" i="5"/>
  <c r="L25" i="5"/>
  <c r="J26" i="5"/>
  <c r="K26" i="5"/>
  <c r="L26" i="5" s="1"/>
  <c r="F27" i="5"/>
  <c r="J27" i="5"/>
  <c r="K27" i="5"/>
  <c r="L27" i="5"/>
  <c r="J28" i="5"/>
  <c r="L28" i="5"/>
  <c r="J29" i="5"/>
  <c r="L29" i="5"/>
  <c r="J32" i="5"/>
  <c r="L32" i="5"/>
  <c r="J33" i="5"/>
  <c r="L33" i="5"/>
  <c r="J36" i="5"/>
  <c r="L36" i="5"/>
  <c r="J38" i="5"/>
  <c r="K38" i="5"/>
  <c r="L38" i="5" s="1"/>
  <c r="J39" i="5"/>
  <c r="L39" i="5"/>
  <c r="F43" i="5"/>
  <c r="J43" i="5"/>
  <c r="L43" i="5"/>
  <c r="J45" i="5"/>
  <c r="L45" i="5"/>
  <c r="J46" i="5"/>
  <c r="L46" i="5"/>
  <c r="J52" i="5"/>
  <c r="L52" i="5"/>
  <c r="J53" i="5"/>
  <c r="L53" i="5"/>
  <c r="H54" i="5"/>
  <c r="J54" i="5" s="1"/>
  <c r="L54" i="5"/>
  <c r="J56" i="5"/>
  <c r="L56" i="5"/>
  <c r="J58" i="5"/>
  <c r="K58" i="5"/>
  <c r="L58" i="5"/>
  <c r="J62" i="5"/>
  <c r="L62" i="5"/>
  <c r="J64" i="5"/>
  <c r="L64" i="5"/>
  <c r="F66" i="5"/>
  <c r="J66" i="5"/>
  <c r="L66" i="5"/>
  <c r="J67" i="5"/>
  <c r="L67" i="5"/>
  <c r="J68" i="5"/>
  <c r="L68" i="5"/>
  <c r="J69" i="5"/>
  <c r="L69" i="5"/>
  <c r="F71" i="5"/>
  <c r="J71" i="5"/>
  <c r="L71" i="5"/>
  <c r="J72" i="5"/>
  <c r="L72" i="5"/>
  <c r="J73" i="5"/>
  <c r="L73" i="5"/>
  <c r="J74" i="5"/>
  <c r="L74" i="5"/>
  <c r="J75" i="5"/>
  <c r="L75" i="5"/>
  <c r="J76" i="5"/>
  <c r="L76" i="5"/>
  <c r="J78" i="5"/>
  <c r="L78" i="5"/>
  <c r="J79" i="5"/>
  <c r="L79" i="5"/>
  <c r="J80" i="5"/>
  <c r="L80" i="5"/>
  <c r="J81" i="5"/>
  <c r="L81" i="5"/>
  <c r="J82" i="5"/>
  <c r="L82" i="5"/>
  <c r="F85" i="5"/>
  <c r="H85" i="5"/>
  <c r="J85" i="5"/>
  <c r="L85" i="5"/>
  <c r="F87" i="5"/>
  <c r="L87" i="5" s="1"/>
  <c r="J87" i="5"/>
  <c r="J88" i="5"/>
  <c r="L88" i="5"/>
  <c r="J90" i="5"/>
  <c r="L90" i="5"/>
  <c r="J91" i="5"/>
  <c r="L91" i="5"/>
  <c r="J92" i="5"/>
  <c r="L92" i="5"/>
  <c r="J93" i="5"/>
  <c r="L93" i="5"/>
  <c r="J94" i="5"/>
  <c r="L94" i="5"/>
  <c r="F96" i="5"/>
  <c r="L96" i="5" s="1"/>
  <c r="J96" i="5"/>
  <c r="J97" i="5"/>
  <c r="L97" i="5"/>
  <c r="J98" i="5"/>
  <c r="L98" i="5"/>
  <c r="F99" i="5"/>
  <c r="H99" i="5"/>
  <c r="J99" i="5"/>
  <c r="L99" i="5"/>
  <c r="F100" i="5"/>
  <c r="J100" i="5"/>
  <c r="L100" i="5"/>
  <c r="J101" i="5"/>
  <c r="K101" i="5"/>
  <c r="L101" i="5"/>
  <c r="F102" i="5"/>
  <c r="L102" i="5" s="1"/>
  <c r="J102" i="5"/>
  <c r="J103" i="5"/>
  <c r="L103" i="5"/>
  <c r="J104" i="5"/>
  <c r="L104" i="5"/>
  <c r="J105" i="5"/>
  <c r="L105" i="5"/>
  <c r="J106" i="5"/>
  <c r="L106" i="5"/>
  <c r="J107" i="5"/>
  <c r="K107" i="5"/>
  <c r="L107" i="5"/>
  <c r="J108" i="5"/>
  <c r="L108" i="5"/>
  <c r="J109" i="5"/>
  <c r="L109" i="5"/>
  <c r="J110" i="5"/>
  <c r="L110" i="5"/>
  <c r="J111" i="5"/>
  <c r="L111" i="5"/>
  <c r="J112" i="5"/>
  <c r="L112" i="5"/>
  <c r="J113" i="5"/>
  <c r="L113" i="5"/>
  <c r="J114" i="5"/>
  <c r="L114" i="5"/>
  <c r="J115" i="5"/>
  <c r="L115" i="5"/>
  <c r="F116" i="5"/>
  <c r="J116" i="5"/>
  <c r="L116" i="5"/>
  <c r="J117" i="5"/>
  <c r="L117" i="5"/>
  <c r="J118" i="5"/>
  <c r="L118" i="5"/>
  <c r="J119" i="5"/>
  <c r="L119" i="5"/>
  <c r="J120" i="5"/>
  <c r="L120" i="5"/>
  <c r="F121" i="5"/>
  <c r="J121" i="5"/>
  <c r="L121" i="5"/>
  <c r="J122" i="5"/>
  <c r="L122" i="5"/>
  <c r="J123" i="5"/>
  <c r="L123" i="5"/>
  <c r="J124" i="5"/>
  <c r="L124" i="5"/>
  <c r="J126" i="5"/>
  <c r="L126" i="5"/>
  <c r="H128" i="5"/>
  <c r="J128" i="5"/>
  <c r="L128" i="5"/>
  <c r="J130" i="5"/>
  <c r="L130" i="5"/>
  <c r="J133" i="5"/>
  <c r="L133" i="5"/>
  <c r="J134" i="5"/>
  <c r="L134" i="5"/>
  <c r="J135" i="5"/>
  <c r="L135" i="5"/>
  <c r="J136" i="5"/>
  <c r="L136" i="5"/>
  <c r="J137" i="5"/>
  <c r="L137" i="5"/>
  <c r="F138" i="5"/>
  <c r="J138" i="5"/>
  <c r="L138" i="5"/>
  <c r="F139" i="5"/>
  <c r="J139" i="5"/>
  <c r="L139" i="5"/>
  <c r="J140" i="5"/>
  <c r="L140" i="5"/>
  <c r="J141" i="5"/>
  <c r="L141" i="5"/>
  <c r="J144" i="5"/>
  <c r="K144" i="5"/>
  <c r="L144" i="5"/>
  <c r="J145" i="5"/>
  <c r="L145" i="5"/>
  <c r="J148" i="5"/>
  <c r="L148" i="5"/>
  <c r="J149" i="5"/>
  <c r="L149" i="5"/>
  <c r="F150" i="5"/>
  <c r="J150" i="5"/>
  <c r="L150" i="5"/>
  <c r="J151" i="5"/>
  <c r="L151" i="5"/>
  <c r="J152" i="5"/>
  <c r="L152" i="5"/>
  <c r="F153" i="5"/>
  <c r="J153" i="5"/>
  <c r="K153" i="5"/>
  <c r="L153" i="5"/>
  <c r="F154" i="5"/>
  <c r="L154" i="5" s="1"/>
  <c r="J154" i="5"/>
  <c r="F156" i="5"/>
  <c r="J156" i="5"/>
  <c r="L156" i="5"/>
  <c r="J157" i="5"/>
  <c r="L157" i="5"/>
  <c r="J158" i="5"/>
  <c r="L158" i="5"/>
  <c r="J159" i="5"/>
  <c r="L159" i="5"/>
  <c r="J160" i="5"/>
  <c r="L160" i="5"/>
  <c r="J161" i="5"/>
  <c r="K161" i="5"/>
  <c r="L161" i="5" s="1"/>
  <c r="J162" i="5"/>
  <c r="L162" i="5"/>
  <c r="J163" i="5"/>
  <c r="L163" i="5"/>
  <c r="H164" i="5"/>
  <c r="J164" i="5"/>
  <c r="L164" i="5"/>
  <c r="F165" i="5"/>
  <c r="J165" i="5"/>
  <c r="L165" i="5"/>
  <c r="J166" i="5"/>
  <c r="L166" i="5"/>
  <c r="J167" i="5"/>
  <c r="L167" i="5"/>
  <c r="J172" i="5"/>
  <c r="K172" i="5"/>
  <c r="L172" i="5"/>
  <c r="J173" i="5"/>
  <c r="L173" i="5"/>
  <c r="J174" i="5"/>
  <c r="L174" i="5"/>
  <c r="J176" i="5"/>
  <c r="L176" i="5"/>
  <c r="J177" i="5"/>
  <c r="L177" i="5"/>
  <c r="J178" i="5"/>
  <c r="L178" i="5"/>
  <c r="J179" i="5"/>
  <c r="L179" i="5"/>
  <c r="J180" i="5"/>
  <c r="L180" i="5"/>
  <c r="J181" i="5"/>
  <c r="L181" i="5"/>
  <c r="J182" i="5"/>
  <c r="L182" i="5"/>
  <c r="J185" i="5"/>
  <c r="L185" i="5"/>
  <c r="J186" i="5"/>
  <c r="L186" i="5"/>
  <c r="J187" i="5"/>
  <c r="L187" i="5"/>
  <c r="J188" i="5"/>
  <c r="K188" i="5"/>
  <c r="L188" i="5"/>
  <c r="F195" i="5"/>
  <c r="J195" i="5"/>
  <c r="L195" i="5"/>
  <c r="J196" i="5"/>
  <c r="L196" i="5"/>
  <c r="J197" i="5"/>
  <c r="L197" i="5"/>
  <c r="J198" i="5"/>
  <c r="L198" i="5"/>
  <c r="J199" i="5"/>
  <c r="L199" i="5"/>
  <c r="J200" i="5"/>
  <c r="L200" i="5"/>
  <c r="J201" i="5"/>
  <c r="L201" i="5"/>
  <c r="J202" i="5"/>
  <c r="L202" i="5"/>
  <c r="J203" i="5"/>
  <c r="L203" i="5"/>
  <c r="J204" i="5"/>
  <c r="L204" i="5"/>
  <c r="J205" i="5"/>
  <c r="L205" i="5"/>
  <c r="J206" i="5"/>
  <c r="L206" i="5"/>
  <c r="J216" i="5"/>
  <c r="L216" i="5"/>
  <c r="J217" i="5"/>
  <c r="K217" i="5"/>
  <c r="L217" i="5"/>
  <c r="J218" i="5"/>
  <c r="L218" i="5"/>
  <c r="J219" i="5"/>
  <c r="L219" i="5"/>
  <c r="J220" i="5"/>
  <c r="L220" i="5"/>
  <c r="J223" i="5"/>
  <c r="L223" i="5"/>
  <c r="J224" i="5"/>
  <c r="L224" i="5"/>
  <c r="J225" i="5"/>
  <c r="L225" i="5"/>
  <c r="J226" i="5"/>
  <c r="K226" i="5"/>
  <c r="L226" i="5"/>
  <c r="J231" i="5"/>
  <c r="L231" i="5"/>
  <c r="J235" i="5"/>
  <c r="L235" i="5"/>
  <c r="J236" i="5"/>
  <c r="L236" i="5"/>
  <c r="J242" i="5"/>
  <c r="L242" i="5"/>
  <c r="J243" i="5"/>
  <c r="L243" i="5"/>
  <c r="H246" i="5"/>
  <c r="J246" i="5"/>
  <c r="L246" i="5"/>
  <c r="J247" i="5"/>
  <c r="L247" i="5"/>
  <c r="J248" i="5"/>
  <c r="L248" i="5"/>
  <c r="H249" i="5"/>
  <c r="J249" i="5"/>
  <c r="L249" i="5"/>
  <c r="J250" i="5"/>
  <c r="L250" i="5"/>
  <c r="J260" i="5"/>
  <c r="L260" i="5"/>
  <c r="J261" i="5"/>
  <c r="K261" i="5"/>
  <c r="L261" i="5"/>
  <c r="J262" i="5"/>
  <c r="K262" i="5"/>
  <c r="L262" i="5"/>
  <c r="J263" i="5"/>
  <c r="K263" i="5"/>
  <c r="L263" i="5"/>
  <c r="J264" i="5"/>
  <c r="L264" i="5"/>
  <c r="J265" i="5"/>
  <c r="L265" i="5"/>
  <c r="J278" i="5"/>
  <c r="L278" i="5"/>
  <c r="J279" i="5"/>
  <c r="L279" i="5"/>
  <c r="J280" i="5"/>
  <c r="K280" i="5"/>
  <c r="L280" i="5"/>
  <c r="J281" i="5"/>
  <c r="L281" i="5"/>
  <c r="J282" i="5"/>
  <c r="K282" i="5"/>
  <c r="L282" i="5"/>
  <c r="J283" i="5"/>
  <c r="K283" i="5"/>
  <c r="L283" i="5"/>
  <c r="J284" i="5"/>
  <c r="L284" i="5"/>
  <c r="J285" i="5"/>
  <c r="L285" i="5"/>
  <c r="J293" i="5"/>
  <c r="L293" i="5"/>
  <c r="J294" i="5"/>
  <c r="L294" i="5"/>
  <c r="J295" i="5"/>
  <c r="L295" i="5"/>
  <c r="H296" i="5"/>
  <c r="J296" i="5"/>
  <c r="L296" i="5"/>
  <c r="J297" i="5"/>
  <c r="L297" i="5"/>
  <c r="J298" i="5"/>
  <c r="L298" i="5"/>
  <c r="J299" i="5"/>
  <c r="L299" i="5"/>
  <c r="J311" i="5"/>
  <c r="L311" i="5"/>
  <c r="J312" i="5"/>
  <c r="L312" i="5"/>
  <c r="J313" i="5"/>
  <c r="L313" i="5"/>
  <c r="J314" i="5"/>
  <c r="L314" i="5"/>
  <c r="J324" i="5"/>
  <c r="L324" i="5"/>
  <c r="J325" i="5"/>
  <c r="L325" i="5"/>
  <c r="J326" i="5"/>
  <c r="L326" i="5"/>
  <c r="H327" i="5"/>
  <c r="J327" i="5" s="1"/>
  <c r="L327" i="5"/>
  <c r="J328" i="5"/>
  <c r="L328" i="5"/>
  <c r="J329" i="5"/>
  <c r="L329" i="5"/>
  <c r="J330" i="5"/>
  <c r="L330" i="5"/>
  <c r="J331" i="5"/>
  <c r="L331" i="5"/>
  <c r="J332" i="5"/>
  <c r="L332" i="5"/>
  <c r="J333" i="5"/>
  <c r="L333" i="5"/>
  <c r="J334" i="5"/>
  <c r="L334" i="5"/>
  <c r="J335" i="5"/>
  <c r="L335" i="5"/>
  <c r="J344" i="5"/>
  <c r="L344" i="5"/>
  <c r="J345" i="5"/>
  <c r="L345" i="5"/>
  <c r="J346" i="5"/>
  <c r="K346" i="5"/>
  <c r="L346" i="5"/>
  <c r="J347" i="5"/>
  <c r="L347" i="5"/>
  <c r="J348" i="5"/>
  <c r="L348" i="5"/>
  <c r="J349" i="5"/>
  <c r="L349" i="5"/>
  <c r="J350" i="5"/>
  <c r="L350" i="5"/>
  <c r="J351" i="5"/>
  <c r="L351" i="5"/>
  <c r="F366" i="5"/>
  <c r="J366" i="5"/>
  <c r="K366" i="5"/>
  <c r="L366" i="5"/>
  <c r="J367" i="5"/>
  <c r="L367" i="5"/>
  <c r="J368" i="5"/>
  <c r="L368" i="5"/>
  <c r="J369" i="5"/>
  <c r="L369" i="5"/>
  <c r="J370" i="5"/>
  <c r="L370" i="5"/>
  <c r="J371" i="5"/>
  <c r="L371" i="5"/>
  <c r="J372" i="5"/>
  <c r="L372" i="5"/>
  <c r="J389" i="5"/>
  <c r="L389" i="5"/>
  <c r="J390" i="5"/>
  <c r="L390" i="5"/>
  <c r="J391" i="5"/>
  <c r="L391" i="5"/>
  <c r="J392" i="5"/>
  <c r="L392" i="5"/>
  <c r="J393" i="5"/>
  <c r="L393" i="5"/>
  <c r="F516" i="4"/>
  <c r="J284" i="4"/>
  <c r="F284" i="4"/>
  <c r="L284" i="4" s="1"/>
  <c r="J283" i="4"/>
  <c r="F283" i="4"/>
  <c r="L283" i="4" s="1"/>
  <c r="J282" i="4"/>
  <c r="F282" i="4"/>
  <c r="K282" i="4"/>
  <c r="J281" i="4"/>
  <c r="F281" i="4"/>
  <c r="L281" i="4" s="1"/>
  <c r="J280" i="4"/>
  <c r="L280" i="4"/>
  <c r="L279" i="4"/>
  <c r="L278" i="4"/>
  <c r="L277" i="4"/>
  <c r="L276" i="4"/>
  <c r="L275" i="4"/>
  <c r="L274" i="4"/>
  <c r="F273" i="4"/>
  <c r="L273" i="4" s="1"/>
  <c r="L272" i="4"/>
  <c r="F271" i="4"/>
  <c r="K271" i="4"/>
  <c r="L270" i="4"/>
  <c r="L269" i="4"/>
  <c r="F268" i="4"/>
  <c r="K268" i="4"/>
  <c r="F267" i="4"/>
  <c r="L267" i="4" s="1"/>
  <c r="F266" i="4"/>
  <c r="L266" i="4" s="1"/>
  <c r="L265" i="4"/>
  <c r="L264" i="4"/>
  <c r="L263" i="4"/>
  <c r="F262" i="4"/>
  <c r="K262" i="4"/>
  <c r="L261" i="4"/>
  <c r="L260" i="4"/>
  <c r="L259" i="4"/>
  <c r="L258" i="4"/>
  <c r="L257" i="4"/>
  <c r="L256" i="4"/>
  <c r="F255" i="4"/>
  <c r="K255" i="4"/>
  <c r="F254" i="4"/>
  <c r="K254" i="4"/>
  <c r="L253" i="4"/>
  <c r="L252" i="4"/>
  <c r="L251" i="4"/>
  <c r="F250" i="4"/>
  <c r="L250" i="4" s="1"/>
  <c r="L249" i="4"/>
  <c r="L248" i="4"/>
  <c r="L247" i="4"/>
  <c r="L246" i="4"/>
  <c r="L245" i="4"/>
  <c r="L244" i="4"/>
  <c r="L243" i="4"/>
  <c r="L242" i="4"/>
  <c r="L241" i="4"/>
  <c r="L240" i="4"/>
  <c r="F239" i="4"/>
  <c r="L239" i="4" s="1"/>
  <c r="F238" i="4"/>
  <c r="K238" i="4"/>
  <c r="L237" i="4"/>
  <c r="L236" i="4"/>
  <c r="L235" i="4"/>
  <c r="L234" i="4"/>
  <c r="F233" i="4"/>
  <c r="L233" i="4" s="1"/>
  <c r="L232" i="4"/>
  <c r="K231" i="4"/>
  <c r="L231" i="4" s="1"/>
  <c r="L230" i="4"/>
  <c r="L229" i="4"/>
  <c r="F228" i="4"/>
  <c r="L228" i="4" s="1"/>
  <c r="L227" i="4"/>
  <c r="L226" i="4"/>
  <c r="L225" i="4"/>
  <c r="L224" i="4"/>
  <c r="L223" i="4"/>
  <c r="F222" i="4"/>
  <c r="K222" i="4"/>
  <c r="L221" i="4"/>
  <c r="F220" i="4"/>
  <c r="L220" i="4" s="1"/>
  <c r="F219" i="4"/>
  <c r="L219" i="4" s="1"/>
  <c r="F218" i="4"/>
  <c r="L218" i="4" s="1"/>
  <c r="J217" i="4"/>
  <c r="L217" i="4"/>
  <c r="J216" i="4"/>
  <c r="L216" i="4"/>
  <c r="J215" i="4"/>
  <c r="L215" i="4"/>
  <c r="J214" i="4"/>
  <c r="L214" i="4"/>
  <c r="J213" i="4"/>
  <c r="L213" i="4"/>
  <c r="J212" i="4"/>
  <c r="L212" i="4"/>
  <c r="J211" i="4"/>
  <c r="L211" i="4"/>
  <c r="J210" i="4"/>
  <c r="L210" i="4"/>
  <c r="J209" i="4"/>
  <c r="L209" i="4"/>
  <c r="J208" i="4"/>
  <c r="L208" i="4"/>
  <c r="J207" i="4"/>
  <c r="L207" i="4"/>
  <c r="J206" i="4"/>
  <c r="L206" i="4"/>
  <c r="J205" i="4"/>
  <c r="K205" i="4"/>
  <c r="L205" i="4" s="1"/>
  <c r="J204" i="4"/>
  <c r="K204" i="4"/>
  <c r="L204" i="4" s="1"/>
  <c r="J203" i="4"/>
  <c r="L203" i="4"/>
  <c r="J202" i="4"/>
  <c r="L202" i="4"/>
  <c r="J201" i="4"/>
  <c r="L201" i="4"/>
  <c r="J200" i="4"/>
  <c r="L200" i="4"/>
  <c r="J199" i="4"/>
  <c r="L199" i="4"/>
  <c r="J198" i="4"/>
  <c r="L198" i="4"/>
  <c r="J197" i="4"/>
  <c r="L197" i="4"/>
  <c r="J196" i="4"/>
  <c r="F196" i="4"/>
  <c r="L196" i="4" s="1"/>
  <c r="H195" i="4"/>
  <c r="J195" i="4" s="1"/>
  <c r="L195" i="4"/>
  <c r="J194" i="4"/>
  <c r="L194" i="4"/>
  <c r="J193" i="4"/>
  <c r="L193" i="4"/>
  <c r="J192" i="4"/>
  <c r="F192" i="4"/>
  <c r="L192" i="4" s="1"/>
  <c r="J191" i="4"/>
  <c r="F191" i="4"/>
  <c r="L191" i="4" s="1"/>
  <c r="J190" i="4"/>
  <c r="L190" i="4"/>
  <c r="J189" i="4"/>
  <c r="L189" i="4"/>
  <c r="J188" i="4"/>
  <c r="L188" i="4"/>
  <c r="J187" i="4"/>
  <c r="L187" i="4"/>
  <c r="J186" i="4"/>
  <c r="L186" i="4"/>
  <c r="J185" i="4"/>
  <c r="L185" i="4"/>
  <c r="J184" i="4"/>
  <c r="L184" i="4"/>
  <c r="J183" i="4"/>
  <c r="L183" i="4"/>
  <c r="J182" i="4"/>
  <c r="L182" i="4"/>
  <c r="J181" i="4"/>
  <c r="L181" i="4"/>
  <c r="J180" i="4"/>
  <c r="L180" i="4"/>
  <c r="J179" i="4"/>
  <c r="L179" i="4"/>
  <c r="J178" i="4"/>
  <c r="L178" i="4"/>
  <c r="J177" i="4"/>
  <c r="L177" i="4"/>
  <c r="H176" i="4"/>
  <c r="J176" i="4" s="1"/>
  <c r="L176" i="4"/>
  <c r="J175" i="4"/>
  <c r="L175" i="4"/>
  <c r="J174" i="4"/>
  <c r="L174" i="4"/>
  <c r="J173" i="4"/>
  <c r="L173" i="4"/>
  <c r="J172" i="4"/>
  <c r="L172" i="4"/>
  <c r="J171" i="4"/>
  <c r="L171" i="4"/>
  <c r="J170" i="4"/>
  <c r="L170" i="4"/>
  <c r="J169" i="4"/>
  <c r="F169" i="4"/>
  <c r="L169" i="4" s="1"/>
  <c r="J168" i="4"/>
  <c r="F168" i="4"/>
  <c r="L168" i="4" s="1"/>
  <c r="J167" i="4"/>
  <c r="L167" i="4"/>
  <c r="J166" i="4"/>
  <c r="L166" i="4"/>
  <c r="J165" i="4"/>
  <c r="L165" i="4"/>
  <c r="J164" i="4"/>
  <c r="L164" i="4"/>
  <c r="J163" i="4"/>
  <c r="L163" i="4"/>
  <c r="J162" i="4"/>
  <c r="L162" i="4"/>
  <c r="J161" i="4"/>
  <c r="L161" i="4"/>
  <c r="J160" i="4"/>
  <c r="L160" i="4"/>
  <c r="J159" i="4"/>
  <c r="L159" i="4"/>
  <c r="H158" i="4"/>
  <c r="J158" i="4" s="1"/>
  <c r="F158" i="4"/>
  <c r="L158" i="4" s="1"/>
  <c r="J157" i="4"/>
  <c r="L157" i="4"/>
  <c r="J156" i="4"/>
  <c r="L156" i="4"/>
  <c r="J155" i="4"/>
  <c r="L155" i="4"/>
  <c r="J154" i="4"/>
  <c r="F154" i="4"/>
  <c r="L154" i="4" s="1"/>
  <c r="J153" i="4"/>
  <c r="F153" i="4"/>
  <c r="L153" i="4" s="1"/>
  <c r="J152" i="4"/>
  <c r="F152" i="4"/>
  <c r="L152" i="4" s="1"/>
  <c r="J151" i="4"/>
  <c r="L151" i="4"/>
  <c r="J150" i="4"/>
  <c r="L150" i="4"/>
  <c r="J149" i="4"/>
  <c r="L149" i="4"/>
  <c r="J148" i="4"/>
  <c r="L148" i="4"/>
  <c r="J147" i="4"/>
  <c r="L147" i="4"/>
  <c r="J146" i="4"/>
  <c r="L146" i="4"/>
  <c r="J145" i="4"/>
  <c r="L145" i="4"/>
  <c r="J144" i="4"/>
  <c r="L144" i="4"/>
  <c r="J143" i="4"/>
  <c r="L143" i="4"/>
  <c r="J142" i="4"/>
  <c r="L142" i="4"/>
  <c r="J141" i="4"/>
  <c r="L141" i="4"/>
  <c r="J140" i="4"/>
  <c r="L140" i="4"/>
  <c r="J139" i="4"/>
  <c r="L139" i="4"/>
  <c r="J138" i="4"/>
  <c r="L138" i="4"/>
  <c r="J137" i="4"/>
  <c r="L137" i="4"/>
  <c r="H136" i="4"/>
  <c r="J136" i="4" s="1"/>
  <c r="K136" i="4"/>
  <c r="L136" i="4" s="1"/>
  <c r="J135" i="4"/>
  <c r="L135" i="4"/>
  <c r="J134" i="4"/>
  <c r="L134" i="4"/>
  <c r="J133" i="4"/>
  <c r="L133" i="4"/>
  <c r="J132" i="4"/>
  <c r="L132" i="4"/>
  <c r="J131" i="4"/>
  <c r="L131" i="4"/>
  <c r="J130" i="4"/>
  <c r="L130" i="4"/>
  <c r="J129" i="4"/>
  <c r="L129" i="4"/>
  <c r="J128" i="4"/>
  <c r="K128" i="4"/>
  <c r="L128" i="4" s="1"/>
  <c r="J127" i="4"/>
  <c r="K127" i="4"/>
  <c r="L127" i="4" s="1"/>
  <c r="J126" i="4"/>
  <c r="L126" i="4"/>
  <c r="J125" i="4"/>
  <c r="K125" i="4"/>
  <c r="L125" i="4" s="1"/>
  <c r="J124" i="4"/>
  <c r="L124" i="4"/>
  <c r="J123" i="4"/>
  <c r="L123" i="4"/>
  <c r="J122" i="4"/>
  <c r="L122" i="4"/>
  <c r="H121" i="4"/>
  <c r="J121" i="4" s="1"/>
  <c r="L121" i="4"/>
  <c r="J120" i="4"/>
  <c r="L120" i="4"/>
  <c r="J119" i="4"/>
  <c r="L119" i="4"/>
  <c r="J118" i="4"/>
  <c r="L118" i="4"/>
  <c r="J117" i="4"/>
  <c r="L117" i="4"/>
  <c r="J116" i="4"/>
  <c r="L116" i="4"/>
  <c r="J115" i="4"/>
  <c r="L115" i="4"/>
  <c r="J114" i="4"/>
  <c r="L114" i="4"/>
  <c r="J113" i="4"/>
  <c r="L113" i="4"/>
  <c r="J112" i="4"/>
  <c r="L112" i="4"/>
  <c r="J111" i="4"/>
  <c r="L111" i="4"/>
  <c r="J110" i="4"/>
  <c r="L110" i="4"/>
  <c r="J109" i="4"/>
  <c r="L109" i="4"/>
  <c r="J108" i="4"/>
  <c r="L108" i="4"/>
  <c r="J107" i="4"/>
  <c r="L107" i="4"/>
  <c r="J106" i="4"/>
  <c r="L106" i="4"/>
  <c r="J105" i="4"/>
  <c r="L105" i="4"/>
  <c r="J104" i="4"/>
  <c r="L104" i="4"/>
  <c r="J103" i="4"/>
  <c r="L103" i="4"/>
  <c r="J102" i="4"/>
  <c r="K102" i="4"/>
  <c r="L102" i="4" s="1"/>
  <c r="J101" i="4"/>
  <c r="L101" i="4"/>
  <c r="J100" i="4"/>
  <c r="L100" i="4"/>
  <c r="J99" i="4"/>
  <c r="L99" i="4"/>
  <c r="J98" i="4"/>
  <c r="L98" i="4"/>
  <c r="J97" i="4"/>
  <c r="K97" i="4"/>
  <c r="L97" i="4" s="1"/>
  <c r="J96" i="4"/>
  <c r="L96" i="4"/>
  <c r="J95" i="4"/>
  <c r="L95" i="4"/>
  <c r="J94" i="4"/>
  <c r="L94" i="4"/>
  <c r="J93" i="4"/>
  <c r="L93" i="4"/>
  <c r="J92" i="4"/>
  <c r="L92" i="4"/>
  <c r="J91" i="4"/>
  <c r="L91" i="4"/>
  <c r="J90" i="4"/>
  <c r="K90" i="4"/>
  <c r="L90" i="4" s="1"/>
  <c r="J89" i="4"/>
  <c r="L89" i="4"/>
  <c r="J88" i="4"/>
  <c r="L88" i="4"/>
  <c r="J87" i="4"/>
  <c r="L87" i="4"/>
  <c r="H86" i="4"/>
  <c r="J86" i="4" s="1"/>
  <c r="L86" i="4"/>
  <c r="J85" i="4"/>
  <c r="L85" i="4"/>
  <c r="J84" i="4"/>
  <c r="K84" i="4"/>
  <c r="L84" i="4" s="1"/>
  <c r="J83" i="4"/>
  <c r="K83" i="4"/>
  <c r="L83" i="4" s="1"/>
  <c r="J82" i="4"/>
  <c r="L82" i="4"/>
  <c r="J81" i="4"/>
  <c r="L81" i="4"/>
  <c r="H80" i="4"/>
  <c r="J80" i="4" s="1"/>
  <c r="L80" i="4"/>
  <c r="J79" i="4"/>
  <c r="L79" i="4"/>
  <c r="J78" i="4"/>
  <c r="L78" i="4"/>
  <c r="J77" i="4"/>
  <c r="L77" i="4"/>
  <c r="J76" i="4"/>
  <c r="K76" i="4"/>
  <c r="L76" i="4" s="1"/>
  <c r="J75" i="4"/>
  <c r="K75" i="4"/>
  <c r="L75" i="4" s="1"/>
  <c r="J74" i="4"/>
  <c r="L74" i="4"/>
  <c r="J73" i="4"/>
  <c r="K73" i="4"/>
  <c r="L73" i="4" s="1"/>
  <c r="J72" i="4"/>
  <c r="F72" i="4"/>
  <c r="K72" i="4"/>
  <c r="J71" i="4"/>
  <c r="F71" i="4"/>
  <c r="K71" i="4"/>
  <c r="J70" i="4"/>
  <c r="K70" i="4"/>
  <c r="L70" i="4" s="1"/>
  <c r="J69" i="4"/>
  <c r="K69" i="4"/>
  <c r="L69" i="4" s="1"/>
  <c r="J68" i="4"/>
  <c r="L68" i="4"/>
  <c r="J67" i="4"/>
  <c r="L67" i="4"/>
  <c r="J66" i="4"/>
  <c r="L66" i="4"/>
  <c r="J65" i="4"/>
  <c r="L65" i="4"/>
  <c r="J64" i="4"/>
  <c r="K64" i="4"/>
  <c r="L64" i="4" s="1"/>
  <c r="J63" i="4"/>
  <c r="L63" i="4"/>
  <c r="J62" i="4"/>
  <c r="F62" i="4"/>
  <c r="K62" i="4"/>
  <c r="H61" i="4"/>
  <c r="J61" i="4" s="1"/>
  <c r="L61" i="4"/>
  <c r="J60" i="4"/>
  <c r="L60" i="4"/>
  <c r="J59" i="4"/>
  <c r="L59" i="4"/>
  <c r="J58" i="4"/>
  <c r="L58" i="4"/>
  <c r="J57" i="4"/>
  <c r="L57" i="4"/>
  <c r="J56" i="4"/>
  <c r="F56" i="4"/>
  <c r="L56" i="4" s="1"/>
  <c r="J55" i="4"/>
  <c r="L55" i="4"/>
  <c r="J54" i="4"/>
  <c r="L54" i="4"/>
  <c r="J53" i="4"/>
  <c r="L53" i="4"/>
  <c r="J52" i="4"/>
  <c r="L52" i="4"/>
  <c r="J51" i="4"/>
  <c r="L51" i="4"/>
  <c r="J50" i="4"/>
  <c r="L50" i="4"/>
  <c r="J49" i="4"/>
  <c r="L49" i="4"/>
  <c r="J48" i="4"/>
  <c r="L48" i="4"/>
  <c r="J47" i="4"/>
  <c r="K47" i="4"/>
  <c r="L47" i="4" s="1"/>
  <c r="J46" i="4"/>
  <c r="L46" i="4"/>
  <c r="H45" i="4"/>
  <c r="J45" i="4" s="1"/>
  <c r="L45" i="4"/>
  <c r="J44" i="4"/>
  <c r="L44" i="4"/>
  <c r="J43" i="4"/>
  <c r="F43" i="4"/>
  <c r="L43" i="4" s="1"/>
  <c r="J42" i="4"/>
  <c r="F42" i="4"/>
  <c r="K42" i="4"/>
  <c r="J41" i="4"/>
  <c r="F41" i="4"/>
  <c r="L41" i="4" s="1"/>
  <c r="J40" i="4"/>
  <c r="F40" i="4"/>
  <c r="L40" i="4" s="1"/>
  <c r="J39" i="4"/>
  <c r="F39" i="4"/>
  <c r="L39" i="4" s="1"/>
  <c r="J38" i="4"/>
  <c r="L38" i="4"/>
  <c r="J37" i="4"/>
  <c r="L37" i="4"/>
  <c r="J36" i="4"/>
  <c r="F36" i="4"/>
  <c r="L36" i="4" s="1"/>
  <c r="J35" i="4"/>
  <c r="L35" i="4"/>
  <c r="J34" i="4"/>
  <c r="L34" i="4"/>
  <c r="J33" i="4"/>
  <c r="L33" i="4"/>
  <c r="J32" i="4"/>
  <c r="L32" i="4"/>
  <c r="J31" i="4"/>
  <c r="L31" i="4"/>
  <c r="J30" i="4"/>
  <c r="L30" i="4"/>
  <c r="J29" i="4"/>
  <c r="L29" i="4"/>
  <c r="J28" i="4"/>
  <c r="L28" i="4"/>
  <c r="J27" i="4"/>
  <c r="L27" i="4"/>
  <c r="J26" i="4"/>
  <c r="L26" i="4"/>
  <c r="J25" i="4"/>
  <c r="L25" i="4"/>
  <c r="J24" i="4"/>
  <c r="L24" i="4"/>
  <c r="J23" i="4"/>
  <c r="L23" i="4"/>
  <c r="J22" i="4"/>
  <c r="F22" i="4"/>
  <c r="L22" i="4" s="1"/>
  <c r="J21" i="4"/>
  <c r="F21" i="4"/>
  <c r="L21" i="4" s="1"/>
  <c r="J20" i="4"/>
  <c r="L20" i="4"/>
  <c r="J19" i="4"/>
  <c r="L19" i="4"/>
  <c r="J18" i="4"/>
  <c r="K18" i="4"/>
  <c r="L18" i="4" s="1"/>
  <c r="J17" i="4"/>
  <c r="L17" i="4"/>
  <c r="J16" i="4"/>
  <c r="F16" i="4"/>
  <c r="L16" i="4" s="1"/>
  <c r="F15" i="4"/>
  <c r="H15" i="4" s="1"/>
  <c r="J15" i="4" s="1"/>
  <c r="J14" i="4"/>
  <c r="L14" i="4"/>
  <c r="J13" i="4"/>
  <c r="L13" i="4"/>
  <c r="J12" i="4"/>
  <c r="L12" i="4"/>
  <c r="J11" i="4"/>
  <c r="F11" i="4"/>
  <c r="L11" i="4" s="1"/>
  <c r="J10" i="4"/>
  <c r="K10" i="4"/>
  <c r="L10" i="4" s="1"/>
  <c r="J9" i="4"/>
  <c r="L9" i="4"/>
  <c r="H8" i="4"/>
  <c r="J8" i="4" s="1"/>
  <c r="F8" i="4"/>
  <c r="L8" i="4" s="1"/>
  <c r="J7" i="4"/>
  <c r="L7" i="4"/>
  <c r="J6" i="4"/>
  <c r="L6" i="4"/>
  <c r="J5" i="4"/>
  <c r="F5" i="4"/>
  <c r="L5" i="4" s="1"/>
  <c r="J4" i="4"/>
  <c r="F4" i="4"/>
  <c r="L4" i="4" s="1"/>
  <c r="J3" i="4"/>
  <c r="L3" i="4"/>
  <c r="J2" i="4"/>
  <c r="L2" i="4"/>
  <c r="L222" i="4" l="1"/>
  <c r="L71" i="4"/>
  <c r="L72" i="4"/>
  <c r="L271" i="4"/>
  <c r="L62" i="4"/>
  <c r="L238" i="4"/>
  <c r="L255" i="4"/>
  <c r="L282" i="4"/>
  <c r="L262" i="4"/>
  <c r="L254" i="4"/>
  <c r="L268" i="4"/>
  <c r="L42" i="4"/>
  <c r="L15" i="4"/>
  <c r="O28" i="2" l="1"/>
  <c r="L28" i="2"/>
  <c r="O27" i="2"/>
  <c r="L27" i="2"/>
  <c r="O26" i="2"/>
  <c r="L26" i="2"/>
  <c r="O25" i="2"/>
  <c r="L25" i="2"/>
  <c r="O24" i="2"/>
  <c r="L24" i="2"/>
  <c r="O23" i="2"/>
  <c r="L23" i="2"/>
  <c r="O22" i="2"/>
  <c r="L22" i="2"/>
  <c r="O21" i="2"/>
  <c r="L21" i="2"/>
  <c r="O20" i="2"/>
  <c r="O19" i="2"/>
  <c r="O18" i="2"/>
  <c r="K18" i="2"/>
  <c r="J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I4" i="2"/>
  <c r="O4" i="2" s="1"/>
  <c r="F4" i="2"/>
  <c r="O3" i="2" l="1"/>
  <c r="O2" i="2"/>
  <c r="M215" i="3"/>
  <c r="H215" i="3"/>
  <c r="M49" i="3"/>
  <c r="H49" i="3"/>
  <c r="M62" i="3"/>
  <c r="G62" i="3"/>
  <c r="F62" i="3"/>
  <c r="K80" i="3"/>
  <c r="H80" i="3"/>
  <c r="M93" i="3"/>
  <c r="H93" i="3"/>
  <c r="M92" i="3"/>
  <c r="H92" i="3"/>
  <c r="M79" i="3"/>
  <c r="H79" i="3"/>
  <c r="M37" i="3"/>
  <c r="H37" i="3"/>
  <c r="H279" i="3"/>
  <c r="M105" i="3"/>
  <c r="H105" i="3"/>
  <c r="M124" i="3"/>
  <c r="H124" i="3"/>
  <c r="M78" i="3"/>
  <c r="H78" i="3"/>
  <c r="M2" i="3"/>
  <c r="H2" i="3"/>
  <c r="M280" i="3"/>
  <c r="H280" i="3"/>
  <c r="M104" i="3"/>
  <c r="H104" i="3"/>
  <c r="M103" i="3"/>
  <c r="H103" i="3"/>
  <c r="M55" i="3"/>
  <c r="H55" i="3"/>
  <c r="M77" i="3"/>
  <c r="H77" i="3"/>
  <c r="M91" i="3"/>
  <c r="H91" i="3"/>
  <c r="M90" i="3"/>
  <c r="F90" i="3"/>
  <c r="M132" i="3"/>
  <c r="H132" i="3"/>
  <c r="M7" i="3"/>
  <c r="H7" i="3"/>
  <c r="M48" i="3"/>
  <c r="H48" i="3"/>
  <c r="M34" i="3"/>
  <c r="H34" i="3"/>
  <c r="M123" i="3"/>
  <c r="H123" i="3"/>
  <c r="M89" i="3"/>
  <c r="H89" i="3"/>
  <c r="M88" i="3"/>
  <c r="H88" i="3"/>
  <c r="M87" i="3"/>
  <c r="H87" i="3"/>
  <c r="K86" i="3"/>
  <c r="H86" i="3"/>
  <c r="M65" i="3"/>
  <c r="H65" i="3"/>
  <c r="M26" i="3"/>
  <c r="H26" i="3"/>
  <c r="H278" i="3"/>
  <c r="H277" i="3"/>
  <c r="M76" i="3"/>
  <c r="F76" i="3"/>
  <c r="M29" i="3"/>
  <c r="H29" i="3"/>
  <c r="H276" i="3"/>
  <c r="H275" i="3"/>
  <c r="M122" i="3"/>
  <c r="H122" i="3"/>
  <c r="K121" i="3"/>
  <c r="H121" i="3"/>
  <c r="M25" i="3"/>
  <c r="H25" i="3"/>
  <c r="M6" i="3"/>
  <c r="H6" i="3"/>
  <c r="M167" i="3"/>
  <c r="H167" i="3"/>
  <c r="M166" i="3"/>
  <c r="H166" i="3"/>
  <c r="M85" i="3"/>
  <c r="H85" i="3"/>
  <c r="M131" i="3"/>
  <c r="H131" i="3"/>
  <c r="H274" i="3"/>
  <c r="M28" i="3"/>
  <c r="H28" i="3"/>
  <c r="G273" i="3"/>
  <c r="M33" i="3"/>
  <c r="H33" i="3"/>
  <c r="M32" i="3"/>
  <c r="H32" i="3"/>
  <c r="H272" i="3"/>
  <c r="M102" i="3"/>
  <c r="F102" i="3"/>
  <c r="G271" i="3"/>
  <c r="F271" i="3"/>
  <c r="M69" i="3"/>
  <c r="F69" i="3"/>
  <c r="H270" i="3"/>
  <c r="M120" i="3"/>
  <c r="H120" i="3"/>
  <c r="M3" i="3"/>
  <c r="H3" i="3"/>
  <c r="M212" i="3"/>
  <c r="H212" i="3"/>
  <c r="M211" i="3"/>
  <c r="H211" i="3"/>
  <c r="M66" i="3"/>
  <c r="H66" i="3"/>
  <c r="H269" i="3"/>
  <c r="G268" i="3"/>
  <c r="F268" i="3"/>
  <c r="M283" i="3"/>
  <c r="G283" i="3"/>
  <c r="M38" i="3"/>
  <c r="H38" i="3"/>
  <c r="M84" i="3"/>
  <c r="F84" i="3"/>
  <c r="M31" i="3"/>
  <c r="H31" i="3"/>
  <c r="M54" i="3"/>
  <c r="H54" i="3"/>
  <c r="M170" i="3"/>
  <c r="H170" i="3"/>
  <c r="M101" i="3"/>
  <c r="H101" i="3"/>
  <c r="G267" i="3"/>
  <c r="M83" i="3"/>
  <c r="F83" i="3"/>
  <c r="M64" i="3"/>
  <c r="F64" i="3"/>
  <c r="M214" i="3"/>
  <c r="H214" i="3"/>
  <c r="M53" i="3"/>
  <c r="H53" i="3"/>
  <c r="M130" i="3"/>
  <c r="H130" i="3"/>
  <c r="M119" i="3"/>
  <c r="H119" i="3"/>
  <c r="H266" i="3" s="1"/>
  <c r="G266" i="3"/>
  <c r="K61" i="3"/>
  <c r="H61" i="3"/>
  <c r="H265" i="3"/>
  <c r="M129" i="3"/>
  <c r="H129" i="3"/>
  <c r="M210" i="3"/>
  <c r="H210" i="3"/>
  <c r="H264" i="3"/>
  <c r="M100" i="3"/>
  <c r="H100" i="3"/>
  <c r="M282" i="3"/>
  <c r="G282" i="3"/>
  <c r="F282" i="3"/>
  <c r="M165" i="3"/>
  <c r="H165" i="3"/>
  <c r="M164" i="3"/>
  <c r="H164" i="3"/>
  <c r="M75" i="3"/>
  <c r="F75" i="3"/>
  <c r="M24" i="3"/>
  <c r="H24" i="3"/>
  <c r="M23" i="3"/>
  <c r="H23" i="3"/>
  <c r="M60" i="3"/>
  <c r="H60" i="3"/>
  <c r="M59" i="3"/>
  <c r="H59" i="3"/>
  <c r="M135" i="3"/>
  <c r="H135" i="3"/>
  <c r="M63" i="3"/>
  <c r="H63" i="3"/>
  <c r="H263" i="3"/>
  <c r="M30" i="3"/>
  <c r="H30" i="3"/>
  <c r="M213" i="3"/>
  <c r="H213" i="3"/>
  <c r="G262" i="3"/>
  <c r="F262" i="3"/>
  <c r="M118" i="3"/>
  <c r="H118" i="3"/>
  <c r="M99" i="3"/>
  <c r="H99" i="3"/>
  <c r="M74" i="3"/>
  <c r="H74" i="3"/>
  <c r="M52" i="3"/>
  <c r="H52" i="3"/>
  <c r="M209" i="3"/>
  <c r="H209" i="3"/>
  <c r="H261" i="3"/>
  <c r="M73" i="3"/>
  <c r="F73" i="3"/>
  <c r="M82" i="3"/>
  <c r="H82" i="3"/>
  <c r="M128" i="3"/>
  <c r="F128" i="3"/>
  <c r="M51" i="3"/>
  <c r="H51" i="3"/>
  <c r="M151" i="3"/>
  <c r="H151" i="3"/>
  <c r="M127" i="3"/>
  <c r="F127" i="3"/>
  <c r="M134" i="3"/>
  <c r="H134" i="3"/>
  <c r="M190" i="3"/>
  <c r="H190" i="3"/>
  <c r="M98" i="3"/>
  <c r="H98" i="3"/>
  <c r="M97" i="3"/>
  <c r="F97" i="3"/>
  <c r="H260" i="3"/>
  <c r="M50" i="3"/>
  <c r="H50" i="3"/>
  <c r="M126" i="3"/>
  <c r="H126" i="3"/>
  <c r="M133" i="3"/>
  <c r="H133" i="3"/>
  <c r="H259" i="3"/>
  <c r="M208" i="3"/>
  <c r="H208" i="3"/>
  <c r="H258" i="3"/>
  <c r="M81" i="3"/>
  <c r="H81" i="3"/>
  <c r="M125" i="3"/>
  <c r="F125" i="3"/>
  <c r="M281" i="3"/>
  <c r="G281" i="3"/>
  <c r="M5" i="3"/>
  <c r="G5" i="3"/>
  <c r="M150" i="3"/>
  <c r="H150" i="3"/>
  <c r="M117" i="3"/>
  <c r="H117" i="3"/>
  <c r="M116" i="3"/>
  <c r="H116" i="3"/>
  <c r="M72" i="3"/>
  <c r="G72" i="3"/>
  <c r="F72" i="3"/>
  <c r="H72" i="3" s="1"/>
  <c r="M138" i="3"/>
  <c r="H138" i="3"/>
  <c r="M22" i="3"/>
  <c r="G22" i="3"/>
  <c r="M21" i="3"/>
  <c r="G21" i="3"/>
  <c r="M20" i="3"/>
  <c r="H20" i="3"/>
  <c r="M216" i="3"/>
  <c r="H216" i="3"/>
  <c r="M58" i="3"/>
  <c r="H58" i="3"/>
  <c r="H257" i="3"/>
  <c r="M4" i="3"/>
  <c r="H4" i="3" s="1"/>
  <c r="G4" i="3"/>
  <c r="M115" i="3"/>
  <c r="H115" i="3"/>
  <c r="M137" i="3"/>
  <c r="H137" i="3"/>
  <c r="M207" i="3"/>
  <c r="H207" i="3"/>
  <c r="M206" i="3"/>
  <c r="H206" i="3"/>
  <c r="M205" i="3"/>
  <c r="F205" i="3"/>
  <c r="M204" i="3"/>
  <c r="F204" i="3"/>
  <c r="M19" i="3"/>
  <c r="H19" i="3"/>
  <c r="M114" i="3"/>
  <c r="H114" i="3"/>
  <c r="M113" i="3"/>
  <c r="H113" i="3"/>
  <c r="M112" i="3"/>
  <c r="H112" i="3"/>
  <c r="M111" i="3"/>
  <c r="H111" i="3"/>
  <c r="M110" i="3"/>
  <c r="H110" i="3"/>
  <c r="M47" i="3"/>
  <c r="F47" i="3"/>
  <c r="M18" i="3"/>
  <c r="F18" i="3"/>
  <c r="H256" i="3"/>
  <c r="M17" i="3"/>
  <c r="H17" i="3"/>
  <c r="H262" i="3" l="1"/>
  <c r="H204" i="3"/>
  <c r="H127" i="3"/>
  <c r="H21" i="3"/>
  <c r="H128" i="3"/>
  <c r="H62" i="3"/>
  <c r="H64" i="3"/>
  <c r="H97" i="3"/>
  <c r="H271" i="3"/>
  <c r="H18" i="3"/>
  <c r="H282" i="3"/>
  <c r="H273" i="3"/>
  <c r="H84" i="3"/>
  <c r="H5" i="3"/>
  <c r="H268" i="3"/>
  <c r="H76" i="3"/>
  <c r="H267" i="3"/>
  <c r="M121" i="3"/>
  <c r="M86" i="3"/>
  <c r="H73" i="3"/>
  <c r="H83" i="3"/>
  <c r="H75" i="3"/>
  <c r="H205" i="3"/>
  <c r="H283" i="3"/>
  <c r="H125" i="3"/>
  <c r="H47" i="3"/>
  <c r="H69" i="3"/>
  <c r="H22" i="3"/>
  <c r="H281" i="3"/>
  <c r="H102" i="3"/>
  <c r="H90" i="3"/>
  <c r="M61" i="3"/>
  <c r="M80" i="3"/>
  <c r="G255" i="3"/>
  <c r="F255" i="3"/>
  <c r="M16" i="3"/>
  <c r="G16" i="3"/>
  <c r="M46" i="3"/>
  <c r="H46" i="3"/>
  <c r="K45" i="3"/>
  <c r="H45" i="3"/>
  <c r="M96" i="3"/>
  <c r="H96" i="3"/>
  <c r="G254" i="3"/>
  <c r="F254" i="3"/>
  <c r="M95" i="3"/>
  <c r="H95" i="3"/>
  <c r="M71" i="3"/>
  <c r="G71" i="3"/>
  <c r="H71" i="3" s="1"/>
  <c r="F71" i="3"/>
  <c r="M169" i="3"/>
  <c r="G169" i="3"/>
  <c r="M27" i="3"/>
  <c r="H27" i="3"/>
  <c r="G15" i="3"/>
  <c r="H15" i="3" s="1"/>
  <c r="M109" i="3"/>
  <c r="H109" i="3"/>
  <c r="M149" i="3"/>
  <c r="H149" i="3"/>
  <c r="M148" i="3"/>
  <c r="H148" i="3"/>
  <c r="M14" i="3"/>
  <c r="H14" i="3"/>
  <c r="M108" i="3"/>
  <c r="H108" i="3"/>
  <c r="M107" i="3"/>
  <c r="H107" i="3"/>
  <c r="M189" i="3"/>
  <c r="H189" i="3"/>
  <c r="M188" i="3"/>
  <c r="H188" i="3"/>
  <c r="M163" i="3"/>
  <c r="H163" i="3"/>
  <c r="M13" i="3"/>
  <c r="H13" i="3"/>
  <c r="M36" i="3"/>
  <c r="G36" i="3"/>
  <c r="M12" i="3"/>
  <c r="H12" i="3"/>
  <c r="M11" i="3"/>
  <c r="G11" i="3"/>
  <c r="M284" i="3"/>
  <c r="G284" i="3"/>
  <c r="M94" i="3"/>
  <c r="H94" i="3"/>
  <c r="M10" i="3"/>
  <c r="F10" i="3"/>
  <c r="M68" i="3"/>
  <c r="H68" i="3"/>
  <c r="M67" i="3"/>
  <c r="H67" i="3"/>
  <c r="M187" i="3"/>
  <c r="H187" i="3"/>
  <c r="H253" i="3"/>
  <c r="H252" i="3"/>
  <c r="H251" i="3"/>
  <c r="M203" i="3"/>
  <c r="H203" i="3"/>
  <c r="M202" i="3"/>
  <c r="H202" i="3"/>
  <c r="M201" i="3"/>
  <c r="H201" i="3"/>
  <c r="G250" i="3"/>
  <c r="M44" i="3"/>
  <c r="H44" i="3"/>
  <c r="M186" i="3"/>
  <c r="H186" i="3"/>
  <c r="M168" i="3"/>
  <c r="G168" i="3"/>
  <c r="M200" i="3"/>
  <c r="H200" i="3"/>
  <c r="M199" i="3"/>
  <c r="H254" i="3" l="1"/>
  <c r="H255" i="3"/>
  <c r="H168" i="3"/>
  <c r="H250" i="3"/>
  <c r="H36" i="3"/>
  <c r="H169" i="3"/>
  <c r="H10" i="3"/>
  <c r="H284" i="3"/>
  <c r="H16" i="3"/>
  <c r="H11" i="3"/>
  <c r="M45" i="3"/>
  <c r="H199" i="3"/>
  <c r="M9" i="3"/>
  <c r="H9" i="3"/>
  <c r="M185" i="3"/>
  <c r="H185" i="3"/>
  <c r="M162" i="3"/>
  <c r="H162" i="3"/>
  <c r="M198" i="3"/>
  <c r="H198" i="3"/>
  <c r="H249" i="3"/>
  <c r="M147" i="3"/>
  <c r="H147" i="3"/>
  <c r="M197" i="3"/>
  <c r="H197" i="3"/>
  <c r="M161" i="3"/>
  <c r="H161" i="3"/>
  <c r="M70" i="3"/>
  <c r="F70" i="3"/>
  <c r="H248" i="3"/>
  <c r="M196" i="3"/>
  <c r="G196" i="3"/>
  <c r="K195" i="3"/>
  <c r="H195" i="3"/>
  <c r="M43" i="3"/>
  <c r="G43" i="3"/>
  <c r="M160" i="3"/>
  <c r="H160" i="3"/>
  <c r="H247" i="3"/>
  <c r="H246" i="3"/>
  <c r="H245" i="3"/>
  <c r="M41" i="3"/>
  <c r="G41" i="3"/>
  <c r="M184" i="3"/>
  <c r="H184" i="3"/>
  <c r="M183" i="3"/>
  <c r="H183" i="3"/>
  <c r="M106" i="3"/>
  <c r="H106" i="3"/>
  <c r="K8" i="3"/>
  <c r="G8" i="3"/>
  <c r="M146" i="3"/>
  <c r="H146" i="3"/>
  <c r="M145" i="3"/>
  <c r="H145" i="3"/>
  <c r="M144" i="3"/>
  <c r="H144" i="3"/>
  <c r="H244" i="3"/>
  <c r="M159" i="3"/>
  <c r="H159" i="3"/>
  <c r="M194" i="3"/>
  <c r="H194" i="3"/>
  <c r="K158" i="3"/>
  <c r="G158" i="3"/>
  <c r="H243" i="3"/>
  <c r="M35" i="3"/>
  <c r="H35" i="3"/>
  <c r="M143" i="3"/>
  <c r="H143" i="3"/>
  <c r="H242" i="3"/>
  <c r="M142" i="3"/>
  <c r="H142" i="3"/>
  <c r="M157" i="3"/>
  <c r="H157" i="3"/>
  <c r="M156" i="3"/>
  <c r="H156" i="3"/>
  <c r="M57" i="3"/>
  <c r="H57" i="3"/>
  <c r="M182" i="3"/>
  <c r="H182" i="3"/>
  <c r="M181" i="3"/>
  <c r="H181" i="3"/>
  <c r="M180" i="3"/>
  <c r="H180" i="3"/>
  <c r="M193" i="3"/>
  <c r="H193" i="3"/>
  <c r="M192" i="3"/>
  <c r="G192" i="3"/>
  <c r="M155" i="3"/>
  <c r="H155" i="3"/>
  <c r="H241" i="3"/>
  <c r="M179" i="3"/>
  <c r="H179" i="3"/>
  <c r="M141" i="3"/>
  <c r="H141" i="3"/>
  <c r="M178" i="3"/>
  <c r="H178" i="3"/>
  <c r="H240" i="3"/>
  <c r="M177" i="3"/>
  <c r="H177" i="3"/>
  <c r="M140" i="3"/>
  <c r="H140" i="3"/>
  <c r="K176" i="3"/>
  <c r="H176" i="3"/>
  <c r="G239" i="3"/>
  <c r="K136" i="3"/>
  <c r="F136" i="3"/>
  <c r="G238" i="3"/>
  <c r="F238" i="3"/>
  <c r="M56" i="3"/>
  <c r="G56" i="3"/>
  <c r="M191" i="3"/>
  <c r="G191" i="3"/>
  <c r="H237" i="3"/>
  <c r="M175" i="3"/>
  <c r="H175" i="3"/>
  <c r="M42" i="3"/>
  <c r="G42" i="3"/>
  <c r="F42" i="3"/>
  <c r="H236" i="3"/>
  <c r="M40" i="3"/>
  <c r="G40" i="3"/>
  <c r="M39" i="3"/>
  <c r="G39" i="3"/>
  <c r="H235" i="3"/>
  <c r="H234" i="3"/>
  <c r="M154" i="3"/>
  <c r="G154" i="3"/>
  <c r="M174" i="3"/>
  <c r="H174" i="3"/>
  <c r="G233" i="3"/>
  <c r="M173" i="3"/>
  <c r="H173" i="3"/>
  <c r="M139" i="3"/>
  <c r="H139" i="3"/>
  <c r="M172" i="3"/>
  <c r="H172" i="3"/>
  <c r="H232" i="3"/>
  <c r="F231" i="3"/>
  <c r="H230" i="3"/>
  <c r="H229" i="3"/>
  <c r="G228" i="3"/>
  <c r="H227" i="3"/>
  <c r="H226" i="3"/>
  <c r="M153" i="3"/>
  <c r="G153" i="3"/>
  <c r="M152" i="3"/>
  <c r="G152" i="3"/>
  <c r="H225" i="3"/>
  <c r="M217" i="3"/>
  <c r="H217" i="3"/>
  <c r="H224" i="3"/>
  <c r="H223" i="3"/>
  <c r="M171" i="3"/>
  <c r="H171" i="3"/>
  <c r="G222" i="3"/>
  <c r="F222" i="3"/>
  <c r="H221" i="3"/>
  <c r="G220" i="3"/>
  <c r="G219" i="3"/>
  <c r="H218" i="3" s="1"/>
  <c r="G218" i="3"/>
  <c r="H196" i="3" l="1"/>
  <c r="H238" i="3"/>
  <c r="H136" i="3"/>
  <c r="H41" i="3"/>
  <c r="H158" i="3"/>
  <c r="H40" i="3"/>
  <c r="H42" i="3"/>
  <c r="H219" i="3"/>
  <c r="H56" i="3"/>
  <c r="H228" i="3"/>
  <c r="H222" i="3"/>
  <c r="H192" i="3"/>
  <c r="H8" i="3"/>
  <c r="H239" i="3"/>
  <c r="M195" i="3"/>
  <c r="H154" i="3"/>
  <c r="M158" i="3"/>
  <c r="H220" i="3"/>
  <c r="H152" i="3"/>
  <c r="M8" i="3"/>
  <c r="H39" i="3"/>
  <c r="H231" i="3"/>
  <c r="H233" i="3"/>
  <c r="H70" i="3"/>
  <c r="H191" i="3"/>
  <c r="H153" i="3"/>
  <c r="H43" i="3"/>
  <c r="M176" i="3"/>
  <c r="M136" i="3"/>
  <c r="K15" i="3"/>
  <c r="M15" i="3" s="1"/>
</calcChain>
</file>

<file path=xl/sharedStrings.xml><?xml version="1.0" encoding="utf-8"?>
<sst xmlns="http://schemas.openxmlformats.org/spreadsheetml/2006/main" count="8290" uniqueCount="585">
  <si>
    <t>日期</t>
  </si>
  <si>
    <t>客户</t>
  </si>
  <si>
    <t>品名</t>
  </si>
  <si>
    <t>料号</t>
  </si>
  <si>
    <t>760.09C04.0001</t>
  </si>
  <si>
    <t>报废数量</t>
  </si>
  <si>
    <t>报废</t>
    <phoneticPr fontId="5" type="noConversion"/>
  </si>
  <si>
    <t>纬创</t>
    <phoneticPr fontId="5" type="noConversion"/>
  </si>
  <si>
    <t>退2楼拆包布件</t>
    <phoneticPr fontId="5" type="noConversion"/>
  </si>
  <si>
    <t>P3424 后壳</t>
    <phoneticPr fontId="5" type="noConversion"/>
  </si>
  <si>
    <t>2BB-V23W-4M07RA</t>
    <phoneticPr fontId="5" type="noConversion"/>
  </si>
  <si>
    <t>24寸黑色后壳</t>
    <phoneticPr fontId="5" type="noConversion"/>
  </si>
  <si>
    <t>760.09804.0001</t>
  </si>
  <si>
    <t>760.0AK01.0001</t>
  </si>
  <si>
    <t>760.0AK02.0001</t>
  </si>
  <si>
    <t>760.0CB04.0001</t>
  </si>
  <si>
    <t>760.0CB03.0001</t>
  </si>
  <si>
    <t>742.0CB08.0001</t>
  </si>
  <si>
    <t>760.09C01.0001</t>
  </si>
  <si>
    <t>700-124120-01</t>
  </si>
  <si>
    <t>760.0AY02.0001</t>
  </si>
  <si>
    <t>760.0C702.0001</t>
  </si>
  <si>
    <t>760.0AZ02.0001</t>
  </si>
  <si>
    <t>760.0C701.0001</t>
  </si>
  <si>
    <t>24寸黑色前框</t>
    <phoneticPr fontId="5" type="noConversion"/>
  </si>
  <si>
    <t>700-124008-01</t>
  </si>
  <si>
    <t>700-126777-01</t>
  </si>
  <si>
    <t>760.09802.0001</t>
  </si>
  <si>
    <r>
      <t xml:space="preserve">Helix 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3"/>
        <charset val="134"/>
        <scheme val="minor"/>
      </rPr>
      <t>5后壳+喷漆</t>
    </r>
    <phoneticPr fontId="5" type="noConversion"/>
  </si>
  <si>
    <t>Helix 75小件</t>
    <phoneticPr fontId="5" type="noConversion"/>
  </si>
  <si>
    <t>Helix 75支架</t>
    <phoneticPr fontId="5" type="noConversion"/>
  </si>
  <si>
    <t>Helix 75支架</t>
    <phoneticPr fontId="5" type="noConversion"/>
  </si>
  <si>
    <t>Helix 75支架</t>
    <phoneticPr fontId="5" type="noConversion"/>
  </si>
  <si>
    <t>Helix 75小件</t>
    <phoneticPr fontId="5" type="noConversion"/>
  </si>
  <si>
    <t>Helix 55后壳+喷漆</t>
    <phoneticPr fontId="5" type="noConversion"/>
  </si>
  <si>
    <t>P3424 装饰件+喷漆</t>
    <phoneticPr fontId="5" type="noConversion"/>
  </si>
  <si>
    <t>P3225 后壳</t>
    <phoneticPr fontId="5" type="noConversion"/>
  </si>
  <si>
    <t>U4025 后壳+喷漆</t>
    <phoneticPr fontId="5" type="noConversion"/>
  </si>
  <si>
    <t>700-122622-01</t>
  </si>
  <si>
    <t>742.0AZ0B.0001</t>
  </si>
  <si>
    <t>742.0AK09.0001</t>
  </si>
  <si>
    <t>760.09C03.0001</t>
  </si>
  <si>
    <t>760.0CC03.0001</t>
  </si>
  <si>
    <t>742.0AK08.0001</t>
  </si>
  <si>
    <t>P3225 DE IO盖</t>
    <phoneticPr fontId="5" type="noConversion"/>
  </si>
  <si>
    <t>U3224 装饰件+喷漆</t>
    <phoneticPr fontId="5" type="noConversion"/>
  </si>
  <si>
    <t>U3224 后壳+喷漆</t>
    <phoneticPr fontId="5" type="noConversion"/>
  </si>
  <si>
    <t>U5226 后壳+喷漆</t>
    <phoneticPr fontId="5" type="noConversion"/>
  </si>
  <si>
    <t>P3225 QE IO盖</t>
    <phoneticPr fontId="5" type="noConversion"/>
  </si>
  <si>
    <t>Helix  55小件</t>
    <phoneticPr fontId="5" type="noConversion"/>
  </si>
  <si>
    <t>Helix 55饰条</t>
    <phoneticPr fontId="5" type="noConversion"/>
  </si>
  <si>
    <t>Helix  75小件+喷漆</t>
    <phoneticPr fontId="5" type="noConversion"/>
  </si>
  <si>
    <t>Helix 55后壳+喷漆</t>
    <phoneticPr fontId="5" type="noConversion"/>
  </si>
  <si>
    <t>P7525 后壳+喷漆</t>
    <phoneticPr fontId="5" type="noConversion"/>
  </si>
  <si>
    <t>P7525 前框+喷漆</t>
    <phoneticPr fontId="5" type="noConversion"/>
  </si>
  <si>
    <t>U3224 小件</t>
    <phoneticPr fontId="5" type="noConversion"/>
  </si>
  <si>
    <t>U3224 中框+包布件</t>
    <phoneticPr fontId="5" type="noConversion"/>
  </si>
  <si>
    <t>U4025 IO 盖</t>
    <phoneticPr fontId="5" type="noConversion"/>
  </si>
  <si>
    <t>P3424 后壳</t>
    <phoneticPr fontId="5" type="noConversion"/>
  </si>
  <si>
    <t>P3424 中框+包布件</t>
    <phoneticPr fontId="5" type="noConversion"/>
  </si>
  <si>
    <r>
      <t>P</t>
    </r>
    <r>
      <rPr>
        <sz val="11"/>
        <color theme="1"/>
        <rFont val="宋体"/>
        <family val="3"/>
        <charset val="134"/>
        <scheme val="minor"/>
      </rPr>
      <t>3225 后壳</t>
    </r>
    <phoneticPr fontId="5" type="noConversion"/>
  </si>
  <si>
    <r>
      <t>P</t>
    </r>
    <r>
      <rPr>
        <sz val="11"/>
        <color theme="1"/>
        <rFont val="宋体"/>
        <family val="3"/>
        <charset val="134"/>
        <scheme val="minor"/>
      </rPr>
      <t>3225 QE中框</t>
    </r>
    <phoneticPr fontId="5" type="noConversion"/>
  </si>
  <si>
    <t>U4025 中框</t>
    <phoneticPr fontId="5" type="noConversion"/>
  </si>
  <si>
    <t>U4025 后壳+喷漆</t>
    <phoneticPr fontId="5" type="noConversion"/>
  </si>
  <si>
    <t>U4025 USB盖</t>
    <phoneticPr fontId="5" type="noConversion"/>
  </si>
  <si>
    <t>P3424 装饰件+喷漆</t>
    <phoneticPr fontId="5" type="noConversion"/>
  </si>
  <si>
    <t>成铭</t>
    <phoneticPr fontId="9" type="noConversion"/>
  </si>
  <si>
    <t>24寸黑色后壳</t>
    <phoneticPr fontId="9" type="noConversion"/>
  </si>
  <si>
    <t>表面亮印打磨</t>
    <phoneticPr fontId="9" type="noConversion"/>
  </si>
  <si>
    <t>P3225 DE 中框</t>
    <phoneticPr fontId="5" type="noConversion"/>
  </si>
  <si>
    <t>表面亮印打磨</t>
    <phoneticPr fontId="9" type="noConversion"/>
  </si>
  <si>
    <t>24寸白色前框</t>
    <phoneticPr fontId="9" type="noConversion"/>
  </si>
  <si>
    <t>760.0AZ06.0001</t>
    <phoneticPr fontId="5" type="noConversion"/>
  </si>
  <si>
    <t>毛丝</t>
    <phoneticPr fontId="9" type="noConversion"/>
  </si>
  <si>
    <t>毛丝</t>
    <phoneticPr fontId="9" type="noConversion"/>
  </si>
  <si>
    <t>毛丝+表面亮印打磨</t>
    <phoneticPr fontId="9" type="noConversion"/>
  </si>
  <si>
    <t>纬创</t>
    <phoneticPr fontId="9" type="noConversion"/>
  </si>
  <si>
    <r>
      <t>2</t>
    </r>
    <r>
      <rPr>
        <sz val="12"/>
        <rFont val="宋体"/>
        <family val="3"/>
        <charset val="134"/>
      </rPr>
      <t>4寸黑色后壳</t>
    </r>
    <phoneticPr fontId="9" type="noConversion"/>
  </si>
  <si>
    <t>表面亮印打磨</t>
    <phoneticPr fontId="9" type="noConversion"/>
  </si>
  <si>
    <t>24寸白色前框</t>
    <phoneticPr fontId="5" type="noConversion"/>
  </si>
  <si>
    <t>24寸黑色前框</t>
    <phoneticPr fontId="5" type="noConversion"/>
  </si>
  <si>
    <t>2BD-V23W-4M01RA</t>
    <phoneticPr fontId="5" type="noConversion"/>
  </si>
  <si>
    <t>742.0AY03.0001</t>
    <phoneticPr fontId="5" type="noConversion"/>
  </si>
  <si>
    <t>760.0AY02.0001</t>
    <phoneticPr fontId="5" type="noConversion"/>
  </si>
  <si>
    <t>760.0AZ02.0001</t>
    <phoneticPr fontId="5" type="noConversion"/>
  </si>
  <si>
    <t>Helix 75侧盖+喷漆</t>
    <phoneticPr fontId="5" type="noConversion"/>
  </si>
  <si>
    <t>Helix 75支架+喷漆</t>
    <phoneticPr fontId="5" type="noConversion"/>
  </si>
  <si>
    <t>P3225  摇杆按键</t>
    <phoneticPr fontId="5" type="noConversion"/>
  </si>
  <si>
    <r>
      <t>24寸黑色后壳</t>
    </r>
    <r>
      <rPr>
        <sz val="12"/>
        <rFont val="宋体"/>
        <family val="3"/>
        <charset val="134"/>
      </rPr>
      <t/>
    </r>
  </si>
  <si>
    <t>700-122611-01-B0</t>
    <phoneticPr fontId="5" type="noConversion"/>
  </si>
  <si>
    <t>700-122612-01-B0</t>
    <phoneticPr fontId="5" type="noConversion"/>
  </si>
  <si>
    <t>700-122621-01</t>
    <phoneticPr fontId="5" type="noConversion"/>
  </si>
  <si>
    <t>700-123751-01</t>
    <phoneticPr fontId="5" type="noConversion"/>
  </si>
  <si>
    <t>700-124121-01-E0</t>
    <phoneticPr fontId="5" type="noConversion"/>
  </si>
  <si>
    <t>742.0980F.0001</t>
    <phoneticPr fontId="5" type="noConversion"/>
  </si>
  <si>
    <t>742.0980G.0001</t>
    <phoneticPr fontId="5" type="noConversion"/>
  </si>
  <si>
    <t>742.0AK08.0001</t>
    <phoneticPr fontId="5" type="noConversion"/>
  </si>
  <si>
    <t>742.0AK09.0001</t>
    <phoneticPr fontId="5" type="noConversion"/>
  </si>
  <si>
    <t>742.0CB07.0001</t>
    <phoneticPr fontId="5" type="noConversion"/>
  </si>
  <si>
    <t>742.0CC02.0001</t>
    <phoneticPr fontId="5" type="noConversion"/>
  </si>
  <si>
    <t>760.09C01.0001</t>
    <phoneticPr fontId="5" type="noConversion"/>
  </si>
  <si>
    <t>760.0AK01.0001</t>
    <phoneticPr fontId="5" type="noConversion"/>
  </si>
  <si>
    <t>760.0CB03.0001</t>
    <phoneticPr fontId="5" type="noConversion"/>
  </si>
  <si>
    <t>760.OAK01.0001</t>
    <phoneticPr fontId="5" type="noConversion"/>
  </si>
  <si>
    <t>单价</t>
    <phoneticPr fontId="5" type="noConversion"/>
  </si>
  <si>
    <t>金额</t>
    <phoneticPr fontId="5" type="noConversion"/>
  </si>
  <si>
    <t>人力</t>
    <phoneticPr fontId="5" type="noConversion"/>
  </si>
  <si>
    <t>时长</t>
    <phoneticPr fontId="5" type="noConversion"/>
  </si>
  <si>
    <t>工时</t>
    <phoneticPr fontId="5" type="noConversion"/>
  </si>
  <si>
    <t>不良率</t>
    <phoneticPr fontId="9" type="noConversion"/>
  </si>
  <si>
    <t>底座事业部</t>
    <phoneticPr fontId="5" type="noConversion"/>
  </si>
  <si>
    <t>SWIVEL 上盖</t>
    <phoneticPr fontId="5" type="noConversion"/>
  </si>
  <si>
    <t>2411-020-00120</t>
    <phoneticPr fontId="5" type="noConversion"/>
  </si>
  <si>
    <t>AB</t>
    <phoneticPr fontId="5" type="noConversion"/>
  </si>
  <si>
    <t>批锋</t>
    <phoneticPr fontId="5" type="noConversion"/>
  </si>
  <si>
    <t>P3225中框</t>
    <phoneticPr fontId="5" type="noConversion"/>
  </si>
  <si>
    <t>B</t>
    <phoneticPr fontId="5" type="noConversion"/>
  </si>
  <si>
    <t>导光柱处长批锋</t>
    <phoneticPr fontId="5" type="noConversion"/>
  </si>
  <si>
    <t>A</t>
    <phoneticPr fontId="5" type="noConversion"/>
  </si>
  <si>
    <t>天侧两边长批锋</t>
    <phoneticPr fontId="5" type="noConversion"/>
  </si>
  <si>
    <t>底座上盖</t>
    <phoneticPr fontId="5" type="noConversion"/>
  </si>
  <si>
    <t>1811-020-00010</t>
    <phoneticPr fontId="5" type="noConversion"/>
  </si>
  <si>
    <t>2311-020-00120</t>
    <phoneticPr fontId="5" type="noConversion"/>
  </si>
  <si>
    <t>760.09803.0001</t>
    <phoneticPr fontId="5" type="noConversion"/>
  </si>
  <si>
    <t>760.09C03.0001</t>
    <phoneticPr fontId="5" type="noConversion"/>
  </si>
  <si>
    <t>退冠晶</t>
    <phoneticPr fontId="12" type="noConversion"/>
  </si>
  <si>
    <t>康冠</t>
    <phoneticPr fontId="12" type="noConversion"/>
  </si>
  <si>
    <t>7002-W25SXC-XW000034</t>
    <phoneticPr fontId="12" type="noConversion"/>
  </si>
  <si>
    <t>报废</t>
    <phoneticPr fontId="12" type="noConversion"/>
  </si>
  <si>
    <t>2709后壳</t>
    <phoneticPr fontId="12" type="noConversion"/>
  </si>
  <si>
    <t>7002-W2709S-XW000174</t>
    <phoneticPr fontId="12" type="noConversion"/>
  </si>
  <si>
    <t>2712后壳白色喷油</t>
    <phoneticPr fontId="12" type="noConversion"/>
  </si>
  <si>
    <t>7002-W2712R-XW0000G4</t>
    <phoneticPr fontId="12" type="noConversion"/>
  </si>
  <si>
    <t>25SXC后壳</t>
    <phoneticPr fontId="12" type="noConversion"/>
  </si>
  <si>
    <t>7002-W25SXC-XW000044</t>
    <phoneticPr fontId="12" type="noConversion"/>
  </si>
  <si>
    <t>27A35后壳</t>
    <phoneticPr fontId="12" type="noConversion"/>
  </si>
  <si>
    <t>75后壳</t>
    <phoneticPr fontId="12" type="noConversion"/>
  </si>
  <si>
    <t>7002-75W82B-XW000004</t>
    <phoneticPr fontId="12" type="noConversion"/>
  </si>
  <si>
    <t>257S后壳</t>
    <phoneticPr fontId="12" type="noConversion"/>
  </si>
  <si>
    <t>7002-257SVC-XW000024</t>
    <phoneticPr fontId="12" type="noConversion"/>
  </si>
  <si>
    <t>2427后壳</t>
    <phoneticPr fontId="12" type="noConversion"/>
  </si>
  <si>
    <t>7002-W2427S-XW000004</t>
    <phoneticPr fontId="12" type="noConversion"/>
  </si>
  <si>
    <t>7001-245T51-X0000014</t>
    <phoneticPr fontId="12" type="noConversion"/>
  </si>
  <si>
    <t>27L6装饰件</t>
    <phoneticPr fontId="12" type="noConversion"/>
  </si>
  <si>
    <t>248S后壳</t>
    <phoneticPr fontId="12" type="noConversion"/>
  </si>
  <si>
    <t>7002-248SVC-XW000034</t>
    <phoneticPr fontId="12" type="noConversion"/>
  </si>
  <si>
    <t>2712后壳</t>
    <phoneticPr fontId="12" type="noConversion"/>
  </si>
  <si>
    <t>32L9装饰件</t>
    <phoneticPr fontId="12" type="noConversion"/>
  </si>
  <si>
    <t>50J中框</t>
    <phoneticPr fontId="12" type="noConversion"/>
  </si>
  <si>
    <t>70Z1-K50DJ1-XL000011</t>
    <phoneticPr fontId="12" type="noConversion"/>
  </si>
  <si>
    <t>27AS后壳</t>
    <phoneticPr fontId="12" type="noConversion"/>
  </si>
  <si>
    <t>7002-27ASVQ-XW000004</t>
    <phoneticPr fontId="12" type="noConversion"/>
  </si>
  <si>
    <t>49B97K后壳</t>
    <phoneticPr fontId="12" type="noConversion"/>
  </si>
  <si>
    <t>55B97K后壳</t>
    <phoneticPr fontId="12" type="noConversion"/>
  </si>
  <si>
    <t>27A35F后壳</t>
    <phoneticPr fontId="12" type="noConversion"/>
  </si>
  <si>
    <t>7002-27A35F-XW000001</t>
    <phoneticPr fontId="12" type="noConversion"/>
  </si>
  <si>
    <t>27A35U后壳</t>
    <phoneticPr fontId="12" type="noConversion"/>
  </si>
  <si>
    <t>7002-27A35U-XW0000021</t>
    <phoneticPr fontId="12" type="noConversion"/>
  </si>
  <si>
    <t>USB装饰件</t>
    <phoneticPr fontId="12" type="noConversion"/>
  </si>
  <si>
    <t>7016-27A35U-X0000021</t>
    <phoneticPr fontId="12" type="noConversion"/>
  </si>
  <si>
    <t>2428后壳</t>
    <phoneticPr fontId="12" type="noConversion"/>
  </si>
  <si>
    <t>7002-W2428S-XW000014</t>
    <phoneticPr fontId="12" type="noConversion"/>
  </si>
  <si>
    <t>24D1后壳</t>
    <phoneticPr fontId="12" type="noConversion"/>
  </si>
  <si>
    <t>24H后壳盖板左/右</t>
    <phoneticPr fontId="12" type="noConversion"/>
  </si>
  <si>
    <t>7011-240H32-X0000004</t>
    <phoneticPr fontId="12" type="noConversion"/>
  </si>
  <si>
    <t>2713后壳</t>
    <phoneticPr fontId="12" type="noConversion"/>
  </si>
  <si>
    <t>55B97K前框</t>
    <phoneticPr fontId="12" type="noConversion"/>
  </si>
  <si>
    <t>245T51中框</t>
    <phoneticPr fontId="12" type="noConversion"/>
  </si>
  <si>
    <t>50J中框-左</t>
    <phoneticPr fontId="12" type="noConversion"/>
  </si>
  <si>
    <t>50J中框-右</t>
    <phoneticPr fontId="12" type="noConversion"/>
  </si>
  <si>
    <t>50J中框-D</t>
    <phoneticPr fontId="12" type="noConversion"/>
  </si>
  <si>
    <t>760.0AY02.0001</t>
    <phoneticPr fontId="5" type="noConversion"/>
  </si>
  <si>
    <t>742.0AZ0B.0001</t>
    <phoneticPr fontId="5" type="noConversion"/>
  </si>
  <si>
    <t>760.09802.0001</t>
    <phoneticPr fontId="5" type="noConversion"/>
  </si>
  <si>
    <t>760.09804.0001</t>
    <phoneticPr fontId="5" type="noConversion"/>
  </si>
  <si>
    <t>760.09C04.0001</t>
    <phoneticPr fontId="5" type="noConversion"/>
  </si>
  <si>
    <t>760.0AK02.0001</t>
    <phoneticPr fontId="5" type="noConversion"/>
  </si>
  <si>
    <t>760.0AZ02.0001</t>
    <phoneticPr fontId="5" type="noConversion"/>
  </si>
  <si>
    <t>760.0C701.0001</t>
    <phoneticPr fontId="5" type="noConversion"/>
  </si>
  <si>
    <t>760.0C702.0001</t>
    <phoneticPr fontId="5" type="noConversion"/>
  </si>
  <si>
    <t>760.0CS02.0001</t>
    <phoneticPr fontId="5" type="noConversion"/>
  </si>
  <si>
    <t>7002-27A35U-XW000031</t>
    <phoneticPr fontId="12" type="noConversion"/>
  </si>
  <si>
    <t>7002-W2427S-XW000004</t>
    <phoneticPr fontId="12" type="noConversion"/>
  </si>
  <si>
    <t>7002-W25SXC-XW000044</t>
    <phoneticPr fontId="12" type="noConversion"/>
  </si>
  <si>
    <t>7009-K27WL6-X0000004</t>
    <phoneticPr fontId="12" type="noConversion"/>
  </si>
  <si>
    <t>70Z1-K50DJ1-XR000011</t>
    <phoneticPr fontId="12" type="noConversion"/>
  </si>
  <si>
    <t xml:space="preserve"> 处理方式</t>
    <phoneticPr fontId="5" type="noConversion"/>
  </si>
  <si>
    <t>后壳M27P2U ABS HB 2.2T喷小米黑 蚀纹丝印HP+I/O</t>
  </si>
  <si>
    <t>101.004.11312</t>
    <phoneticPr fontId="16" type="noConversion"/>
  </si>
  <si>
    <t>后壳49E9R PC+ABS 94VO 喷漆黑色 RJ45通孔模具编码P49E9002 素材料号101.004.14731</t>
  </si>
  <si>
    <t>101.004.15341</t>
    <phoneticPr fontId="16" type="noConversion"/>
  </si>
  <si>
    <t>前框 32A6V ABS HB哑光细蚀纹 喷锖色带电源按键和功能按键</t>
  </si>
  <si>
    <t>前框45E3 PC+ABS 黑色注塑蚀纹 无前置按键 丝印INNOCN</t>
  </si>
  <si>
    <t>101.001.05341</t>
    <phoneticPr fontId="16" type="noConversion"/>
  </si>
  <si>
    <t>前框/45E3/PC+ABS/黑色注塑/蚀纹/有前置按键/丝印PRISM+</t>
  </si>
  <si>
    <t>101.001.05961</t>
    <phoneticPr fontId="16" type="noConversion"/>
  </si>
  <si>
    <t>前框 49E9 PC+ABS 黑色蚀纹 丝印KOGAN</t>
  </si>
  <si>
    <t>前框32A6 ABS HB白色细纹 喷锖色 无遥控丝印泰坦+按键符号素材料号：101.001.03451</t>
  </si>
  <si>
    <t>101.001.06281</t>
    <phoneticPr fontId="16" type="noConversion"/>
  </si>
  <si>
    <t>后壳40B2 ABSHB黑色蚀纹注塑 V2模具编码P40B2001</t>
  </si>
  <si>
    <t>101.004.10073</t>
    <phoneticPr fontId="16" type="noConversion"/>
  </si>
  <si>
    <t>后壳 M27W2V ABS HB 2.3T BLACK 蚀纹高光</t>
  </si>
  <si>
    <t>101.004.12131</t>
    <phoneticPr fontId="16" type="noConversion"/>
  </si>
  <si>
    <t>后盖 32A6V ABS HB哑光细蚀纹 喷锖色 丝印泰坦</t>
  </si>
  <si>
    <t>101.004.12201</t>
    <phoneticPr fontId="16" type="noConversion"/>
  </si>
  <si>
    <t>后壳　45E3 ABS 黑色注塑蚀纹</t>
  </si>
  <si>
    <t>101.004.12291</t>
    <phoneticPr fontId="16" type="noConversion"/>
  </si>
  <si>
    <t>后壳45E3 ABS HB 黑色注塑蚀纹 带摄像头</t>
  </si>
  <si>
    <t>101.004.12781</t>
    <phoneticPr fontId="16" type="noConversion"/>
  </si>
  <si>
    <t>后壳49E9R PC+ABS VO喷漆灰白色 RJ45通孔模具编码P49E9002 素材料号101.004.14731</t>
  </si>
  <si>
    <t>101.004.14741</t>
    <phoneticPr fontId="16" type="noConversion"/>
  </si>
  <si>
    <t>后壳49E9R PC+ABS VO 喷漆灰白色 RJ45通孔丝印TEROS 模具编码P49E9002 素材料号101.004.14731</t>
  </si>
  <si>
    <t>101.004.16281</t>
    <phoneticPr fontId="16" type="noConversion"/>
  </si>
  <si>
    <t>39S1 IR导光件 PC茶黑色半透明高光注塑</t>
  </si>
  <si>
    <t>101.010.00371</t>
    <phoneticPr fontId="16" type="noConversion"/>
  </si>
  <si>
    <t>前框 32A6U ABS HB哑光细蚀纹 喷银色 无遥控 丝印INNOCN</t>
  </si>
  <si>
    <t>101.001.03961</t>
    <phoneticPr fontId="16" type="noConversion"/>
  </si>
  <si>
    <t>前框49E9 PC+ABS HB黑色蚀纹 丝印INNOCN</t>
  </si>
  <si>
    <t>101.001.05431</t>
    <phoneticPr fontId="16" type="noConversion"/>
  </si>
  <si>
    <t>中框 H3C/PC+ABS/黑色细纹注塑/地侧减胶</t>
  </si>
  <si>
    <t>101.002.03711</t>
    <phoneticPr fontId="16" type="noConversion"/>
  </si>
  <si>
    <t>中框25Ｈ2-25Ｍ2 PC 配6COF黑色</t>
  </si>
  <si>
    <t>后壳H3C ABS HB 黑色蚀纹带电镀红色装饰圈出货 V2 (素材A款)</t>
  </si>
  <si>
    <t>101.004.02532</t>
    <phoneticPr fontId="16" type="noConversion"/>
  </si>
  <si>
    <t>后盖 32A6U ABS HB哑光细蚀纹 喷银色</t>
  </si>
  <si>
    <t>101.004.12261</t>
    <phoneticPr fontId="16" type="noConversion"/>
  </si>
  <si>
    <t>下装饰条27H2 ABS黑色无灯效 4&amp;6COF 丝印Feuvision 素材料号101.005.13041，模号编码P27H2010</t>
  </si>
  <si>
    <t>101.005.16541</t>
    <phoneticPr fontId="16" type="noConversion"/>
  </si>
  <si>
    <t>中框 32A6V PC+10%GF 黑色</t>
  </si>
  <si>
    <t>中框 45E3 PC+GF10%黑色</t>
  </si>
  <si>
    <t>前框 34E9 PC+ABS HB黑色细纹注塑 丝印PRISM+</t>
  </si>
  <si>
    <t>前框25M2-25H2 ABS HB黑色8COF 丝印INNO 素材料号101.001.04551模具编码P25M2001</t>
  </si>
  <si>
    <t>101.001.06571</t>
    <phoneticPr fontId="16" type="noConversion"/>
  </si>
  <si>
    <t>U4323QE_USB_BC,PCR 30% PC+ABS,94-VO or more WAM NC30黑色蚀纹MT-11015,热压1个M3螺母</t>
  </si>
  <si>
    <t>742.08M07.0001</t>
    <phoneticPr fontId="16" type="noConversion"/>
  </si>
  <si>
    <t>底座上盖 ABS UNCI UR-7085（R90）/T22305，325*265*25.6mm喷金属漆8401C GJ23C004</t>
  </si>
  <si>
    <t>32底座盖</t>
  </si>
  <si>
    <t>底座上盖</t>
  </si>
  <si>
    <t>1811-020-00010</t>
    <phoneticPr fontId="16" type="noConversion"/>
  </si>
  <si>
    <t>底座下盖</t>
  </si>
  <si>
    <t>支架前盖</t>
  </si>
  <si>
    <t>1811-020-00031</t>
    <phoneticPr fontId="16" type="noConversion"/>
  </si>
  <si>
    <t>支架后盖</t>
  </si>
  <si>
    <t>1811-020-00041</t>
    <phoneticPr fontId="16" type="noConversion"/>
  </si>
  <si>
    <t>VESA 后盖  Unic UR-3006 黑色蚀纹</t>
  </si>
  <si>
    <t>Pivot圆盖 Unic UR-3006 黑色蚀纹</t>
  </si>
  <si>
    <t>1811-020-00160</t>
    <phoneticPr fontId="16" type="noConversion"/>
  </si>
  <si>
    <t>枢纽外盖 Unic UR-3006 黑色蚀纹</t>
  </si>
  <si>
    <t>表面亮印、划伤 、刮伤</t>
    <phoneticPr fontId="5" type="noConversion"/>
  </si>
  <si>
    <t>打磨</t>
    <phoneticPr fontId="5" type="noConversion"/>
  </si>
  <si>
    <t>客退</t>
    <phoneticPr fontId="5" type="noConversion"/>
  </si>
  <si>
    <t>P3225 QE中框</t>
    <phoneticPr fontId="5" type="noConversion"/>
  </si>
  <si>
    <t>客户端</t>
    <phoneticPr fontId="9" type="noConversion"/>
  </si>
  <si>
    <t>日期</t>
    <phoneticPr fontId="17" type="noConversion"/>
  </si>
  <si>
    <t>品名</t>
    <phoneticPr fontId="17" type="noConversion"/>
  </si>
  <si>
    <t>生产数量</t>
    <phoneticPr fontId="17" type="noConversion"/>
  </si>
  <si>
    <t>不良数量</t>
    <phoneticPr fontId="17" type="noConversion"/>
  </si>
  <si>
    <t>不良率</t>
    <phoneticPr fontId="17" type="noConversion"/>
  </si>
  <si>
    <t>不良原因</t>
    <phoneticPr fontId="17" type="noConversion"/>
  </si>
  <si>
    <t>不良处理方式</t>
    <phoneticPr fontId="17" type="noConversion"/>
  </si>
  <si>
    <t>报废数量</t>
    <phoneticPr fontId="17" type="noConversion"/>
  </si>
  <si>
    <t>丝印不良</t>
    <phoneticPr fontId="17" type="noConversion"/>
  </si>
  <si>
    <t>报废</t>
    <phoneticPr fontId="17" type="noConversion"/>
  </si>
  <si>
    <t>碰伤、黑点</t>
    <phoneticPr fontId="17" type="noConversion"/>
  </si>
  <si>
    <t>全检-毛丝异物、断裂</t>
    <phoneticPr fontId="17" type="noConversion"/>
  </si>
  <si>
    <t>丝印</t>
    <phoneticPr fontId="12" type="noConversion"/>
  </si>
  <si>
    <t>纬创</t>
    <phoneticPr fontId="12" type="noConversion"/>
  </si>
  <si>
    <t>P3225 IO盖</t>
    <phoneticPr fontId="12" type="noConversion"/>
  </si>
  <si>
    <t>打螺母</t>
    <phoneticPr fontId="12" type="noConversion"/>
  </si>
  <si>
    <t>P3225后壳</t>
    <phoneticPr fontId="12" type="noConversion"/>
  </si>
  <si>
    <t>把手</t>
    <phoneticPr fontId="12" type="noConversion"/>
  </si>
  <si>
    <t>P7525后壳</t>
    <phoneticPr fontId="12" type="noConversion"/>
  </si>
  <si>
    <t>UIB后壳</t>
    <phoneticPr fontId="12" type="noConversion"/>
  </si>
  <si>
    <t>UIB前框</t>
    <phoneticPr fontId="12" type="noConversion"/>
  </si>
  <si>
    <t>丝印不良</t>
    <phoneticPr fontId="12" type="noConversion"/>
  </si>
  <si>
    <t>削伤、刮伤</t>
    <phoneticPr fontId="17" type="noConversion"/>
  </si>
  <si>
    <t>素材</t>
    <phoneticPr fontId="12" type="noConversion"/>
  </si>
  <si>
    <t>退货</t>
    <phoneticPr fontId="12" type="noConversion"/>
  </si>
  <si>
    <t>刮伤</t>
  </si>
  <si>
    <t>刮伤</t>
    <phoneticPr fontId="12" type="noConversion"/>
  </si>
  <si>
    <t>P3424后壳</t>
    <phoneticPr fontId="12" type="noConversion"/>
  </si>
  <si>
    <t>55寸后壳</t>
    <phoneticPr fontId="12" type="noConversion"/>
  </si>
  <si>
    <t>27A35底座下盖</t>
    <phoneticPr fontId="12" type="noConversion"/>
  </si>
  <si>
    <t>U4025中框</t>
    <phoneticPr fontId="12" type="noConversion"/>
  </si>
  <si>
    <t>32寸中框</t>
    <phoneticPr fontId="12" type="noConversion"/>
  </si>
  <si>
    <t>UIB音量键</t>
    <phoneticPr fontId="12" type="noConversion"/>
  </si>
  <si>
    <t>P7525前框</t>
    <phoneticPr fontId="12" type="noConversion"/>
  </si>
  <si>
    <t>喷漆</t>
    <phoneticPr fontId="12" type="noConversion"/>
  </si>
  <si>
    <t>刮伤、断扣</t>
    <phoneticPr fontId="17" type="noConversion"/>
  </si>
  <si>
    <t>喷漆不良</t>
    <phoneticPr fontId="12" type="noConversion"/>
  </si>
  <si>
    <t>刮伤、气纹印</t>
    <phoneticPr fontId="17" type="noConversion"/>
  </si>
  <si>
    <t>P3225中框</t>
    <phoneticPr fontId="12" type="noConversion"/>
  </si>
  <si>
    <t>P3424装饰条</t>
    <phoneticPr fontId="12" type="noConversion"/>
  </si>
  <si>
    <t>75寸后壳</t>
    <phoneticPr fontId="12" type="noConversion"/>
  </si>
  <si>
    <t>UIBA前框</t>
    <phoneticPr fontId="12" type="noConversion"/>
  </si>
  <si>
    <t>变形、刮伤</t>
    <phoneticPr fontId="12" type="noConversion"/>
  </si>
  <si>
    <t>P3424中框</t>
    <phoneticPr fontId="12" type="noConversion"/>
  </si>
  <si>
    <t>UIBA后壳</t>
    <phoneticPr fontId="12" type="noConversion"/>
  </si>
  <si>
    <t>UIBA音量键</t>
    <phoneticPr fontId="12" type="noConversion"/>
  </si>
  <si>
    <t>U4025后壳</t>
    <phoneticPr fontId="12" type="noConversion"/>
  </si>
  <si>
    <t>支架</t>
    <phoneticPr fontId="12" type="noConversion"/>
  </si>
  <si>
    <t>15.6底壳</t>
    <phoneticPr fontId="12" type="noConversion"/>
  </si>
  <si>
    <t>27A35底座上盖</t>
    <phoneticPr fontId="12" type="noConversion"/>
  </si>
  <si>
    <t>P34224装饰条</t>
    <phoneticPr fontId="12" type="noConversion"/>
  </si>
  <si>
    <t>U3224后壳</t>
    <phoneticPr fontId="12" type="noConversion"/>
  </si>
  <si>
    <t xml:space="preserve">P3424中框 </t>
    <phoneticPr fontId="12" type="noConversion"/>
  </si>
  <si>
    <t>34E7前框</t>
    <phoneticPr fontId="12" type="noConversion"/>
  </si>
  <si>
    <t>27A6前框</t>
    <phoneticPr fontId="12" type="noConversion"/>
  </si>
  <si>
    <t>40B2后壳</t>
    <phoneticPr fontId="12" type="noConversion"/>
  </si>
  <si>
    <t>H3C下装饰条</t>
    <phoneticPr fontId="12" type="noConversion"/>
  </si>
  <si>
    <t>27寸中框</t>
    <phoneticPr fontId="12" type="noConversion"/>
  </si>
  <si>
    <t>25M2前框</t>
    <phoneticPr fontId="12" type="noConversion"/>
  </si>
  <si>
    <t>238中框</t>
    <phoneticPr fontId="12" type="noConversion"/>
  </si>
  <si>
    <t>喷漆不良、断扣</t>
    <phoneticPr fontId="12" type="noConversion"/>
  </si>
  <si>
    <t>退货、报废</t>
    <phoneticPr fontId="12" type="noConversion"/>
  </si>
  <si>
    <t>漏螺母/刮伤/丝印不良</t>
    <phoneticPr fontId="12" type="noConversion"/>
  </si>
  <si>
    <t>螺母裂纹变形</t>
    <phoneticPr fontId="12" type="noConversion"/>
  </si>
  <si>
    <t>丝印不良、刮伤</t>
  </si>
  <si>
    <t>变形/裂口</t>
    <phoneticPr fontId="12" type="noConversion"/>
  </si>
  <si>
    <t>丝印不良/刮伤</t>
    <phoneticPr fontId="12" type="noConversion"/>
  </si>
  <si>
    <t>素材</t>
  </si>
  <si>
    <t>报废</t>
    <phoneticPr fontId="12" type="noConversion"/>
  </si>
  <si>
    <t>丝印不良</t>
    <phoneticPr fontId="12" type="noConversion"/>
  </si>
  <si>
    <t>喷漆不良</t>
    <phoneticPr fontId="12" type="noConversion"/>
  </si>
  <si>
    <t>丝印不良、刮伤</t>
    <phoneticPr fontId="12" type="noConversion"/>
  </si>
  <si>
    <t>削伤</t>
    <phoneticPr fontId="12" type="noConversion"/>
  </si>
  <si>
    <t>喷漆</t>
    <phoneticPr fontId="12" type="noConversion"/>
  </si>
  <si>
    <t>25SXC后壳</t>
  </si>
  <si>
    <t>前框 32A6U ABS HB哑光细蚀纹 喷银色 无遥控 丝印INNOCN</t>
    <phoneticPr fontId="5" type="noConversion"/>
  </si>
  <si>
    <t>前框/27H2/PC/黑色/蚀纹/新模具/配4&amp;6COF  OC/S款/V1 (超声波清洗)</t>
    <phoneticPr fontId="5" type="noConversion"/>
  </si>
  <si>
    <t>后壳40B2 ABSHB黑色蚀纹注塑 V2模具编码P40B2001</t>
    <phoneticPr fontId="5" type="noConversion"/>
  </si>
  <si>
    <t>前框25M2-25H2 ABS HB黑色6COF 丝印INNO素材料号101.001.04641 模具编码P25M2001</t>
    <phoneticPr fontId="5" type="noConversion"/>
  </si>
  <si>
    <t>32A6U前框</t>
    <phoneticPr fontId="12" type="noConversion"/>
  </si>
  <si>
    <t>金额</t>
    <phoneticPr fontId="17" type="noConversion"/>
  </si>
  <si>
    <t>工序</t>
    <phoneticPr fontId="17" type="noConversion"/>
  </si>
  <si>
    <t>27A35底座上盖</t>
    <phoneticPr fontId="12" type="noConversion"/>
  </si>
  <si>
    <t>料号</t>
    <phoneticPr fontId="12" type="noConversion"/>
  </si>
  <si>
    <t>2025-5月</t>
    <phoneticPr fontId="5" type="noConversion"/>
  </si>
  <si>
    <t>UIBA后壳</t>
    <phoneticPr fontId="5" type="noConversion"/>
  </si>
  <si>
    <t>UIBA音量键</t>
    <phoneticPr fontId="5" type="noConversion"/>
  </si>
  <si>
    <t>UIB音量键</t>
    <phoneticPr fontId="5" type="noConversion"/>
  </si>
  <si>
    <t>UIB盖板</t>
    <phoneticPr fontId="5" type="noConversion"/>
  </si>
  <si>
    <t>UIB后壳</t>
    <phoneticPr fontId="5" type="noConversion"/>
  </si>
  <si>
    <t>UIBA前框</t>
    <phoneticPr fontId="5" type="noConversion"/>
  </si>
  <si>
    <t>UIC后壳</t>
    <phoneticPr fontId="5" type="noConversion"/>
  </si>
  <si>
    <t>35UIBCA0030</t>
    <phoneticPr fontId="5" type="noConversion"/>
  </si>
  <si>
    <t>EBUIB009010</t>
    <phoneticPr fontId="5" type="noConversion"/>
  </si>
  <si>
    <t>EBUIB003010</t>
    <phoneticPr fontId="5" type="noConversion"/>
  </si>
  <si>
    <t>35UIBCA0050</t>
    <phoneticPr fontId="5" type="noConversion"/>
  </si>
  <si>
    <t>35UICCAOO10</t>
    <phoneticPr fontId="5" type="noConversion"/>
  </si>
  <si>
    <t>35UIBCA0030</t>
  </si>
  <si>
    <t>35UIBCA0030</t>
    <phoneticPr fontId="12" type="noConversion"/>
  </si>
  <si>
    <t>3QUIBFB000</t>
    <phoneticPr fontId="12" type="noConversion"/>
  </si>
  <si>
    <t>3QUIBFB0010</t>
    <phoneticPr fontId="12" type="noConversion"/>
  </si>
  <si>
    <t>35UIBCA0050</t>
    <phoneticPr fontId="12" type="noConversion"/>
  </si>
  <si>
    <t>EBUIB009010</t>
    <phoneticPr fontId="12" type="noConversion"/>
  </si>
  <si>
    <t>EBUIB003010</t>
  </si>
  <si>
    <t>5.02.02.00.61169</t>
  </si>
  <si>
    <t>7001-245T51-X0000001</t>
  </si>
  <si>
    <t>101.001.05361</t>
    <phoneticPr fontId="12" type="noConversion"/>
  </si>
  <si>
    <t>7002-W25SXC-XW000044</t>
  </si>
  <si>
    <t>760.0AK02.0001</t>
    <phoneticPr fontId="5" type="noConversion"/>
  </si>
  <si>
    <t>U4025 IO 盖</t>
  </si>
  <si>
    <t>U4025 IO 盖</t>
    <phoneticPr fontId="5" type="noConversion"/>
  </si>
  <si>
    <t>742.0AK09.0001</t>
    <phoneticPr fontId="5" type="noConversion"/>
  </si>
  <si>
    <t>74-127377-01</t>
    <phoneticPr fontId="12" type="noConversion"/>
  </si>
  <si>
    <t>760.09804.0001</t>
    <phoneticPr fontId="5" type="noConversion"/>
  </si>
  <si>
    <t>760.09804.0001</t>
    <phoneticPr fontId="12" type="noConversion"/>
  </si>
  <si>
    <t>760.0C702.0001</t>
    <phoneticPr fontId="5" type="noConversion"/>
  </si>
  <si>
    <t>760.09C04.0001</t>
    <phoneticPr fontId="5" type="noConversion"/>
  </si>
  <si>
    <t>760.09C03.0001</t>
    <phoneticPr fontId="5" type="noConversion"/>
  </si>
  <si>
    <t>760.0CB04.0001</t>
    <phoneticPr fontId="5" type="noConversion"/>
  </si>
  <si>
    <t>742.0CB08.0001</t>
    <phoneticPr fontId="5" type="noConversion"/>
  </si>
  <si>
    <t>760.0AY02.0001</t>
    <phoneticPr fontId="5" type="noConversion"/>
  </si>
  <si>
    <t>101.002.04021</t>
  </si>
  <si>
    <t>世纪创新</t>
    <phoneticPr fontId="12" type="noConversion"/>
  </si>
  <si>
    <t>101.001.03961</t>
  </si>
  <si>
    <t>101.001.03961</t>
    <phoneticPr fontId="16" type="noConversion"/>
  </si>
  <si>
    <t>7002-27A35U-XW0000031</t>
  </si>
  <si>
    <t>7002-27A35U-XW0000031</t>
    <phoneticPr fontId="12" type="noConversion"/>
  </si>
  <si>
    <t>7066-27A35U-X0000011</t>
  </si>
  <si>
    <t>7066-27A35U-X0000001</t>
  </si>
  <si>
    <t>70Z1-K32WL8-X0000034</t>
  </si>
  <si>
    <t>70Z1-K27WL3-X0000014</t>
  </si>
  <si>
    <t>101.001.03961</t>
    <phoneticPr fontId="12" type="noConversion"/>
  </si>
  <si>
    <t>101.001.04412</t>
    <phoneticPr fontId="12" type="noConversion"/>
  </si>
  <si>
    <t>760.0C702.0001</t>
    <phoneticPr fontId="12" type="noConversion"/>
  </si>
  <si>
    <t>760.0AZ02.0001</t>
    <phoneticPr fontId="12" type="noConversion"/>
  </si>
  <si>
    <t>760.0C701.0001</t>
    <phoneticPr fontId="12" type="noConversion"/>
  </si>
  <si>
    <t>760.09C04.0001</t>
    <phoneticPr fontId="12" type="noConversion"/>
  </si>
  <si>
    <t>工序</t>
    <phoneticPr fontId="5" type="noConversion"/>
  </si>
  <si>
    <t>工序</t>
    <phoneticPr fontId="9" type="noConversion"/>
  </si>
  <si>
    <t>班别</t>
    <phoneticPr fontId="9" type="noConversion"/>
  </si>
  <si>
    <t>素材</t>
    <phoneticPr fontId="5" type="noConversion"/>
  </si>
  <si>
    <t>2BB-V23W-4M07RA</t>
  </si>
  <si>
    <t>2BD-V23W-WH02RA</t>
  </si>
  <si>
    <t>客户</t>
    <phoneticPr fontId="17" type="noConversion"/>
  </si>
  <si>
    <t>不良数量</t>
    <phoneticPr fontId="5" type="noConversion"/>
  </si>
  <si>
    <t>素材</t>
    <phoneticPr fontId="12" type="noConversion"/>
  </si>
  <si>
    <t>2BD-V23W-WH02RA</t>
    <phoneticPr fontId="9" type="noConversion"/>
  </si>
  <si>
    <t>料号</t>
    <phoneticPr fontId="9" type="noConversion"/>
  </si>
  <si>
    <t>不良数量</t>
    <phoneticPr fontId="9" type="noConversion"/>
  </si>
  <si>
    <t>处理方式</t>
    <phoneticPr fontId="9" type="noConversion"/>
  </si>
  <si>
    <t>重工</t>
    <phoneticPr fontId="9" type="noConversion"/>
  </si>
  <si>
    <t>不良原因</t>
    <phoneticPr fontId="9" type="noConversion"/>
  </si>
  <si>
    <t>760.0AK02.0001</t>
    <phoneticPr fontId="12" type="noConversion"/>
  </si>
  <si>
    <t>单价</t>
    <phoneticPr fontId="17" type="noConversion"/>
  </si>
  <si>
    <t>单价</t>
    <phoneticPr fontId="5" type="noConversion"/>
  </si>
  <si>
    <t>金额</t>
    <phoneticPr fontId="5" type="noConversion"/>
  </si>
  <si>
    <t xml:space="preserve">24寸白色前框
</t>
    <phoneticPr fontId="9" type="noConversion"/>
  </si>
  <si>
    <t>7002-W24D1S-XW000004</t>
    <phoneticPr fontId="12" type="noConversion"/>
  </si>
  <si>
    <t>2BD-V23W-WH02RA</t>
    <phoneticPr fontId="5" type="noConversion"/>
  </si>
  <si>
    <t>2BB-V23W-4M07RA</t>
    <phoneticPr fontId="5" type="noConversion"/>
  </si>
  <si>
    <t>7002-257SVC-XW000024</t>
    <phoneticPr fontId="12" type="noConversion"/>
  </si>
  <si>
    <t>7002-W25SXC-XW000034</t>
    <phoneticPr fontId="12" type="noConversion"/>
  </si>
  <si>
    <t>7002-W2712R-XW000071</t>
    <phoneticPr fontId="12" type="noConversion"/>
  </si>
  <si>
    <t>7002-W2713S-XW0000K4</t>
    <phoneticPr fontId="12" type="noConversion"/>
  </si>
  <si>
    <t>7009-K32WL9-X0000044</t>
    <phoneticPr fontId="12" type="noConversion"/>
  </si>
  <si>
    <t>2311-020-00050</t>
    <phoneticPr fontId="16" type="noConversion"/>
  </si>
  <si>
    <t>101.010.00371</t>
    <phoneticPr fontId="16" type="noConversion"/>
  </si>
  <si>
    <t>7002-49B97K-XW000044</t>
    <phoneticPr fontId="12" type="noConversion"/>
  </si>
  <si>
    <t>70Z1-K50DJ1-XD000011</t>
    <phoneticPr fontId="12" type="noConversion"/>
  </si>
  <si>
    <t>70Z1-K50DJ1-XR000011</t>
    <phoneticPr fontId="12" type="noConversion"/>
  </si>
  <si>
    <t>7002-55B97K-XW000004</t>
    <phoneticPr fontId="12" type="noConversion"/>
  </si>
  <si>
    <t>7001-55B97K-X0000014</t>
    <phoneticPr fontId="12" type="noConversion"/>
  </si>
  <si>
    <t>700-124153-01</t>
    <phoneticPr fontId="5" type="noConversion"/>
  </si>
  <si>
    <t>700-124154-01</t>
    <phoneticPr fontId="5" type="noConversion"/>
  </si>
  <si>
    <t>3QUIBFB0010</t>
    <phoneticPr fontId="5" type="noConversion"/>
  </si>
  <si>
    <t>EBUIB001010</t>
    <phoneticPr fontId="5" type="noConversion"/>
  </si>
  <si>
    <t>UIB前框</t>
    <phoneticPr fontId="5" type="noConversion"/>
  </si>
  <si>
    <t>3QUIBFB000</t>
    <phoneticPr fontId="5" type="noConversion"/>
  </si>
  <si>
    <t>1811-020-00130</t>
    <phoneticPr fontId="16" type="noConversion"/>
  </si>
  <si>
    <t>2311-020-00120</t>
    <phoneticPr fontId="16" type="noConversion"/>
  </si>
  <si>
    <t>1811-020-00020</t>
    <phoneticPr fontId="16" type="noConversion"/>
  </si>
  <si>
    <t>101.004.12261</t>
    <phoneticPr fontId="16" type="noConversion"/>
  </si>
  <si>
    <t>后盖 32A6V ABS HB哑光细蚀纹 喷锖色 10393C</t>
    <phoneticPr fontId="5" type="noConversion"/>
  </si>
  <si>
    <t>101.004.12131</t>
    <phoneticPr fontId="16" type="noConversion"/>
  </si>
  <si>
    <t>101.004.10073</t>
    <phoneticPr fontId="16" type="noConversion"/>
  </si>
  <si>
    <t>101.004.02532</t>
    <phoneticPr fontId="16" type="noConversion"/>
  </si>
  <si>
    <t>101.001.03451</t>
    <phoneticPr fontId="16" type="noConversion"/>
  </si>
  <si>
    <t>101.001.04981</t>
    <phoneticPr fontId="16" type="noConversion"/>
  </si>
  <si>
    <t>101.001.06131</t>
    <phoneticPr fontId="16" type="noConversion"/>
  </si>
  <si>
    <t>101.001.04512</t>
    <phoneticPr fontId="16" type="noConversion"/>
  </si>
  <si>
    <t>101.001.06561</t>
    <phoneticPr fontId="16" type="noConversion"/>
  </si>
  <si>
    <t>101.001.06281</t>
    <phoneticPr fontId="16" type="noConversion"/>
  </si>
  <si>
    <t>101.001.05341</t>
    <phoneticPr fontId="16" type="noConversion"/>
  </si>
  <si>
    <t>1811-020-00180</t>
    <phoneticPr fontId="16" type="noConversion"/>
  </si>
  <si>
    <t>101.005.16541</t>
    <phoneticPr fontId="16" type="noConversion"/>
  </si>
  <si>
    <t>101.002.03971</t>
    <phoneticPr fontId="16" type="noConversion"/>
  </si>
  <si>
    <t>101.002.04041</t>
    <phoneticPr fontId="16" type="noConversion"/>
  </si>
  <si>
    <t>101.002.03711</t>
    <phoneticPr fontId="16" type="noConversion"/>
  </si>
  <si>
    <t>101.002.04121</t>
    <phoneticPr fontId="16" type="noConversion"/>
  </si>
  <si>
    <t>70Z1-K238WL-X00000C4</t>
    <phoneticPr fontId="12" type="noConversion"/>
  </si>
  <si>
    <t>245T51中框</t>
    <phoneticPr fontId="12" type="noConversion"/>
  </si>
  <si>
    <t>7002-W25SXC-XW000044</t>
    <phoneticPr fontId="12" type="noConversion"/>
  </si>
  <si>
    <t>7002-W2713S-XW0000K4</t>
    <phoneticPr fontId="12" type="noConversion"/>
  </si>
  <si>
    <t>27A35U后壳</t>
    <phoneticPr fontId="12" type="noConversion"/>
  </si>
  <si>
    <t>7066-27A35U-X0000011</t>
    <phoneticPr fontId="12" type="noConversion"/>
  </si>
  <si>
    <t>7066-27A35U-X0000001</t>
    <phoneticPr fontId="12" type="noConversion"/>
  </si>
  <si>
    <t>101.001.04412</t>
    <phoneticPr fontId="12" type="noConversion"/>
  </si>
  <si>
    <t>70Z1-K27WL3-X0000014</t>
    <phoneticPr fontId="12" type="noConversion"/>
  </si>
  <si>
    <t>70Z1-K32WL8-X0000034</t>
    <phoneticPr fontId="12" type="noConversion"/>
  </si>
  <si>
    <t>101.002.04021</t>
    <phoneticPr fontId="12" type="noConversion"/>
  </si>
  <si>
    <t>101.004.10073</t>
    <phoneticPr fontId="12" type="noConversion"/>
  </si>
  <si>
    <t>101.005.15811</t>
    <phoneticPr fontId="12" type="noConversion"/>
  </si>
  <si>
    <t>742.0CB08.0001</t>
    <phoneticPr fontId="12" type="noConversion"/>
  </si>
  <si>
    <t>760.0CB04.0001</t>
    <phoneticPr fontId="12" type="noConversion"/>
  </si>
  <si>
    <t>760.0CC03.0001</t>
    <phoneticPr fontId="12" type="noConversion"/>
  </si>
  <si>
    <t>760.09C01.0001</t>
    <phoneticPr fontId="12" type="noConversion"/>
  </si>
  <si>
    <t>760.09C03.0001</t>
    <phoneticPr fontId="12" type="noConversion"/>
  </si>
  <si>
    <t>760.09C04.0001</t>
    <phoneticPr fontId="12" type="noConversion"/>
  </si>
  <si>
    <t>742.0AK09.0001</t>
    <phoneticPr fontId="12" type="noConversion"/>
  </si>
  <si>
    <t>760.0AK01.0001</t>
    <phoneticPr fontId="5" type="noConversion"/>
  </si>
  <si>
    <t>35UIBCA0030</t>
    <phoneticPr fontId="12" type="noConversion"/>
  </si>
  <si>
    <t>EBUIB003010</t>
    <phoneticPr fontId="12" type="noConversion"/>
  </si>
  <si>
    <t>742.0AZ0B.0001</t>
    <phoneticPr fontId="12" type="noConversion"/>
  </si>
  <si>
    <t>760.09C01.0001</t>
    <phoneticPr fontId="12" type="noConversion"/>
  </si>
  <si>
    <t>760.09C01.0001</t>
    <phoneticPr fontId="5" type="noConversion"/>
  </si>
  <si>
    <t>760.0CB04.0001</t>
    <phoneticPr fontId="5" type="noConversion"/>
  </si>
  <si>
    <t>760.0CC03.0001</t>
    <phoneticPr fontId="5" type="noConversion"/>
  </si>
  <si>
    <t>760.0CB03.0001</t>
    <phoneticPr fontId="5" type="noConversion"/>
  </si>
  <si>
    <t>760.09803.0001</t>
    <phoneticPr fontId="5" type="noConversion"/>
  </si>
  <si>
    <t>处理方式</t>
    <phoneticPr fontId="17" type="noConversion"/>
  </si>
  <si>
    <t>MC</t>
  </si>
  <si>
    <t>BYSZD</t>
  </si>
  <si>
    <t>GK</t>
  </si>
  <si>
    <t>XCJS</t>
  </si>
  <si>
    <t>GT</t>
  </si>
  <si>
    <t>DG</t>
  </si>
  <si>
    <t>CW</t>
  </si>
  <si>
    <t>P3225后壳</t>
    <phoneticPr fontId="5" type="noConversion"/>
  </si>
  <si>
    <t>101.001.04412</t>
    <phoneticPr fontId="5" type="noConversion"/>
  </si>
  <si>
    <t>27A6前框</t>
    <phoneticPr fontId="5" type="noConversion"/>
  </si>
  <si>
    <t>27A35底座上盖</t>
    <phoneticPr fontId="5" type="noConversion"/>
  </si>
  <si>
    <t>喷漆不良、断扣</t>
    <phoneticPr fontId="5" type="noConversion"/>
  </si>
  <si>
    <t>退货、报废</t>
    <phoneticPr fontId="5" type="noConversion"/>
  </si>
  <si>
    <t>101.001.03961</t>
    <phoneticPr fontId="5" type="noConversion"/>
  </si>
  <si>
    <t>32A6U前框</t>
    <phoneticPr fontId="5" type="noConversion"/>
  </si>
  <si>
    <t>喷漆</t>
    <phoneticPr fontId="5" type="noConversion"/>
  </si>
  <si>
    <t>削伤</t>
    <phoneticPr fontId="5" type="noConversion"/>
  </si>
  <si>
    <t>刮伤</t>
    <phoneticPr fontId="5" type="noConversion"/>
  </si>
  <si>
    <t>27A35U后壳</t>
    <phoneticPr fontId="5" type="noConversion"/>
  </si>
  <si>
    <t>打螺母</t>
    <phoneticPr fontId="5" type="noConversion"/>
  </si>
  <si>
    <t>32寸中框</t>
    <phoneticPr fontId="5" type="noConversion"/>
  </si>
  <si>
    <t>7002-W24D1S-XW000004</t>
    <phoneticPr fontId="5" type="noConversion"/>
  </si>
  <si>
    <t>24D1后壳</t>
    <phoneticPr fontId="5" type="noConversion"/>
  </si>
  <si>
    <t>7002-W25SXC-XW000034</t>
    <phoneticPr fontId="5" type="noConversion"/>
  </si>
  <si>
    <t>25SXC后壳</t>
    <phoneticPr fontId="5" type="noConversion"/>
  </si>
  <si>
    <t>P3424中框</t>
    <phoneticPr fontId="5" type="noConversion"/>
  </si>
  <si>
    <t>P3424后壳</t>
    <phoneticPr fontId="5" type="noConversion"/>
  </si>
  <si>
    <t>变形、刮伤</t>
    <phoneticPr fontId="5" type="noConversion"/>
  </si>
  <si>
    <t>7002-27ASVQ-XW000004</t>
    <phoneticPr fontId="5" type="noConversion"/>
  </si>
  <si>
    <t>27AS后壳</t>
    <phoneticPr fontId="5" type="noConversion"/>
  </si>
  <si>
    <t>101.004.10073</t>
    <phoneticPr fontId="5" type="noConversion"/>
  </si>
  <si>
    <t>40B2后壳</t>
    <phoneticPr fontId="5" type="noConversion"/>
  </si>
  <si>
    <t>丝印</t>
    <phoneticPr fontId="5" type="noConversion"/>
  </si>
  <si>
    <t>7002-W25SXC-XW000044</t>
    <phoneticPr fontId="5" type="noConversion"/>
  </si>
  <si>
    <t>7002-248SVC-XW000034</t>
    <phoneticPr fontId="5" type="noConversion"/>
  </si>
  <si>
    <t>248S后壳</t>
    <phoneticPr fontId="5" type="noConversion"/>
  </si>
  <si>
    <t>7009-K32WL9-X0000044</t>
    <phoneticPr fontId="5" type="noConversion"/>
  </si>
  <si>
    <t>32L9装饰件</t>
    <phoneticPr fontId="5" type="noConversion"/>
  </si>
  <si>
    <t>7009-K27WL6-X0000004</t>
    <phoneticPr fontId="5" type="noConversion"/>
  </si>
  <si>
    <t>27L6装饰件</t>
    <phoneticPr fontId="5" type="noConversion"/>
  </si>
  <si>
    <t>7002-49B97K-XW000044</t>
    <phoneticPr fontId="5" type="noConversion"/>
  </si>
  <si>
    <t>49B97K后壳</t>
    <phoneticPr fontId="5" type="noConversion"/>
  </si>
  <si>
    <t>7002-55B97K-XW000004</t>
    <phoneticPr fontId="5" type="noConversion"/>
  </si>
  <si>
    <t>55B97K后壳</t>
    <phoneticPr fontId="5" type="noConversion"/>
  </si>
  <si>
    <t>丝印不良、刮伤</t>
    <phoneticPr fontId="5" type="noConversion"/>
  </si>
  <si>
    <t>丝印不良</t>
    <phoneticPr fontId="5" type="noConversion"/>
  </si>
  <si>
    <t>7002-W2713S-XW0000K4</t>
    <phoneticPr fontId="5" type="noConversion"/>
  </si>
  <si>
    <t>2713后壳</t>
    <phoneticPr fontId="5" type="noConversion"/>
  </si>
  <si>
    <t>7002-W2427S-XW000004</t>
    <phoneticPr fontId="5" type="noConversion"/>
  </si>
  <si>
    <t>2427后壳</t>
    <phoneticPr fontId="5" type="noConversion"/>
  </si>
  <si>
    <t>丝印不良/刮伤</t>
    <phoneticPr fontId="5" type="noConversion"/>
  </si>
  <si>
    <t>7001-55B97K-X0000014</t>
    <phoneticPr fontId="5" type="noConversion"/>
  </si>
  <si>
    <t>55B97K前框</t>
    <phoneticPr fontId="5" type="noConversion"/>
  </si>
  <si>
    <t>27A35底座下盖</t>
    <phoneticPr fontId="5" type="noConversion"/>
  </si>
  <si>
    <t>漏螺母/刮伤/丝印不良</t>
    <phoneticPr fontId="5" type="noConversion"/>
  </si>
  <si>
    <t>P3225 IO盖</t>
    <phoneticPr fontId="5" type="noConversion"/>
  </si>
  <si>
    <t>34E7前框</t>
    <phoneticPr fontId="5" type="noConversion"/>
  </si>
  <si>
    <t>7002-W2428S-XW000014</t>
    <phoneticPr fontId="5" type="noConversion"/>
  </si>
  <si>
    <t>2428后壳</t>
    <phoneticPr fontId="5" type="noConversion"/>
  </si>
  <si>
    <t>245T51中框</t>
    <phoneticPr fontId="5" type="noConversion"/>
  </si>
  <si>
    <t>101.001.05361</t>
    <phoneticPr fontId="5" type="noConversion"/>
  </si>
  <si>
    <t>25M2前框</t>
    <phoneticPr fontId="5" type="noConversion"/>
  </si>
  <si>
    <t>7002-257SVC-XW000024</t>
    <phoneticPr fontId="5" type="noConversion"/>
  </si>
  <si>
    <t>257S后壳</t>
    <phoneticPr fontId="5" type="noConversion"/>
  </si>
  <si>
    <t>27寸中框</t>
    <phoneticPr fontId="5" type="noConversion"/>
  </si>
  <si>
    <t>7002-W2709S-XW000174</t>
    <phoneticPr fontId="5" type="noConversion"/>
  </si>
  <si>
    <t>2709后壳</t>
    <phoneticPr fontId="5" type="noConversion"/>
  </si>
  <si>
    <t xml:space="preserve">P3424中框 </t>
    <phoneticPr fontId="5" type="noConversion"/>
  </si>
  <si>
    <t>7011-240H32-X0000004</t>
    <phoneticPr fontId="5" type="noConversion"/>
  </si>
  <si>
    <t>24H后壳盖板左/右</t>
    <phoneticPr fontId="5" type="noConversion"/>
  </si>
  <si>
    <t>70Z1-K50DJ1-XD000011</t>
    <phoneticPr fontId="5" type="noConversion"/>
  </si>
  <si>
    <t>50J中框-D</t>
    <phoneticPr fontId="5" type="noConversion"/>
  </si>
  <si>
    <t>74-127377-01</t>
    <phoneticPr fontId="5" type="noConversion"/>
  </si>
  <si>
    <t>把手</t>
    <phoneticPr fontId="5" type="noConversion"/>
  </si>
  <si>
    <t>P3424装饰条</t>
    <phoneticPr fontId="5" type="noConversion"/>
  </si>
  <si>
    <t>15.6底壳</t>
    <phoneticPr fontId="5" type="noConversion"/>
  </si>
  <si>
    <t>U4025中框</t>
    <phoneticPr fontId="5" type="noConversion"/>
  </si>
  <si>
    <t>70Z1-K238WL-X00000C4</t>
    <phoneticPr fontId="5" type="noConversion"/>
  </si>
  <si>
    <t>238中框</t>
    <phoneticPr fontId="5" type="noConversion"/>
  </si>
  <si>
    <t>7001-245T51-X0000014</t>
    <phoneticPr fontId="5" type="noConversion"/>
  </si>
  <si>
    <t>U4025后壳</t>
    <phoneticPr fontId="5" type="noConversion"/>
  </si>
  <si>
    <t>7066-27A35U-X0000001</t>
    <phoneticPr fontId="5" type="noConversion"/>
  </si>
  <si>
    <t>101.002.04021</t>
    <phoneticPr fontId="5" type="noConversion"/>
  </si>
  <si>
    <t>70Z1-K50DJ1-XR000011</t>
    <phoneticPr fontId="5" type="noConversion"/>
  </si>
  <si>
    <t>50J中框</t>
    <phoneticPr fontId="5" type="noConversion"/>
  </si>
  <si>
    <t>7002-27A35F-XW000001</t>
    <phoneticPr fontId="5" type="noConversion"/>
  </si>
  <si>
    <t>27A35F后壳</t>
    <phoneticPr fontId="5" type="noConversion"/>
  </si>
  <si>
    <t>101.005.15811</t>
    <phoneticPr fontId="5" type="noConversion"/>
  </si>
  <si>
    <t>H3C下装饰条</t>
    <phoneticPr fontId="5" type="noConversion"/>
  </si>
  <si>
    <t>7002-W2712R-XW000071</t>
    <phoneticPr fontId="5" type="noConversion"/>
  </si>
  <si>
    <t>2712后壳</t>
    <phoneticPr fontId="5" type="noConversion"/>
  </si>
  <si>
    <t>变形/裂口</t>
    <phoneticPr fontId="5" type="noConversion"/>
  </si>
  <si>
    <t>70Z1-K50DJ1-XL000011</t>
    <phoneticPr fontId="5" type="noConversion"/>
  </si>
  <si>
    <t>50J中框-左</t>
    <phoneticPr fontId="5" type="noConversion"/>
  </si>
  <si>
    <t>70Z1-K27WL3-X0000014</t>
    <phoneticPr fontId="5" type="noConversion"/>
  </si>
  <si>
    <t>重工</t>
    <phoneticPr fontId="5" type="noConversion"/>
  </si>
  <si>
    <t>50J中框-右</t>
    <phoneticPr fontId="5" type="noConversion"/>
  </si>
  <si>
    <t>7066-27A35U-X0000011</t>
    <phoneticPr fontId="5" type="noConversion"/>
  </si>
  <si>
    <t>螺母裂纹变形</t>
    <phoneticPr fontId="5" type="noConversion"/>
  </si>
  <si>
    <t>70Z1-K32WL8-X0000034</t>
    <phoneticPr fontId="5" type="noConversion"/>
  </si>
  <si>
    <t>支架</t>
    <phoneticPr fontId="5" type="noConversion"/>
  </si>
  <si>
    <t>料号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</si>
</sst>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yyyy/m/d;@"/>
    <numFmt numFmtId="177" formatCode="#,##0.0000_ "/>
    <numFmt numFmtId="178" formatCode="0.00_ "/>
  </numFmts>
  <fonts count="22" x14ac:knownFonts="1">
    <font>
      <sz val="12"/>
      <name val="宋体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2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1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3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14" fontId="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>
      <alignment vertical="center"/>
    </xf>
    <xf numFmtId="10" fontId="0" fillId="2" borderId="1" xfId="0" applyNumberFormat="1" applyFill="1" applyBorder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14" fontId="0" fillId="2" borderId="1" xfId="0" applyNumberForma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10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1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right" vertical="center" wrapText="1"/>
    </xf>
    <xf numFmtId="0" fontId="10" fillId="0" borderId="1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1" fontId="4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0" fillId="0" borderId="4" xfId="0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14" fontId="0" fillId="0" borderId="4" xfId="0" applyNumberForma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14" fontId="2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0" xfId="1">
      <alignment vertical="center"/>
    </xf>
    <xf numFmtId="0" fontId="10" fillId="0" borderId="0" xfId="1" applyAlignment="1">
      <alignment horizontal="center" vertical="center"/>
    </xf>
    <xf numFmtId="14" fontId="10" fillId="0" borderId="0" xfId="1" applyNumberFormat="1">
      <alignment vertical="center"/>
    </xf>
    <xf numFmtId="0" fontId="10" fillId="0" borderId="1" xfId="1" applyBorder="1">
      <alignment vertical="center"/>
    </xf>
    <xf numFmtId="178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14" fontId="2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right" vertical="center" wrapText="1"/>
    </xf>
    <xf numFmtId="0" fontId="10" fillId="0" borderId="1" xfId="1" applyBorder="1" applyAlignment="1">
      <alignment horizontal="center"/>
    </xf>
    <xf numFmtId="0" fontId="10" fillId="0" borderId="1" xfId="1" applyBorder="1" applyAlignment="1">
      <alignment horizontal="left"/>
    </xf>
    <xf numFmtId="14" fontId="10" fillId="0" borderId="1" xfId="1" applyNumberFormat="1" applyBorder="1" applyAlignment="1">
      <alignment horizontal="center"/>
    </xf>
    <xf numFmtId="0" fontId="4" fillId="0" borderId="1" xfId="1" applyFont="1" applyBorder="1" applyAlignment="1">
      <alignment horizontal="left" vertical="center" wrapText="1"/>
    </xf>
    <xf numFmtId="1" fontId="4" fillId="0" borderId="1" xfId="1" applyNumberFormat="1" applyFont="1" applyBorder="1" applyAlignment="1">
      <alignment horizontal="center" vertical="center" wrapText="1"/>
    </xf>
    <xf numFmtId="0" fontId="10" fillId="0" borderId="1" xfId="1" applyBorder="1" applyAlignment="1">
      <alignment horizontal="center" vertical="center"/>
    </xf>
    <xf numFmtId="14" fontId="10" fillId="0" borderId="1" xfId="1" applyNumberFormat="1" applyBorder="1" applyAlignment="1">
      <alignment horizontal="center" vertical="center"/>
    </xf>
    <xf numFmtId="0" fontId="4" fillId="0" borderId="1" xfId="1" applyFont="1" applyBorder="1" applyAlignment="1">
      <alignment horizontal="right" vertical="center" wrapText="1"/>
    </xf>
    <xf numFmtId="0" fontId="2" fillId="0" borderId="1" xfId="1" applyFont="1" applyBorder="1">
      <alignment vertical="center"/>
    </xf>
    <xf numFmtId="0" fontId="4" fillId="0" borderId="1" xfId="1" applyFont="1" applyBorder="1" applyAlignment="1">
      <alignment horizontal="center" vertical="center" wrapText="1"/>
    </xf>
    <xf numFmtId="0" fontId="10" fillId="2" borderId="1" xfId="1" applyFill="1" applyBorder="1">
      <alignment vertical="center"/>
    </xf>
    <xf numFmtId="10" fontId="10" fillId="2" borderId="1" xfId="1" applyNumberFormat="1" applyFill="1" applyBorder="1">
      <alignment vertical="center"/>
    </xf>
    <xf numFmtId="0" fontId="19" fillId="0" borderId="1" xfId="1" applyFont="1" applyBorder="1" applyAlignment="1">
      <alignment horizontal="center" vertical="center" wrapText="1"/>
    </xf>
    <xf numFmtId="0" fontId="10" fillId="2" borderId="1" xfId="1" applyFill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14" fontId="10" fillId="2" borderId="1" xfId="1" applyNumberFormat="1" applyFill="1" applyBorder="1" applyAlignment="1">
      <alignment horizontal="center" vertical="center"/>
    </xf>
    <xf numFmtId="176" fontId="2" fillId="0" borderId="1" xfId="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1" fontId="11" fillId="0" borderId="1" xfId="1" applyNumberFormat="1" applyFont="1" applyBorder="1" applyAlignment="1">
      <alignment horizontal="center" vertical="center" wrapText="1"/>
    </xf>
    <xf numFmtId="177" fontId="10" fillId="0" borderId="1" xfId="1" applyNumberFormat="1" applyBorder="1" applyAlignment="1">
      <alignment horizontal="right" vertical="center" wrapText="1"/>
    </xf>
    <xf numFmtId="0" fontId="10" fillId="0" borderId="1" xfId="1" applyBorder="1" applyAlignment="1">
      <alignment horizontal="left" vertical="center"/>
    </xf>
    <xf numFmtId="10" fontId="10" fillId="3" borderId="1" xfId="1" applyNumberFormat="1" applyFill="1" applyBorder="1" applyAlignment="1">
      <alignment horizontal="center" vertical="center"/>
    </xf>
    <xf numFmtId="0" fontId="10" fillId="3" borderId="1" xfId="1" applyFill="1" applyBorder="1" applyAlignment="1">
      <alignment horizontal="center" vertical="center"/>
    </xf>
  </cellXfs>
  <cellStyles count="2">
    <cellStyle name="常规" xfId="0" builtinId="0"/>
    <cellStyle name="常规 2" xfId="1" xr:uid="{0EF12E7C-991E-4FB6-87E3-AAD7A53547A6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4"/>
  <sheetViews>
    <sheetView workbookViewId="0">
      <pane ySplit="1" topLeftCell="A2" activePane="bottomLeft" state="frozen"/>
      <selection pane="bottomLeft" activeCell="M1" sqref="M1:M1048576"/>
    </sheetView>
  </sheetViews>
  <sheetFormatPr defaultRowHeight="15.6" x14ac:dyDescent="0.25"/>
  <cols>
    <col min="1" max="1" width="10.59765625" style="56" customWidth="1"/>
    <col min="4" max="4" width="17" customWidth="1"/>
    <col min="5" max="5" width="19.09765625" customWidth="1"/>
    <col min="9" max="9" width="21.09765625" customWidth="1"/>
    <col min="10" max="10" width="13.59765625" customWidth="1"/>
    <col min="11" max="13" width="9" style="63"/>
  </cols>
  <sheetData>
    <row r="1" spans="1:13" ht="21" customHeight="1" x14ac:dyDescent="0.25">
      <c r="A1" s="55" t="s">
        <v>253</v>
      </c>
      <c r="B1" s="53" t="s">
        <v>334</v>
      </c>
      <c r="C1" s="42" t="s">
        <v>396</v>
      </c>
      <c r="D1" s="42" t="s">
        <v>254</v>
      </c>
      <c r="E1" s="42" t="s">
        <v>336</v>
      </c>
      <c r="F1" s="42" t="s">
        <v>255</v>
      </c>
      <c r="G1" s="43" t="s">
        <v>256</v>
      </c>
      <c r="H1" s="44" t="s">
        <v>257</v>
      </c>
      <c r="I1" s="42" t="s">
        <v>258</v>
      </c>
      <c r="J1" s="45" t="s">
        <v>259</v>
      </c>
      <c r="K1" s="4" t="s">
        <v>260</v>
      </c>
      <c r="L1" s="14" t="s">
        <v>406</v>
      </c>
      <c r="M1" s="14" t="s">
        <v>333</v>
      </c>
    </row>
    <row r="2" spans="1:13" ht="21" customHeight="1" x14ac:dyDescent="0.25">
      <c r="A2" s="55">
        <v>45800</v>
      </c>
      <c r="B2" s="51" t="s">
        <v>276</v>
      </c>
      <c r="C2" s="49" t="s">
        <v>485</v>
      </c>
      <c r="D2" s="49" t="s">
        <v>312</v>
      </c>
      <c r="E2" s="49" t="s">
        <v>452</v>
      </c>
      <c r="F2" s="50">
        <v>640</v>
      </c>
      <c r="G2" s="50">
        <v>17</v>
      </c>
      <c r="H2" s="47">
        <f t="shared" ref="H2:H65" si="0">G2/F2</f>
        <v>2.6562499999999999E-2</v>
      </c>
      <c r="I2" s="46" t="s">
        <v>264</v>
      </c>
      <c r="J2" s="52" t="s">
        <v>321</v>
      </c>
      <c r="K2" s="42">
        <v>17</v>
      </c>
      <c r="L2" s="20">
        <v>2.6105999999999998</v>
      </c>
      <c r="M2" s="20">
        <f t="shared" ref="M2:M65" si="1">K2*L2</f>
        <v>44.380199999999995</v>
      </c>
    </row>
    <row r="3" spans="1:13" ht="21" customHeight="1" x14ac:dyDescent="0.25">
      <c r="A3" s="55">
        <v>45781</v>
      </c>
      <c r="B3" s="49" t="s">
        <v>265</v>
      </c>
      <c r="C3" s="49" t="s">
        <v>485</v>
      </c>
      <c r="D3" s="51" t="s">
        <v>160</v>
      </c>
      <c r="E3" s="49" t="s">
        <v>161</v>
      </c>
      <c r="F3" s="50">
        <v>315</v>
      </c>
      <c r="G3" s="50">
        <v>10</v>
      </c>
      <c r="H3" s="47">
        <f t="shared" si="0"/>
        <v>3.1746031746031744E-2</v>
      </c>
      <c r="I3" s="46" t="s">
        <v>274</v>
      </c>
      <c r="J3" s="45" t="s">
        <v>128</v>
      </c>
      <c r="K3" s="50">
        <v>10</v>
      </c>
      <c r="L3" s="20">
        <v>10.353999999999999</v>
      </c>
      <c r="M3" s="20">
        <f t="shared" si="1"/>
        <v>103.53999999999999</v>
      </c>
    </row>
    <row r="4" spans="1:13" ht="21" customHeight="1" x14ac:dyDescent="0.25">
      <c r="A4" s="55">
        <v>45785</v>
      </c>
      <c r="B4" s="49" t="s">
        <v>276</v>
      </c>
      <c r="C4" s="49" t="s">
        <v>485</v>
      </c>
      <c r="D4" s="49" t="s">
        <v>453</v>
      </c>
      <c r="E4" s="51" t="s">
        <v>358</v>
      </c>
      <c r="F4" s="50">
        <v>2200</v>
      </c>
      <c r="G4" s="50">
        <f>24+20</f>
        <v>44</v>
      </c>
      <c r="H4" s="47">
        <f t="shared" si="0"/>
        <v>0.02</v>
      </c>
      <c r="I4" s="46" t="s">
        <v>263</v>
      </c>
      <c r="J4" s="45" t="s">
        <v>262</v>
      </c>
      <c r="K4" s="42">
        <v>44</v>
      </c>
      <c r="L4" s="21">
        <v>7.9405999999999999</v>
      </c>
      <c r="M4" s="20">
        <f t="shared" si="1"/>
        <v>349.38639999999998</v>
      </c>
    </row>
    <row r="5" spans="1:13" ht="21" customHeight="1" x14ac:dyDescent="0.25">
      <c r="A5" s="55">
        <v>45807</v>
      </c>
      <c r="B5" s="49" t="s">
        <v>276</v>
      </c>
      <c r="C5" s="49" t="s">
        <v>485</v>
      </c>
      <c r="D5" s="51" t="s">
        <v>167</v>
      </c>
      <c r="E5" s="51" t="s">
        <v>358</v>
      </c>
      <c r="F5" s="50">
        <v>1480</v>
      </c>
      <c r="G5" s="50">
        <f>29+8</f>
        <v>37</v>
      </c>
      <c r="H5" s="47">
        <f t="shared" si="0"/>
        <v>2.5000000000000001E-2</v>
      </c>
      <c r="I5" s="46" t="s">
        <v>263</v>
      </c>
      <c r="J5" s="45" t="s">
        <v>262</v>
      </c>
      <c r="K5" s="42">
        <v>37</v>
      </c>
      <c r="L5" s="21">
        <v>7.9405999999999999</v>
      </c>
      <c r="M5" s="20">
        <f t="shared" si="1"/>
        <v>293.80219999999997</v>
      </c>
    </row>
    <row r="6" spans="1:13" ht="21" customHeight="1" x14ac:dyDescent="0.25">
      <c r="A6" s="55">
        <v>45784</v>
      </c>
      <c r="B6" s="49" t="s">
        <v>276</v>
      </c>
      <c r="C6" s="49" t="s">
        <v>485</v>
      </c>
      <c r="D6" s="51" t="s">
        <v>167</v>
      </c>
      <c r="E6" s="51" t="s">
        <v>358</v>
      </c>
      <c r="F6" s="50">
        <v>1200</v>
      </c>
      <c r="G6" s="50">
        <v>26</v>
      </c>
      <c r="H6" s="47">
        <f t="shared" si="0"/>
        <v>2.1666666666666667E-2</v>
      </c>
      <c r="I6" s="46" t="s">
        <v>263</v>
      </c>
      <c r="J6" s="45" t="s">
        <v>262</v>
      </c>
      <c r="K6" s="50">
        <v>11</v>
      </c>
      <c r="L6" s="21">
        <v>7.9405999999999999</v>
      </c>
      <c r="M6" s="20">
        <f t="shared" si="1"/>
        <v>87.346599999999995</v>
      </c>
    </row>
    <row r="7" spans="1:13" ht="21" customHeight="1" x14ac:dyDescent="0.25">
      <c r="A7" s="55">
        <v>45799</v>
      </c>
      <c r="B7" s="49" t="s">
        <v>265</v>
      </c>
      <c r="C7" s="49" t="s">
        <v>486</v>
      </c>
      <c r="D7" s="51" t="s">
        <v>311</v>
      </c>
      <c r="E7" s="49" t="s">
        <v>359</v>
      </c>
      <c r="F7" s="50">
        <v>296</v>
      </c>
      <c r="G7" s="50">
        <v>12</v>
      </c>
      <c r="H7" s="47">
        <f t="shared" si="0"/>
        <v>4.0540540540540543E-2</v>
      </c>
      <c r="I7" s="54" t="s">
        <v>322</v>
      </c>
      <c r="J7" s="52" t="s">
        <v>321</v>
      </c>
      <c r="K7" s="42">
        <v>12</v>
      </c>
      <c r="L7" s="20">
        <v>5.5134999999999996</v>
      </c>
      <c r="M7" s="20">
        <f t="shared" si="1"/>
        <v>66.161999999999992</v>
      </c>
    </row>
    <row r="8" spans="1:13" ht="21" customHeight="1" x14ac:dyDescent="0.25">
      <c r="A8" s="55">
        <v>45795</v>
      </c>
      <c r="B8" s="49" t="s">
        <v>265</v>
      </c>
      <c r="C8" s="49" t="s">
        <v>485</v>
      </c>
      <c r="D8" s="49" t="s">
        <v>327</v>
      </c>
      <c r="E8" s="49" t="s">
        <v>454</v>
      </c>
      <c r="F8" s="50">
        <v>2240</v>
      </c>
      <c r="G8" s="50">
        <f>110+47</f>
        <v>157</v>
      </c>
      <c r="H8" s="47">
        <f t="shared" si="0"/>
        <v>7.0089285714285715E-2</v>
      </c>
      <c r="I8" s="46" t="s">
        <v>319</v>
      </c>
      <c r="J8" s="45" t="s">
        <v>128</v>
      </c>
      <c r="K8" s="50">
        <f>110+47</f>
        <v>157</v>
      </c>
      <c r="L8" s="20">
        <v>10.037000000000001</v>
      </c>
      <c r="M8" s="20">
        <f t="shared" si="1"/>
        <v>1575.8090000000002</v>
      </c>
    </row>
    <row r="9" spans="1:13" ht="21" customHeight="1" x14ac:dyDescent="0.25">
      <c r="A9" s="55">
        <v>45798</v>
      </c>
      <c r="B9" s="49" t="s">
        <v>265</v>
      </c>
      <c r="C9" s="49" t="s">
        <v>485</v>
      </c>
      <c r="D9" s="49" t="s">
        <v>327</v>
      </c>
      <c r="E9" s="49" t="s">
        <v>360</v>
      </c>
      <c r="F9" s="50">
        <v>2880</v>
      </c>
      <c r="G9" s="50">
        <v>89</v>
      </c>
      <c r="H9" s="47">
        <f t="shared" si="0"/>
        <v>3.0902777777777779E-2</v>
      </c>
      <c r="I9" s="46" t="s">
        <v>319</v>
      </c>
      <c r="J9" s="45" t="s">
        <v>128</v>
      </c>
      <c r="K9" s="42">
        <v>89</v>
      </c>
      <c r="L9" s="20">
        <v>10.037000000000001</v>
      </c>
      <c r="M9" s="20">
        <f t="shared" si="1"/>
        <v>893.29300000000012</v>
      </c>
    </row>
    <row r="10" spans="1:13" ht="21" customHeight="1" x14ac:dyDescent="0.25">
      <c r="A10" s="55">
        <v>45804</v>
      </c>
      <c r="B10" s="49" t="s">
        <v>265</v>
      </c>
      <c r="C10" s="49" t="s">
        <v>485</v>
      </c>
      <c r="D10" s="49" t="s">
        <v>327</v>
      </c>
      <c r="E10" s="49" t="s">
        <v>360</v>
      </c>
      <c r="F10" s="50">
        <f>3200+896</f>
        <v>4096</v>
      </c>
      <c r="G10" s="50">
        <v>72</v>
      </c>
      <c r="H10" s="47">
        <f t="shared" si="0"/>
        <v>1.7578125E-2</v>
      </c>
      <c r="I10" s="46" t="s">
        <v>319</v>
      </c>
      <c r="J10" s="45" t="s">
        <v>128</v>
      </c>
      <c r="K10" s="42">
        <v>72</v>
      </c>
      <c r="L10" s="20">
        <v>10.037000000000001</v>
      </c>
      <c r="M10" s="20">
        <f t="shared" si="1"/>
        <v>722.6640000000001</v>
      </c>
    </row>
    <row r="11" spans="1:13" ht="21" customHeight="1" x14ac:dyDescent="0.25">
      <c r="A11" s="55">
        <v>45785</v>
      </c>
      <c r="B11" s="49" t="s">
        <v>265</v>
      </c>
      <c r="C11" s="49" t="s">
        <v>485</v>
      </c>
      <c r="D11" s="51" t="s">
        <v>327</v>
      </c>
      <c r="E11" s="51" t="s">
        <v>360</v>
      </c>
      <c r="F11" s="50">
        <v>1264</v>
      </c>
      <c r="G11" s="50">
        <f>11+58</f>
        <v>69</v>
      </c>
      <c r="H11" s="47">
        <f t="shared" si="0"/>
        <v>5.4588607594936708E-2</v>
      </c>
      <c r="I11" s="54" t="s">
        <v>322</v>
      </c>
      <c r="J11" s="45" t="s">
        <v>128</v>
      </c>
      <c r="K11" s="42">
        <v>69</v>
      </c>
      <c r="L11" s="20">
        <v>10.037000000000001</v>
      </c>
      <c r="M11" s="20">
        <f t="shared" si="1"/>
        <v>692.55300000000011</v>
      </c>
    </row>
    <row r="12" spans="1:13" ht="21" customHeight="1" x14ac:dyDescent="0.25">
      <c r="A12" s="55">
        <v>45797</v>
      </c>
      <c r="B12" s="49" t="s">
        <v>265</v>
      </c>
      <c r="C12" s="49" t="s">
        <v>485</v>
      </c>
      <c r="D12" s="49" t="s">
        <v>327</v>
      </c>
      <c r="E12" s="49" t="s">
        <v>360</v>
      </c>
      <c r="F12" s="50">
        <v>320</v>
      </c>
      <c r="G12" s="50">
        <v>69</v>
      </c>
      <c r="H12" s="47">
        <f t="shared" si="0"/>
        <v>0.21562500000000001</v>
      </c>
      <c r="I12" s="46" t="s">
        <v>319</v>
      </c>
      <c r="J12" s="45" t="s">
        <v>128</v>
      </c>
      <c r="K12" s="42">
        <v>69</v>
      </c>
      <c r="L12" s="20">
        <v>10.037000000000001</v>
      </c>
      <c r="M12" s="20">
        <f t="shared" si="1"/>
        <v>692.55300000000011</v>
      </c>
    </row>
    <row r="13" spans="1:13" ht="21" customHeight="1" x14ac:dyDescent="0.25">
      <c r="A13" s="55">
        <v>45793</v>
      </c>
      <c r="B13" s="49" t="s">
        <v>265</v>
      </c>
      <c r="C13" s="49" t="s">
        <v>485</v>
      </c>
      <c r="D13" s="51" t="s">
        <v>327</v>
      </c>
      <c r="E13" s="51" t="s">
        <v>360</v>
      </c>
      <c r="F13" s="50">
        <v>960</v>
      </c>
      <c r="G13" s="50">
        <v>55</v>
      </c>
      <c r="H13" s="47">
        <f t="shared" si="0"/>
        <v>5.7291666666666664E-2</v>
      </c>
      <c r="I13" s="54" t="s">
        <v>322</v>
      </c>
      <c r="J13" s="45" t="s">
        <v>128</v>
      </c>
      <c r="K13" s="42">
        <v>55</v>
      </c>
      <c r="L13" s="20">
        <v>10.037000000000001</v>
      </c>
      <c r="M13" s="20">
        <f t="shared" si="1"/>
        <v>552.03500000000008</v>
      </c>
    </row>
    <row r="14" spans="1:13" ht="21" customHeight="1" x14ac:dyDescent="0.25">
      <c r="A14" s="55">
        <v>45788</v>
      </c>
      <c r="B14" s="49" t="s">
        <v>265</v>
      </c>
      <c r="C14" s="49" t="s">
        <v>485</v>
      </c>
      <c r="D14" s="51" t="s">
        <v>327</v>
      </c>
      <c r="E14" s="51" t="s">
        <v>360</v>
      </c>
      <c r="F14" s="50">
        <v>2160</v>
      </c>
      <c r="G14" s="50">
        <v>56</v>
      </c>
      <c r="H14" s="47">
        <f t="shared" si="0"/>
        <v>2.5925925925925925E-2</v>
      </c>
      <c r="I14" s="54" t="s">
        <v>322</v>
      </c>
      <c r="J14" s="45" t="s">
        <v>128</v>
      </c>
      <c r="K14" s="50">
        <v>56</v>
      </c>
      <c r="L14" s="20">
        <v>10.037000000000001</v>
      </c>
      <c r="M14" s="20">
        <f t="shared" si="1"/>
        <v>562.072</v>
      </c>
    </row>
    <row r="15" spans="1:13" ht="21" customHeight="1" x14ac:dyDescent="0.25">
      <c r="A15" s="55">
        <v>45782</v>
      </c>
      <c r="B15" s="49" t="s">
        <v>265</v>
      </c>
      <c r="C15" s="49" t="s">
        <v>485</v>
      </c>
      <c r="D15" s="51" t="s">
        <v>327</v>
      </c>
      <c r="E15" s="51" t="s">
        <v>360</v>
      </c>
      <c r="F15" s="50">
        <v>760</v>
      </c>
      <c r="G15" s="50">
        <f>18+35</f>
        <v>53</v>
      </c>
      <c r="H15" s="47">
        <f t="shared" si="0"/>
        <v>6.9736842105263153E-2</v>
      </c>
      <c r="I15" s="46" t="s">
        <v>274</v>
      </c>
      <c r="J15" s="45" t="s">
        <v>128</v>
      </c>
      <c r="K15" s="42">
        <f>G15</f>
        <v>53</v>
      </c>
      <c r="L15" s="20">
        <v>10.037000000000001</v>
      </c>
      <c r="M15" s="20">
        <f t="shared" si="1"/>
        <v>531.96100000000001</v>
      </c>
    </row>
    <row r="16" spans="1:13" ht="21" customHeight="1" x14ac:dyDescent="0.25">
      <c r="A16" s="55">
        <v>45806</v>
      </c>
      <c r="B16" s="49" t="s">
        <v>265</v>
      </c>
      <c r="C16" s="49" t="s">
        <v>485</v>
      </c>
      <c r="D16" s="49" t="s">
        <v>327</v>
      </c>
      <c r="E16" s="49" t="s">
        <v>360</v>
      </c>
      <c r="F16" s="50">
        <v>2624</v>
      </c>
      <c r="G16" s="50">
        <f>12+33</f>
        <v>45</v>
      </c>
      <c r="H16" s="47">
        <f t="shared" si="0"/>
        <v>1.714939024390244E-2</v>
      </c>
      <c r="I16" s="46" t="s">
        <v>319</v>
      </c>
      <c r="J16" s="45" t="s">
        <v>128</v>
      </c>
      <c r="K16" s="42">
        <v>45</v>
      </c>
      <c r="L16" s="20">
        <v>10.037000000000001</v>
      </c>
      <c r="M16" s="20">
        <f t="shared" si="1"/>
        <v>451.66500000000002</v>
      </c>
    </row>
    <row r="17" spans="1:13" ht="21" customHeight="1" x14ac:dyDescent="0.25">
      <c r="A17" s="55">
        <v>45803</v>
      </c>
      <c r="B17" s="49" t="s">
        <v>265</v>
      </c>
      <c r="C17" s="49" t="s">
        <v>485</v>
      </c>
      <c r="D17" s="49" t="s">
        <v>327</v>
      </c>
      <c r="E17" s="49" t="s">
        <v>360</v>
      </c>
      <c r="F17" s="50">
        <v>2240</v>
      </c>
      <c r="G17" s="50">
        <v>44</v>
      </c>
      <c r="H17" s="47">
        <f t="shared" si="0"/>
        <v>1.9642857142857142E-2</v>
      </c>
      <c r="I17" s="46" t="s">
        <v>319</v>
      </c>
      <c r="J17" s="45" t="s">
        <v>128</v>
      </c>
      <c r="K17" s="42">
        <v>44</v>
      </c>
      <c r="L17" s="20">
        <v>10.037000000000001</v>
      </c>
      <c r="M17" s="20">
        <f t="shared" si="1"/>
        <v>441.62800000000004</v>
      </c>
    </row>
    <row r="18" spans="1:13" ht="21" customHeight="1" x14ac:dyDescent="0.25">
      <c r="A18" s="55">
        <v>45805</v>
      </c>
      <c r="B18" s="49" t="s">
        <v>265</v>
      </c>
      <c r="C18" s="49" t="s">
        <v>485</v>
      </c>
      <c r="D18" s="49" t="s">
        <v>327</v>
      </c>
      <c r="E18" s="49" t="s">
        <v>360</v>
      </c>
      <c r="F18" s="50">
        <f>320+3200</f>
        <v>3520</v>
      </c>
      <c r="G18" s="50">
        <v>43</v>
      </c>
      <c r="H18" s="47">
        <f t="shared" si="0"/>
        <v>1.2215909090909092E-2</v>
      </c>
      <c r="I18" s="46" t="s">
        <v>319</v>
      </c>
      <c r="J18" s="45" t="s">
        <v>128</v>
      </c>
      <c r="K18" s="42">
        <v>43</v>
      </c>
      <c r="L18" s="20">
        <v>10.037000000000001</v>
      </c>
      <c r="M18" s="20">
        <f t="shared" si="1"/>
        <v>431.59100000000001</v>
      </c>
    </row>
    <row r="19" spans="1:13" ht="21" customHeight="1" x14ac:dyDescent="0.25">
      <c r="A19" s="55">
        <v>45792</v>
      </c>
      <c r="B19" s="49" t="s">
        <v>265</v>
      </c>
      <c r="C19" s="49" t="s">
        <v>485</v>
      </c>
      <c r="D19" s="51" t="s">
        <v>327</v>
      </c>
      <c r="E19" s="51" t="s">
        <v>360</v>
      </c>
      <c r="F19" s="50">
        <v>1664</v>
      </c>
      <c r="G19" s="50">
        <v>37</v>
      </c>
      <c r="H19" s="47">
        <f t="shared" si="0"/>
        <v>2.2235576923076924E-2</v>
      </c>
      <c r="I19" s="54" t="s">
        <v>322</v>
      </c>
      <c r="J19" s="45" t="s">
        <v>128</v>
      </c>
      <c r="K19" s="42">
        <v>37</v>
      </c>
      <c r="L19" s="20">
        <v>10.037000000000001</v>
      </c>
      <c r="M19" s="20">
        <f t="shared" si="1"/>
        <v>371.36900000000003</v>
      </c>
    </row>
    <row r="20" spans="1:13" ht="21" customHeight="1" x14ac:dyDescent="0.25">
      <c r="A20" s="55">
        <v>45787</v>
      </c>
      <c r="B20" s="49" t="s">
        <v>265</v>
      </c>
      <c r="C20" s="49" t="s">
        <v>485</v>
      </c>
      <c r="D20" s="49" t="s">
        <v>327</v>
      </c>
      <c r="E20" s="49" t="s">
        <v>360</v>
      </c>
      <c r="F20" s="50">
        <v>560</v>
      </c>
      <c r="G20" s="50">
        <v>29</v>
      </c>
      <c r="H20" s="47">
        <f t="shared" si="0"/>
        <v>5.1785714285714289E-2</v>
      </c>
      <c r="I20" s="46" t="s">
        <v>319</v>
      </c>
      <c r="J20" s="45" t="s">
        <v>128</v>
      </c>
      <c r="K20" s="50">
        <v>29</v>
      </c>
      <c r="L20" s="20">
        <v>10.037000000000001</v>
      </c>
      <c r="M20" s="20">
        <f t="shared" si="1"/>
        <v>291.07300000000004</v>
      </c>
    </row>
    <row r="21" spans="1:13" ht="21" customHeight="1" x14ac:dyDescent="0.25">
      <c r="A21" s="55">
        <v>45789</v>
      </c>
      <c r="B21" s="49" t="s">
        <v>265</v>
      </c>
      <c r="C21" s="49" t="s">
        <v>485</v>
      </c>
      <c r="D21" s="51" t="s">
        <v>327</v>
      </c>
      <c r="E21" s="51" t="s">
        <v>360</v>
      </c>
      <c r="F21" s="50">
        <v>1176</v>
      </c>
      <c r="G21" s="50">
        <f>19+10</f>
        <v>29</v>
      </c>
      <c r="H21" s="47">
        <f t="shared" si="0"/>
        <v>2.4659863945578231E-2</v>
      </c>
      <c r="I21" s="54" t="s">
        <v>322</v>
      </c>
      <c r="J21" s="45" t="s">
        <v>128</v>
      </c>
      <c r="K21" s="42">
        <v>29</v>
      </c>
      <c r="L21" s="20">
        <v>10.037000000000001</v>
      </c>
      <c r="M21" s="20">
        <f t="shared" si="1"/>
        <v>291.07300000000004</v>
      </c>
    </row>
    <row r="22" spans="1:13" ht="21" customHeight="1" x14ac:dyDescent="0.25">
      <c r="A22" s="55">
        <v>45790</v>
      </c>
      <c r="B22" s="49" t="s">
        <v>265</v>
      </c>
      <c r="C22" s="49" t="s">
        <v>485</v>
      </c>
      <c r="D22" s="51" t="s">
        <v>327</v>
      </c>
      <c r="E22" s="51" t="s">
        <v>360</v>
      </c>
      <c r="F22" s="50">
        <v>1176</v>
      </c>
      <c r="G22" s="50">
        <f>19+10</f>
        <v>29</v>
      </c>
      <c r="H22" s="47">
        <f t="shared" si="0"/>
        <v>2.4659863945578231E-2</v>
      </c>
      <c r="I22" s="54" t="s">
        <v>322</v>
      </c>
      <c r="J22" s="45" t="s">
        <v>128</v>
      </c>
      <c r="K22" s="42">
        <v>29</v>
      </c>
      <c r="L22" s="20">
        <v>10.037000000000001</v>
      </c>
      <c r="M22" s="20">
        <f t="shared" si="1"/>
        <v>291.07300000000004</v>
      </c>
    </row>
    <row r="23" spans="1:13" ht="21" customHeight="1" x14ac:dyDescent="0.25">
      <c r="A23" s="55">
        <v>45791</v>
      </c>
      <c r="B23" s="49" t="s">
        <v>265</v>
      </c>
      <c r="C23" s="49" t="s">
        <v>485</v>
      </c>
      <c r="D23" s="51" t="s">
        <v>327</v>
      </c>
      <c r="E23" s="51" t="s">
        <v>360</v>
      </c>
      <c r="F23" s="50">
        <v>960</v>
      </c>
      <c r="G23" s="50">
        <v>17</v>
      </c>
      <c r="H23" s="47">
        <f t="shared" si="0"/>
        <v>1.7708333333333333E-2</v>
      </c>
      <c r="I23" s="54" t="s">
        <v>322</v>
      </c>
      <c r="J23" s="45" t="s">
        <v>128</v>
      </c>
      <c r="K23" s="42">
        <v>17</v>
      </c>
      <c r="L23" s="20">
        <v>10.037000000000001</v>
      </c>
      <c r="M23" s="20">
        <f t="shared" si="1"/>
        <v>170.62900000000002</v>
      </c>
    </row>
    <row r="24" spans="1:13" ht="21" customHeight="1" x14ac:dyDescent="0.25">
      <c r="A24" s="55">
        <v>45799</v>
      </c>
      <c r="B24" s="49" t="s">
        <v>265</v>
      </c>
      <c r="C24" s="49" t="s">
        <v>485</v>
      </c>
      <c r="D24" s="49" t="s">
        <v>327</v>
      </c>
      <c r="E24" s="49" t="s">
        <v>360</v>
      </c>
      <c r="F24" s="50">
        <v>640</v>
      </c>
      <c r="G24" s="50">
        <v>17</v>
      </c>
      <c r="H24" s="47">
        <f t="shared" si="0"/>
        <v>2.6562499999999999E-2</v>
      </c>
      <c r="I24" s="46" t="s">
        <v>319</v>
      </c>
      <c r="J24" s="45" t="s">
        <v>128</v>
      </c>
      <c r="K24" s="42">
        <v>17</v>
      </c>
      <c r="L24" s="20">
        <v>10.037000000000001</v>
      </c>
      <c r="M24" s="20">
        <f t="shared" si="1"/>
        <v>170.62900000000002</v>
      </c>
    </row>
    <row r="25" spans="1:13" ht="21" customHeight="1" x14ac:dyDescent="0.25">
      <c r="A25" s="55">
        <v>45807</v>
      </c>
      <c r="B25" s="49" t="s">
        <v>265</v>
      </c>
      <c r="C25" s="49" t="s">
        <v>485</v>
      </c>
      <c r="D25" s="49" t="s">
        <v>327</v>
      </c>
      <c r="E25" s="49" t="s">
        <v>360</v>
      </c>
      <c r="F25" s="50">
        <v>1000</v>
      </c>
      <c r="G25" s="50">
        <v>8</v>
      </c>
      <c r="H25" s="47">
        <f t="shared" si="0"/>
        <v>8.0000000000000002E-3</v>
      </c>
      <c r="I25" s="46" t="s">
        <v>315</v>
      </c>
      <c r="J25" s="45" t="s">
        <v>128</v>
      </c>
      <c r="K25" s="42">
        <v>8</v>
      </c>
      <c r="L25" s="20">
        <v>10.037000000000001</v>
      </c>
      <c r="M25" s="20">
        <f t="shared" si="1"/>
        <v>80.296000000000006</v>
      </c>
    </row>
    <row r="26" spans="1:13" ht="21" customHeight="1" x14ac:dyDescent="0.25">
      <c r="A26" s="55">
        <v>45796</v>
      </c>
      <c r="B26" s="49" t="s">
        <v>265</v>
      </c>
      <c r="C26" s="49" t="s">
        <v>485</v>
      </c>
      <c r="D26" s="49" t="s">
        <v>327</v>
      </c>
      <c r="E26" s="49" t="s">
        <v>360</v>
      </c>
      <c r="F26" s="50">
        <v>640</v>
      </c>
      <c r="G26" s="50">
        <v>7</v>
      </c>
      <c r="H26" s="47">
        <f t="shared" si="0"/>
        <v>1.0937499999999999E-2</v>
      </c>
      <c r="I26" s="46" t="s">
        <v>319</v>
      </c>
      <c r="J26" s="45" t="s">
        <v>128</v>
      </c>
      <c r="K26" s="50">
        <v>7</v>
      </c>
      <c r="L26" s="20">
        <v>10.037000000000001</v>
      </c>
      <c r="M26" s="20">
        <f t="shared" si="1"/>
        <v>70.259</v>
      </c>
    </row>
    <row r="27" spans="1:13" ht="21" customHeight="1" x14ac:dyDescent="0.25">
      <c r="A27" s="55">
        <v>45793</v>
      </c>
      <c r="B27" s="49" t="s">
        <v>265</v>
      </c>
      <c r="C27" s="49" t="s">
        <v>485</v>
      </c>
      <c r="D27" s="49" t="s">
        <v>129</v>
      </c>
      <c r="E27" s="49" t="s">
        <v>130</v>
      </c>
      <c r="F27" s="50">
        <v>950</v>
      </c>
      <c r="G27" s="50">
        <v>44</v>
      </c>
      <c r="H27" s="47">
        <f t="shared" si="0"/>
        <v>4.6315789473684213E-2</v>
      </c>
      <c r="I27" s="46"/>
      <c r="J27" s="52" t="s">
        <v>321</v>
      </c>
      <c r="K27" s="4">
        <v>44</v>
      </c>
      <c r="L27" s="21">
        <v>11.968999999999999</v>
      </c>
      <c r="M27" s="20">
        <f t="shared" si="1"/>
        <v>526.63599999999997</v>
      </c>
    </row>
    <row r="28" spans="1:13" ht="21" customHeight="1" x14ac:dyDescent="0.25">
      <c r="A28" s="55">
        <v>45794</v>
      </c>
      <c r="B28" s="49" t="s">
        <v>265</v>
      </c>
      <c r="C28" s="49" t="s">
        <v>485</v>
      </c>
      <c r="D28" s="49" t="s">
        <v>165</v>
      </c>
      <c r="E28" s="49" t="s">
        <v>455</v>
      </c>
      <c r="F28" s="50">
        <v>275</v>
      </c>
      <c r="G28" s="50">
        <v>7</v>
      </c>
      <c r="H28" s="47">
        <f t="shared" si="0"/>
        <v>2.5454545454545455E-2</v>
      </c>
      <c r="I28" s="54" t="s">
        <v>322</v>
      </c>
      <c r="J28" s="52" t="s">
        <v>321</v>
      </c>
      <c r="K28" s="42">
        <v>7</v>
      </c>
      <c r="L28" s="20">
        <v>12.8642</v>
      </c>
      <c r="M28" s="20">
        <f t="shared" si="1"/>
        <v>90.049400000000006</v>
      </c>
    </row>
    <row r="29" spans="1:13" ht="21" customHeight="1" x14ac:dyDescent="0.25">
      <c r="A29" s="55">
        <v>45791</v>
      </c>
      <c r="B29" s="49" t="s">
        <v>265</v>
      </c>
      <c r="C29" s="49" t="s">
        <v>485</v>
      </c>
      <c r="D29" s="51" t="s">
        <v>165</v>
      </c>
      <c r="E29" s="49" t="s">
        <v>455</v>
      </c>
      <c r="F29" s="50">
        <v>1295</v>
      </c>
      <c r="G29" s="50">
        <v>6</v>
      </c>
      <c r="H29" s="47">
        <f t="shared" si="0"/>
        <v>4.633204633204633E-3</v>
      </c>
      <c r="I29" s="54" t="s">
        <v>322</v>
      </c>
      <c r="J29" s="52" t="s">
        <v>321</v>
      </c>
      <c r="K29" s="42">
        <v>6</v>
      </c>
      <c r="L29" s="20">
        <v>12.8642</v>
      </c>
      <c r="M29" s="20">
        <f t="shared" si="1"/>
        <v>77.185200000000009</v>
      </c>
    </row>
    <row r="30" spans="1:13" ht="21" customHeight="1" x14ac:dyDescent="0.25">
      <c r="A30" s="55">
        <v>45802</v>
      </c>
      <c r="B30" s="49" t="s">
        <v>268</v>
      </c>
      <c r="C30" s="49" t="s">
        <v>485</v>
      </c>
      <c r="D30" s="49" t="s">
        <v>456</v>
      </c>
      <c r="E30" s="51" t="s">
        <v>378</v>
      </c>
      <c r="F30" s="50">
        <v>752</v>
      </c>
      <c r="G30" s="50">
        <v>6</v>
      </c>
      <c r="H30" s="47">
        <f t="shared" si="0"/>
        <v>7.9787234042553185E-3</v>
      </c>
      <c r="I30" s="46"/>
      <c r="J30" s="52" t="s">
        <v>321</v>
      </c>
      <c r="K30" s="42">
        <v>6</v>
      </c>
      <c r="L30" s="20">
        <v>30.68</v>
      </c>
      <c r="M30" s="20">
        <f t="shared" si="1"/>
        <v>184.07999999999998</v>
      </c>
    </row>
    <row r="31" spans="1:13" ht="21" customHeight="1" x14ac:dyDescent="0.25">
      <c r="A31" s="55">
        <v>45797</v>
      </c>
      <c r="B31" s="49" t="s">
        <v>268</v>
      </c>
      <c r="C31" s="49" t="s">
        <v>485</v>
      </c>
      <c r="D31" s="51" t="s">
        <v>156</v>
      </c>
      <c r="E31" s="51" t="s">
        <v>378</v>
      </c>
      <c r="F31" s="50">
        <v>256</v>
      </c>
      <c r="G31" s="50">
        <v>4</v>
      </c>
      <c r="H31" s="47">
        <f t="shared" si="0"/>
        <v>1.5625E-2</v>
      </c>
      <c r="I31" s="54"/>
      <c r="J31" s="52" t="s">
        <v>321</v>
      </c>
      <c r="K31" s="42">
        <v>4</v>
      </c>
      <c r="L31" s="20">
        <v>30.68</v>
      </c>
      <c r="M31" s="20">
        <f t="shared" si="1"/>
        <v>122.72</v>
      </c>
    </row>
    <row r="32" spans="1:13" ht="21" customHeight="1" x14ac:dyDescent="0.25">
      <c r="A32" s="55">
        <v>45798</v>
      </c>
      <c r="B32" s="49" t="s">
        <v>268</v>
      </c>
      <c r="C32" s="49" t="s">
        <v>485</v>
      </c>
      <c r="D32" s="51" t="s">
        <v>156</v>
      </c>
      <c r="E32" s="51" t="s">
        <v>378</v>
      </c>
      <c r="F32" s="50">
        <v>512</v>
      </c>
      <c r="G32" s="50">
        <v>3</v>
      </c>
      <c r="H32" s="47">
        <f t="shared" si="0"/>
        <v>5.859375E-3</v>
      </c>
      <c r="I32" s="46"/>
      <c r="J32" s="52" t="s">
        <v>321</v>
      </c>
      <c r="K32" s="42">
        <v>3</v>
      </c>
      <c r="L32" s="20">
        <v>30.68</v>
      </c>
      <c r="M32" s="20">
        <f t="shared" si="1"/>
        <v>92.039999999999992</v>
      </c>
    </row>
    <row r="33" spans="1:13" ht="21" customHeight="1" x14ac:dyDescent="0.25">
      <c r="A33" s="55">
        <v>45801</v>
      </c>
      <c r="B33" s="49" t="s">
        <v>268</v>
      </c>
      <c r="C33" s="49" t="s">
        <v>485</v>
      </c>
      <c r="D33" s="51" t="s">
        <v>156</v>
      </c>
      <c r="E33" s="51" t="s">
        <v>378</v>
      </c>
      <c r="F33" s="50">
        <v>1024</v>
      </c>
      <c r="G33" s="50">
        <v>3</v>
      </c>
      <c r="H33" s="47">
        <f t="shared" si="0"/>
        <v>2.9296875E-3</v>
      </c>
      <c r="I33" s="46"/>
      <c r="J33" s="52" t="s">
        <v>321</v>
      </c>
      <c r="K33" s="42">
        <v>3</v>
      </c>
      <c r="L33" s="20">
        <v>30.68</v>
      </c>
      <c r="M33" s="20">
        <f t="shared" si="1"/>
        <v>92.039999999999992</v>
      </c>
    </row>
    <row r="34" spans="1:13" ht="21" customHeight="1" x14ac:dyDescent="0.25">
      <c r="A34" s="55">
        <v>45787</v>
      </c>
      <c r="B34" s="49" t="s">
        <v>268</v>
      </c>
      <c r="C34" s="49" t="s">
        <v>485</v>
      </c>
      <c r="D34" s="51" t="s">
        <v>156</v>
      </c>
      <c r="E34" s="51" t="s">
        <v>378</v>
      </c>
      <c r="F34" s="50">
        <v>598</v>
      </c>
      <c r="G34" s="50">
        <v>2</v>
      </c>
      <c r="H34" s="47">
        <f t="shared" si="0"/>
        <v>3.3444816053511705E-3</v>
      </c>
      <c r="I34" s="46"/>
      <c r="J34" s="52" t="s">
        <v>321</v>
      </c>
      <c r="K34" s="42">
        <v>2</v>
      </c>
      <c r="L34" s="20">
        <v>30.68</v>
      </c>
      <c r="M34" s="20">
        <f t="shared" si="1"/>
        <v>61.36</v>
      </c>
    </row>
    <row r="35" spans="1:13" ht="21" customHeight="1" x14ac:dyDescent="0.25">
      <c r="A35" s="55">
        <v>45788</v>
      </c>
      <c r="B35" s="49" t="s">
        <v>320</v>
      </c>
      <c r="C35" s="49" t="s">
        <v>487</v>
      </c>
      <c r="D35" s="49" t="s">
        <v>301</v>
      </c>
      <c r="E35" s="49" t="s">
        <v>357</v>
      </c>
      <c r="F35" s="50">
        <v>504</v>
      </c>
      <c r="G35" s="50">
        <v>9</v>
      </c>
      <c r="H35" s="47">
        <f t="shared" si="0"/>
        <v>1.7857142857142856E-2</v>
      </c>
      <c r="I35" s="46"/>
      <c r="J35" s="52" t="s">
        <v>128</v>
      </c>
      <c r="K35" s="50">
        <v>43</v>
      </c>
      <c r="L35" s="20">
        <v>51.675699999999999</v>
      </c>
      <c r="M35" s="20">
        <f t="shared" si="1"/>
        <v>2222.0551</v>
      </c>
    </row>
    <row r="36" spans="1:13" ht="21" customHeight="1" x14ac:dyDescent="0.25">
      <c r="A36" s="55">
        <v>45795</v>
      </c>
      <c r="B36" s="49" t="s">
        <v>320</v>
      </c>
      <c r="C36" s="49" t="s">
        <v>485</v>
      </c>
      <c r="D36" s="49" t="s">
        <v>302</v>
      </c>
      <c r="E36" s="49" t="s">
        <v>380</v>
      </c>
      <c r="F36" s="50">
        <v>176</v>
      </c>
      <c r="G36" s="50">
        <f>18+5+1</f>
        <v>24</v>
      </c>
      <c r="H36" s="47">
        <f t="shared" si="0"/>
        <v>0.13636363636363635</v>
      </c>
      <c r="I36" s="46"/>
      <c r="J36" s="52" t="s">
        <v>321</v>
      </c>
      <c r="K36" s="42">
        <v>24</v>
      </c>
      <c r="L36" s="20">
        <v>15</v>
      </c>
      <c r="M36" s="20">
        <f t="shared" si="1"/>
        <v>360</v>
      </c>
    </row>
    <row r="37" spans="1:13" ht="21" customHeight="1" x14ac:dyDescent="0.25">
      <c r="A37" s="55">
        <v>45794</v>
      </c>
      <c r="B37" s="49" t="s">
        <v>320</v>
      </c>
      <c r="C37" s="49" t="s">
        <v>485</v>
      </c>
      <c r="D37" s="49" t="s">
        <v>302</v>
      </c>
      <c r="E37" s="49" t="s">
        <v>380</v>
      </c>
      <c r="F37" s="50">
        <v>240</v>
      </c>
      <c r="G37" s="50">
        <v>1</v>
      </c>
      <c r="H37" s="47">
        <f t="shared" si="0"/>
        <v>4.1666666666666666E-3</v>
      </c>
      <c r="I37" s="46"/>
      <c r="J37" s="52" t="s">
        <v>321</v>
      </c>
      <c r="K37" s="42">
        <v>1</v>
      </c>
      <c r="L37" s="20">
        <v>15</v>
      </c>
      <c r="M37" s="20">
        <f t="shared" si="1"/>
        <v>15</v>
      </c>
    </row>
    <row r="38" spans="1:13" ht="21" customHeight="1" x14ac:dyDescent="0.25">
      <c r="A38" s="55">
        <v>45793</v>
      </c>
      <c r="B38" s="49" t="s">
        <v>320</v>
      </c>
      <c r="C38" s="49" t="s">
        <v>485</v>
      </c>
      <c r="D38" s="49" t="s">
        <v>302</v>
      </c>
      <c r="E38" s="49" t="s">
        <v>380</v>
      </c>
      <c r="F38" s="50">
        <v>288</v>
      </c>
      <c r="G38" s="50">
        <v>4</v>
      </c>
      <c r="H38" s="47">
        <f t="shared" si="0"/>
        <v>1.3888888888888888E-2</v>
      </c>
      <c r="I38" s="46"/>
      <c r="J38" s="52" t="s">
        <v>321</v>
      </c>
      <c r="K38" s="48">
        <v>4</v>
      </c>
      <c r="L38" s="20">
        <v>15</v>
      </c>
      <c r="M38" s="20">
        <f t="shared" si="1"/>
        <v>60</v>
      </c>
    </row>
    <row r="39" spans="1:13" ht="21" customHeight="1" x14ac:dyDescent="0.25">
      <c r="A39" s="55">
        <v>45789</v>
      </c>
      <c r="B39" s="49" t="s">
        <v>320</v>
      </c>
      <c r="C39" s="49" t="s">
        <v>485</v>
      </c>
      <c r="D39" s="49" t="s">
        <v>302</v>
      </c>
      <c r="E39" s="49" t="s">
        <v>457</v>
      </c>
      <c r="F39" s="50">
        <v>384</v>
      </c>
      <c r="G39" s="50">
        <f>4+136</f>
        <v>140</v>
      </c>
      <c r="H39" s="47">
        <f t="shared" si="0"/>
        <v>0.36458333333333331</v>
      </c>
      <c r="I39" s="46"/>
      <c r="J39" s="52" t="s">
        <v>321</v>
      </c>
      <c r="K39" s="42">
        <v>140</v>
      </c>
      <c r="L39" s="20">
        <v>15</v>
      </c>
      <c r="M39" s="20">
        <f t="shared" si="1"/>
        <v>2100</v>
      </c>
    </row>
    <row r="40" spans="1:13" ht="21" customHeight="1" x14ac:dyDescent="0.25">
      <c r="A40" s="55">
        <v>45790</v>
      </c>
      <c r="B40" s="49" t="s">
        <v>320</v>
      </c>
      <c r="C40" s="49" t="s">
        <v>485</v>
      </c>
      <c r="D40" s="49" t="s">
        <v>302</v>
      </c>
      <c r="E40" s="49" t="s">
        <v>380</v>
      </c>
      <c r="F40" s="50">
        <v>384</v>
      </c>
      <c r="G40" s="50">
        <f>4+136</f>
        <v>140</v>
      </c>
      <c r="H40" s="47">
        <f t="shared" si="0"/>
        <v>0.36458333333333331</v>
      </c>
      <c r="I40" s="46"/>
      <c r="J40" s="52" t="s">
        <v>321</v>
      </c>
      <c r="K40" s="42">
        <v>140</v>
      </c>
      <c r="L40" s="20">
        <v>15</v>
      </c>
      <c r="M40" s="20">
        <f t="shared" si="1"/>
        <v>2100</v>
      </c>
    </row>
    <row r="41" spans="1:13" ht="21" customHeight="1" x14ac:dyDescent="0.25">
      <c r="A41" s="55">
        <v>45801</v>
      </c>
      <c r="B41" s="51" t="s">
        <v>276</v>
      </c>
      <c r="C41" s="49" t="s">
        <v>485</v>
      </c>
      <c r="D41" s="49" t="s">
        <v>335</v>
      </c>
      <c r="E41" s="49" t="s">
        <v>380</v>
      </c>
      <c r="F41" s="50">
        <v>480</v>
      </c>
      <c r="G41" s="50">
        <f>44+8</f>
        <v>52</v>
      </c>
      <c r="H41" s="47">
        <f t="shared" si="0"/>
        <v>0.10833333333333334</v>
      </c>
      <c r="I41" s="46"/>
      <c r="J41" s="52" t="s">
        <v>321</v>
      </c>
      <c r="K41" s="42">
        <v>52</v>
      </c>
      <c r="L41" s="20">
        <v>15</v>
      </c>
      <c r="M41" s="20">
        <f t="shared" si="1"/>
        <v>780</v>
      </c>
    </row>
    <row r="42" spans="1:13" ht="21" customHeight="1" x14ac:dyDescent="0.25">
      <c r="A42" s="55">
        <v>45802</v>
      </c>
      <c r="B42" s="51" t="s">
        <v>276</v>
      </c>
      <c r="C42" s="49" t="s">
        <v>485</v>
      </c>
      <c r="D42" s="49" t="s">
        <v>335</v>
      </c>
      <c r="E42" s="49" t="s">
        <v>380</v>
      </c>
      <c r="F42" s="50">
        <f>240+416</f>
        <v>656</v>
      </c>
      <c r="G42" s="50">
        <f>116+4+7</f>
        <v>127</v>
      </c>
      <c r="H42" s="47">
        <f t="shared" si="0"/>
        <v>0.19359756097560976</v>
      </c>
      <c r="I42" s="46"/>
      <c r="J42" s="52" t="s">
        <v>321</v>
      </c>
      <c r="K42" s="42">
        <v>127</v>
      </c>
      <c r="L42" s="20">
        <v>15</v>
      </c>
      <c r="M42" s="20">
        <f t="shared" si="1"/>
        <v>1905</v>
      </c>
    </row>
    <row r="43" spans="1:13" ht="21" customHeight="1" x14ac:dyDescent="0.25">
      <c r="A43" s="55">
        <v>45794</v>
      </c>
      <c r="B43" s="49" t="s">
        <v>320</v>
      </c>
      <c r="C43" s="49" t="s">
        <v>485</v>
      </c>
      <c r="D43" s="49" t="s">
        <v>282</v>
      </c>
      <c r="E43" s="49" t="s">
        <v>458</v>
      </c>
      <c r="F43" s="50">
        <v>468</v>
      </c>
      <c r="G43" s="50">
        <f>8+15</f>
        <v>23</v>
      </c>
      <c r="H43" s="47">
        <f t="shared" si="0"/>
        <v>4.9145299145299144E-2</v>
      </c>
      <c r="I43" s="46"/>
      <c r="J43" s="45" t="s">
        <v>128</v>
      </c>
      <c r="K43" s="42">
        <v>23</v>
      </c>
      <c r="L43" s="20">
        <v>16.5</v>
      </c>
      <c r="M43" s="20">
        <f t="shared" si="1"/>
        <v>379.5</v>
      </c>
    </row>
    <row r="44" spans="1:13" ht="21" customHeight="1" x14ac:dyDescent="0.25">
      <c r="A44" s="55">
        <v>45792</v>
      </c>
      <c r="B44" s="49" t="s">
        <v>320</v>
      </c>
      <c r="C44" s="49" t="s">
        <v>485</v>
      </c>
      <c r="D44" s="49" t="s">
        <v>282</v>
      </c>
      <c r="E44" s="51" t="s">
        <v>381</v>
      </c>
      <c r="F44" s="50">
        <v>432</v>
      </c>
      <c r="G44" s="50">
        <v>15</v>
      </c>
      <c r="H44" s="47">
        <f t="shared" si="0"/>
        <v>3.4722222222222224E-2</v>
      </c>
      <c r="I44" s="46"/>
      <c r="J44" s="45" t="s">
        <v>128</v>
      </c>
      <c r="K44" s="42">
        <v>15</v>
      </c>
      <c r="L44" s="20">
        <v>16.5</v>
      </c>
      <c r="M44" s="20">
        <f t="shared" si="1"/>
        <v>247.5</v>
      </c>
    </row>
    <row r="45" spans="1:13" ht="21" customHeight="1" x14ac:dyDescent="0.25">
      <c r="A45" s="55">
        <v>45782</v>
      </c>
      <c r="B45" s="49" t="s">
        <v>320</v>
      </c>
      <c r="C45" s="49" t="s">
        <v>485</v>
      </c>
      <c r="D45" s="51" t="s">
        <v>282</v>
      </c>
      <c r="E45" s="51" t="s">
        <v>381</v>
      </c>
      <c r="F45" s="50">
        <v>360</v>
      </c>
      <c r="G45" s="50">
        <v>9</v>
      </c>
      <c r="H45" s="47">
        <f t="shared" si="0"/>
        <v>2.5000000000000001E-2</v>
      </c>
      <c r="I45" s="46"/>
      <c r="J45" s="45" t="s">
        <v>128</v>
      </c>
      <c r="K45" s="42">
        <f>G45</f>
        <v>9</v>
      </c>
      <c r="L45" s="20">
        <v>16.5</v>
      </c>
      <c r="M45" s="20">
        <f t="shared" si="1"/>
        <v>148.5</v>
      </c>
    </row>
    <row r="46" spans="1:13" ht="21" customHeight="1" x14ac:dyDescent="0.25">
      <c r="A46" s="55">
        <v>45791</v>
      </c>
      <c r="B46" s="49" t="s">
        <v>320</v>
      </c>
      <c r="C46" s="49" t="s">
        <v>485</v>
      </c>
      <c r="D46" s="49" t="s">
        <v>282</v>
      </c>
      <c r="E46" s="51" t="s">
        <v>381</v>
      </c>
      <c r="F46" s="50">
        <v>360</v>
      </c>
      <c r="G46" s="50">
        <v>9</v>
      </c>
      <c r="H46" s="47">
        <f t="shared" si="0"/>
        <v>2.5000000000000001E-2</v>
      </c>
      <c r="I46" s="46"/>
      <c r="J46" s="45" t="s">
        <v>128</v>
      </c>
      <c r="K46" s="42">
        <v>9</v>
      </c>
      <c r="L46" s="20">
        <v>16.5</v>
      </c>
      <c r="M46" s="20">
        <f t="shared" si="1"/>
        <v>148.5</v>
      </c>
    </row>
    <row r="47" spans="1:13" ht="21" customHeight="1" x14ac:dyDescent="0.25">
      <c r="A47" s="55">
        <v>45787</v>
      </c>
      <c r="B47" s="49" t="s">
        <v>320</v>
      </c>
      <c r="C47" s="49" t="s">
        <v>485</v>
      </c>
      <c r="D47" s="49" t="s">
        <v>282</v>
      </c>
      <c r="E47" s="51" t="s">
        <v>381</v>
      </c>
      <c r="F47" s="50">
        <f>108+444</f>
        <v>552</v>
      </c>
      <c r="G47" s="50">
        <v>8</v>
      </c>
      <c r="H47" s="47">
        <f t="shared" si="0"/>
        <v>1.4492753623188406E-2</v>
      </c>
      <c r="I47" s="46"/>
      <c r="J47" s="45" t="s">
        <v>128</v>
      </c>
      <c r="K47" s="42">
        <v>8</v>
      </c>
      <c r="L47" s="20">
        <v>16.5</v>
      </c>
      <c r="M47" s="20">
        <f t="shared" si="1"/>
        <v>132</v>
      </c>
    </row>
    <row r="48" spans="1:13" ht="21" customHeight="1" x14ac:dyDescent="0.25">
      <c r="A48" s="55">
        <v>45794</v>
      </c>
      <c r="B48" s="49" t="s">
        <v>398</v>
      </c>
      <c r="C48" s="49" t="s">
        <v>486</v>
      </c>
      <c r="D48" s="49" t="s">
        <v>307</v>
      </c>
      <c r="E48" s="49" t="s">
        <v>459</v>
      </c>
      <c r="F48" s="50">
        <v>344</v>
      </c>
      <c r="G48" s="50">
        <v>6</v>
      </c>
      <c r="H48" s="47">
        <f t="shared" si="0"/>
        <v>1.7441860465116279E-2</v>
      </c>
      <c r="I48" s="54"/>
      <c r="J48" s="52" t="s">
        <v>321</v>
      </c>
      <c r="K48" s="4">
        <v>6</v>
      </c>
      <c r="L48" s="4">
        <v>10.1416</v>
      </c>
      <c r="M48" s="4">
        <f t="shared" si="1"/>
        <v>60.849600000000002</v>
      </c>
    </row>
    <row r="49" spans="1:13" ht="21" customHeight="1" x14ac:dyDescent="0.25">
      <c r="A49" s="55">
        <v>45793</v>
      </c>
      <c r="B49" s="49" t="s">
        <v>398</v>
      </c>
      <c r="C49" s="49" t="s">
        <v>486</v>
      </c>
      <c r="D49" s="49" t="s">
        <v>307</v>
      </c>
      <c r="E49" s="49" t="s">
        <v>385</v>
      </c>
      <c r="F49" s="50">
        <v>468</v>
      </c>
      <c r="G49" s="50">
        <v>1</v>
      </c>
      <c r="H49" s="47">
        <f t="shared" si="0"/>
        <v>2.136752136752137E-3</v>
      </c>
      <c r="I49" s="54"/>
      <c r="J49" s="52" t="s">
        <v>321</v>
      </c>
      <c r="K49" s="42">
        <v>1</v>
      </c>
      <c r="L49" s="4">
        <v>10.1416</v>
      </c>
      <c r="M49" s="4">
        <f t="shared" si="1"/>
        <v>10.1416</v>
      </c>
    </row>
    <row r="50" spans="1:13" ht="21" customHeight="1" x14ac:dyDescent="0.25">
      <c r="A50" s="55">
        <v>45792</v>
      </c>
      <c r="B50" s="51" t="s">
        <v>276</v>
      </c>
      <c r="C50" s="49" t="s">
        <v>485</v>
      </c>
      <c r="D50" s="51" t="s">
        <v>310</v>
      </c>
      <c r="E50" s="49" t="s">
        <v>460</v>
      </c>
      <c r="F50" s="50">
        <v>1020</v>
      </c>
      <c r="G50" s="50">
        <v>71</v>
      </c>
      <c r="H50" s="47">
        <f t="shared" si="0"/>
        <v>6.9607843137254904E-2</v>
      </c>
      <c r="I50" s="46" t="s">
        <v>264</v>
      </c>
      <c r="J50" s="45" t="s">
        <v>262</v>
      </c>
      <c r="K50" s="42">
        <v>71</v>
      </c>
      <c r="L50" s="20">
        <v>3.6282999999999999</v>
      </c>
      <c r="M50" s="20">
        <f t="shared" si="1"/>
        <v>257.60929999999996</v>
      </c>
    </row>
    <row r="51" spans="1:13" ht="21" customHeight="1" x14ac:dyDescent="0.25">
      <c r="A51" s="55">
        <v>45791</v>
      </c>
      <c r="B51" s="51" t="s">
        <v>276</v>
      </c>
      <c r="C51" s="49" t="s">
        <v>485</v>
      </c>
      <c r="D51" s="51" t="s">
        <v>310</v>
      </c>
      <c r="E51" s="51" t="s">
        <v>383</v>
      </c>
      <c r="F51" s="50">
        <v>1200</v>
      </c>
      <c r="G51" s="50">
        <v>64</v>
      </c>
      <c r="H51" s="47">
        <f t="shared" si="0"/>
        <v>5.3333333333333337E-2</v>
      </c>
      <c r="I51" s="46" t="s">
        <v>264</v>
      </c>
      <c r="J51" s="45" t="s">
        <v>262</v>
      </c>
      <c r="K51" s="42">
        <v>64</v>
      </c>
      <c r="L51" s="20">
        <v>3.6282999999999999</v>
      </c>
      <c r="M51" s="20">
        <f t="shared" si="1"/>
        <v>232.21119999999999</v>
      </c>
    </row>
    <row r="52" spans="1:13" ht="21" customHeight="1" x14ac:dyDescent="0.25">
      <c r="A52" s="55">
        <v>45806</v>
      </c>
      <c r="B52" s="51" t="s">
        <v>276</v>
      </c>
      <c r="C52" s="49" t="s">
        <v>485</v>
      </c>
      <c r="D52" s="51" t="s">
        <v>310</v>
      </c>
      <c r="E52" s="51" t="s">
        <v>383</v>
      </c>
      <c r="F52" s="50">
        <v>1080</v>
      </c>
      <c r="G52" s="50">
        <v>56</v>
      </c>
      <c r="H52" s="47">
        <f t="shared" si="0"/>
        <v>5.185185185185185E-2</v>
      </c>
      <c r="I52" s="46" t="s">
        <v>264</v>
      </c>
      <c r="J52" s="52" t="s">
        <v>321</v>
      </c>
      <c r="K52" s="42">
        <v>56</v>
      </c>
      <c r="L52" s="20">
        <v>3.6282999999999999</v>
      </c>
      <c r="M52" s="20">
        <f t="shared" si="1"/>
        <v>203.1848</v>
      </c>
    </row>
    <row r="53" spans="1:13" ht="21" customHeight="1" x14ac:dyDescent="0.25">
      <c r="A53" s="55">
        <v>45799</v>
      </c>
      <c r="B53" s="51" t="s">
        <v>276</v>
      </c>
      <c r="C53" s="49" t="s">
        <v>485</v>
      </c>
      <c r="D53" s="49" t="s">
        <v>310</v>
      </c>
      <c r="E53" s="51" t="s">
        <v>383</v>
      </c>
      <c r="F53" s="50">
        <v>1200</v>
      </c>
      <c r="G53" s="50">
        <v>38</v>
      </c>
      <c r="H53" s="47">
        <f t="shared" si="0"/>
        <v>3.1666666666666669E-2</v>
      </c>
      <c r="I53" s="46" t="s">
        <v>264</v>
      </c>
      <c r="J53" s="45" t="s">
        <v>262</v>
      </c>
      <c r="K53" s="42">
        <v>38</v>
      </c>
      <c r="L53" s="20">
        <v>3.6282999999999999</v>
      </c>
      <c r="M53" s="20">
        <f t="shared" si="1"/>
        <v>137.87539999999998</v>
      </c>
    </row>
    <row r="54" spans="1:13" ht="21" customHeight="1" x14ac:dyDescent="0.25">
      <c r="A54" s="55">
        <v>45796</v>
      </c>
      <c r="B54" s="51" t="s">
        <v>276</v>
      </c>
      <c r="C54" s="49" t="s">
        <v>485</v>
      </c>
      <c r="D54" s="49" t="s">
        <v>310</v>
      </c>
      <c r="E54" s="51" t="s">
        <v>383</v>
      </c>
      <c r="F54" s="50">
        <v>720</v>
      </c>
      <c r="G54" s="50">
        <v>34</v>
      </c>
      <c r="H54" s="47">
        <f t="shared" si="0"/>
        <v>4.7222222222222221E-2</v>
      </c>
      <c r="I54" s="46" t="s">
        <v>264</v>
      </c>
      <c r="J54" s="45" t="s">
        <v>262</v>
      </c>
      <c r="K54" s="42">
        <v>34</v>
      </c>
      <c r="L54" s="20">
        <v>3.6282999999999999</v>
      </c>
      <c r="M54" s="20">
        <f t="shared" si="1"/>
        <v>123.3622</v>
      </c>
    </row>
    <row r="55" spans="1:13" ht="21" customHeight="1" x14ac:dyDescent="0.25">
      <c r="A55" s="55">
        <v>45801</v>
      </c>
      <c r="B55" s="51" t="s">
        <v>276</v>
      </c>
      <c r="C55" s="49" t="s">
        <v>485</v>
      </c>
      <c r="D55" s="49" t="s">
        <v>310</v>
      </c>
      <c r="E55" s="51" t="s">
        <v>383</v>
      </c>
      <c r="F55" s="50">
        <v>180</v>
      </c>
      <c r="G55" s="50">
        <v>13</v>
      </c>
      <c r="H55" s="47">
        <f t="shared" si="0"/>
        <v>7.2222222222222215E-2</v>
      </c>
      <c r="I55" s="46" t="s">
        <v>264</v>
      </c>
      <c r="J55" s="45" t="s">
        <v>262</v>
      </c>
      <c r="K55" s="42">
        <v>13</v>
      </c>
      <c r="L55" s="20">
        <v>3.6282999999999999</v>
      </c>
      <c r="M55" s="20">
        <f t="shared" si="1"/>
        <v>47.167899999999996</v>
      </c>
    </row>
    <row r="56" spans="1:13" ht="21" customHeight="1" x14ac:dyDescent="0.25">
      <c r="A56" s="55">
        <v>45785</v>
      </c>
      <c r="B56" s="49" t="s">
        <v>276</v>
      </c>
      <c r="C56" s="49" t="s">
        <v>485</v>
      </c>
      <c r="D56" s="49" t="s">
        <v>284</v>
      </c>
      <c r="E56" s="49" t="s">
        <v>461</v>
      </c>
      <c r="F56" s="50">
        <v>1755</v>
      </c>
      <c r="G56" s="50">
        <f>198+560</f>
        <v>758</v>
      </c>
      <c r="H56" s="47">
        <f t="shared" si="0"/>
        <v>0.43190883190883189</v>
      </c>
      <c r="I56" s="46" t="s">
        <v>264</v>
      </c>
      <c r="J56" s="45" t="s">
        <v>128</v>
      </c>
      <c r="K56" s="42">
        <v>758</v>
      </c>
      <c r="L56" s="20">
        <v>4.6017999999999999</v>
      </c>
      <c r="M56" s="20">
        <f t="shared" si="1"/>
        <v>3488.1644000000001</v>
      </c>
    </row>
    <row r="57" spans="1:13" ht="21" customHeight="1" x14ac:dyDescent="0.25">
      <c r="A57" s="55">
        <v>45791</v>
      </c>
      <c r="B57" s="51" t="s">
        <v>276</v>
      </c>
      <c r="C57" s="49" t="s">
        <v>485</v>
      </c>
      <c r="D57" s="51" t="s">
        <v>284</v>
      </c>
      <c r="E57" s="49" t="s">
        <v>382</v>
      </c>
      <c r="F57" s="50">
        <v>495</v>
      </c>
      <c r="G57" s="50">
        <v>460</v>
      </c>
      <c r="H57" s="47">
        <f t="shared" si="0"/>
        <v>0.92929292929292928</v>
      </c>
      <c r="I57" s="46" t="s">
        <v>264</v>
      </c>
      <c r="J57" s="52" t="s">
        <v>321</v>
      </c>
      <c r="K57" s="42">
        <v>460</v>
      </c>
      <c r="L57" s="20">
        <v>4.6017999999999999</v>
      </c>
      <c r="M57" s="20">
        <f t="shared" si="1"/>
        <v>2116.828</v>
      </c>
    </row>
    <row r="58" spans="1:13" ht="21" customHeight="1" x14ac:dyDescent="0.25">
      <c r="A58" s="55">
        <v>45793</v>
      </c>
      <c r="B58" s="51" t="s">
        <v>276</v>
      </c>
      <c r="C58" s="49" t="s">
        <v>485</v>
      </c>
      <c r="D58" s="51" t="s">
        <v>284</v>
      </c>
      <c r="E58" s="49" t="s">
        <v>382</v>
      </c>
      <c r="F58" s="50">
        <v>1290</v>
      </c>
      <c r="G58" s="50">
        <v>68</v>
      </c>
      <c r="H58" s="47">
        <f t="shared" si="0"/>
        <v>5.2713178294573643E-2</v>
      </c>
      <c r="I58" s="46" t="s">
        <v>264</v>
      </c>
      <c r="J58" s="52" t="s">
        <v>321</v>
      </c>
      <c r="K58" s="42">
        <v>68</v>
      </c>
      <c r="L58" s="20">
        <v>4.6017999999999999</v>
      </c>
      <c r="M58" s="20">
        <f t="shared" si="1"/>
        <v>312.92239999999998</v>
      </c>
    </row>
    <row r="59" spans="1:13" ht="21" customHeight="1" x14ac:dyDescent="0.25">
      <c r="A59" s="55">
        <v>45789</v>
      </c>
      <c r="B59" s="51" t="s">
        <v>276</v>
      </c>
      <c r="C59" s="49" t="s">
        <v>485</v>
      </c>
      <c r="D59" s="51" t="s">
        <v>284</v>
      </c>
      <c r="E59" s="49" t="s">
        <v>382</v>
      </c>
      <c r="F59" s="50">
        <v>1260</v>
      </c>
      <c r="G59" s="50">
        <v>38</v>
      </c>
      <c r="H59" s="47">
        <f t="shared" si="0"/>
        <v>3.0158730158730159E-2</v>
      </c>
      <c r="I59" s="46" t="s">
        <v>264</v>
      </c>
      <c r="J59" s="52" t="s">
        <v>321</v>
      </c>
      <c r="K59" s="42">
        <v>38</v>
      </c>
      <c r="L59" s="20">
        <v>4.6017999999999999</v>
      </c>
      <c r="M59" s="20">
        <f t="shared" si="1"/>
        <v>174.86840000000001</v>
      </c>
    </row>
    <row r="60" spans="1:13" ht="21" customHeight="1" x14ac:dyDescent="0.25">
      <c r="A60" s="55">
        <v>45790</v>
      </c>
      <c r="B60" s="51" t="s">
        <v>276</v>
      </c>
      <c r="C60" s="49" t="s">
        <v>485</v>
      </c>
      <c r="D60" s="51" t="s">
        <v>284</v>
      </c>
      <c r="E60" s="49" t="s">
        <v>382</v>
      </c>
      <c r="F60" s="50">
        <v>1260</v>
      </c>
      <c r="G60" s="50">
        <v>38</v>
      </c>
      <c r="H60" s="47">
        <f t="shared" si="0"/>
        <v>3.0158730158730159E-2</v>
      </c>
      <c r="I60" s="46" t="s">
        <v>264</v>
      </c>
      <c r="J60" s="52" t="s">
        <v>321</v>
      </c>
      <c r="K60" s="42">
        <v>38</v>
      </c>
      <c r="L60" s="20">
        <v>4.6017999999999999</v>
      </c>
      <c r="M60" s="20">
        <f t="shared" si="1"/>
        <v>174.86840000000001</v>
      </c>
    </row>
    <row r="61" spans="1:13" ht="21" customHeight="1" x14ac:dyDescent="0.25">
      <c r="A61" s="55">
        <v>45782</v>
      </c>
      <c r="B61" s="49" t="s">
        <v>276</v>
      </c>
      <c r="C61" s="49" t="s">
        <v>485</v>
      </c>
      <c r="D61" s="49" t="s">
        <v>284</v>
      </c>
      <c r="E61" s="49" t="s">
        <v>382</v>
      </c>
      <c r="F61" s="50">
        <v>1845</v>
      </c>
      <c r="G61" s="50">
        <v>32</v>
      </c>
      <c r="H61" s="47">
        <f t="shared" si="0"/>
        <v>1.7344173441734417E-2</v>
      </c>
      <c r="I61" s="46" t="s">
        <v>264</v>
      </c>
      <c r="J61" s="45" t="s">
        <v>128</v>
      </c>
      <c r="K61" s="42">
        <f>G61</f>
        <v>32</v>
      </c>
      <c r="L61" s="20">
        <v>4.6017999999999999</v>
      </c>
      <c r="M61" s="20">
        <f t="shared" si="1"/>
        <v>147.2576</v>
      </c>
    </row>
    <row r="62" spans="1:13" ht="21" customHeight="1" x14ac:dyDescent="0.25">
      <c r="A62" s="55">
        <v>45783</v>
      </c>
      <c r="B62" s="49" t="s">
        <v>276</v>
      </c>
      <c r="C62" s="49" t="s">
        <v>485</v>
      </c>
      <c r="D62" s="49" t="s">
        <v>284</v>
      </c>
      <c r="E62" s="49" t="s">
        <v>382</v>
      </c>
      <c r="F62" s="50">
        <f>1480+855</f>
        <v>2335</v>
      </c>
      <c r="G62" s="50">
        <f>47+33</f>
        <v>80</v>
      </c>
      <c r="H62" s="47">
        <f t="shared" si="0"/>
        <v>3.4261241970021415E-2</v>
      </c>
      <c r="I62" s="46" t="s">
        <v>264</v>
      </c>
      <c r="J62" s="45" t="s">
        <v>128</v>
      </c>
      <c r="K62" s="50">
        <v>3</v>
      </c>
      <c r="L62" s="20">
        <v>4.6017999999999999</v>
      </c>
      <c r="M62" s="20">
        <f t="shared" si="1"/>
        <v>13.805399999999999</v>
      </c>
    </row>
    <row r="63" spans="1:13" ht="21" customHeight="1" x14ac:dyDescent="0.25">
      <c r="A63" s="55">
        <v>45792</v>
      </c>
      <c r="B63" s="49" t="s">
        <v>265</v>
      </c>
      <c r="C63" s="49" t="s">
        <v>486</v>
      </c>
      <c r="D63" s="49" t="s">
        <v>306</v>
      </c>
      <c r="E63" s="49" t="s">
        <v>462</v>
      </c>
      <c r="F63" s="50">
        <v>895</v>
      </c>
      <c r="G63" s="50">
        <v>24</v>
      </c>
      <c r="H63" s="47">
        <f t="shared" si="0"/>
        <v>2.6815642458100558E-2</v>
      </c>
      <c r="I63" s="46"/>
      <c r="J63" s="52" t="s">
        <v>321</v>
      </c>
      <c r="K63" s="42">
        <v>24</v>
      </c>
      <c r="L63" s="20">
        <v>7.9108000000000001</v>
      </c>
      <c r="M63" s="20">
        <f t="shared" si="1"/>
        <v>189.85919999999999</v>
      </c>
    </row>
    <row r="64" spans="1:13" ht="21" customHeight="1" x14ac:dyDescent="0.25">
      <c r="A64" s="55">
        <v>45799</v>
      </c>
      <c r="B64" s="49" t="s">
        <v>265</v>
      </c>
      <c r="C64" s="49" t="s">
        <v>486</v>
      </c>
      <c r="D64" s="49" t="s">
        <v>306</v>
      </c>
      <c r="E64" s="49" t="s">
        <v>374</v>
      </c>
      <c r="F64" s="50">
        <f>67+15</f>
        <v>82</v>
      </c>
      <c r="G64" s="50">
        <v>18</v>
      </c>
      <c r="H64" s="47">
        <f t="shared" si="0"/>
        <v>0.21951219512195122</v>
      </c>
      <c r="I64" s="46"/>
      <c r="J64" s="52" t="s">
        <v>321</v>
      </c>
      <c r="K64" s="42">
        <v>18</v>
      </c>
      <c r="L64" s="20">
        <v>7.9108000000000001</v>
      </c>
      <c r="M64" s="20">
        <f t="shared" si="1"/>
        <v>142.39439999999999</v>
      </c>
    </row>
    <row r="65" spans="1:13" ht="21" customHeight="1" x14ac:dyDescent="0.25">
      <c r="A65" s="55">
        <v>45793</v>
      </c>
      <c r="B65" s="49" t="s">
        <v>265</v>
      </c>
      <c r="C65" s="49" t="s">
        <v>486</v>
      </c>
      <c r="D65" s="49" t="s">
        <v>306</v>
      </c>
      <c r="E65" s="49" t="s">
        <v>374</v>
      </c>
      <c r="F65" s="50">
        <v>28</v>
      </c>
      <c r="G65" s="50">
        <v>9</v>
      </c>
      <c r="H65" s="47">
        <f t="shared" si="0"/>
        <v>0.32142857142857145</v>
      </c>
      <c r="I65" s="46"/>
      <c r="J65" s="52" t="s">
        <v>321</v>
      </c>
      <c r="K65" s="42">
        <v>9</v>
      </c>
      <c r="L65" s="20">
        <v>7.9108000000000001</v>
      </c>
      <c r="M65" s="20">
        <f t="shared" si="1"/>
        <v>71.197199999999995</v>
      </c>
    </row>
    <row r="66" spans="1:13" ht="21" customHeight="1" x14ac:dyDescent="0.25">
      <c r="A66" s="55">
        <v>45793</v>
      </c>
      <c r="B66" s="49" t="s">
        <v>265</v>
      </c>
      <c r="C66" s="49" t="s">
        <v>486</v>
      </c>
      <c r="D66" s="51" t="s">
        <v>308</v>
      </c>
      <c r="E66" s="49" t="s">
        <v>463</v>
      </c>
      <c r="F66" s="50">
        <v>205</v>
      </c>
      <c r="G66" s="50">
        <v>4</v>
      </c>
      <c r="H66" s="47">
        <f t="shared" ref="H66:H129" si="2">G66/F66</f>
        <v>1.9512195121951219E-2</v>
      </c>
      <c r="I66" s="46"/>
      <c r="J66" s="52" t="s">
        <v>321</v>
      </c>
      <c r="K66" s="4">
        <v>4</v>
      </c>
      <c r="L66" s="32">
        <v>29.6998</v>
      </c>
      <c r="M66" s="20">
        <f t="shared" ref="M66:M129" si="3">K66*L66</f>
        <v>118.7992</v>
      </c>
    </row>
    <row r="67" spans="1:13" ht="21" customHeight="1" x14ac:dyDescent="0.25">
      <c r="A67" s="55">
        <v>45789</v>
      </c>
      <c r="B67" s="49" t="s">
        <v>320</v>
      </c>
      <c r="C67" s="49" t="s">
        <v>487</v>
      </c>
      <c r="D67" s="49" t="s">
        <v>301</v>
      </c>
      <c r="E67" s="49" t="s">
        <v>357</v>
      </c>
      <c r="F67" s="50">
        <v>966</v>
      </c>
      <c r="G67" s="50">
        <v>16</v>
      </c>
      <c r="H67" s="47">
        <f t="shared" si="2"/>
        <v>1.6563146997929608E-2</v>
      </c>
      <c r="I67" s="46"/>
      <c r="J67" s="52" t="s">
        <v>128</v>
      </c>
      <c r="K67" s="42">
        <v>16</v>
      </c>
      <c r="L67" s="20">
        <v>51.675699999999999</v>
      </c>
      <c r="M67" s="20">
        <f t="shared" si="3"/>
        <v>826.81119999999999</v>
      </c>
    </row>
    <row r="68" spans="1:13" ht="21" customHeight="1" x14ac:dyDescent="0.25">
      <c r="A68" s="55">
        <v>45790</v>
      </c>
      <c r="B68" s="49" t="s">
        <v>320</v>
      </c>
      <c r="C68" s="49" t="s">
        <v>487</v>
      </c>
      <c r="D68" s="49" t="s">
        <v>301</v>
      </c>
      <c r="E68" s="49" t="s">
        <v>357</v>
      </c>
      <c r="F68" s="50">
        <v>966</v>
      </c>
      <c r="G68" s="50">
        <v>16</v>
      </c>
      <c r="H68" s="47">
        <f t="shared" si="2"/>
        <v>1.6563146997929608E-2</v>
      </c>
      <c r="I68" s="46"/>
      <c r="J68" s="52" t="s">
        <v>128</v>
      </c>
      <c r="K68" s="42">
        <v>16</v>
      </c>
      <c r="L68" s="20">
        <v>51.675699999999999</v>
      </c>
      <c r="M68" s="20">
        <f t="shared" si="3"/>
        <v>826.81119999999999</v>
      </c>
    </row>
    <row r="69" spans="1:13" ht="21" customHeight="1" x14ac:dyDescent="0.25">
      <c r="A69" s="55">
        <v>45796</v>
      </c>
      <c r="B69" s="49" t="s">
        <v>265</v>
      </c>
      <c r="C69" s="49" t="s">
        <v>486</v>
      </c>
      <c r="D69" s="49" t="s">
        <v>309</v>
      </c>
      <c r="E69" s="49" t="s">
        <v>464</v>
      </c>
      <c r="F69" s="50">
        <f>284+800+300</f>
        <v>1384</v>
      </c>
      <c r="G69" s="50">
        <v>27</v>
      </c>
      <c r="H69" s="47">
        <f t="shared" si="2"/>
        <v>1.9508670520231215E-2</v>
      </c>
      <c r="I69" s="46"/>
      <c r="J69" s="52" t="s">
        <v>321</v>
      </c>
      <c r="K69" s="50">
        <v>27</v>
      </c>
      <c r="L69" s="20">
        <v>4.2720000000000002</v>
      </c>
      <c r="M69" s="20">
        <f t="shared" si="3"/>
        <v>115.34400000000001</v>
      </c>
    </row>
    <row r="70" spans="1:13" ht="21" customHeight="1" x14ac:dyDescent="0.25">
      <c r="A70" s="55">
        <v>45794</v>
      </c>
      <c r="B70" s="49" t="s">
        <v>265</v>
      </c>
      <c r="C70" s="49" t="s">
        <v>489</v>
      </c>
      <c r="D70" s="49" t="s">
        <v>267</v>
      </c>
      <c r="E70" s="49" t="s">
        <v>465</v>
      </c>
      <c r="F70" s="50">
        <f>216+1728</f>
        <v>1944</v>
      </c>
      <c r="G70" s="50">
        <v>650</v>
      </c>
      <c r="H70" s="47">
        <f t="shared" si="2"/>
        <v>0.33436213991769548</v>
      </c>
      <c r="I70" s="46" t="s">
        <v>261</v>
      </c>
      <c r="J70" s="45" t="s">
        <v>262</v>
      </c>
      <c r="K70" s="42">
        <v>650</v>
      </c>
      <c r="L70" s="20">
        <v>1.6369</v>
      </c>
      <c r="M70" s="20">
        <f t="shared" si="3"/>
        <v>1063.9850000000001</v>
      </c>
    </row>
    <row r="71" spans="1:13" ht="21" customHeight="1" x14ac:dyDescent="0.25">
      <c r="A71" s="55">
        <v>45783</v>
      </c>
      <c r="B71" s="49" t="s">
        <v>265</v>
      </c>
      <c r="C71" s="49" t="s">
        <v>489</v>
      </c>
      <c r="D71" s="49" t="s">
        <v>267</v>
      </c>
      <c r="E71" s="51" t="s">
        <v>17</v>
      </c>
      <c r="F71" s="50">
        <f>1296+864+1080</f>
        <v>3240</v>
      </c>
      <c r="G71" s="50">
        <f>217+8+86</f>
        <v>311</v>
      </c>
      <c r="H71" s="47">
        <f t="shared" si="2"/>
        <v>9.5987654320987659E-2</v>
      </c>
      <c r="I71" s="46" t="s">
        <v>274</v>
      </c>
      <c r="J71" s="45" t="s">
        <v>128</v>
      </c>
      <c r="K71" s="42">
        <v>311</v>
      </c>
      <c r="L71" s="20">
        <v>1.6369</v>
      </c>
      <c r="M71" s="20">
        <f t="shared" si="3"/>
        <v>509.07589999999999</v>
      </c>
    </row>
    <row r="72" spans="1:13" ht="21" customHeight="1" x14ac:dyDescent="0.25">
      <c r="A72" s="55">
        <v>45801</v>
      </c>
      <c r="B72" s="49" t="s">
        <v>265</v>
      </c>
      <c r="C72" s="49" t="s">
        <v>489</v>
      </c>
      <c r="D72" s="49" t="s">
        <v>267</v>
      </c>
      <c r="E72" s="51" t="s">
        <v>17</v>
      </c>
      <c r="F72" s="50">
        <f>216+2592+648</f>
        <v>3456</v>
      </c>
      <c r="G72" s="50">
        <f>45+129</f>
        <v>174</v>
      </c>
      <c r="H72" s="47">
        <f t="shared" si="2"/>
        <v>5.0347222222222224E-2</v>
      </c>
      <c r="I72" s="46" t="s">
        <v>261</v>
      </c>
      <c r="J72" s="45" t="s">
        <v>262</v>
      </c>
      <c r="K72" s="42">
        <v>174</v>
      </c>
      <c r="L72" s="20">
        <v>1.6369</v>
      </c>
      <c r="M72" s="20">
        <f t="shared" si="3"/>
        <v>284.82060000000001</v>
      </c>
    </row>
    <row r="73" spans="1:13" ht="21" customHeight="1" x14ac:dyDescent="0.25">
      <c r="A73" s="55">
        <v>45781</v>
      </c>
      <c r="B73" s="49" t="s">
        <v>265</v>
      </c>
      <c r="C73" s="49" t="s">
        <v>489</v>
      </c>
      <c r="D73" s="51" t="s">
        <v>267</v>
      </c>
      <c r="E73" s="51" t="s">
        <v>17</v>
      </c>
      <c r="F73" s="50">
        <f>216+216</f>
        <v>432</v>
      </c>
      <c r="G73" s="50">
        <v>130</v>
      </c>
      <c r="H73" s="47">
        <f t="shared" si="2"/>
        <v>0.30092592592592593</v>
      </c>
      <c r="I73" s="46" t="s">
        <v>274</v>
      </c>
      <c r="J73" s="45" t="s">
        <v>128</v>
      </c>
      <c r="K73" s="50">
        <v>130</v>
      </c>
      <c r="L73" s="20">
        <v>1.6369</v>
      </c>
      <c r="M73" s="20">
        <f t="shared" si="3"/>
        <v>212.797</v>
      </c>
    </row>
    <row r="74" spans="1:13" ht="21" customHeight="1" x14ac:dyDescent="0.25">
      <c r="A74" s="55">
        <v>45803</v>
      </c>
      <c r="B74" s="49" t="s">
        <v>265</v>
      </c>
      <c r="C74" s="49" t="s">
        <v>489</v>
      </c>
      <c r="D74" s="49" t="s">
        <v>267</v>
      </c>
      <c r="E74" s="51" t="s">
        <v>17</v>
      </c>
      <c r="F74" s="50">
        <v>1080</v>
      </c>
      <c r="G74" s="50">
        <v>123</v>
      </c>
      <c r="H74" s="47">
        <f t="shared" si="2"/>
        <v>0.11388888888888889</v>
      </c>
      <c r="I74" s="46" t="s">
        <v>261</v>
      </c>
      <c r="J74" s="45" t="s">
        <v>262</v>
      </c>
      <c r="K74" s="42">
        <v>123</v>
      </c>
      <c r="L74" s="20">
        <v>1.6369</v>
      </c>
      <c r="M74" s="20">
        <f t="shared" si="3"/>
        <v>201.33869999999999</v>
      </c>
    </row>
    <row r="75" spans="1:13" ht="21" customHeight="1" x14ac:dyDescent="0.25">
      <c r="A75" s="55">
        <v>45802</v>
      </c>
      <c r="B75" s="49" t="s">
        <v>265</v>
      </c>
      <c r="C75" s="49" t="s">
        <v>489</v>
      </c>
      <c r="D75" s="49" t="s">
        <v>267</v>
      </c>
      <c r="E75" s="51" t="s">
        <v>17</v>
      </c>
      <c r="F75" s="50">
        <f>2160+1080</f>
        <v>3240</v>
      </c>
      <c r="G75" s="50">
        <v>104</v>
      </c>
      <c r="H75" s="47">
        <f t="shared" si="2"/>
        <v>3.2098765432098768E-2</v>
      </c>
      <c r="I75" s="46" t="s">
        <v>261</v>
      </c>
      <c r="J75" s="45" t="s">
        <v>262</v>
      </c>
      <c r="K75" s="42">
        <v>104</v>
      </c>
      <c r="L75" s="20">
        <v>1.6369</v>
      </c>
      <c r="M75" s="20">
        <f t="shared" si="3"/>
        <v>170.23760000000001</v>
      </c>
    </row>
    <row r="76" spans="1:13" ht="21" customHeight="1" x14ac:dyDescent="0.25">
      <c r="A76" s="55">
        <v>45805</v>
      </c>
      <c r="B76" s="49" t="s">
        <v>265</v>
      </c>
      <c r="C76" s="49" t="s">
        <v>489</v>
      </c>
      <c r="D76" s="49" t="s">
        <v>267</v>
      </c>
      <c r="E76" s="51" t="s">
        <v>17</v>
      </c>
      <c r="F76" s="50">
        <f>432+432</f>
        <v>864</v>
      </c>
      <c r="G76" s="50">
        <v>45</v>
      </c>
      <c r="H76" s="47">
        <f t="shared" si="2"/>
        <v>5.2083333333333336E-2</v>
      </c>
      <c r="I76" s="46" t="s">
        <v>261</v>
      </c>
      <c r="J76" s="45" t="s">
        <v>262</v>
      </c>
      <c r="K76" s="42">
        <v>45</v>
      </c>
      <c r="L76" s="20">
        <v>1.6369</v>
      </c>
      <c r="M76" s="20">
        <f t="shared" si="3"/>
        <v>73.660499999999999</v>
      </c>
    </row>
    <row r="77" spans="1:13" ht="21" customHeight="1" x14ac:dyDescent="0.25">
      <c r="A77" s="55">
        <v>45804</v>
      </c>
      <c r="B77" s="49" t="s">
        <v>265</v>
      </c>
      <c r="C77" s="49" t="s">
        <v>489</v>
      </c>
      <c r="D77" s="49" t="s">
        <v>267</v>
      </c>
      <c r="E77" s="51" t="s">
        <v>17</v>
      </c>
      <c r="F77" s="50">
        <v>1512</v>
      </c>
      <c r="G77" s="50">
        <v>30</v>
      </c>
      <c r="H77" s="47">
        <f t="shared" si="2"/>
        <v>1.984126984126984E-2</v>
      </c>
      <c r="I77" s="46" t="s">
        <v>261</v>
      </c>
      <c r="J77" s="45" t="s">
        <v>262</v>
      </c>
      <c r="K77" s="42">
        <v>30</v>
      </c>
      <c r="L77" s="20">
        <v>1.6369</v>
      </c>
      <c r="M77" s="20">
        <f t="shared" si="3"/>
        <v>49.106999999999999</v>
      </c>
    </row>
    <row r="78" spans="1:13" ht="21" customHeight="1" x14ac:dyDescent="0.25">
      <c r="A78" s="55">
        <v>45806</v>
      </c>
      <c r="B78" s="49" t="s">
        <v>265</v>
      </c>
      <c r="C78" s="49" t="s">
        <v>489</v>
      </c>
      <c r="D78" s="49" t="s">
        <v>267</v>
      </c>
      <c r="E78" s="51" t="s">
        <v>17</v>
      </c>
      <c r="F78" s="50">
        <v>356</v>
      </c>
      <c r="G78" s="50">
        <v>24</v>
      </c>
      <c r="H78" s="47">
        <f t="shared" si="2"/>
        <v>6.741573033707865E-2</v>
      </c>
      <c r="I78" s="46" t="s">
        <v>274</v>
      </c>
      <c r="J78" s="45" t="s">
        <v>262</v>
      </c>
      <c r="K78" s="42">
        <v>24</v>
      </c>
      <c r="L78" s="20">
        <v>1.6369</v>
      </c>
      <c r="M78" s="20">
        <f t="shared" si="3"/>
        <v>39.285600000000002</v>
      </c>
    </row>
    <row r="79" spans="1:13" ht="21" customHeight="1" x14ac:dyDescent="0.25">
      <c r="A79" s="55">
        <v>45784</v>
      </c>
      <c r="B79" s="49" t="s">
        <v>265</v>
      </c>
      <c r="C79" s="49" t="s">
        <v>489</v>
      </c>
      <c r="D79" s="49" t="s">
        <v>267</v>
      </c>
      <c r="E79" s="51" t="s">
        <v>17</v>
      </c>
      <c r="F79" s="50">
        <v>1080</v>
      </c>
      <c r="G79" s="50">
        <v>75</v>
      </c>
      <c r="H79" s="47">
        <f t="shared" si="2"/>
        <v>6.9444444444444448E-2</v>
      </c>
      <c r="I79" s="46" t="s">
        <v>261</v>
      </c>
      <c r="J79" s="45" t="s">
        <v>262</v>
      </c>
      <c r="K79" s="50">
        <v>14</v>
      </c>
      <c r="L79" s="20">
        <v>1.6369</v>
      </c>
      <c r="M79" s="20">
        <f t="shared" si="3"/>
        <v>22.916599999999999</v>
      </c>
    </row>
    <row r="80" spans="1:13" ht="21" customHeight="1" x14ac:dyDescent="0.25">
      <c r="A80" s="55">
        <v>45782</v>
      </c>
      <c r="B80" s="49" t="s">
        <v>265</v>
      </c>
      <c r="C80" s="49" t="s">
        <v>489</v>
      </c>
      <c r="D80" s="49" t="s">
        <v>267</v>
      </c>
      <c r="E80" s="51" t="s">
        <v>17</v>
      </c>
      <c r="F80" s="50">
        <v>360</v>
      </c>
      <c r="G80" s="50">
        <v>9</v>
      </c>
      <c r="H80" s="47">
        <f t="shared" si="2"/>
        <v>2.5000000000000001E-2</v>
      </c>
      <c r="I80" s="46" t="s">
        <v>274</v>
      </c>
      <c r="J80" s="45" t="s">
        <v>128</v>
      </c>
      <c r="K80" s="42">
        <f>G80</f>
        <v>9</v>
      </c>
      <c r="L80" s="20">
        <v>1.6369</v>
      </c>
      <c r="M80" s="20">
        <f t="shared" si="3"/>
        <v>14.732100000000001</v>
      </c>
    </row>
    <row r="81" spans="1:13" ht="21" customHeight="1" x14ac:dyDescent="0.25">
      <c r="A81" s="55">
        <v>45801</v>
      </c>
      <c r="B81" s="49" t="s">
        <v>276</v>
      </c>
      <c r="C81" s="49" t="s">
        <v>489</v>
      </c>
      <c r="D81" s="49" t="s">
        <v>269</v>
      </c>
      <c r="E81" s="49" t="s">
        <v>466</v>
      </c>
      <c r="F81" s="50">
        <v>2496</v>
      </c>
      <c r="G81" s="50">
        <v>16</v>
      </c>
      <c r="H81" s="47">
        <f t="shared" si="2"/>
        <v>6.41025641025641E-3</v>
      </c>
      <c r="I81" s="46" t="s">
        <v>275</v>
      </c>
      <c r="J81" s="45" t="s">
        <v>128</v>
      </c>
      <c r="K81" s="42">
        <v>16</v>
      </c>
      <c r="L81" s="20">
        <v>9.64</v>
      </c>
      <c r="M81" s="20">
        <f t="shared" si="3"/>
        <v>154.24</v>
      </c>
    </row>
    <row r="82" spans="1:13" ht="21" customHeight="1" x14ac:dyDescent="0.25">
      <c r="A82" s="55">
        <v>45800</v>
      </c>
      <c r="B82" s="49" t="s">
        <v>276</v>
      </c>
      <c r="C82" s="49" t="s">
        <v>489</v>
      </c>
      <c r="D82" s="49" t="s">
        <v>269</v>
      </c>
      <c r="E82" s="49" t="s">
        <v>15</v>
      </c>
      <c r="F82" s="50">
        <v>960</v>
      </c>
      <c r="G82" s="50">
        <v>13</v>
      </c>
      <c r="H82" s="47">
        <f t="shared" si="2"/>
        <v>1.3541666666666667E-2</v>
      </c>
      <c r="I82" s="46" t="s">
        <v>275</v>
      </c>
      <c r="J82" s="45" t="s">
        <v>128</v>
      </c>
      <c r="K82" s="42">
        <v>13</v>
      </c>
      <c r="L82" s="20">
        <v>9.64</v>
      </c>
      <c r="M82" s="20">
        <f t="shared" si="3"/>
        <v>125.32000000000001</v>
      </c>
    </row>
    <row r="83" spans="1:13" ht="21" customHeight="1" x14ac:dyDescent="0.25">
      <c r="A83" s="55">
        <v>45797</v>
      </c>
      <c r="B83" s="49" t="s">
        <v>276</v>
      </c>
      <c r="C83" s="49" t="s">
        <v>489</v>
      </c>
      <c r="D83" s="49" t="s">
        <v>269</v>
      </c>
      <c r="E83" s="49" t="s">
        <v>15</v>
      </c>
      <c r="F83" s="50">
        <f>384+576+384</f>
        <v>1344</v>
      </c>
      <c r="G83" s="50">
        <v>8</v>
      </c>
      <c r="H83" s="47">
        <f t="shared" si="2"/>
        <v>5.9523809523809521E-3</v>
      </c>
      <c r="I83" s="46" t="s">
        <v>275</v>
      </c>
      <c r="J83" s="45" t="s">
        <v>128</v>
      </c>
      <c r="K83" s="42">
        <v>8</v>
      </c>
      <c r="L83" s="20">
        <v>9.64</v>
      </c>
      <c r="M83" s="20">
        <f t="shared" si="3"/>
        <v>77.12</v>
      </c>
    </row>
    <row r="84" spans="1:13" ht="21" customHeight="1" x14ac:dyDescent="0.25">
      <c r="A84" s="55">
        <v>45798</v>
      </c>
      <c r="B84" s="49" t="s">
        <v>276</v>
      </c>
      <c r="C84" s="49" t="s">
        <v>489</v>
      </c>
      <c r="D84" s="49" t="s">
        <v>269</v>
      </c>
      <c r="E84" s="49" t="s">
        <v>15</v>
      </c>
      <c r="F84" s="50">
        <f>2016+96</f>
        <v>2112</v>
      </c>
      <c r="G84" s="50">
        <v>7</v>
      </c>
      <c r="H84" s="47">
        <f t="shared" si="2"/>
        <v>3.3143939393939395E-3</v>
      </c>
      <c r="I84" s="46" t="s">
        <v>275</v>
      </c>
      <c r="J84" s="45" t="s">
        <v>128</v>
      </c>
      <c r="K84" s="42">
        <v>7</v>
      </c>
      <c r="L84" s="20">
        <v>9.64</v>
      </c>
      <c r="M84" s="20">
        <f t="shared" si="3"/>
        <v>67.48</v>
      </c>
    </row>
    <row r="85" spans="1:13" ht="21" customHeight="1" x14ac:dyDescent="0.25">
      <c r="A85" s="55">
        <v>45799</v>
      </c>
      <c r="B85" s="49" t="s">
        <v>276</v>
      </c>
      <c r="C85" s="49" t="s">
        <v>489</v>
      </c>
      <c r="D85" s="49" t="s">
        <v>269</v>
      </c>
      <c r="E85" s="49" t="s">
        <v>15</v>
      </c>
      <c r="F85" s="50">
        <v>384</v>
      </c>
      <c r="G85" s="50">
        <v>5</v>
      </c>
      <c r="H85" s="47">
        <f t="shared" si="2"/>
        <v>1.3020833333333334E-2</v>
      </c>
      <c r="I85" s="46" t="s">
        <v>275</v>
      </c>
      <c r="J85" s="45" t="s">
        <v>128</v>
      </c>
      <c r="K85" s="42">
        <v>5</v>
      </c>
      <c r="L85" s="20">
        <v>9.64</v>
      </c>
      <c r="M85" s="20">
        <f t="shared" si="3"/>
        <v>48.2</v>
      </c>
    </row>
    <row r="86" spans="1:13" ht="21" customHeight="1" x14ac:dyDescent="0.25">
      <c r="A86" s="55">
        <v>45782</v>
      </c>
      <c r="B86" s="49" t="s">
        <v>276</v>
      </c>
      <c r="C86" s="49" t="s">
        <v>489</v>
      </c>
      <c r="D86" s="49" t="s">
        <v>269</v>
      </c>
      <c r="E86" s="49" t="s">
        <v>15</v>
      </c>
      <c r="F86" s="50">
        <v>512</v>
      </c>
      <c r="G86" s="50">
        <v>4</v>
      </c>
      <c r="H86" s="47">
        <f t="shared" si="2"/>
        <v>7.8125E-3</v>
      </c>
      <c r="I86" s="46" t="s">
        <v>275</v>
      </c>
      <c r="J86" s="45" t="s">
        <v>128</v>
      </c>
      <c r="K86" s="42">
        <f>G86</f>
        <v>4</v>
      </c>
      <c r="L86" s="20">
        <v>9.64</v>
      </c>
      <c r="M86" s="20">
        <f t="shared" si="3"/>
        <v>38.56</v>
      </c>
    </row>
    <row r="87" spans="1:13" ht="21" customHeight="1" x14ac:dyDescent="0.25">
      <c r="A87" s="55">
        <v>45792</v>
      </c>
      <c r="B87" s="49" t="s">
        <v>276</v>
      </c>
      <c r="C87" s="49" t="s">
        <v>489</v>
      </c>
      <c r="D87" s="49" t="s">
        <v>269</v>
      </c>
      <c r="E87" s="49" t="s">
        <v>15</v>
      </c>
      <c r="F87" s="50">
        <v>2304</v>
      </c>
      <c r="G87" s="50">
        <v>4</v>
      </c>
      <c r="H87" s="47">
        <f t="shared" si="2"/>
        <v>1.736111111111111E-3</v>
      </c>
      <c r="I87" s="46" t="s">
        <v>275</v>
      </c>
      <c r="J87" s="45" t="s">
        <v>128</v>
      </c>
      <c r="K87" s="42">
        <v>4</v>
      </c>
      <c r="L87" s="20">
        <v>9.64</v>
      </c>
      <c r="M87" s="20">
        <f t="shared" si="3"/>
        <v>38.56</v>
      </c>
    </row>
    <row r="88" spans="1:13" ht="21" customHeight="1" x14ac:dyDescent="0.25">
      <c r="A88" s="55">
        <v>45802</v>
      </c>
      <c r="B88" s="49" t="s">
        <v>276</v>
      </c>
      <c r="C88" s="49" t="s">
        <v>489</v>
      </c>
      <c r="D88" s="49" t="s">
        <v>269</v>
      </c>
      <c r="E88" s="49" t="s">
        <v>15</v>
      </c>
      <c r="F88" s="50">
        <v>2496</v>
      </c>
      <c r="G88" s="50">
        <v>4</v>
      </c>
      <c r="H88" s="47">
        <f t="shared" si="2"/>
        <v>1.6025641025641025E-3</v>
      </c>
      <c r="I88" s="46" t="s">
        <v>275</v>
      </c>
      <c r="J88" s="45" t="s">
        <v>128</v>
      </c>
      <c r="K88" s="42">
        <v>4</v>
      </c>
      <c r="L88" s="20">
        <v>9.64</v>
      </c>
      <c r="M88" s="20">
        <f t="shared" si="3"/>
        <v>38.56</v>
      </c>
    </row>
    <row r="89" spans="1:13" ht="21" customHeight="1" x14ac:dyDescent="0.25">
      <c r="A89" s="55">
        <v>45803</v>
      </c>
      <c r="B89" s="49" t="s">
        <v>276</v>
      </c>
      <c r="C89" s="49" t="s">
        <v>489</v>
      </c>
      <c r="D89" s="49" t="s">
        <v>269</v>
      </c>
      <c r="E89" s="49" t="s">
        <v>15</v>
      </c>
      <c r="F89" s="50">
        <v>1440</v>
      </c>
      <c r="G89" s="50">
        <v>4</v>
      </c>
      <c r="H89" s="47">
        <f t="shared" si="2"/>
        <v>2.7777777777777779E-3</v>
      </c>
      <c r="I89" s="46" t="s">
        <v>275</v>
      </c>
      <c r="J89" s="45" t="s">
        <v>128</v>
      </c>
      <c r="K89" s="42">
        <v>4</v>
      </c>
      <c r="L89" s="20">
        <v>9.64</v>
      </c>
      <c r="M89" s="20">
        <f t="shared" si="3"/>
        <v>38.56</v>
      </c>
    </row>
    <row r="90" spans="1:13" ht="21" customHeight="1" x14ac:dyDescent="0.25">
      <c r="A90" s="55">
        <v>45781</v>
      </c>
      <c r="B90" s="49" t="s">
        <v>276</v>
      </c>
      <c r="C90" s="49" t="s">
        <v>489</v>
      </c>
      <c r="D90" s="49" t="s">
        <v>269</v>
      </c>
      <c r="E90" s="49" t="s">
        <v>15</v>
      </c>
      <c r="F90" s="50">
        <f>1888+96</f>
        <v>1984</v>
      </c>
      <c r="G90" s="50">
        <v>3</v>
      </c>
      <c r="H90" s="47">
        <f t="shared" si="2"/>
        <v>1.5120967741935483E-3</v>
      </c>
      <c r="I90" s="46" t="s">
        <v>275</v>
      </c>
      <c r="J90" s="45" t="s">
        <v>128</v>
      </c>
      <c r="K90" s="50">
        <v>3</v>
      </c>
      <c r="L90" s="20">
        <v>9.64</v>
      </c>
      <c r="M90" s="20">
        <f t="shared" si="3"/>
        <v>28.92</v>
      </c>
    </row>
    <row r="91" spans="1:13" ht="21" customHeight="1" x14ac:dyDescent="0.25">
      <c r="A91" s="55">
        <v>45806</v>
      </c>
      <c r="B91" s="49" t="s">
        <v>276</v>
      </c>
      <c r="C91" s="49" t="s">
        <v>489</v>
      </c>
      <c r="D91" s="49" t="s">
        <v>269</v>
      </c>
      <c r="E91" s="49" t="s">
        <v>15</v>
      </c>
      <c r="F91" s="50">
        <v>672</v>
      </c>
      <c r="G91" s="50">
        <v>3</v>
      </c>
      <c r="H91" s="47">
        <f t="shared" si="2"/>
        <v>4.464285714285714E-3</v>
      </c>
      <c r="I91" s="46" t="s">
        <v>275</v>
      </c>
      <c r="J91" s="45" t="s">
        <v>128</v>
      </c>
      <c r="K91" s="42">
        <v>3</v>
      </c>
      <c r="L91" s="20">
        <v>9.64</v>
      </c>
      <c r="M91" s="20">
        <f t="shared" si="3"/>
        <v>28.92</v>
      </c>
    </row>
    <row r="92" spans="1:13" ht="21" customHeight="1" x14ac:dyDescent="0.25">
      <c r="A92" s="55">
        <v>45791</v>
      </c>
      <c r="B92" s="49" t="s">
        <v>276</v>
      </c>
      <c r="C92" s="49" t="s">
        <v>489</v>
      </c>
      <c r="D92" s="49" t="s">
        <v>269</v>
      </c>
      <c r="E92" s="49" t="s">
        <v>15</v>
      </c>
      <c r="F92" s="50">
        <v>1824</v>
      </c>
      <c r="G92" s="50">
        <v>1</v>
      </c>
      <c r="H92" s="47">
        <f t="shared" si="2"/>
        <v>5.4824561403508769E-4</v>
      </c>
      <c r="I92" s="46" t="s">
        <v>275</v>
      </c>
      <c r="J92" s="45" t="s">
        <v>128</v>
      </c>
      <c r="K92" s="42">
        <v>1</v>
      </c>
      <c r="L92" s="20">
        <v>9.64</v>
      </c>
      <c r="M92" s="20">
        <f t="shared" si="3"/>
        <v>9.64</v>
      </c>
    </row>
    <row r="93" spans="1:13" ht="21" customHeight="1" x14ac:dyDescent="0.25">
      <c r="A93" s="55">
        <v>45793</v>
      </c>
      <c r="B93" s="49" t="s">
        <v>276</v>
      </c>
      <c r="C93" s="49" t="s">
        <v>489</v>
      </c>
      <c r="D93" s="49" t="s">
        <v>269</v>
      </c>
      <c r="E93" s="49" t="s">
        <v>15</v>
      </c>
      <c r="F93" s="50">
        <v>192</v>
      </c>
      <c r="G93" s="50">
        <v>1</v>
      </c>
      <c r="H93" s="47">
        <f t="shared" si="2"/>
        <v>5.208333333333333E-3</v>
      </c>
      <c r="I93" s="46" t="s">
        <v>275</v>
      </c>
      <c r="J93" s="45" t="s">
        <v>128</v>
      </c>
      <c r="K93" s="42">
        <v>1</v>
      </c>
      <c r="L93" s="20">
        <v>9.64</v>
      </c>
      <c r="M93" s="20">
        <f t="shared" si="3"/>
        <v>9.64</v>
      </c>
    </row>
    <row r="94" spans="1:13" ht="21" customHeight="1" x14ac:dyDescent="0.25">
      <c r="A94" s="55">
        <v>45796</v>
      </c>
      <c r="B94" s="49" t="s">
        <v>276</v>
      </c>
      <c r="C94" s="49" t="s">
        <v>489</v>
      </c>
      <c r="D94" s="49" t="s">
        <v>291</v>
      </c>
      <c r="E94" s="49" t="s">
        <v>467</v>
      </c>
      <c r="F94" s="50">
        <v>2592</v>
      </c>
      <c r="G94" s="50">
        <v>60</v>
      </c>
      <c r="H94" s="47">
        <f t="shared" si="2"/>
        <v>2.3148148148148147E-2</v>
      </c>
      <c r="I94" s="46" t="s">
        <v>295</v>
      </c>
      <c r="J94" s="45" t="s">
        <v>128</v>
      </c>
      <c r="K94" s="42">
        <v>60</v>
      </c>
      <c r="L94" s="9">
        <v>8.5</v>
      </c>
      <c r="M94" s="20">
        <f t="shared" si="3"/>
        <v>510</v>
      </c>
    </row>
    <row r="95" spans="1:13" ht="21" customHeight="1" x14ac:dyDescent="0.25">
      <c r="A95" s="55">
        <v>45792</v>
      </c>
      <c r="B95" s="49" t="s">
        <v>276</v>
      </c>
      <c r="C95" s="49" t="s">
        <v>489</v>
      </c>
      <c r="D95" s="49" t="s">
        <v>291</v>
      </c>
      <c r="E95" s="49" t="s">
        <v>42</v>
      </c>
      <c r="F95" s="50">
        <v>864</v>
      </c>
      <c r="G95" s="50">
        <v>42</v>
      </c>
      <c r="H95" s="47">
        <f t="shared" si="2"/>
        <v>4.8611111111111112E-2</v>
      </c>
      <c r="I95" s="46" t="s">
        <v>295</v>
      </c>
      <c r="J95" s="45" t="s">
        <v>128</v>
      </c>
      <c r="K95" s="42">
        <v>42</v>
      </c>
      <c r="L95" s="9">
        <v>8.5</v>
      </c>
      <c r="M95" s="20">
        <f t="shared" si="3"/>
        <v>357</v>
      </c>
    </row>
    <row r="96" spans="1:13" ht="21" customHeight="1" x14ac:dyDescent="0.25">
      <c r="A96" s="55">
        <v>45804</v>
      </c>
      <c r="B96" s="49" t="s">
        <v>276</v>
      </c>
      <c r="C96" s="49" t="s">
        <v>489</v>
      </c>
      <c r="D96" s="49" t="s">
        <v>291</v>
      </c>
      <c r="E96" s="49" t="s">
        <v>42</v>
      </c>
      <c r="F96" s="50">
        <v>2160</v>
      </c>
      <c r="G96" s="50">
        <v>41</v>
      </c>
      <c r="H96" s="47">
        <f t="shared" si="2"/>
        <v>1.8981481481481481E-2</v>
      </c>
      <c r="I96" s="46" t="s">
        <v>295</v>
      </c>
      <c r="J96" s="45" t="s">
        <v>128</v>
      </c>
      <c r="K96" s="42">
        <v>41</v>
      </c>
      <c r="L96" s="9">
        <v>8.5</v>
      </c>
      <c r="M96" s="20">
        <f t="shared" si="3"/>
        <v>348.5</v>
      </c>
    </row>
    <row r="97" spans="1:13" ht="21" customHeight="1" x14ac:dyDescent="0.25">
      <c r="A97" s="55">
        <v>45784</v>
      </c>
      <c r="B97" s="49" t="s">
        <v>276</v>
      </c>
      <c r="C97" s="49" t="s">
        <v>489</v>
      </c>
      <c r="D97" s="49" t="s">
        <v>291</v>
      </c>
      <c r="E97" s="49" t="s">
        <v>42</v>
      </c>
      <c r="F97" s="50">
        <f>648+2160</f>
        <v>2808</v>
      </c>
      <c r="G97" s="50">
        <v>21</v>
      </c>
      <c r="H97" s="47">
        <f t="shared" si="2"/>
        <v>7.478632478632479E-3</v>
      </c>
      <c r="I97" s="46" t="s">
        <v>295</v>
      </c>
      <c r="J97" s="45" t="s">
        <v>128</v>
      </c>
      <c r="K97" s="50">
        <v>21</v>
      </c>
      <c r="L97" s="9">
        <v>8.5</v>
      </c>
      <c r="M97" s="20">
        <f t="shared" si="3"/>
        <v>178.5</v>
      </c>
    </row>
    <row r="98" spans="1:13" ht="21" customHeight="1" x14ac:dyDescent="0.25">
      <c r="A98" s="55">
        <v>45797</v>
      </c>
      <c r="B98" s="49" t="s">
        <v>276</v>
      </c>
      <c r="C98" s="49" t="s">
        <v>489</v>
      </c>
      <c r="D98" s="49" t="s">
        <v>291</v>
      </c>
      <c r="E98" s="49" t="s">
        <v>42</v>
      </c>
      <c r="F98" s="50">
        <v>864</v>
      </c>
      <c r="G98" s="50">
        <v>21</v>
      </c>
      <c r="H98" s="47">
        <f t="shared" si="2"/>
        <v>2.4305555555555556E-2</v>
      </c>
      <c r="I98" s="46" t="s">
        <v>295</v>
      </c>
      <c r="J98" s="45" t="s">
        <v>128</v>
      </c>
      <c r="K98" s="42">
        <v>21</v>
      </c>
      <c r="L98" s="9">
        <v>8.5</v>
      </c>
      <c r="M98" s="20">
        <f t="shared" si="3"/>
        <v>178.5</v>
      </c>
    </row>
    <row r="99" spans="1:13" ht="21" customHeight="1" x14ac:dyDescent="0.25">
      <c r="A99" s="55">
        <v>45803</v>
      </c>
      <c r="B99" s="49" t="s">
        <v>276</v>
      </c>
      <c r="C99" s="49" t="s">
        <v>489</v>
      </c>
      <c r="D99" s="49" t="s">
        <v>291</v>
      </c>
      <c r="E99" s="49" t="s">
        <v>42</v>
      </c>
      <c r="F99" s="50">
        <v>2808</v>
      </c>
      <c r="G99" s="50">
        <v>17</v>
      </c>
      <c r="H99" s="47">
        <f t="shared" si="2"/>
        <v>6.0541310541310537E-3</v>
      </c>
      <c r="I99" s="46" t="s">
        <v>295</v>
      </c>
      <c r="J99" s="45" t="s">
        <v>128</v>
      </c>
      <c r="K99" s="42">
        <v>17</v>
      </c>
      <c r="L99" s="9">
        <v>8.5</v>
      </c>
      <c r="M99" s="20">
        <f t="shared" si="3"/>
        <v>144.5</v>
      </c>
    </row>
    <row r="100" spans="1:13" ht="21" customHeight="1" x14ac:dyDescent="0.25">
      <c r="A100" s="55">
        <v>45798</v>
      </c>
      <c r="B100" s="49" t="s">
        <v>276</v>
      </c>
      <c r="C100" s="49" t="s">
        <v>489</v>
      </c>
      <c r="D100" s="49" t="s">
        <v>291</v>
      </c>
      <c r="E100" s="49" t="s">
        <v>42</v>
      </c>
      <c r="F100" s="50">
        <v>1944</v>
      </c>
      <c r="G100" s="50">
        <v>14</v>
      </c>
      <c r="H100" s="47">
        <f t="shared" si="2"/>
        <v>7.2016460905349796E-3</v>
      </c>
      <c r="I100" s="46" t="s">
        <v>295</v>
      </c>
      <c r="J100" s="45" t="s">
        <v>128</v>
      </c>
      <c r="K100" s="42">
        <v>14</v>
      </c>
      <c r="L100" s="9">
        <v>8.5</v>
      </c>
      <c r="M100" s="20">
        <f t="shared" si="3"/>
        <v>119</v>
      </c>
    </row>
    <row r="101" spans="1:13" ht="21" customHeight="1" x14ac:dyDescent="0.25">
      <c r="A101" s="55">
        <v>45799</v>
      </c>
      <c r="B101" s="49" t="s">
        <v>276</v>
      </c>
      <c r="C101" s="49" t="s">
        <v>489</v>
      </c>
      <c r="D101" s="49" t="s">
        <v>291</v>
      </c>
      <c r="E101" s="49" t="s">
        <v>42</v>
      </c>
      <c r="F101" s="50">
        <v>216</v>
      </c>
      <c r="G101" s="50">
        <v>11</v>
      </c>
      <c r="H101" s="47">
        <f t="shared" si="2"/>
        <v>5.0925925925925923E-2</v>
      </c>
      <c r="I101" s="46" t="s">
        <v>295</v>
      </c>
      <c r="J101" s="45" t="s">
        <v>128</v>
      </c>
      <c r="K101" s="42">
        <v>11</v>
      </c>
      <c r="L101" s="9">
        <v>8.5</v>
      </c>
      <c r="M101" s="20">
        <f t="shared" si="3"/>
        <v>93.5</v>
      </c>
    </row>
    <row r="102" spans="1:13" ht="21" customHeight="1" x14ac:dyDescent="0.25">
      <c r="A102" s="55">
        <v>45783</v>
      </c>
      <c r="B102" s="49" t="s">
        <v>276</v>
      </c>
      <c r="C102" s="49" t="s">
        <v>489</v>
      </c>
      <c r="D102" s="49" t="s">
        <v>291</v>
      </c>
      <c r="E102" s="49" t="s">
        <v>42</v>
      </c>
      <c r="F102" s="50">
        <f>1818+1512</f>
        <v>3330</v>
      </c>
      <c r="G102" s="50">
        <v>8</v>
      </c>
      <c r="H102" s="47">
        <f t="shared" si="2"/>
        <v>2.4024024024024023E-3</v>
      </c>
      <c r="I102" s="46" t="s">
        <v>295</v>
      </c>
      <c r="J102" s="45" t="s">
        <v>128</v>
      </c>
      <c r="K102" s="50">
        <v>8</v>
      </c>
      <c r="L102" s="9">
        <v>8.5</v>
      </c>
      <c r="M102" s="20">
        <f t="shared" si="3"/>
        <v>68</v>
      </c>
    </row>
    <row r="103" spans="1:13" ht="21" customHeight="1" x14ac:dyDescent="0.25">
      <c r="A103" s="55">
        <v>45802</v>
      </c>
      <c r="B103" s="49" t="s">
        <v>276</v>
      </c>
      <c r="C103" s="49" t="s">
        <v>489</v>
      </c>
      <c r="D103" s="49" t="s">
        <v>291</v>
      </c>
      <c r="E103" s="49" t="s">
        <v>42</v>
      </c>
      <c r="F103" s="50">
        <v>1296</v>
      </c>
      <c r="G103" s="50">
        <v>4</v>
      </c>
      <c r="H103" s="47">
        <f t="shared" si="2"/>
        <v>3.0864197530864196E-3</v>
      </c>
      <c r="I103" s="46" t="s">
        <v>295</v>
      </c>
      <c r="J103" s="45" t="s">
        <v>128</v>
      </c>
      <c r="K103" s="42">
        <v>4</v>
      </c>
      <c r="L103" s="9">
        <v>8.5</v>
      </c>
      <c r="M103" s="20">
        <f t="shared" si="3"/>
        <v>34</v>
      </c>
    </row>
    <row r="104" spans="1:13" ht="21" customHeight="1" x14ac:dyDescent="0.25">
      <c r="A104" s="55">
        <v>45803</v>
      </c>
      <c r="B104" s="49" t="s">
        <v>276</v>
      </c>
      <c r="C104" s="49" t="s">
        <v>489</v>
      </c>
      <c r="D104" s="49" t="s">
        <v>291</v>
      </c>
      <c r="E104" s="49" t="s">
        <v>42</v>
      </c>
      <c r="F104" s="50">
        <v>648</v>
      </c>
      <c r="G104" s="50">
        <v>4</v>
      </c>
      <c r="H104" s="47">
        <f t="shared" si="2"/>
        <v>6.1728395061728392E-3</v>
      </c>
      <c r="I104" s="46" t="s">
        <v>295</v>
      </c>
      <c r="J104" s="45" t="s">
        <v>128</v>
      </c>
      <c r="K104" s="42">
        <v>4</v>
      </c>
      <c r="L104" s="9">
        <v>8.5</v>
      </c>
      <c r="M104" s="20">
        <f t="shared" si="3"/>
        <v>34</v>
      </c>
    </row>
    <row r="105" spans="1:13" ht="21" customHeight="1" x14ac:dyDescent="0.25">
      <c r="A105" s="55">
        <v>45791</v>
      </c>
      <c r="B105" s="49" t="s">
        <v>276</v>
      </c>
      <c r="C105" s="49" t="s">
        <v>489</v>
      </c>
      <c r="D105" s="49" t="s">
        <v>291</v>
      </c>
      <c r="E105" s="49" t="s">
        <v>42</v>
      </c>
      <c r="F105" s="50">
        <v>1728</v>
      </c>
      <c r="G105" s="50">
        <v>3</v>
      </c>
      <c r="H105" s="47">
        <f t="shared" si="2"/>
        <v>1.736111111111111E-3</v>
      </c>
      <c r="I105" s="46" t="s">
        <v>295</v>
      </c>
      <c r="J105" s="45" t="s">
        <v>128</v>
      </c>
      <c r="K105" s="42">
        <v>3</v>
      </c>
      <c r="L105" s="9">
        <v>8.5</v>
      </c>
      <c r="M105" s="20">
        <f t="shared" si="3"/>
        <v>25.5</v>
      </c>
    </row>
    <row r="106" spans="1:13" ht="21" customHeight="1" x14ac:dyDescent="0.25">
      <c r="A106" s="55">
        <v>45795</v>
      </c>
      <c r="B106" s="49" t="s">
        <v>276</v>
      </c>
      <c r="C106" s="49" t="s">
        <v>489</v>
      </c>
      <c r="D106" s="49" t="s">
        <v>280</v>
      </c>
      <c r="E106" s="49" t="s">
        <v>468</v>
      </c>
      <c r="F106" s="50">
        <v>1792</v>
      </c>
      <c r="G106" s="50">
        <v>121</v>
      </c>
      <c r="H106" s="47">
        <f t="shared" si="2"/>
        <v>6.7522321428571425E-2</v>
      </c>
      <c r="I106" s="46" t="s">
        <v>288</v>
      </c>
      <c r="J106" s="45" t="s">
        <v>128</v>
      </c>
      <c r="K106" s="50">
        <v>121</v>
      </c>
      <c r="L106" s="20">
        <v>14.2</v>
      </c>
      <c r="M106" s="20">
        <f t="shared" si="3"/>
        <v>1718.1999999999998</v>
      </c>
    </row>
    <row r="107" spans="1:13" ht="21" customHeight="1" x14ac:dyDescent="0.25">
      <c r="A107" s="55">
        <v>45794</v>
      </c>
      <c r="B107" s="49" t="s">
        <v>276</v>
      </c>
      <c r="C107" s="49" t="s">
        <v>489</v>
      </c>
      <c r="D107" s="49" t="s">
        <v>280</v>
      </c>
      <c r="E107" s="49" t="s">
        <v>18</v>
      </c>
      <c r="F107" s="50">
        <v>2912</v>
      </c>
      <c r="G107" s="50">
        <v>47</v>
      </c>
      <c r="H107" s="47">
        <f t="shared" si="2"/>
        <v>1.6140109890109892E-2</v>
      </c>
      <c r="I107" s="46" t="s">
        <v>288</v>
      </c>
      <c r="J107" s="45" t="s">
        <v>128</v>
      </c>
      <c r="K107" s="42">
        <v>47</v>
      </c>
      <c r="L107" s="20">
        <v>14.2</v>
      </c>
      <c r="M107" s="20">
        <f t="shared" si="3"/>
        <v>667.4</v>
      </c>
    </row>
    <row r="108" spans="1:13" ht="21" customHeight="1" x14ac:dyDescent="0.25">
      <c r="A108" s="55">
        <v>45792</v>
      </c>
      <c r="B108" s="49" t="s">
        <v>276</v>
      </c>
      <c r="C108" s="49" t="s">
        <v>489</v>
      </c>
      <c r="D108" s="49" t="s">
        <v>280</v>
      </c>
      <c r="E108" s="49" t="s">
        <v>18</v>
      </c>
      <c r="F108" s="50">
        <v>1624</v>
      </c>
      <c r="G108" s="50">
        <v>44</v>
      </c>
      <c r="H108" s="47">
        <f t="shared" si="2"/>
        <v>2.7093596059113302E-2</v>
      </c>
      <c r="I108" s="46" t="s">
        <v>288</v>
      </c>
      <c r="J108" s="45" t="s">
        <v>128</v>
      </c>
      <c r="K108" s="42">
        <v>44</v>
      </c>
      <c r="L108" s="20">
        <v>14.2</v>
      </c>
      <c r="M108" s="20">
        <f t="shared" si="3"/>
        <v>624.79999999999995</v>
      </c>
    </row>
    <row r="109" spans="1:13" ht="21" customHeight="1" x14ac:dyDescent="0.25">
      <c r="A109" s="55">
        <v>45804</v>
      </c>
      <c r="B109" s="49" t="s">
        <v>276</v>
      </c>
      <c r="C109" s="49" t="s">
        <v>489</v>
      </c>
      <c r="D109" s="49" t="s">
        <v>280</v>
      </c>
      <c r="E109" s="49" t="s">
        <v>476</v>
      </c>
      <c r="F109" s="50">
        <v>3024</v>
      </c>
      <c r="G109" s="50">
        <v>43</v>
      </c>
      <c r="H109" s="47">
        <f t="shared" si="2"/>
        <v>1.4219576719576719E-2</v>
      </c>
      <c r="I109" s="46" t="s">
        <v>288</v>
      </c>
      <c r="J109" s="45" t="s">
        <v>128</v>
      </c>
      <c r="K109" s="42">
        <v>43</v>
      </c>
      <c r="L109" s="20">
        <v>14.2</v>
      </c>
      <c r="M109" s="20">
        <f t="shared" si="3"/>
        <v>610.6</v>
      </c>
    </row>
    <row r="110" spans="1:13" ht="21" customHeight="1" x14ac:dyDescent="0.25">
      <c r="A110" s="55">
        <v>45805</v>
      </c>
      <c r="B110" s="49" t="s">
        <v>276</v>
      </c>
      <c r="C110" s="49" t="s">
        <v>489</v>
      </c>
      <c r="D110" s="49" t="s">
        <v>280</v>
      </c>
      <c r="E110" s="49" t="s">
        <v>18</v>
      </c>
      <c r="F110" s="50">
        <v>728</v>
      </c>
      <c r="G110" s="50">
        <v>31</v>
      </c>
      <c r="H110" s="47">
        <f t="shared" si="2"/>
        <v>4.2582417582417584E-2</v>
      </c>
      <c r="I110" s="46" t="s">
        <v>288</v>
      </c>
      <c r="J110" s="45" t="s">
        <v>128</v>
      </c>
      <c r="K110" s="42">
        <v>31</v>
      </c>
      <c r="L110" s="20">
        <v>14.2</v>
      </c>
      <c r="M110" s="20">
        <f t="shared" si="3"/>
        <v>440.2</v>
      </c>
    </row>
    <row r="111" spans="1:13" ht="21" customHeight="1" x14ac:dyDescent="0.25">
      <c r="A111" s="55">
        <v>45798</v>
      </c>
      <c r="B111" s="49" t="s">
        <v>276</v>
      </c>
      <c r="C111" s="49" t="s">
        <v>489</v>
      </c>
      <c r="D111" s="49" t="s">
        <v>280</v>
      </c>
      <c r="E111" s="49" t="s">
        <v>18</v>
      </c>
      <c r="F111" s="50">
        <v>364</v>
      </c>
      <c r="G111" s="50">
        <v>30</v>
      </c>
      <c r="H111" s="47">
        <f t="shared" si="2"/>
        <v>8.2417582417582416E-2</v>
      </c>
      <c r="I111" s="46" t="s">
        <v>288</v>
      </c>
      <c r="J111" s="45" t="s">
        <v>128</v>
      </c>
      <c r="K111" s="42">
        <v>30</v>
      </c>
      <c r="L111" s="20">
        <v>14.2</v>
      </c>
      <c r="M111" s="20">
        <f t="shared" si="3"/>
        <v>426</v>
      </c>
    </row>
    <row r="112" spans="1:13" ht="21" customHeight="1" x14ac:dyDescent="0.25">
      <c r="A112" s="55">
        <v>45800</v>
      </c>
      <c r="B112" s="49" t="s">
        <v>276</v>
      </c>
      <c r="C112" s="49" t="s">
        <v>489</v>
      </c>
      <c r="D112" s="49" t="s">
        <v>280</v>
      </c>
      <c r="E112" s="49" t="s">
        <v>18</v>
      </c>
      <c r="F112" s="50">
        <v>1288</v>
      </c>
      <c r="G112" s="50">
        <v>30</v>
      </c>
      <c r="H112" s="47">
        <f t="shared" si="2"/>
        <v>2.3291925465838508E-2</v>
      </c>
      <c r="I112" s="46" t="s">
        <v>288</v>
      </c>
      <c r="J112" s="45" t="s">
        <v>128</v>
      </c>
      <c r="K112" s="42">
        <v>30</v>
      </c>
      <c r="L112" s="20">
        <v>14.2</v>
      </c>
      <c r="M112" s="20">
        <f t="shared" si="3"/>
        <v>426</v>
      </c>
    </row>
    <row r="113" spans="1:13" ht="21" customHeight="1" x14ac:dyDescent="0.25">
      <c r="A113" s="55">
        <v>45801</v>
      </c>
      <c r="B113" s="49" t="s">
        <v>276</v>
      </c>
      <c r="C113" s="49" t="s">
        <v>489</v>
      </c>
      <c r="D113" s="49" t="s">
        <v>280</v>
      </c>
      <c r="E113" s="49" t="s">
        <v>18</v>
      </c>
      <c r="F113" s="50">
        <v>1400</v>
      </c>
      <c r="G113" s="50">
        <v>30</v>
      </c>
      <c r="H113" s="47">
        <f t="shared" si="2"/>
        <v>2.1428571428571429E-2</v>
      </c>
      <c r="I113" s="46" t="s">
        <v>288</v>
      </c>
      <c r="J113" s="45" t="s">
        <v>128</v>
      </c>
      <c r="K113" s="42">
        <v>30</v>
      </c>
      <c r="L113" s="20">
        <v>14.2</v>
      </c>
      <c r="M113" s="20">
        <f t="shared" si="3"/>
        <v>426</v>
      </c>
    </row>
    <row r="114" spans="1:13" ht="21" customHeight="1" x14ac:dyDescent="0.25">
      <c r="A114" s="55">
        <v>45785</v>
      </c>
      <c r="B114" s="49" t="s">
        <v>276</v>
      </c>
      <c r="C114" s="49" t="s">
        <v>489</v>
      </c>
      <c r="D114" s="49" t="s">
        <v>280</v>
      </c>
      <c r="E114" s="49" t="s">
        <v>18</v>
      </c>
      <c r="F114" s="50">
        <v>1736</v>
      </c>
      <c r="G114" s="50">
        <v>29</v>
      </c>
      <c r="H114" s="47">
        <f t="shared" si="2"/>
        <v>1.6705069124423964E-2</v>
      </c>
      <c r="I114" s="46" t="s">
        <v>288</v>
      </c>
      <c r="J114" s="45" t="s">
        <v>128</v>
      </c>
      <c r="K114" s="42">
        <v>29</v>
      </c>
      <c r="L114" s="20">
        <v>14.2</v>
      </c>
      <c r="M114" s="20">
        <f t="shared" si="3"/>
        <v>411.79999999999995</v>
      </c>
    </row>
    <row r="115" spans="1:13" ht="21" customHeight="1" x14ac:dyDescent="0.25">
      <c r="A115" s="55">
        <v>45787</v>
      </c>
      <c r="B115" s="49" t="s">
        <v>276</v>
      </c>
      <c r="C115" s="49" t="s">
        <v>489</v>
      </c>
      <c r="D115" s="49" t="s">
        <v>280</v>
      </c>
      <c r="E115" s="49" t="s">
        <v>18</v>
      </c>
      <c r="F115" s="50">
        <v>1400</v>
      </c>
      <c r="G115" s="50">
        <v>27</v>
      </c>
      <c r="H115" s="47">
        <f t="shared" si="2"/>
        <v>1.9285714285714285E-2</v>
      </c>
      <c r="I115" s="46" t="s">
        <v>288</v>
      </c>
      <c r="J115" s="45" t="s">
        <v>128</v>
      </c>
      <c r="K115" s="42">
        <v>27</v>
      </c>
      <c r="L115" s="20">
        <v>14.2</v>
      </c>
      <c r="M115" s="20">
        <f t="shared" si="3"/>
        <v>383.4</v>
      </c>
    </row>
    <row r="116" spans="1:13" ht="21" customHeight="1" x14ac:dyDescent="0.25">
      <c r="A116" s="55">
        <v>45797</v>
      </c>
      <c r="B116" s="49" t="s">
        <v>276</v>
      </c>
      <c r="C116" s="49" t="s">
        <v>489</v>
      </c>
      <c r="D116" s="49" t="s">
        <v>280</v>
      </c>
      <c r="E116" s="49" t="s">
        <v>18</v>
      </c>
      <c r="F116" s="50">
        <v>364</v>
      </c>
      <c r="G116" s="50">
        <v>22</v>
      </c>
      <c r="H116" s="47">
        <f t="shared" si="2"/>
        <v>6.043956043956044E-2</v>
      </c>
      <c r="I116" s="46" t="s">
        <v>288</v>
      </c>
      <c r="J116" s="45" t="s">
        <v>128</v>
      </c>
      <c r="K116" s="42">
        <v>22</v>
      </c>
      <c r="L116" s="20">
        <v>14.2</v>
      </c>
      <c r="M116" s="20">
        <f t="shared" si="3"/>
        <v>312.39999999999998</v>
      </c>
    </row>
    <row r="117" spans="1:13" ht="21" customHeight="1" x14ac:dyDescent="0.25">
      <c r="A117" s="55">
        <v>45806</v>
      </c>
      <c r="B117" s="49" t="s">
        <v>276</v>
      </c>
      <c r="C117" s="49" t="s">
        <v>489</v>
      </c>
      <c r="D117" s="49" t="s">
        <v>280</v>
      </c>
      <c r="E117" s="49" t="s">
        <v>18</v>
      </c>
      <c r="F117" s="50">
        <v>2856</v>
      </c>
      <c r="G117" s="50">
        <v>22</v>
      </c>
      <c r="H117" s="47">
        <f t="shared" si="2"/>
        <v>7.7030812324929976E-3</v>
      </c>
      <c r="I117" s="46" t="s">
        <v>288</v>
      </c>
      <c r="J117" s="45" t="s">
        <v>128</v>
      </c>
      <c r="K117" s="42">
        <v>22</v>
      </c>
      <c r="L117" s="20">
        <v>14.2</v>
      </c>
      <c r="M117" s="20">
        <f t="shared" si="3"/>
        <v>312.39999999999998</v>
      </c>
    </row>
    <row r="118" spans="1:13" ht="21" customHeight="1" x14ac:dyDescent="0.25">
      <c r="A118" s="55">
        <v>45784</v>
      </c>
      <c r="B118" s="49" t="s">
        <v>276</v>
      </c>
      <c r="C118" s="49" t="s">
        <v>489</v>
      </c>
      <c r="D118" s="49" t="s">
        <v>280</v>
      </c>
      <c r="E118" s="49" t="s">
        <v>18</v>
      </c>
      <c r="F118" s="50">
        <v>448</v>
      </c>
      <c r="G118" s="50">
        <v>15</v>
      </c>
      <c r="H118" s="47">
        <f t="shared" si="2"/>
        <v>3.3482142857142856E-2</v>
      </c>
      <c r="I118" s="46" t="s">
        <v>288</v>
      </c>
      <c r="J118" s="45" t="s">
        <v>128</v>
      </c>
      <c r="K118" s="50">
        <v>15</v>
      </c>
      <c r="L118" s="20">
        <v>14.2</v>
      </c>
      <c r="M118" s="20">
        <f t="shared" si="3"/>
        <v>213</v>
      </c>
    </row>
    <row r="119" spans="1:13" ht="21" customHeight="1" x14ac:dyDescent="0.25">
      <c r="A119" s="55">
        <v>45793</v>
      </c>
      <c r="B119" s="49" t="s">
        <v>276</v>
      </c>
      <c r="C119" s="49" t="s">
        <v>489</v>
      </c>
      <c r="D119" s="49" t="s">
        <v>280</v>
      </c>
      <c r="E119" s="49" t="s">
        <v>18</v>
      </c>
      <c r="F119" s="50">
        <v>392</v>
      </c>
      <c r="G119" s="50">
        <v>11</v>
      </c>
      <c r="H119" s="47">
        <f t="shared" si="2"/>
        <v>2.8061224489795918E-2</v>
      </c>
      <c r="I119" s="46" t="s">
        <v>288</v>
      </c>
      <c r="J119" s="45" t="s">
        <v>128</v>
      </c>
      <c r="K119" s="42">
        <v>11</v>
      </c>
      <c r="L119" s="20">
        <v>14.2</v>
      </c>
      <c r="M119" s="20">
        <f t="shared" si="3"/>
        <v>156.19999999999999</v>
      </c>
    </row>
    <row r="120" spans="1:13" ht="21" customHeight="1" x14ac:dyDescent="0.25">
      <c r="A120" s="55">
        <v>45799</v>
      </c>
      <c r="B120" s="49" t="s">
        <v>276</v>
      </c>
      <c r="C120" s="49" t="s">
        <v>489</v>
      </c>
      <c r="D120" s="49" t="s">
        <v>280</v>
      </c>
      <c r="E120" s="49" t="s">
        <v>18</v>
      </c>
      <c r="F120" s="50">
        <v>168</v>
      </c>
      <c r="G120" s="50">
        <v>8</v>
      </c>
      <c r="H120" s="47">
        <f t="shared" si="2"/>
        <v>4.7619047619047616E-2</v>
      </c>
      <c r="I120" s="46" t="s">
        <v>288</v>
      </c>
      <c r="J120" s="45" t="s">
        <v>128</v>
      </c>
      <c r="K120" s="42">
        <v>8</v>
      </c>
      <c r="L120" s="20">
        <v>14.2</v>
      </c>
      <c r="M120" s="20">
        <f t="shared" si="3"/>
        <v>113.6</v>
      </c>
    </row>
    <row r="121" spans="1:13" ht="21" customHeight="1" x14ac:dyDescent="0.25">
      <c r="A121" s="55">
        <v>45782</v>
      </c>
      <c r="B121" s="49" t="s">
        <v>276</v>
      </c>
      <c r="C121" s="49" t="s">
        <v>489</v>
      </c>
      <c r="D121" s="49" t="s">
        <v>280</v>
      </c>
      <c r="E121" s="49" t="s">
        <v>18</v>
      </c>
      <c r="F121" s="50">
        <v>896</v>
      </c>
      <c r="G121" s="50">
        <v>6</v>
      </c>
      <c r="H121" s="47">
        <f t="shared" si="2"/>
        <v>6.6964285714285711E-3</v>
      </c>
      <c r="I121" s="46" t="s">
        <v>288</v>
      </c>
      <c r="J121" s="45" t="s">
        <v>128</v>
      </c>
      <c r="K121" s="42">
        <f>G121</f>
        <v>6</v>
      </c>
      <c r="L121" s="20">
        <v>14.2</v>
      </c>
      <c r="M121" s="20">
        <f t="shared" si="3"/>
        <v>85.199999999999989</v>
      </c>
    </row>
    <row r="122" spans="1:13" ht="21" customHeight="1" x14ac:dyDescent="0.25">
      <c r="A122" s="55">
        <v>45788</v>
      </c>
      <c r="B122" s="49" t="s">
        <v>276</v>
      </c>
      <c r="C122" s="49" t="s">
        <v>489</v>
      </c>
      <c r="D122" s="49" t="s">
        <v>280</v>
      </c>
      <c r="E122" s="49" t="s">
        <v>18</v>
      </c>
      <c r="F122" s="50">
        <v>168</v>
      </c>
      <c r="G122" s="50">
        <v>6</v>
      </c>
      <c r="H122" s="47">
        <f t="shared" si="2"/>
        <v>3.5714285714285712E-2</v>
      </c>
      <c r="I122" s="46" t="s">
        <v>288</v>
      </c>
      <c r="J122" s="45" t="s">
        <v>128</v>
      </c>
      <c r="K122" s="50">
        <v>6</v>
      </c>
      <c r="L122" s="20">
        <v>14.2</v>
      </c>
      <c r="M122" s="20">
        <f t="shared" si="3"/>
        <v>85.199999999999989</v>
      </c>
    </row>
    <row r="123" spans="1:13" ht="21" customHeight="1" x14ac:dyDescent="0.25">
      <c r="A123" s="55">
        <v>45807</v>
      </c>
      <c r="B123" s="49" t="s">
        <v>276</v>
      </c>
      <c r="C123" s="49" t="s">
        <v>489</v>
      </c>
      <c r="D123" s="49" t="s">
        <v>280</v>
      </c>
      <c r="E123" s="49" t="s">
        <v>18</v>
      </c>
      <c r="F123" s="50">
        <v>840</v>
      </c>
      <c r="G123" s="50">
        <v>5</v>
      </c>
      <c r="H123" s="47">
        <f t="shared" si="2"/>
        <v>5.9523809523809521E-3</v>
      </c>
      <c r="I123" s="46" t="s">
        <v>288</v>
      </c>
      <c r="J123" s="45" t="s">
        <v>128</v>
      </c>
      <c r="K123" s="42">
        <v>5</v>
      </c>
      <c r="L123" s="20">
        <v>14.2</v>
      </c>
      <c r="M123" s="20">
        <f t="shared" si="3"/>
        <v>71</v>
      </c>
    </row>
    <row r="124" spans="1:13" ht="21" customHeight="1" x14ac:dyDescent="0.25">
      <c r="A124" s="55">
        <v>45803</v>
      </c>
      <c r="B124" s="49" t="s">
        <v>276</v>
      </c>
      <c r="C124" s="49" t="s">
        <v>489</v>
      </c>
      <c r="D124" s="49" t="s">
        <v>280</v>
      </c>
      <c r="E124" s="49" t="s">
        <v>18</v>
      </c>
      <c r="F124" s="50">
        <v>784</v>
      </c>
      <c r="G124" s="50">
        <v>3</v>
      </c>
      <c r="H124" s="47">
        <f t="shared" si="2"/>
        <v>3.8265306122448979E-3</v>
      </c>
      <c r="I124" s="46" t="s">
        <v>288</v>
      </c>
      <c r="J124" s="45" t="s">
        <v>128</v>
      </c>
      <c r="K124" s="42">
        <v>3</v>
      </c>
      <c r="L124" s="20">
        <v>14.2</v>
      </c>
      <c r="M124" s="20">
        <f t="shared" si="3"/>
        <v>42.599999999999994</v>
      </c>
    </row>
    <row r="125" spans="1:13" ht="21" customHeight="1" x14ac:dyDescent="0.25">
      <c r="A125" s="55">
        <v>45786</v>
      </c>
      <c r="B125" s="49" t="s">
        <v>276</v>
      </c>
      <c r="C125" s="49" t="s">
        <v>489</v>
      </c>
      <c r="D125" s="49" t="s">
        <v>296</v>
      </c>
      <c r="E125" s="49" t="s">
        <v>469</v>
      </c>
      <c r="F125" s="50">
        <f>416+2496</f>
        <v>2912</v>
      </c>
      <c r="G125" s="50">
        <v>16</v>
      </c>
      <c r="H125" s="47">
        <f t="shared" si="2"/>
        <v>5.4945054945054949E-3</v>
      </c>
      <c r="I125" s="46" t="s">
        <v>279</v>
      </c>
      <c r="J125" s="45" t="s">
        <v>128</v>
      </c>
      <c r="K125" s="42">
        <v>16</v>
      </c>
      <c r="L125" s="20">
        <v>13.55</v>
      </c>
      <c r="M125" s="20">
        <f t="shared" si="3"/>
        <v>216.8</v>
      </c>
    </row>
    <row r="126" spans="1:13" ht="21" customHeight="1" x14ac:dyDescent="0.25">
      <c r="A126" s="55">
        <v>45797</v>
      </c>
      <c r="B126" s="49" t="s">
        <v>276</v>
      </c>
      <c r="C126" s="49" t="s">
        <v>489</v>
      </c>
      <c r="D126" s="49" t="s">
        <v>296</v>
      </c>
      <c r="E126" s="49" t="s">
        <v>41</v>
      </c>
      <c r="F126" s="50">
        <v>1144</v>
      </c>
      <c r="G126" s="50">
        <v>15</v>
      </c>
      <c r="H126" s="47">
        <f t="shared" si="2"/>
        <v>1.3111888111888112E-2</v>
      </c>
      <c r="I126" s="46" t="s">
        <v>279</v>
      </c>
      <c r="J126" s="45" t="s">
        <v>128</v>
      </c>
      <c r="K126" s="42">
        <v>15</v>
      </c>
      <c r="L126" s="20">
        <v>13.55</v>
      </c>
      <c r="M126" s="20">
        <f t="shared" si="3"/>
        <v>203.25</v>
      </c>
    </row>
    <row r="127" spans="1:13" ht="21" customHeight="1" x14ac:dyDescent="0.25">
      <c r="A127" s="55">
        <v>45799</v>
      </c>
      <c r="B127" s="49" t="s">
        <v>276</v>
      </c>
      <c r="C127" s="49" t="s">
        <v>489</v>
      </c>
      <c r="D127" s="49" t="s">
        <v>296</v>
      </c>
      <c r="E127" s="49" t="s">
        <v>41</v>
      </c>
      <c r="F127" s="50">
        <f>324+2704</f>
        <v>3028</v>
      </c>
      <c r="G127" s="50">
        <v>14</v>
      </c>
      <c r="H127" s="47">
        <f t="shared" si="2"/>
        <v>4.623513870541612E-3</v>
      </c>
      <c r="I127" s="46" t="s">
        <v>279</v>
      </c>
      <c r="J127" s="45" t="s">
        <v>128</v>
      </c>
      <c r="K127" s="42">
        <v>14</v>
      </c>
      <c r="L127" s="20">
        <v>13.55</v>
      </c>
      <c r="M127" s="20">
        <f t="shared" si="3"/>
        <v>189.70000000000002</v>
      </c>
    </row>
    <row r="128" spans="1:13" ht="21" customHeight="1" x14ac:dyDescent="0.25">
      <c r="A128" s="55">
        <v>45800</v>
      </c>
      <c r="B128" s="49" t="s">
        <v>276</v>
      </c>
      <c r="C128" s="49" t="s">
        <v>489</v>
      </c>
      <c r="D128" s="49" t="s">
        <v>296</v>
      </c>
      <c r="E128" s="49" t="s">
        <v>41</v>
      </c>
      <c r="F128" s="50">
        <f>1976+520</f>
        <v>2496</v>
      </c>
      <c r="G128" s="50">
        <v>13</v>
      </c>
      <c r="H128" s="47">
        <f t="shared" si="2"/>
        <v>5.208333333333333E-3</v>
      </c>
      <c r="I128" s="46" t="s">
        <v>279</v>
      </c>
      <c r="J128" s="45" t="s">
        <v>128</v>
      </c>
      <c r="K128" s="42">
        <v>13</v>
      </c>
      <c r="L128" s="20">
        <v>13.55</v>
      </c>
      <c r="M128" s="20">
        <f t="shared" si="3"/>
        <v>176.15</v>
      </c>
    </row>
    <row r="129" spans="1:14" ht="21" customHeight="1" x14ac:dyDescent="0.25">
      <c r="A129" s="55">
        <v>45805</v>
      </c>
      <c r="B129" s="49" t="s">
        <v>276</v>
      </c>
      <c r="C129" s="49" t="s">
        <v>489</v>
      </c>
      <c r="D129" s="49" t="s">
        <v>296</v>
      </c>
      <c r="E129" s="49" t="s">
        <v>41</v>
      </c>
      <c r="F129" s="50">
        <v>4680</v>
      </c>
      <c r="G129" s="50">
        <v>9</v>
      </c>
      <c r="H129" s="47">
        <f t="shared" si="2"/>
        <v>1.9230769230769232E-3</v>
      </c>
      <c r="I129" s="46" t="s">
        <v>279</v>
      </c>
      <c r="J129" s="45" t="s">
        <v>128</v>
      </c>
      <c r="K129" s="42">
        <v>9</v>
      </c>
      <c r="L129" s="20">
        <v>13.55</v>
      </c>
      <c r="M129" s="20">
        <f t="shared" si="3"/>
        <v>121.95</v>
      </c>
    </row>
    <row r="130" spans="1:14" ht="21" customHeight="1" x14ac:dyDescent="0.25">
      <c r="A130" s="55">
        <v>45785</v>
      </c>
      <c r="B130" s="49" t="s">
        <v>276</v>
      </c>
      <c r="C130" s="49" t="s">
        <v>489</v>
      </c>
      <c r="D130" s="49" t="s">
        <v>296</v>
      </c>
      <c r="E130" s="49" t="s">
        <v>41</v>
      </c>
      <c r="F130" s="50">
        <v>2496</v>
      </c>
      <c r="G130" s="50">
        <v>8</v>
      </c>
      <c r="H130" s="47">
        <f t="shared" ref="H130:H193" si="4">G130/F130</f>
        <v>3.205128205128205E-3</v>
      </c>
      <c r="I130" s="46" t="s">
        <v>279</v>
      </c>
      <c r="J130" s="45" t="s">
        <v>128</v>
      </c>
      <c r="K130" s="42">
        <v>8</v>
      </c>
      <c r="L130" s="20">
        <v>13.55</v>
      </c>
      <c r="M130" s="20">
        <f t="shared" ref="M130:M193" si="5">K130*L130</f>
        <v>108.4</v>
      </c>
    </row>
    <row r="131" spans="1:14" ht="21" customHeight="1" x14ac:dyDescent="0.25">
      <c r="A131" s="55">
        <v>45796</v>
      </c>
      <c r="B131" s="49" t="s">
        <v>276</v>
      </c>
      <c r="C131" s="49" t="s">
        <v>489</v>
      </c>
      <c r="D131" s="49" t="s">
        <v>296</v>
      </c>
      <c r="E131" s="49" t="s">
        <v>41</v>
      </c>
      <c r="F131" s="50">
        <v>1768</v>
      </c>
      <c r="G131" s="50">
        <v>5</v>
      </c>
      <c r="H131" s="47">
        <f t="shared" si="4"/>
        <v>2.8280542986425339E-3</v>
      </c>
      <c r="I131" s="46" t="s">
        <v>279</v>
      </c>
      <c r="J131" s="45" t="s">
        <v>128</v>
      </c>
      <c r="K131" s="50">
        <v>5</v>
      </c>
      <c r="L131" s="20">
        <v>13.55</v>
      </c>
      <c r="M131" s="20">
        <f t="shared" si="5"/>
        <v>67.75</v>
      </c>
    </row>
    <row r="132" spans="1:14" ht="21" customHeight="1" x14ac:dyDescent="0.25">
      <c r="A132" s="55">
        <v>45806</v>
      </c>
      <c r="B132" s="49" t="s">
        <v>276</v>
      </c>
      <c r="C132" s="49" t="s">
        <v>489</v>
      </c>
      <c r="D132" s="49" t="s">
        <v>296</v>
      </c>
      <c r="E132" s="49" t="s">
        <v>41</v>
      </c>
      <c r="F132" s="50">
        <v>2184</v>
      </c>
      <c r="G132" s="50">
        <v>3</v>
      </c>
      <c r="H132" s="47">
        <f t="shared" si="4"/>
        <v>1.3736263736263737E-3</v>
      </c>
      <c r="I132" s="46" t="s">
        <v>279</v>
      </c>
      <c r="J132" s="45" t="s">
        <v>128</v>
      </c>
      <c r="K132" s="42">
        <v>3</v>
      </c>
      <c r="L132" s="20">
        <v>13.55</v>
      </c>
      <c r="M132" s="20">
        <f t="shared" si="5"/>
        <v>40.650000000000006</v>
      </c>
    </row>
    <row r="133" spans="1:14" ht="21" customHeight="1" x14ac:dyDescent="0.25">
      <c r="A133" s="55">
        <v>45793</v>
      </c>
      <c r="B133" s="49" t="s">
        <v>276</v>
      </c>
      <c r="C133" s="49" t="s">
        <v>489</v>
      </c>
      <c r="D133" s="49" t="s">
        <v>305</v>
      </c>
      <c r="E133" s="49" t="s">
        <v>41</v>
      </c>
      <c r="F133" s="50">
        <v>208</v>
      </c>
      <c r="G133" s="50">
        <v>15</v>
      </c>
      <c r="H133" s="47">
        <f t="shared" si="4"/>
        <v>7.2115384615384609E-2</v>
      </c>
      <c r="I133" s="46" t="s">
        <v>279</v>
      </c>
      <c r="J133" s="45" t="s">
        <v>128</v>
      </c>
      <c r="K133" s="42">
        <v>15</v>
      </c>
      <c r="L133" s="20">
        <v>13.55</v>
      </c>
      <c r="M133" s="20">
        <f t="shared" si="5"/>
        <v>203.25</v>
      </c>
    </row>
    <row r="134" spans="1:14" ht="21" customHeight="1" x14ac:dyDescent="0.25">
      <c r="A134" s="55">
        <v>45792</v>
      </c>
      <c r="B134" s="49" t="s">
        <v>276</v>
      </c>
      <c r="C134" s="49" t="s">
        <v>489</v>
      </c>
      <c r="D134" s="49" t="s">
        <v>305</v>
      </c>
      <c r="E134" s="49" t="s">
        <v>41</v>
      </c>
      <c r="F134" s="50">
        <v>1872</v>
      </c>
      <c r="G134" s="50">
        <v>14</v>
      </c>
      <c r="H134" s="47">
        <f t="shared" si="4"/>
        <v>7.478632478632479E-3</v>
      </c>
      <c r="I134" s="46" t="s">
        <v>279</v>
      </c>
      <c r="J134" s="45" t="s">
        <v>128</v>
      </c>
      <c r="K134" s="42">
        <v>14</v>
      </c>
      <c r="L134" s="20">
        <v>13.55</v>
      </c>
      <c r="M134" s="20">
        <f t="shared" si="5"/>
        <v>189.70000000000002</v>
      </c>
    </row>
    <row r="135" spans="1:14" ht="21" customHeight="1" x14ac:dyDescent="0.25">
      <c r="A135" s="55">
        <v>45797</v>
      </c>
      <c r="B135" s="49" t="s">
        <v>265</v>
      </c>
      <c r="C135" s="49" t="s">
        <v>489</v>
      </c>
      <c r="D135" s="49" t="s">
        <v>362</v>
      </c>
      <c r="E135" s="49" t="s">
        <v>471</v>
      </c>
      <c r="F135" s="50">
        <v>4600</v>
      </c>
      <c r="G135" s="50">
        <v>80</v>
      </c>
      <c r="H135" s="47">
        <f t="shared" si="4"/>
        <v>1.7391304347826087E-2</v>
      </c>
      <c r="I135" s="54"/>
      <c r="J135" s="52" t="s">
        <v>321</v>
      </c>
      <c r="K135" s="42">
        <v>80</v>
      </c>
      <c r="L135" s="20">
        <v>2.1960000000000002</v>
      </c>
      <c r="M135" s="20">
        <f t="shared" si="5"/>
        <v>175.68</v>
      </c>
    </row>
    <row r="136" spans="1:14" ht="21" customHeight="1" x14ac:dyDescent="0.25">
      <c r="A136" s="55">
        <v>45782</v>
      </c>
      <c r="B136" s="49" t="s">
        <v>276</v>
      </c>
      <c r="C136" s="49" t="s">
        <v>489</v>
      </c>
      <c r="D136" s="49" t="s">
        <v>283</v>
      </c>
      <c r="E136" s="10" t="s">
        <v>472</v>
      </c>
      <c r="F136" s="50">
        <f>700+1650</f>
        <v>2350</v>
      </c>
      <c r="G136" s="50">
        <v>202</v>
      </c>
      <c r="H136" s="47">
        <f t="shared" si="4"/>
        <v>8.595744680851064E-2</v>
      </c>
      <c r="I136" s="46" t="s">
        <v>290</v>
      </c>
      <c r="J136" s="45" t="s">
        <v>128</v>
      </c>
      <c r="K136" s="42">
        <f>G136</f>
        <v>202</v>
      </c>
      <c r="L136" s="9">
        <v>14.52</v>
      </c>
      <c r="M136" s="20">
        <f t="shared" si="5"/>
        <v>2933.04</v>
      </c>
    </row>
    <row r="137" spans="1:14" ht="21" customHeight="1" x14ac:dyDescent="0.25">
      <c r="A137" s="55">
        <v>45793</v>
      </c>
      <c r="B137" s="49" t="s">
        <v>276</v>
      </c>
      <c r="C137" s="49" t="s">
        <v>489</v>
      </c>
      <c r="D137" s="49" t="s">
        <v>283</v>
      </c>
      <c r="E137" s="10" t="s">
        <v>101</v>
      </c>
      <c r="F137" s="50">
        <v>1200</v>
      </c>
      <c r="G137" s="50">
        <v>21</v>
      </c>
      <c r="H137" s="47">
        <f t="shared" si="4"/>
        <v>1.7500000000000002E-2</v>
      </c>
      <c r="I137" s="46" t="s">
        <v>290</v>
      </c>
      <c r="J137" s="45" t="s">
        <v>128</v>
      </c>
      <c r="K137" s="42">
        <v>21</v>
      </c>
      <c r="L137" s="9">
        <v>14.52</v>
      </c>
      <c r="M137" s="20">
        <f t="shared" si="5"/>
        <v>304.92</v>
      </c>
    </row>
    <row r="138" spans="1:14" ht="21" customHeight="1" x14ac:dyDescent="0.25">
      <c r="A138" s="55">
        <v>45796</v>
      </c>
      <c r="B138" s="49" t="s">
        <v>276</v>
      </c>
      <c r="C138" s="49" t="s">
        <v>489</v>
      </c>
      <c r="D138" s="49" t="s">
        <v>283</v>
      </c>
      <c r="E138" s="10" t="s">
        <v>101</v>
      </c>
      <c r="F138" s="50">
        <v>2400</v>
      </c>
      <c r="G138" s="50">
        <v>17</v>
      </c>
      <c r="H138" s="47">
        <f t="shared" si="4"/>
        <v>7.083333333333333E-3</v>
      </c>
      <c r="I138" s="46" t="s">
        <v>290</v>
      </c>
      <c r="J138" s="45" t="s">
        <v>128</v>
      </c>
      <c r="K138" s="50">
        <v>17</v>
      </c>
      <c r="L138" s="9">
        <v>14.52</v>
      </c>
      <c r="M138" s="20">
        <f t="shared" si="5"/>
        <v>246.84</v>
      </c>
    </row>
    <row r="139" spans="1:14" ht="21" customHeight="1" x14ac:dyDescent="0.25">
      <c r="A139" s="55">
        <v>45786</v>
      </c>
      <c r="B139" s="51" t="s">
        <v>265</v>
      </c>
      <c r="C139" s="49" t="s">
        <v>488</v>
      </c>
      <c r="D139" s="49" t="s">
        <v>297</v>
      </c>
      <c r="E139" s="49" t="s">
        <v>351</v>
      </c>
      <c r="F139" s="50">
        <v>1872</v>
      </c>
      <c r="G139" s="50">
        <v>116</v>
      </c>
      <c r="H139" s="47">
        <f t="shared" si="4"/>
        <v>6.1965811965811968E-2</v>
      </c>
      <c r="I139" s="54" t="s">
        <v>324</v>
      </c>
      <c r="J139" s="45" t="s">
        <v>128</v>
      </c>
      <c r="K139" s="42">
        <v>116</v>
      </c>
      <c r="L139" s="20">
        <v>23</v>
      </c>
      <c r="M139" s="20">
        <f t="shared" si="5"/>
        <v>2668</v>
      </c>
    </row>
    <row r="140" spans="1:14" ht="21" customHeight="1" x14ac:dyDescent="0.25">
      <c r="A140" s="55">
        <v>45799</v>
      </c>
      <c r="B140" s="51" t="s">
        <v>265</v>
      </c>
      <c r="C140" s="49" t="s">
        <v>488</v>
      </c>
      <c r="D140" s="49" t="s">
        <v>297</v>
      </c>
      <c r="E140" s="49" t="s">
        <v>350</v>
      </c>
      <c r="F140" s="50">
        <v>1872</v>
      </c>
      <c r="G140" s="50">
        <v>80</v>
      </c>
      <c r="H140" s="47">
        <f t="shared" si="4"/>
        <v>4.2735042735042736E-2</v>
      </c>
      <c r="I140" s="54" t="s">
        <v>324</v>
      </c>
      <c r="J140" s="45" t="s">
        <v>128</v>
      </c>
      <c r="K140" s="42">
        <v>80</v>
      </c>
      <c r="L140" s="20">
        <v>23</v>
      </c>
      <c r="M140" s="20">
        <f t="shared" si="5"/>
        <v>1840</v>
      </c>
      <c r="N140" s="62"/>
    </row>
    <row r="141" spans="1:14" ht="21" customHeight="1" x14ac:dyDescent="0.25">
      <c r="A141" s="55">
        <v>45795</v>
      </c>
      <c r="B141" s="51" t="s">
        <v>265</v>
      </c>
      <c r="C141" s="49" t="s">
        <v>488</v>
      </c>
      <c r="D141" s="49" t="s">
        <v>297</v>
      </c>
      <c r="E141" s="49" t="s">
        <v>351</v>
      </c>
      <c r="F141" s="50">
        <v>1296</v>
      </c>
      <c r="G141" s="50">
        <v>66</v>
      </c>
      <c r="H141" s="47">
        <f t="shared" si="4"/>
        <v>5.0925925925925923E-2</v>
      </c>
      <c r="I141" s="54" t="s">
        <v>324</v>
      </c>
      <c r="J141" s="45" t="s">
        <v>128</v>
      </c>
      <c r="K141" s="50">
        <v>66</v>
      </c>
      <c r="L141" s="20">
        <v>23</v>
      </c>
      <c r="M141" s="20">
        <f t="shared" si="5"/>
        <v>1518</v>
      </c>
    </row>
    <row r="142" spans="1:14" ht="21" customHeight="1" x14ac:dyDescent="0.25">
      <c r="A142" s="55">
        <v>45785</v>
      </c>
      <c r="B142" s="51" t="s">
        <v>265</v>
      </c>
      <c r="C142" s="49" t="s">
        <v>488</v>
      </c>
      <c r="D142" s="49" t="s">
        <v>297</v>
      </c>
      <c r="E142" s="49" t="s">
        <v>351</v>
      </c>
      <c r="F142" s="50">
        <v>432</v>
      </c>
      <c r="G142" s="50">
        <v>51</v>
      </c>
      <c r="H142" s="47">
        <f t="shared" si="4"/>
        <v>0.11805555555555555</v>
      </c>
      <c r="I142" s="54" t="s">
        <v>324</v>
      </c>
      <c r="J142" s="45" t="s">
        <v>128</v>
      </c>
      <c r="K142" s="42">
        <v>51</v>
      </c>
      <c r="L142" s="20">
        <v>23</v>
      </c>
      <c r="M142" s="20">
        <f t="shared" si="5"/>
        <v>1173</v>
      </c>
    </row>
    <row r="143" spans="1:14" ht="21" customHeight="1" x14ac:dyDescent="0.25">
      <c r="A143" s="55">
        <v>45798</v>
      </c>
      <c r="B143" s="51" t="s">
        <v>265</v>
      </c>
      <c r="C143" s="49" t="s">
        <v>488</v>
      </c>
      <c r="D143" s="49" t="s">
        <v>297</v>
      </c>
      <c r="E143" s="49" t="s">
        <v>351</v>
      </c>
      <c r="F143" s="50">
        <v>1872</v>
      </c>
      <c r="G143" s="50">
        <v>50</v>
      </c>
      <c r="H143" s="47">
        <f t="shared" si="4"/>
        <v>2.6709401709401708E-2</v>
      </c>
      <c r="I143" s="54" t="s">
        <v>324</v>
      </c>
      <c r="J143" s="45" t="s">
        <v>128</v>
      </c>
      <c r="K143" s="42">
        <v>50</v>
      </c>
      <c r="L143" s="20">
        <v>23</v>
      </c>
      <c r="M143" s="20">
        <f t="shared" si="5"/>
        <v>1150</v>
      </c>
    </row>
    <row r="144" spans="1:14" ht="21" customHeight="1" x14ac:dyDescent="0.25">
      <c r="A144" s="55">
        <v>45805</v>
      </c>
      <c r="B144" s="51" t="s">
        <v>265</v>
      </c>
      <c r="C144" s="49" t="s">
        <v>488</v>
      </c>
      <c r="D144" s="49" t="s">
        <v>297</v>
      </c>
      <c r="E144" s="49" t="s">
        <v>350</v>
      </c>
      <c r="F144" s="50">
        <v>2304</v>
      </c>
      <c r="G144" s="50">
        <v>41</v>
      </c>
      <c r="H144" s="47">
        <f t="shared" si="4"/>
        <v>1.7795138888888888E-2</v>
      </c>
      <c r="I144" s="54" t="s">
        <v>324</v>
      </c>
      <c r="J144" s="45" t="s">
        <v>128</v>
      </c>
      <c r="K144" s="42">
        <v>41</v>
      </c>
      <c r="L144" s="20">
        <v>23</v>
      </c>
      <c r="M144" s="20">
        <f t="shared" si="5"/>
        <v>943</v>
      </c>
    </row>
    <row r="145" spans="1:13" ht="21" customHeight="1" x14ac:dyDescent="0.25">
      <c r="A145" s="55">
        <v>45789</v>
      </c>
      <c r="B145" s="51" t="s">
        <v>265</v>
      </c>
      <c r="C145" s="49" t="s">
        <v>488</v>
      </c>
      <c r="D145" s="49" t="s">
        <v>297</v>
      </c>
      <c r="E145" s="49" t="s">
        <v>351</v>
      </c>
      <c r="F145" s="50">
        <v>1444</v>
      </c>
      <c r="G145" s="50">
        <v>40</v>
      </c>
      <c r="H145" s="47">
        <f t="shared" si="4"/>
        <v>2.7700831024930747E-2</v>
      </c>
      <c r="I145" s="54" t="s">
        <v>324</v>
      </c>
      <c r="J145" s="45" t="s">
        <v>128</v>
      </c>
      <c r="K145" s="42">
        <v>40</v>
      </c>
      <c r="L145" s="20">
        <v>23</v>
      </c>
      <c r="M145" s="20">
        <f t="shared" si="5"/>
        <v>920</v>
      </c>
    </row>
    <row r="146" spans="1:13" ht="21" customHeight="1" x14ac:dyDescent="0.25">
      <c r="A146" s="55">
        <v>45790</v>
      </c>
      <c r="B146" s="51" t="s">
        <v>265</v>
      </c>
      <c r="C146" s="49" t="s">
        <v>488</v>
      </c>
      <c r="D146" s="49" t="s">
        <v>297</v>
      </c>
      <c r="E146" s="49" t="s">
        <v>351</v>
      </c>
      <c r="F146" s="50">
        <v>1444</v>
      </c>
      <c r="G146" s="50">
        <v>40</v>
      </c>
      <c r="H146" s="47">
        <f t="shared" si="4"/>
        <v>2.7700831024930747E-2</v>
      </c>
      <c r="I146" s="54" t="s">
        <v>324</v>
      </c>
      <c r="J146" s="45" t="s">
        <v>128</v>
      </c>
      <c r="K146" s="42">
        <v>40</v>
      </c>
      <c r="L146" s="20">
        <v>23</v>
      </c>
      <c r="M146" s="20">
        <f t="shared" si="5"/>
        <v>920</v>
      </c>
    </row>
    <row r="147" spans="1:13" ht="21" customHeight="1" x14ac:dyDescent="0.25">
      <c r="A147" s="55">
        <v>45804</v>
      </c>
      <c r="B147" s="51" t="s">
        <v>265</v>
      </c>
      <c r="C147" s="49" t="s">
        <v>488</v>
      </c>
      <c r="D147" s="49" t="s">
        <v>297</v>
      </c>
      <c r="E147" s="49" t="s">
        <v>350</v>
      </c>
      <c r="F147" s="50">
        <v>720</v>
      </c>
      <c r="G147" s="50">
        <v>25</v>
      </c>
      <c r="H147" s="47">
        <f t="shared" si="4"/>
        <v>3.4722222222222224E-2</v>
      </c>
      <c r="I147" s="54" t="s">
        <v>324</v>
      </c>
      <c r="J147" s="45" t="s">
        <v>128</v>
      </c>
      <c r="K147" s="42">
        <v>25</v>
      </c>
      <c r="L147" s="20">
        <v>23</v>
      </c>
      <c r="M147" s="20">
        <f t="shared" si="5"/>
        <v>575</v>
      </c>
    </row>
    <row r="148" spans="1:13" ht="21" customHeight="1" x14ac:dyDescent="0.25">
      <c r="A148" s="55">
        <v>45791</v>
      </c>
      <c r="B148" s="51" t="s">
        <v>265</v>
      </c>
      <c r="C148" s="49" t="s">
        <v>488</v>
      </c>
      <c r="D148" s="49" t="s">
        <v>297</v>
      </c>
      <c r="E148" s="49" t="s">
        <v>351</v>
      </c>
      <c r="F148" s="50">
        <v>720</v>
      </c>
      <c r="G148" s="50">
        <v>14</v>
      </c>
      <c r="H148" s="47">
        <f t="shared" si="4"/>
        <v>1.9444444444444445E-2</v>
      </c>
      <c r="I148" s="54" t="s">
        <v>324</v>
      </c>
      <c r="J148" s="45" t="s">
        <v>128</v>
      </c>
      <c r="K148" s="42">
        <v>14</v>
      </c>
      <c r="L148" s="20">
        <v>23</v>
      </c>
      <c r="M148" s="20">
        <f t="shared" si="5"/>
        <v>322</v>
      </c>
    </row>
    <row r="149" spans="1:13" ht="21" customHeight="1" x14ac:dyDescent="0.25">
      <c r="A149" s="55">
        <v>45794</v>
      </c>
      <c r="B149" s="51" t="s">
        <v>265</v>
      </c>
      <c r="C149" s="49" t="s">
        <v>488</v>
      </c>
      <c r="D149" s="49" t="s">
        <v>297</v>
      </c>
      <c r="E149" s="49" t="s">
        <v>351</v>
      </c>
      <c r="F149" s="50">
        <v>576</v>
      </c>
      <c r="G149" s="50">
        <v>14</v>
      </c>
      <c r="H149" s="47">
        <f t="shared" si="4"/>
        <v>2.4305555555555556E-2</v>
      </c>
      <c r="I149" s="54" t="s">
        <v>324</v>
      </c>
      <c r="J149" s="45" t="s">
        <v>128</v>
      </c>
      <c r="K149" s="42">
        <v>14</v>
      </c>
      <c r="L149" s="20">
        <v>23</v>
      </c>
      <c r="M149" s="20">
        <f t="shared" si="5"/>
        <v>322</v>
      </c>
    </row>
    <row r="150" spans="1:13" ht="21" customHeight="1" x14ac:dyDescent="0.25">
      <c r="A150" s="55">
        <v>45787</v>
      </c>
      <c r="B150" s="51" t="s">
        <v>265</v>
      </c>
      <c r="C150" s="49" t="s">
        <v>488</v>
      </c>
      <c r="D150" s="49" t="s">
        <v>297</v>
      </c>
      <c r="E150" s="49" t="s">
        <v>351</v>
      </c>
      <c r="F150" s="50">
        <v>144</v>
      </c>
      <c r="G150" s="50">
        <v>7</v>
      </c>
      <c r="H150" s="47">
        <f t="shared" si="4"/>
        <v>4.8611111111111112E-2</v>
      </c>
      <c r="I150" s="54" t="s">
        <v>324</v>
      </c>
      <c r="J150" s="45" t="s">
        <v>128</v>
      </c>
      <c r="K150" s="50">
        <v>7</v>
      </c>
      <c r="L150" s="20">
        <v>23</v>
      </c>
      <c r="M150" s="20">
        <f t="shared" si="5"/>
        <v>161</v>
      </c>
    </row>
    <row r="151" spans="1:13" ht="21" customHeight="1" x14ac:dyDescent="0.25">
      <c r="A151" s="55">
        <v>45806</v>
      </c>
      <c r="B151" s="51" t="s">
        <v>265</v>
      </c>
      <c r="C151" s="49" t="s">
        <v>488</v>
      </c>
      <c r="D151" s="49" t="s">
        <v>297</v>
      </c>
      <c r="E151" s="49" t="s">
        <v>350</v>
      </c>
      <c r="F151" s="50">
        <v>288</v>
      </c>
      <c r="G151" s="50">
        <v>6</v>
      </c>
      <c r="H151" s="47">
        <f t="shared" si="4"/>
        <v>2.0833333333333332E-2</v>
      </c>
      <c r="I151" s="54" t="s">
        <v>324</v>
      </c>
      <c r="J151" s="45" t="s">
        <v>128</v>
      </c>
      <c r="K151" s="42">
        <v>6</v>
      </c>
      <c r="L151" s="20">
        <v>23</v>
      </c>
      <c r="M151" s="20">
        <f t="shared" si="5"/>
        <v>138</v>
      </c>
    </row>
    <row r="152" spans="1:13" ht="21" customHeight="1" x14ac:dyDescent="0.25">
      <c r="A152" s="55">
        <v>45789</v>
      </c>
      <c r="B152" s="51" t="s">
        <v>276</v>
      </c>
      <c r="C152" s="49" t="s">
        <v>488</v>
      </c>
      <c r="D152" s="49" t="s">
        <v>294</v>
      </c>
      <c r="E152" s="49" t="s">
        <v>353</v>
      </c>
      <c r="F152" s="50">
        <v>654</v>
      </c>
      <c r="G152" s="50">
        <f>110+39</f>
        <v>149</v>
      </c>
      <c r="H152" s="47">
        <f t="shared" si="4"/>
        <v>0.22782874617737003</v>
      </c>
      <c r="I152" s="46" t="s">
        <v>278</v>
      </c>
      <c r="J152" s="45" t="s">
        <v>128</v>
      </c>
      <c r="K152" s="42">
        <v>149</v>
      </c>
      <c r="L152" s="20">
        <v>8.5</v>
      </c>
      <c r="M152" s="20">
        <f t="shared" si="5"/>
        <v>1266.5</v>
      </c>
    </row>
    <row r="153" spans="1:13" ht="21" customHeight="1" x14ac:dyDescent="0.25">
      <c r="A153" s="55">
        <v>45790</v>
      </c>
      <c r="B153" s="51" t="s">
        <v>276</v>
      </c>
      <c r="C153" s="49" t="s">
        <v>488</v>
      </c>
      <c r="D153" s="49" t="s">
        <v>294</v>
      </c>
      <c r="E153" s="49" t="s">
        <v>353</v>
      </c>
      <c r="F153" s="50">
        <v>654</v>
      </c>
      <c r="G153" s="50">
        <f>110+39</f>
        <v>149</v>
      </c>
      <c r="H153" s="47">
        <f t="shared" si="4"/>
        <v>0.22782874617737003</v>
      </c>
      <c r="I153" s="46" t="s">
        <v>278</v>
      </c>
      <c r="J153" s="45" t="s">
        <v>128</v>
      </c>
      <c r="K153" s="42">
        <v>149</v>
      </c>
      <c r="L153" s="20">
        <v>8.5</v>
      </c>
      <c r="M153" s="20">
        <f t="shared" si="5"/>
        <v>1266.5</v>
      </c>
    </row>
    <row r="154" spans="1:13" ht="21" customHeight="1" x14ac:dyDescent="0.25">
      <c r="A154" s="55">
        <v>45785</v>
      </c>
      <c r="B154" s="51" t="s">
        <v>276</v>
      </c>
      <c r="C154" s="49" t="s">
        <v>488</v>
      </c>
      <c r="D154" s="49" t="s">
        <v>294</v>
      </c>
      <c r="E154" s="49" t="s">
        <v>353</v>
      </c>
      <c r="F154" s="50">
        <v>1120</v>
      </c>
      <c r="G154" s="50">
        <f>76+20</f>
        <v>96</v>
      </c>
      <c r="H154" s="47">
        <f t="shared" si="4"/>
        <v>8.5714285714285715E-2</v>
      </c>
      <c r="I154" s="46" t="s">
        <v>278</v>
      </c>
      <c r="J154" s="45" t="s">
        <v>128</v>
      </c>
      <c r="K154" s="42">
        <v>96</v>
      </c>
      <c r="L154" s="20">
        <v>8.5</v>
      </c>
      <c r="M154" s="20">
        <f t="shared" si="5"/>
        <v>816</v>
      </c>
    </row>
    <row r="155" spans="1:13" ht="21" customHeight="1" x14ac:dyDescent="0.25">
      <c r="A155" s="55">
        <v>45787</v>
      </c>
      <c r="B155" s="51" t="s">
        <v>276</v>
      </c>
      <c r="C155" s="49" t="s">
        <v>488</v>
      </c>
      <c r="D155" s="49" t="s">
        <v>294</v>
      </c>
      <c r="E155" s="49" t="s">
        <v>353</v>
      </c>
      <c r="F155" s="50">
        <v>224</v>
      </c>
      <c r="G155" s="50">
        <v>60</v>
      </c>
      <c r="H155" s="47">
        <f t="shared" si="4"/>
        <v>0.26785714285714285</v>
      </c>
      <c r="I155" s="46" t="s">
        <v>278</v>
      </c>
      <c r="J155" s="45" t="s">
        <v>128</v>
      </c>
      <c r="K155" s="50">
        <v>60</v>
      </c>
      <c r="L155" s="20">
        <v>8.5</v>
      </c>
      <c r="M155" s="20">
        <f t="shared" si="5"/>
        <v>510</v>
      </c>
    </row>
    <row r="156" spans="1:13" ht="21" customHeight="1" x14ac:dyDescent="0.25">
      <c r="A156" s="55">
        <v>45786</v>
      </c>
      <c r="B156" s="51" t="s">
        <v>276</v>
      </c>
      <c r="C156" s="49" t="s">
        <v>488</v>
      </c>
      <c r="D156" s="49" t="s">
        <v>294</v>
      </c>
      <c r="E156" s="49" t="s">
        <v>353</v>
      </c>
      <c r="F156" s="50">
        <v>1120</v>
      </c>
      <c r="G156" s="50">
        <v>50</v>
      </c>
      <c r="H156" s="47">
        <f t="shared" si="4"/>
        <v>4.4642857142857144E-2</v>
      </c>
      <c r="I156" s="46" t="s">
        <v>278</v>
      </c>
      <c r="J156" s="45" t="s">
        <v>128</v>
      </c>
      <c r="K156" s="42">
        <v>50</v>
      </c>
      <c r="L156" s="20">
        <v>8.5</v>
      </c>
      <c r="M156" s="20">
        <f t="shared" si="5"/>
        <v>425</v>
      </c>
    </row>
    <row r="157" spans="1:13" ht="21" customHeight="1" x14ac:dyDescent="0.25">
      <c r="A157" s="55">
        <v>45798</v>
      </c>
      <c r="B157" s="51" t="s">
        <v>276</v>
      </c>
      <c r="C157" s="49" t="s">
        <v>488</v>
      </c>
      <c r="D157" s="49" t="s">
        <v>294</v>
      </c>
      <c r="E157" s="49" t="s">
        <v>352</v>
      </c>
      <c r="F157" s="50">
        <v>1344</v>
      </c>
      <c r="G157" s="50">
        <v>50</v>
      </c>
      <c r="H157" s="47">
        <f t="shared" si="4"/>
        <v>3.7202380952380952E-2</v>
      </c>
      <c r="I157" s="46" t="s">
        <v>278</v>
      </c>
      <c r="J157" s="45" t="s">
        <v>128</v>
      </c>
      <c r="K157" s="42">
        <v>50</v>
      </c>
      <c r="L157" s="20">
        <v>8.5</v>
      </c>
      <c r="M157" s="20">
        <f t="shared" si="5"/>
        <v>425</v>
      </c>
    </row>
    <row r="158" spans="1:13" ht="21" customHeight="1" x14ac:dyDescent="0.25">
      <c r="A158" s="55">
        <v>45784</v>
      </c>
      <c r="B158" s="51" t="s">
        <v>276</v>
      </c>
      <c r="C158" s="49" t="s">
        <v>488</v>
      </c>
      <c r="D158" s="49" t="s">
        <v>294</v>
      </c>
      <c r="E158" s="49" t="s">
        <v>353</v>
      </c>
      <c r="F158" s="50">
        <v>896</v>
      </c>
      <c r="G158" s="50">
        <f>35+11</f>
        <v>46</v>
      </c>
      <c r="H158" s="47">
        <f t="shared" si="4"/>
        <v>5.1339285714285712E-2</v>
      </c>
      <c r="I158" s="46" t="s">
        <v>278</v>
      </c>
      <c r="J158" s="45" t="s">
        <v>128</v>
      </c>
      <c r="K158" s="50">
        <f>35+11</f>
        <v>46</v>
      </c>
      <c r="L158" s="20">
        <v>8.5</v>
      </c>
      <c r="M158" s="20">
        <f t="shared" si="5"/>
        <v>391</v>
      </c>
    </row>
    <row r="159" spans="1:13" ht="21" customHeight="1" x14ac:dyDescent="0.25">
      <c r="A159" s="55">
        <v>45797</v>
      </c>
      <c r="B159" s="51" t="s">
        <v>276</v>
      </c>
      <c r="C159" s="49" t="s">
        <v>488</v>
      </c>
      <c r="D159" s="49" t="s">
        <v>294</v>
      </c>
      <c r="E159" s="49" t="s">
        <v>353</v>
      </c>
      <c r="F159" s="50">
        <v>1344</v>
      </c>
      <c r="G159" s="50">
        <v>42</v>
      </c>
      <c r="H159" s="47">
        <f t="shared" si="4"/>
        <v>3.125E-2</v>
      </c>
      <c r="I159" s="46" t="s">
        <v>278</v>
      </c>
      <c r="J159" s="45" t="s">
        <v>128</v>
      </c>
      <c r="K159" s="42">
        <v>42</v>
      </c>
      <c r="L159" s="20">
        <v>8.5</v>
      </c>
      <c r="M159" s="20">
        <f t="shared" si="5"/>
        <v>357</v>
      </c>
    </row>
    <row r="160" spans="1:13" ht="21" customHeight="1" x14ac:dyDescent="0.25">
      <c r="A160" s="55">
        <v>45803</v>
      </c>
      <c r="B160" s="51" t="s">
        <v>276</v>
      </c>
      <c r="C160" s="49" t="s">
        <v>488</v>
      </c>
      <c r="D160" s="49" t="s">
        <v>294</v>
      </c>
      <c r="E160" s="49" t="s">
        <v>352</v>
      </c>
      <c r="F160" s="50">
        <v>896</v>
      </c>
      <c r="G160" s="50">
        <v>29</v>
      </c>
      <c r="H160" s="47">
        <f t="shared" si="4"/>
        <v>3.2366071428571432E-2</v>
      </c>
      <c r="I160" s="46" t="s">
        <v>278</v>
      </c>
      <c r="J160" s="45" t="s">
        <v>128</v>
      </c>
      <c r="K160" s="42">
        <v>29</v>
      </c>
      <c r="L160" s="20">
        <v>8.5</v>
      </c>
      <c r="M160" s="20">
        <f t="shared" si="5"/>
        <v>246.5</v>
      </c>
    </row>
    <row r="161" spans="1:13" ht="21" customHeight="1" x14ac:dyDescent="0.25">
      <c r="A161" s="55">
        <v>45796</v>
      </c>
      <c r="B161" s="51" t="s">
        <v>276</v>
      </c>
      <c r="C161" s="49" t="s">
        <v>488</v>
      </c>
      <c r="D161" s="49" t="s">
        <v>294</v>
      </c>
      <c r="E161" s="49" t="s">
        <v>353</v>
      </c>
      <c r="F161" s="50">
        <v>1120</v>
      </c>
      <c r="G161" s="50">
        <v>25</v>
      </c>
      <c r="H161" s="47">
        <f t="shared" si="4"/>
        <v>2.2321428571428572E-2</v>
      </c>
      <c r="I161" s="46" t="s">
        <v>278</v>
      </c>
      <c r="J161" s="45" t="s">
        <v>128</v>
      </c>
      <c r="K161" s="42">
        <v>25</v>
      </c>
      <c r="L161" s="20">
        <v>8.5</v>
      </c>
      <c r="M161" s="20">
        <f t="shared" si="5"/>
        <v>212.5</v>
      </c>
    </row>
    <row r="162" spans="1:13" ht="21" customHeight="1" x14ac:dyDescent="0.25">
      <c r="A162" s="55">
        <v>45799</v>
      </c>
      <c r="B162" s="51" t="s">
        <v>276</v>
      </c>
      <c r="C162" s="49" t="s">
        <v>488</v>
      </c>
      <c r="D162" s="49" t="s">
        <v>294</v>
      </c>
      <c r="E162" s="49" t="s">
        <v>352</v>
      </c>
      <c r="F162" s="50">
        <v>672</v>
      </c>
      <c r="G162" s="50">
        <v>22</v>
      </c>
      <c r="H162" s="47">
        <f t="shared" si="4"/>
        <v>3.273809523809524E-2</v>
      </c>
      <c r="I162" s="46" t="s">
        <v>278</v>
      </c>
      <c r="J162" s="45" t="s">
        <v>128</v>
      </c>
      <c r="K162" s="42">
        <v>22</v>
      </c>
      <c r="L162" s="20">
        <v>8.5</v>
      </c>
      <c r="M162" s="20">
        <f t="shared" si="5"/>
        <v>187</v>
      </c>
    </row>
    <row r="163" spans="1:13" ht="21" customHeight="1" x14ac:dyDescent="0.25">
      <c r="A163" s="55">
        <v>45802</v>
      </c>
      <c r="B163" s="51" t="s">
        <v>276</v>
      </c>
      <c r="C163" s="49" t="s">
        <v>488</v>
      </c>
      <c r="D163" s="49" t="s">
        <v>294</v>
      </c>
      <c r="E163" s="49" t="s">
        <v>352</v>
      </c>
      <c r="F163" s="50">
        <v>1344</v>
      </c>
      <c r="G163" s="50">
        <v>15</v>
      </c>
      <c r="H163" s="47">
        <f t="shared" si="4"/>
        <v>1.1160714285714286E-2</v>
      </c>
      <c r="I163" s="46" t="s">
        <v>278</v>
      </c>
      <c r="J163" s="45" t="s">
        <v>128</v>
      </c>
      <c r="K163" s="42">
        <v>15</v>
      </c>
      <c r="L163" s="20">
        <v>8.5</v>
      </c>
      <c r="M163" s="20">
        <f t="shared" si="5"/>
        <v>127.5</v>
      </c>
    </row>
    <row r="164" spans="1:13" ht="21" customHeight="1" x14ac:dyDescent="0.25">
      <c r="A164" s="55">
        <v>45791</v>
      </c>
      <c r="B164" s="51" t="s">
        <v>276</v>
      </c>
      <c r="C164" s="49" t="s">
        <v>488</v>
      </c>
      <c r="D164" s="49" t="s">
        <v>294</v>
      </c>
      <c r="E164" s="49" t="s">
        <v>353</v>
      </c>
      <c r="F164" s="50">
        <v>448</v>
      </c>
      <c r="G164" s="50">
        <v>4</v>
      </c>
      <c r="H164" s="47">
        <f t="shared" si="4"/>
        <v>8.9285714285714281E-3</v>
      </c>
      <c r="I164" s="46" t="s">
        <v>278</v>
      </c>
      <c r="J164" s="45" t="s">
        <v>128</v>
      </c>
      <c r="K164" s="42">
        <v>4</v>
      </c>
      <c r="L164" s="20">
        <v>8.5</v>
      </c>
      <c r="M164" s="20">
        <f t="shared" si="5"/>
        <v>34</v>
      </c>
    </row>
    <row r="165" spans="1:13" ht="21" customHeight="1" x14ac:dyDescent="0.25">
      <c r="A165" s="55">
        <v>45806</v>
      </c>
      <c r="B165" s="51" t="s">
        <v>276</v>
      </c>
      <c r="C165" s="49" t="s">
        <v>488</v>
      </c>
      <c r="D165" s="49" t="s">
        <v>294</v>
      </c>
      <c r="E165" s="49" t="s">
        <v>352</v>
      </c>
      <c r="F165" s="50">
        <v>448</v>
      </c>
      <c r="G165" s="50">
        <v>4</v>
      </c>
      <c r="H165" s="47">
        <f t="shared" si="4"/>
        <v>8.9285714285714281E-3</v>
      </c>
      <c r="I165" s="46" t="s">
        <v>278</v>
      </c>
      <c r="J165" s="45" t="s">
        <v>128</v>
      </c>
      <c r="K165" s="42">
        <v>4</v>
      </c>
      <c r="L165" s="20">
        <v>8.5</v>
      </c>
      <c r="M165" s="20">
        <f t="shared" si="5"/>
        <v>34</v>
      </c>
    </row>
    <row r="166" spans="1:13" ht="21" customHeight="1" x14ac:dyDescent="0.25">
      <c r="A166" s="55">
        <v>45794</v>
      </c>
      <c r="B166" s="51" t="s">
        <v>276</v>
      </c>
      <c r="C166" s="49" t="s">
        <v>488</v>
      </c>
      <c r="D166" s="49" t="s">
        <v>294</v>
      </c>
      <c r="E166" s="49" t="s">
        <v>353</v>
      </c>
      <c r="F166" s="50">
        <v>224</v>
      </c>
      <c r="G166" s="50">
        <v>2</v>
      </c>
      <c r="H166" s="47">
        <f t="shared" si="4"/>
        <v>8.9285714285714281E-3</v>
      </c>
      <c r="I166" s="46" t="s">
        <v>278</v>
      </c>
      <c r="J166" s="45" t="s">
        <v>128</v>
      </c>
      <c r="K166" s="42">
        <v>2</v>
      </c>
      <c r="L166" s="20">
        <v>8.5</v>
      </c>
      <c r="M166" s="20">
        <f t="shared" si="5"/>
        <v>17</v>
      </c>
    </row>
    <row r="167" spans="1:13" ht="21" customHeight="1" x14ac:dyDescent="0.25">
      <c r="A167" s="55">
        <v>45807</v>
      </c>
      <c r="B167" s="51" t="s">
        <v>276</v>
      </c>
      <c r="C167" s="49" t="s">
        <v>488</v>
      </c>
      <c r="D167" s="49" t="s">
        <v>294</v>
      </c>
      <c r="E167" s="49" t="s">
        <v>352</v>
      </c>
      <c r="F167" s="50">
        <v>416</v>
      </c>
      <c r="G167" s="50">
        <v>2</v>
      </c>
      <c r="H167" s="47">
        <f t="shared" si="4"/>
        <v>4.807692307692308E-3</v>
      </c>
      <c r="I167" s="46" t="s">
        <v>278</v>
      </c>
      <c r="J167" s="45" t="s">
        <v>128</v>
      </c>
      <c r="K167" s="42">
        <v>2</v>
      </c>
      <c r="L167" s="20">
        <v>8.5</v>
      </c>
      <c r="M167" s="20">
        <f t="shared" si="5"/>
        <v>17</v>
      </c>
    </row>
    <row r="168" spans="1:13" ht="21" customHeight="1" x14ac:dyDescent="0.25">
      <c r="A168" s="55">
        <v>45806</v>
      </c>
      <c r="B168" s="49" t="s">
        <v>276</v>
      </c>
      <c r="C168" s="49" t="s">
        <v>488</v>
      </c>
      <c r="D168" s="49" t="s">
        <v>298</v>
      </c>
      <c r="E168" s="49" t="s">
        <v>355</v>
      </c>
      <c r="F168" s="50">
        <v>2352</v>
      </c>
      <c r="G168" s="50">
        <f>143+123</f>
        <v>266</v>
      </c>
      <c r="H168" s="47">
        <f t="shared" si="4"/>
        <v>0.1130952380952381</v>
      </c>
      <c r="I168" s="46" t="s">
        <v>318</v>
      </c>
      <c r="J168" s="52" t="s">
        <v>321</v>
      </c>
      <c r="K168" s="42">
        <v>266</v>
      </c>
      <c r="L168" s="20">
        <v>0.4</v>
      </c>
      <c r="M168" s="20">
        <f t="shared" si="5"/>
        <v>106.4</v>
      </c>
    </row>
    <row r="169" spans="1:13" ht="21" customHeight="1" x14ac:dyDescent="0.25">
      <c r="A169" s="55">
        <v>45807</v>
      </c>
      <c r="B169" s="49" t="s">
        <v>276</v>
      </c>
      <c r="C169" s="49" t="s">
        <v>488</v>
      </c>
      <c r="D169" s="49" t="s">
        <v>298</v>
      </c>
      <c r="E169" s="49" t="s">
        <v>355</v>
      </c>
      <c r="F169" s="50">
        <v>2016</v>
      </c>
      <c r="G169" s="50">
        <f>50+112</f>
        <v>162</v>
      </c>
      <c r="H169" s="47">
        <f t="shared" si="4"/>
        <v>8.0357142857142863E-2</v>
      </c>
      <c r="I169" s="46" t="s">
        <v>316</v>
      </c>
      <c r="J169" s="52" t="s">
        <v>321</v>
      </c>
      <c r="K169" s="42">
        <v>162</v>
      </c>
      <c r="L169" s="20">
        <v>0.4</v>
      </c>
      <c r="M169" s="20">
        <f t="shared" si="5"/>
        <v>64.8</v>
      </c>
    </row>
    <row r="170" spans="1:13" ht="21" customHeight="1" x14ac:dyDescent="0.25">
      <c r="A170" s="55">
        <v>45801</v>
      </c>
      <c r="B170" s="49" t="s">
        <v>276</v>
      </c>
      <c r="C170" s="49" t="s">
        <v>488</v>
      </c>
      <c r="D170" s="49" t="s">
        <v>298</v>
      </c>
      <c r="E170" s="49" t="s">
        <v>355</v>
      </c>
      <c r="F170" s="50">
        <v>2016</v>
      </c>
      <c r="G170" s="50">
        <v>40</v>
      </c>
      <c r="H170" s="47">
        <f t="shared" si="4"/>
        <v>1.984126984126984E-2</v>
      </c>
      <c r="I170" s="46" t="s">
        <v>318</v>
      </c>
      <c r="J170" s="52" t="s">
        <v>321</v>
      </c>
      <c r="K170" s="42">
        <v>40</v>
      </c>
      <c r="L170" s="20">
        <v>0.4</v>
      </c>
      <c r="M170" s="20">
        <f t="shared" si="5"/>
        <v>16</v>
      </c>
    </row>
    <row r="171" spans="1:13" ht="21" customHeight="1" x14ac:dyDescent="0.25">
      <c r="A171" s="55">
        <v>45804</v>
      </c>
      <c r="B171" s="49" t="s">
        <v>265</v>
      </c>
      <c r="C171" s="49" t="s">
        <v>488</v>
      </c>
      <c r="D171" s="49" t="s">
        <v>272</v>
      </c>
      <c r="E171" s="49" t="s">
        <v>354</v>
      </c>
      <c r="F171" s="50">
        <v>1152</v>
      </c>
      <c r="G171" s="50">
        <v>195</v>
      </c>
      <c r="H171" s="47">
        <f t="shared" si="4"/>
        <v>0.16927083333333334</v>
      </c>
      <c r="I171" s="46" t="s">
        <v>317</v>
      </c>
      <c r="J171" s="45" t="s">
        <v>128</v>
      </c>
      <c r="K171" s="42">
        <v>195</v>
      </c>
      <c r="L171" s="20">
        <v>20</v>
      </c>
      <c r="M171" s="20">
        <f t="shared" si="5"/>
        <v>3900</v>
      </c>
    </row>
    <row r="172" spans="1:13" ht="21" customHeight="1" x14ac:dyDescent="0.25">
      <c r="A172" s="55">
        <v>45794</v>
      </c>
      <c r="B172" s="49" t="s">
        <v>265</v>
      </c>
      <c r="C172" s="49" t="s">
        <v>488</v>
      </c>
      <c r="D172" s="49" t="s">
        <v>272</v>
      </c>
      <c r="E172" s="49" t="s">
        <v>354</v>
      </c>
      <c r="F172" s="50">
        <v>1296</v>
      </c>
      <c r="G172" s="50">
        <v>122</v>
      </c>
      <c r="H172" s="47">
        <f t="shared" si="4"/>
        <v>9.4135802469135804E-2</v>
      </c>
      <c r="I172" s="46" t="s">
        <v>317</v>
      </c>
      <c r="J172" s="45" t="s">
        <v>128</v>
      </c>
      <c r="K172" s="42">
        <v>122</v>
      </c>
      <c r="L172" s="20">
        <v>20</v>
      </c>
      <c r="M172" s="20">
        <f t="shared" si="5"/>
        <v>2440</v>
      </c>
    </row>
    <row r="173" spans="1:13" ht="21" customHeight="1" x14ac:dyDescent="0.25">
      <c r="A173" s="55">
        <v>45787</v>
      </c>
      <c r="B173" s="49" t="s">
        <v>265</v>
      </c>
      <c r="C173" s="49" t="s">
        <v>488</v>
      </c>
      <c r="D173" s="49" t="s">
        <v>272</v>
      </c>
      <c r="E173" s="49" t="s">
        <v>354</v>
      </c>
      <c r="F173" s="50">
        <v>2016</v>
      </c>
      <c r="G173" s="50">
        <v>108</v>
      </c>
      <c r="H173" s="47">
        <f t="shared" si="4"/>
        <v>5.3571428571428568E-2</v>
      </c>
      <c r="I173" s="46" t="s">
        <v>317</v>
      </c>
      <c r="J173" s="45" t="s">
        <v>128</v>
      </c>
      <c r="K173" s="50">
        <v>108</v>
      </c>
      <c r="L173" s="20">
        <v>20</v>
      </c>
      <c r="M173" s="20">
        <f t="shared" si="5"/>
        <v>2160</v>
      </c>
    </row>
    <row r="174" spans="1:13" ht="21" customHeight="1" x14ac:dyDescent="0.25">
      <c r="A174" s="55">
        <v>45793</v>
      </c>
      <c r="B174" s="49" t="s">
        <v>265</v>
      </c>
      <c r="C174" s="49" t="s">
        <v>488</v>
      </c>
      <c r="D174" s="49" t="s">
        <v>272</v>
      </c>
      <c r="E174" s="49" t="s">
        <v>354</v>
      </c>
      <c r="F174" s="50">
        <v>2160</v>
      </c>
      <c r="G174" s="50">
        <v>100</v>
      </c>
      <c r="H174" s="47">
        <f t="shared" si="4"/>
        <v>4.6296296296296294E-2</v>
      </c>
      <c r="I174" s="46" t="s">
        <v>317</v>
      </c>
      <c r="J174" s="45" t="s">
        <v>128</v>
      </c>
      <c r="K174" s="42">
        <v>100</v>
      </c>
      <c r="L174" s="20">
        <v>20</v>
      </c>
      <c r="M174" s="20">
        <f t="shared" si="5"/>
        <v>2000</v>
      </c>
    </row>
    <row r="175" spans="1:13" ht="21" customHeight="1" x14ac:dyDescent="0.25">
      <c r="A175" s="55">
        <v>45797</v>
      </c>
      <c r="B175" s="49" t="s">
        <v>265</v>
      </c>
      <c r="C175" s="49" t="s">
        <v>488</v>
      </c>
      <c r="D175" s="49" t="s">
        <v>272</v>
      </c>
      <c r="E175" s="49" t="s">
        <v>354</v>
      </c>
      <c r="F175" s="50">
        <v>2160</v>
      </c>
      <c r="G175" s="50">
        <v>88</v>
      </c>
      <c r="H175" s="47">
        <f t="shared" si="4"/>
        <v>4.0740740740740744E-2</v>
      </c>
      <c r="I175" s="46" t="s">
        <v>317</v>
      </c>
      <c r="J175" s="45" t="s">
        <v>128</v>
      </c>
      <c r="K175" s="42">
        <v>88</v>
      </c>
      <c r="L175" s="20">
        <v>20</v>
      </c>
      <c r="M175" s="20">
        <f t="shared" si="5"/>
        <v>1760</v>
      </c>
    </row>
    <row r="176" spans="1:13" ht="21" customHeight="1" x14ac:dyDescent="0.25">
      <c r="A176" s="55">
        <v>45782</v>
      </c>
      <c r="B176" s="49" t="s">
        <v>265</v>
      </c>
      <c r="C176" s="49" t="s">
        <v>488</v>
      </c>
      <c r="D176" s="49" t="s">
        <v>272</v>
      </c>
      <c r="E176" s="49" t="s">
        <v>354</v>
      </c>
      <c r="F176" s="50">
        <v>2160</v>
      </c>
      <c r="G176" s="50">
        <v>80</v>
      </c>
      <c r="H176" s="47">
        <f t="shared" si="4"/>
        <v>3.7037037037037035E-2</v>
      </c>
      <c r="I176" s="46" t="s">
        <v>261</v>
      </c>
      <c r="J176" s="45" t="s">
        <v>262</v>
      </c>
      <c r="K176" s="42">
        <f>G176</f>
        <v>80</v>
      </c>
      <c r="L176" s="20">
        <v>20</v>
      </c>
      <c r="M176" s="20">
        <f t="shared" si="5"/>
        <v>1600</v>
      </c>
    </row>
    <row r="177" spans="1:13" ht="21" customHeight="1" x14ac:dyDescent="0.25">
      <c r="A177" s="55">
        <v>45806</v>
      </c>
      <c r="B177" s="49" t="s">
        <v>265</v>
      </c>
      <c r="C177" s="49" t="s">
        <v>488</v>
      </c>
      <c r="D177" s="49" t="s">
        <v>272</v>
      </c>
      <c r="E177" s="49" t="s">
        <v>354</v>
      </c>
      <c r="F177" s="50">
        <v>1584</v>
      </c>
      <c r="G177" s="50">
        <v>77</v>
      </c>
      <c r="H177" s="47">
        <f t="shared" si="4"/>
        <v>4.8611111111111112E-2</v>
      </c>
      <c r="I177" s="46" t="s">
        <v>317</v>
      </c>
      <c r="J177" s="45" t="s">
        <v>128</v>
      </c>
      <c r="K177" s="42">
        <v>77</v>
      </c>
      <c r="L177" s="20">
        <v>20</v>
      </c>
      <c r="M177" s="20">
        <f t="shared" si="5"/>
        <v>1540</v>
      </c>
    </row>
    <row r="178" spans="1:13" ht="21" customHeight="1" x14ac:dyDescent="0.25">
      <c r="A178" s="55">
        <v>45788</v>
      </c>
      <c r="B178" s="49" t="s">
        <v>265</v>
      </c>
      <c r="C178" s="49" t="s">
        <v>488</v>
      </c>
      <c r="D178" s="49" t="s">
        <v>272</v>
      </c>
      <c r="E178" s="49" t="s">
        <v>354</v>
      </c>
      <c r="F178" s="50">
        <v>1584</v>
      </c>
      <c r="G178" s="50">
        <v>70</v>
      </c>
      <c r="H178" s="47">
        <f t="shared" si="4"/>
        <v>4.4191919191919192E-2</v>
      </c>
      <c r="I178" s="46" t="s">
        <v>317</v>
      </c>
      <c r="J178" s="45" t="s">
        <v>128</v>
      </c>
      <c r="K178" s="42">
        <v>70</v>
      </c>
      <c r="L178" s="20">
        <v>20</v>
      </c>
      <c r="M178" s="20">
        <f t="shared" si="5"/>
        <v>1400</v>
      </c>
    </row>
    <row r="179" spans="1:13" ht="21" customHeight="1" x14ac:dyDescent="0.25">
      <c r="A179" s="55">
        <v>45796</v>
      </c>
      <c r="B179" s="49" t="s">
        <v>265</v>
      </c>
      <c r="C179" s="49" t="s">
        <v>488</v>
      </c>
      <c r="D179" s="49" t="s">
        <v>272</v>
      </c>
      <c r="E179" s="49" t="s">
        <v>354</v>
      </c>
      <c r="F179" s="50">
        <v>1152</v>
      </c>
      <c r="G179" s="50">
        <v>64</v>
      </c>
      <c r="H179" s="47">
        <f t="shared" si="4"/>
        <v>5.5555555555555552E-2</v>
      </c>
      <c r="I179" s="46" t="s">
        <v>317</v>
      </c>
      <c r="J179" s="45" t="s">
        <v>128</v>
      </c>
      <c r="K179" s="42">
        <v>64</v>
      </c>
      <c r="L179" s="20">
        <v>20</v>
      </c>
      <c r="M179" s="20">
        <f t="shared" si="5"/>
        <v>1280</v>
      </c>
    </row>
    <row r="180" spans="1:13" ht="21" customHeight="1" x14ac:dyDescent="0.25">
      <c r="A180" s="55">
        <v>45781</v>
      </c>
      <c r="B180" s="49" t="s">
        <v>265</v>
      </c>
      <c r="C180" s="49" t="s">
        <v>488</v>
      </c>
      <c r="D180" s="49" t="s">
        <v>272</v>
      </c>
      <c r="E180" s="49" t="s">
        <v>354</v>
      </c>
      <c r="F180" s="50">
        <v>1736</v>
      </c>
      <c r="G180" s="50">
        <v>57</v>
      </c>
      <c r="H180" s="47">
        <f t="shared" si="4"/>
        <v>3.2834101382488476E-2</v>
      </c>
      <c r="I180" s="46" t="s">
        <v>274</v>
      </c>
      <c r="J180" s="45" t="s">
        <v>128</v>
      </c>
      <c r="K180" s="50">
        <v>57</v>
      </c>
      <c r="L180" s="20">
        <v>20</v>
      </c>
      <c r="M180" s="20">
        <f t="shared" si="5"/>
        <v>1140</v>
      </c>
    </row>
    <row r="181" spans="1:13" ht="21" customHeight="1" x14ac:dyDescent="0.25">
      <c r="A181" s="55">
        <v>45783</v>
      </c>
      <c r="B181" s="49" t="s">
        <v>265</v>
      </c>
      <c r="C181" s="49" t="s">
        <v>488</v>
      </c>
      <c r="D181" s="49" t="s">
        <v>272</v>
      </c>
      <c r="E181" s="49" t="s">
        <v>354</v>
      </c>
      <c r="F181" s="50">
        <v>1008</v>
      </c>
      <c r="G181" s="50">
        <v>55</v>
      </c>
      <c r="H181" s="47">
        <f t="shared" si="4"/>
        <v>5.4563492063492064E-2</v>
      </c>
      <c r="I181" s="46" t="s">
        <v>261</v>
      </c>
      <c r="J181" s="45" t="s">
        <v>262</v>
      </c>
      <c r="K181" s="50">
        <v>55</v>
      </c>
      <c r="L181" s="20">
        <v>20</v>
      </c>
      <c r="M181" s="20">
        <f t="shared" si="5"/>
        <v>1100</v>
      </c>
    </row>
    <row r="182" spans="1:13" ht="21" customHeight="1" x14ac:dyDescent="0.25">
      <c r="A182" s="55">
        <v>45800</v>
      </c>
      <c r="B182" s="49" t="s">
        <v>265</v>
      </c>
      <c r="C182" s="49" t="s">
        <v>488</v>
      </c>
      <c r="D182" s="49" t="s">
        <v>272</v>
      </c>
      <c r="E182" s="49" t="s">
        <v>354</v>
      </c>
      <c r="F182" s="50">
        <v>2160</v>
      </c>
      <c r="G182" s="50">
        <v>52</v>
      </c>
      <c r="H182" s="47">
        <f t="shared" si="4"/>
        <v>2.4074074074074074E-2</v>
      </c>
      <c r="I182" s="46" t="s">
        <v>317</v>
      </c>
      <c r="J182" s="45" t="s">
        <v>128</v>
      </c>
      <c r="K182" s="42">
        <v>52</v>
      </c>
      <c r="L182" s="20">
        <v>20</v>
      </c>
      <c r="M182" s="20">
        <f t="shared" si="5"/>
        <v>1040</v>
      </c>
    </row>
    <row r="183" spans="1:13" ht="21" customHeight="1" x14ac:dyDescent="0.25">
      <c r="A183" s="55">
        <v>45807</v>
      </c>
      <c r="B183" s="49" t="s">
        <v>265</v>
      </c>
      <c r="C183" s="49" t="s">
        <v>488</v>
      </c>
      <c r="D183" s="49" t="s">
        <v>272</v>
      </c>
      <c r="E183" s="49" t="s">
        <v>354</v>
      </c>
      <c r="F183" s="50">
        <v>576</v>
      </c>
      <c r="G183" s="50">
        <v>38</v>
      </c>
      <c r="H183" s="47">
        <f t="shared" si="4"/>
        <v>6.5972222222222224E-2</v>
      </c>
      <c r="I183" s="46" t="s">
        <v>317</v>
      </c>
      <c r="J183" s="45" t="s">
        <v>128</v>
      </c>
      <c r="K183" s="42">
        <v>38</v>
      </c>
      <c r="L183" s="20">
        <v>20</v>
      </c>
      <c r="M183" s="20">
        <f t="shared" si="5"/>
        <v>760</v>
      </c>
    </row>
    <row r="184" spans="1:13" ht="21" customHeight="1" x14ac:dyDescent="0.25">
      <c r="A184" s="55">
        <v>45801</v>
      </c>
      <c r="B184" s="49" t="s">
        <v>265</v>
      </c>
      <c r="C184" s="49" t="s">
        <v>488</v>
      </c>
      <c r="D184" s="49" t="s">
        <v>272</v>
      </c>
      <c r="E184" s="49" t="s">
        <v>354</v>
      </c>
      <c r="F184" s="50">
        <v>2160</v>
      </c>
      <c r="G184" s="50">
        <v>37</v>
      </c>
      <c r="H184" s="47">
        <f t="shared" si="4"/>
        <v>1.712962962962963E-2</v>
      </c>
      <c r="I184" s="46" t="s">
        <v>317</v>
      </c>
      <c r="J184" s="45" t="s">
        <v>128</v>
      </c>
      <c r="K184" s="42">
        <v>37</v>
      </c>
      <c r="L184" s="20">
        <v>20</v>
      </c>
      <c r="M184" s="20">
        <f t="shared" si="5"/>
        <v>740</v>
      </c>
    </row>
    <row r="185" spans="1:13" ht="21" customHeight="1" x14ac:dyDescent="0.25">
      <c r="A185" s="55">
        <v>45798</v>
      </c>
      <c r="B185" s="49" t="s">
        <v>265</v>
      </c>
      <c r="C185" s="49" t="s">
        <v>488</v>
      </c>
      <c r="D185" s="49" t="s">
        <v>272</v>
      </c>
      <c r="E185" s="49" t="s">
        <v>354</v>
      </c>
      <c r="F185" s="50">
        <v>288</v>
      </c>
      <c r="G185" s="50">
        <v>22</v>
      </c>
      <c r="H185" s="47">
        <f t="shared" si="4"/>
        <v>7.6388888888888895E-2</v>
      </c>
      <c r="I185" s="46" t="s">
        <v>317</v>
      </c>
      <c r="J185" s="45" t="s">
        <v>128</v>
      </c>
      <c r="K185" s="42">
        <v>22</v>
      </c>
      <c r="L185" s="20">
        <v>20</v>
      </c>
      <c r="M185" s="20">
        <f t="shared" si="5"/>
        <v>440</v>
      </c>
    </row>
    <row r="186" spans="1:13" ht="21" customHeight="1" x14ac:dyDescent="0.25">
      <c r="A186" s="55">
        <v>45803</v>
      </c>
      <c r="B186" s="49" t="s">
        <v>265</v>
      </c>
      <c r="C186" s="49" t="s">
        <v>488</v>
      </c>
      <c r="D186" s="49" t="s">
        <v>272</v>
      </c>
      <c r="E186" s="49" t="s">
        <v>354</v>
      </c>
      <c r="F186" s="50">
        <v>1152</v>
      </c>
      <c r="G186" s="50">
        <v>20</v>
      </c>
      <c r="H186" s="47">
        <f t="shared" si="4"/>
        <v>1.7361111111111112E-2</v>
      </c>
      <c r="I186" s="46" t="s">
        <v>317</v>
      </c>
      <c r="J186" s="45" t="s">
        <v>128</v>
      </c>
      <c r="K186" s="42">
        <v>20</v>
      </c>
      <c r="L186" s="20">
        <v>20</v>
      </c>
      <c r="M186" s="20">
        <f t="shared" si="5"/>
        <v>400</v>
      </c>
    </row>
    <row r="187" spans="1:13" ht="21" customHeight="1" x14ac:dyDescent="0.25">
      <c r="A187" s="55">
        <v>45784</v>
      </c>
      <c r="B187" s="49" t="s">
        <v>265</v>
      </c>
      <c r="C187" s="49" t="s">
        <v>488</v>
      </c>
      <c r="D187" s="49" t="s">
        <v>272</v>
      </c>
      <c r="E187" s="49" t="s">
        <v>354</v>
      </c>
      <c r="F187" s="50">
        <v>288</v>
      </c>
      <c r="G187" s="50">
        <v>18</v>
      </c>
      <c r="H187" s="47">
        <f t="shared" si="4"/>
        <v>6.25E-2</v>
      </c>
      <c r="I187" s="46" t="s">
        <v>317</v>
      </c>
      <c r="J187" s="45" t="s">
        <v>128</v>
      </c>
      <c r="K187" s="50">
        <v>18</v>
      </c>
      <c r="L187" s="20">
        <v>20</v>
      </c>
      <c r="M187" s="20">
        <f t="shared" si="5"/>
        <v>360</v>
      </c>
    </row>
    <row r="188" spans="1:13" ht="21" customHeight="1" x14ac:dyDescent="0.25">
      <c r="A188" s="55">
        <v>45789</v>
      </c>
      <c r="B188" s="49" t="s">
        <v>265</v>
      </c>
      <c r="C188" s="49" t="s">
        <v>488</v>
      </c>
      <c r="D188" s="49" t="s">
        <v>272</v>
      </c>
      <c r="E188" s="49" t="s">
        <v>354</v>
      </c>
      <c r="F188" s="50">
        <v>432</v>
      </c>
      <c r="G188" s="50">
        <v>15</v>
      </c>
      <c r="H188" s="47">
        <f t="shared" si="4"/>
        <v>3.4722222222222224E-2</v>
      </c>
      <c r="I188" s="46" t="s">
        <v>317</v>
      </c>
      <c r="J188" s="45" t="s">
        <v>128</v>
      </c>
      <c r="K188" s="42">
        <v>15</v>
      </c>
      <c r="L188" s="20">
        <v>20</v>
      </c>
      <c r="M188" s="20">
        <f t="shared" si="5"/>
        <v>300</v>
      </c>
    </row>
    <row r="189" spans="1:13" ht="21" customHeight="1" x14ac:dyDescent="0.25">
      <c r="A189" s="55">
        <v>45790</v>
      </c>
      <c r="B189" s="49" t="s">
        <v>265</v>
      </c>
      <c r="C189" s="49" t="s">
        <v>488</v>
      </c>
      <c r="D189" s="49" t="s">
        <v>272</v>
      </c>
      <c r="E189" s="49" t="s">
        <v>354</v>
      </c>
      <c r="F189" s="50">
        <v>432</v>
      </c>
      <c r="G189" s="50">
        <v>15</v>
      </c>
      <c r="H189" s="47">
        <f t="shared" si="4"/>
        <v>3.4722222222222224E-2</v>
      </c>
      <c r="I189" s="46" t="s">
        <v>317</v>
      </c>
      <c r="J189" s="45" t="s">
        <v>128</v>
      </c>
      <c r="K189" s="42">
        <v>15</v>
      </c>
      <c r="L189" s="20">
        <v>20</v>
      </c>
      <c r="M189" s="20">
        <f t="shared" si="5"/>
        <v>300</v>
      </c>
    </row>
    <row r="190" spans="1:13" ht="21" customHeight="1" x14ac:dyDescent="0.25">
      <c r="A190" s="55">
        <v>45802</v>
      </c>
      <c r="B190" s="49" t="s">
        <v>265</v>
      </c>
      <c r="C190" s="49" t="s">
        <v>488</v>
      </c>
      <c r="D190" s="49" t="s">
        <v>272</v>
      </c>
      <c r="E190" s="49" t="s">
        <v>354</v>
      </c>
      <c r="F190" s="50">
        <v>576</v>
      </c>
      <c r="G190" s="50">
        <v>6</v>
      </c>
      <c r="H190" s="47">
        <f t="shared" si="4"/>
        <v>1.0416666666666666E-2</v>
      </c>
      <c r="I190" s="46" t="s">
        <v>317</v>
      </c>
      <c r="J190" s="45" t="s">
        <v>128</v>
      </c>
      <c r="K190" s="42">
        <v>6</v>
      </c>
      <c r="L190" s="20">
        <v>20</v>
      </c>
      <c r="M190" s="20">
        <f t="shared" si="5"/>
        <v>120</v>
      </c>
    </row>
    <row r="191" spans="1:13" ht="21" customHeight="1" x14ac:dyDescent="0.25">
      <c r="A191" s="55">
        <v>45804</v>
      </c>
      <c r="B191" s="49" t="s">
        <v>276</v>
      </c>
      <c r="C191" s="49" t="s">
        <v>488</v>
      </c>
      <c r="D191" s="49" t="s">
        <v>273</v>
      </c>
      <c r="E191" s="49" t="s">
        <v>473</v>
      </c>
      <c r="F191" s="50">
        <v>1456</v>
      </c>
      <c r="G191" s="50">
        <f>32+35</f>
        <v>67</v>
      </c>
      <c r="H191" s="47">
        <f t="shared" si="4"/>
        <v>4.601648351648352E-2</v>
      </c>
      <c r="I191" s="46" t="s">
        <v>279</v>
      </c>
      <c r="J191" s="52" t="s">
        <v>321</v>
      </c>
      <c r="K191" s="42">
        <v>67</v>
      </c>
      <c r="L191" s="20">
        <v>10</v>
      </c>
      <c r="M191" s="20">
        <f t="shared" si="5"/>
        <v>670</v>
      </c>
    </row>
    <row r="192" spans="1:13" ht="21" customHeight="1" x14ac:dyDescent="0.25">
      <c r="A192" s="55">
        <v>45783</v>
      </c>
      <c r="B192" s="49" t="s">
        <v>276</v>
      </c>
      <c r="C192" s="49" t="s">
        <v>488</v>
      </c>
      <c r="D192" s="49" t="s">
        <v>273</v>
      </c>
      <c r="E192" s="49" t="s">
        <v>350</v>
      </c>
      <c r="F192" s="50">
        <v>1248</v>
      </c>
      <c r="G192" s="50">
        <f>21+15+12</f>
        <v>48</v>
      </c>
      <c r="H192" s="47">
        <f t="shared" si="4"/>
        <v>3.8461538461538464E-2</v>
      </c>
      <c r="I192" s="46" t="s">
        <v>279</v>
      </c>
      <c r="J192" s="45" t="s">
        <v>128</v>
      </c>
      <c r="K192" s="50">
        <v>48</v>
      </c>
      <c r="L192" s="20">
        <v>10</v>
      </c>
      <c r="M192" s="20">
        <f t="shared" si="5"/>
        <v>480</v>
      </c>
    </row>
    <row r="193" spans="1:13" ht="21" customHeight="1" x14ac:dyDescent="0.25">
      <c r="A193" s="55">
        <v>45807</v>
      </c>
      <c r="B193" s="49" t="s">
        <v>276</v>
      </c>
      <c r="C193" s="49" t="s">
        <v>488</v>
      </c>
      <c r="D193" s="49" t="s">
        <v>273</v>
      </c>
      <c r="E193" s="49" t="s">
        <v>350</v>
      </c>
      <c r="F193" s="50">
        <v>448</v>
      </c>
      <c r="G193" s="50">
        <v>47</v>
      </c>
      <c r="H193" s="47">
        <f t="shared" si="4"/>
        <v>0.10491071428571429</v>
      </c>
      <c r="I193" s="46" t="s">
        <v>279</v>
      </c>
      <c r="J193" s="52" t="s">
        <v>321</v>
      </c>
      <c r="K193" s="42">
        <v>47</v>
      </c>
      <c r="L193" s="20">
        <v>10</v>
      </c>
      <c r="M193" s="20">
        <f t="shared" si="5"/>
        <v>470</v>
      </c>
    </row>
    <row r="194" spans="1:13" ht="21" customHeight="1" x14ac:dyDescent="0.25">
      <c r="A194" s="55">
        <v>45784</v>
      </c>
      <c r="B194" s="49" t="s">
        <v>276</v>
      </c>
      <c r="C194" s="49" t="s">
        <v>488</v>
      </c>
      <c r="D194" s="49" t="s">
        <v>273</v>
      </c>
      <c r="E194" s="49" t="s">
        <v>350</v>
      </c>
      <c r="F194" s="50">
        <v>1456</v>
      </c>
      <c r="G194" s="50">
        <v>36</v>
      </c>
      <c r="H194" s="47">
        <f t="shared" ref="H194:H257" si="6">G194/F194</f>
        <v>2.4725274725274724E-2</v>
      </c>
      <c r="I194" s="46" t="s">
        <v>279</v>
      </c>
      <c r="J194" s="45" t="s">
        <v>128</v>
      </c>
      <c r="K194" s="50">
        <v>36</v>
      </c>
      <c r="L194" s="20">
        <v>10</v>
      </c>
      <c r="M194" s="20">
        <f t="shared" ref="M194:M217" si="7">K194*L194</f>
        <v>360</v>
      </c>
    </row>
    <row r="195" spans="1:13" ht="21" customHeight="1" x14ac:dyDescent="0.25">
      <c r="A195" s="55">
        <v>45782</v>
      </c>
      <c r="B195" s="49" t="s">
        <v>276</v>
      </c>
      <c r="C195" s="49" t="s">
        <v>488</v>
      </c>
      <c r="D195" s="49" t="s">
        <v>273</v>
      </c>
      <c r="E195" s="49" t="s">
        <v>350</v>
      </c>
      <c r="F195" s="50">
        <v>1248</v>
      </c>
      <c r="G195" s="50">
        <v>21</v>
      </c>
      <c r="H195" s="47">
        <f t="shared" si="6"/>
        <v>1.6826923076923076E-2</v>
      </c>
      <c r="I195" s="46" t="s">
        <v>279</v>
      </c>
      <c r="J195" s="45" t="s">
        <v>128</v>
      </c>
      <c r="K195" s="42">
        <f>G195</f>
        <v>21</v>
      </c>
      <c r="L195" s="20">
        <v>10</v>
      </c>
      <c r="M195" s="20">
        <f t="shared" si="7"/>
        <v>210</v>
      </c>
    </row>
    <row r="196" spans="1:13" ht="21" customHeight="1" x14ac:dyDescent="0.25">
      <c r="A196" s="55">
        <v>45806</v>
      </c>
      <c r="B196" s="49" t="s">
        <v>276</v>
      </c>
      <c r="C196" s="49" t="s">
        <v>488</v>
      </c>
      <c r="D196" s="49" t="s">
        <v>273</v>
      </c>
      <c r="E196" s="49" t="s">
        <v>350</v>
      </c>
      <c r="F196" s="50">
        <v>1664</v>
      </c>
      <c r="G196" s="50">
        <f>17+4</f>
        <v>21</v>
      </c>
      <c r="H196" s="47">
        <f t="shared" si="6"/>
        <v>1.2620192307692308E-2</v>
      </c>
      <c r="I196" s="46" t="s">
        <v>279</v>
      </c>
      <c r="J196" s="52" t="s">
        <v>321</v>
      </c>
      <c r="K196" s="42">
        <v>21</v>
      </c>
      <c r="L196" s="20">
        <v>10</v>
      </c>
      <c r="M196" s="20">
        <f t="shared" si="7"/>
        <v>210</v>
      </c>
    </row>
    <row r="197" spans="1:13" ht="21" customHeight="1" x14ac:dyDescent="0.25">
      <c r="A197" s="55">
        <v>45803</v>
      </c>
      <c r="B197" s="49" t="s">
        <v>276</v>
      </c>
      <c r="C197" s="49" t="s">
        <v>488</v>
      </c>
      <c r="D197" s="49" t="s">
        <v>273</v>
      </c>
      <c r="E197" s="49" t="s">
        <v>350</v>
      </c>
      <c r="F197" s="50">
        <v>1040</v>
      </c>
      <c r="G197" s="50">
        <v>20</v>
      </c>
      <c r="H197" s="47">
        <f t="shared" si="6"/>
        <v>1.9230769230769232E-2</v>
      </c>
      <c r="I197" s="46" t="s">
        <v>279</v>
      </c>
      <c r="J197" s="52" t="s">
        <v>321</v>
      </c>
      <c r="K197" s="42">
        <v>20</v>
      </c>
      <c r="L197" s="20">
        <v>10</v>
      </c>
      <c r="M197" s="20">
        <f t="shared" si="7"/>
        <v>200</v>
      </c>
    </row>
    <row r="198" spans="1:13" ht="21" customHeight="1" x14ac:dyDescent="0.25">
      <c r="A198" s="55">
        <v>45791</v>
      </c>
      <c r="B198" s="49" t="s">
        <v>276</v>
      </c>
      <c r="C198" s="49" t="s">
        <v>488</v>
      </c>
      <c r="D198" s="49" t="s">
        <v>273</v>
      </c>
      <c r="E198" s="49" t="s">
        <v>350</v>
      </c>
      <c r="F198" s="50">
        <v>1248</v>
      </c>
      <c r="G198" s="50">
        <v>18</v>
      </c>
      <c r="H198" s="47">
        <f t="shared" si="6"/>
        <v>1.4423076923076924E-2</v>
      </c>
      <c r="I198" s="46" t="s">
        <v>279</v>
      </c>
      <c r="J198" s="52" t="s">
        <v>321</v>
      </c>
      <c r="K198" s="42">
        <v>18</v>
      </c>
      <c r="L198" s="20">
        <v>10</v>
      </c>
      <c r="M198" s="20">
        <f t="shared" si="7"/>
        <v>180</v>
      </c>
    </row>
    <row r="199" spans="1:13" ht="21" customHeight="1" x14ac:dyDescent="0.25">
      <c r="A199" s="55">
        <v>45781</v>
      </c>
      <c r="B199" s="49" t="s">
        <v>276</v>
      </c>
      <c r="C199" s="49" t="s">
        <v>488</v>
      </c>
      <c r="D199" s="49" t="s">
        <v>273</v>
      </c>
      <c r="E199" s="49" t="s">
        <v>350</v>
      </c>
      <c r="F199" s="50">
        <v>832</v>
      </c>
      <c r="G199" s="50">
        <v>17</v>
      </c>
      <c r="H199" s="47">
        <f t="shared" si="6"/>
        <v>2.0432692307692308E-2</v>
      </c>
      <c r="I199" s="46" t="s">
        <v>279</v>
      </c>
      <c r="J199" s="45" t="s">
        <v>128</v>
      </c>
      <c r="K199" s="50">
        <v>17</v>
      </c>
      <c r="L199" s="20">
        <v>10</v>
      </c>
      <c r="M199" s="20">
        <f t="shared" si="7"/>
        <v>170</v>
      </c>
    </row>
    <row r="200" spans="1:13" ht="21" customHeight="1" x14ac:dyDescent="0.25">
      <c r="A200" s="55">
        <v>45805</v>
      </c>
      <c r="B200" s="49" t="s">
        <v>276</v>
      </c>
      <c r="C200" s="49" t="s">
        <v>488</v>
      </c>
      <c r="D200" s="49" t="s">
        <v>273</v>
      </c>
      <c r="E200" s="49" t="s">
        <v>350</v>
      </c>
      <c r="F200" s="50">
        <v>1664</v>
      </c>
      <c r="G200" s="50">
        <v>17</v>
      </c>
      <c r="H200" s="47">
        <f t="shared" si="6"/>
        <v>1.0216346153846154E-2</v>
      </c>
      <c r="I200" s="46" t="s">
        <v>279</v>
      </c>
      <c r="J200" s="52" t="s">
        <v>321</v>
      </c>
      <c r="K200" s="42">
        <v>17</v>
      </c>
      <c r="L200" s="20">
        <v>10</v>
      </c>
      <c r="M200" s="20">
        <f t="shared" si="7"/>
        <v>170</v>
      </c>
    </row>
    <row r="201" spans="1:13" ht="21" customHeight="1" x14ac:dyDescent="0.25">
      <c r="A201" s="55">
        <v>45792</v>
      </c>
      <c r="B201" s="49" t="s">
        <v>276</v>
      </c>
      <c r="C201" s="49" t="s">
        <v>488</v>
      </c>
      <c r="D201" s="49" t="s">
        <v>273</v>
      </c>
      <c r="E201" s="49" t="s">
        <v>350</v>
      </c>
      <c r="F201" s="50">
        <v>1872</v>
      </c>
      <c r="G201" s="50">
        <v>15</v>
      </c>
      <c r="H201" s="47">
        <f t="shared" si="6"/>
        <v>8.0128205128205121E-3</v>
      </c>
      <c r="I201" s="46" t="s">
        <v>279</v>
      </c>
      <c r="J201" s="52" t="s">
        <v>321</v>
      </c>
      <c r="K201" s="42">
        <v>15</v>
      </c>
      <c r="L201" s="20">
        <v>10</v>
      </c>
      <c r="M201" s="20">
        <f t="shared" si="7"/>
        <v>150</v>
      </c>
    </row>
    <row r="202" spans="1:13" ht="21" customHeight="1" x14ac:dyDescent="0.25">
      <c r="A202" s="55">
        <v>45793</v>
      </c>
      <c r="B202" s="49" t="s">
        <v>276</v>
      </c>
      <c r="C202" s="49" t="s">
        <v>488</v>
      </c>
      <c r="D202" s="49" t="s">
        <v>273</v>
      </c>
      <c r="E202" s="49" t="s">
        <v>350</v>
      </c>
      <c r="F202" s="50">
        <v>1456</v>
      </c>
      <c r="G202" s="50">
        <v>15</v>
      </c>
      <c r="H202" s="47">
        <f t="shared" si="6"/>
        <v>1.0302197802197802E-2</v>
      </c>
      <c r="I202" s="46" t="s">
        <v>279</v>
      </c>
      <c r="J202" s="52" t="s">
        <v>321</v>
      </c>
      <c r="K202" s="42">
        <v>15</v>
      </c>
      <c r="L202" s="20">
        <v>10</v>
      </c>
      <c r="M202" s="20">
        <f t="shared" si="7"/>
        <v>150</v>
      </c>
    </row>
    <row r="203" spans="1:13" ht="21" customHeight="1" x14ac:dyDescent="0.25">
      <c r="A203" s="55">
        <v>45802</v>
      </c>
      <c r="B203" s="49" t="s">
        <v>276</v>
      </c>
      <c r="C203" s="49" t="s">
        <v>488</v>
      </c>
      <c r="D203" s="49" t="s">
        <v>273</v>
      </c>
      <c r="E203" s="49" t="s">
        <v>350</v>
      </c>
      <c r="F203" s="50">
        <v>832</v>
      </c>
      <c r="G203" s="50">
        <v>15</v>
      </c>
      <c r="H203" s="47">
        <f t="shared" si="6"/>
        <v>1.8028846153846152E-2</v>
      </c>
      <c r="I203" s="46" t="s">
        <v>279</v>
      </c>
      <c r="J203" s="52" t="s">
        <v>321</v>
      </c>
      <c r="K203" s="42">
        <v>15</v>
      </c>
      <c r="L203" s="20">
        <v>10</v>
      </c>
      <c r="M203" s="20">
        <f t="shared" si="7"/>
        <v>150</v>
      </c>
    </row>
    <row r="204" spans="1:13" ht="21" customHeight="1" x14ac:dyDescent="0.25">
      <c r="A204" s="55">
        <v>45789</v>
      </c>
      <c r="B204" s="49" t="s">
        <v>276</v>
      </c>
      <c r="C204" s="49" t="s">
        <v>488</v>
      </c>
      <c r="D204" s="49" t="s">
        <v>273</v>
      </c>
      <c r="E204" s="49" t="s">
        <v>350</v>
      </c>
      <c r="F204" s="50">
        <f>208+208</f>
        <v>416</v>
      </c>
      <c r="G204" s="50">
        <v>7</v>
      </c>
      <c r="H204" s="47">
        <f t="shared" si="6"/>
        <v>1.6826923076923076E-2</v>
      </c>
      <c r="I204" s="46" t="s">
        <v>279</v>
      </c>
      <c r="J204" s="52" t="s">
        <v>321</v>
      </c>
      <c r="K204" s="42">
        <v>7</v>
      </c>
      <c r="L204" s="20">
        <v>10</v>
      </c>
      <c r="M204" s="20">
        <f t="shared" si="7"/>
        <v>70</v>
      </c>
    </row>
    <row r="205" spans="1:13" ht="21" customHeight="1" x14ac:dyDescent="0.25">
      <c r="A205" s="55">
        <v>45790</v>
      </c>
      <c r="B205" s="49" t="s">
        <v>276</v>
      </c>
      <c r="C205" s="49" t="s">
        <v>488</v>
      </c>
      <c r="D205" s="49" t="s">
        <v>273</v>
      </c>
      <c r="E205" s="49" t="s">
        <v>350</v>
      </c>
      <c r="F205" s="50">
        <f>208+208</f>
        <v>416</v>
      </c>
      <c r="G205" s="50">
        <v>7</v>
      </c>
      <c r="H205" s="47">
        <f t="shared" si="6"/>
        <v>1.6826923076923076E-2</v>
      </c>
      <c r="I205" s="46" t="s">
        <v>279</v>
      </c>
      <c r="J205" s="52" t="s">
        <v>321</v>
      </c>
      <c r="K205" s="42">
        <v>7</v>
      </c>
      <c r="L205" s="20">
        <v>10</v>
      </c>
      <c r="M205" s="20">
        <f t="shared" si="7"/>
        <v>70</v>
      </c>
    </row>
    <row r="206" spans="1:13" ht="21" customHeight="1" x14ac:dyDescent="0.25">
      <c r="A206" s="55">
        <v>45794</v>
      </c>
      <c r="B206" s="49" t="s">
        <v>276</v>
      </c>
      <c r="C206" s="49" t="s">
        <v>488</v>
      </c>
      <c r="D206" s="49" t="s">
        <v>273</v>
      </c>
      <c r="E206" s="49" t="s">
        <v>350</v>
      </c>
      <c r="F206" s="50">
        <v>1040</v>
      </c>
      <c r="G206" s="50">
        <v>7</v>
      </c>
      <c r="H206" s="47">
        <f t="shared" si="6"/>
        <v>6.7307692307692311E-3</v>
      </c>
      <c r="I206" s="46" t="s">
        <v>279</v>
      </c>
      <c r="J206" s="52" t="s">
        <v>321</v>
      </c>
      <c r="K206" s="42">
        <v>7</v>
      </c>
      <c r="L206" s="20">
        <v>10</v>
      </c>
      <c r="M206" s="20">
        <f t="shared" si="7"/>
        <v>70</v>
      </c>
    </row>
    <row r="207" spans="1:13" ht="21" customHeight="1" x14ac:dyDescent="0.25">
      <c r="A207" s="55">
        <v>45800</v>
      </c>
      <c r="B207" s="49" t="s">
        <v>276</v>
      </c>
      <c r="C207" s="49" t="s">
        <v>488</v>
      </c>
      <c r="D207" s="49" t="s">
        <v>273</v>
      </c>
      <c r="E207" s="49" t="s">
        <v>350</v>
      </c>
      <c r="F207" s="50">
        <v>1040</v>
      </c>
      <c r="G207" s="50">
        <v>7</v>
      </c>
      <c r="H207" s="47">
        <f t="shared" si="6"/>
        <v>6.7307692307692311E-3</v>
      </c>
      <c r="I207" s="46" t="s">
        <v>279</v>
      </c>
      <c r="J207" s="52" t="s">
        <v>321</v>
      </c>
      <c r="K207" s="42">
        <v>7</v>
      </c>
      <c r="L207" s="20">
        <v>10</v>
      </c>
      <c r="M207" s="20">
        <f t="shared" si="7"/>
        <v>70</v>
      </c>
    </row>
    <row r="208" spans="1:13" ht="21" customHeight="1" x14ac:dyDescent="0.25">
      <c r="A208" s="55">
        <v>45788</v>
      </c>
      <c r="B208" s="49" t="s">
        <v>276</v>
      </c>
      <c r="C208" s="49" t="s">
        <v>488</v>
      </c>
      <c r="D208" s="49" t="s">
        <v>273</v>
      </c>
      <c r="E208" s="49" t="s">
        <v>350</v>
      </c>
      <c r="F208" s="50">
        <v>1040</v>
      </c>
      <c r="G208" s="50">
        <v>5</v>
      </c>
      <c r="H208" s="47">
        <f t="shared" si="6"/>
        <v>4.807692307692308E-3</v>
      </c>
      <c r="I208" s="46" t="s">
        <v>279</v>
      </c>
      <c r="J208" s="52" t="s">
        <v>321</v>
      </c>
      <c r="K208" s="42">
        <v>5</v>
      </c>
      <c r="L208" s="20">
        <v>10</v>
      </c>
      <c r="M208" s="20">
        <f t="shared" si="7"/>
        <v>50</v>
      </c>
    </row>
    <row r="209" spans="1:13" ht="21" customHeight="1" x14ac:dyDescent="0.25">
      <c r="A209" s="55">
        <v>45795</v>
      </c>
      <c r="B209" s="49" t="s">
        <v>276</v>
      </c>
      <c r="C209" s="49" t="s">
        <v>488</v>
      </c>
      <c r="D209" s="49" t="s">
        <v>273</v>
      </c>
      <c r="E209" s="49" t="s">
        <v>350</v>
      </c>
      <c r="F209" s="50">
        <v>632</v>
      </c>
      <c r="G209" s="50">
        <v>4</v>
      </c>
      <c r="H209" s="47">
        <f t="shared" si="6"/>
        <v>6.3291139240506328E-3</v>
      </c>
      <c r="I209" s="46" t="s">
        <v>279</v>
      </c>
      <c r="J209" s="52" t="s">
        <v>321</v>
      </c>
      <c r="K209" s="50">
        <v>4</v>
      </c>
      <c r="L209" s="20">
        <v>10</v>
      </c>
      <c r="M209" s="20">
        <f t="shared" si="7"/>
        <v>40</v>
      </c>
    </row>
    <row r="210" spans="1:13" ht="21" customHeight="1" x14ac:dyDescent="0.25">
      <c r="A210" s="55">
        <v>45785</v>
      </c>
      <c r="B210" s="49" t="s">
        <v>276</v>
      </c>
      <c r="C210" s="49" t="s">
        <v>488</v>
      </c>
      <c r="D210" s="49" t="s">
        <v>273</v>
      </c>
      <c r="E210" s="49" t="s">
        <v>350</v>
      </c>
      <c r="F210" s="50">
        <v>1456</v>
      </c>
      <c r="G210" s="50">
        <v>3</v>
      </c>
      <c r="H210" s="47">
        <f t="shared" si="6"/>
        <v>2.0604395604395605E-3</v>
      </c>
      <c r="I210" s="46" t="s">
        <v>279</v>
      </c>
      <c r="J210" s="45" t="s">
        <v>128</v>
      </c>
      <c r="K210" s="42">
        <v>3</v>
      </c>
      <c r="L210" s="20">
        <v>10</v>
      </c>
      <c r="M210" s="20">
        <f t="shared" si="7"/>
        <v>30</v>
      </c>
    </row>
    <row r="211" spans="1:13" ht="21" customHeight="1" x14ac:dyDescent="0.25">
      <c r="A211" s="55">
        <v>45796</v>
      </c>
      <c r="B211" s="49" t="s">
        <v>276</v>
      </c>
      <c r="C211" s="49" t="s">
        <v>488</v>
      </c>
      <c r="D211" s="49" t="s">
        <v>273</v>
      </c>
      <c r="E211" s="49" t="s">
        <v>350</v>
      </c>
      <c r="F211" s="50">
        <v>208</v>
      </c>
      <c r="G211" s="50">
        <v>2</v>
      </c>
      <c r="H211" s="47">
        <f t="shared" si="6"/>
        <v>9.6153846153846159E-3</v>
      </c>
      <c r="I211" s="46" t="s">
        <v>279</v>
      </c>
      <c r="J211" s="52" t="s">
        <v>321</v>
      </c>
      <c r="K211" s="42">
        <v>2</v>
      </c>
      <c r="L211" s="20">
        <v>10</v>
      </c>
      <c r="M211" s="20">
        <f t="shared" si="7"/>
        <v>20</v>
      </c>
    </row>
    <row r="212" spans="1:13" ht="21" customHeight="1" x14ac:dyDescent="0.25">
      <c r="A212" s="55">
        <v>45801</v>
      </c>
      <c r="B212" s="49" t="s">
        <v>276</v>
      </c>
      <c r="C212" s="49" t="s">
        <v>488</v>
      </c>
      <c r="D212" s="49" t="s">
        <v>273</v>
      </c>
      <c r="E212" s="49" t="s">
        <v>350</v>
      </c>
      <c r="F212" s="50">
        <v>616</v>
      </c>
      <c r="G212" s="50">
        <v>2</v>
      </c>
      <c r="H212" s="47">
        <f t="shared" si="6"/>
        <v>3.246753246753247E-3</v>
      </c>
      <c r="I212" s="46" t="s">
        <v>279</v>
      </c>
      <c r="J212" s="52" t="s">
        <v>321</v>
      </c>
      <c r="K212" s="42">
        <v>2</v>
      </c>
      <c r="L212" s="20">
        <v>10</v>
      </c>
      <c r="M212" s="20">
        <f t="shared" si="7"/>
        <v>20</v>
      </c>
    </row>
    <row r="213" spans="1:13" ht="21" customHeight="1" x14ac:dyDescent="0.25">
      <c r="A213" s="55">
        <v>45803</v>
      </c>
      <c r="B213" s="49" t="s">
        <v>320</v>
      </c>
      <c r="C213" s="49" t="s">
        <v>488</v>
      </c>
      <c r="D213" s="49" t="s">
        <v>285</v>
      </c>
      <c r="E213" s="49" t="s">
        <v>474</v>
      </c>
      <c r="F213" s="50">
        <v>3024</v>
      </c>
      <c r="G213" s="50">
        <v>68</v>
      </c>
      <c r="H213" s="47">
        <f t="shared" si="6"/>
        <v>2.2486772486772486E-2</v>
      </c>
      <c r="I213" s="54" t="s">
        <v>325</v>
      </c>
      <c r="J213" s="52" t="s">
        <v>321</v>
      </c>
      <c r="K213" s="42">
        <v>68</v>
      </c>
      <c r="L213" s="20">
        <v>0.5</v>
      </c>
      <c r="M213" s="20">
        <f t="shared" si="7"/>
        <v>34</v>
      </c>
    </row>
    <row r="214" spans="1:13" ht="21" customHeight="1" x14ac:dyDescent="0.25">
      <c r="A214" s="55">
        <v>45805</v>
      </c>
      <c r="B214" s="49" t="s">
        <v>320</v>
      </c>
      <c r="C214" s="49" t="s">
        <v>488</v>
      </c>
      <c r="D214" s="49" t="s">
        <v>285</v>
      </c>
      <c r="E214" s="49" t="s">
        <v>356</v>
      </c>
      <c r="F214" s="50">
        <v>2600</v>
      </c>
      <c r="G214" s="50">
        <v>50</v>
      </c>
      <c r="H214" s="47">
        <f t="shared" si="6"/>
        <v>1.9230769230769232E-2</v>
      </c>
      <c r="I214" s="54" t="s">
        <v>325</v>
      </c>
      <c r="J214" s="52" t="s">
        <v>321</v>
      </c>
      <c r="K214" s="42">
        <v>50</v>
      </c>
      <c r="L214" s="20">
        <v>0.5</v>
      </c>
      <c r="M214" s="20">
        <f t="shared" si="7"/>
        <v>25</v>
      </c>
    </row>
    <row r="215" spans="1:13" ht="21" customHeight="1" x14ac:dyDescent="0.25">
      <c r="A215" s="55">
        <v>45802</v>
      </c>
      <c r="B215" s="49" t="s">
        <v>320</v>
      </c>
      <c r="C215" s="49" t="s">
        <v>488</v>
      </c>
      <c r="D215" s="49" t="s">
        <v>285</v>
      </c>
      <c r="E215" s="49" t="s">
        <v>356</v>
      </c>
      <c r="F215" s="50">
        <v>2184</v>
      </c>
      <c r="G215" s="50">
        <v>2</v>
      </c>
      <c r="H215" s="47">
        <f t="shared" si="6"/>
        <v>9.1575091575091575E-4</v>
      </c>
      <c r="I215" s="54" t="s">
        <v>325</v>
      </c>
      <c r="J215" s="52" t="s">
        <v>321</v>
      </c>
      <c r="K215" s="42">
        <v>2</v>
      </c>
      <c r="L215" s="20">
        <v>0.5</v>
      </c>
      <c r="M215" s="20">
        <f t="shared" si="7"/>
        <v>1</v>
      </c>
    </row>
    <row r="216" spans="1:13" ht="21" customHeight="1" x14ac:dyDescent="0.25">
      <c r="A216" s="55">
        <v>45781</v>
      </c>
      <c r="B216" s="49" t="s">
        <v>276</v>
      </c>
      <c r="C216" s="49" t="s">
        <v>489</v>
      </c>
      <c r="D216" s="49" t="s">
        <v>270</v>
      </c>
      <c r="E216" s="49" t="s">
        <v>365</v>
      </c>
      <c r="F216" s="50">
        <v>1680</v>
      </c>
      <c r="G216" s="50">
        <v>15</v>
      </c>
      <c r="H216" s="47">
        <f t="shared" si="6"/>
        <v>8.9285714285714281E-3</v>
      </c>
      <c r="I216" s="46"/>
      <c r="J216" s="45" t="s">
        <v>128</v>
      </c>
      <c r="K216" s="50">
        <v>15</v>
      </c>
      <c r="L216" s="20">
        <v>23.180900000000001</v>
      </c>
      <c r="M216" s="20">
        <f t="shared" si="7"/>
        <v>347.71350000000001</v>
      </c>
    </row>
    <row r="217" spans="1:13" ht="21" customHeight="1" x14ac:dyDescent="0.25">
      <c r="A217" s="55">
        <v>45787</v>
      </c>
      <c r="B217" s="51" t="s">
        <v>276</v>
      </c>
      <c r="C217" s="49" t="s">
        <v>489</v>
      </c>
      <c r="D217" s="49" t="s">
        <v>300</v>
      </c>
      <c r="E217" s="49" t="s">
        <v>475</v>
      </c>
      <c r="F217" s="50">
        <v>3000</v>
      </c>
      <c r="G217" s="50">
        <v>2860</v>
      </c>
      <c r="H217" s="47">
        <f t="shared" si="6"/>
        <v>0.95333333333333337</v>
      </c>
      <c r="I217" s="46"/>
      <c r="J217" s="52" t="s">
        <v>321</v>
      </c>
      <c r="K217" s="50">
        <v>2860</v>
      </c>
      <c r="L217" s="20">
        <v>3.4018000000000002</v>
      </c>
      <c r="M217" s="20">
        <f t="shared" si="7"/>
        <v>9729.148000000001</v>
      </c>
    </row>
    <row r="218" spans="1:13" ht="21" customHeight="1" x14ac:dyDescent="0.25">
      <c r="A218" s="55">
        <v>45789</v>
      </c>
      <c r="B218" s="49" t="s">
        <v>287</v>
      </c>
      <c r="C218" s="49" t="s">
        <v>489</v>
      </c>
      <c r="D218" s="49" t="s">
        <v>299</v>
      </c>
      <c r="E218" s="49" t="s">
        <v>405</v>
      </c>
      <c r="F218" s="50">
        <v>960</v>
      </c>
      <c r="G218" s="50">
        <f>29+216+2</f>
        <v>247</v>
      </c>
      <c r="H218" s="47">
        <f t="shared" si="6"/>
        <v>0.25729166666666664</v>
      </c>
      <c r="I218" s="54" t="s">
        <v>323</v>
      </c>
      <c r="J218" s="52" t="s">
        <v>277</v>
      </c>
      <c r="K218" s="42"/>
      <c r="L218" s="4"/>
      <c r="M218" s="4"/>
    </row>
    <row r="219" spans="1:13" ht="21" customHeight="1" x14ac:dyDescent="0.25">
      <c r="A219" s="55">
        <v>45790</v>
      </c>
      <c r="B219" s="49" t="s">
        <v>287</v>
      </c>
      <c r="C219" s="49" t="s">
        <v>489</v>
      </c>
      <c r="D219" s="49" t="s">
        <v>299</v>
      </c>
      <c r="E219" s="49" t="s">
        <v>14</v>
      </c>
      <c r="F219" s="50">
        <v>960</v>
      </c>
      <c r="G219" s="50">
        <f>29+216+2</f>
        <v>247</v>
      </c>
      <c r="H219" s="47">
        <f t="shared" si="6"/>
        <v>0.25729166666666664</v>
      </c>
      <c r="I219" s="54" t="s">
        <v>323</v>
      </c>
      <c r="J219" s="52" t="s">
        <v>277</v>
      </c>
      <c r="K219" s="42"/>
      <c r="L219" s="4"/>
      <c r="M219" s="4"/>
    </row>
    <row r="220" spans="1:13" ht="21" customHeight="1" x14ac:dyDescent="0.25">
      <c r="A220" s="55">
        <v>45795</v>
      </c>
      <c r="B220" s="51" t="s">
        <v>326</v>
      </c>
      <c r="C220" s="49" t="s">
        <v>489</v>
      </c>
      <c r="D220" s="49" t="s">
        <v>281</v>
      </c>
      <c r="E220" s="49" t="s">
        <v>22</v>
      </c>
      <c r="F220" s="50">
        <v>83</v>
      </c>
      <c r="G220" s="50">
        <f>16+26</f>
        <v>42</v>
      </c>
      <c r="H220" s="47">
        <f t="shared" si="6"/>
        <v>0.50602409638554213</v>
      </c>
      <c r="I220" s="46" t="s">
        <v>289</v>
      </c>
      <c r="J220" s="45" t="s">
        <v>277</v>
      </c>
      <c r="K220" s="50"/>
      <c r="L220" s="4"/>
      <c r="M220" s="4"/>
    </row>
    <row r="221" spans="1:13" ht="21" customHeight="1" x14ac:dyDescent="0.25">
      <c r="A221" s="55">
        <v>45796</v>
      </c>
      <c r="B221" s="51" t="s">
        <v>326</v>
      </c>
      <c r="C221" s="49" t="s">
        <v>489</v>
      </c>
      <c r="D221" s="49" t="s">
        <v>293</v>
      </c>
      <c r="E221" s="49" t="s">
        <v>20</v>
      </c>
      <c r="F221" s="50">
        <v>85</v>
      </c>
      <c r="G221" s="50">
        <v>25</v>
      </c>
      <c r="H221" s="47">
        <f t="shared" si="6"/>
        <v>0.29411764705882354</v>
      </c>
      <c r="I221" s="46" t="s">
        <v>289</v>
      </c>
      <c r="J221" s="45" t="s">
        <v>277</v>
      </c>
      <c r="K221" s="42"/>
      <c r="L221" s="4"/>
      <c r="M221" s="4"/>
    </row>
    <row r="222" spans="1:13" ht="21" customHeight="1" x14ac:dyDescent="0.25">
      <c r="A222" s="55">
        <v>45793</v>
      </c>
      <c r="B222" s="49" t="s">
        <v>287</v>
      </c>
      <c r="C222" s="49" t="s">
        <v>489</v>
      </c>
      <c r="D222" s="49" t="s">
        <v>299</v>
      </c>
      <c r="E222" s="49" t="s">
        <v>14</v>
      </c>
      <c r="F222" s="50">
        <f>144+336</f>
        <v>480</v>
      </c>
      <c r="G222" s="50">
        <f>186+13</f>
        <v>199</v>
      </c>
      <c r="H222" s="47">
        <f t="shared" si="6"/>
        <v>0.41458333333333336</v>
      </c>
      <c r="I222" s="54" t="s">
        <v>323</v>
      </c>
      <c r="J222" s="52" t="s">
        <v>277</v>
      </c>
      <c r="K222" s="42"/>
      <c r="L222" s="4"/>
      <c r="M222" s="4"/>
    </row>
    <row r="223" spans="1:13" ht="21" customHeight="1" x14ac:dyDescent="0.25">
      <c r="A223" s="55">
        <v>45787</v>
      </c>
      <c r="B223" s="49" t="s">
        <v>287</v>
      </c>
      <c r="C223" s="49" t="s">
        <v>489</v>
      </c>
      <c r="D223" s="49" t="s">
        <v>293</v>
      </c>
      <c r="E223" s="49" t="s">
        <v>20</v>
      </c>
      <c r="F223" s="50">
        <v>102</v>
      </c>
      <c r="G223" s="50">
        <v>24</v>
      </c>
      <c r="H223" s="47">
        <f t="shared" si="6"/>
        <v>0.23529411764705882</v>
      </c>
      <c r="I223" s="46" t="s">
        <v>289</v>
      </c>
      <c r="J223" s="45" t="s">
        <v>277</v>
      </c>
      <c r="K223" s="50"/>
      <c r="L223" s="4"/>
      <c r="M223" s="4"/>
    </row>
    <row r="224" spans="1:13" ht="21" customHeight="1" x14ac:dyDescent="0.25">
      <c r="A224" s="55">
        <v>45788</v>
      </c>
      <c r="B224" s="51" t="s">
        <v>326</v>
      </c>
      <c r="C224" s="49" t="s">
        <v>489</v>
      </c>
      <c r="D224" s="49" t="s">
        <v>293</v>
      </c>
      <c r="E224" s="49" t="s">
        <v>20</v>
      </c>
      <c r="F224" s="50">
        <v>70</v>
      </c>
      <c r="G224" s="50">
        <v>24</v>
      </c>
      <c r="H224" s="47">
        <f t="shared" si="6"/>
        <v>0.34285714285714286</v>
      </c>
      <c r="I224" s="46" t="s">
        <v>289</v>
      </c>
      <c r="J224" s="45" t="s">
        <v>277</v>
      </c>
      <c r="K224" s="42"/>
      <c r="L224" s="4"/>
      <c r="M224" s="4"/>
    </row>
    <row r="225" spans="1:13" ht="21" customHeight="1" x14ac:dyDescent="0.25">
      <c r="A225" s="55">
        <v>45793</v>
      </c>
      <c r="B225" s="51" t="s">
        <v>326</v>
      </c>
      <c r="C225" s="49" t="s">
        <v>489</v>
      </c>
      <c r="D225" s="49" t="s">
        <v>281</v>
      </c>
      <c r="E225" s="49" t="s">
        <v>22</v>
      </c>
      <c r="F225" s="50">
        <v>80</v>
      </c>
      <c r="G225" s="50">
        <v>30</v>
      </c>
      <c r="H225" s="47">
        <f t="shared" si="6"/>
        <v>0.375</v>
      </c>
      <c r="I225" s="46" t="s">
        <v>289</v>
      </c>
      <c r="J225" s="45" t="s">
        <v>277</v>
      </c>
      <c r="K225" s="42"/>
      <c r="L225" s="4"/>
      <c r="M225" s="4"/>
    </row>
    <row r="226" spans="1:13" ht="21" customHeight="1" x14ac:dyDescent="0.25">
      <c r="A226" s="55">
        <v>45804</v>
      </c>
      <c r="B226" s="49" t="s">
        <v>287</v>
      </c>
      <c r="C226" s="49" t="s">
        <v>489</v>
      </c>
      <c r="D226" s="49" t="s">
        <v>299</v>
      </c>
      <c r="E226" s="49" t="s">
        <v>14</v>
      </c>
      <c r="F226" s="50">
        <v>384</v>
      </c>
      <c r="G226" s="50">
        <v>148</v>
      </c>
      <c r="H226" s="47">
        <f t="shared" si="6"/>
        <v>0.38541666666666669</v>
      </c>
      <c r="I226" s="54" t="s">
        <v>323</v>
      </c>
      <c r="J226" s="52" t="s">
        <v>277</v>
      </c>
      <c r="K226" s="42"/>
      <c r="L226" s="4"/>
      <c r="M226" s="4"/>
    </row>
    <row r="227" spans="1:13" ht="21" customHeight="1" x14ac:dyDescent="0.25">
      <c r="A227" s="55">
        <v>45797</v>
      </c>
      <c r="B227" s="51" t="s">
        <v>326</v>
      </c>
      <c r="C227" s="49" t="s">
        <v>489</v>
      </c>
      <c r="D227" s="49" t="s">
        <v>293</v>
      </c>
      <c r="E227" s="49" t="s">
        <v>20</v>
      </c>
      <c r="F227" s="50">
        <v>60</v>
      </c>
      <c r="G227" s="50">
        <v>17</v>
      </c>
      <c r="H227" s="47">
        <f t="shared" si="6"/>
        <v>0.28333333333333333</v>
      </c>
      <c r="I227" s="46" t="s">
        <v>289</v>
      </c>
      <c r="J227" s="45" t="s">
        <v>277</v>
      </c>
      <c r="K227" s="42"/>
      <c r="L227" s="4"/>
      <c r="M227" s="4"/>
    </row>
    <row r="228" spans="1:13" ht="21" customHeight="1" x14ac:dyDescent="0.25">
      <c r="A228" s="55">
        <v>45795</v>
      </c>
      <c r="B228" s="49" t="s">
        <v>287</v>
      </c>
      <c r="C228" s="49" t="s">
        <v>489</v>
      </c>
      <c r="D228" s="49" t="s">
        <v>299</v>
      </c>
      <c r="E228" s="49" t="s">
        <v>14</v>
      </c>
      <c r="F228" s="50">
        <v>528</v>
      </c>
      <c r="G228" s="50">
        <f>125+9</f>
        <v>134</v>
      </c>
      <c r="H228" s="47">
        <f t="shared" si="6"/>
        <v>0.25378787878787878</v>
      </c>
      <c r="I228" s="54" t="s">
        <v>323</v>
      </c>
      <c r="J228" s="52" t="s">
        <v>277</v>
      </c>
      <c r="K228" s="50"/>
      <c r="L228" s="4"/>
      <c r="M228" s="4"/>
    </row>
    <row r="229" spans="1:13" ht="21" customHeight="1" x14ac:dyDescent="0.25">
      <c r="A229" s="55">
        <v>45789</v>
      </c>
      <c r="B229" s="51" t="s">
        <v>326</v>
      </c>
      <c r="C229" s="49" t="s">
        <v>489</v>
      </c>
      <c r="D229" s="49" t="s">
        <v>293</v>
      </c>
      <c r="E229" s="49" t="s">
        <v>20</v>
      </c>
      <c r="F229" s="50">
        <v>29</v>
      </c>
      <c r="G229" s="50">
        <v>16</v>
      </c>
      <c r="H229" s="47">
        <f t="shared" si="6"/>
        <v>0.55172413793103448</v>
      </c>
      <c r="I229" s="46" t="s">
        <v>289</v>
      </c>
      <c r="J229" s="45" t="s">
        <v>277</v>
      </c>
      <c r="K229" s="42"/>
      <c r="L229" s="4"/>
      <c r="M229" s="4"/>
    </row>
    <row r="230" spans="1:13" ht="21" customHeight="1" x14ac:dyDescent="0.25">
      <c r="A230" s="55">
        <v>45790</v>
      </c>
      <c r="B230" s="51" t="s">
        <v>326</v>
      </c>
      <c r="C230" s="49" t="s">
        <v>489</v>
      </c>
      <c r="D230" s="49" t="s">
        <v>293</v>
      </c>
      <c r="E230" s="49" t="s">
        <v>20</v>
      </c>
      <c r="F230" s="50">
        <v>29</v>
      </c>
      <c r="G230" s="50">
        <v>16</v>
      </c>
      <c r="H230" s="47">
        <f t="shared" si="6"/>
        <v>0.55172413793103448</v>
      </c>
      <c r="I230" s="46" t="s">
        <v>289</v>
      </c>
      <c r="J230" s="45" t="s">
        <v>277</v>
      </c>
      <c r="K230" s="42"/>
      <c r="L230" s="4"/>
      <c r="M230" s="4"/>
    </row>
    <row r="231" spans="1:13" ht="21" customHeight="1" x14ac:dyDescent="0.25">
      <c r="A231" s="55">
        <v>45783</v>
      </c>
      <c r="B231" s="49" t="s">
        <v>287</v>
      </c>
      <c r="C231" s="49" t="s">
        <v>489</v>
      </c>
      <c r="D231" s="49" t="s">
        <v>281</v>
      </c>
      <c r="E231" s="49" t="s">
        <v>22</v>
      </c>
      <c r="F231" s="50">
        <f>60+72</f>
        <v>132</v>
      </c>
      <c r="G231" s="50">
        <v>23</v>
      </c>
      <c r="H231" s="47">
        <f t="shared" si="6"/>
        <v>0.17424242424242425</v>
      </c>
      <c r="I231" s="46" t="s">
        <v>289</v>
      </c>
      <c r="J231" s="45" t="s">
        <v>277</v>
      </c>
      <c r="K231" s="42"/>
      <c r="L231" s="4"/>
      <c r="M231" s="4"/>
    </row>
    <row r="232" spans="1:13" ht="21" customHeight="1" x14ac:dyDescent="0.25">
      <c r="A232" s="55">
        <v>45785</v>
      </c>
      <c r="B232" s="49" t="s">
        <v>287</v>
      </c>
      <c r="C232" s="49" t="s">
        <v>489</v>
      </c>
      <c r="D232" s="49" t="s">
        <v>281</v>
      </c>
      <c r="E232" s="49" t="s">
        <v>22</v>
      </c>
      <c r="F232" s="50">
        <v>64</v>
      </c>
      <c r="G232" s="50">
        <v>23</v>
      </c>
      <c r="H232" s="47">
        <f t="shared" si="6"/>
        <v>0.359375</v>
      </c>
      <c r="I232" s="46" t="s">
        <v>289</v>
      </c>
      <c r="J232" s="45" t="s">
        <v>277</v>
      </c>
      <c r="K232" s="42"/>
      <c r="L232" s="4"/>
      <c r="M232" s="4"/>
    </row>
    <row r="233" spans="1:13" ht="21" customHeight="1" x14ac:dyDescent="0.25">
      <c r="A233" s="55">
        <v>45799</v>
      </c>
      <c r="B233" s="49" t="s">
        <v>287</v>
      </c>
      <c r="C233" s="49" t="s">
        <v>489</v>
      </c>
      <c r="D233" s="49" t="s">
        <v>299</v>
      </c>
      <c r="E233" s="49" t="s">
        <v>14</v>
      </c>
      <c r="F233" s="50">
        <v>480</v>
      </c>
      <c r="G233" s="50">
        <f>72+32</f>
        <v>104</v>
      </c>
      <c r="H233" s="47">
        <f t="shared" si="6"/>
        <v>0.21666666666666667</v>
      </c>
      <c r="I233" s="54" t="s">
        <v>323</v>
      </c>
      <c r="J233" s="52" t="s">
        <v>277</v>
      </c>
      <c r="K233" s="42"/>
      <c r="L233" s="4"/>
      <c r="M233" s="4"/>
    </row>
    <row r="234" spans="1:13" ht="21" customHeight="1" x14ac:dyDescent="0.25">
      <c r="A234" s="55">
        <v>45782</v>
      </c>
      <c r="B234" s="49" t="s">
        <v>287</v>
      </c>
      <c r="C234" s="49" t="s">
        <v>489</v>
      </c>
      <c r="D234" s="49" t="s">
        <v>271</v>
      </c>
      <c r="E234" s="51" t="s">
        <v>21</v>
      </c>
      <c r="F234" s="50">
        <v>31</v>
      </c>
      <c r="G234" s="50">
        <v>16</v>
      </c>
      <c r="H234" s="47">
        <f t="shared" si="6"/>
        <v>0.5161290322580645</v>
      </c>
      <c r="I234" s="46" t="s">
        <v>289</v>
      </c>
      <c r="J234" s="45" t="s">
        <v>277</v>
      </c>
      <c r="K234" s="42"/>
      <c r="L234" s="4"/>
      <c r="M234" s="4"/>
    </row>
    <row r="235" spans="1:13" ht="21" customHeight="1" x14ac:dyDescent="0.25">
      <c r="A235" s="55">
        <v>45785</v>
      </c>
      <c r="B235" s="49" t="s">
        <v>287</v>
      </c>
      <c r="C235" s="49" t="s">
        <v>489</v>
      </c>
      <c r="D235" s="49" t="s">
        <v>271</v>
      </c>
      <c r="E235" s="51" t="s">
        <v>21</v>
      </c>
      <c r="F235" s="50">
        <v>34</v>
      </c>
      <c r="G235" s="50">
        <v>16</v>
      </c>
      <c r="H235" s="47">
        <f t="shared" si="6"/>
        <v>0.47058823529411764</v>
      </c>
      <c r="I235" s="46" t="s">
        <v>289</v>
      </c>
      <c r="J235" s="45" t="s">
        <v>277</v>
      </c>
      <c r="K235" s="42"/>
      <c r="L235" s="4"/>
      <c r="M235" s="4"/>
    </row>
    <row r="236" spans="1:13" ht="21" customHeight="1" x14ac:dyDescent="0.25">
      <c r="A236" s="55">
        <v>45784</v>
      </c>
      <c r="B236" s="49" t="s">
        <v>287</v>
      </c>
      <c r="C236" s="49" t="s">
        <v>489</v>
      </c>
      <c r="D236" s="49" t="s">
        <v>293</v>
      </c>
      <c r="E236" s="49" t="s">
        <v>20</v>
      </c>
      <c r="F236" s="50">
        <v>34</v>
      </c>
      <c r="G236" s="50">
        <v>12</v>
      </c>
      <c r="H236" s="47">
        <f t="shared" si="6"/>
        <v>0.35294117647058826</v>
      </c>
      <c r="I236" s="46" t="s">
        <v>289</v>
      </c>
      <c r="J236" s="45" t="s">
        <v>277</v>
      </c>
      <c r="K236" s="50"/>
      <c r="L236" s="4"/>
      <c r="M236" s="4"/>
    </row>
    <row r="237" spans="1:13" ht="21" customHeight="1" x14ac:dyDescent="0.25">
      <c r="A237" s="55">
        <v>45781</v>
      </c>
      <c r="B237" s="49" t="s">
        <v>287</v>
      </c>
      <c r="C237" s="49" t="s">
        <v>489</v>
      </c>
      <c r="D237" s="51" t="s">
        <v>271</v>
      </c>
      <c r="E237" s="49" t="s">
        <v>386</v>
      </c>
      <c r="F237" s="50">
        <v>36</v>
      </c>
      <c r="G237" s="50">
        <v>14</v>
      </c>
      <c r="H237" s="47">
        <f t="shared" si="6"/>
        <v>0.3888888888888889</v>
      </c>
      <c r="I237" s="46" t="s">
        <v>289</v>
      </c>
      <c r="J237" s="45" t="s">
        <v>277</v>
      </c>
      <c r="K237" s="42"/>
      <c r="L237" s="4"/>
      <c r="M237" s="4"/>
    </row>
    <row r="238" spans="1:13" ht="21" customHeight="1" x14ac:dyDescent="0.25">
      <c r="A238" s="55">
        <v>45800</v>
      </c>
      <c r="B238" s="49" t="s">
        <v>287</v>
      </c>
      <c r="C238" s="49" t="s">
        <v>489</v>
      </c>
      <c r="D238" s="49" t="s">
        <v>299</v>
      </c>
      <c r="E238" s="49" t="s">
        <v>14</v>
      </c>
      <c r="F238" s="50">
        <f>48+384</f>
        <v>432</v>
      </c>
      <c r="G238" s="50">
        <f>82+2</f>
        <v>84</v>
      </c>
      <c r="H238" s="47">
        <f t="shared" si="6"/>
        <v>0.19444444444444445</v>
      </c>
      <c r="I238" s="54" t="s">
        <v>323</v>
      </c>
      <c r="J238" s="52" t="s">
        <v>277</v>
      </c>
      <c r="K238" s="42"/>
      <c r="L238" s="4"/>
      <c r="M238" s="4"/>
    </row>
    <row r="239" spans="1:13" ht="21" customHeight="1" x14ac:dyDescent="0.25">
      <c r="A239" s="55">
        <v>45792</v>
      </c>
      <c r="B239" s="49" t="s">
        <v>287</v>
      </c>
      <c r="C239" s="49" t="s">
        <v>489</v>
      </c>
      <c r="D239" s="49" t="s">
        <v>299</v>
      </c>
      <c r="E239" s="49" t="s">
        <v>14</v>
      </c>
      <c r="F239" s="50">
        <v>624</v>
      </c>
      <c r="G239" s="50">
        <f>72+8</f>
        <v>80</v>
      </c>
      <c r="H239" s="47">
        <f t="shared" si="6"/>
        <v>0.12820512820512819</v>
      </c>
      <c r="I239" s="54" t="s">
        <v>323</v>
      </c>
      <c r="J239" s="52" t="s">
        <v>277</v>
      </c>
      <c r="K239" s="42"/>
      <c r="L239" s="4"/>
      <c r="M239" s="4"/>
    </row>
    <row r="240" spans="1:13" ht="21" customHeight="1" x14ac:dyDescent="0.25">
      <c r="A240" s="55">
        <v>45797</v>
      </c>
      <c r="B240" s="49" t="s">
        <v>287</v>
      </c>
      <c r="C240" s="49" t="s">
        <v>489</v>
      </c>
      <c r="D240" s="49" t="s">
        <v>299</v>
      </c>
      <c r="E240" s="49" t="s">
        <v>14</v>
      </c>
      <c r="F240" s="50">
        <v>192</v>
      </c>
      <c r="G240" s="50">
        <v>76</v>
      </c>
      <c r="H240" s="47">
        <f t="shared" si="6"/>
        <v>0.39583333333333331</v>
      </c>
      <c r="I240" s="54" t="s">
        <v>323</v>
      </c>
      <c r="J240" s="52" t="s">
        <v>277</v>
      </c>
      <c r="K240" s="42"/>
      <c r="L240" s="4"/>
      <c r="M240" s="4"/>
    </row>
    <row r="241" spans="1:13" ht="21" customHeight="1" x14ac:dyDescent="0.25">
      <c r="A241" s="55">
        <v>45786</v>
      </c>
      <c r="B241" s="49" t="s">
        <v>287</v>
      </c>
      <c r="C241" s="49" t="s">
        <v>489</v>
      </c>
      <c r="D241" s="49" t="s">
        <v>293</v>
      </c>
      <c r="E241" s="49" t="s">
        <v>20</v>
      </c>
      <c r="F241" s="50">
        <v>57</v>
      </c>
      <c r="G241" s="50">
        <v>8</v>
      </c>
      <c r="H241" s="47">
        <f t="shared" si="6"/>
        <v>0.14035087719298245</v>
      </c>
      <c r="I241" s="46" t="s">
        <v>289</v>
      </c>
      <c r="J241" s="45" t="s">
        <v>277</v>
      </c>
      <c r="K241" s="42"/>
      <c r="L241" s="4"/>
      <c r="M241" s="4"/>
    </row>
    <row r="242" spans="1:13" ht="21" customHeight="1" x14ac:dyDescent="0.25">
      <c r="A242" s="55">
        <v>45805</v>
      </c>
      <c r="B242" s="49" t="s">
        <v>287</v>
      </c>
      <c r="C242" s="49" t="s">
        <v>489</v>
      </c>
      <c r="D242" s="49" t="s">
        <v>271</v>
      </c>
      <c r="E242" s="51" t="s">
        <v>21</v>
      </c>
      <c r="F242" s="50">
        <v>12</v>
      </c>
      <c r="G242" s="50">
        <v>8</v>
      </c>
      <c r="H242" s="47">
        <f t="shared" si="6"/>
        <v>0.66666666666666663</v>
      </c>
      <c r="I242" s="46" t="s">
        <v>289</v>
      </c>
      <c r="J242" s="45" t="s">
        <v>277</v>
      </c>
      <c r="K242" s="42"/>
      <c r="L242" s="4"/>
      <c r="M242" s="4"/>
    </row>
    <row r="243" spans="1:13" ht="21" customHeight="1" x14ac:dyDescent="0.25">
      <c r="A243" s="55">
        <v>45784</v>
      </c>
      <c r="B243" s="49" t="s">
        <v>287</v>
      </c>
      <c r="C243" s="49" t="s">
        <v>489</v>
      </c>
      <c r="D243" s="49" t="s">
        <v>281</v>
      </c>
      <c r="E243" s="49" t="s">
        <v>22</v>
      </c>
      <c r="F243" s="50">
        <v>72</v>
      </c>
      <c r="G243" s="50">
        <v>9</v>
      </c>
      <c r="H243" s="47">
        <f t="shared" si="6"/>
        <v>0.125</v>
      </c>
      <c r="I243" s="46" t="s">
        <v>289</v>
      </c>
      <c r="J243" s="45" t="s">
        <v>277</v>
      </c>
      <c r="K243" s="50"/>
      <c r="L243" s="4"/>
      <c r="M243" s="4"/>
    </row>
    <row r="244" spans="1:13" ht="21" customHeight="1" x14ac:dyDescent="0.25">
      <c r="A244" s="55">
        <v>45806</v>
      </c>
      <c r="B244" s="49" t="s">
        <v>287</v>
      </c>
      <c r="C244" s="49" t="s">
        <v>489</v>
      </c>
      <c r="D244" s="49" t="s">
        <v>271</v>
      </c>
      <c r="E244" s="51" t="s">
        <v>21</v>
      </c>
      <c r="F244" s="50">
        <v>9</v>
      </c>
      <c r="G244" s="50">
        <v>7</v>
      </c>
      <c r="H244" s="47">
        <f t="shared" si="6"/>
        <v>0.77777777777777779</v>
      </c>
      <c r="I244" s="46" t="s">
        <v>289</v>
      </c>
      <c r="J244" s="45" t="s">
        <v>277</v>
      </c>
      <c r="K244" s="42"/>
      <c r="L244" s="4"/>
      <c r="M244" s="4"/>
    </row>
    <row r="245" spans="1:13" ht="21" customHeight="1" x14ac:dyDescent="0.25">
      <c r="A245" s="55">
        <v>45794</v>
      </c>
      <c r="B245" s="49" t="s">
        <v>287</v>
      </c>
      <c r="C245" s="49" t="s">
        <v>489</v>
      </c>
      <c r="D245" s="49" t="s">
        <v>299</v>
      </c>
      <c r="E245" s="49" t="s">
        <v>14</v>
      </c>
      <c r="F245" s="50">
        <v>354</v>
      </c>
      <c r="G245" s="50">
        <v>34</v>
      </c>
      <c r="H245" s="47">
        <f t="shared" si="6"/>
        <v>9.6045197740112997E-2</v>
      </c>
      <c r="I245" s="54" t="s">
        <v>323</v>
      </c>
      <c r="J245" s="52" t="s">
        <v>277</v>
      </c>
      <c r="K245" s="42"/>
      <c r="L245" s="4"/>
      <c r="M245" s="4"/>
    </row>
    <row r="246" spans="1:13" ht="21" customHeight="1" x14ac:dyDescent="0.25">
      <c r="A246" s="55">
        <v>45791</v>
      </c>
      <c r="B246" s="51" t="s">
        <v>326</v>
      </c>
      <c r="C246" s="49" t="s">
        <v>489</v>
      </c>
      <c r="D246" s="49" t="s">
        <v>281</v>
      </c>
      <c r="E246" s="49" t="s">
        <v>22</v>
      </c>
      <c r="F246" s="50">
        <v>64</v>
      </c>
      <c r="G246" s="50">
        <v>6</v>
      </c>
      <c r="H246" s="47">
        <f t="shared" si="6"/>
        <v>9.375E-2</v>
      </c>
      <c r="I246" s="46" t="s">
        <v>289</v>
      </c>
      <c r="J246" s="45" t="s">
        <v>277</v>
      </c>
      <c r="K246" s="42"/>
      <c r="L246" s="4"/>
      <c r="M246" s="4"/>
    </row>
    <row r="247" spans="1:13" ht="21" customHeight="1" x14ac:dyDescent="0.25">
      <c r="A247" s="55">
        <v>45801</v>
      </c>
      <c r="B247" s="49" t="s">
        <v>287</v>
      </c>
      <c r="C247" s="49" t="s">
        <v>489</v>
      </c>
      <c r="D247" s="49" t="s">
        <v>271</v>
      </c>
      <c r="E247" s="51" t="s">
        <v>21</v>
      </c>
      <c r="F247" s="50">
        <v>10</v>
      </c>
      <c r="G247" s="50">
        <v>5</v>
      </c>
      <c r="H247" s="47">
        <f t="shared" si="6"/>
        <v>0.5</v>
      </c>
      <c r="I247" s="46" t="s">
        <v>289</v>
      </c>
      <c r="J247" s="45" t="s">
        <v>277</v>
      </c>
      <c r="K247" s="42"/>
      <c r="L247" s="4"/>
      <c r="M247" s="4"/>
    </row>
    <row r="248" spans="1:13" ht="21" customHeight="1" x14ac:dyDescent="0.25">
      <c r="A248" s="55">
        <v>45786</v>
      </c>
      <c r="B248" s="49" t="s">
        <v>287</v>
      </c>
      <c r="C248" s="49" t="s">
        <v>489</v>
      </c>
      <c r="D248" s="49" t="s">
        <v>281</v>
      </c>
      <c r="E248" s="49" t="s">
        <v>22</v>
      </c>
      <c r="F248" s="50">
        <v>15</v>
      </c>
      <c r="G248" s="50">
        <v>5</v>
      </c>
      <c r="H248" s="47">
        <f t="shared" si="6"/>
        <v>0.33333333333333331</v>
      </c>
      <c r="I248" s="46" t="s">
        <v>289</v>
      </c>
      <c r="J248" s="45" t="s">
        <v>277</v>
      </c>
      <c r="K248" s="42"/>
      <c r="L248" s="4"/>
      <c r="M248" s="4"/>
    </row>
    <row r="249" spans="1:13" ht="21" customHeight="1" x14ac:dyDescent="0.25">
      <c r="A249" s="55">
        <v>45786</v>
      </c>
      <c r="B249" s="49" t="s">
        <v>287</v>
      </c>
      <c r="C249" s="49" t="s">
        <v>489</v>
      </c>
      <c r="D249" s="49" t="s">
        <v>286</v>
      </c>
      <c r="E249" s="49" t="s">
        <v>23</v>
      </c>
      <c r="F249" s="50">
        <v>70</v>
      </c>
      <c r="G249" s="50">
        <v>26</v>
      </c>
      <c r="H249" s="47">
        <f t="shared" si="6"/>
        <v>0.37142857142857144</v>
      </c>
      <c r="I249" s="46" t="s">
        <v>289</v>
      </c>
      <c r="J249" s="45" t="s">
        <v>277</v>
      </c>
      <c r="K249" s="42"/>
      <c r="L249" s="4"/>
      <c r="M249" s="4"/>
    </row>
    <row r="250" spans="1:13" ht="21" customHeight="1" x14ac:dyDescent="0.25">
      <c r="A250" s="55">
        <v>45791</v>
      </c>
      <c r="B250" s="51" t="s">
        <v>287</v>
      </c>
      <c r="C250" s="49" t="s">
        <v>489</v>
      </c>
      <c r="D250" s="49" t="s">
        <v>304</v>
      </c>
      <c r="E250" s="49" t="s">
        <v>367</v>
      </c>
      <c r="F250" s="50">
        <v>142</v>
      </c>
      <c r="G250" s="50">
        <f>48+4</f>
        <v>52</v>
      </c>
      <c r="H250" s="47">
        <f t="shared" si="6"/>
        <v>0.36619718309859156</v>
      </c>
      <c r="I250" s="54" t="s">
        <v>323</v>
      </c>
      <c r="J250" s="52" t="s">
        <v>277</v>
      </c>
      <c r="K250" s="42"/>
      <c r="L250" s="4"/>
      <c r="M250" s="4"/>
    </row>
    <row r="251" spans="1:13" ht="21" customHeight="1" x14ac:dyDescent="0.25">
      <c r="A251" s="55">
        <v>45786</v>
      </c>
      <c r="B251" s="49" t="s">
        <v>287</v>
      </c>
      <c r="C251" s="49" t="s">
        <v>489</v>
      </c>
      <c r="D251" s="49" t="s">
        <v>271</v>
      </c>
      <c r="E251" s="51" t="s">
        <v>21</v>
      </c>
      <c r="F251" s="50">
        <v>24</v>
      </c>
      <c r="G251" s="50">
        <v>3</v>
      </c>
      <c r="H251" s="47">
        <f t="shared" si="6"/>
        <v>0.125</v>
      </c>
      <c r="I251" s="46" t="s">
        <v>289</v>
      </c>
      <c r="J251" s="45" t="s">
        <v>277</v>
      </c>
      <c r="K251" s="42"/>
      <c r="L251" s="4"/>
      <c r="M251" s="4"/>
    </row>
    <row r="252" spans="1:13" ht="21" customHeight="1" x14ac:dyDescent="0.25">
      <c r="A252" s="55">
        <v>45799</v>
      </c>
      <c r="B252" s="49" t="s">
        <v>287</v>
      </c>
      <c r="C252" s="49" t="s">
        <v>489</v>
      </c>
      <c r="D252" s="49" t="s">
        <v>271</v>
      </c>
      <c r="E252" s="51" t="s">
        <v>21</v>
      </c>
      <c r="F252" s="50">
        <v>6</v>
      </c>
      <c r="G252" s="50">
        <v>3</v>
      </c>
      <c r="H252" s="47">
        <f t="shared" si="6"/>
        <v>0.5</v>
      </c>
      <c r="I252" s="46" t="s">
        <v>289</v>
      </c>
      <c r="J252" s="45" t="s">
        <v>277</v>
      </c>
      <c r="K252" s="42"/>
      <c r="L252" s="4"/>
      <c r="M252" s="4"/>
    </row>
    <row r="253" spans="1:13" ht="21" customHeight="1" x14ac:dyDescent="0.25">
      <c r="A253" s="55">
        <v>45782</v>
      </c>
      <c r="B253" s="49" t="s">
        <v>287</v>
      </c>
      <c r="C253" s="49" t="s">
        <v>489</v>
      </c>
      <c r="D253" s="49" t="s">
        <v>286</v>
      </c>
      <c r="E253" s="49" t="s">
        <v>388</v>
      </c>
      <c r="F253" s="50">
        <v>61</v>
      </c>
      <c r="G253" s="50">
        <v>29</v>
      </c>
      <c r="H253" s="47">
        <f t="shared" si="6"/>
        <v>0.47540983606557374</v>
      </c>
      <c r="I253" s="46" t="s">
        <v>289</v>
      </c>
      <c r="J253" s="45" t="s">
        <v>277</v>
      </c>
      <c r="K253" s="42"/>
      <c r="L253" s="4"/>
      <c r="M253" s="4"/>
    </row>
    <row r="254" spans="1:13" ht="21" customHeight="1" x14ac:dyDescent="0.25">
      <c r="A254" s="55">
        <v>45785</v>
      </c>
      <c r="B254" s="49" t="s">
        <v>287</v>
      </c>
      <c r="C254" s="49" t="s">
        <v>489</v>
      </c>
      <c r="D254" s="49" t="s">
        <v>292</v>
      </c>
      <c r="E254" s="49" t="s">
        <v>4</v>
      </c>
      <c r="F254" s="50">
        <f>1650+600</f>
        <v>2250</v>
      </c>
      <c r="G254" s="50">
        <f>150+1</f>
        <v>151</v>
      </c>
      <c r="H254" s="47">
        <f t="shared" si="6"/>
        <v>6.7111111111111107E-2</v>
      </c>
      <c r="I254" s="46" t="s">
        <v>289</v>
      </c>
      <c r="J254" s="45" t="s">
        <v>277</v>
      </c>
      <c r="K254" s="42"/>
      <c r="L254" s="4"/>
      <c r="M254" s="4"/>
    </row>
    <row r="255" spans="1:13" ht="21" customHeight="1" x14ac:dyDescent="0.25">
      <c r="A255" s="55">
        <v>45787</v>
      </c>
      <c r="B255" s="49" t="s">
        <v>287</v>
      </c>
      <c r="C255" s="49" t="s">
        <v>486</v>
      </c>
      <c r="D255" s="51" t="s">
        <v>332</v>
      </c>
      <c r="E255" s="51" t="s">
        <v>376</v>
      </c>
      <c r="F255" s="50">
        <f>1116+134</f>
        <v>1250</v>
      </c>
      <c r="G255" s="50">
        <f>12+15</f>
        <v>27</v>
      </c>
      <c r="H255" s="47">
        <f t="shared" si="6"/>
        <v>2.1600000000000001E-2</v>
      </c>
      <c r="I255" s="54" t="s">
        <v>323</v>
      </c>
      <c r="J255" s="45" t="s">
        <v>277</v>
      </c>
      <c r="K255" s="50"/>
      <c r="L255" s="4"/>
      <c r="M255" s="4"/>
    </row>
    <row r="256" spans="1:13" ht="21" customHeight="1" x14ac:dyDescent="0.25">
      <c r="A256" s="55">
        <v>45782</v>
      </c>
      <c r="B256" s="49" t="s">
        <v>287</v>
      </c>
      <c r="C256" s="49" t="s">
        <v>489</v>
      </c>
      <c r="D256" s="49" t="s">
        <v>281</v>
      </c>
      <c r="E256" s="49" t="s">
        <v>387</v>
      </c>
      <c r="F256" s="50">
        <v>88</v>
      </c>
      <c r="G256" s="50">
        <v>2</v>
      </c>
      <c r="H256" s="47">
        <f t="shared" si="6"/>
        <v>2.2727272727272728E-2</v>
      </c>
      <c r="I256" s="46" t="s">
        <v>289</v>
      </c>
      <c r="J256" s="52" t="s">
        <v>277</v>
      </c>
      <c r="K256" s="42"/>
      <c r="L256" s="4"/>
      <c r="M256" s="4"/>
    </row>
    <row r="257" spans="1:13" ht="21" customHeight="1" x14ac:dyDescent="0.25">
      <c r="A257" s="55">
        <v>45785</v>
      </c>
      <c r="B257" s="49" t="s">
        <v>287</v>
      </c>
      <c r="C257" s="49" t="s">
        <v>489</v>
      </c>
      <c r="D257" s="49" t="s">
        <v>293</v>
      </c>
      <c r="E257" s="49" t="s">
        <v>20</v>
      </c>
      <c r="F257" s="50">
        <v>27</v>
      </c>
      <c r="G257" s="50">
        <v>1</v>
      </c>
      <c r="H257" s="47">
        <f t="shared" si="6"/>
        <v>3.7037037037037035E-2</v>
      </c>
      <c r="I257" s="46" t="s">
        <v>289</v>
      </c>
      <c r="J257" s="45" t="s">
        <v>277</v>
      </c>
      <c r="K257" s="42"/>
      <c r="L257" s="4"/>
      <c r="M257" s="4"/>
    </row>
    <row r="258" spans="1:13" ht="21" customHeight="1" x14ac:dyDescent="0.25">
      <c r="A258" s="55">
        <v>45787</v>
      </c>
      <c r="B258" s="49" t="s">
        <v>287</v>
      </c>
      <c r="C258" s="49" t="s">
        <v>489</v>
      </c>
      <c r="D258" s="49" t="s">
        <v>286</v>
      </c>
      <c r="E258" s="49" t="s">
        <v>23</v>
      </c>
      <c r="F258" s="50">
        <v>48</v>
      </c>
      <c r="G258" s="50">
        <v>7</v>
      </c>
      <c r="H258" s="47">
        <f t="shared" ref="H258:H284" si="8">G258/F258</f>
        <v>0.14583333333333334</v>
      </c>
      <c r="I258" s="46" t="s">
        <v>289</v>
      </c>
      <c r="J258" s="45" t="s">
        <v>277</v>
      </c>
      <c r="K258" s="42"/>
      <c r="L258" s="4"/>
      <c r="M258" s="4"/>
    </row>
    <row r="259" spans="1:13" ht="21" customHeight="1" x14ac:dyDescent="0.25">
      <c r="A259" s="55">
        <v>45786</v>
      </c>
      <c r="B259" s="49" t="s">
        <v>287</v>
      </c>
      <c r="C259" s="49" t="s">
        <v>489</v>
      </c>
      <c r="D259" s="49" t="s">
        <v>292</v>
      </c>
      <c r="E259" s="49" t="s">
        <v>4</v>
      </c>
      <c r="F259" s="50">
        <v>1650</v>
      </c>
      <c r="G259" s="50">
        <v>81</v>
      </c>
      <c r="H259" s="47">
        <f t="shared" si="8"/>
        <v>4.9090909090909088E-2</v>
      </c>
      <c r="I259" s="46" t="s">
        <v>289</v>
      </c>
      <c r="J259" s="45" t="s">
        <v>277</v>
      </c>
      <c r="K259" s="42"/>
      <c r="L259" s="4"/>
      <c r="M259" s="4"/>
    </row>
    <row r="260" spans="1:13" ht="21" customHeight="1" x14ac:dyDescent="0.25">
      <c r="A260" s="55">
        <v>45802</v>
      </c>
      <c r="B260" s="49" t="s">
        <v>287</v>
      </c>
      <c r="C260" s="49" t="s">
        <v>489</v>
      </c>
      <c r="D260" s="49" t="s">
        <v>271</v>
      </c>
      <c r="E260" s="51" t="s">
        <v>21</v>
      </c>
      <c r="F260" s="50">
        <v>8</v>
      </c>
      <c r="G260" s="50">
        <v>1</v>
      </c>
      <c r="H260" s="47">
        <f t="shared" si="8"/>
        <v>0.125</v>
      </c>
      <c r="I260" s="46" t="s">
        <v>289</v>
      </c>
      <c r="J260" s="45" t="s">
        <v>277</v>
      </c>
      <c r="K260" s="42"/>
      <c r="L260" s="4"/>
      <c r="M260" s="4"/>
    </row>
    <row r="261" spans="1:13" ht="21" customHeight="1" x14ac:dyDescent="0.25">
      <c r="A261" s="55">
        <v>45783</v>
      </c>
      <c r="B261" s="49" t="s">
        <v>287</v>
      </c>
      <c r="C261" s="49" t="s">
        <v>489</v>
      </c>
      <c r="D261" s="49" t="s">
        <v>292</v>
      </c>
      <c r="E261" s="49" t="s">
        <v>389</v>
      </c>
      <c r="F261" s="50">
        <v>1350</v>
      </c>
      <c r="G261" s="50">
        <v>66</v>
      </c>
      <c r="H261" s="47">
        <f t="shared" si="8"/>
        <v>4.8888888888888891E-2</v>
      </c>
      <c r="I261" s="46" t="s">
        <v>289</v>
      </c>
      <c r="J261" s="45" t="s">
        <v>277</v>
      </c>
      <c r="K261" s="50"/>
      <c r="L261" s="4"/>
      <c r="M261" s="4"/>
    </row>
    <row r="262" spans="1:13" ht="21" customHeight="1" x14ac:dyDescent="0.25">
      <c r="A262" s="55">
        <v>45792</v>
      </c>
      <c r="B262" s="49" t="s">
        <v>287</v>
      </c>
      <c r="C262" s="49" t="s">
        <v>489</v>
      </c>
      <c r="D262" s="49" t="s">
        <v>292</v>
      </c>
      <c r="E262" s="49" t="s">
        <v>4</v>
      </c>
      <c r="F262" s="50">
        <f>600+1200</f>
        <v>1800</v>
      </c>
      <c r="G262" s="50">
        <f>3+12+43</f>
        <v>58</v>
      </c>
      <c r="H262" s="47">
        <f t="shared" si="8"/>
        <v>3.2222222222222222E-2</v>
      </c>
      <c r="I262" s="46" t="s">
        <v>289</v>
      </c>
      <c r="J262" s="45" t="s">
        <v>277</v>
      </c>
      <c r="K262" s="42"/>
      <c r="L262" s="4"/>
      <c r="M262" s="4"/>
    </row>
    <row r="263" spans="1:13" ht="21" customHeight="1" x14ac:dyDescent="0.25">
      <c r="A263" s="55">
        <v>45802</v>
      </c>
      <c r="B263" s="49" t="s">
        <v>287</v>
      </c>
      <c r="C263" s="49" t="s">
        <v>489</v>
      </c>
      <c r="D263" s="49" t="s">
        <v>292</v>
      </c>
      <c r="E263" s="49" t="s">
        <v>4</v>
      </c>
      <c r="F263" s="50">
        <v>1350</v>
      </c>
      <c r="G263" s="50">
        <v>57</v>
      </c>
      <c r="H263" s="47">
        <f t="shared" si="8"/>
        <v>4.2222222222222223E-2</v>
      </c>
      <c r="I263" s="46" t="s">
        <v>289</v>
      </c>
      <c r="J263" s="45" t="s">
        <v>277</v>
      </c>
      <c r="K263" s="42"/>
      <c r="L263" s="4"/>
      <c r="M263" s="4"/>
    </row>
    <row r="264" spans="1:13" ht="21" customHeight="1" x14ac:dyDescent="0.25">
      <c r="A264" s="55">
        <v>45787</v>
      </c>
      <c r="B264" s="49" t="s">
        <v>287</v>
      </c>
      <c r="C264" s="49" t="s">
        <v>489</v>
      </c>
      <c r="D264" s="49" t="s">
        <v>299</v>
      </c>
      <c r="E264" s="49" t="s">
        <v>14</v>
      </c>
      <c r="F264" s="50">
        <v>192</v>
      </c>
      <c r="G264" s="50">
        <v>4</v>
      </c>
      <c r="H264" s="47">
        <f t="shared" si="8"/>
        <v>2.0833333333333332E-2</v>
      </c>
      <c r="I264" s="54" t="s">
        <v>323</v>
      </c>
      <c r="J264" s="52" t="s">
        <v>277</v>
      </c>
      <c r="K264" s="42"/>
      <c r="L264" s="4"/>
      <c r="M264" s="4"/>
    </row>
    <row r="265" spans="1:13" ht="21" customHeight="1" x14ac:dyDescent="0.25">
      <c r="A265" s="55">
        <v>45785</v>
      </c>
      <c r="B265" s="49" t="s">
        <v>287</v>
      </c>
      <c r="C265" s="49" t="s">
        <v>489</v>
      </c>
      <c r="D265" s="49" t="s">
        <v>286</v>
      </c>
      <c r="E265" s="49" t="s">
        <v>23</v>
      </c>
      <c r="F265" s="50">
        <v>30</v>
      </c>
      <c r="G265" s="50">
        <v>4</v>
      </c>
      <c r="H265" s="47">
        <f t="shared" si="8"/>
        <v>0.13333333333333333</v>
      </c>
      <c r="I265" s="46" t="s">
        <v>289</v>
      </c>
      <c r="J265" s="45" t="s">
        <v>277</v>
      </c>
      <c r="K265" s="42"/>
      <c r="L265" s="4"/>
      <c r="M265" s="4"/>
    </row>
    <row r="266" spans="1:13" ht="21" customHeight="1" x14ac:dyDescent="0.25">
      <c r="A266" s="55">
        <v>45794</v>
      </c>
      <c r="B266" s="49" t="s">
        <v>287</v>
      </c>
      <c r="C266" s="49" t="s">
        <v>489</v>
      </c>
      <c r="D266" s="49" t="s">
        <v>292</v>
      </c>
      <c r="E266" s="49" t="s">
        <v>4</v>
      </c>
      <c r="F266" s="50">
        <v>1200</v>
      </c>
      <c r="G266" s="50">
        <f>35+10</f>
        <v>45</v>
      </c>
      <c r="H266" s="47">
        <f t="shared" si="8"/>
        <v>3.7499999999999999E-2</v>
      </c>
      <c r="I266" s="46" t="s">
        <v>289</v>
      </c>
      <c r="J266" s="45" t="s">
        <v>277</v>
      </c>
      <c r="K266" s="42"/>
      <c r="L266" s="4"/>
      <c r="M266" s="4"/>
    </row>
    <row r="267" spans="1:13" ht="21" customHeight="1" x14ac:dyDescent="0.25">
      <c r="A267" s="55">
        <v>45795</v>
      </c>
      <c r="B267" s="49" t="s">
        <v>287</v>
      </c>
      <c r="C267" s="49" t="s">
        <v>489</v>
      </c>
      <c r="D267" s="49" t="s">
        <v>292</v>
      </c>
      <c r="E267" s="49" t="s">
        <v>4</v>
      </c>
      <c r="F267" s="50">
        <v>750</v>
      </c>
      <c r="G267" s="50">
        <f>31+10</f>
        <v>41</v>
      </c>
      <c r="H267" s="47">
        <f t="shared" si="8"/>
        <v>5.4666666666666669E-2</v>
      </c>
      <c r="I267" s="46" t="s">
        <v>289</v>
      </c>
      <c r="J267" s="45" t="s">
        <v>277</v>
      </c>
      <c r="K267" s="50"/>
      <c r="L267" s="4"/>
      <c r="M267" s="4"/>
    </row>
    <row r="268" spans="1:13" ht="21" customHeight="1" x14ac:dyDescent="0.25">
      <c r="A268" s="55">
        <v>45799</v>
      </c>
      <c r="B268" s="49" t="s">
        <v>287</v>
      </c>
      <c r="C268" s="49" t="s">
        <v>489</v>
      </c>
      <c r="D268" s="49" t="s">
        <v>292</v>
      </c>
      <c r="E268" s="49" t="s">
        <v>4</v>
      </c>
      <c r="F268" s="50">
        <f>300+900</f>
        <v>1200</v>
      </c>
      <c r="G268" s="50">
        <f>16+18</f>
        <v>34</v>
      </c>
      <c r="H268" s="47">
        <f t="shared" si="8"/>
        <v>2.8333333333333332E-2</v>
      </c>
      <c r="I268" s="46" t="s">
        <v>289</v>
      </c>
      <c r="J268" s="45" t="s">
        <v>277</v>
      </c>
      <c r="K268" s="42"/>
      <c r="L268" s="4"/>
      <c r="M268" s="4"/>
    </row>
    <row r="269" spans="1:13" ht="21" customHeight="1" x14ac:dyDescent="0.25">
      <c r="A269" s="55">
        <v>45798</v>
      </c>
      <c r="B269" s="49" t="s">
        <v>287</v>
      </c>
      <c r="C269" s="49" t="s">
        <v>489</v>
      </c>
      <c r="D269" s="49" t="s">
        <v>292</v>
      </c>
      <c r="E269" s="49" t="s">
        <v>4</v>
      </c>
      <c r="F269" s="50">
        <v>450</v>
      </c>
      <c r="G269" s="50">
        <v>33</v>
      </c>
      <c r="H269" s="47">
        <f t="shared" si="8"/>
        <v>7.3333333333333334E-2</v>
      </c>
      <c r="I269" s="46" t="s">
        <v>289</v>
      </c>
      <c r="J269" s="45" t="s">
        <v>277</v>
      </c>
      <c r="K269" s="42"/>
      <c r="L269" s="4"/>
      <c r="M269" s="4"/>
    </row>
    <row r="270" spans="1:13" ht="21" customHeight="1" x14ac:dyDescent="0.25">
      <c r="A270" s="55">
        <v>45786</v>
      </c>
      <c r="B270" s="49" t="s">
        <v>287</v>
      </c>
      <c r="C270" s="49" t="s">
        <v>486</v>
      </c>
      <c r="D270" s="51" t="s">
        <v>332</v>
      </c>
      <c r="E270" s="49" t="s">
        <v>384</v>
      </c>
      <c r="F270" s="50">
        <v>216</v>
      </c>
      <c r="G270" s="50">
        <v>12</v>
      </c>
      <c r="H270" s="47">
        <f t="shared" si="8"/>
        <v>5.5555555555555552E-2</v>
      </c>
      <c r="I270" s="54" t="s">
        <v>323</v>
      </c>
      <c r="J270" s="45" t="s">
        <v>277</v>
      </c>
      <c r="K270" s="42"/>
      <c r="L270" s="4"/>
      <c r="M270" s="4"/>
    </row>
    <row r="271" spans="1:13" ht="21" customHeight="1" x14ac:dyDescent="0.25">
      <c r="A271" s="55">
        <v>45803</v>
      </c>
      <c r="B271" s="49" t="s">
        <v>287</v>
      </c>
      <c r="C271" s="49" t="s">
        <v>489</v>
      </c>
      <c r="D271" s="49" t="s">
        <v>292</v>
      </c>
      <c r="E271" s="49" t="s">
        <v>4</v>
      </c>
      <c r="F271" s="50">
        <f>1200+150</f>
        <v>1350</v>
      </c>
      <c r="G271" s="50">
        <f>18+12</f>
        <v>30</v>
      </c>
      <c r="H271" s="47">
        <f t="shared" si="8"/>
        <v>2.2222222222222223E-2</v>
      </c>
      <c r="I271" s="46" t="s">
        <v>289</v>
      </c>
      <c r="J271" s="45" t="s">
        <v>277</v>
      </c>
      <c r="K271" s="42"/>
      <c r="L271" s="4"/>
      <c r="M271" s="4"/>
    </row>
    <row r="272" spans="1:13" ht="21" customHeight="1" x14ac:dyDescent="0.25">
      <c r="A272" s="55">
        <v>45804</v>
      </c>
      <c r="B272" s="49" t="s">
        <v>287</v>
      </c>
      <c r="C272" s="49" t="s">
        <v>489</v>
      </c>
      <c r="D272" s="49" t="s">
        <v>292</v>
      </c>
      <c r="E272" s="49" t="s">
        <v>4</v>
      </c>
      <c r="F272" s="50">
        <v>450</v>
      </c>
      <c r="G272" s="50">
        <v>29</v>
      </c>
      <c r="H272" s="47">
        <f t="shared" si="8"/>
        <v>6.4444444444444443E-2</v>
      </c>
      <c r="I272" s="46" t="s">
        <v>289</v>
      </c>
      <c r="J272" s="45" t="s">
        <v>277</v>
      </c>
      <c r="K272" s="42"/>
      <c r="L272" s="4"/>
      <c r="M272" s="4"/>
    </row>
    <row r="273" spans="1:13" ht="21" customHeight="1" x14ac:dyDescent="0.25">
      <c r="A273" s="55">
        <v>45787</v>
      </c>
      <c r="B273" s="49" t="s">
        <v>287</v>
      </c>
      <c r="C273" s="49" t="s">
        <v>489</v>
      </c>
      <c r="D273" s="49" t="s">
        <v>292</v>
      </c>
      <c r="E273" s="49" t="s">
        <v>4</v>
      </c>
      <c r="F273" s="50">
        <v>450</v>
      </c>
      <c r="G273" s="50">
        <f>26+2</f>
        <v>28</v>
      </c>
      <c r="H273" s="47">
        <f t="shared" si="8"/>
        <v>6.222222222222222E-2</v>
      </c>
      <c r="I273" s="46" t="s">
        <v>289</v>
      </c>
      <c r="J273" s="45" t="s">
        <v>277</v>
      </c>
      <c r="K273" s="50"/>
      <c r="L273" s="4"/>
      <c r="M273" s="4"/>
    </row>
    <row r="274" spans="1:13" ht="21" customHeight="1" x14ac:dyDescent="0.25">
      <c r="A274" s="55">
        <v>45793</v>
      </c>
      <c r="B274" s="49" t="s">
        <v>287</v>
      </c>
      <c r="C274" s="49" t="s">
        <v>489</v>
      </c>
      <c r="D274" s="49" t="s">
        <v>292</v>
      </c>
      <c r="E274" s="49" t="s">
        <v>4</v>
      </c>
      <c r="F274" s="50">
        <v>1200</v>
      </c>
      <c r="G274" s="50">
        <v>27</v>
      </c>
      <c r="H274" s="47">
        <f t="shared" si="8"/>
        <v>2.2499999999999999E-2</v>
      </c>
      <c r="I274" s="46" t="s">
        <v>289</v>
      </c>
      <c r="J274" s="45" t="s">
        <v>277</v>
      </c>
      <c r="K274" s="42"/>
      <c r="L274" s="4"/>
      <c r="M274" s="4"/>
    </row>
    <row r="275" spans="1:13" ht="21" customHeight="1" x14ac:dyDescent="0.25">
      <c r="A275" s="55">
        <v>45797</v>
      </c>
      <c r="B275" s="49" t="s">
        <v>287</v>
      </c>
      <c r="C275" s="49" t="s">
        <v>489</v>
      </c>
      <c r="D275" s="49" t="s">
        <v>292</v>
      </c>
      <c r="E275" s="49" t="s">
        <v>4</v>
      </c>
      <c r="F275" s="50">
        <v>300</v>
      </c>
      <c r="G275" s="50">
        <v>24</v>
      </c>
      <c r="H275" s="47">
        <f t="shared" si="8"/>
        <v>0.08</v>
      </c>
      <c r="I275" s="46" t="s">
        <v>289</v>
      </c>
      <c r="J275" s="45" t="s">
        <v>277</v>
      </c>
      <c r="K275" s="42"/>
      <c r="L275" s="4"/>
      <c r="M275" s="4"/>
    </row>
    <row r="276" spans="1:13" ht="21" customHeight="1" x14ac:dyDescent="0.25">
      <c r="A276" s="55">
        <v>45783</v>
      </c>
      <c r="B276" s="49" t="s">
        <v>287</v>
      </c>
      <c r="C276" s="49" t="s">
        <v>489</v>
      </c>
      <c r="D276" s="49" t="s">
        <v>286</v>
      </c>
      <c r="E276" s="49" t="s">
        <v>388</v>
      </c>
      <c r="F276" s="50">
        <v>27</v>
      </c>
      <c r="G276" s="50">
        <v>2</v>
      </c>
      <c r="H276" s="47">
        <f t="shared" si="8"/>
        <v>7.407407407407407E-2</v>
      </c>
      <c r="I276" s="46" t="s">
        <v>289</v>
      </c>
      <c r="J276" s="45" t="s">
        <v>277</v>
      </c>
      <c r="K276" s="50"/>
      <c r="L276" s="4"/>
      <c r="M276" s="4"/>
    </row>
    <row r="277" spans="1:13" ht="21" customHeight="1" x14ac:dyDescent="0.25">
      <c r="A277" s="55">
        <v>45789</v>
      </c>
      <c r="B277" s="51" t="s">
        <v>287</v>
      </c>
      <c r="C277" s="49" t="s">
        <v>489</v>
      </c>
      <c r="D277" s="49" t="s">
        <v>303</v>
      </c>
      <c r="E277" s="49" t="s">
        <v>4</v>
      </c>
      <c r="F277" s="50">
        <v>300</v>
      </c>
      <c r="G277" s="50">
        <v>22</v>
      </c>
      <c r="H277" s="47">
        <f t="shared" si="8"/>
        <v>7.3333333333333334E-2</v>
      </c>
      <c r="I277" s="54" t="s">
        <v>323</v>
      </c>
      <c r="J277" s="52" t="s">
        <v>277</v>
      </c>
      <c r="K277" s="42"/>
      <c r="L277" s="4"/>
      <c r="M277" s="4"/>
    </row>
    <row r="278" spans="1:13" ht="21" customHeight="1" x14ac:dyDescent="0.25">
      <c r="A278" s="55">
        <v>45790</v>
      </c>
      <c r="B278" s="51" t="s">
        <v>287</v>
      </c>
      <c r="C278" s="49" t="s">
        <v>489</v>
      </c>
      <c r="D278" s="49" t="s">
        <v>303</v>
      </c>
      <c r="E278" s="49" t="s">
        <v>4</v>
      </c>
      <c r="F278" s="50">
        <v>300</v>
      </c>
      <c r="G278" s="50">
        <v>22</v>
      </c>
      <c r="H278" s="47">
        <f t="shared" si="8"/>
        <v>7.3333333333333334E-2</v>
      </c>
      <c r="I278" s="54" t="s">
        <v>323</v>
      </c>
      <c r="J278" s="52" t="s">
        <v>277</v>
      </c>
      <c r="K278" s="42"/>
      <c r="L278" s="4"/>
      <c r="M278" s="4"/>
    </row>
    <row r="279" spans="1:13" ht="21" customHeight="1" x14ac:dyDescent="0.25">
      <c r="A279" s="55">
        <v>45802</v>
      </c>
      <c r="B279" s="49" t="s">
        <v>287</v>
      </c>
      <c r="C279" s="49" t="s">
        <v>486</v>
      </c>
      <c r="D279" s="51" t="s">
        <v>332</v>
      </c>
      <c r="E279" s="51" t="s">
        <v>376</v>
      </c>
      <c r="F279" s="50">
        <v>610</v>
      </c>
      <c r="G279" s="50">
        <v>2</v>
      </c>
      <c r="H279" s="47">
        <f t="shared" si="8"/>
        <v>3.2786885245901639E-3</v>
      </c>
      <c r="I279" s="54" t="s">
        <v>323</v>
      </c>
      <c r="J279" s="45" t="s">
        <v>277</v>
      </c>
      <c r="K279" s="42"/>
      <c r="L279" s="4"/>
      <c r="M279" s="4"/>
    </row>
    <row r="280" spans="1:13" ht="21" customHeight="1" x14ac:dyDescent="0.25">
      <c r="A280" s="55">
        <v>45806</v>
      </c>
      <c r="B280" s="49" t="s">
        <v>287</v>
      </c>
      <c r="C280" s="49" t="s">
        <v>486</v>
      </c>
      <c r="D280" s="51" t="s">
        <v>332</v>
      </c>
      <c r="E280" s="49" t="s">
        <v>384</v>
      </c>
      <c r="F280" s="50">
        <v>206</v>
      </c>
      <c r="G280" s="50">
        <v>4</v>
      </c>
      <c r="H280" s="47">
        <f t="shared" si="8"/>
        <v>1.9417475728155338E-2</v>
      </c>
      <c r="I280" s="54" t="s">
        <v>313</v>
      </c>
      <c r="J280" s="52" t="s">
        <v>314</v>
      </c>
      <c r="K280" s="42">
        <v>2</v>
      </c>
      <c r="L280" s="20">
        <v>7</v>
      </c>
      <c r="M280" s="20">
        <f>K280*L280</f>
        <v>14</v>
      </c>
    </row>
    <row r="281" spans="1:13" ht="21" customHeight="1" x14ac:dyDescent="0.25">
      <c r="A281" s="55">
        <v>45807</v>
      </c>
      <c r="B281" s="49" t="s">
        <v>287</v>
      </c>
      <c r="C281" s="49" t="s">
        <v>489</v>
      </c>
      <c r="D281" s="49" t="s">
        <v>292</v>
      </c>
      <c r="E281" s="49" t="s">
        <v>470</v>
      </c>
      <c r="F281" s="50">
        <v>2250</v>
      </c>
      <c r="G281" s="50">
        <f>74+40</f>
        <v>114</v>
      </c>
      <c r="H281" s="47">
        <f t="shared" si="8"/>
        <v>5.0666666666666665E-2</v>
      </c>
      <c r="I281" s="46" t="s">
        <v>313</v>
      </c>
      <c r="J281" s="45" t="s">
        <v>314</v>
      </c>
      <c r="K281" s="42">
        <v>40</v>
      </c>
      <c r="L281" s="20">
        <v>3.6124000000000001</v>
      </c>
      <c r="M281" s="20">
        <f>K281*L281</f>
        <v>144.49600000000001</v>
      </c>
    </row>
    <row r="282" spans="1:13" ht="21" customHeight="1" x14ac:dyDescent="0.25">
      <c r="A282" s="55">
        <v>45805</v>
      </c>
      <c r="B282" s="49" t="s">
        <v>287</v>
      </c>
      <c r="C282" s="49" t="s">
        <v>489</v>
      </c>
      <c r="D282" s="49" t="s">
        <v>292</v>
      </c>
      <c r="E282" s="49" t="s">
        <v>4</v>
      </c>
      <c r="F282" s="50">
        <f>150+1050+1500</f>
        <v>2700</v>
      </c>
      <c r="G282" s="50">
        <f>150+24</f>
        <v>174</v>
      </c>
      <c r="H282" s="47">
        <f t="shared" si="8"/>
        <v>6.4444444444444443E-2</v>
      </c>
      <c r="I282" s="46" t="s">
        <v>313</v>
      </c>
      <c r="J282" s="45" t="s">
        <v>314</v>
      </c>
      <c r="K282" s="42">
        <v>24</v>
      </c>
      <c r="L282" s="20">
        <v>3.6124000000000001</v>
      </c>
      <c r="M282" s="20">
        <f>K282*L282</f>
        <v>86.697599999999994</v>
      </c>
    </row>
    <row r="283" spans="1:13" ht="21" customHeight="1" x14ac:dyDescent="0.25">
      <c r="A283" s="55">
        <v>45806</v>
      </c>
      <c r="B283" s="49" t="s">
        <v>287</v>
      </c>
      <c r="C283" s="49" t="s">
        <v>489</v>
      </c>
      <c r="D283" s="49" t="s">
        <v>292</v>
      </c>
      <c r="E283" s="49" t="s">
        <v>4</v>
      </c>
      <c r="F283" s="50">
        <v>1200</v>
      </c>
      <c r="G283" s="50">
        <f>45+16</f>
        <v>61</v>
      </c>
      <c r="H283" s="47">
        <f t="shared" si="8"/>
        <v>5.0833333333333335E-2</v>
      </c>
      <c r="I283" s="46" t="s">
        <v>313</v>
      </c>
      <c r="J283" s="45" t="s">
        <v>314</v>
      </c>
      <c r="K283" s="42">
        <v>16</v>
      </c>
      <c r="L283" s="20">
        <v>3.6124000000000001</v>
      </c>
      <c r="M283" s="20">
        <f>K283*L283</f>
        <v>57.798400000000001</v>
      </c>
    </row>
    <row r="284" spans="1:13" ht="21" customHeight="1" x14ac:dyDescent="0.25">
      <c r="A284" s="55">
        <v>45807</v>
      </c>
      <c r="B284" s="49" t="s">
        <v>287</v>
      </c>
      <c r="C284" s="49" t="s">
        <v>489</v>
      </c>
      <c r="D284" s="49" t="s">
        <v>299</v>
      </c>
      <c r="E284" s="49" t="s">
        <v>405</v>
      </c>
      <c r="F284" s="50">
        <v>720</v>
      </c>
      <c r="G284" s="50">
        <f>288+23</f>
        <v>311</v>
      </c>
      <c r="H284" s="47">
        <f t="shared" si="8"/>
        <v>0.43194444444444446</v>
      </c>
      <c r="I284" s="46" t="s">
        <v>313</v>
      </c>
      <c r="J284" s="52" t="s">
        <v>314</v>
      </c>
      <c r="K284" s="42">
        <v>23</v>
      </c>
      <c r="L284" s="20">
        <v>34.097000000000001</v>
      </c>
      <c r="M284" s="20">
        <f>K284*L284</f>
        <v>784.23099999999999</v>
      </c>
    </row>
  </sheetData>
  <autoFilter ref="A1:M284" xr:uid="{00000000-0009-0000-0000-000000000000}">
    <sortState xmlns:xlrd2="http://schemas.microsoft.com/office/spreadsheetml/2017/richdata2" ref="A2:M284">
      <sortCondition ref="J2:J284"/>
    </sortState>
  </autoFilter>
  <sortState xmlns:xlrd2="http://schemas.microsoft.com/office/spreadsheetml/2017/richdata2" ref="A2:N284">
    <sortCondition ref="C2:C284"/>
  </sortState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0"/>
  <sheetViews>
    <sheetView topLeftCell="E1" zoomScale="121" zoomScaleNormal="121" workbookViewId="0">
      <selection activeCell="I1" sqref="I1:I1048576"/>
    </sheetView>
  </sheetViews>
  <sheetFormatPr defaultColWidth="14.5" defaultRowHeight="14.4" x14ac:dyDescent="0.25"/>
  <cols>
    <col min="1" max="1" width="12" style="35" customWidth="1"/>
    <col min="2" max="2" width="10.09765625" style="7" customWidth="1"/>
    <col min="3" max="3" width="11.5" style="7" customWidth="1"/>
    <col min="4" max="4" width="58.8984375" style="41" customWidth="1"/>
    <col min="5" max="5" width="23.5" style="7" customWidth="1"/>
    <col min="6" max="6" width="10" style="7" customWidth="1"/>
    <col min="7" max="7" width="12.69921875" style="7" customWidth="1"/>
    <col min="8" max="8" width="10" style="7" customWidth="1"/>
    <col min="9" max="9" width="14.5" style="61"/>
    <col min="10" max="16384" width="14.5" style="6"/>
  </cols>
  <sheetData>
    <row r="1" spans="1:9" ht="26.25" customHeight="1" x14ac:dyDescent="0.25">
      <c r="A1" s="33" t="s">
        <v>0</v>
      </c>
      <c r="B1" s="8" t="s">
        <v>390</v>
      </c>
      <c r="C1" s="8" t="s">
        <v>1</v>
      </c>
      <c r="D1" s="37" t="s">
        <v>2</v>
      </c>
      <c r="E1" s="8" t="s">
        <v>3</v>
      </c>
      <c r="F1" s="8" t="s">
        <v>397</v>
      </c>
      <c r="G1" s="8" t="s">
        <v>186</v>
      </c>
      <c r="H1" s="26" t="s">
        <v>104</v>
      </c>
      <c r="I1" s="59" t="s">
        <v>105</v>
      </c>
    </row>
    <row r="2" spans="1:9" ht="23.25" customHeight="1" x14ac:dyDescent="0.25">
      <c r="A2" s="17">
        <v>45789</v>
      </c>
      <c r="B2" s="9" t="s">
        <v>250</v>
      </c>
      <c r="C2" s="9" t="s">
        <v>483</v>
      </c>
      <c r="D2" s="39" t="s">
        <v>11</v>
      </c>
      <c r="E2" s="10" t="s">
        <v>412</v>
      </c>
      <c r="F2" s="11">
        <v>491</v>
      </c>
      <c r="G2" s="25" t="s">
        <v>6</v>
      </c>
      <c r="H2" s="9">
        <v>23.28</v>
      </c>
      <c r="I2" s="60">
        <v>11430.480000000001</v>
      </c>
    </row>
    <row r="3" spans="1:9" ht="24" customHeight="1" x14ac:dyDescent="0.25">
      <c r="A3" s="17">
        <v>45807</v>
      </c>
      <c r="B3" s="9" t="s">
        <v>250</v>
      </c>
      <c r="C3" s="9" t="s">
        <v>483</v>
      </c>
      <c r="D3" s="39" t="s">
        <v>11</v>
      </c>
      <c r="E3" s="9" t="s">
        <v>10</v>
      </c>
      <c r="F3" s="9">
        <v>280</v>
      </c>
      <c r="G3" s="25" t="s">
        <v>6</v>
      </c>
      <c r="H3" s="9">
        <v>23.28</v>
      </c>
      <c r="I3" s="60">
        <v>6518.4000000000005</v>
      </c>
    </row>
    <row r="4" spans="1:9" ht="20.100000000000001" customHeight="1" x14ac:dyDescent="0.25">
      <c r="A4" s="17">
        <v>45802</v>
      </c>
      <c r="B4" s="9" t="s">
        <v>250</v>
      </c>
      <c r="C4" s="9" t="s">
        <v>483</v>
      </c>
      <c r="D4" s="39" t="s">
        <v>11</v>
      </c>
      <c r="E4" s="9" t="s">
        <v>10</v>
      </c>
      <c r="F4" s="9">
        <v>244</v>
      </c>
      <c r="G4" s="25" t="s">
        <v>6</v>
      </c>
      <c r="H4" s="9">
        <v>23.28</v>
      </c>
      <c r="I4" s="60">
        <v>5680.3200000000006</v>
      </c>
    </row>
    <row r="5" spans="1:9" ht="20.100000000000001" customHeight="1" x14ac:dyDescent="0.25">
      <c r="A5" s="66">
        <v>45790</v>
      </c>
      <c r="B5" s="67" t="s">
        <v>250</v>
      </c>
      <c r="C5" s="67" t="s">
        <v>489</v>
      </c>
      <c r="D5" s="68" t="s">
        <v>28</v>
      </c>
      <c r="E5" s="67" t="s">
        <v>373</v>
      </c>
      <c r="F5" s="69">
        <v>18</v>
      </c>
      <c r="G5" s="70" t="s">
        <v>125</v>
      </c>
      <c r="H5" s="71"/>
      <c r="I5" s="60">
        <v>0</v>
      </c>
    </row>
    <row r="6" spans="1:9" ht="20.100000000000001" customHeight="1" x14ac:dyDescent="0.25">
      <c r="A6" s="17">
        <v>45789</v>
      </c>
      <c r="B6" s="9" t="s">
        <v>250</v>
      </c>
      <c r="C6" s="9" t="s">
        <v>489</v>
      </c>
      <c r="D6" s="39" t="s">
        <v>52</v>
      </c>
      <c r="E6" s="10" t="s">
        <v>177</v>
      </c>
      <c r="F6" s="11">
        <v>24</v>
      </c>
      <c r="G6" s="23" t="s">
        <v>125</v>
      </c>
      <c r="H6" s="21"/>
      <c r="I6" s="60">
        <v>0</v>
      </c>
    </row>
    <row r="7" spans="1:9" ht="20.100000000000001" customHeight="1" x14ac:dyDescent="0.25">
      <c r="A7" s="28">
        <v>45795</v>
      </c>
      <c r="B7" s="9" t="s">
        <v>250</v>
      </c>
      <c r="C7" s="28" t="s">
        <v>486</v>
      </c>
      <c r="D7" s="29" t="s">
        <v>189</v>
      </c>
      <c r="E7" s="65" t="s">
        <v>190</v>
      </c>
      <c r="F7" s="9">
        <v>70</v>
      </c>
      <c r="G7" s="9" t="s">
        <v>128</v>
      </c>
      <c r="H7" s="32">
        <v>84.9983</v>
      </c>
      <c r="I7" s="60">
        <v>5949.8810000000003</v>
      </c>
    </row>
    <row r="8" spans="1:9" ht="20.100000000000001" customHeight="1" x14ac:dyDescent="0.25">
      <c r="A8" s="17">
        <v>45789</v>
      </c>
      <c r="B8" s="9" t="s">
        <v>250</v>
      </c>
      <c r="C8" s="9" t="s">
        <v>483</v>
      </c>
      <c r="D8" s="39" t="s">
        <v>24</v>
      </c>
      <c r="E8" s="10" t="s">
        <v>81</v>
      </c>
      <c r="F8" s="11">
        <v>244</v>
      </c>
      <c r="G8" s="25" t="s">
        <v>6</v>
      </c>
      <c r="H8" s="9">
        <v>19.18</v>
      </c>
      <c r="I8" s="60">
        <v>4679.92</v>
      </c>
    </row>
    <row r="9" spans="1:9" ht="20.100000000000001" customHeight="1" x14ac:dyDescent="0.25">
      <c r="A9" s="66">
        <v>45805</v>
      </c>
      <c r="B9" s="67" t="s">
        <v>250</v>
      </c>
      <c r="C9" s="72" t="s">
        <v>489</v>
      </c>
      <c r="D9" s="68" t="s">
        <v>34</v>
      </c>
      <c r="E9" s="67" t="s">
        <v>84</v>
      </c>
      <c r="F9" s="67">
        <v>18</v>
      </c>
      <c r="G9" s="70" t="s">
        <v>125</v>
      </c>
      <c r="H9" s="71"/>
      <c r="I9" s="60">
        <v>0</v>
      </c>
    </row>
    <row r="10" spans="1:9" ht="20.100000000000001" customHeight="1" x14ac:dyDescent="0.25">
      <c r="A10" s="17">
        <v>45802</v>
      </c>
      <c r="B10" s="9" t="s">
        <v>250</v>
      </c>
      <c r="C10" s="9" t="s">
        <v>483</v>
      </c>
      <c r="D10" s="39" t="s">
        <v>79</v>
      </c>
      <c r="E10" s="9" t="s">
        <v>411</v>
      </c>
      <c r="F10" s="9">
        <v>174</v>
      </c>
      <c r="G10" s="25" t="s">
        <v>6</v>
      </c>
      <c r="H10" s="9">
        <v>21.83</v>
      </c>
      <c r="I10" s="60">
        <v>3798.4199999999996</v>
      </c>
    </row>
    <row r="11" spans="1:9" ht="20.100000000000001" customHeight="1" x14ac:dyDescent="0.25">
      <c r="A11" s="66">
        <v>45797</v>
      </c>
      <c r="B11" s="67" t="s">
        <v>250</v>
      </c>
      <c r="C11" s="67" t="s">
        <v>489</v>
      </c>
      <c r="D11" s="68" t="s">
        <v>28</v>
      </c>
      <c r="E11" s="67" t="s">
        <v>20</v>
      </c>
      <c r="F11" s="67">
        <v>11</v>
      </c>
      <c r="G11" s="70" t="s">
        <v>125</v>
      </c>
      <c r="H11" s="71"/>
      <c r="I11" s="60">
        <v>0</v>
      </c>
    </row>
    <row r="12" spans="1:9" ht="20.100000000000001" customHeight="1" x14ac:dyDescent="0.25">
      <c r="A12" s="17">
        <v>45805</v>
      </c>
      <c r="B12" s="9" t="s">
        <v>250</v>
      </c>
      <c r="C12" s="4" t="s">
        <v>489</v>
      </c>
      <c r="D12" s="39" t="s">
        <v>28</v>
      </c>
      <c r="E12" s="9" t="s">
        <v>83</v>
      </c>
      <c r="F12" s="9">
        <v>9</v>
      </c>
      <c r="G12" s="23" t="s">
        <v>125</v>
      </c>
      <c r="H12" s="21"/>
      <c r="I12" s="60">
        <v>0</v>
      </c>
    </row>
    <row r="13" spans="1:9" ht="20.100000000000001" customHeight="1" x14ac:dyDescent="0.25">
      <c r="A13" s="34">
        <v>45799</v>
      </c>
      <c r="B13" s="9" t="s">
        <v>250</v>
      </c>
      <c r="C13" s="23" t="s">
        <v>485</v>
      </c>
      <c r="D13" s="38" t="s">
        <v>156</v>
      </c>
      <c r="E13" s="9" t="s">
        <v>379</v>
      </c>
      <c r="F13" s="23">
        <v>87</v>
      </c>
      <c r="G13" s="23" t="s">
        <v>125</v>
      </c>
      <c r="H13" s="21"/>
      <c r="I13" s="60">
        <v>0</v>
      </c>
    </row>
    <row r="14" spans="1:9" ht="20.100000000000001" customHeight="1" x14ac:dyDescent="0.25">
      <c r="A14" s="17">
        <v>45791</v>
      </c>
      <c r="B14" s="9" t="s">
        <v>250</v>
      </c>
      <c r="C14" s="9" t="s">
        <v>483</v>
      </c>
      <c r="D14" s="39" t="s">
        <v>11</v>
      </c>
      <c r="E14" s="10" t="s">
        <v>10</v>
      </c>
      <c r="F14" s="9">
        <v>109</v>
      </c>
      <c r="G14" s="9" t="s">
        <v>6</v>
      </c>
      <c r="H14" s="9">
        <v>23.28</v>
      </c>
      <c r="I14" s="60">
        <v>2537.52</v>
      </c>
    </row>
    <row r="15" spans="1:9" ht="20.100000000000001" customHeight="1" x14ac:dyDescent="0.25">
      <c r="A15" s="28">
        <v>45789</v>
      </c>
      <c r="B15" s="9" t="s">
        <v>250</v>
      </c>
      <c r="C15" s="28" t="s">
        <v>486</v>
      </c>
      <c r="D15" s="29" t="s">
        <v>189</v>
      </c>
      <c r="E15" s="30" t="s">
        <v>190</v>
      </c>
      <c r="F15" s="9">
        <v>31</v>
      </c>
      <c r="G15" s="9" t="s">
        <v>128</v>
      </c>
      <c r="H15" s="32">
        <v>84.9983</v>
      </c>
      <c r="I15" s="60">
        <v>2634.9472999999998</v>
      </c>
    </row>
    <row r="16" spans="1:9" ht="20.100000000000001" customHeight="1" x14ac:dyDescent="0.25">
      <c r="A16" s="73">
        <v>45787</v>
      </c>
      <c r="B16" s="67" t="s">
        <v>250</v>
      </c>
      <c r="C16" s="70" t="s">
        <v>485</v>
      </c>
      <c r="D16" s="74" t="s">
        <v>136</v>
      </c>
      <c r="E16" s="67" t="s">
        <v>137</v>
      </c>
      <c r="F16" s="70">
        <v>19</v>
      </c>
      <c r="G16" s="70" t="s">
        <v>125</v>
      </c>
      <c r="H16" s="71"/>
      <c r="I16" s="60">
        <v>0</v>
      </c>
    </row>
    <row r="17" spans="1:9" ht="18.899999999999999" customHeight="1" x14ac:dyDescent="0.25">
      <c r="A17" s="28">
        <v>45790</v>
      </c>
      <c r="B17" s="9" t="s">
        <v>250</v>
      </c>
      <c r="C17" s="28" t="s">
        <v>486</v>
      </c>
      <c r="D17" s="29" t="s">
        <v>187</v>
      </c>
      <c r="E17" s="65" t="s">
        <v>188</v>
      </c>
      <c r="F17" s="9">
        <v>73</v>
      </c>
      <c r="G17" s="9" t="s">
        <v>128</v>
      </c>
      <c r="H17" s="32">
        <v>27.2667</v>
      </c>
      <c r="I17" s="60">
        <v>1990.4691</v>
      </c>
    </row>
    <row r="18" spans="1:9" ht="17.25" customHeight="1" x14ac:dyDescent="0.25">
      <c r="A18" s="75">
        <v>45799</v>
      </c>
      <c r="B18" s="67" t="s">
        <v>250</v>
      </c>
      <c r="C18" s="72" t="s">
        <v>489</v>
      </c>
      <c r="D18" s="68" t="s">
        <v>37</v>
      </c>
      <c r="E18" s="67" t="s">
        <v>361</v>
      </c>
      <c r="F18" s="67">
        <v>58</v>
      </c>
      <c r="G18" s="70" t="s">
        <v>125</v>
      </c>
      <c r="H18" s="71"/>
      <c r="I18" s="60">
        <v>0</v>
      </c>
    </row>
    <row r="19" spans="1:9" ht="20.100000000000001" customHeight="1" x14ac:dyDescent="0.25">
      <c r="A19" s="28">
        <v>45796</v>
      </c>
      <c r="B19" s="9" t="s">
        <v>250</v>
      </c>
      <c r="C19" s="28" t="s">
        <v>486</v>
      </c>
      <c r="D19" s="29" t="s">
        <v>187</v>
      </c>
      <c r="E19" s="30" t="s">
        <v>188</v>
      </c>
      <c r="F19" s="9">
        <v>72</v>
      </c>
      <c r="G19" s="9" t="s">
        <v>128</v>
      </c>
      <c r="H19" s="31">
        <v>27.2667</v>
      </c>
      <c r="I19" s="60">
        <v>1963.2024000000001</v>
      </c>
    </row>
    <row r="20" spans="1:9" ht="20.100000000000001" customHeight="1" x14ac:dyDescent="0.25">
      <c r="A20" s="28">
        <v>45795</v>
      </c>
      <c r="B20" s="9" t="s">
        <v>250</v>
      </c>
      <c r="C20" s="28" t="s">
        <v>486</v>
      </c>
      <c r="D20" s="29" t="s">
        <v>189</v>
      </c>
      <c r="E20" s="30" t="s">
        <v>190</v>
      </c>
      <c r="F20" s="9">
        <v>20</v>
      </c>
      <c r="G20" s="9" t="s">
        <v>128</v>
      </c>
      <c r="H20" s="32">
        <v>84.9983</v>
      </c>
      <c r="I20" s="60">
        <v>1699.9659999999999</v>
      </c>
    </row>
    <row r="21" spans="1:9" ht="20.100000000000001" customHeight="1" x14ac:dyDescent="0.25">
      <c r="A21" s="17">
        <v>45789</v>
      </c>
      <c r="B21" s="9" t="s">
        <v>250</v>
      </c>
      <c r="C21" s="9" t="s">
        <v>489</v>
      </c>
      <c r="D21" s="39" t="s">
        <v>36</v>
      </c>
      <c r="E21" s="9" t="s">
        <v>478</v>
      </c>
      <c r="F21" s="11">
        <v>82</v>
      </c>
      <c r="G21" s="25" t="s">
        <v>6</v>
      </c>
      <c r="H21" s="9">
        <v>16.991</v>
      </c>
      <c r="I21" s="60">
        <v>1393.2619999999999</v>
      </c>
    </row>
    <row r="22" spans="1:9" ht="18.899999999999999" customHeight="1" x14ac:dyDescent="0.25">
      <c r="A22" s="66">
        <v>45790</v>
      </c>
      <c r="B22" s="67" t="s">
        <v>250</v>
      </c>
      <c r="C22" s="67" t="s">
        <v>489</v>
      </c>
      <c r="D22" s="68" t="s">
        <v>34</v>
      </c>
      <c r="E22" s="67" t="s">
        <v>22</v>
      </c>
      <c r="F22" s="69">
        <v>6</v>
      </c>
      <c r="G22" s="70" t="s">
        <v>125</v>
      </c>
      <c r="H22" s="71"/>
      <c r="I22" s="60">
        <v>0</v>
      </c>
    </row>
    <row r="23" spans="1:9" ht="18.899999999999999" customHeight="1" x14ac:dyDescent="0.25">
      <c r="A23" s="3">
        <v>45799</v>
      </c>
      <c r="B23" s="9" t="s">
        <v>250</v>
      </c>
      <c r="C23" s="4" t="s">
        <v>489</v>
      </c>
      <c r="D23" s="39" t="s">
        <v>60</v>
      </c>
      <c r="E23" s="9" t="s">
        <v>15</v>
      </c>
      <c r="F23" s="9">
        <v>78</v>
      </c>
      <c r="G23" s="25" t="s">
        <v>6</v>
      </c>
      <c r="H23" s="9">
        <v>16.991</v>
      </c>
      <c r="I23" s="60">
        <v>1325.298</v>
      </c>
    </row>
    <row r="24" spans="1:9" ht="18" customHeight="1" x14ac:dyDescent="0.25">
      <c r="A24" s="28">
        <v>45798</v>
      </c>
      <c r="B24" s="9" t="s">
        <v>250</v>
      </c>
      <c r="C24" s="28" t="s">
        <v>484</v>
      </c>
      <c r="D24" s="29" t="s">
        <v>235</v>
      </c>
      <c r="E24" s="65" t="s">
        <v>432</v>
      </c>
      <c r="F24" s="9">
        <v>122</v>
      </c>
      <c r="G24" s="9" t="s">
        <v>128</v>
      </c>
      <c r="H24" s="31">
        <v>10.8584</v>
      </c>
      <c r="I24" s="60">
        <v>1324.7248</v>
      </c>
    </row>
    <row r="25" spans="1:9" ht="18.899999999999999" customHeight="1" x14ac:dyDescent="0.25">
      <c r="A25" s="66">
        <v>45789</v>
      </c>
      <c r="B25" s="67" t="s">
        <v>250</v>
      </c>
      <c r="C25" s="67" t="s">
        <v>489</v>
      </c>
      <c r="D25" s="68" t="s">
        <v>28</v>
      </c>
      <c r="E25" s="76" t="s">
        <v>171</v>
      </c>
      <c r="F25" s="69">
        <v>4</v>
      </c>
      <c r="G25" s="70" t="s">
        <v>125</v>
      </c>
      <c r="H25" s="71"/>
      <c r="I25" s="60">
        <v>0</v>
      </c>
    </row>
    <row r="26" spans="1:9" ht="18.899999999999999" customHeight="1" x14ac:dyDescent="0.25">
      <c r="A26" s="28">
        <v>45790</v>
      </c>
      <c r="B26" s="9" t="s">
        <v>250</v>
      </c>
      <c r="C26" s="28" t="s">
        <v>486</v>
      </c>
      <c r="D26" s="29" t="s">
        <v>205</v>
      </c>
      <c r="E26" s="65" t="s">
        <v>206</v>
      </c>
      <c r="F26" s="9">
        <v>50</v>
      </c>
      <c r="G26" s="9" t="s">
        <v>128</v>
      </c>
      <c r="H26" s="31">
        <v>30.193999999999999</v>
      </c>
      <c r="I26" s="60">
        <v>1509.7</v>
      </c>
    </row>
    <row r="27" spans="1:9" ht="18.899999999999999" customHeight="1" x14ac:dyDescent="0.25">
      <c r="A27" s="66">
        <v>45798</v>
      </c>
      <c r="B27" s="67" t="s">
        <v>250</v>
      </c>
      <c r="C27" s="67" t="s">
        <v>489</v>
      </c>
      <c r="D27" s="68" t="s">
        <v>53</v>
      </c>
      <c r="E27" s="67" t="s">
        <v>368</v>
      </c>
      <c r="F27" s="67">
        <v>4</v>
      </c>
      <c r="G27" s="70" t="s">
        <v>125</v>
      </c>
      <c r="H27" s="71"/>
      <c r="I27" s="60">
        <v>0</v>
      </c>
    </row>
    <row r="28" spans="1:9" ht="18.899999999999999" customHeight="1" x14ac:dyDescent="0.25">
      <c r="A28" s="17">
        <v>45805</v>
      </c>
      <c r="B28" s="9" t="s">
        <v>250</v>
      </c>
      <c r="C28" s="4" t="s">
        <v>489</v>
      </c>
      <c r="D28" s="39" t="s">
        <v>60</v>
      </c>
      <c r="E28" s="9" t="s">
        <v>15</v>
      </c>
      <c r="F28" s="9">
        <v>68</v>
      </c>
      <c r="G28" s="25" t="s">
        <v>6</v>
      </c>
      <c r="H28" s="9">
        <v>16.991</v>
      </c>
      <c r="I28" s="60">
        <v>1155.3879999999999</v>
      </c>
    </row>
    <row r="29" spans="1:9" ht="18.899999999999999" customHeight="1" x14ac:dyDescent="0.25">
      <c r="A29" s="73">
        <v>45787</v>
      </c>
      <c r="B29" s="67" t="s">
        <v>250</v>
      </c>
      <c r="C29" s="70" t="s">
        <v>485</v>
      </c>
      <c r="D29" s="68" t="s">
        <v>135</v>
      </c>
      <c r="E29" s="67" t="s">
        <v>181</v>
      </c>
      <c r="F29" s="70">
        <v>36</v>
      </c>
      <c r="G29" s="70" t="s">
        <v>125</v>
      </c>
      <c r="H29" s="71"/>
      <c r="I29" s="60">
        <v>0</v>
      </c>
    </row>
    <row r="30" spans="1:9" ht="21.9" customHeight="1" x14ac:dyDescent="0.25">
      <c r="A30" s="17">
        <v>45805</v>
      </c>
      <c r="B30" s="9" t="s">
        <v>250</v>
      </c>
      <c r="C30" s="4" t="s">
        <v>489</v>
      </c>
      <c r="D30" s="39" t="s">
        <v>37</v>
      </c>
      <c r="E30" s="9" t="s">
        <v>14</v>
      </c>
      <c r="F30" s="9">
        <v>35</v>
      </c>
      <c r="G30" s="23" t="s">
        <v>125</v>
      </c>
      <c r="H30" s="21"/>
      <c r="I30" s="60">
        <v>0</v>
      </c>
    </row>
    <row r="31" spans="1:9" ht="18.899999999999999" customHeight="1" x14ac:dyDescent="0.25">
      <c r="A31" s="17">
        <v>45795</v>
      </c>
      <c r="B31" s="9" t="s">
        <v>250</v>
      </c>
      <c r="C31" s="9" t="s">
        <v>489</v>
      </c>
      <c r="D31" s="39" t="s">
        <v>37</v>
      </c>
      <c r="E31" s="9" t="s">
        <v>14</v>
      </c>
      <c r="F31" s="9">
        <v>32</v>
      </c>
      <c r="G31" s="23" t="s">
        <v>125</v>
      </c>
      <c r="H31" s="21"/>
      <c r="I31" s="60">
        <v>0</v>
      </c>
    </row>
    <row r="32" spans="1:9" ht="18.899999999999999" customHeight="1" x14ac:dyDescent="0.25">
      <c r="A32" s="17">
        <v>45789</v>
      </c>
      <c r="B32" s="9" t="s">
        <v>250</v>
      </c>
      <c r="C32" s="9" t="s">
        <v>489</v>
      </c>
      <c r="D32" s="39" t="s">
        <v>53</v>
      </c>
      <c r="E32" s="9" t="s">
        <v>179</v>
      </c>
      <c r="F32" s="11">
        <v>3</v>
      </c>
      <c r="G32" s="23" t="s">
        <v>125</v>
      </c>
      <c r="H32" s="21"/>
      <c r="I32" s="60">
        <v>0</v>
      </c>
    </row>
    <row r="33" spans="1:9" ht="18.899999999999999" customHeight="1" x14ac:dyDescent="0.25">
      <c r="A33" s="17">
        <v>45790</v>
      </c>
      <c r="B33" s="9" t="s">
        <v>250</v>
      </c>
      <c r="C33" s="9" t="s">
        <v>489</v>
      </c>
      <c r="D33" s="39" t="s">
        <v>53</v>
      </c>
      <c r="E33" s="10" t="s">
        <v>21</v>
      </c>
      <c r="F33" s="11">
        <v>3</v>
      </c>
      <c r="G33" s="23" t="s">
        <v>125</v>
      </c>
      <c r="H33" s="21"/>
      <c r="I33" s="60">
        <v>0</v>
      </c>
    </row>
    <row r="34" spans="1:9" ht="18.899999999999999" customHeight="1" x14ac:dyDescent="0.25">
      <c r="A34" s="17">
        <v>45792</v>
      </c>
      <c r="B34" s="9" t="s">
        <v>250</v>
      </c>
      <c r="C34" s="9" t="s">
        <v>489</v>
      </c>
      <c r="D34" s="39" t="s">
        <v>60</v>
      </c>
      <c r="E34" s="12" t="s">
        <v>15</v>
      </c>
      <c r="F34" s="9">
        <v>54</v>
      </c>
      <c r="G34" s="25" t="s">
        <v>6</v>
      </c>
      <c r="H34" s="9">
        <v>16.991</v>
      </c>
      <c r="I34" s="60">
        <v>917.51400000000001</v>
      </c>
    </row>
    <row r="35" spans="1:9" ht="18.899999999999999" customHeight="1" x14ac:dyDescent="0.25">
      <c r="A35" s="66">
        <v>45792</v>
      </c>
      <c r="B35" s="67" t="s">
        <v>250</v>
      </c>
      <c r="C35" s="67" t="s">
        <v>489</v>
      </c>
      <c r="D35" s="68" t="s">
        <v>37</v>
      </c>
      <c r="E35" s="67" t="s">
        <v>14</v>
      </c>
      <c r="F35" s="7">
        <v>30</v>
      </c>
      <c r="G35" s="70" t="s">
        <v>125</v>
      </c>
      <c r="H35" s="71"/>
      <c r="I35" s="60">
        <v>0</v>
      </c>
    </row>
    <row r="36" spans="1:9" ht="18.899999999999999" customHeight="1" x14ac:dyDescent="0.25">
      <c r="A36" s="17">
        <v>45795</v>
      </c>
      <c r="B36" s="9" t="s">
        <v>250</v>
      </c>
      <c r="C36" s="9" t="s">
        <v>489</v>
      </c>
      <c r="D36" s="39" t="s">
        <v>62</v>
      </c>
      <c r="E36" s="9" t="s">
        <v>13</v>
      </c>
      <c r="F36" s="9">
        <v>53</v>
      </c>
      <c r="G36" s="25" t="s">
        <v>6</v>
      </c>
      <c r="H36" s="9">
        <v>19.204000000000001</v>
      </c>
      <c r="I36" s="60">
        <v>1017.812</v>
      </c>
    </row>
    <row r="37" spans="1:9" ht="18.899999999999999" customHeight="1" x14ac:dyDescent="0.25">
      <c r="A37" s="28">
        <v>45774</v>
      </c>
      <c r="B37" s="9" t="s">
        <v>250</v>
      </c>
      <c r="C37" s="28" t="s">
        <v>486</v>
      </c>
      <c r="D37" s="29" t="s">
        <v>215</v>
      </c>
      <c r="E37" s="65" t="s">
        <v>216</v>
      </c>
      <c r="F37" s="9">
        <v>36</v>
      </c>
      <c r="G37" s="9" t="s">
        <v>128</v>
      </c>
      <c r="H37" s="31">
        <v>25.256599999999999</v>
      </c>
      <c r="I37" s="60">
        <v>909.23759999999993</v>
      </c>
    </row>
    <row r="38" spans="1:9" ht="18.899999999999999" customHeight="1" x14ac:dyDescent="0.25">
      <c r="A38" s="17">
        <v>45805</v>
      </c>
      <c r="B38" s="9" t="s">
        <v>250</v>
      </c>
      <c r="C38" s="4" t="s">
        <v>489</v>
      </c>
      <c r="D38" s="39" t="s">
        <v>87</v>
      </c>
      <c r="E38" s="9" t="s">
        <v>98</v>
      </c>
      <c r="F38" s="9">
        <v>2900</v>
      </c>
      <c r="G38" s="25" t="s">
        <v>6</v>
      </c>
      <c r="H38" s="9">
        <v>0.29199999999999998</v>
      </c>
      <c r="I38" s="60">
        <v>846.8</v>
      </c>
    </row>
    <row r="39" spans="1:9" ht="18.899999999999999" customHeight="1" x14ac:dyDescent="0.25">
      <c r="A39" s="34">
        <v>45799</v>
      </c>
      <c r="B39" s="9" t="s">
        <v>250</v>
      </c>
      <c r="C39" s="23" t="s">
        <v>485</v>
      </c>
      <c r="D39" s="38" t="s">
        <v>154</v>
      </c>
      <c r="E39" s="9" t="s">
        <v>155</v>
      </c>
      <c r="F39" s="23">
        <v>26</v>
      </c>
      <c r="G39" s="23" t="s">
        <v>128</v>
      </c>
      <c r="H39" s="21">
        <v>27.922799999999999</v>
      </c>
      <c r="I39" s="60">
        <v>725.99279999999999</v>
      </c>
    </row>
    <row r="40" spans="1:9" ht="18.899999999999999" customHeight="1" x14ac:dyDescent="0.25">
      <c r="A40" s="66">
        <v>45789</v>
      </c>
      <c r="B40" s="67" t="s">
        <v>250</v>
      </c>
      <c r="C40" s="67" t="s">
        <v>489</v>
      </c>
      <c r="D40" s="68" t="s">
        <v>37</v>
      </c>
      <c r="E40" s="67" t="s">
        <v>176</v>
      </c>
      <c r="F40" s="69">
        <v>24</v>
      </c>
      <c r="G40" s="70" t="s">
        <v>125</v>
      </c>
      <c r="H40" s="71"/>
      <c r="I40" s="60">
        <v>0</v>
      </c>
    </row>
    <row r="41" spans="1:9" ht="18.899999999999999" customHeight="1" x14ac:dyDescent="0.25">
      <c r="A41" s="17">
        <v>45790</v>
      </c>
      <c r="B41" s="9" t="s">
        <v>250</v>
      </c>
      <c r="C41" s="9" t="s">
        <v>489</v>
      </c>
      <c r="D41" s="39" t="s">
        <v>46</v>
      </c>
      <c r="E41" s="15" t="s">
        <v>366</v>
      </c>
      <c r="F41" s="16">
        <v>24</v>
      </c>
      <c r="G41" s="23" t="s">
        <v>125</v>
      </c>
      <c r="H41" s="21"/>
      <c r="I41" s="60">
        <v>0</v>
      </c>
    </row>
    <row r="42" spans="1:9" ht="18.899999999999999" customHeight="1" x14ac:dyDescent="0.25">
      <c r="A42" s="34">
        <v>45807</v>
      </c>
      <c r="B42" s="9" t="s">
        <v>250</v>
      </c>
      <c r="C42" s="23" t="s">
        <v>485</v>
      </c>
      <c r="D42" s="39" t="s">
        <v>167</v>
      </c>
      <c r="E42" s="9" t="s">
        <v>142</v>
      </c>
      <c r="F42" s="23">
        <v>88</v>
      </c>
      <c r="G42" s="9" t="s">
        <v>128</v>
      </c>
      <c r="H42" s="21">
        <v>7.9405999999999999</v>
      </c>
      <c r="I42" s="60">
        <v>698.77279999999996</v>
      </c>
    </row>
    <row r="43" spans="1:9" ht="18.899999999999999" customHeight="1" x14ac:dyDescent="0.25">
      <c r="A43" s="73">
        <v>45799</v>
      </c>
      <c r="B43" s="67" t="s">
        <v>250</v>
      </c>
      <c r="C43" s="70" t="s">
        <v>485</v>
      </c>
      <c r="D43" s="74" t="s">
        <v>156</v>
      </c>
      <c r="E43" s="67" t="s">
        <v>157</v>
      </c>
      <c r="F43" s="70">
        <v>20</v>
      </c>
      <c r="G43" s="70" t="s">
        <v>125</v>
      </c>
      <c r="H43" s="71"/>
      <c r="I43" s="60">
        <v>0</v>
      </c>
    </row>
    <row r="44" spans="1:9" ht="18.899999999999999" customHeight="1" x14ac:dyDescent="0.25">
      <c r="A44" s="17">
        <v>45802</v>
      </c>
      <c r="B44" s="9" t="s">
        <v>250</v>
      </c>
      <c r="C44" s="9" t="s">
        <v>483</v>
      </c>
      <c r="D44" s="39" t="s">
        <v>80</v>
      </c>
      <c r="E44" s="9" t="s">
        <v>81</v>
      </c>
      <c r="F44" s="9">
        <v>31</v>
      </c>
      <c r="G44" s="25" t="s">
        <v>6</v>
      </c>
      <c r="H44" s="9">
        <v>19.18</v>
      </c>
      <c r="I44" s="60">
        <v>594.58000000000004</v>
      </c>
    </row>
    <row r="45" spans="1:9" ht="18.899999999999999" customHeight="1" x14ac:dyDescent="0.25">
      <c r="A45" s="28">
        <v>45795</v>
      </c>
      <c r="B45" s="9" t="s">
        <v>250</v>
      </c>
      <c r="C45" s="28" t="s">
        <v>486</v>
      </c>
      <c r="D45" s="29" t="s">
        <v>203</v>
      </c>
      <c r="E45" s="65" t="s">
        <v>204</v>
      </c>
      <c r="F45" s="9">
        <v>15</v>
      </c>
      <c r="G45" s="9" t="s">
        <v>128</v>
      </c>
      <c r="H45" s="31">
        <v>44.4726</v>
      </c>
      <c r="I45" s="60">
        <v>667.08899999999994</v>
      </c>
    </row>
    <row r="46" spans="1:9" ht="18.75" customHeight="1" x14ac:dyDescent="0.25">
      <c r="A46" s="73">
        <v>45799</v>
      </c>
      <c r="B46" s="67" t="s">
        <v>250</v>
      </c>
      <c r="C46" s="70" t="s">
        <v>485</v>
      </c>
      <c r="D46" s="74" t="s">
        <v>158</v>
      </c>
      <c r="E46" s="70" t="s">
        <v>159</v>
      </c>
      <c r="F46" s="70">
        <v>653</v>
      </c>
      <c r="G46" s="70" t="s">
        <v>125</v>
      </c>
      <c r="H46" s="71"/>
      <c r="I46" s="60">
        <v>0</v>
      </c>
    </row>
    <row r="47" spans="1:9" ht="18.75" customHeight="1" x14ac:dyDescent="0.25">
      <c r="A47" s="34">
        <v>45791</v>
      </c>
      <c r="B47" s="9" t="s">
        <v>250</v>
      </c>
      <c r="C47" s="23" t="s">
        <v>485</v>
      </c>
      <c r="D47" s="38" t="s">
        <v>153</v>
      </c>
      <c r="E47" s="9" t="s">
        <v>423</v>
      </c>
      <c r="F47" s="23">
        <v>6</v>
      </c>
      <c r="G47" s="27" t="s">
        <v>128</v>
      </c>
      <c r="H47" s="21">
        <v>87.462800000000001</v>
      </c>
      <c r="I47" s="60">
        <v>524.77679999999998</v>
      </c>
    </row>
    <row r="48" spans="1:9" ht="18.75" customHeight="1" x14ac:dyDescent="0.25">
      <c r="A48" s="34">
        <v>45791</v>
      </c>
      <c r="B48" s="9" t="s">
        <v>250</v>
      </c>
      <c r="C48" s="23" t="s">
        <v>485</v>
      </c>
      <c r="D48" s="38" t="s">
        <v>152</v>
      </c>
      <c r="E48" s="9" t="s">
        <v>420</v>
      </c>
      <c r="F48" s="23">
        <v>6</v>
      </c>
      <c r="G48" s="27" t="s">
        <v>128</v>
      </c>
      <c r="H48" s="21">
        <v>68.513800000000003</v>
      </c>
      <c r="I48" s="60">
        <v>411.08280000000002</v>
      </c>
    </row>
    <row r="49" spans="1:9" ht="18.75" customHeight="1" x14ac:dyDescent="0.25">
      <c r="A49" s="66">
        <v>45790</v>
      </c>
      <c r="B49" s="67" t="s">
        <v>250</v>
      </c>
      <c r="C49" s="67" t="s">
        <v>489</v>
      </c>
      <c r="D49" s="68" t="s">
        <v>63</v>
      </c>
      <c r="E49" s="67" t="s">
        <v>14</v>
      </c>
      <c r="F49" s="67">
        <v>15</v>
      </c>
      <c r="G49" s="70" t="s">
        <v>125</v>
      </c>
      <c r="H49" s="71"/>
      <c r="I49" s="60">
        <v>0</v>
      </c>
    </row>
    <row r="50" spans="1:9" ht="18.75" customHeight="1" x14ac:dyDescent="0.25">
      <c r="A50" s="28">
        <v>45795</v>
      </c>
      <c r="B50" s="9" t="s">
        <v>250</v>
      </c>
      <c r="C50" s="28" t="s">
        <v>486</v>
      </c>
      <c r="D50" s="29" t="s">
        <v>189</v>
      </c>
      <c r="E50" s="30" t="s">
        <v>190</v>
      </c>
      <c r="F50" s="9">
        <v>6</v>
      </c>
      <c r="G50" s="9" t="s">
        <v>128</v>
      </c>
      <c r="H50" s="32">
        <v>84.9983</v>
      </c>
      <c r="I50" s="60">
        <v>509.9898</v>
      </c>
    </row>
    <row r="51" spans="1:9" ht="18.75" customHeight="1" x14ac:dyDescent="0.25">
      <c r="A51" s="66">
        <v>45797</v>
      </c>
      <c r="B51" s="67" t="s">
        <v>250</v>
      </c>
      <c r="C51" s="67" t="s">
        <v>489</v>
      </c>
      <c r="D51" s="68" t="s">
        <v>34</v>
      </c>
      <c r="E51" s="67" t="s">
        <v>22</v>
      </c>
      <c r="F51" s="67">
        <v>2</v>
      </c>
      <c r="G51" s="70" t="s">
        <v>125</v>
      </c>
      <c r="H51" s="71"/>
      <c r="I51" s="60">
        <v>0</v>
      </c>
    </row>
    <row r="52" spans="1:9" ht="18.75" customHeight="1" x14ac:dyDescent="0.25">
      <c r="A52" s="28">
        <v>45774</v>
      </c>
      <c r="B52" s="9" t="s">
        <v>250</v>
      </c>
      <c r="C52" s="28" t="s">
        <v>486</v>
      </c>
      <c r="D52" s="29" t="s">
        <v>197</v>
      </c>
      <c r="E52" s="65" t="s">
        <v>444</v>
      </c>
      <c r="F52" s="9">
        <v>20</v>
      </c>
      <c r="G52" s="9" t="s">
        <v>128</v>
      </c>
      <c r="H52" s="32">
        <v>24.114999999999998</v>
      </c>
      <c r="I52" s="60">
        <v>482.29999999999995</v>
      </c>
    </row>
    <row r="53" spans="1:9" ht="18.75" customHeight="1" x14ac:dyDescent="0.25">
      <c r="A53" s="28">
        <v>45795</v>
      </c>
      <c r="B53" s="9" t="s">
        <v>250</v>
      </c>
      <c r="C53" s="28" t="s">
        <v>486</v>
      </c>
      <c r="D53" s="57" t="s">
        <v>328</v>
      </c>
      <c r="E53" s="30" t="s">
        <v>377</v>
      </c>
      <c r="F53" s="9">
        <v>19</v>
      </c>
      <c r="G53" s="9" t="s">
        <v>128</v>
      </c>
      <c r="H53" s="31">
        <v>25.256599999999999</v>
      </c>
      <c r="I53" s="60">
        <v>479.87539999999996</v>
      </c>
    </row>
    <row r="54" spans="1:9" ht="18.75" customHeight="1" x14ac:dyDescent="0.25">
      <c r="A54" s="28">
        <v>45795</v>
      </c>
      <c r="B54" s="9" t="s">
        <v>250</v>
      </c>
      <c r="C54" s="28" t="s">
        <v>486</v>
      </c>
      <c r="D54" s="29" t="s">
        <v>224</v>
      </c>
      <c r="E54" s="65" t="s">
        <v>434</v>
      </c>
      <c r="F54" s="9">
        <v>11</v>
      </c>
      <c r="G54" s="9" t="s">
        <v>128</v>
      </c>
      <c r="H54" s="31">
        <v>43.274299999999997</v>
      </c>
      <c r="I54" s="60">
        <v>476.01729999999998</v>
      </c>
    </row>
    <row r="55" spans="1:9" ht="18.75" customHeight="1" x14ac:dyDescent="0.25">
      <c r="A55" s="28">
        <v>45795</v>
      </c>
      <c r="B55" s="9" t="s">
        <v>250</v>
      </c>
      <c r="C55" s="28" t="s">
        <v>486</v>
      </c>
      <c r="D55" s="29" t="s">
        <v>224</v>
      </c>
      <c r="E55" s="30" t="s">
        <v>225</v>
      </c>
      <c r="F55" s="9">
        <v>11</v>
      </c>
      <c r="G55" s="9" t="s">
        <v>128</v>
      </c>
      <c r="H55" s="31">
        <v>43.274299999999997</v>
      </c>
      <c r="I55" s="60">
        <v>476.01729999999998</v>
      </c>
    </row>
    <row r="56" spans="1:9" ht="18.75" customHeight="1" x14ac:dyDescent="0.25">
      <c r="A56" s="28">
        <v>45790</v>
      </c>
      <c r="B56" s="9" t="s">
        <v>250</v>
      </c>
      <c r="C56" s="28" t="s">
        <v>486</v>
      </c>
      <c r="D56" s="57" t="s">
        <v>435</v>
      </c>
      <c r="E56" s="65" t="s">
        <v>204</v>
      </c>
      <c r="F56" s="9">
        <v>10</v>
      </c>
      <c r="G56" s="9" t="s">
        <v>128</v>
      </c>
      <c r="H56" s="32">
        <v>44.4726</v>
      </c>
      <c r="I56" s="60">
        <v>444.726</v>
      </c>
    </row>
    <row r="57" spans="1:9" ht="18.75" customHeight="1" x14ac:dyDescent="0.25">
      <c r="A57" s="34">
        <v>45791</v>
      </c>
      <c r="B57" s="9" t="s">
        <v>250</v>
      </c>
      <c r="C57" s="23" t="s">
        <v>485</v>
      </c>
      <c r="D57" s="38" t="s">
        <v>146</v>
      </c>
      <c r="E57" s="9" t="s">
        <v>415</v>
      </c>
      <c r="F57" s="23">
        <v>32</v>
      </c>
      <c r="G57" s="23" t="s">
        <v>128</v>
      </c>
      <c r="H57" s="21">
        <v>12.148199999999999</v>
      </c>
      <c r="I57" s="60">
        <v>388.74239999999998</v>
      </c>
    </row>
    <row r="58" spans="1:9" ht="18.75" customHeight="1" x14ac:dyDescent="0.25">
      <c r="A58" s="28">
        <v>45795</v>
      </c>
      <c r="B58" s="9" t="s">
        <v>250</v>
      </c>
      <c r="C58" s="28" t="s">
        <v>486</v>
      </c>
      <c r="D58" s="29" t="s">
        <v>205</v>
      </c>
      <c r="E58" s="30" t="s">
        <v>206</v>
      </c>
      <c r="F58" s="9">
        <v>15</v>
      </c>
      <c r="G58" s="9" t="s">
        <v>128</v>
      </c>
      <c r="H58" s="31">
        <v>30.193999999999999</v>
      </c>
      <c r="I58" s="60">
        <v>452.90999999999997</v>
      </c>
    </row>
    <row r="59" spans="1:9" ht="18.75" customHeight="1" x14ac:dyDescent="0.25">
      <c r="A59" s="28">
        <v>45790</v>
      </c>
      <c r="B59" s="9" t="s">
        <v>250</v>
      </c>
      <c r="C59" s="28" t="s">
        <v>486</v>
      </c>
      <c r="D59" s="29" t="s">
        <v>211</v>
      </c>
      <c r="E59" s="65" t="s">
        <v>212</v>
      </c>
      <c r="F59" s="9">
        <v>5</v>
      </c>
      <c r="G59" s="9" t="s">
        <v>128</v>
      </c>
      <c r="H59" s="31">
        <v>85.637100000000004</v>
      </c>
      <c r="I59" s="60">
        <v>428.18550000000005</v>
      </c>
    </row>
    <row r="60" spans="1:9" ht="18.75" customHeight="1" x14ac:dyDescent="0.25">
      <c r="A60" s="28">
        <v>45790</v>
      </c>
      <c r="B60" s="9" t="s">
        <v>250</v>
      </c>
      <c r="C60" s="28" t="s">
        <v>486</v>
      </c>
      <c r="D60" s="29" t="s">
        <v>209</v>
      </c>
      <c r="E60" s="65" t="s">
        <v>210</v>
      </c>
      <c r="F60" s="9">
        <v>5</v>
      </c>
      <c r="G60" s="9" t="s">
        <v>128</v>
      </c>
      <c r="H60" s="31">
        <v>85</v>
      </c>
      <c r="I60" s="60">
        <v>425</v>
      </c>
    </row>
    <row r="61" spans="1:9" ht="18.75" customHeight="1" x14ac:dyDescent="0.25">
      <c r="A61" s="34">
        <v>45790</v>
      </c>
      <c r="B61" s="9" t="s">
        <v>250</v>
      </c>
      <c r="C61" s="23" t="s">
        <v>485</v>
      </c>
      <c r="D61" s="38" t="s">
        <v>144</v>
      </c>
      <c r="E61" s="9" t="s">
        <v>145</v>
      </c>
      <c r="F61" s="23">
        <v>33</v>
      </c>
      <c r="G61" s="23" t="s">
        <v>128</v>
      </c>
      <c r="H61" s="21">
        <v>11.3788</v>
      </c>
      <c r="I61" s="60">
        <v>375.50040000000001</v>
      </c>
    </row>
    <row r="62" spans="1:9" ht="18.75" customHeight="1" x14ac:dyDescent="0.25">
      <c r="A62" s="34">
        <v>45807</v>
      </c>
      <c r="B62" s="9" t="s">
        <v>250</v>
      </c>
      <c r="C62" s="23" t="s">
        <v>485</v>
      </c>
      <c r="D62" s="38" t="s">
        <v>165</v>
      </c>
      <c r="E62" s="9" t="s">
        <v>416</v>
      </c>
      <c r="F62" s="23">
        <v>29</v>
      </c>
      <c r="G62" s="9" t="s">
        <v>128</v>
      </c>
      <c r="H62" s="21">
        <v>12.8642</v>
      </c>
      <c r="I62" s="60">
        <v>373.06180000000001</v>
      </c>
    </row>
    <row r="63" spans="1:9" ht="18.75" customHeight="1" x14ac:dyDescent="0.25">
      <c r="A63" s="28">
        <v>45798</v>
      </c>
      <c r="B63" s="9" t="s">
        <v>250</v>
      </c>
      <c r="C63" s="28" t="s">
        <v>484</v>
      </c>
      <c r="D63" s="29" t="s">
        <v>242</v>
      </c>
      <c r="E63" s="30" t="s">
        <v>243</v>
      </c>
      <c r="F63" s="9">
        <v>190</v>
      </c>
      <c r="G63" s="9" t="s">
        <v>128</v>
      </c>
      <c r="H63" s="31">
        <v>1.9469000000000001</v>
      </c>
      <c r="I63" s="60">
        <v>369.911</v>
      </c>
    </row>
    <row r="64" spans="1:9" ht="18.75" customHeight="1" x14ac:dyDescent="0.25">
      <c r="A64" s="28">
        <v>45790</v>
      </c>
      <c r="B64" s="9" t="s">
        <v>250</v>
      </c>
      <c r="C64" s="28" t="s">
        <v>486</v>
      </c>
      <c r="D64" s="29" t="s">
        <v>203</v>
      </c>
      <c r="E64" s="30" t="s">
        <v>204</v>
      </c>
      <c r="F64" s="9">
        <v>9</v>
      </c>
      <c r="G64" s="9" t="s">
        <v>128</v>
      </c>
      <c r="H64" s="32">
        <v>44.4726</v>
      </c>
      <c r="I64" s="60">
        <v>400.2534</v>
      </c>
    </row>
    <row r="65" spans="1:9" ht="18.75" customHeight="1" x14ac:dyDescent="0.25">
      <c r="A65" s="28">
        <v>45790</v>
      </c>
      <c r="B65" s="9" t="s">
        <v>250</v>
      </c>
      <c r="C65" s="28" t="s">
        <v>486</v>
      </c>
      <c r="D65" s="29" t="s">
        <v>203</v>
      </c>
      <c r="E65" s="30" t="s">
        <v>204</v>
      </c>
      <c r="F65" s="9">
        <v>9</v>
      </c>
      <c r="G65" s="9" t="s">
        <v>128</v>
      </c>
      <c r="H65" s="31">
        <v>44.4726</v>
      </c>
      <c r="I65" s="60">
        <v>400.2534</v>
      </c>
    </row>
    <row r="66" spans="1:9" ht="18.75" customHeight="1" x14ac:dyDescent="0.25">
      <c r="A66" s="28">
        <v>45784</v>
      </c>
      <c r="B66" s="9" t="s">
        <v>250</v>
      </c>
      <c r="C66" s="28" t="s">
        <v>486</v>
      </c>
      <c r="D66" s="29" t="s">
        <v>187</v>
      </c>
      <c r="E66" s="30" t="s">
        <v>188</v>
      </c>
      <c r="F66" s="9">
        <v>13</v>
      </c>
      <c r="G66" s="9" t="s">
        <v>128</v>
      </c>
      <c r="H66" s="31">
        <v>27.2667</v>
      </c>
      <c r="I66" s="60">
        <v>354.46710000000002</v>
      </c>
    </row>
    <row r="67" spans="1:9" ht="18.75" customHeight="1" x14ac:dyDescent="0.25">
      <c r="A67" s="66">
        <v>45789</v>
      </c>
      <c r="B67" s="67" t="s">
        <v>250</v>
      </c>
      <c r="C67" s="67" t="s">
        <v>489</v>
      </c>
      <c r="D67" s="68" t="s">
        <v>54</v>
      </c>
      <c r="E67" s="76" t="s">
        <v>178</v>
      </c>
      <c r="F67" s="69">
        <v>5</v>
      </c>
      <c r="G67" s="70" t="s">
        <v>125</v>
      </c>
      <c r="H67" s="71"/>
      <c r="I67" s="60">
        <v>0</v>
      </c>
    </row>
    <row r="68" spans="1:9" ht="18.75" customHeight="1" x14ac:dyDescent="0.25">
      <c r="A68" s="28">
        <v>45774</v>
      </c>
      <c r="B68" s="9" t="s">
        <v>250</v>
      </c>
      <c r="C68" s="28" t="s">
        <v>486</v>
      </c>
      <c r="D68" s="29" t="s">
        <v>215</v>
      </c>
      <c r="E68" s="30" t="s">
        <v>216</v>
      </c>
      <c r="F68" s="9">
        <v>13</v>
      </c>
      <c r="G68" s="9" t="s">
        <v>128</v>
      </c>
      <c r="H68" s="31">
        <v>25.256599999999999</v>
      </c>
      <c r="I68" s="60">
        <v>328.33580000000001</v>
      </c>
    </row>
    <row r="69" spans="1:9" ht="18.75" customHeight="1" x14ac:dyDescent="0.25">
      <c r="A69" s="73">
        <v>45785</v>
      </c>
      <c r="B69" s="67" t="s">
        <v>250</v>
      </c>
      <c r="C69" s="70" t="s">
        <v>485</v>
      </c>
      <c r="D69" s="68" t="s">
        <v>131</v>
      </c>
      <c r="E69" s="7" t="s">
        <v>132</v>
      </c>
      <c r="F69" s="70">
        <v>11</v>
      </c>
      <c r="G69" s="70" t="s">
        <v>125</v>
      </c>
      <c r="H69" s="71"/>
      <c r="I69" s="60">
        <v>0</v>
      </c>
    </row>
    <row r="70" spans="1:9" ht="18.75" customHeight="1" x14ac:dyDescent="0.25">
      <c r="A70" s="28">
        <v>45774</v>
      </c>
      <c r="B70" s="9" t="s">
        <v>250</v>
      </c>
      <c r="C70" s="28" t="s">
        <v>486</v>
      </c>
      <c r="D70" s="29" t="s">
        <v>222</v>
      </c>
      <c r="E70" s="65" t="s">
        <v>438</v>
      </c>
      <c r="F70" s="9">
        <v>7</v>
      </c>
      <c r="G70" s="9" t="s">
        <v>128</v>
      </c>
      <c r="H70" s="32">
        <v>43.107700000000001</v>
      </c>
      <c r="I70" s="60">
        <v>301.75389999999999</v>
      </c>
    </row>
    <row r="71" spans="1:9" ht="18.75" customHeight="1" x14ac:dyDescent="0.25">
      <c r="A71" s="17">
        <v>45790</v>
      </c>
      <c r="B71" s="9" t="s">
        <v>250</v>
      </c>
      <c r="C71" s="9" t="s">
        <v>489</v>
      </c>
      <c r="D71" s="39" t="s">
        <v>60</v>
      </c>
      <c r="E71" s="12" t="s">
        <v>15</v>
      </c>
      <c r="F71" s="10">
        <v>15</v>
      </c>
      <c r="G71" s="25" t="s">
        <v>6</v>
      </c>
      <c r="H71" s="9">
        <v>16.991</v>
      </c>
      <c r="I71" s="60">
        <v>254.86500000000001</v>
      </c>
    </row>
    <row r="72" spans="1:9" ht="18.75" customHeight="1" x14ac:dyDescent="0.25">
      <c r="A72" s="28">
        <v>45798</v>
      </c>
      <c r="B72" s="9" t="s">
        <v>250</v>
      </c>
      <c r="C72" s="28" t="s">
        <v>484</v>
      </c>
      <c r="D72" s="29" t="s">
        <v>237</v>
      </c>
      <c r="E72" s="65" t="s">
        <v>238</v>
      </c>
      <c r="F72" s="9">
        <v>86</v>
      </c>
      <c r="G72" s="9" t="s">
        <v>128</v>
      </c>
      <c r="H72" s="31">
        <v>2.7757999999999998</v>
      </c>
      <c r="I72" s="60">
        <v>238.71879999999999</v>
      </c>
    </row>
    <row r="73" spans="1:9" ht="18.75" customHeight="1" x14ac:dyDescent="0.25">
      <c r="A73" s="28">
        <v>45790</v>
      </c>
      <c r="B73" s="9" t="s">
        <v>250</v>
      </c>
      <c r="C73" s="28" t="s">
        <v>486</v>
      </c>
      <c r="D73" s="29" t="s">
        <v>203</v>
      </c>
      <c r="E73" s="30" t="s">
        <v>204</v>
      </c>
      <c r="F73" s="9">
        <v>6</v>
      </c>
      <c r="G73" s="9" t="s">
        <v>128</v>
      </c>
      <c r="H73" s="32">
        <v>44.4726</v>
      </c>
      <c r="I73" s="60">
        <v>266.8356</v>
      </c>
    </row>
    <row r="74" spans="1:9" ht="18.75" customHeight="1" x14ac:dyDescent="0.25">
      <c r="A74" s="66">
        <v>45798</v>
      </c>
      <c r="B74" s="67" t="s">
        <v>250</v>
      </c>
      <c r="C74" s="67" t="s">
        <v>489</v>
      </c>
      <c r="D74" s="68" t="s">
        <v>54</v>
      </c>
      <c r="E74" s="76" t="s">
        <v>23</v>
      </c>
      <c r="F74" s="67">
        <v>4</v>
      </c>
      <c r="G74" s="70" t="s">
        <v>125</v>
      </c>
      <c r="H74" s="71"/>
      <c r="I74" s="60">
        <v>0</v>
      </c>
    </row>
    <row r="75" spans="1:9" ht="18.75" customHeight="1" x14ac:dyDescent="0.25">
      <c r="A75" s="34">
        <v>45807</v>
      </c>
      <c r="B75" s="9" t="s">
        <v>250</v>
      </c>
      <c r="C75" s="23" t="s">
        <v>485</v>
      </c>
      <c r="D75" s="38" t="s">
        <v>169</v>
      </c>
      <c r="E75" s="9" t="s">
        <v>422</v>
      </c>
      <c r="F75" s="23">
        <v>98</v>
      </c>
      <c r="G75" s="9" t="s">
        <v>128</v>
      </c>
      <c r="H75" s="21">
        <v>2.3513999999999999</v>
      </c>
      <c r="I75" s="60">
        <v>230.43719999999999</v>
      </c>
    </row>
    <row r="76" spans="1:9" ht="18.75" customHeight="1" x14ac:dyDescent="0.25">
      <c r="A76" s="28">
        <v>45795</v>
      </c>
      <c r="B76" s="9" t="s">
        <v>250</v>
      </c>
      <c r="C76" s="28" t="s">
        <v>486</v>
      </c>
      <c r="D76" s="29" t="s">
        <v>224</v>
      </c>
      <c r="E76" s="30" t="s">
        <v>225</v>
      </c>
      <c r="F76" s="9">
        <v>6</v>
      </c>
      <c r="G76" s="9" t="s">
        <v>128</v>
      </c>
      <c r="H76" s="32">
        <v>43.274299999999997</v>
      </c>
      <c r="I76" s="60">
        <v>259.64580000000001</v>
      </c>
    </row>
    <row r="77" spans="1:9" ht="18.75" customHeight="1" x14ac:dyDescent="0.25">
      <c r="A77" s="28">
        <v>45774</v>
      </c>
      <c r="B77" s="9" t="s">
        <v>250</v>
      </c>
      <c r="C77" s="28" t="s">
        <v>486</v>
      </c>
      <c r="D77" s="29" t="s">
        <v>192</v>
      </c>
      <c r="E77" s="65" t="s">
        <v>445</v>
      </c>
      <c r="F77" s="9">
        <v>16</v>
      </c>
      <c r="G77" s="9" t="s">
        <v>128</v>
      </c>
      <c r="H77" s="31">
        <v>16.1416</v>
      </c>
      <c r="I77" s="60">
        <v>258.26560000000001</v>
      </c>
    </row>
    <row r="78" spans="1:9" ht="18.75" customHeight="1" x14ac:dyDescent="0.25">
      <c r="A78" s="28">
        <v>45798</v>
      </c>
      <c r="B78" s="9" t="s">
        <v>250</v>
      </c>
      <c r="C78" s="28" t="s">
        <v>484</v>
      </c>
      <c r="D78" s="29" t="s">
        <v>240</v>
      </c>
      <c r="E78" s="30" t="s">
        <v>241</v>
      </c>
      <c r="F78" s="9">
        <v>150</v>
      </c>
      <c r="G78" s="9" t="s">
        <v>128</v>
      </c>
      <c r="H78" s="31">
        <v>1.5133000000000001</v>
      </c>
      <c r="I78" s="60">
        <v>226.995</v>
      </c>
    </row>
    <row r="79" spans="1:9" ht="18.75" customHeight="1" x14ac:dyDescent="0.25">
      <c r="A79" s="66">
        <v>45790</v>
      </c>
      <c r="B79" s="67" t="s">
        <v>250</v>
      </c>
      <c r="C79" s="67" t="s">
        <v>489</v>
      </c>
      <c r="D79" s="68" t="s">
        <v>56</v>
      </c>
      <c r="E79" s="77" t="s">
        <v>481</v>
      </c>
      <c r="F79" s="78">
        <v>9</v>
      </c>
      <c r="G79" s="76" t="s">
        <v>8</v>
      </c>
      <c r="H79" s="71">
        <v>23.690300000000001</v>
      </c>
      <c r="I79" s="60">
        <v>213.21270000000001</v>
      </c>
    </row>
    <row r="80" spans="1:9" ht="18.75" customHeight="1" x14ac:dyDescent="0.25">
      <c r="A80" s="28">
        <v>45790</v>
      </c>
      <c r="B80" s="9" t="s">
        <v>250</v>
      </c>
      <c r="C80" s="28" t="s">
        <v>486</v>
      </c>
      <c r="D80" s="57" t="s">
        <v>330</v>
      </c>
      <c r="E80" s="65" t="s">
        <v>437</v>
      </c>
      <c r="F80" s="9">
        <v>8</v>
      </c>
      <c r="G80" s="9" t="s">
        <v>128</v>
      </c>
      <c r="H80" s="32">
        <v>29.6998</v>
      </c>
      <c r="I80" s="60">
        <v>237.5984</v>
      </c>
    </row>
    <row r="81" spans="1:9" ht="18.75" customHeight="1" x14ac:dyDescent="0.25">
      <c r="A81" s="66">
        <v>45790</v>
      </c>
      <c r="B81" s="67" t="s">
        <v>250</v>
      </c>
      <c r="C81" s="67" t="s">
        <v>489</v>
      </c>
      <c r="D81" s="79" t="s">
        <v>59</v>
      </c>
      <c r="E81" s="76" t="s">
        <v>124</v>
      </c>
      <c r="F81" s="76">
        <v>12</v>
      </c>
      <c r="G81" s="76" t="s">
        <v>8</v>
      </c>
      <c r="H81" s="71">
        <v>17.255500000000001</v>
      </c>
      <c r="I81" s="60">
        <v>207.06600000000003</v>
      </c>
    </row>
    <row r="82" spans="1:9" ht="18.75" customHeight="1" x14ac:dyDescent="0.25">
      <c r="A82" s="28">
        <v>45790</v>
      </c>
      <c r="B82" s="9" t="s">
        <v>250</v>
      </c>
      <c r="C82" s="28" t="s">
        <v>486</v>
      </c>
      <c r="D82" s="29" t="s">
        <v>207</v>
      </c>
      <c r="E82" s="65" t="s">
        <v>208</v>
      </c>
      <c r="F82" s="9">
        <v>8</v>
      </c>
      <c r="G82" s="9" t="s">
        <v>128</v>
      </c>
      <c r="H82" s="32">
        <v>30.194099999999999</v>
      </c>
      <c r="I82" s="60">
        <v>241.55279999999999</v>
      </c>
    </row>
    <row r="83" spans="1:9" ht="18.75" customHeight="1" x14ac:dyDescent="0.25">
      <c r="A83" s="3">
        <v>45807</v>
      </c>
      <c r="B83" s="9" t="s">
        <v>250</v>
      </c>
      <c r="C83" s="14" t="s">
        <v>484</v>
      </c>
      <c r="D83" s="36" t="s">
        <v>120</v>
      </c>
      <c r="E83" s="30" t="s">
        <v>238</v>
      </c>
      <c r="F83" s="14">
        <v>72</v>
      </c>
      <c r="G83" s="9" t="s">
        <v>128</v>
      </c>
      <c r="H83" s="31">
        <v>2.7757999999999998</v>
      </c>
      <c r="I83" s="60">
        <v>199.85759999999999</v>
      </c>
    </row>
    <row r="84" spans="1:9" x14ac:dyDescent="0.25">
      <c r="A84" s="66">
        <v>45789</v>
      </c>
      <c r="B84" s="67" t="s">
        <v>250</v>
      </c>
      <c r="C84" s="67" t="s">
        <v>489</v>
      </c>
      <c r="D84" s="68" t="s">
        <v>47</v>
      </c>
      <c r="E84" s="76" t="s">
        <v>180</v>
      </c>
      <c r="F84" s="69">
        <v>4</v>
      </c>
      <c r="G84" s="70" t="s">
        <v>125</v>
      </c>
      <c r="H84" s="71"/>
      <c r="I84" s="60">
        <v>0</v>
      </c>
    </row>
    <row r="85" spans="1:9" ht="18.75" customHeight="1" x14ac:dyDescent="0.25">
      <c r="A85" s="28">
        <v>45798</v>
      </c>
      <c r="B85" s="9" t="s">
        <v>250</v>
      </c>
      <c r="C85" s="28" t="s">
        <v>484</v>
      </c>
      <c r="D85" s="29" t="s">
        <v>244</v>
      </c>
      <c r="E85" s="65" t="s">
        <v>431</v>
      </c>
      <c r="F85" s="9">
        <v>250</v>
      </c>
      <c r="G85" s="9" t="s">
        <v>128</v>
      </c>
      <c r="H85" s="31">
        <v>0.79290000000000005</v>
      </c>
      <c r="I85" s="60">
        <v>198.22500000000002</v>
      </c>
    </row>
    <row r="86" spans="1:9" ht="18.75" customHeight="1" x14ac:dyDescent="0.25">
      <c r="A86" s="17">
        <v>45789</v>
      </c>
      <c r="B86" s="9" t="s">
        <v>250</v>
      </c>
      <c r="C86" s="9" t="s">
        <v>489</v>
      </c>
      <c r="D86" s="40" t="s">
        <v>9</v>
      </c>
      <c r="E86" s="9" t="s">
        <v>100</v>
      </c>
      <c r="F86" s="11">
        <v>15</v>
      </c>
      <c r="G86" s="25" t="s">
        <v>6</v>
      </c>
      <c r="H86" s="9">
        <v>22.7425</v>
      </c>
      <c r="I86" s="60">
        <v>341.13749999999999</v>
      </c>
    </row>
    <row r="87" spans="1:9" ht="18.75" customHeight="1" x14ac:dyDescent="0.25">
      <c r="A87" s="28">
        <v>45795</v>
      </c>
      <c r="B87" s="9" t="s">
        <v>250</v>
      </c>
      <c r="C87" s="28" t="s">
        <v>486</v>
      </c>
      <c r="D87" s="29" t="s">
        <v>222</v>
      </c>
      <c r="E87" s="30" t="s">
        <v>223</v>
      </c>
      <c r="F87" s="9">
        <v>5</v>
      </c>
      <c r="G87" s="9" t="s">
        <v>128</v>
      </c>
      <c r="H87" s="32">
        <v>43.107700000000001</v>
      </c>
      <c r="I87" s="60">
        <v>215.5385</v>
      </c>
    </row>
    <row r="88" spans="1:9" ht="18.75" customHeight="1" x14ac:dyDescent="0.25">
      <c r="A88" s="28">
        <v>45774</v>
      </c>
      <c r="B88" s="9" t="s">
        <v>250</v>
      </c>
      <c r="C88" s="28" t="s">
        <v>486</v>
      </c>
      <c r="D88" s="29" t="s">
        <v>222</v>
      </c>
      <c r="E88" s="30" t="s">
        <v>223</v>
      </c>
      <c r="F88" s="9">
        <v>5</v>
      </c>
      <c r="G88" s="9" t="s">
        <v>128</v>
      </c>
      <c r="H88" s="32">
        <v>43.107700000000001</v>
      </c>
      <c r="I88" s="60">
        <v>215.5385</v>
      </c>
    </row>
    <row r="89" spans="1:9" ht="18.75" customHeight="1" x14ac:dyDescent="0.25">
      <c r="A89" s="66">
        <v>45795</v>
      </c>
      <c r="B89" s="67" t="s">
        <v>250</v>
      </c>
      <c r="C89" s="67" t="s">
        <v>489</v>
      </c>
      <c r="D89" s="68" t="s">
        <v>35</v>
      </c>
      <c r="E89" s="67" t="s">
        <v>369</v>
      </c>
      <c r="F89" s="67">
        <v>25</v>
      </c>
      <c r="G89" s="70" t="s">
        <v>125</v>
      </c>
      <c r="H89" s="71"/>
      <c r="I89" s="60">
        <v>0</v>
      </c>
    </row>
    <row r="90" spans="1:9" ht="18.75" customHeight="1" x14ac:dyDescent="0.25">
      <c r="A90" s="28">
        <v>45790</v>
      </c>
      <c r="B90" s="9" t="s">
        <v>250</v>
      </c>
      <c r="C90" s="28" t="s">
        <v>486</v>
      </c>
      <c r="D90" s="29" t="s">
        <v>191</v>
      </c>
      <c r="E90" s="65" t="s">
        <v>439</v>
      </c>
      <c r="F90" s="9">
        <v>8</v>
      </c>
      <c r="G90" s="9" t="s">
        <v>128</v>
      </c>
      <c r="H90" s="32">
        <v>24.114999999999998</v>
      </c>
      <c r="I90" s="60">
        <v>192.92</v>
      </c>
    </row>
    <row r="91" spans="1:9" ht="18.75" customHeight="1" x14ac:dyDescent="0.25">
      <c r="A91" s="34">
        <v>45785</v>
      </c>
      <c r="B91" s="9" t="s">
        <v>250</v>
      </c>
      <c r="C91" s="23" t="s">
        <v>485</v>
      </c>
      <c r="D91" s="39" t="s">
        <v>129</v>
      </c>
      <c r="E91" s="9" t="s">
        <v>130</v>
      </c>
      <c r="F91" s="23">
        <v>14</v>
      </c>
      <c r="G91" s="23" t="s">
        <v>128</v>
      </c>
      <c r="H91" s="21">
        <v>11.968999999999999</v>
      </c>
      <c r="I91" s="60">
        <v>167.566</v>
      </c>
    </row>
    <row r="92" spans="1:9" ht="18.75" customHeight="1" x14ac:dyDescent="0.25">
      <c r="A92" s="34">
        <v>45799</v>
      </c>
      <c r="B92" s="9" t="s">
        <v>250</v>
      </c>
      <c r="C92" s="23" t="s">
        <v>485</v>
      </c>
      <c r="D92" s="38" t="s">
        <v>138</v>
      </c>
      <c r="E92" s="23" t="s">
        <v>139</v>
      </c>
      <c r="F92" s="23">
        <v>16</v>
      </c>
      <c r="G92" s="23" t="s">
        <v>128</v>
      </c>
      <c r="H92" s="21">
        <v>10.444699999999999</v>
      </c>
      <c r="I92" s="60">
        <v>167.11519999999999</v>
      </c>
    </row>
    <row r="93" spans="1:9" ht="18.75" customHeight="1" x14ac:dyDescent="0.25">
      <c r="A93" s="17">
        <v>45790</v>
      </c>
      <c r="B93" s="9" t="s">
        <v>250</v>
      </c>
      <c r="C93" s="9" t="s">
        <v>489</v>
      </c>
      <c r="D93" s="40" t="s">
        <v>69</v>
      </c>
      <c r="E93" s="9" t="s">
        <v>479</v>
      </c>
      <c r="F93" s="10">
        <v>14</v>
      </c>
      <c r="G93" s="25" t="s">
        <v>6</v>
      </c>
      <c r="H93" s="9">
        <v>11.773300000000001</v>
      </c>
      <c r="I93" s="60">
        <v>164.8262</v>
      </c>
    </row>
    <row r="94" spans="1:9" ht="18.75" customHeight="1" x14ac:dyDescent="0.25">
      <c r="A94" s="28">
        <v>45774</v>
      </c>
      <c r="B94" s="9" t="s">
        <v>250</v>
      </c>
      <c r="C94" s="28" t="s">
        <v>486</v>
      </c>
      <c r="D94" s="29" t="s">
        <v>215</v>
      </c>
      <c r="E94" s="30" t="s">
        <v>216</v>
      </c>
      <c r="F94" s="9">
        <v>7</v>
      </c>
      <c r="G94" s="9" t="s">
        <v>128</v>
      </c>
      <c r="H94" s="31">
        <v>25.256599999999999</v>
      </c>
      <c r="I94" s="60">
        <v>176.7962</v>
      </c>
    </row>
    <row r="95" spans="1:9" ht="18.75" customHeight="1" x14ac:dyDescent="0.25">
      <c r="A95" s="66">
        <v>45805</v>
      </c>
      <c r="B95" s="67" t="s">
        <v>250</v>
      </c>
      <c r="C95" s="72" t="s">
        <v>489</v>
      </c>
      <c r="D95" s="79" t="s">
        <v>59</v>
      </c>
      <c r="E95" s="67" t="s">
        <v>370</v>
      </c>
      <c r="F95" s="67">
        <v>9</v>
      </c>
      <c r="G95" s="76" t="s">
        <v>8</v>
      </c>
      <c r="H95" s="71">
        <v>17.255500000000001</v>
      </c>
      <c r="I95" s="60">
        <v>155.29950000000002</v>
      </c>
    </row>
    <row r="96" spans="1:9" ht="18.75" customHeight="1" x14ac:dyDescent="0.25">
      <c r="A96" s="17">
        <v>45795</v>
      </c>
      <c r="B96" s="9" t="s">
        <v>250</v>
      </c>
      <c r="C96" s="9" t="s">
        <v>489</v>
      </c>
      <c r="D96" s="40" t="s">
        <v>58</v>
      </c>
      <c r="E96" s="9" t="s">
        <v>477</v>
      </c>
      <c r="F96" s="9">
        <v>12</v>
      </c>
      <c r="G96" s="25" t="s">
        <v>6</v>
      </c>
      <c r="H96" s="9">
        <v>22.7425</v>
      </c>
      <c r="I96" s="60">
        <v>272.90999999999997</v>
      </c>
    </row>
    <row r="97" spans="1:9" ht="18.75" customHeight="1" x14ac:dyDescent="0.25">
      <c r="A97" s="28">
        <v>45795</v>
      </c>
      <c r="B97" s="9" t="s">
        <v>250</v>
      </c>
      <c r="C97" s="28" t="s">
        <v>486</v>
      </c>
      <c r="D97" s="29" t="s">
        <v>219</v>
      </c>
      <c r="E97" s="65" t="s">
        <v>450</v>
      </c>
      <c r="F97" s="9">
        <v>16</v>
      </c>
      <c r="G97" s="9" t="s">
        <v>128</v>
      </c>
      <c r="H97" s="32">
        <v>10.8024</v>
      </c>
      <c r="I97" s="60">
        <v>172.83840000000001</v>
      </c>
    </row>
    <row r="98" spans="1:9" ht="18.75" customHeight="1" x14ac:dyDescent="0.25">
      <c r="A98" s="66">
        <v>45789</v>
      </c>
      <c r="B98" s="67" t="s">
        <v>250</v>
      </c>
      <c r="C98" s="67" t="s">
        <v>489</v>
      </c>
      <c r="D98" s="79" t="s">
        <v>35</v>
      </c>
      <c r="E98" s="67" t="s">
        <v>175</v>
      </c>
      <c r="F98" s="69">
        <v>22</v>
      </c>
      <c r="G98" s="70" t="s">
        <v>125</v>
      </c>
      <c r="H98" s="71"/>
      <c r="I98" s="60">
        <v>0</v>
      </c>
    </row>
    <row r="99" spans="1:9" ht="18.75" customHeight="1" x14ac:dyDescent="0.25">
      <c r="A99" s="17">
        <v>45790</v>
      </c>
      <c r="B99" s="9" t="s">
        <v>250</v>
      </c>
      <c r="C99" s="9" t="s">
        <v>489</v>
      </c>
      <c r="D99" s="39" t="s">
        <v>65</v>
      </c>
      <c r="E99" s="9" t="s">
        <v>4</v>
      </c>
      <c r="F99" s="9">
        <v>22</v>
      </c>
      <c r="G99" s="23" t="s">
        <v>125</v>
      </c>
      <c r="H99" s="21"/>
      <c r="I99" s="60">
        <v>0</v>
      </c>
    </row>
    <row r="100" spans="1:9" ht="18.75" customHeight="1" x14ac:dyDescent="0.25">
      <c r="A100" s="28">
        <v>45798</v>
      </c>
      <c r="B100" s="9" t="s">
        <v>250</v>
      </c>
      <c r="C100" s="28" t="s">
        <v>484</v>
      </c>
      <c r="D100" s="29" t="s">
        <v>236</v>
      </c>
      <c r="E100" s="65" t="s">
        <v>418</v>
      </c>
      <c r="F100" s="9">
        <v>55</v>
      </c>
      <c r="G100" s="9" t="s">
        <v>128</v>
      </c>
      <c r="H100" s="31">
        <v>2.6991000000000001</v>
      </c>
      <c r="I100" s="60">
        <v>148.45050000000001</v>
      </c>
    </row>
    <row r="101" spans="1:9" ht="18.75" customHeight="1" x14ac:dyDescent="0.25">
      <c r="A101" s="28">
        <v>45798</v>
      </c>
      <c r="B101" s="9" t="s">
        <v>250</v>
      </c>
      <c r="C101" s="28" t="s">
        <v>484</v>
      </c>
      <c r="D101" s="29" t="s">
        <v>239</v>
      </c>
      <c r="E101" s="65" t="s">
        <v>433</v>
      </c>
      <c r="F101" s="9">
        <v>83</v>
      </c>
      <c r="G101" s="9" t="s">
        <v>128</v>
      </c>
      <c r="H101" s="31">
        <v>1.7414000000000001</v>
      </c>
      <c r="I101" s="60">
        <v>144.53620000000001</v>
      </c>
    </row>
    <row r="102" spans="1:9" ht="18.75" customHeight="1" x14ac:dyDescent="0.25">
      <c r="A102" s="28">
        <v>45774</v>
      </c>
      <c r="B102" s="9" t="s">
        <v>250</v>
      </c>
      <c r="C102" s="28" t="s">
        <v>486</v>
      </c>
      <c r="D102" s="29" t="s">
        <v>219</v>
      </c>
      <c r="E102" s="30" t="s">
        <v>220</v>
      </c>
      <c r="F102" s="9">
        <v>15</v>
      </c>
      <c r="G102" s="9" t="s">
        <v>128</v>
      </c>
      <c r="H102" s="31">
        <v>10.8024</v>
      </c>
      <c r="I102" s="60">
        <v>162.036</v>
      </c>
    </row>
    <row r="103" spans="1:9" s="24" customFormat="1" ht="20.100000000000001" customHeight="1" x14ac:dyDescent="0.25">
      <c r="A103" s="34">
        <v>45789</v>
      </c>
      <c r="B103" s="9" t="s">
        <v>250</v>
      </c>
      <c r="C103" s="23" t="s">
        <v>485</v>
      </c>
      <c r="D103" s="39" t="s">
        <v>167</v>
      </c>
      <c r="E103" s="9" t="s">
        <v>142</v>
      </c>
      <c r="F103" s="23">
        <v>18</v>
      </c>
      <c r="G103" s="23" t="s">
        <v>128</v>
      </c>
      <c r="H103" s="21">
        <v>7.9405999999999999</v>
      </c>
      <c r="I103" s="60">
        <v>142.9308</v>
      </c>
    </row>
    <row r="104" spans="1:9" s="24" customFormat="1" ht="20.100000000000001" customHeight="1" x14ac:dyDescent="0.25">
      <c r="A104" s="17">
        <v>45805</v>
      </c>
      <c r="B104" s="9" t="s">
        <v>250</v>
      </c>
      <c r="C104" s="4" t="s">
        <v>489</v>
      </c>
      <c r="D104" s="40" t="s">
        <v>9</v>
      </c>
      <c r="E104" s="9" t="s">
        <v>18</v>
      </c>
      <c r="F104" s="9">
        <v>11</v>
      </c>
      <c r="G104" s="25" t="s">
        <v>6</v>
      </c>
      <c r="H104" s="9">
        <v>22.7425</v>
      </c>
      <c r="I104" s="60">
        <v>250.16749999999999</v>
      </c>
    </row>
    <row r="105" spans="1:9" s="24" customFormat="1" ht="20.100000000000001" customHeight="1" x14ac:dyDescent="0.25">
      <c r="A105" s="80">
        <v>45795</v>
      </c>
      <c r="B105" s="67" t="s">
        <v>250</v>
      </c>
      <c r="C105" s="67" t="s">
        <v>489</v>
      </c>
      <c r="D105" s="79" t="s">
        <v>59</v>
      </c>
      <c r="E105" s="67" t="s">
        <v>41</v>
      </c>
      <c r="F105" s="67">
        <v>8</v>
      </c>
      <c r="G105" s="76" t="s">
        <v>8</v>
      </c>
      <c r="H105" s="71">
        <v>17.255500000000001</v>
      </c>
      <c r="I105" s="60">
        <v>138.04400000000001</v>
      </c>
    </row>
    <row r="106" spans="1:9" s="24" customFormat="1" ht="20.100000000000001" customHeight="1" x14ac:dyDescent="0.25">
      <c r="A106" s="34">
        <v>45791</v>
      </c>
      <c r="B106" s="9" t="s">
        <v>250</v>
      </c>
      <c r="C106" s="23" t="s">
        <v>485</v>
      </c>
      <c r="D106" s="38" t="s">
        <v>148</v>
      </c>
      <c r="E106" s="9" t="s">
        <v>149</v>
      </c>
      <c r="F106" s="23">
        <v>58</v>
      </c>
      <c r="G106" s="23" t="s">
        <v>128</v>
      </c>
      <c r="H106" s="21">
        <v>2.3513999999999999</v>
      </c>
      <c r="I106" s="60">
        <v>136.38120000000001</v>
      </c>
    </row>
    <row r="107" spans="1:9" s="24" customFormat="1" ht="20.100000000000001" customHeight="1" x14ac:dyDescent="0.25">
      <c r="A107" s="34">
        <v>45787</v>
      </c>
      <c r="B107" s="9" t="s">
        <v>250</v>
      </c>
      <c r="C107" s="23" t="s">
        <v>485</v>
      </c>
      <c r="D107" s="38" t="s">
        <v>138</v>
      </c>
      <c r="E107" s="9" t="s">
        <v>413</v>
      </c>
      <c r="F107" s="23">
        <v>13</v>
      </c>
      <c r="G107" s="23" t="s">
        <v>128</v>
      </c>
      <c r="H107" s="21">
        <v>10.444699999999999</v>
      </c>
      <c r="I107" s="60">
        <v>135.78109999999998</v>
      </c>
    </row>
    <row r="108" spans="1:9" s="24" customFormat="1" ht="20.100000000000001" customHeight="1" x14ac:dyDescent="0.25">
      <c r="A108" s="34">
        <v>45799</v>
      </c>
      <c r="B108" s="9" t="s">
        <v>250</v>
      </c>
      <c r="C108" s="23" t="s">
        <v>485</v>
      </c>
      <c r="D108" s="38" t="s">
        <v>160</v>
      </c>
      <c r="E108" s="9" t="s">
        <v>161</v>
      </c>
      <c r="F108" s="23">
        <v>13</v>
      </c>
      <c r="G108" s="23" t="s">
        <v>128</v>
      </c>
      <c r="H108" s="21">
        <v>10.353999999999999</v>
      </c>
      <c r="I108" s="60">
        <v>134.60199999999998</v>
      </c>
    </row>
    <row r="109" spans="1:9" s="24" customFormat="1" ht="20.100000000000001" customHeight="1" x14ac:dyDescent="0.25">
      <c r="A109" s="34">
        <v>45807</v>
      </c>
      <c r="B109" s="9" t="s">
        <v>250</v>
      </c>
      <c r="C109" s="23" t="s">
        <v>485</v>
      </c>
      <c r="D109" s="39" t="s">
        <v>166</v>
      </c>
      <c r="E109" s="9" t="s">
        <v>424</v>
      </c>
      <c r="F109" s="23">
        <v>8</v>
      </c>
      <c r="G109" s="23" t="s">
        <v>128</v>
      </c>
      <c r="H109" s="21">
        <v>17.421199999999999</v>
      </c>
      <c r="I109" s="60">
        <v>139.36959999999999</v>
      </c>
    </row>
    <row r="110" spans="1:9" s="24" customFormat="1" ht="20.100000000000001" customHeight="1" x14ac:dyDescent="0.25">
      <c r="A110" s="28">
        <v>45790</v>
      </c>
      <c r="B110" s="9" t="s">
        <v>250</v>
      </c>
      <c r="C110" s="28" t="s">
        <v>486</v>
      </c>
      <c r="D110" s="29" t="s">
        <v>197</v>
      </c>
      <c r="E110" s="30" t="s">
        <v>198</v>
      </c>
      <c r="F110" s="9">
        <v>6</v>
      </c>
      <c r="G110" s="9" t="s">
        <v>128</v>
      </c>
      <c r="H110" s="32">
        <v>24.114999999999998</v>
      </c>
      <c r="I110" s="60">
        <v>144.69</v>
      </c>
    </row>
    <row r="111" spans="1:9" s="24" customFormat="1" ht="20.100000000000001" customHeight="1" x14ac:dyDescent="0.25">
      <c r="A111" s="28">
        <v>45774</v>
      </c>
      <c r="B111" s="9" t="s">
        <v>250</v>
      </c>
      <c r="C111" s="28" t="s">
        <v>486</v>
      </c>
      <c r="D111" s="29" t="s">
        <v>197</v>
      </c>
      <c r="E111" s="30" t="s">
        <v>198</v>
      </c>
      <c r="F111" s="9">
        <v>6</v>
      </c>
      <c r="G111" s="9" t="s">
        <v>128</v>
      </c>
      <c r="H111" s="32">
        <v>24.114999999999998</v>
      </c>
      <c r="I111" s="60">
        <v>144.69</v>
      </c>
    </row>
    <row r="112" spans="1:9" s="24" customFormat="1" ht="20.100000000000001" customHeight="1" x14ac:dyDescent="0.25">
      <c r="A112" s="34">
        <v>45807</v>
      </c>
      <c r="B112" s="9" t="s">
        <v>250</v>
      </c>
      <c r="C112" s="23" t="s">
        <v>485</v>
      </c>
      <c r="D112" s="38" t="s">
        <v>168</v>
      </c>
      <c r="E112" s="23" t="s">
        <v>149</v>
      </c>
      <c r="F112" s="23">
        <v>52</v>
      </c>
      <c r="G112" s="9" t="s">
        <v>128</v>
      </c>
      <c r="H112" s="21">
        <v>2.3513999999999999</v>
      </c>
      <c r="I112" s="60">
        <v>122.27279999999999</v>
      </c>
    </row>
    <row r="113" spans="1:9" s="24" customFormat="1" ht="20.100000000000001" customHeight="1" x14ac:dyDescent="0.25">
      <c r="A113" s="28">
        <v>45790</v>
      </c>
      <c r="B113" s="9" t="s">
        <v>250</v>
      </c>
      <c r="C113" s="28" t="s">
        <v>486</v>
      </c>
      <c r="D113" s="29" t="s">
        <v>203</v>
      </c>
      <c r="E113" s="30" t="s">
        <v>204</v>
      </c>
      <c r="F113" s="9">
        <v>3</v>
      </c>
      <c r="G113" s="9" t="s">
        <v>128</v>
      </c>
      <c r="H113" s="32">
        <v>44.4726</v>
      </c>
      <c r="I113" s="60">
        <v>133.4178</v>
      </c>
    </row>
    <row r="114" spans="1:9" s="24" customFormat="1" ht="20.100000000000001" customHeight="1" x14ac:dyDescent="0.25">
      <c r="A114" s="17">
        <v>45792</v>
      </c>
      <c r="B114" s="9" t="s">
        <v>250</v>
      </c>
      <c r="C114" s="9" t="s">
        <v>489</v>
      </c>
      <c r="D114" s="40" t="s">
        <v>251</v>
      </c>
      <c r="E114" s="9" t="s">
        <v>480</v>
      </c>
      <c r="F114" s="9">
        <v>10</v>
      </c>
      <c r="G114" s="25" t="s">
        <v>6</v>
      </c>
      <c r="H114" s="9">
        <v>11.773300000000001</v>
      </c>
      <c r="I114" s="60">
        <v>117.733</v>
      </c>
    </row>
    <row r="115" spans="1:9" s="24" customFormat="1" ht="20.100000000000001" customHeight="1" x14ac:dyDescent="0.25">
      <c r="A115" s="28">
        <v>45774</v>
      </c>
      <c r="B115" s="9" t="s">
        <v>250</v>
      </c>
      <c r="C115" s="28" t="s">
        <v>486</v>
      </c>
      <c r="D115" s="29" t="s">
        <v>224</v>
      </c>
      <c r="E115" s="30" t="s">
        <v>225</v>
      </c>
      <c r="F115" s="9">
        <v>3</v>
      </c>
      <c r="G115" s="9" t="s">
        <v>128</v>
      </c>
      <c r="H115" s="32">
        <v>43.274299999999997</v>
      </c>
      <c r="I115" s="60">
        <v>129.8229</v>
      </c>
    </row>
    <row r="116" spans="1:9" s="24" customFormat="1" ht="20.100000000000001" customHeight="1" x14ac:dyDescent="0.25">
      <c r="A116" s="34">
        <v>45799</v>
      </c>
      <c r="B116" s="9" t="s">
        <v>250</v>
      </c>
      <c r="C116" s="23" t="s">
        <v>485</v>
      </c>
      <c r="D116" s="38" t="s">
        <v>160</v>
      </c>
      <c r="E116" s="23" t="s">
        <v>161</v>
      </c>
      <c r="F116" s="23">
        <v>11</v>
      </c>
      <c r="G116" s="23" t="s">
        <v>128</v>
      </c>
      <c r="H116" s="21">
        <v>10.353999999999999</v>
      </c>
      <c r="I116" s="60">
        <v>113.89399999999999</v>
      </c>
    </row>
    <row r="117" spans="1:9" s="24" customFormat="1" ht="20.100000000000001" customHeight="1" x14ac:dyDescent="0.25">
      <c r="A117" s="34">
        <v>45799</v>
      </c>
      <c r="B117" s="9" t="s">
        <v>250</v>
      </c>
      <c r="C117" s="23" t="s">
        <v>485</v>
      </c>
      <c r="D117" s="38" t="s">
        <v>140</v>
      </c>
      <c r="E117" s="9" t="s">
        <v>141</v>
      </c>
      <c r="F117" s="23">
        <v>12</v>
      </c>
      <c r="G117" s="23" t="s">
        <v>128</v>
      </c>
      <c r="H117" s="21">
        <v>8.3518000000000008</v>
      </c>
      <c r="I117" s="60">
        <v>100.22160000000001</v>
      </c>
    </row>
    <row r="118" spans="1:9" s="24" customFormat="1" ht="20.100000000000001" customHeight="1" x14ac:dyDescent="0.25">
      <c r="A118" s="28">
        <v>45795</v>
      </c>
      <c r="B118" s="9" t="s">
        <v>250</v>
      </c>
      <c r="C118" s="28" t="s">
        <v>486</v>
      </c>
      <c r="D118" s="29" t="s">
        <v>192</v>
      </c>
      <c r="E118" s="30" t="s">
        <v>193</v>
      </c>
      <c r="F118" s="9">
        <v>7</v>
      </c>
      <c r="G118" s="9" t="s">
        <v>128</v>
      </c>
      <c r="H118" s="32">
        <v>16.1416</v>
      </c>
      <c r="I118" s="60">
        <v>112.99120000000001</v>
      </c>
    </row>
    <row r="119" spans="1:9" s="24" customFormat="1" ht="20.100000000000001" customHeight="1" x14ac:dyDescent="0.25">
      <c r="A119" s="66">
        <v>45805</v>
      </c>
      <c r="B119" s="67" t="s">
        <v>250</v>
      </c>
      <c r="C119" s="72" t="s">
        <v>489</v>
      </c>
      <c r="D119" s="68" t="s">
        <v>35</v>
      </c>
      <c r="E119" s="67" t="s">
        <v>4</v>
      </c>
      <c r="F119" s="67">
        <v>14</v>
      </c>
      <c r="G119" s="70" t="s">
        <v>125</v>
      </c>
      <c r="H119" s="71"/>
      <c r="I119" s="60">
        <v>0</v>
      </c>
    </row>
    <row r="120" spans="1:9" s="24" customFormat="1" ht="20.100000000000001" customHeight="1" x14ac:dyDescent="0.25">
      <c r="A120" s="28">
        <v>45798</v>
      </c>
      <c r="B120" s="9" t="s">
        <v>250</v>
      </c>
      <c r="C120" s="28" t="s">
        <v>484</v>
      </c>
      <c r="D120" s="29" t="s">
        <v>233</v>
      </c>
      <c r="E120" s="30" t="s">
        <v>234</v>
      </c>
      <c r="F120" s="9">
        <v>87</v>
      </c>
      <c r="G120" s="9" t="s">
        <v>128</v>
      </c>
      <c r="H120" s="31">
        <v>1.25</v>
      </c>
      <c r="I120" s="60">
        <v>108.75</v>
      </c>
    </row>
    <row r="121" spans="1:9" s="24" customFormat="1" ht="20.100000000000001" customHeight="1" x14ac:dyDescent="0.25">
      <c r="A121" s="17">
        <v>45789</v>
      </c>
      <c r="B121" s="9" t="s">
        <v>250</v>
      </c>
      <c r="C121" s="9" t="s">
        <v>489</v>
      </c>
      <c r="D121" s="40" t="s">
        <v>251</v>
      </c>
      <c r="E121" s="10" t="s">
        <v>102</v>
      </c>
      <c r="F121" s="11">
        <v>8</v>
      </c>
      <c r="G121" s="25" t="s">
        <v>6</v>
      </c>
      <c r="H121" s="9">
        <v>11.773300000000001</v>
      </c>
      <c r="I121" s="60">
        <v>94.186400000000006</v>
      </c>
    </row>
    <row r="122" spans="1:9" s="24" customFormat="1" ht="20.100000000000001" customHeight="1" x14ac:dyDescent="0.25">
      <c r="A122" s="34">
        <v>45785</v>
      </c>
      <c r="B122" s="9" t="s">
        <v>250</v>
      </c>
      <c r="C122" s="23" t="s">
        <v>485</v>
      </c>
      <c r="D122" s="39" t="s">
        <v>133</v>
      </c>
      <c r="E122" s="23" t="s">
        <v>183</v>
      </c>
      <c r="F122" s="23">
        <v>9</v>
      </c>
      <c r="G122" s="23" t="s">
        <v>128</v>
      </c>
      <c r="H122" s="21">
        <v>10.037000000000001</v>
      </c>
      <c r="I122" s="60">
        <v>90.333000000000013</v>
      </c>
    </row>
    <row r="123" spans="1:9" s="24" customFormat="1" ht="20.100000000000001" customHeight="1" x14ac:dyDescent="0.25">
      <c r="A123" s="28">
        <v>45795</v>
      </c>
      <c r="B123" s="9" t="s">
        <v>250</v>
      </c>
      <c r="C123" s="28" t="s">
        <v>486</v>
      </c>
      <c r="D123" s="29" t="s">
        <v>215</v>
      </c>
      <c r="E123" s="30" t="s">
        <v>216</v>
      </c>
      <c r="F123" s="9">
        <v>4</v>
      </c>
      <c r="G123" s="9" t="s">
        <v>128</v>
      </c>
      <c r="H123" s="31">
        <v>25.256599999999999</v>
      </c>
      <c r="I123" s="60">
        <v>101.0264</v>
      </c>
    </row>
    <row r="124" spans="1:9" s="24" customFormat="1" ht="20.100000000000001" customHeight="1" x14ac:dyDescent="0.25">
      <c r="A124" s="34">
        <v>45791</v>
      </c>
      <c r="B124" s="9" t="s">
        <v>250</v>
      </c>
      <c r="C124" s="23" t="s">
        <v>485</v>
      </c>
      <c r="D124" s="39" t="s">
        <v>150</v>
      </c>
      <c r="E124" s="9" t="s">
        <v>151</v>
      </c>
      <c r="F124" s="23">
        <v>4</v>
      </c>
      <c r="G124" s="27" t="s">
        <v>128</v>
      </c>
      <c r="H124" s="21">
        <v>21.612200000000001</v>
      </c>
      <c r="I124" s="60">
        <v>86.448800000000006</v>
      </c>
    </row>
    <row r="125" spans="1:9" s="24" customFormat="1" ht="20.100000000000001" customHeight="1" x14ac:dyDescent="0.25">
      <c r="A125" s="28">
        <v>45790</v>
      </c>
      <c r="B125" s="9" t="s">
        <v>250</v>
      </c>
      <c r="C125" s="28" t="s">
        <v>486</v>
      </c>
      <c r="D125" s="29" t="s">
        <v>192</v>
      </c>
      <c r="E125" s="30" t="s">
        <v>193</v>
      </c>
      <c r="F125" s="9">
        <v>6</v>
      </c>
      <c r="G125" s="9" t="s">
        <v>128</v>
      </c>
      <c r="H125" s="32">
        <v>16.1416</v>
      </c>
      <c r="I125" s="60">
        <v>96.849600000000009</v>
      </c>
    </row>
    <row r="126" spans="1:9" s="24" customFormat="1" ht="20.100000000000001" customHeight="1" x14ac:dyDescent="0.25">
      <c r="A126" s="3">
        <v>45799</v>
      </c>
      <c r="B126" s="9" t="s">
        <v>250</v>
      </c>
      <c r="C126" s="4" t="s">
        <v>489</v>
      </c>
      <c r="D126" s="39" t="s">
        <v>62</v>
      </c>
      <c r="E126" s="9" t="s">
        <v>13</v>
      </c>
      <c r="F126" s="9">
        <v>5</v>
      </c>
      <c r="G126" s="25" t="s">
        <v>6</v>
      </c>
      <c r="H126" s="9">
        <v>19.204000000000001</v>
      </c>
      <c r="I126" s="60">
        <v>96.02000000000001</v>
      </c>
    </row>
    <row r="127" spans="1:9" s="24" customFormat="1" ht="20.100000000000001" customHeight="1" x14ac:dyDescent="0.25">
      <c r="A127" s="34">
        <v>45787</v>
      </c>
      <c r="B127" s="9" t="s">
        <v>250</v>
      </c>
      <c r="C127" s="23" t="s">
        <v>485</v>
      </c>
      <c r="D127" s="39" t="s">
        <v>133</v>
      </c>
      <c r="E127" s="9" t="s">
        <v>414</v>
      </c>
      <c r="F127" s="23">
        <v>8</v>
      </c>
      <c r="G127" s="23" t="s">
        <v>128</v>
      </c>
      <c r="H127" s="21">
        <v>10.037000000000001</v>
      </c>
      <c r="I127" s="60">
        <v>80.296000000000006</v>
      </c>
    </row>
    <row r="128" spans="1:9" s="24" customFormat="1" ht="20.100000000000001" customHeight="1" x14ac:dyDescent="0.25">
      <c r="A128" s="28">
        <v>45795</v>
      </c>
      <c r="B128" s="9" t="s">
        <v>250</v>
      </c>
      <c r="C128" s="28" t="s">
        <v>486</v>
      </c>
      <c r="D128" s="29" t="s">
        <v>199</v>
      </c>
      <c r="E128" s="30" t="s">
        <v>200</v>
      </c>
      <c r="F128" s="9">
        <v>3</v>
      </c>
      <c r="G128" s="9" t="s">
        <v>128</v>
      </c>
      <c r="H128" s="31">
        <v>29.6998</v>
      </c>
      <c r="I128" s="60">
        <v>89.099400000000003</v>
      </c>
    </row>
    <row r="129" spans="1:9" s="24" customFormat="1" ht="20.100000000000001" customHeight="1" x14ac:dyDescent="0.25">
      <c r="A129" s="28">
        <v>45790</v>
      </c>
      <c r="B129" s="9" t="s">
        <v>250</v>
      </c>
      <c r="C129" s="28" t="s">
        <v>486</v>
      </c>
      <c r="D129" s="29" t="s">
        <v>203</v>
      </c>
      <c r="E129" s="30" t="s">
        <v>204</v>
      </c>
      <c r="F129" s="9">
        <v>2</v>
      </c>
      <c r="G129" s="9" t="s">
        <v>128</v>
      </c>
      <c r="H129" s="32">
        <v>44.4726</v>
      </c>
      <c r="I129" s="60">
        <v>88.9452</v>
      </c>
    </row>
    <row r="130" spans="1:9" s="24" customFormat="1" ht="20.100000000000001" customHeight="1" x14ac:dyDescent="0.25">
      <c r="A130" s="28">
        <v>45790</v>
      </c>
      <c r="B130" s="9" t="s">
        <v>250</v>
      </c>
      <c r="C130" s="28" t="s">
        <v>486</v>
      </c>
      <c r="D130" s="29" t="s">
        <v>203</v>
      </c>
      <c r="E130" s="30" t="s">
        <v>204</v>
      </c>
      <c r="F130" s="9">
        <v>2</v>
      </c>
      <c r="G130" s="9" t="s">
        <v>128</v>
      </c>
      <c r="H130" s="32">
        <v>44.4726</v>
      </c>
      <c r="I130" s="60">
        <v>88.9452</v>
      </c>
    </row>
    <row r="131" spans="1:9" s="24" customFormat="1" ht="20.100000000000001" customHeight="1" x14ac:dyDescent="0.25">
      <c r="A131" s="28">
        <v>45795</v>
      </c>
      <c r="B131" s="9" t="s">
        <v>250</v>
      </c>
      <c r="C131" s="28" t="s">
        <v>486</v>
      </c>
      <c r="D131" s="29" t="s">
        <v>211</v>
      </c>
      <c r="E131" s="30" t="s">
        <v>212</v>
      </c>
      <c r="F131" s="9">
        <v>1</v>
      </c>
      <c r="G131" s="9" t="s">
        <v>128</v>
      </c>
      <c r="H131" s="32">
        <v>85.637100000000004</v>
      </c>
      <c r="I131" s="60">
        <v>85.637100000000004</v>
      </c>
    </row>
    <row r="132" spans="1:9" s="24" customFormat="1" ht="20.100000000000001" customHeight="1" x14ac:dyDescent="0.25">
      <c r="A132" s="17">
        <v>45790</v>
      </c>
      <c r="B132" s="9" t="s">
        <v>250</v>
      </c>
      <c r="C132" s="9" t="s">
        <v>489</v>
      </c>
      <c r="D132" s="39" t="s">
        <v>62</v>
      </c>
      <c r="E132" s="9" t="s">
        <v>13</v>
      </c>
      <c r="F132" s="9">
        <v>4</v>
      </c>
      <c r="G132" s="25" t="s">
        <v>6</v>
      </c>
      <c r="H132" s="9">
        <v>19.204000000000001</v>
      </c>
      <c r="I132" s="60">
        <v>76.816000000000003</v>
      </c>
    </row>
    <row r="133" spans="1:9" s="24" customFormat="1" ht="20.100000000000001" customHeight="1" x14ac:dyDescent="0.25">
      <c r="A133" s="17">
        <v>45792</v>
      </c>
      <c r="B133" s="9" t="s">
        <v>250</v>
      </c>
      <c r="C133" s="9" t="s">
        <v>489</v>
      </c>
      <c r="D133" s="39" t="s">
        <v>62</v>
      </c>
      <c r="E133" s="9" t="s">
        <v>13</v>
      </c>
      <c r="F133" s="9">
        <v>4</v>
      </c>
      <c r="G133" s="25" t="s">
        <v>6</v>
      </c>
      <c r="H133" s="9">
        <v>19.204000000000001</v>
      </c>
      <c r="I133" s="60">
        <v>76.816000000000003</v>
      </c>
    </row>
    <row r="134" spans="1:9" s="24" customFormat="1" ht="20.100000000000001" customHeight="1" x14ac:dyDescent="0.25">
      <c r="A134" s="28">
        <v>45795</v>
      </c>
      <c r="B134" s="9" t="s">
        <v>250</v>
      </c>
      <c r="C134" s="28" t="s">
        <v>486</v>
      </c>
      <c r="D134" s="29" t="s">
        <v>215</v>
      </c>
      <c r="E134" s="30" t="s">
        <v>216</v>
      </c>
      <c r="F134" s="9">
        <v>3</v>
      </c>
      <c r="G134" s="9" t="s">
        <v>128</v>
      </c>
      <c r="H134" s="31">
        <v>25.256599999999999</v>
      </c>
      <c r="I134" s="60">
        <v>75.769800000000004</v>
      </c>
    </row>
    <row r="135" spans="1:9" s="24" customFormat="1" ht="20.100000000000001" customHeight="1" x14ac:dyDescent="0.25">
      <c r="A135" s="34">
        <v>45807</v>
      </c>
      <c r="B135" s="9" t="s">
        <v>250</v>
      </c>
      <c r="C135" s="23" t="s">
        <v>485</v>
      </c>
      <c r="D135" s="38" t="s">
        <v>140</v>
      </c>
      <c r="E135" s="23" t="s">
        <v>141</v>
      </c>
      <c r="F135" s="23">
        <v>8</v>
      </c>
      <c r="G135" s="9" t="s">
        <v>128</v>
      </c>
      <c r="H135" s="21">
        <v>8.3518000000000008</v>
      </c>
      <c r="I135" s="60">
        <v>66.814400000000006</v>
      </c>
    </row>
    <row r="136" spans="1:9" s="24" customFormat="1" ht="20.100000000000001" customHeight="1" x14ac:dyDescent="0.25">
      <c r="A136" s="28">
        <v>45798</v>
      </c>
      <c r="B136" s="9" t="s">
        <v>250</v>
      </c>
      <c r="C136" s="28" t="s">
        <v>484</v>
      </c>
      <c r="D136" s="29" t="s">
        <v>247</v>
      </c>
      <c r="E136" s="65" t="s">
        <v>446</v>
      </c>
      <c r="F136" s="9">
        <v>122</v>
      </c>
      <c r="G136" s="9" t="s">
        <v>128</v>
      </c>
      <c r="H136" s="31">
        <v>0.52580000000000005</v>
      </c>
      <c r="I136" s="60">
        <v>64.147600000000011</v>
      </c>
    </row>
    <row r="137" spans="1:9" s="24" customFormat="1" ht="20.100000000000001" customHeight="1" x14ac:dyDescent="0.25">
      <c r="A137" s="34">
        <v>45791</v>
      </c>
      <c r="B137" s="9" t="s">
        <v>250</v>
      </c>
      <c r="C137" s="23" t="s">
        <v>485</v>
      </c>
      <c r="D137" s="38" t="s">
        <v>148</v>
      </c>
      <c r="E137" s="9" t="s">
        <v>185</v>
      </c>
      <c r="F137" s="23">
        <v>26</v>
      </c>
      <c r="G137" s="23" t="s">
        <v>128</v>
      </c>
      <c r="H137" s="21">
        <v>2.3513999999999999</v>
      </c>
      <c r="I137" s="60">
        <v>61.136399999999995</v>
      </c>
    </row>
    <row r="138" spans="1:9" s="24" customFormat="1" ht="20.100000000000001" customHeight="1" x14ac:dyDescent="0.25">
      <c r="A138" s="75">
        <v>45799</v>
      </c>
      <c r="B138" s="67" t="s">
        <v>250</v>
      </c>
      <c r="C138" s="72" t="s">
        <v>489</v>
      </c>
      <c r="D138" s="68" t="s">
        <v>46</v>
      </c>
      <c r="E138" s="77" t="s">
        <v>12</v>
      </c>
      <c r="F138" s="67">
        <v>2</v>
      </c>
      <c r="G138" s="70" t="s">
        <v>125</v>
      </c>
      <c r="H138" s="71"/>
      <c r="I138" s="60">
        <v>0</v>
      </c>
    </row>
    <row r="139" spans="1:9" s="24" customFormat="1" ht="20.100000000000001" customHeight="1" x14ac:dyDescent="0.25">
      <c r="A139" s="28">
        <v>45795</v>
      </c>
      <c r="B139" s="9" t="s">
        <v>250</v>
      </c>
      <c r="C139" s="28" t="s">
        <v>486</v>
      </c>
      <c r="D139" s="29" t="s">
        <v>221</v>
      </c>
      <c r="E139" s="65" t="s">
        <v>451</v>
      </c>
      <c r="F139" s="9">
        <v>16</v>
      </c>
      <c r="G139" s="9" t="s">
        <v>128</v>
      </c>
      <c r="H139" s="32">
        <v>3.4986999999999999</v>
      </c>
      <c r="I139" s="60">
        <v>55.979199999999999</v>
      </c>
    </row>
    <row r="140" spans="1:9" s="24" customFormat="1" ht="18.899999999999999" customHeight="1" x14ac:dyDescent="0.25">
      <c r="A140" s="34">
        <v>45787</v>
      </c>
      <c r="B140" s="9" t="s">
        <v>250</v>
      </c>
      <c r="C140" s="23" t="s">
        <v>485</v>
      </c>
      <c r="D140" s="38" t="s">
        <v>140</v>
      </c>
      <c r="E140" s="23" t="s">
        <v>182</v>
      </c>
      <c r="F140" s="23">
        <v>7</v>
      </c>
      <c r="G140" s="23" t="s">
        <v>128</v>
      </c>
      <c r="H140" s="21">
        <v>8.3518000000000008</v>
      </c>
      <c r="I140" s="60">
        <v>58.462600000000009</v>
      </c>
    </row>
    <row r="141" spans="1:9" ht="15.6" x14ac:dyDescent="0.25">
      <c r="A141" s="28">
        <v>45798</v>
      </c>
      <c r="B141" s="9" t="s">
        <v>250</v>
      </c>
      <c r="C141" s="28" t="s">
        <v>484</v>
      </c>
      <c r="D141" s="29" t="s">
        <v>245</v>
      </c>
      <c r="E141" s="65" t="s">
        <v>246</v>
      </c>
      <c r="F141" s="9">
        <v>105</v>
      </c>
      <c r="G141" s="9" t="s">
        <v>128</v>
      </c>
      <c r="H141" s="31">
        <v>0.54310000000000003</v>
      </c>
      <c r="I141" s="60">
        <v>57.025500000000001</v>
      </c>
    </row>
    <row r="142" spans="1:9" x14ac:dyDescent="0.25">
      <c r="A142" s="34">
        <v>45796</v>
      </c>
      <c r="B142" s="9" t="s">
        <v>250</v>
      </c>
      <c r="C142" s="23" t="s">
        <v>485</v>
      </c>
      <c r="D142" s="39" t="s">
        <v>144</v>
      </c>
      <c r="E142" s="9" t="s">
        <v>145</v>
      </c>
      <c r="F142" s="23">
        <v>5</v>
      </c>
      <c r="G142" s="27" t="s">
        <v>128</v>
      </c>
      <c r="H142" s="21">
        <v>11.3788</v>
      </c>
      <c r="I142" s="60">
        <v>56.893999999999998</v>
      </c>
    </row>
    <row r="143" spans="1:9" x14ac:dyDescent="0.25">
      <c r="A143" s="17">
        <v>45790</v>
      </c>
      <c r="B143" s="9" t="s">
        <v>250</v>
      </c>
      <c r="C143" s="9" t="s">
        <v>489</v>
      </c>
      <c r="D143" s="40" t="s">
        <v>58</v>
      </c>
      <c r="E143" s="15" t="s">
        <v>18</v>
      </c>
      <c r="F143" s="10">
        <v>4</v>
      </c>
      <c r="G143" s="25" t="s">
        <v>6</v>
      </c>
      <c r="H143" s="9">
        <v>22.7425</v>
      </c>
      <c r="I143" s="60">
        <v>90.97</v>
      </c>
    </row>
    <row r="144" spans="1:9" ht="15.6" x14ac:dyDescent="0.25">
      <c r="A144" s="17">
        <v>45805</v>
      </c>
      <c r="B144" s="9" t="s">
        <v>250</v>
      </c>
      <c r="C144" s="4" t="s">
        <v>489</v>
      </c>
      <c r="D144" s="39" t="s">
        <v>62</v>
      </c>
      <c r="E144" s="9" t="s">
        <v>103</v>
      </c>
      <c r="F144" s="9">
        <v>3</v>
      </c>
      <c r="G144" s="25" t="s">
        <v>6</v>
      </c>
      <c r="H144" s="9">
        <v>19.204000000000001</v>
      </c>
      <c r="I144" s="60">
        <v>57.612000000000002</v>
      </c>
    </row>
    <row r="145" spans="1:9" x14ac:dyDescent="0.25">
      <c r="A145" s="34">
        <v>45799</v>
      </c>
      <c r="B145" s="9" t="s">
        <v>250</v>
      </c>
      <c r="C145" s="23" t="s">
        <v>485</v>
      </c>
      <c r="D145" s="38" t="s">
        <v>133</v>
      </c>
      <c r="E145" s="23" t="s">
        <v>134</v>
      </c>
      <c r="F145" s="23">
        <v>5</v>
      </c>
      <c r="G145" s="23" t="s">
        <v>128</v>
      </c>
      <c r="H145" s="21">
        <v>10.037000000000001</v>
      </c>
      <c r="I145" s="60">
        <v>50.185000000000002</v>
      </c>
    </row>
    <row r="146" spans="1:9" ht="15.6" x14ac:dyDescent="0.25">
      <c r="A146" s="66">
        <v>45805</v>
      </c>
      <c r="B146" s="67" t="s">
        <v>250</v>
      </c>
      <c r="C146" s="72" t="s">
        <v>489</v>
      </c>
      <c r="D146" s="68" t="s">
        <v>86</v>
      </c>
      <c r="E146" s="67" t="s">
        <v>172</v>
      </c>
      <c r="F146" s="67">
        <v>29</v>
      </c>
      <c r="G146" s="70" t="s">
        <v>125</v>
      </c>
      <c r="H146" s="71"/>
      <c r="I146" s="60">
        <v>0</v>
      </c>
    </row>
    <row r="147" spans="1:9" ht="15.6" x14ac:dyDescent="0.25">
      <c r="A147" s="28">
        <v>45796</v>
      </c>
      <c r="B147" s="9" t="s">
        <v>250</v>
      </c>
      <c r="C147" s="28" t="s">
        <v>486</v>
      </c>
      <c r="D147" s="29" t="s">
        <v>187</v>
      </c>
      <c r="E147" s="30" t="s">
        <v>188</v>
      </c>
      <c r="F147" s="9">
        <v>2</v>
      </c>
      <c r="G147" s="9" t="s">
        <v>128</v>
      </c>
      <c r="H147" s="31">
        <v>27.2667</v>
      </c>
      <c r="I147" s="60">
        <v>54.5334</v>
      </c>
    </row>
    <row r="148" spans="1:9" x14ac:dyDescent="0.25">
      <c r="A148" s="66">
        <v>45790</v>
      </c>
      <c r="B148" s="67" t="s">
        <v>250</v>
      </c>
      <c r="C148" s="67" t="s">
        <v>489</v>
      </c>
      <c r="D148" s="68" t="s">
        <v>51</v>
      </c>
      <c r="E148" s="67" t="s">
        <v>172</v>
      </c>
      <c r="F148" s="69">
        <v>26</v>
      </c>
      <c r="G148" s="70" t="s">
        <v>125</v>
      </c>
      <c r="H148" s="71"/>
      <c r="I148" s="60">
        <v>0</v>
      </c>
    </row>
    <row r="149" spans="1:9" ht="15.6" x14ac:dyDescent="0.25">
      <c r="A149" s="28">
        <v>45795</v>
      </c>
      <c r="B149" s="9" t="s">
        <v>250</v>
      </c>
      <c r="C149" s="28" t="s">
        <v>486</v>
      </c>
      <c r="D149" s="29" t="s">
        <v>215</v>
      </c>
      <c r="E149" s="30" t="s">
        <v>216</v>
      </c>
      <c r="F149" s="9">
        <v>2</v>
      </c>
      <c r="G149" s="9" t="s">
        <v>128</v>
      </c>
      <c r="H149" s="31">
        <v>25.256599999999999</v>
      </c>
      <c r="I149" s="60">
        <v>50.513199999999998</v>
      </c>
    </row>
    <row r="150" spans="1:9" x14ac:dyDescent="0.25">
      <c r="A150" s="17">
        <v>45790</v>
      </c>
      <c r="B150" s="9" t="s">
        <v>250</v>
      </c>
      <c r="C150" s="9" t="s">
        <v>489</v>
      </c>
      <c r="D150" s="39" t="s">
        <v>49</v>
      </c>
      <c r="E150" s="10" t="s">
        <v>425</v>
      </c>
      <c r="F150" s="11">
        <v>9</v>
      </c>
      <c r="G150" s="25" t="s">
        <v>6</v>
      </c>
      <c r="H150" s="9">
        <v>4.7911000000000001</v>
      </c>
      <c r="I150" s="60">
        <v>43.119900000000001</v>
      </c>
    </row>
    <row r="151" spans="1:9" x14ac:dyDescent="0.25">
      <c r="A151" s="17">
        <v>45790</v>
      </c>
      <c r="B151" s="9" t="s">
        <v>250</v>
      </c>
      <c r="C151" s="9" t="s">
        <v>489</v>
      </c>
      <c r="D151" s="39" t="s">
        <v>49</v>
      </c>
      <c r="E151" s="9" t="s">
        <v>426</v>
      </c>
      <c r="F151" s="11">
        <v>9</v>
      </c>
      <c r="G151" s="25" t="s">
        <v>6</v>
      </c>
      <c r="H151" s="9">
        <v>4.7911000000000001</v>
      </c>
      <c r="I151" s="60">
        <v>43.119900000000001</v>
      </c>
    </row>
    <row r="152" spans="1:9" x14ac:dyDescent="0.25">
      <c r="A152" s="17">
        <v>45789</v>
      </c>
      <c r="B152" s="9" t="s">
        <v>250</v>
      </c>
      <c r="C152" s="9" t="s">
        <v>489</v>
      </c>
      <c r="D152" s="39" t="s">
        <v>32</v>
      </c>
      <c r="E152" s="10" t="s">
        <v>19</v>
      </c>
      <c r="F152" s="11">
        <v>16</v>
      </c>
      <c r="G152" s="25" t="s">
        <v>6</v>
      </c>
      <c r="H152" s="9">
        <v>3.0209999999999999</v>
      </c>
      <c r="I152" s="60">
        <v>48.335999999999999</v>
      </c>
    </row>
    <row r="153" spans="1:9" ht="15.6" x14ac:dyDescent="0.25">
      <c r="A153" s="28">
        <v>45790</v>
      </c>
      <c r="B153" s="9" t="s">
        <v>250</v>
      </c>
      <c r="C153" s="28" t="s">
        <v>486</v>
      </c>
      <c r="D153" s="29" t="s">
        <v>213</v>
      </c>
      <c r="E153" s="65" t="s">
        <v>419</v>
      </c>
      <c r="F153" s="9">
        <v>90</v>
      </c>
      <c r="G153" s="9" t="s">
        <v>128</v>
      </c>
      <c r="H153" s="32">
        <v>0.53</v>
      </c>
      <c r="I153" s="60">
        <v>47.7</v>
      </c>
    </row>
    <row r="154" spans="1:9" ht="15.6" x14ac:dyDescent="0.25">
      <c r="A154" s="28">
        <v>45790</v>
      </c>
      <c r="B154" s="9" t="s">
        <v>250</v>
      </c>
      <c r="C154" s="28" t="s">
        <v>486</v>
      </c>
      <c r="D154" s="29" t="s">
        <v>196</v>
      </c>
      <c r="E154" s="65" t="s">
        <v>441</v>
      </c>
      <c r="F154" s="9">
        <v>4</v>
      </c>
      <c r="G154" s="9" t="s">
        <v>128</v>
      </c>
      <c r="H154" s="32">
        <v>11.628299999999999</v>
      </c>
      <c r="I154" s="60">
        <v>46.513199999999998</v>
      </c>
    </row>
    <row r="155" spans="1:9" ht="15.6" x14ac:dyDescent="0.25">
      <c r="A155" s="28">
        <v>45790</v>
      </c>
      <c r="B155" s="9" t="s">
        <v>250</v>
      </c>
      <c r="C155" s="28" t="s">
        <v>486</v>
      </c>
      <c r="D155" s="29" t="s">
        <v>203</v>
      </c>
      <c r="E155" s="30" t="s">
        <v>204</v>
      </c>
      <c r="F155" s="9">
        <v>1</v>
      </c>
      <c r="G155" s="9" t="s">
        <v>128</v>
      </c>
      <c r="H155" s="32">
        <v>44.4726</v>
      </c>
      <c r="I155" s="60">
        <v>44.4726</v>
      </c>
    </row>
    <row r="156" spans="1:9" ht="15.6" x14ac:dyDescent="0.25">
      <c r="A156" s="28">
        <v>45790</v>
      </c>
      <c r="B156" s="9" t="s">
        <v>250</v>
      </c>
      <c r="C156" s="28" t="s">
        <v>486</v>
      </c>
      <c r="D156" s="29" t="s">
        <v>203</v>
      </c>
      <c r="E156" s="30" t="s">
        <v>204</v>
      </c>
      <c r="F156" s="9">
        <v>1</v>
      </c>
      <c r="G156" s="9" t="s">
        <v>128</v>
      </c>
      <c r="H156" s="31">
        <v>44.4726</v>
      </c>
      <c r="I156" s="60">
        <v>44.4726</v>
      </c>
    </row>
    <row r="157" spans="1:9" x14ac:dyDescent="0.25">
      <c r="A157" s="17">
        <v>45789</v>
      </c>
      <c r="B157" s="9" t="s">
        <v>250</v>
      </c>
      <c r="C157" s="9" t="s">
        <v>489</v>
      </c>
      <c r="D157" s="39" t="s">
        <v>29</v>
      </c>
      <c r="E157" s="10" t="s">
        <v>89</v>
      </c>
      <c r="F157" s="11">
        <v>15</v>
      </c>
      <c r="G157" s="25" t="s">
        <v>6</v>
      </c>
      <c r="H157" s="9">
        <v>2.9420000000000002</v>
      </c>
      <c r="I157" s="60">
        <v>44.13</v>
      </c>
    </row>
    <row r="158" spans="1:9" x14ac:dyDescent="0.25">
      <c r="A158" s="17">
        <v>45789</v>
      </c>
      <c r="B158" s="9" t="s">
        <v>250</v>
      </c>
      <c r="C158" s="9" t="s">
        <v>489</v>
      </c>
      <c r="D158" s="39" t="s">
        <v>29</v>
      </c>
      <c r="E158" s="10" t="s">
        <v>90</v>
      </c>
      <c r="F158" s="11">
        <v>15</v>
      </c>
      <c r="G158" s="25" t="s">
        <v>6</v>
      </c>
      <c r="H158" s="9">
        <v>2.9420000000000002</v>
      </c>
      <c r="I158" s="60">
        <v>44.13</v>
      </c>
    </row>
    <row r="159" spans="1:9" ht="15.6" x14ac:dyDescent="0.25">
      <c r="A159" s="28">
        <v>45774</v>
      </c>
      <c r="B159" s="9" t="s">
        <v>250</v>
      </c>
      <c r="C159" s="28" t="s">
        <v>486</v>
      </c>
      <c r="D159" s="29" t="s">
        <v>224</v>
      </c>
      <c r="E159" s="30" t="s">
        <v>225</v>
      </c>
      <c r="F159" s="9">
        <v>1</v>
      </c>
      <c r="G159" s="9" t="s">
        <v>128</v>
      </c>
      <c r="H159" s="32">
        <v>43.274299999999997</v>
      </c>
      <c r="I159" s="60">
        <v>43.274299999999997</v>
      </c>
    </row>
    <row r="160" spans="1:9" x14ac:dyDescent="0.25">
      <c r="A160" s="17">
        <v>45789</v>
      </c>
      <c r="B160" s="9" t="s">
        <v>250</v>
      </c>
      <c r="C160" s="9" t="s">
        <v>489</v>
      </c>
      <c r="D160" s="39" t="s">
        <v>44</v>
      </c>
      <c r="E160" s="9" t="s">
        <v>99</v>
      </c>
      <c r="F160" s="9">
        <v>23</v>
      </c>
      <c r="G160" s="25" t="s">
        <v>6</v>
      </c>
      <c r="H160" s="9">
        <v>1.85</v>
      </c>
      <c r="I160" s="60">
        <v>42.550000000000004</v>
      </c>
    </row>
    <row r="161" spans="1:9" ht="15.6" x14ac:dyDescent="0.25">
      <c r="A161" s="66">
        <v>45805</v>
      </c>
      <c r="B161" s="67" t="s">
        <v>250</v>
      </c>
      <c r="C161" s="72" t="s">
        <v>489</v>
      </c>
      <c r="D161" s="68" t="s">
        <v>85</v>
      </c>
      <c r="E161" s="67" t="s">
        <v>82</v>
      </c>
      <c r="F161" s="67">
        <v>1</v>
      </c>
      <c r="G161" s="70" t="s">
        <v>125</v>
      </c>
      <c r="H161" s="71"/>
      <c r="I161" s="60">
        <v>0</v>
      </c>
    </row>
    <row r="162" spans="1:9" ht="15.6" x14ac:dyDescent="0.25">
      <c r="A162" s="3">
        <v>45799</v>
      </c>
      <c r="B162" s="9" t="s">
        <v>250</v>
      </c>
      <c r="C162" s="4" t="s">
        <v>489</v>
      </c>
      <c r="D162" s="40" t="s">
        <v>69</v>
      </c>
      <c r="E162" s="12" t="s">
        <v>42</v>
      </c>
      <c r="F162" s="9">
        <v>3</v>
      </c>
      <c r="G162" s="25" t="s">
        <v>6</v>
      </c>
      <c r="H162" s="9">
        <v>11.773300000000001</v>
      </c>
      <c r="I162" s="60">
        <v>35.319900000000004</v>
      </c>
    </row>
    <row r="163" spans="1:9" x14ac:dyDescent="0.25">
      <c r="A163" s="17">
        <v>45790</v>
      </c>
      <c r="B163" s="9" t="s">
        <v>250</v>
      </c>
      <c r="C163" s="9" t="s">
        <v>489</v>
      </c>
      <c r="D163" s="39" t="s">
        <v>61</v>
      </c>
      <c r="E163" s="12" t="s">
        <v>16</v>
      </c>
      <c r="F163" s="10">
        <v>3</v>
      </c>
      <c r="G163" s="25" t="s">
        <v>6</v>
      </c>
      <c r="H163" s="9">
        <v>11.773300000000001</v>
      </c>
      <c r="I163" s="60">
        <v>35.319900000000004</v>
      </c>
    </row>
    <row r="164" spans="1:9" ht="15.6" x14ac:dyDescent="0.25">
      <c r="A164" s="17">
        <v>45805</v>
      </c>
      <c r="B164" s="9" t="s">
        <v>250</v>
      </c>
      <c r="C164" s="4" t="s">
        <v>489</v>
      </c>
      <c r="D164" s="40" t="s">
        <v>251</v>
      </c>
      <c r="E164" s="9" t="s">
        <v>16</v>
      </c>
      <c r="F164" s="9">
        <v>3</v>
      </c>
      <c r="G164" s="25" t="s">
        <v>6</v>
      </c>
      <c r="H164" s="9">
        <v>11.773300000000001</v>
      </c>
      <c r="I164" s="60">
        <v>35.319900000000004</v>
      </c>
    </row>
    <row r="165" spans="1:9" ht="15.6" x14ac:dyDescent="0.25">
      <c r="A165" s="28">
        <v>45795</v>
      </c>
      <c r="B165" s="9" t="s">
        <v>250</v>
      </c>
      <c r="C165" s="28" t="s">
        <v>486</v>
      </c>
      <c r="D165" s="57" t="s">
        <v>331</v>
      </c>
      <c r="E165" s="65" t="s">
        <v>443</v>
      </c>
      <c r="F165" s="9">
        <v>7</v>
      </c>
      <c r="G165" s="9" t="s">
        <v>128</v>
      </c>
      <c r="H165" s="32">
        <v>5.6056999999999997</v>
      </c>
      <c r="I165" s="60">
        <v>39.239899999999999</v>
      </c>
    </row>
    <row r="166" spans="1:9" ht="15.6" x14ac:dyDescent="0.25">
      <c r="A166" s="28">
        <v>45774</v>
      </c>
      <c r="B166" s="9" t="s">
        <v>250</v>
      </c>
      <c r="C166" s="28" t="s">
        <v>486</v>
      </c>
      <c r="D166" s="29" t="s">
        <v>229</v>
      </c>
      <c r="E166" s="65" t="s">
        <v>449</v>
      </c>
      <c r="F166" s="9">
        <v>4</v>
      </c>
      <c r="G166" s="9" t="s">
        <v>128</v>
      </c>
      <c r="H166" s="32">
        <v>9.7737999999999996</v>
      </c>
      <c r="I166" s="60">
        <v>39.095199999999998</v>
      </c>
    </row>
    <row r="167" spans="1:9" ht="15.6" x14ac:dyDescent="0.25">
      <c r="A167" s="75">
        <v>45799</v>
      </c>
      <c r="B167" s="67" t="s">
        <v>250</v>
      </c>
      <c r="C167" s="72" t="s">
        <v>489</v>
      </c>
      <c r="D167" s="79" t="s">
        <v>59</v>
      </c>
      <c r="E167" s="67" t="s">
        <v>41</v>
      </c>
      <c r="F167" s="67">
        <v>2</v>
      </c>
      <c r="G167" s="76" t="s">
        <v>8</v>
      </c>
      <c r="H167" s="71">
        <v>17.255500000000001</v>
      </c>
      <c r="I167" s="60">
        <v>34.511000000000003</v>
      </c>
    </row>
    <row r="168" spans="1:9" x14ac:dyDescent="0.25">
      <c r="A168" s="17">
        <v>45789</v>
      </c>
      <c r="B168" s="9" t="s">
        <v>250</v>
      </c>
      <c r="C168" s="9" t="s">
        <v>489</v>
      </c>
      <c r="D168" s="39" t="s">
        <v>62</v>
      </c>
      <c r="E168" s="10" t="s">
        <v>101</v>
      </c>
      <c r="F168" s="11">
        <v>2</v>
      </c>
      <c r="G168" s="25" t="s">
        <v>6</v>
      </c>
      <c r="H168" s="9">
        <v>19.204000000000001</v>
      </c>
      <c r="I168" s="60">
        <v>38.408000000000001</v>
      </c>
    </row>
    <row r="169" spans="1:9" ht="15.6" x14ac:dyDescent="0.25">
      <c r="A169" s="28">
        <v>45795</v>
      </c>
      <c r="B169" s="9" t="s">
        <v>250</v>
      </c>
      <c r="C169" s="28" t="s">
        <v>486</v>
      </c>
      <c r="D169" s="29" t="s">
        <v>226</v>
      </c>
      <c r="E169" s="65" t="s">
        <v>447</v>
      </c>
      <c r="F169" s="9">
        <v>19</v>
      </c>
      <c r="G169" s="9" t="s">
        <v>128</v>
      </c>
      <c r="H169" s="32">
        <v>2.0181</v>
      </c>
      <c r="I169" s="60">
        <v>38.343899999999998</v>
      </c>
    </row>
    <row r="170" spans="1:9" x14ac:dyDescent="0.25">
      <c r="A170" s="66">
        <v>45797</v>
      </c>
      <c r="B170" s="67" t="s">
        <v>250</v>
      </c>
      <c r="C170" s="67" t="s">
        <v>489</v>
      </c>
      <c r="D170" s="68" t="s">
        <v>51</v>
      </c>
      <c r="E170" s="67" t="s">
        <v>39</v>
      </c>
      <c r="F170" s="67">
        <v>19</v>
      </c>
      <c r="G170" s="70" t="s">
        <v>125</v>
      </c>
      <c r="H170" s="71"/>
      <c r="I170" s="60">
        <v>0</v>
      </c>
    </row>
    <row r="171" spans="1:9" x14ac:dyDescent="0.25">
      <c r="A171" s="34">
        <v>45785</v>
      </c>
      <c r="B171" s="9" t="s">
        <v>250</v>
      </c>
      <c r="C171" s="23" t="s">
        <v>485</v>
      </c>
      <c r="D171" s="39" t="s">
        <v>133</v>
      </c>
      <c r="E171" s="9" t="s">
        <v>127</v>
      </c>
      <c r="F171" s="23">
        <v>3</v>
      </c>
      <c r="G171" s="23" t="s">
        <v>128</v>
      </c>
      <c r="H171" s="21">
        <v>10.037000000000001</v>
      </c>
      <c r="I171" s="60">
        <v>30.111000000000004</v>
      </c>
    </row>
    <row r="172" spans="1:9" x14ac:dyDescent="0.25">
      <c r="A172" s="66">
        <v>45789</v>
      </c>
      <c r="B172" s="67" t="s">
        <v>250</v>
      </c>
      <c r="C172" s="67" t="s">
        <v>489</v>
      </c>
      <c r="D172" s="68" t="s">
        <v>46</v>
      </c>
      <c r="E172" s="76" t="s">
        <v>174</v>
      </c>
      <c r="F172" s="69">
        <v>1</v>
      </c>
      <c r="G172" s="70" t="s">
        <v>125</v>
      </c>
      <c r="H172" s="71"/>
      <c r="I172" s="60">
        <v>0</v>
      </c>
    </row>
    <row r="173" spans="1:9" ht="15.6" x14ac:dyDescent="0.25">
      <c r="A173" s="17">
        <v>45805</v>
      </c>
      <c r="B173" s="9" t="s">
        <v>250</v>
      </c>
      <c r="C173" s="4" t="s">
        <v>489</v>
      </c>
      <c r="D173" s="39" t="s">
        <v>48</v>
      </c>
      <c r="E173" s="9" t="s">
        <v>17</v>
      </c>
      <c r="F173" s="9">
        <v>17</v>
      </c>
      <c r="G173" s="25" t="s">
        <v>6</v>
      </c>
      <c r="H173" s="9">
        <v>1.85</v>
      </c>
      <c r="I173" s="60">
        <v>31.450000000000003</v>
      </c>
    </row>
    <row r="174" spans="1:9" ht="15.6" x14ac:dyDescent="0.25">
      <c r="A174" s="28">
        <v>45790</v>
      </c>
      <c r="B174" s="9" t="s">
        <v>250</v>
      </c>
      <c r="C174" s="28" t="s">
        <v>486</v>
      </c>
      <c r="D174" s="29" t="s">
        <v>201</v>
      </c>
      <c r="E174" s="65" t="s">
        <v>436</v>
      </c>
      <c r="F174" s="9">
        <v>2</v>
      </c>
      <c r="G174" s="9" t="s">
        <v>128</v>
      </c>
      <c r="H174" s="32">
        <v>15.2744</v>
      </c>
      <c r="I174" s="60">
        <v>30.5488</v>
      </c>
    </row>
    <row r="175" spans="1:9" x14ac:dyDescent="0.25">
      <c r="A175" s="34">
        <v>45799</v>
      </c>
      <c r="B175" s="9" t="s">
        <v>250</v>
      </c>
      <c r="C175" s="23" t="s">
        <v>485</v>
      </c>
      <c r="D175" s="38" t="s">
        <v>162</v>
      </c>
      <c r="E175" s="9" t="s">
        <v>410</v>
      </c>
      <c r="F175" s="23">
        <v>3</v>
      </c>
      <c r="G175" s="23" t="s">
        <v>128</v>
      </c>
      <c r="H175" s="21">
        <v>8.6704000000000008</v>
      </c>
      <c r="I175" s="60">
        <v>26.011200000000002</v>
      </c>
    </row>
    <row r="176" spans="1:9" x14ac:dyDescent="0.25">
      <c r="A176" s="34">
        <v>45807</v>
      </c>
      <c r="B176" s="9" t="s">
        <v>250</v>
      </c>
      <c r="C176" s="23" t="s">
        <v>485</v>
      </c>
      <c r="D176" s="38" t="s">
        <v>170</v>
      </c>
      <c r="E176" s="9" t="s">
        <v>421</v>
      </c>
      <c r="F176" s="23">
        <v>15</v>
      </c>
      <c r="G176" s="9" t="s">
        <v>128</v>
      </c>
      <c r="H176" s="21">
        <v>1.7216</v>
      </c>
      <c r="I176" s="60">
        <v>25.824000000000002</v>
      </c>
    </row>
    <row r="177" spans="1:9" ht="15.6" x14ac:dyDescent="0.25">
      <c r="A177" s="28">
        <v>45774</v>
      </c>
      <c r="B177" s="9" t="s">
        <v>250</v>
      </c>
      <c r="C177" s="28" t="s">
        <v>486</v>
      </c>
      <c r="D177" s="29" t="s">
        <v>231</v>
      </c>
      <c r="E177" s="30" t="s">
        <v>232</v>
      </c>
      <c r="F177" s="9">
        <v>5</v>
      </c>
      <c r="G177" s="9" t="s">
        <v>128</v>
      </c>
      <c r="H177" s="31">
        <v>5.6056999999999997</v>
      </c>
      <c r="I177" s="60">
        <v>28.028499999999998</v>
      </c>
    </row>
    <row r="178" spans="1:9" ht="15.6" x14ac:dyDescent="0.25">
      <c r="A178" s="28">
        <v>45796</v>
      </c>
      <c r="B178" s="9" t="s">
        <v>250</v>
      </c>
      <c r="C178" s="28" t="s">
        <v>486</v>
      </c>
      <c r="D178" s="29" t="s">
        <v>187</v>
      </c>
      <c r="E178" s="30" t="s">
        <v>188</v>
      </c>
      <c r="F178" s="9">
        <v>1</v>
      </c>
      <c r="G178" s="9" t="s">
        <v>128</v>
      </c>
      <c r="H178" s="31">
        <v>27.2667</v>
      </c>
      <c r="I178" s="60">
        <v>27.2667</v>
      </c>
    </row>
    <row r="179" spans="1:9" ht="15.6" x14ac:dyDescent="0.25">
      <c r="A179" s="28">
        <v>45796</v>
      </c>
      <c r="B179" s="9" t="s">
        <v>250</v>
      </c>
      <c r="C179" s="28" t="s">
        <v>486</v>
      </c>
      <c r="D179" s="29" t="s">
        <v>187</v>
      </c>
      <c r="E179" s="30" t="s">
        <v>188</v>
      </c>
      <c r="F179" s="9">
        <v>1</v>
      </c>
      <c r="G179" s="9" t="s">
        <v>128</v>
      </c>
      <c r="H179" s="32">
        <v>27.2667</v>
      </c>
      <c r="I179" s="60">
        <v>27.2667</v>
      </c>
    </row>
    <row r="180" spans="1:9" x14ac:dyDescent="0.25">
      <c r="A180" s="66">
        <v>45789</v>
      </c>
      <c r="B180" s="67" t="s">
        <v>250</v>
      </c>
      <c r="C180" s="67" t="s">
        <v>489</v>
      </c>
      <c r="D180" s="68" t="s">
        <v>56</v>
      </c>
      <c r="E180" s="76" t="s">
        <v>123</v>
      </c>
      <c r="F180" s="69">
        <v>1</v>
      </c>
      <c r="G180" s="76" t="s">
        <v>8</v>
      </c>
      <c r="H180" s="71">
        <v>23.690300000000001</v>
      </c>
      <c r="I180" s="60">
        <v>23.690300000000001</v>
      </c>
    </row>
    <row r="181" spans="1:9" ht="15.6" x14ac:dyDescent="0.25">
      <c r="A181" s="17">
        <v>45805</v>
      </c>
      <c r="B181" s="9" t="s">
        <v>250</v>
      </c>
      <c r="C181" s="4" t="s">
        <v>489</v>
      </c>
      <c r="D181" s="40" t="s">
        <v>69</v>
      </c>
      <c r="E181" s="9" t="s">
        <v>42</v>
      </c>
      <c r="F181" s="9">
        <v>2</v>
      </c>
      <c r="G181" s="25" t="s">
        <v>6</v>
      </c>
      <c r="H181" s="9">
        <v>11.773300000000001</v>
      </c>
      <c r="I181" s="60">
        <v>23.546600000000002</v>
      </c>
    </row>
    <row r="182" spans="1:9" ht="15.6" x14ac:dyDescent="0.25">
      <c r="A182" s="3">
        <v>45799</v>
      </c>
      <c r="B182" s="9" t="s">
        <v>250</v>
      </c>
      <c r="C182" s="4" t="s">
        <v>489</v>
      </c>
      <c r="D182" s="40" t="s">
        <v>251</v>
      </c>
      <c r="E182" s="9" t="s">
        <v>16</v>
      </c>
      <c r="F182" s="9">
        <v>2</v>
      </c>
      <c r="G182" s="25" t="s">
        <v>6</v>
      </c>
      <c r="H182" s="9">
        <v>11.773300000000001</v>
      </c>
      <c r="I182" s="60">
        <v>23.546600000000002</v>
      </c>
    </row>
    <row r="183" spans="1:9" x14ac:dyDescent="0.25">
      <c r="A183" s="17">
        <v>45790</v>
      </c>
      <c r="B183" s="9" t="s">
        <v>250</v>
      </c>
      <c r="C183" s="9" t="s">
        <v>489</v>
      </c>
      <c r="D183" s="39" t="s">
        <v>49</v>
      </c>
      <c r="E183" s="10" t="s">
        <v>91</v>
      </c>
      <c r="F183" s="11">
        <v>9</v>
      </c>
      <c r="G183" s="25" t="s">
        <v>6</v>
      </c>
      <c r="H183" s="9">
        <v>2.4201999999999999</v>
      </c>
      <c r="I183" s="60">
        <v>21.7818</v>
      </c>
    </row>
    <row r="184" spans="1:9" x14ac:dyDescent="0.25">
      <c r="A184" s="17">
        <v>45790</v>
      </c>
      <c r="B184" s="9" t="s">
        <v>250</v>
      </c>
      <c r="C184" s="9" t="s">
        <v>489</v>
      </c>
      <c r="D184" s="39" t="s">
        <v>49</v>
      </c>
      <c r="E184" s="10" t="s">
        <v>38</v>
      </c>
      <c r="F184" s="11">
        <v>9</v>
      </c>
      <c r="G184" s="25" t="s">
        <v>6</v>
      </c>
      <c r="H184" s="9">
        <v>2.4201999999999999</v>
      </c>
      <c r="I184" s="60">
        <v>21.7818</v>
      </c>
    </row>
    <row r="185" spans="1:9" ht="15.6" x14ac:dyDescent="0.25">
      <c r="A185" s="28">
        <v>45774</v>
      </c>
      <c r="B185" s="9" t="s">
        <v>250</v>
      </c>
      <c r="C185" s="28" t="s">
        <v>486</v>
      </c>
      <c r="D185" s="29" t="s">
        <v>215</v>
      </c>
      <c r="E185" s="30" t="s">
        <v>216</v>
      </c>
      <c r="F185" s="9">
        <v>1</v>
      </c>
      <c r="G185" s="9" t="s">
        <v>128</v>
      </c>
      <c r="H185" s="31">
        <v>25.256599999999999</v>
      </c>
      <c r="I185" s="60">
        <v>25.256599999999999</v>
      </c>
    </row>
    <row r="186" spans="1:9" ht="15.6" x14ac:dyDescent="0.25">
      <c r="A186" s="28">
        <v>45774</v>
      </c>
      <c r="B186" s="9" t="s">
        <v>250</v>
      </c>
      <c r="C186" s="28" t="s">
        <v>486</v>
      </c>
      <c r="D186" s="29" t="s">
        <v>215</v>
      </c>
      <c r="E186" s="30" t="s">
        <v>216</v>
      </c>
      <c r="F186" s="9">
        <v>1</v>
      </c>
      <c r="G186" s="9" t="s">
        <v>128</v>
      </c>
      <c r="H186" s="31">
        <v>25.256599999999999</v>
      </c>
      <c r="I186" s="60">
        <v>25.256599999999999</v>
      </c>
    </row>
    <row r="187" spans="1:9" ht="15.6" x14ac:dyDescent="0.25">
      <c r="A187" s="28">
        <v>45774</v>
      </c>
      <c r="B187" s="9" t="s">
        <v>250</v>
      </c>
      <c r="C187" s="28" t="s">
        <v>486</v>
      </c>
      <c r="D187" s="29" t="s">
        <v>215</v>
      </c>
      <c r="E187" s="30" t="s">
        <v>216</v>
      </c>
      <c r="F187" s="9">
        <v>1</v>
      </c>
      <c r="G187" s="9" t="s">
        <v>128</v>
      </c>
      <c r="H187" s="31">
        <v>25.256599999999999</v>
      </c>
      <c r="I187" s="60">
        <v>25.256599999999999</v>
      </c>
    </row>
    <row r="188" spans="1:9" ht="15.6" x14ac:dyDescent="0.25">
      <c r="A188" s="28">
        <v>45774</v>
      </c>
      <c r="B188" s="9" t="s">
        <v>250</v>
      </c>
      <c r="C188" s="28" t="s">
        <v>486</v>
      </c>
      <c r="D188" s="29" t="s">
        <v>230</v>
      </c>
      <c r="E188" s="65" t="s">
        <v>440</v>
      </c>
      <c r="F188" s="9">
        <v>2</v>
      </c>
      <c r="G188" s="9" t="s">
        <v>128</v>
      </c>
      <c r="H188" s="31">
        <v>12.3451</v>
      </c>
      <c r="I188" s="60">
        <v>24.690200000000001</v>
      </c>
    </row>
    <row r="189" spans="1:9" x14ac:dyDescent="0.25">
      <c r="A189" s="17">
        <v>45789</v>
      </c>
      <c r="B189" s="9" t="s">
        <v>250</v>
      </c>
      <c r="C189" s="9" t="s">
        <v>489</v>
      </c>
      <c r="D189" s="39" t="s">
        <v>33</v>
      </c>
      <c r="E189" s="10" t="s">
        <v>26</v>
      </c>
      <c r="F189" s="11">
        <v>16</v>
      </c>
      <c r="G189" s="25" t="s">
        <v>6</v>
      </c>
      <c r="H189" s="9">
        <v>1.5389999999999999</v>
      </c>
      <c r="I189" s="60">
        <v>24.623999999999999</v>
      </c>
    </row>
    <row r="190" spans="1:9" x14ac:dyDescent="0.25">
      <c r="A190" s="17">
        <v>45789</v>
      </c>
      <c r="B190" s="9" t="s">
        <v>250</v>
      </c>
      <c r="C190" s="9" t="s">
        <v>489</v>
      </c>
      <c r="D190" s="39" t="s">
        <v>31</v>
      </c>
      <c r="E190" s="13" t="s">
        <v>25</v>
      </c>
      <c r="F190" s="11">
        <v>8</v>
      </c>
      <c r="G190" s="25" t="s">
        <v>6</v>
      </c>
      <c r="H190" s="9">
        <v>2.9540000000000002</v>
      </c>
      <c r="I190" s="60">
        <v>23.632000000000001</v>
      </c>
    </row>
    <row r="191" spans="1:9" x14ac:dyDescent="0.25">
      <c r="A191" s="34">
        <v>45789</v>
      </c>
      <c r="B191" s="9" t="s">
        <v>250</v>
      </c>
      <c r="C191" s="23" t="s">
        <v>485</v>
      </c>
      <c r="D191" s="38" t="s">
        <v>143</v>
      </c>
      <c r="E191" s="9" t="s">
        <v>184</v>
      </c>
      <c r="F191" s="23">
        <v>6</v>
      </c>
      <c r="G191" s="23" t="s">
        <v>128</v>
      </c>
      <c r="H191" s="21">
        <v>3.4586999999999999</v>
      </c>
      <c r="I191" s="60">
        <v>20.752199999999998</v>
      </c>
    </row>
    <row r="192" spans="1:9" x14ac:dyDescent="0.25">
      <c r="A192" s="17">
        <v>45789</v>
      </c>
      <c r="B192" s="9" t="s">
        <v>250</v>
      </c>
      <c r="C192" s="9" t="s">
        <v>489</v>
      </c>
      <c r="D192" s="39" t="s">
        <v>30</v>
      </c>
      <c r="E192" s="10" t="s">
        <v>92</v>
      </c>
      <c r="F192" s="11">
        <v>28</v>
      </c>
      <c r="G192" s="25" t="s">
        <v>6</v>
      </c>
      <c r="H192" s="9">
        <v>0.78900000000000003</v>
      </c>
      <c r="I192" s="60">
        <v>22.092000000000002</v>
      </c>
    </row>
    <row r="193" spans="1:9" ht="15.6" x14ac:dyDescent="0.25">
      <c r="A193" s="17">
        <v>45805</v>
      </c>
      <c r="B193" s="9" t="s">
        <v>250</v>
      </c>
      <c r="C193" s="4" t="s">
        <v>489</v>
      </c>
      <c r="D193" s="40" t="s">
        <v>363</v>
      </c>
      <c r="E193" s="9" t="s">
        <v>364</v>
      </c>
      <c r="F193" s="9">
        <v>8</v>
      </c>
      <c r="G193" s="25" t="s">
        <v>6</v>
      </c>
      <c r="H193" s="9">
        <v>2.532</v>
      </c>
      <c r="I193" s="60">
        <v>20.256</v>
      </c>
    </row>
    <row r="194" spans="1:9" ht="15.6" x14ac:dyDescent="0.25">
      <c r="A194" s="28">
        <v>45774</v>
      </c>
      <c r="B194" s="9" t="s">
        <v>250</v>
      </c>
      <c r="C194" s="28" t="s">
        <v>486</v>
      </c>
      <c r="D194" s="29" t="s">
        <v>228</v>
      </c>
      <c r="E194" s="65" t="s">
        <v>448</v>
      </c>
      <c r="F194" s="9">
        <v>2</v>
      </c>
      <c r="G194" s="9" t="s">
        <v>128</v>
      </c>
      <c r="H194" s="32">
        <v>9.7222000000000008</v>
      </c>
      <c r="I194" s="60">
        <v>19.444400000000002</v>
      </c>
    </row>
    <row r="195" spans="1:9" x14ac:dyDescent="0.25">
      <c r="A195" s="17">
        <v>45795</v>
      </c>
      <c r="B195" s="9" t="s">
        <v>250</v>
      </c>
      <c r="C195" s="9" t="s">
        <v>489</v>
      </c>
      <c r="D195" s="39" t="s">
        <v>60</v>
      </c>
      <c r="E195" s="9" t="s">
        <v>371</v>
      </c>
      <c r="F195" s="9">
        <v>1</v>
      </c>
      <c r="G195" s="25" t="s">
        <v>6</v>
      </c>
      <c r="H195" s="9">
        <v>16.991</v>
      </c>
      <c r="I195" s="60">
        <v>16.991</v>
      </c>
    </row>
    <row r="196" spans="1:9" x14ac:dyDescent="0.25">
      <c r="A196" s="34">
        <v>45791</v>
      </c>
      <c r="B196" s="9" t="s">
        <v>250</v>
      </c>
      <c r="C196" s="23" t="s">
        <v>485</v>
      </c>
      <c r="D196" s="39" t="s">
        <v>147</v>
      </c>
      <c r="E196" s="9" t="s">
        <v>417</v>
      </c>
      <c r="F196" s="23">
        <v>6</v>
      </c>
      <c r="G196" s="23" t="s">
        <v>128</v>
      </c>
      <c r="H196" s="21">
        <v>2.8033999999999999</v>
      </c>
      <c r="I196" s="60">
        <v>16.820399999999999</v>
      </c>
    </row>
    <row r="197" spans="1:9" x14ac:dyDescent="0.25">
      <c r="A197" s="66">
        <v>45790</v>
      </c>
      <c r="B197" s="67" t="s">
        <v>250</v>
      </c>
      <c r="C197" s="67" t="s">
        <v>489</v>
      </c>
      <c r="D197" s="68" t="s">
        <v>45</v>
      </c>
      <c r="E197" s="81" t="s">
        <v>27</v>
      </c>
      <c r="F197" s="78">
        <v>2</v>
      </c>
      <c r="G197" s="70" t="s">
        <v>125</v>
      </c>
      <c r="H197" s="71"/>
      <c r="I197" s="60">
        <v>0</v>
      </c>
    </row>
    <row r="198" spans="1:9" x14ac:dyDescent="0.25">
      <c r="A198" s="17">
        <v>45792</v>
      </c>
      <c r="B198" s="9" t="s">
        <v>250</v>
      </c>
      <c r="C198" s="9" t="s">
        <v>489</v>
      </c>
      <c r="D198" s="40" t="s">
        <v>57</v>
      </c>
      <c r="E198" s="15" t="s">
        <v>40</v>
      </c>
      <c r="F198" s="9">
        <v>7</v>
      </c>
      <c r="G198" s="25" t="s">
        <v>6</v>
      </c>
      <c r="H198" s="9">
        <v>2.532</v>
      </c>
      <c r="I198" s="60">
        <v>17.724</v>
      </c>
    </row>
    <row r="199" spans="1:9" x14ac:dyDescent="0.25">
      <c r="A199" s="34">
        <v>45807</v>
      </c>
      <c r="B199" s="9" t="s">
        <v>250</v>
      </c>
      <c r="C199" s="23" t="s">
        <v>485</v>
      </c>
      <c r="D199" s="39" t="s">
        <v>163</v>
      </c>
      <c r="E199" s="9" t="s">
        <v>164</v>
      </c>
      <c r="F199" s="23">
        <v>15</v>
      </c>
      <c r="G199" s="9" t="s">
        <v>128</v>
      </c>
      <c r="H199" s="21">
        <v>0.95579999999999998</v>
      </c>
      <c r="I199" s="60">
        <v>14.337</v>
      </c>
    </row>
    <row r="200" spans="1:9" ht="15.6" x14ac:dyDescent="0.25">
      <c r="A200" s="28">
        <v>45790</v>
      </c>
      <c r="B200" s="9" t="s">
        <v>250</v>
      </c>
      <c r="C200" s="28" t="s">
        <v>486</v>
      </c>
      <c r="D200" s="29" t="s">
        <v>194</v>
      </c>
      <c r="E200" s="30" t="s">
        <v>195</v>
      </c>
      <c r="F200" s="9">
        <v>1</v>
      </c>
      <c r="G200" s="9" t="s">
        <v>128</v>
      </c>
      <c r="H200" s="32">
        <v>16.1416</v>
      </c>
      <c r="I200" s="60">
        <v>16.1416</v>
      </c>
    </row>
    <row r="201" spans="1:9" x14ac:dyDescent="0.25">
      <c r="A201" s="17">
        <v>45789</v>
      </c>
      <c r="B201" s="9" t="s">
        <v>250</v>
      </c>
      <c r="C201" s="9" t="s">
        <v>489</v>
      </c>
      <c r="D201" s="39" t="s">
        <v>48</v>
      </c>
      <c r="E201" s="10" t="s">
        <v>372</v>
      </c>
      <c r="F201" s="11">
        <v>8</v>
      </c>
      <c r="G201" s="25" t="s">
        <v>6</v>
      </c>
      <c r="H201" s="9">
        <v>1.85</v>
      </c>
      <c r="I201" s="60">
        <v>14.8</v>
      </c>
    </row>
    <row r="202" spans="1:9" ht="15.6" x14ac:dyDescent="0.25">
      <c r="A202" s="28">
        <v>45790</v>
      </c>
      <c r="B202" s="9" t="s">
        <v>250</v>
      </c>
      <c r="C202" s="28" t="s">
        <v>486</v>
      </c>
      <c r="D202" s="29" t="s">
        <v>201</v>
      </c>
      <c r="E202" s="30" t="s">
        <v>202</v>
      </c>
      <c r="F202" s="9">
        <v>1</v>
      </c>
      <c r="G202" s="9" t="s">
        <v>128</v>
      </c>
      <c r="H202" s="32">
        <v>15.2744</v>
      </c>
      <c r="I202" s="60">
        <v>15.2744</v>
      </c>
    </row>
    <row r="203" spans="1:9" ht="15.6" x14ac:dyDescent="0.25">
      <c r="A203" s="3">
        <v>45799</v>
      </c>
      <c r="B203" s="9" t="s">
        <v>250</v>
      </c>
      <c r="C203" s="4" t="s">
        <v>489</v>
      </c>
      <c r="D203" s="40" t="s">
        <v>9</v>
      </c>
      <c r="E203" s="9" t="s">
        <v>18</v>
      </c>
      <c r="F203" s="9">
        <v>1</v>
      </c>
      <c r="G203" s="25" t="s">
        <v>6</v>
      </c>
      <c r="H203" s="9">
        <v>22.7425</v>
      </c>
      <c r="I203" s="60">
        <v>22.7425</v>
      </c>
    </row>
    <row r="204" spans="1:9" x14ac:dyDescent="0.25">
      <c r="A204" s="17">
        <v>45790</v>
      </c>
      <c r="B204" s="9" t="s">
        <v>250</v>
      </c>
      <c r="C204" s="9" t="s">
        <v>489</v>
      </c>
      <c r="D204" s="39" t="s">
        <v>50</v>
      </c>
      <c r="E204" s="9" t="s">
        <v>93</v>
      </c>
      <c r="F204" s="11">
        <v>1</v>
      </c>
      <c r="G204" s="25" t="s">
        <v>6</v>
      </c>
      <c r="H204" s="9">
        <v>13.836</v>
      </c>
      <c r="I204" s="60">
        <v>13.836</v>
      </c>
    </row>
    <row r="205" spans="1:9" x14ac:dyDescent="0.25">
      <c r="A205" s="17">
        <v>45792</v>
      </c>
      <c r="B205" s="9" t="s">
        <v>250</v>
      </c>
      <c r="C205" s="9" t="s">
        <v>489</v>
      </c>
      <c r="D205" s="40" t="s">
        <v>69</v>
      </c>
      <c r="E205" s="12" t="s">
        <v>42</v>
      </c>
      <c r="F205" s="9">
        <v>1</v>
      </c>
      <c r="G205" s="25" t="s">
        <v>6</v>
      </c>
      <c r="H205" s="9">
        <v>11.773300000000001</v>
      </c>
      <c r="I205" s="60">
        <v>11.773300000000001</v>
      </c>
    </row>
    <row r="206" spans="1:9" x14ac:dyDescent="0.25">
      <c r="A206" s="17">
        <v>45795</v>
      </c>
      <c r="B206" s="9" t="s">
        <v>250</v>
      </c>
      <c r="C206" s="9" t="s">
        <v>489</v>
      </c>
      <c r="D206" s="40" t="s">
        <v>69</v>
      </c>
      <c r="E206" s="9" t="s">
        <v>16</v>
      </c>
      <c r="F206" s="9">
        <v>1</v>
      </c>
      <c r="G206" s="25" t="s">
        <v>6</v>
      </c>
      <c r="H206" s="9">
        <v>11.773300000000001</v>
      </c>
      <c r="I206" s="60">
        <v>11.773300000000001</v>
      </c>
    </row>
    <row r="207" spans="1:9" ht="15.6" x14ac:dyDescent="0.25">
      <c r="A207" s="28">
        <v>45795</v>
      </c>
      <c r="B207" s="9" t="s">
        <v>250</v>
      </c>
      <c r="C207" s="28" t="s">
        <v>486</v>
      </c>
      <c r="D207" s="29" t="s">
        <v>217</v>
      </c>
      <c r="E207" s="65" t="s">
        <v>218</v>
      </c>
      <c r="F207" s="9">
        <v>1</v>
      </c>
      <c r="G207" s="9" t="s">
        <v>128</v>
      </c>
      <c r="H207" s="32">
        <v>13</v>
      </c>
      <c r="I207" s="60">
        <v>13</v>
      </c>
    </row>
    <row r="208" spans="1:9" x14ac:dyDescent="0.25">
      <c r="A208" s="17">
        <v>45790</v>
      </c>
      <c r="B208" s="9" t="s">
        <v>250</v>
      </c>
      <c r="C208" s="9" t="s">
        <v>489</v>
      </c>
      <c r="D208" s="40" t="s">
        <v>57</v>
      </c>
      <c r="E208" s="15" t="s">
        <v>97</v>
      </c>
      <c r="F208" s="15">
        <v>5</v>
      </c>
      <c r="G208" s="25" t="s">
        <v>6</v>
      </c>
      <c r="H208" s="9">
        <v>2.532</v>
      </c>
      <c r="I208" s="60">
        <v>12.66</v>
      </c>
    </row>
    <row r="209" spans="1:9" x14ac:dyDescent="0.25">
      <c r="A209" s="17">
        <v>45790</v>
      </c>
      <c r="B209" s="9" t="s">
        <v>250</v>
      </c>
      <c r="C209" s="9" t="s">
        <v>489</v>
      </c>
      <c r="D209" s="39" t="s">
        <v>55</v>
      </c>
      <c r="E209" s="9" t="s">
        <v>95</v>
      </c>
      <c r="F209" s="11">
        <v>4</v>
      </c>
      <c r="G209" s="25" t="s">
        <v>6</v>
      </c>
      <c r="H209" s="9">
        <v>2.6549999999999998</v>
      </c>
      <c r="I209" s="60">
        <v>10.62</v>
      </c>
    </row>
    <row r="210" spans="1:9" ht="15.6" x14ac:dyDescent="0.25">
      <c r="A210" s="28">
        <v>45790</v>
      </c>
      <c r="B210" s="9" t="s">
        <v>250</v>
      </c>
      <c r="C210" s="28" t="s">
        <v>486</v>
      </c>
      <c r="D210" s="29" t="s">
        <v>213</v>
      </c>
      <c r="E210" s="30" t="s">
        <v>214</v>
      </c>
      <c r="F210" s="9">
        <v>17</v>
      </c>
      <c r="G210" s="9" t="s">
        <v>128</v>
      </c>
      <c r="H210" s="31">
        <v>0.53</v>
      </c>
      <c r="I210" s="60">
        <v>9.01</v>
      </c>
    </row>
    <row r="211" spans="1:9" x14ac:dyDescent="0.25">
      <c r="A211" s="66">
        <v>45789</v>
      </c>
      <c r="B211" s="67" t="s">
        <v>250</v>
      </c>
      <c r="C211" s="67" t="s">
        <v>489</v>
      </c>
      <c r="D211" s="68" t="s">
        <v>45</v>
      </c>
      <c r="E211" s="76" t="s">
        <v>173</v>
      </c>
      <c r="F211" s="69">
        <v>1</v>
      </c>
      <c r="G211" s="70" t="s">
        <v>125</v>
      </c>
      <c r="H211" s="71"/>
      <c r="I211" s="60">
        <v>0</v>
      </c>
    </row>
    <row r="212" spans="1:9" ht="15.6" x14ac:dyDescent="0.25">
      <c r="A212" s="17">
        <v>45805</v>
      </c>
      <c r="B212" s="9" t="s">
        <v>250</v>
      </c>
      <c r="C212" s="4" t="s">
        <v>489</v>
      </c>
      <c r="D212" s="39" t="s">
        <v>35</v>
      </c>
      <c r="E212" s="9" t="s">
        <v>4</v>
      </c>
      <c r="F212" s="9">
        <v>1</v>
      </c>
      <c r="G212" s="23" t="s">
        <v>125</v>
      </c>
      <c r="H212" s="21"/>
      <c r="I212" s="60">
        <v>0</v>
      </c>
    </row>
    <row r="213" spans="1:9" ht="15.6" x14ac:dyDescent="0.25">
      <c r="A213" s="28">
        <v>45795</v>
      </c>
      <c r="B213" s="9" t="s">
        <v>250</v>
      </c>
      <c r="C213" s="28" t="s">
        <v>486</v>
      </c>
      <c r="D213" s="57" t="s">
        <v>329</v>
      </c>
      <c r="E213" s="65" t="s">
        <v>442</v>
      </c>
      <c r="F213" s="9">
        <v>2</v>
      </c>
      <c r="G213" s="9" t="s">
        <v>128</v>
      </c>
      <c r="H213" s="31">
        <v>3.8807</v>
      </c>
      <c r="I213" s="60">
        <v>7.7614000000000001</v>
      </c>
    </row>
    <row r="214" spans="1:9" ht="15.6" x14ac:dyDescent="0.25">
      <c r="A214" s="3">
        <v>45799</v>
      </c>
      <c r="B214" s="9" t="s">
        <v>250</v>
      </c>
      <c r="C214" s="4" t="s">
        <v>489</v>
      </c>
      <c r="D214" s="39" t="s">
        <v>64</v>
      </c>
      <c r="E214" s="9" t="s">
        <v>43</v>
      </c>
      <c r="F214" s="9">
        <v>8</v>
      </c>
      <c r="G214" s="25" t="s">
        <v>6</v>
      </c>
      <c r="H214" s="9">
        <v>0.96399999999999997</v>
      </c>
      <c r="I214" s="60">
        <v>7.7119999999999997</v>
      </c>
    </row>
    <row r="215" spans="1:9" ht="15.6" x14ac:dyDescent="0.25">
      <c r="A215" s="3">
        <v>45799</v>
      </c>
      <c r="B215" s="9" t="s">
        <v>250</v>
      </c>
      <c r="C215" s="4" t="s">
        <v>489</v>
      </c>
      <c r="D215" s="40" t="s">
        <v>57</v>
      </c>
      <c r="E215" s="9" t="s">
        <v>40</v>
      </c>
      <c r="F215" s="9">
        <v>3</v>
      </c>
      <c r="G215" s="25" t="s">
        <v>6</v>
      </c>
      <c r="H215" s="9">
        <v>2.532</v>
      </c>
      <c r="I215" s="60">
        <v>7.5960000000000001</v>
      </c>
    </row>
    <row r="216" spans="1:9" ht="15.6" x14ac:dyDescent="0.25">
      <c r="A216" s="28">
        <v>45795</v>
      </c>
      <c r="B216" s="9" t="s">
        <v>250</v>
      </c>
      <c r="C216" s="28" t="s">
        <v>486</v>
      </c>
      <c r="D216" s="29" t="s">
        <v>226</v>
      </c>
      <c r="E216" s="30" t="s">
        <v>227</v>
      </c>
      <c r="F216" s="9">
        <v>3</v>
      </c>
      <c r="G216" s="9" t="s">
        <v>128</v>
      </c>
      <c r="H216" s="32">
        <v>2.0181</v>
      </c>
      <c r="I216" s="60">
        <v>6.0542999999999996</v>
      </c>
    </row>
    <row r="217" spans="1:9" x14ac:dyDescent="0.25">
      <c r="A217" s="17">
        <v>45795</v>
      </c>
      <c r="B217" s="9" t="s">
        <v>250</v>
      </c>
      <c r="C217" s="9" t="s">
        <v>489</v>
      </c>
      <c r="D217" s="40" t="s">
        <v>57</v>
      </c>
      <c r="E217" s="9" t="s">
        <v>40</v>
      </c>
      <c r="F217" s="9">
        <v>2</v>
      </c>
      <c r="G217" s="25" t="s">
        <v>6</v>
      </c>
      <c r="H217" s="9">
        <v>2.532</v>
      </c>
      <c r="I217" s="60">
        <v>5.0640000000000001</v>
      </c>
    </row>
    <row r="218" spans="1:9" x14ac:dyDescent="0.25">
      <c r="A218" s="17">
        <v>45790</v>
      </c>
      <c r="B218" s="9" t="s">
        <v>250</v>
      </c>
      <c r="C218" s="9" t="s">
        <v>489</v>
      </c>
      <c r="D218" s="39" t="s">
        <v>55</v>
      </c>
      <c r="E218" s="9" t="s">
        <v>94</v>
      </c>
      <c r="F218" s="9">
        <v>3</v>
      </c>
      <c r="G218" s="25" t="s">
        <v>6</v>
      </c>
      <c r="H218" s="9">
        <v>1.381</v>
      </c>
      <c r="I218" s="60">
        <v>4.1429999999999998</v>
      </c>
    </row>
    <row r="219" spans="1:9" x14ac:dyDescent="0.25">
      <c r="A219" s="17">
        <v>45792</v>
      </c>
      <c r="B219" s="9" t="s">
        <v>250</v>
      </c>
      <c r="C219" s="9" t="s">
        <v>489</v>
      </c>
      <c r="D219" s="39" t="s">
        <v>48</v>
      </c>
      <c r="E219" s="10" t="s">
        <v>17</v>
      </c>
      <c r="F219" s="9">
        <v>2</v>
      </c>
      <c r="G219" s="25" t="s">
        <v>6</v>
      </c>
      <c r="H219" s="9">
        <v>1.85</v>
      </c>
      <c r="I219" s="60">
        <v>3.7</v>
      </c>
    </row>
    <row r="220" spans="1:9" x14ac:dyDescent="0.25">
      <c r="A220" s="17">
        <v>45797</v>
      </c>
      <c r="B220" s="9" t="s">
        <v>250</v>
      </c>
      <c r="C220" s="9" t="s">
        <v>489</v>
      </c>
      <c r="D220" s="39" t="s">
        <v>33</v>
      </c>
      <c r="E220" s="9" t="s">
        <v>72</v>
      </c>
      <c r="F220" s="9">
        <v>2</v>
      </c>
      <c r="G220" s="25" t="s">
        <v>6</v>
      </c>
      <c r="H220" s="9">
        <v>1.5389999999999999</v>
      </c>
      <c r="I220" s="60">
        <v>3.0779999999999998</v>
      </c>
    </row>
    <row r="221" spans="1:9" ht="15.6" x14ac:dyDescent="0.25">
      <c r="A221" s="28">
        <v>45790</v>
      </c>
      <c r="B221" s="9" t="s">
        <v>250</v>
      </c>
      <c r="C221" s="28" t="s">
        <v>486</v>
      </c>
      <c r="D221" s="29" t="s">
        <v>213</v>
      </c>
      <c r="E221" s="30" t="s">
        <v>214</v>
      </c>
      <c r="F221" s="9">
        <v>2</v>
      </c>
      <c r="G221" s="9" t="s">
        <v>128</v>
      </c>
      <c r="H221" s="32">
        <v>0.53</v>
      </c>
      <c r="I221" s="60">
        <v>1.06</v>
      </c>
    </row>
    <row r="222" spans="1:9" x14ac:dyDescent="0.25">
      <c r="A222" s="17">
        <v>45790</v>
      </c>
      <c r="B222" s="9" t="s">
        <v>250</v>
      </c>
      <c r="C222" s="9" t="s">
        <v>489</v>
      </c>
      <c r="D222" s="39" t="s">
        <v>64</v>
      </c>
      <c r="E222" s="9" t="s">
        <v>96</v>
      </c>
      <c r="F222" s="9">
        <v>1</v>
      </c>
      <c r="G222" s="25" t="s">
        <v>6</v>
      </c>
      <c r="H222" s="9">
        <v>0.96399999999999997</v>
      </c>
      <c r="I222" s="60">
        <v>0.96399999999999997</v>
      </c>
    </row>
    <row r="223" spans="1:9" ht="15.6" x14ac:dyDescent="0.25">
      <c r="A223" s="58" t="s">
        <v>337</v>
      </c>
      <c r="B223" s="9" t="s">
        <v>250</v>
      </c>
      <c r="C223" s="9" t="s">
        <v>488</v>
      </c>
      <c r="D223" s="39" t="s">
        <v>338</v>
      </c>
      <c r="E223" s="9" t="s">
        <v>345</v>
      </c>
      <c r="F223" s="9">
        <v>11</v>
      </c>
      <c r="G223" s="9" t="s">
        <v>128</v>
      </c>
      <c r="H223" s="20">
        <v>45.444200000000002</v>
      </c>
      <c r="I223" s="60">
        <v>499.88620000000003</v>
      </c>
    </row>
    <row r="224" spans="1:9" ht="15.6" x14ac:dyDescent="0.25">
      <c r="A224" s="58" t="s">
        <v>337</v>
      </c>
      <c r="B224" s="9" t="s">
        <v>250</v>
      </c>
      <c r="C224" s="9" t="s">
        <v>488</v>
      </c>
      <c r="D224" s="39" t="s">
        <v>339</v>
      </c>
      <c r="E224" s="9" t="s">
        <v>346</v>
      </c>
      <c r="F224" s="9">
        <v>98</v>
      </c>
      <c r="G224" s="25" t="s">
        <v>6</v>
      </c>
      <c r="H224" s="20">
        <v>3.6122000000000001</v>
      </c>
      <c r="I224" s="60">
        <v>353.99560000000002</v>
      </c>
    </row>
    <row r="225" spans="1:9" ht="15.6" x14ac:dyDescent="0.25">
      <c r="A225" s="58" t="s">
        <v>337</v>
      </c>
      <c r="B225" s="9" t="s">
        <v>250</v>
      </c>
      <c r="C225" s="9" t="s">
        <v>488</v>
      </c>
      <c r="D225" s="39" t="s">
        <v>340</v>
      </c>
      <c r="E225" s="9" t="s">
        <v>347</v>
      </c>
      <c r="F225" s="9">
        <v>6</v>
      </c>
      <c r="G225" s="9" t="s">
        <v>128</v>
      </c>
      <c r="H225" s="20">
        <v>3.0802</v>
      </c>
      <c r="I225" s="60">
        <v>18.481200000000001</v>
      </c>
    </row>
    <row r="226" spans="1:9" ht="15.6" x14ac:dyDescent="0.25">
      <c r="A226" s="58" t="s">
        <v>337</v>
      </c>
      <c r="B226" s="9" t="s">
        <v>250</v>
      </c>
      <c r="C226" s="9" t="s">
        <v>488</v>
      </c>
      <c r="D226" s="39" t="s">
        <v>341</v>
      </c>
      <c r="E226" s="9" t="s">
        <v>428</v>
      </c>
      <c r="F226" s="9">
        <v>71</v>
      </c>
      <c r="G226" s="25" t="s">
        <v>6</v>
      </c>
      <c r="H226" s="64">
        <v>11.75112</v>
      </c>
      <c r="I226" s="60">
        <v>834.32952</v>
      </c>
    </row>
    <row r="227" spans="1:9" x14ac:dyDescent="0.25">
      <c r="A227" s="58" t="s">
        <v>337</v>
      </c>
      <c r="B227" s="9" t="s">
        <v>250</v>
      </c>
      <c r="C227" s="9" t="s">
        <v>488</v>
      </c>
      <c r="D227" s="39" t="s">
        <v>342</v>
      </c>
      <c r="E227" s="9" t="s">
        <v>348</v>
      </c>
      <c r="F227" s="9">
        <v>3</v>
      </c>
      <c r="G227" s="9" t="s">
        <v>128</v>
      </c>
      <c r="H227" s="9">
        <v>46.180799999999998</v>
      </c>
      <c r="I227" s="60">
        <v>138.54239999999999</v>
      </c>
    </row>
    <row r="228" spans="1:9" x14ac:dyDescent="0.25">
      <c r="A228" s="58" t="s">
        <v>337</v>
      </c>
      <c r="B228" s="9" t="s">
        <v>250</v>
      </c>
      <c r="C228" s="9" t="s">
        <v>488</v>
      </c>
      <c r="D228" s="39" t="s">
        <v>429</v>
      </c>
      <c r="E228" s="9" t="s">
        <v>430</v>
      </c>
      <c r="F228" s="9">
        <v>114</v>
      </c>
      <c r="G228" s="25" t="s">
        <v>6</v>
      </c>
      <c r="H228" s="9">
        <v>58.9133</v>
      </c>
      <c r="I228" s="60">
        <v>6716.1162000000004</v>
      </c>
    </row>
    <row r="229" spans="1:9" x14ac:dyDescent="0.25">
      <c r="A229" s="58" t="s">
        <v>337</v>
      </c>
      <c r="B229" s="9" t="s">
        <v>250</v>
      </c>
      <c r="C229" s="9" t="s">
        <v>488</v>
      </c>
      <c r="D229" s="39" t="s">
        <v>343</v>
      </c>
      <c r="E229" s="9" t="s">
        <v>427</v>
      </c>
      <c r="F229" s="9">
        <v>98</v>
      </c>
      <c r="G229" s="9" t="s">
        <v>128</v>
      </c>
      <c r="H229" s="9">
        <v>47.699399999999997</v>
      </c>
      <c r="I229" s="60">
        <v>4674.5411999999997</v>
      </c>
    </row>
    <row r="230" spans="1:9" x14ac:dyDescent="0.25">
      <c r="A230" s="58" t="s">
        <v>337</v>
      </c>
      <c r="B230" s="9" t="s">
        <v>250</v>
      </c>
      <c r="C230" s="9" t="s">
        <v>488</v>
      </c>
      <c r="D230" s="39" t="s">
        <v>344</v>
      </c>
      <c r="E230" s="9" t="s">
        <v>349</v>
      </c>
      <c r="F230" s="9">
        <v>7</v>
      </c>
      <c r="G230" s="25" t="s">
        <v>6</v>
      </c>
      <c r="H230" s="9">
        <v>57.43656</v>
      </c>
      <c r="I230" s="60">
        <v>402.05592000000001</v>
      </c>
    </row>
  </sheetData>
  <autoFilter ref="A1:I230" xr:uid="{00000000-0009-0000-0000-000001000000}"/>
  <sortState xmlns:xlrd2="http://schemas.microsoft.com/office/spreadsheetml/2017/richdata2" ref="A2:J222">
    <sortCondition descending="1" ref="I2:I222"/>
  </sortState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8"/>
  <sheetViews>
    <sheetView workbookViewId="0">
      <selection activeCell="N1" sqref="N1:N1048576"/>
    </sheetView>
  </sheetViews>
  <sheetFormatPr defaultColWidth="9" defaultRowHeight="15.6" x14ac:dyDescent="0.25"/>
  <cols>
    <col min="1" max="1" width="11.8984375" customWidth="1"/>
    <col min="2" max="2" width="9.3984375" customWidth="1"/>
    <col min="3" max="3" width="13.3984375" customWidth="1"/>
    <col min="4" max="4" width="24" customWidth="1"/>
    <col min="5" max="5" width="19.59765625" customWidth="1"/>
    <col min="6" max="7" width="10.3984375" customWidth="1"/>
    <col min="8" max="8" width="27.3984375" customWidth="1"/>
    <col min="9" max="9" width="9.59765625" customWidth="1"/>
    <col min="10" max="11" width="8.69921875" customWidth="1"/>
    <col min="12" max="13" width="7.19921875" customWidth="1"/>
    <col min="14" max="14" width="10" customWidth="1"/>
    <col min="15" max="15" width="8" customWidth="1"/>
    <col min="16" max="16" width="18.5" customWidth="1"/>
  </cols>
  <sheetData>
    <row r="1" spans="1:16" s="1" customFormat="1" ht="27" customHeight="1" x14ac:dyDescent="0.25">
      <c r="A1" s="2" t="s">
        <v>0</v>
      </c>
      <c r="B1" s="2" t="s">
        <v>391</v>
      </c>
      <c r="C1" s="2" t="s">
        <v>1</v>
      </c>
      <c r="D1" s="2" t="s">
        <v>2</v>
      </c>
      <c r="E1" s="2" t="s">
        <v>400</v>
      </c>
      <c r="F1" s="2" t="s">
        <v>401</v>
      </c>
      <c r="G1" s="2" t="s">
        <v>402</v>
      </c>
      <c r="H1" s="2" t="s">
        <v>404</v>
      </c>
      <c r="I1" s="2" t="s">
        <v>5</v>
      </c>
      <c r="J1" s="2" t="s">
        <v>106</v>
      </c>
      <c r="K1" s="2" t="s">
        <v>107</v>
      </c>
      <c r="L1" s="2" t="s">
        <v>108</v>
      </c>
      <c r="M1" s="2" t="s">
        <v>407</v>
      </c>
      <c r="N1" s="2" t="s">
        <v>408</v>
      </c>
      <c r="O1" s="2" t="s">
        <v>109</v>
      </c>
      <c r="P1" s="2" t="s">
        <v>392</v>
      </c>
    </row>
    <row r="2" spans="1:16" ht="24" customHeight="1" x14ac:dyDescent="0.25">
      <c r="A2" s="3">
        <v>45796</v>
      </c>
      <c r="B2" s="14" t="s">
        <v>252</v>
      </c>
      <c r="C2" s="14" t="s">
        <v>483</v>
      </c>
      <c r="D2" s="4" t="s">
        <v>71</v>
      </c>
      <c r="E2" s="4" t="s">
        <v>395</v>
      </c>
      <c r="F2" s="4">
        <v>650</v>
      </c>
      <c r="G2" s="4" t="s">
        <v>403</v>
      </c>
      <c r="H2" s="4" t="s">
        <v>73</v>
      </c>
      <c r="I2" s="4">
        <v>46</v>
      </c>
      <c r="J2" s="4">
        <v>2</v>
      </c>
      <c r="K2" s="4">
        <v>11.5</v>
      </c>
      <c r="L2" s="4">
        <v>23</v>
      </c>
      <c r="M2" s="4">
        <v>22</v>
      </c>
      <c r="N2" s="4">
        <v>506</v>
      </c>
      <c r="O2" s="5">
        <f>I2/F2</f>
        <v>7.0769230769230765E-2</v>
      </c>
      <c r="P2" s="4"/>
    </row>
    <row r="3" spans="1:16" ht="24" customHeight="1" x14ac:dyDescent="0.25">
      <c r="A3" s="3">
        <v>45797</v>
      </c>
      <c r="B3" s="14" t="s">
        <v>252</v>
      </c>
      <c r="C3" s="14" t="s">
        <v>483</v>
      </c>
      <c r="D3" s="4" t="s">
        <v>71</v>
      </c>
      <c r="E3" s="4" t="s">
        <v>395</v>
      </c>
      <c r="F3" s="4">
        <v>697</v>
      </c>
      <c r="G3" s="4" t="s">
        <v>403</v>
      </c>
      <c r="H3" s="4" t="s">
        <v>74</v>
      </c>
      <c r="I3" s="4">
        <v>5</v>
      </c>
      <c r="J3" s="4">
        <v>2</v>
      </c>
      <c r="K3" s="4">
        <v>11.5</v>
      </c>
      <c r="L3" s="4">
        <v>23</v>
      </c>
      <c r="M3" s="4">
        <v>22</v>
      </c>
      <c r="N3" s="4">
        <v>506</v>
      </c>
      <c r="O3" s="5">
        <f t="shared" ref="O3:O28" si="0">I3/F3</f>
        <v>7.1736011477761836E-3</v>
      </c>
      <c r="P3" s="20"/>
    </row>
    <row r="4" spans="1:16" ht="24" customHeight="1" x14ac:dyDescent="0.25">
      <c r="A4" s="3">
        <v>45795</v>
      </c>
      <c r="B4" s="14" t="s">
        <v>252</v>
      </c>
      <c r="C4" s="14" t="s">
        <v>483</v>
      </c>
      <c r="D4" s="18" t="s">
        <v>409</v>
      </c>
      <c r="E4" s="18" t="s">
        <v>399</v>
      </c>
      <c r="F4" s="14">
        <f>351+94</f>
        <v>445</v>
      </c>
      <c r="G4" s="4" t="s">
        <v>403</v>
      </c>
      <c r="H4" s="14" t="s">
        <v>75</v>
      </c>
      <c r="I4" s="14">
        <f>13+7</f>
        <v>20</v>
      </c>
      <c r="J4" s="4">
        <v>2</v>
      </c>
      <c r="K4" s="4">
        <v>8</v>
      </c>
      <c r="L4" s="4">
        <v>16</v>
      </c>
      <c r="M4" s="4">
        <v>22</v>
      </c>
      <c r="N4" s="4">
        <v>352</v>
      </c>
      <c r="O4" s="5">
        <f t="shared" si="0"/>
        <v>4.49438202247191E-2</v>
      </c>
      <c r="P4" s="4"/>
    </row>
    <row r="5" spans="1:16" ht="24" customHeight="1" x14ac:dyDescent="0.25">
      <c r="A5" s="3">
        <v>45786</v>
      </c>
      <c r="B5" s="14" t="s">
        <v>252</v>
      </c>
      <c r="C5" s="14" t="s">
        <v>483</v>
      </c>
      <c r="D5" s="14" t="s">
        <v>67</v>
      </c>
      <c r="E5" s="14" t="s">
        <v>394</v>
      </c>
      <c r="F5" s="4">
        <v>460</v>
      </c>
      <c r="G5" s="4" t="s">
        <v>403</v>
      </c>
      <c r="H5" s="14" t="s">
        <v>68</v>
      </c>
      <c r="I5" s="4">
        <v>45</v>
      </c>
      <c r="J5" s="4">
        <v>2</v>
      </c>
      <c r="K5" s="4">
        <v>11.5</v>
      </c>
      <c r="L5" s="4">
        <v>23</v>
      </c>
      <c r="M5" s="4">
        <v>22</v>
      </c>
      <c r="N5" s="4">
        <v>506</v>
      </c>
      <c r="O5" s="5">
        <f t="shared" si="0"/>
        <v>9.7826086956521743E-2</v>
      </c>
      <c r="P5" s="4"/>
    </row>
    <row r="6" spans="1:16" ht="24" customHeight="1" x14ac:dyDescent="0.25">
      <c r="A6" s="3">
        <v>45787</v>
      </c>
      <c r="B6" s="14" t="s">
        <v>252</v>
      </c>
      <c r="C6" s="14" t="s">
        <v>483</v>
      </c>
      <c r="D6" s="14" t="s">
        <v>67</v>
      </c>
      <c r="E6" s="14" t="s">
        <v>394</v>
      </c>
      <c r="F6" s="4">
        <v>510</v>
      </c>
      <c r="G6" s="4" t="s">
        <v>403</v>
      </c>
      <c r="H6" s="14" t="s">
        <v>68</v>
      </c>
      <c r="I6" s="4">
        <v>17</v>
      </c>
      <c r="J6" s="4">
        <v>2</v>
      </c>
      <c r="K6" s="4">
        <v>11.5</v>
      </c>
      <c r="L6" s="4">
        <v>23</v>
      </c>
      <c r="M6" s="4">
        <v>22</v>
      </c>
      <c r="N6" s="4">
        <v>506</v>
      </c>
      <c r="O6" s="5">
        <f t="shared" si="0"/>
        <v>3.3333333333333333E-2</v>
      </c>
      <c r="P6" s="4"/>
    </row>
    <row r="7" spans="1:16" ht="24" customHeight="1" x14ac:dyDescent="0.25">
      <c r="A7" s="3">
        <v>45788</v>
      </c>
      <c r="B7" s="14" t="s">
        <v>252</v>
      </c>
      <c r="C7" s="14" t="s">
        <v>483</v>
      </c>
      <c r="D7" s="14" t="s">
        <v>67</v>
      </c>
      <c r="E7" s="14" t="s">
        <v>394</v>
      </c>
      <c r="F7" s="4">
        <v>290</v>
      </c>
      <c r="G7" s="4" t="s">
        <v>403</v>
      </c>
      <c r="H7" s="14" t="s">
        <v>68</v>
      </c>
      <c r="I7" s="4">
        <v>11</v>
      </c>
      <c r="J7" s="4">
        <v>2</v>
      </c>
      <c r="K7" s="4">
        <v>8</v>
      </c>
      <c r="L7" s="4">
        <v>16</v>
      </c>
      <c r="M7" s="4">
        <v>22</v>
      </c>
      <c r="N7" s="4">
        <v>352</v>
      </c>
      <c r="O7" s="5">
        <f t="shared" si="0"/>
        <v>3.793103448275862E-2</v>
      </c>
      <c r="P7" s="4"/>
    </row>
    <row r="8" spans="1:16" ht="24" customHeight="1" x14ac:dyDescent="0.25">
      <c r="A8" s="3">
        <v>45789</v>
      </c>
      <c r="B8" s="14" t="s">
        <v>252</v>
      </c>
      <c r="C8" s="14" t="s">
        <v>483</v>
      </c>
      <c r="D8" s="14" t="s">
        <v>67</v>
      </c>
      <c r="E8" s="14" t="s">
        <v>394</v>
      </c>
      <c r="F8" s="4">
        <v>389</v>
      </c>
      <c r="G8" s="4" t="s">
        <v>403</v>
      </c>
      <c r="H8" s="14" t="s">
        <v>68</v>
      </c>
      <c r="I8" s="4">
        <v>11</v>
      </c>
      <c r="J8" s="4">
        <v>2</v>
      </c>
      <c r="K8" s="4">
        <v>8</v>
      </c>
      <c r="L8" s="4">
        <v>16</v>
      </c>
      <c r="M8" s="4">
        <v>22</v>
      </c>
      <c r="N8" s="4">
        <v>352</v>
      </c>
      <c r="O8" s="5">
        <f t="shared" si="0"/>
        <v>2.8277634961439587E-2</v>
      </c>
      <c r="P8" s="4"/>
    </row>
    <row r="9" spans="1:16" ht="24" customHeight="1" x14ac:dyDescent="0.25">
      <c r="A9" s="3">
        <v>45791</v>
      </c>
      <c r="B9" s="14" t="s">
        <v>252</v>
      </c>
      <c r="C9" s="14" t="s">
        <v>483</v>
      </c>
      <c r="D9" s="14" t="s">
        <v>67</v>
      </c>
      <c r="E9" s="14" t="s">
        <v>394</v>
      </c>
      <c r="F9" s="4">
        <v>390</v>
      </c>
      <c r="G9" s="4" t="s">
        <v>403</v>
      </c>
      <c r="H9" s="14" t="s">
        <v>68</v>
      </c>
      <c r="I9" s="4">
        <v>8</v>
      </c>
      <c r="J9" s="4">
        <v>2</v>
      </c>
      <c r="K9" s="4">
        <v>8</v>
      </c>
      <c r="L9" s="4">
        <v>16</v>
      </c>
      <c r="M9" s="4">
        <v>22</v>
      </c>
      <c r="N9" s="4">
        <v>352</v>
      </c>
      <c r="O9" s="5">
        <f t="shared" si="0"/>
        <v>2.0512820512820513E-2</v>
      </c>
      <c r="P9" s="4"/>
    </row>
    <row r="10" spans="1:16" x14ac:dyDescent="0.25">
      <c r="A10" s="3">
        <v>45792</v>
      </c>
      <c r="B10" s="14" t="s">
        <v>252</v>
      </c>
      <c r="C10" s="14" t="s">
        <v>483</v>
      </c>
      <c r="D10" s="14" t="s">
        <v>67</v>
      </c>
      <c r="E10" s="14" t="s">
        <v>394</v>
      </c>
      <c r="F10" s="4">
        <v>550</v>
      </c>
      <c r="G10" s="4" t="s">
        <v>403</v>
      </c>
      <c r="H10" s="14" t="s">
        <v>68</v>
      </c>
      <c r="I10" s="4">
        <v>3</v>
      </c>
      <c r="J10" s="4">
        <v>2</v>
      </c>
      <c r="K10" s="4">
        <v>11.5</v>
      </c>
      <c r="L10" s="4">
        <v>23</v>
      </c>
      <c r="M10" s="4">
        <v>22</v>
      </c>
      <c r="N10" s="4">
        <v>506</v>
      </c>
      <c r="O10" s="5">
        <f t="shared" si="0"/>
        <v>5.454545454545455E-3</v>
      </c>
      <c r="P10" s="4"/>
    </row>
    <row r="11" spans="1:16" ht="24" customHeight="1" x14ac:dyDescent="0.25">
      <c r="A11" s="3">
        <v>45793</v>
      </c>
      <c r="B11" s="14" t="s">
        <v>252</v>
      </c>
      <c r="C11" s="14" t="s">
        <v>483</v>
      </c>
      <c r="D11" s="14" t="s">
        <v>67</v>
      </c>
      <c r="E11" s="14" t="s">
        <v>394</v>
      </c>
      <c r="F11" s="4">
        <v>560</v>
      </c>
      <c r="G11" s="4" t="s">
        <v>403</v>
      </c>
      <c r="H11" s="14" t="s">
        <v>68</v>
      </c>
      <c r="I11" s="4">
        <v>4</v>
      </c>
      <c r="J11" s="4">
        <v>2</v>
      </c>
      <c r="K11" s="4">
        <v>11.5</v>
      </c>
      <c r="L11" s="4">
        <v>23</v>
      </c>
      <c r="M11" s="4">
        <v>22</v>
      </c>
      <c r="N11" s="4">
        <v>506</v>
      </c>
      <c r="O11" s="5">
        <f t="shared" si="0"/>
        <v>7.1428571428571426E-3</v>
      </c>
      <c r="P11" s="4"/>
    </row>
    <row r="12" spans="1:16" ht="24" customHeight="1" x14ac:dyDescent="0.25">
      <c r="A12" s="3">
        <v>45794</v>
      </c>
      <c r="B12" s="14" t="s">
        <v>252</v>
      </c>
      <c r="C12" s="14" t="s">
        <v>483</v>
      </c>
      <c r="D12" s="14" t="s">
        <v>67</v>
      </c>
      <c r="E12" s="14" t="s">
        <v>394</v>
      </c>
      <c r="F12" s="4">
        <v>370</v>
      </c>
      <c r="G12" s="4" t="s">
        <v>403</v>
      </c>
      <c r="H12" s="14" t="s">
        <v>70</v>
      </c>
      <c r="I12" s="4">
        <v>12</v>
      </c>
      <c r="J12" s="4">
        <v>2</v>
      </c>
      <c r="K12" s="4">
        <v>8</v>
      </c>
      <c r="L12" s="4">
        <v>16</v>
      </c>
      <c r="M12" s="4">
        <v>22</v>
      </c>
      <c r="N12" s="4">
        <v>352</v>
      </c>
      <c r="O12" s="5">
        <f t="shared" si="0"/>
        <v>3.2432432432432434E-2</v>
      </c>
      <c r="P12" s="4"/>
    </row>
    <row r="13" spans="1:16" ht="24" customHeight="1" x14ac:dyDescent="0.25">
      <c r="A13" s="19">
        <v>45798</v>
      </c>
      <c r="B13" s="14" t="s">
        <v>252</v>
      </c>
      <c r="C13" s="14" t="s">
        <v>483</v>
      </c>
      <c r="D13" s="14" t="s">
        <v>67</v>
      </c>
      <c r="E13" s="14" t="s">
        <v>394</v>
      </c>
      <c r="F13" s="4">
        <v>387</v>
      </c>
      <c r="G13" s="4" t="s">
        <v>403</v>
      </c>
      <c r="H13" s="14" t="s">
        <v>68</v>
      </c>
      <c r="I13" s="4">
        <v>13</v>
      </c>
      <c r="J13" s="4">
        <v>2</v>
      </c>
      <c r="K13" s="4">
        <v>11.5</v>
      </c>
      <c r="L13" s="4">
        <v>23</v>
      </c>
      <c r="M13" s="4">
        <v>22</v>
      </c>
      <c r="N13" s="4">
        <v>506</v>
      </c>
      <c r="O13" s="5">
        <f t="shared" si="0"/>
        <v>3.3591731266149873E-2</v>
      </c>
      <c r="P13" s="20"/>
    </row>
    <row r="14" spans="1:16" ht="24" customHeight="1" x14ac:dyDescent="0.25">
      <c r="A14" s="3">
        <v>45799</v>
      </c>
      <c r="B14" s="14" t="s">
        <v>252</v>
      </c>
      <c r="C14" s="14" t="s">
        <v>483</v>
      </c>
      <c r="D14" s="14" t="s">
        <v>77</v>
      </c>
      <c r="E14" s="14" t="s">
        <v>394</v>
      </c>
      <c r="F14" s="4">
        <v>210</v>
      </c>
      <c r="G14" s="4" t="s">
        <v>403</v>
      </c>
      <c r="H14" s="14" t="s">
        <v>78</v>
      </c>
      <c r="I14" s="4">
        <v>230</v>
      </c>
      <c r="J14" s="4">
        <v>2</v>
      </c>
      <c r="K14" s="4">
        <v>11.5</v>
      </c>
      <c r="L14" s="4">
        <v>23</v>
      </c>
      <c r="M14" s="4">
        <v>22</v>
      </c>
      <c r="N14" s="4">
        <v>506</v>
      </c>
      <c r="O14" s="5">
        <f t="shared" si="0"/>
        <v>1.0952380952380953</v>
      </c>
      <c r="P14" s="4"/>
    </row>
    <row r="15" spans="1:16" ht="24" customHeight="1" x14ac:dyDescent="0.25">
      <c r="A15" s="3">
        <v>45800</v>
      </c>
      <c r="B15" s="14" t="s">
        <v>252</v>
      </c>
      <c r="C15" s="14" t="s">
        <v>483</v>
      </c>
      <c r="D15" s="14" t="s">
        <v>67</v>
      </c>
      <c r="E15" s="14" t="s">
        <v>394</v>
      </c>
      <c r="F15" s="14">
        <v>1000</v>
      </c>
      <c r="G15" s="4" t="s">
        <v>403</v>
      </c>
      <c r="H15" s="14" t="s">
        <v>68</v>
      </c>
      <c r="I15" s="14">
        <v>28</v>
      </c>
      <c r="J15" s="4">
        <v>2</v>
      </c>
      <c r="K15" s="4">
        <v>11.5</v>
      </c>
      <c r="L15" s="4">
        <v>23</v>
      </c>
      <c r="M15" s="4">
        <v>22</v>
      </c>
      <c r="N15" s="4">
        <v>506</v>
      </c>
      <c r="O15" s="5">
        <f t="shared" si="0"/>
        <v>2.8000000000000001E-2</v>
      </c>
      <c r="P15" s="4"/>
    </row>
    <row r="16" spans="1:16" ht="24" customHeight="1" x14ac:dyDescent="0.25">
      <c r="A16" s="3">
        <v>45803</v>
      </c>
      <c r="B16" s="14" t="s">
        <v>252</v>
      </c>
      <c r="C16" s="14" t="s">
        <v>483</v>
      </c>
      <c r="D16" s="14" t="s">
        <v>77</v>
      </c>
      <c r="E16" s="14" t="s">
        <v>394</v>
      </c>
      <c r="F16" s="4">
        <v>290</v>
      </c>
      <c r="G16" s="4" t="s">
        <v>403</v>
      </c>
      <c r="H16" s="14" t="s">
        <v>68</v>
      </c>
      <c r="I16" s="4">
        <v>10</v>
      </c>
      <c r="J16" s="4">
        <v>2</v>
      </c>
      <c r="K16" s="4">
        <v>11.5</v>
      </c>
      <c r="L16" s="4">
        <v>23</v>
      </c>
      <c r="M16" s="4">
        <v>22</v>
      </c>
      <c r="N16" s="4">
        <v>506</v>
      </c>
      <c r="O16" s="5">
        <f t="shared" si="0"/>
        <v>3.4482758620689655E-2</v>
      </c>
      <c r="P16" s="4"/>
    </row>
    <row r="17" spans="1:16" ht="24" customHeight="1" x14ac:dyDescent="0.25">
      <c r="A17" s="3">
        <v>45804</v>
      </c>
      <c r="B17" s="14" t="s">
        <v>252</v>
      </c>
      <c r="C17" s="14" t="s">
        <v>483</v>
      </c>
      <c r="D17" s="14" t="s">
        <v>77</v>
      </c>
      <c r="E17" s="14" t="s">
        <v>394</v>
      </c>
      <c r="F17" s="4">
        <v>300</v>
      </c>
      <c r="G17" s="4" t="s">
        <v>403</v>
      </c>
      <c r="H17" s="14" t="s">
        <v>68</v>
      </c>
      <c r="I17" s="4">
        <v>30</v>
      </c>
      <c r="J17" s="4">
        <v>2</v>
      </c>
      <c r="K17" s="4">
        <v>11.5</v>
      </c>
      <c r="L17" s="4">
        <v>23</v>
      </c>
      <c r="M17" s="4">
        <v>22</v>
      </c>
      <c r="N17" s="4">
        <v>506</v>
      </c>
      <c r="O17" s="5">
        <f t="shared" si="0"/>
        <v>0.1</v>
      </c>
      <c r="P17" s="4"/>
    </row>
    <row r="18" spans="1:16" ht="24" customHeight="1" x14ac:dyDescent="0.25">
      <c r="A18" s="3">
        <v>45805</v>
      </c>
      <c r="B18" s="14" t="s">
        <v>252</v>
      </c>
      <c r="C18" s="14" t="s">
        <v>483</v>
      </c>
      <c r="D18" s="14" t="s">
        <v>88</v>
      </c>
      <c r="E18" s="14" t="s">
        <v>394</v>
      </c>
      <c r="F18" s="4">
        <v>430</v>
      </c>
      <c r="G18" s="4" t="s">
        <v>403</v>
      </c>
      <c r="H18" s="14" t="s">
        <v>68</v>
      </c>
      <c r="I18" s="4">
        <v>30</v>
      </c>
      <c r="J18" s="4">
        <f>2+2</f>
        <v>4</v>
      </c>
      <c r="K18" s="4">
        <f>11.5+8</f>
        <v>19.5</v>
      </c>
      <c r="L18" s="4">
        <v>39</v>
      </c>
      <c r="M18" s="4">
        <v>22</v>
      </c>
      <c r="N18" s="4">
        <v>858</v>
      </c>
      <c r="O18" s="5">
        <f t="shared" si="0"/>
        <v>6.9767441860465115E-2</v>
      </c>
      <c r="P18" s="4"/>
    </row>
    <row r="19" spans="1:16" ht="24" customHeight="1" x14ac:dyDescent="0.25">
      <c r="A19" s="3">
        <v>45806</v>
      </c>
      <c r="B19" s="14" t="s">
        <v>252</v>
      </c>
      <c r="C19" s="14" t="s">
        <v>483</v>
      </c>
      <c r="D19" s="14" t="s">
        <v>88</v>
      </c>
      <c r="E19" s="14" t="s">
        <v>394</v>
      </c>
      <c r="F19" s="4">
        <v>500</v>
      </c>
      <c r="G19" s="4" t="s">
        <v>403</v>
      </c>
      <c r="H19" s="14" t="s">
        <v>68</v>
      </c>
      <c r="I19" s="4">
        <v>30</v>
      </c>
      <c r="J19" s="4">
        <v>4</v>
      </c>
      <c r="K19" s="4">
        <v>11.5</v>
      </c>
      <c r="L19" s="4">
        <v>46</v>
      </c>
      <c r="M19" s="4">
        <v>22</v>
      </c>
      <c r="N19" s="4">
        <v>1012</v>
      </c>
      <c r="O19" s="5">
        <f t="shared" si="0"/>
        <v>0.06</v>
      </c>
      <c r="P19" s="4"/>
    </row>
    <row r="20" spans="1:16" ht="24" customHeight="1" x14ac:dyDescent="0.25">
      <c r="A20" s="3">
        <v>45807</v>
      </c>
      <c r="B20" s="14" t="s">
        <v>252</v>
      </c>
      <c r="C20" s="14" t="s">
        <v>483</v>
      </c>
      <c r="D20" s="14" t="s">
        <v>88</v>
      </c>
      <c r="E20" s="14" t="s">
        <v>394</v>
      </c>
      <c r="F20" s="4">
        <v>480</v>
      </c>
      <c r="G20" s="4" t="s">
        <v>403</v>
      </c>
      <c r="H20" s="14" t="s">
        <v>68</v>
      </c>
      <c r="I20" s="4">
        <v>70</v>
      </c>
      <c r="J20" s="4">
        <v>4</v>
      </c>
      <c r="K20" s="4">
        <v>11.5</v>
      </c>
      <c r="L20" s="4">
        <v>46</v>
      </c>
      <c r="M20" s="4">
        <v>22</v>
      </c>
      <c r="N20" s="4">
        <v>1012</v>
      </c>
      <c r="O20" s="5">
        <f t="shared" si="0"/>
        <v>0.14583333333333334</v>
      </c>
      <c r="P20" s="4"/>
    </row>
    <row r="21" spans="1:16" ht="24" customHeight="1" x14ac:dyDescent="0.25">
      <c r="A21" s="3">
        <v>45807</v>
      </c>
      <c r="B21" s="14" t="s">
        <v>393</v>
      </c>
      <c r="C21" s="14" t="s">
        <v>489</v>
      </c>
      <c r="D21" s="14" t="s">
        <v>115</v>
      </c>
      <c r="E21" s="14" t="s">
        <v>102</v>
      </c>
      <c r="F21" s="4">
        <v>360</v>
      </c>
      <c r="G21" s="4" t="s">
        <v>403</v>
      </c>
      <c r="H21" s="14" t="s">
        <v>117</v>
      </c>
      <c r="I21" s="4">
        <v>0</v>
      </c>
      <c r="J21" s="4">
        <v>3</v>
      </c>
      <c r="K21" s="4">
        <v>2</v>
      </c>
      <c r="L21" s="4">
        <f t="shared" ref="L21:L28" si="1">J21*K21</f>
        <v>6</v>
      </c>
      <c r="M21" s="4">
        <v>22</v>
      </c>
      <c r="N21" s="4">
        <v>132</v>
      </c>
      <c r="O21" s="5">
        <f t="shared" si="0"/>
        <v>0</v>
      </c>
      <c r="P21" s="14" t="s">
        <v>116</v>
      </c>
    </row>
    <row r="22" spans="1:16" ht="24" customHeight="1" x14ac:dyDescent="0.25">
      <c r="A22" s="3">
        <v>45807</v>
      </c>
      <c r="B22" s="14" t="s">
        <v>393</v>
      </c>
      <c r="C22" s="14" t="s">
        <v>489</v>
      </c>
      <c r="D22" s="14" t="s">
        <v>115</v>
      </c>
      <c r="E22" s="14" t="s">
        <v>102</v>
      </c>
      <c r="F22" s="4">
        <v>108</v>
      </c>
      <c r="G22" s="4" t="s">
        <v>403</v>
      </c>
      <c r="H22" s="14" t="s">
        <v>119</v>
      </c>
      <c r="I22" s="4">
        <v>0</v>
      </c>
      <c r="J22" s="4">
        <v>3</v>
      </c>
      <c r="K22" s="4">
        <v>1</v>
      </c>
      <c r="L22" s="4">
        <f t="shared" si="1"/>
        <v>3</v>
      </c>
      <c r="M22" s="4">
        <v>22</v>
      </c>
      <c r="N22" s="4">
        <v>66</v>
      </c>
      <c r="O22" s="5">
        <f t="shared" si="0"/>
        <v>0</v>
      </c>
      <c r="P22" s="14" t="s">
        <v>118</v>
      </c>
    </row>
    <row r="23" spans="1:16" ht="24" customHeight="1" x14ac:dyDescent="0.25">
      <c r="A23" s="3">
        <v>45806</v>
      </c>
      <c r="B23" s="14" t="s">
        <v>393</v>
      </c>
      <c r="C23" s="14" t="s">
        <v>484</v>
      </c>
      <c r="D23" s="14" t="s">
        <v>111</v>
      </c>
      <c r="E23" s="14" t="s">
        <v>112</v>
      </c>
      <c r="F23" s="14">
        <v>1046</v>
      </c>
      <c r="G23" s="4" t="s">
        <v>403</v>
      </c>
      <c r="H23" s="14" t="s">
        <v>114</v>
      </c>
      <c r="I23" s="4">
        <v>0</v>
      </c>
      <c r="J23" s="4">
        <v>3</v>
      </c>
      <c r="K23" s="4">
        <v>2</v>
      </c>
      <c r="L23" s="4">
        <f t="shared" si="1"/>
        <v>6</v>
      </c>
      <c r="M23" s="4">
        <v>22</v>
      </c>
      <c r="N23" s="4">
        <v>132</v>
      </c>
      <c r="O23" s="5">
        <f t="shared" si="0"/>
        <v>0</v>
      </c>
      <c r="P23" s="14" t="s">
        <v>113</v>
      </c>
    </row>
    <row r="24" spans="1:16" ht="24" customHeight="1" x14ac:dyDescent="0.25">
      <c r="A24" s="3">
        <v>45807</v>
      </c>
      <c r="B24" s="14" t="s">
        <v>393</v>
      </c>
      <c r="C24" s="14" t="s">
        <v>484</v>
      </c>
      <c r="D24" s="14" t="s">
        <v>120</v>
      </c>
      <c r="E24" s="14" t="s">
        <v>121</v>
      </c>
      <c r="F24" s="4">
        <v>900</v>
      </c>
      <c r="G24" s="4" t="s">
        <v>403</v>
      </c>
      <c r="H24" s="14" t="s">
        <v>248</v>
      </c>
      <c r="I24" s="4">
        <v>72</v>
      </c>
      <c r="J24" s="4">
        <v>3</v>
      </c>
      <c r="K24" s="4">
        <v>3</v>
      </c>
      <c r="L24" s="4">
        <f t="shared" si="1"/>
        <v>9</v>
      </c>
      <c r="M24" s="4">
        <v>22</v>
      </c>
      <c r="N24" s="4">
        <v>198</v>
      </c>
      <c r="O24" s="5">
        <f t="shared" si="0"/>
        <v>0.08</v>
      </c>
      <c r="P24" s="14" t="s">
        <v>118</v>
      </c>
    </row>
    <row r="25" spans="1:16" ht="24" customHeight="1" x14ac:dyDescent="0.25">
      <c r="A25" s="3">
        <v>45803</v>
      </c>
      <c r="B25" s="14" t="s">
        <v>393</v>
      </c>
      <c r="C25" s="14" t="s">
        <v>484</v>
      </c>
      <c r="D25" s="14" t="s">
        <v>120</v>
      </c>
      <c r="E25" s="14" t="s">
        <v>122</v>
      </c>
      <c r="F25" s="4">
        <v>280</v>
      </c>
      <c r="G25" s="4" t="s">
        <v>403</v>
      </c>
      <c r="H25" s="14" t="s">
        <v>249</v>
      </c>
      <c r="I25" s="4">
        <v>0</v>
      </c>
      <c r="J25" s="4">
        <v>5</v>
      </c>
      <c r="K25" s="4">
        <v>2</v>
      </c>
      <c r="L25" s="4">
        <f t="shared" si="1"/>
        <v>10</v>
      </c>
      <c r="M25" s="4">
        <v>22</v>
      </c>
      <c r="N25" s="4">
        <v>220</v>
      </c>
      <c r="O25" s="5">
        <f t="shared" si="0"/>
        <v>0</v>
      </c>
      <c r="P25" s="14" t="s">
        <v>113</v>
      </c>
    </row>
    <row r="26" spans="1:16" ht="24" customHeight="1" x14ac:dyDescent="0.25">
      <c r="A26" s="3">
        <v>45803</v>
      </c>
      <c r="B26" s="14" t="s">
        <v>393</v>
      </c>
      <c r="C26" s="14" t="s">
        <v>484</v>
      </c>
      <c r="D26" s="14" t="s">
        <v>120</v>
      </c>
      <c r="E26" s="14" t="s">
        <v>122</v>
      </c>
      <c r="F26" s="4">
        <v>540</v>
      </c>
      <c r="G26" s="4" t="s">
        <v>403</v>
      </c>
      <c r="H26" s="14" t="s">
        <v>249</v>
      </c>
      <c r="I26" s="22">
        <v>0</v>
      </c>
      <c r="J26" s="4">
        <v>5</v>
      </c>
      <c r="K26" s="4">
        <v>3</v>
      </c>
      <c r="L26" s="4">
        <f t="shared" si="1"/>
        <v>15</v>
      </c>
      <c r="M26" s="4">
        <v>22</v>
      </c>
      <c r="N26" s="4">
        <v>330</v>
      </c>
      <c r="O26" s="5">
        <f t="shared" si="0"/>
        <v>0</v>
      </c>
      <c r="P26" s="14" t="s">
        <v>113</v>
      </c>
    </row>
    <row r="27" spans="1:16" ht="24" customHeight="1" x14ac:dyDescent="0.25">
      <c r="A27" s="3">
        <v>45803</v>
      </c>
      <c r="B27" s="14" t="s">
        <v>393</v>
      </c>
      <c r="C27" s="14" t="s">
        <v>484</v>
      </c>
      <c r="D27" s="14" t="s">
        <v>120</v>
      </c>
      <c r="E27" s="14" t="s">
        <v>122</v>
      </c>
      <c r="F27" s="4">
        <v>300</v>
      </c>
      <c r="G27" s="4" t="s">
        <v>403</v>
      </c>
      <c r="H27" s="14" t="s">
        <v>249</v>
      </c>
      <c r="I27" s="4">
        <v>0</v>
      </c>
      <c r="J27" s="4">
        <v>2</v>
      </c>
      <c r="K27" s="4">
        <v>6</v>
      </c>
      <c r="L27" s="4">
        <f t="shared" si="1"/>
        <v>12</v>
      </c>
      <c r="M27" s="4">
        <v>22</v>
      </c>
      <c r="N27" s="4">
        <v>264</v>
      </c>
      <c r="O27" s="5">
        <f t="shared" si="0"/>
        <v>0</v>
      </c>
      <c r="P27" s="14" t="s">
        <v>113</v>
      </c>
    </row>
    <row r="28" spans="1:16" ht="24" customHeight="1" x14ac:dyDescent="0.25">
      <c r="A28" s="3">
        <v>45803</v>
      </c>
      <c r="B28" s="14" t="s">
        <v>393</v>
      </c>
      <c r="C28" s="14" t="s">
        <v>484</v>
      </c>
      <c r="D28" s="14" t="s">
        <v>120</v>
      </c>
      <c r="E28" s="14" t="s">
        <v>122</v>
      </c>
      <c r="F28" s="4">
        <v>540</v>
      </c>
      <c r="G28" s="4" t="s">
        <v>403</v>
      </c>
      <c r="H28" s="14" t="s">
        <v>249</v>
      </c>
      <c r="I28" s="4">
        <v>0</v>
      </c>
      <c r="J28" s="4">
        <v>6</v>
      </c>
      <c r="K28" s="4">
        <v>3</v>
      </c>
      <c r="L28" s="4">
        <f t="shared" si="1"/>
        <v>18</v>
      </c>
      <c r="M28" s="4">
        <v>22</v>
      </c>
      <c r="N28" s="4">
        <v>396</v>
      </c>
      <c r="O28" s="5">
        <f t="shared" si="0"/>
        <v>0</v>
      </c>
      <c r="P28" s="14" t="s">
        <v>113</v>
      </c>
    </row>
  </sheetData>
  <autoFilter ref="A1:P1" xr:uid="{00000000-0009-0000-0000-000002000000}"/>
  <sortState xmlns:xlrd2="http://schemas.microsoft.com/office/spreadsheetml/2017/richdata2" ref="A2:O28">
    <sortCondition ref="D2:D28"/>
  </sortState>
  <phoneticPr fontId="9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40"/>
  <sheetViews>
    <sheetView workbookViewId="0">
      <pane ySplit="1" topLeftCell="A2" activePane="bottomLeft" state="frozen"/>
      <selection pane="bottomLeft" activeCell="H4" sqref="H4"/>
    </sheetView>
  </sheetViews>
  <sheetFormatPr defaultRowHeight="15.6" x14ac:dyDescent="0.25"/>
  <cols>
    <col min="1" max="1" width="10.59765625" style="56" customWidth="1"/>
    <col min="4" max="4" width="17" customWidth="1"/>
    <col min="5" max="5" width="19.09765625" customWidth="1"/>
    <col min="7" max="7" width="13.59765625" customWidth="1"/>
    <col min="8" max="10" width="8.69921875" style="63"/>
    <col min="13" max="13" width="21.09765625" customWidth="1"/>
  </cols>
  <sheetData>
    <row r="1" spans="1:13" ht="21" customHeight="1" x14ac:dyDescent="0.25">
      <c r="A1" s="55" t="s">
        <v>253</v>
      </c>
      <c r="B1" s="53" t="s">
        <v>334</v>
      </c>
      <c r="C1" s="42" t="s">
        <v>396</v>
      </c>
      <c r="D1" s="42" t="s">
        <v>254</v>
      </c>
      <c r="E1" s="42" t="s">
        <v>336</v>
      </c>
      <c r="F1" s="43" t="s">
        <v>256</v>
      </c>
      <c r="G1" s="52" t="s">
        <v>482</v>
      </c>
      <c r="H1" s="4" t="s">
        <v>260</v>
      </c>
      <c r="I1" s="14" t="s">
        <v>406</v>
      </c>
      <c r="J1" s="14" t="s">
        <v>333</v>
      </c>
      <c r="K1" s="42" t="s">
        <v>255</v>
      </c>
      <c r="L1" s="44" t="s">
        <v>257</v>
      </c>
      <c r="M1" s="42" t="s">
        <v>258</v>
      </c>
    </row>
    <row r="2" spans="1:13" ht="21" customHeight="1" x14ac:dyDescent="0.25">
      <c r="A2" s="55">
        <v>45800</v>
      </c>
      <c r="B2" s="51" t="s">
        <v>276</v>
      </c>
      <c r="C2" s="49" t="s">
        <v>485</v>
      </c>
      <c r="D2" s="49" t="s">
        <v>312</v>
      </c>
      <c r="E2" s="49" t="s">
        <v>452</v>
      </c>
      <c r="F2" s="50">
        <v>17</v>
      </c>
      <c r="G2" s="52" t="s">
        <v>128</v>
      </c>
      <c r="H2" s="42">
        <v>17</v>
      </c>
      <c r="I2" s="20">
        <v>2.6105999999999998</v>
      </c>
      <c r="J2" s="20">
        <f t="shared" ref="J2:J65" si="0">H2*I2</f>
        <v>44.380199999999995</v>
      </c>
      <c r="K2" s="50">
        <v>640</v>
      </c>
      <c r="L2" s="47">
        <f t="shared" ref="L2:L65" si="1">F2/K2</f>
        <v>2.6562499999999999E-2</v>
      </c>
      <c r="M2" s="46" t="s">
        <v>264</v>
      </c>
    </row>
    <row r="3" spans="1:13" ht="21" customHeight="1" x14ac:dyDescent="0.25">
      <c r="A3" s="55">
        <v>45781</v>
      </c>
      <c r="B3" s="49" t="s">
        <v>265</v>
      </c>
      <c r="C3" s="49" t="s">
        <v>485</v>
      </c>
      <c r="D3" s="51" t="s">
        <v>160</v>
      </c>
      <c r="E3" s="49" t="s">
        <v>161</v>
      </c>
      <c r="F3" s="50">
        <v>10</v>
      </c>
      <c r="G3" s="45" t="s">
        <v>128</v>
      </c>
      <c r="H3" s="50">
        <v>10</v>
      </c>
      <c r="I3" s="20">
        <v>10.353999999999999</v>
      </c>
      <c r="J3" s="20">
        <f t="shared" si="0"/>
        <v>103.53999999999999</v>
      </c>
      <c r="K3" s="50">
        <v>315</v>
      </c>
      <c r="L3" s="47">
        <f t="shared" si="1"/>
        <v>3.1746031746031744E-2</v>
      </c>
      <c r="M3" s="46" t="s">
        <v>274</v>
      </c>
    </row>
    <row r="4" spans="1:13" ht="21" customHeight="1" x14ac:dyDescent="0.25">
      <c r="A4" s="55">
        <v>45785</v>
      </c>
      <c r="B4" s="49" t="s">
        <v>276</v>
      </c>
      <c r="C4" s="49" t="s">
        <v>485</v>
      </c>
      <c r="D4" s="49" t="s">
        <v>167</v>
      </c>
      <c r="E4" s="51" t="s">
        <v>358</v>
      </c>
      <c r="F4" s="50">
        <f>24+20</f>
        <v>44</v>
      </c>
      <c r="G4" s="45" t="s">
        <v>262</v>
      </c>
      <c r="H4" s="42">
        <v>44</v>
      </c>
      <c r="I4" s="21">
        <v>7.9405999999999999</v>
      </c>
      <c r="J4" s="20">
        <f t="shared" si="0"/>
        <v>349.38639999999998</v>
      </c>
      <c r="K4" s="50">
        <v>2200</v>
      </c>
      <c r="L4" s="47">
        <f t="shared" si="1"/>
        <v>0.02</v>
      </c>
      <c r="M4" s="46" t="s">
        <v>263</v>
      </c>
    </row>
    <row r="5" spans="1:13" ht="21" customHeight="1" x14ac:dyDescent="0.25">
      <c r="A5" s="55">
        <v>45807</v>
      </c>
      <c r="B5" s="49" t="s">
        <v>276</v>
      </c>
      <c r="C5" s="49" t="s">
        <v>485</v>
      </c>
      <c r="D5" s="51" t="s">
        <v>167</v>
      </c>
      <c r="E5" s="51" t="s">
        <v>358</v>
      </c>
      <c r="F5" s="50">
        <f>29+8</f>
        <v>37</v>
      </c>
      <c r="G5" s="45" t="s">
        <v>262</v>
      </c>
      <c r="H5" s="42">
        <v>37</v>
      </c>
      <c r="I5" s="21">
        <v>7.9405999999999999</v>
      </c>
      <c r="J5" s="20">
        <f t="shared" si="0"/>
        <v>293.80219999999997</v>
      </c>
      <c r="K5" s="50">
        <v>1480</v>
      </c>
      <c r="L5" s="47">
        <f t="shared" si="1"/>
        <v>2.5000000000000001E-2</v>
      </c>
      <c r="M5" s="46" t="s">
        <v>263</v>
      </c>
    </row>
    <row r="6" spans="1:13" ht="21" customHeight="1" x14ac:dyDescent="0.25">
      <c r="A6" s="55">
        <v>45784</v>
      </c>
      <c r="B6" s="49" t="s">
        <v>276</v>
      </c>
      <c r="C6" s="49" t="s">
        <v>485</v>
      </c>
      <c r="D6" s="51" t="s">
        <v>167</v>
      </c>
      <c r="E6" s="51" t="s">
        <v>358</v>
      </c>
      <c r="F6" s="50">
        <v>26</v>
      </c>
      <c r="G6" s="45" t="s">
        <v>262</v>
      </c>
      <c r="H6" s="50">
        <v>11</v>
      </c>
      <c r="I6" s="21">
        <v>7.9405999999999999</v>
      </c>
      <c r="J6" s="20">
        <f t="shared" si="0"/>
        <v>87.346599999999995</v>
      </c>
      <c r="K6" s="50">
        <v>1200</v>
      </c>
      <c r="L6" s="47">
        <f t="shared" si="1"/>
        <v>2.1666666666666667E-2</v>
      </c>
      <c r="M6" s="46" t="s">
        <v>263</v>
      </c>
    </row>
    <row r="7" spans="1:13" ht="21" customHeight="1" x14ac:dyDescent="0.25">
      <c r="A7" s="55">
        <v>45799</v>
      </c>
      <c r="B7" s="49" t="s">
        <v>265</v>
      </c>
      <c r="C7" s="49" t="s">
        <v>486</v>
      </c>
      <c r="D7" s="51" t="s">
        <v>311</v>
      </c>
      <c r="E7" s="49" t="s">
        <v>359</v>
      </c>
      <c r="F7" s="50">
        <v>12</v>
      </c>
      <c r="G7" s="52" t="s">
        <v>128</v>
      </c>
      <c r="H7" s="42">
        <v>12</v>
      </c>
      <c r="I7" s="20">
        <v>5.5134999999999996</v>
      </c>
      <c r="J7" s="20">
        <f t="shared" si="0"/>
        <v>66.161999999999992</v>
      </c>
      <c r="K7" s="50">
        <v>296</v>
      </c>
      <c r="L7" s="47">
        <f t="shared" si="1"/>
        <v>4.0540540540540543E-2</v>
      </c>
      <c r="M7" s="54" t="s">
        <v>274</v>
      </c>
    </row>
    <row r="8" spans="1:13" ht="21" customHeight="1" x14ac:dyDescent="0.25">
      <c r="A8" s="55">
        <v>45795</v>
      </c>
      <c r="B8" s="49" t="s">
        <v>265</v>
      </c>
      <c r="C8" s="49" t="s">
        <v>485</v>
      </c>
      <c r="D8" s="49" t="s">
        <v>327</v>
      </c>
      <c r="E8" s="49" t="s">
        <v>134</v>
      </c>
      <c r="F8" s="50">
        <f>110+47</f>
        <v>157</v>
      </c>
      <c r="G8" s="45" t="s">
        <v>128</v>
      </c>
      <c r="H8" s="50">
        <f>110+47</f>
        <v>157</v>
      </c>
      <c r="I8" s="20">
        <v>10.037000000000001</v>
      </c>
      <c r="J8" s="20">
        <f t="shared" si="0"/>
        <v>1575.8090000000002</v>
      </c>
      <c r="K8" s="50">
        <v>2240</v>
      </c>
      <c r="L8" s="47">
        <f t="shared" si="1"/>
        <v>7.0089285714285715E-2</v>
      </c>
      <c r="M8" s="46" t="s">
        <v>319</v>
      </c>
    </row>
    <row r="9" spans="1:13" ht="21" customHeight="1" x14ac:dyDescent="0.25">
      <c r="A9" s="55">
        <v>45798</v>
      </c>
      <c r="B9" s="49" t="s">
        <v>265</v>
      </c>
      <c r="C9" s="49" t="s">
        <v>485</v>
      </c>
      <c r="D9" s="49" t="s">
        <v>327</v>
      </c>
      <c r="E9" s="49" t="s">
        <v>360</v>
      </c>
      <c r="F9" s="50">
        <v>89</v>
      </c>
      <c r="G9" s="45" t="s">
        <v>128</v>
      </c>
      <c r="H9" s="42">
        <v>89</v>
      </c>
      <c r="I9" s="20">
        <v>10.037000000000001</v>
      </c>
      <c r="J9" s="20">
        <f t="shared" si="0"/>
        <v>893.29300000000012</v>
      </c>
      <c r="K9" s="50">
        <v>2880</v>
      </c>
      <c r="L9" s="47">
        <f t="shared" si="1"/>
        <v>3.0902777777777779E-2</v>
      </c>
      <c r="M9" s="46" t="s">
        <v>319</v>
      </c>
    </row>
    <row r="10" spans="1:13" ht="21" customHeight="1" x14ac:dyDescent="0.25">
      <c r="A10" s="55">
        <v>45804</v>
      </c>
      <c r="B10" s="49" t="s">
        <v>265</v>
      </c>
      <c r="C10" s="49" t="s">
        <v>485</v>
      </c>
      <c r="D10" s="49" t="s">
        <v>327</v>
      </c>
      <c r="E10" s="49" t="s">
        <v>360</v>
      </c>
      <c r="F10" s="50">
        <v>72</v>
      </c>
      <c r="G10" s="45" t="s">
        <v>128</v>
      </c>
      <c r="H10" s="42">
        <v>72</v>
      </c>
      <c r="I10" s="20">
        <v>10.037000000000001</v>
      </c>
      <c r="J10" s="20">
        <f t="shared" si="0"/>
        <v>722.6640000000001</v>
      </c>
      <c r="K10" s="50">
        <f>3200+896</f>
        <v>4096</v>
      </c>
      <c r="L10" s="47">
        <f t="shared" si="1"/>
        <v>1.7578125E-2</v>
      </c>
      <c r="M10" s="46" t="s">
        <v>319</v>
      </c>
    </row>
    <row r="11" spans="1:13" ht="21" customHeight="1" x14ac:dyDescent="0.25">
      <c r="A11" s="55">
        <v>45785</v>
      </c>
      <c r="B11" s="49" t="s">
        <v>265</v>
      </c>
      <c r="C11" s="49" t="s">
        <v>485</v>
      </c>
      <c r="D11" s="51" t="s">
        <v>327</v>
      </c>
      <c r="E11" s="51" t="s">
        <v>360</v>
      </c>
      <c r="F11" s="50">
        <f>11+58</f>
        <v>69</v>
      </c>
      <c r="G11" s="45" t="s">
        <v>128</v>
      </c>
      <c r="H11" s="42">
        <v>69</v>
      </c>
      <c r="I11" s="20">
        <v>10.037000000000001</v>
      </c>
      <c r="J11" s="20">
        <f t="shared" si="0"/>
        <v>692.55300000000011</v>
      </c>
      <c r="K11" s="50">
        <v>1264</v>
      </c>
      <c r="L11" s="47">
        <f t="shared" si="1"/>
        <v>5.4588607594936708E-2</v>
      </c>
      <c r="M11" s="54" t="s">
        <v>274</v>
      </c>
    </row>
    <row r="12" spans="1:13" ht="21" customHeight="1" x14ac:dyDescent="0.25">
      <c r="A12" s="55">
        <v>45797</v>
      </c>
      <c r="B12" s="49" t="s">
        <v>265</v>
      </c>
      <c r="C12" s="49" t="s">
        <v>485</v>
      </c>
      <c r="D12" s="49" t="s">
        <v>327</v>
      </c>
      <c r="E12" s="49" t="s">
        <v>360</v>
      </c>
      <c r="F12" s="50">
        <v>69</v>
      </c>
      <c r="G12" s="45" t="s">
        <v>128</v>
      </c>
      <c r="H12" s="42">
        <v>69</v>
      </c>
      <c r="I12" s="20">
        <v>10.037000000000001</v>
      </c>
      <c r="J12" s="20">
        <f t="shared" si="0"/>
        <v>692.55300000000011</v>
      </c>
      <c r="K12" s="50">
        <v>320</v>
      </c>
      <c r="L12" s="47">
        <f t="shared" si="1"/>
        <v>0.21562500000000001</v>
      </c>
      <c r="M12" s="46" t="s">
        <v>319</v>
      </c>
    </row>
    <row r="13" spans="1:13" ht="21" customHeight="1" x14ac:dyDescent="0.25">
      <c r="A13" s="55">
        <v>45793</v>
      </c>
      <c r="B13" s="49" t="s">
        <v>265</v>
      </c>
      <c r="C13" s="49" t="s">
        <v>485</v>
      </c>
      <c r="D13" s="51" t="s">
        <v>327</v>
      </c>
      <c r="E13" s="51" t="s">
        <v>360</v>
      </c>
      <c r="F13" s="50">
        <v>55</v>
      </c>
      <c r="G13" s="45" t="s">
        <v>128</v>
      </c>
      <c r="H13" s="42">
        <v>55</v>
      </c>
      <c r="I13" s="20">
        <v>10.037000000000001</v>
      </c>
      <c r="J13" s="20">
        <f t="shared" si="0"/>
        <v>552.03500000000008</v>
      </c>
      <c r="K13" s="50">
        <v>960</v>
      </c>
      <c r="L13" s="47">
        <f t="shared" si="1"/>
        <v>5.7291666666666664E-2</v>
      </c>
      <c r="M13" s="54" t="s">
        <v>274</v>
      </c>
    </row>
    <row r="14" spans="1:13" ht="21" customHeight="1" x14ac:dyDescent="0.25">
      <c r="A14" s="55">
        <v>45788</v>
      </c>
      <c r="B14" s="49" t="s">
        <v>265</v>
      </c>
      <c r="C14" s="49" t="s">
        <v>485</v>
      </c>
      <c r="D14" s="51" t="s">
        <v>327</v>
      </c>
      <c r="E14" s="51" t="s">
        <v>360</v>
      </c>
      <c r="F14" s="50">
        <v>56</v>
      </c>
      <c r="G14" s="45" t="s">
        <v>128</v>
      </c>
      <c r="H14" s="50">
        <v>56</v>
      </c>
      <c r="I14" s="20">
        <v>10.037000000000001</v>
      </c>
      <c r="J14" s="20">
        <f t="shared" si="0"/>
        <v>562.072</v>
      </c>
      <c r="K14" s="50">
        <v>2160</v>
      </c>
      <c r="L14" s="47">
        <f t="shared" si="1"/>
        <v>2.5925925925925925E-2</v>
      </c>
      <c r="M14" s="54" t="s">
        <v>274</v>
      </c>
    </row>
    <row r="15" spans="1:13" ht="21" customHeight="1" x14ac:dyDescent="0.25">
      <c r="A15" s="55">
        <v>45782</v>
      </c>
      <c r="B15" s="49" t="s">
        <v>265</v>
      </c>
      <c r="C15" s="49" t="s">
        <v>485</v>
      </c>
      <c r="D15" s="51" t="s">
        <v>327</v>
      </c>
      <c r="E15" s="51" t="s">
        <v>360</v>
      </c>
      <c r="F15" s="50">
        <f>18+35</f>
        <v>53</v>
      </c>
      <c r="G15" s="45" t="s">
        <v>128</v>
      </c>
      <c r="H15" s="42">
        <f>F15</f>
        <v>53</v>
      </c>
      <c r="I15" s="20">
        <v>10.037000000000001</v>
      </c>
      <c r="J15" s="20">
        <f t="shared" si="0"/>
        <v>531.96100000000001</v>
      </c>
      <c r="K15" s="50">
        <v>760</v>
      </c>
      <c r="L15" s="47">
        <f t="shared" si="1"/>
        <v>6.9736842105263153E-2</v>
      </c>
      <c r="M15" s="46" t="s">
        <v>274</v>
      </c>
    </row>
    <row r="16" spans="1:13" ht="21" customHeight="1" x14ac:dyDescent="0.25">
      <c r="A16" s="55">
        <v>45806</v>
      </c>
      <c r="B16" s="49" t="s">
        <v>265</v>
      </c>
      <c r="C16" s="49" t="s">
        <v>485</v>
      </c>
      <c r="D16" s="49" t="s">
        <v>327</v>
      </c>
      <c r="E16" s="49" t="s">
        <v>360</v>
      </c>
      <c r="F16" s="50">
        <f>12+33</f>
        <v>45</v>
      </c>
      <c r="G16" s="45" t="s">
        <v>128</v>
      </c>
      <c r="H16" s="42">
        <v>45</v>
      </c>
      <c r="I16" s="20">
        <v>10.037000000000001</v>
      </c>
      <c r="J16" s="20">
        <f t="shared" si="0"/>
        <v>451.66500000000002</v>
      </c>
      <c r="K16" s="50">
        <v>2624</v>
      </c>
      <c r="L16" s="47">
        <f t="shared" si="1"/>
        <v>1.714939024390244E-2</v>
      </c>
      <c r="M16" s="46" t="s">
        <v>319</v>
      </c>
    </row>
    <row r="17" spans="1:13" ht="21" customHeight="1" x14ac:dyDescent="0.25">
      <c r="A17" s="55">
        <v>45803</v>
      </c>
      <c r="B17" s="49" t="s">
        <v>265</v>
      </c>
      <c r="C17" s="49" t="s">
        <v>485</v>
      </c>
      <c r="D17" s="49" t="s">
        <v>327</v>
      </c>
      <c r="E17" s="49" t="s">
        <v>360</v>
      </c>
      <c r="F17" s="50">
        <v>44</v>
      </c>
      <c r="G17" s="45" t="s">
        <v>128</v>
      </c>
      <c r="H17" s="42">
        <v>44</v>
      </c>
      <c r="I17" s="20">
        <v>10.037000000000001</v>
      </c>
      <c r="J17" s="20">
        <f t="shared" si="0"/>
        <v>441.62800000000004</v>
      </c>
      <c r="K17" s="50">
        <v>2240</v>
      </c>
      <c r="L17" s="47">
        <f t="shared" si="1"/>
        <v>1.9642857142857142E-2</v>
      </c>
      <c r="M17" s="46" t="s">
        <v>319</v>
      </c>
    </row>
    <row r="18" spans="1:13" ht="21" customHeight="1" x14ac:dyDescent="0.25">
      <c r="A18" s="55">
        <v>45805</v>
      </c>
      <c r="B18" s="49" t="s">
        <v>265</v>
      </c>
      <c r="C18" s="49" t="s">
        <v>485</v>
      </c>
      <c r="D18" s="49" t="s">
        <v>327</v>
      </c>
      <c r="E18" s="49" t="s">
        <v>360</v>
      </c>
      <c r="F18" s="50">
        <v>43</v>
      </c>
      <c r="G18" s="45" t="s">
        <v>128</v>
      </c>
      <c r="H18" s="42">
        <v>43</v>
      </c>
      <c r="I18" s="20">
        <v>10.037000000000001</v>
      </c>
      <c r="J18" s="20">
        <f t="shared" si="0"/>
        <v>431.59100000000001</v>
      </c>
      <c r="K18" s="50">
        <f>320+3200</f>
        <v>3520</v>
      </c>
      <c r="L18" s="47">
        <f t="shared" si="1"/>
        <v>1.2215909090909092E-2</v>
      </c>
      <c r="M18" s="46" t="s">
        <v>319</v>
      </c>
    </row>
    <row r="19" spans="1:13" ht="21" customHeight="1" x14ac:dyDescent="0.25">
      <c r="A19" s="55">
        <v>45792</v>
      </c>
      <c r="B19" s="49" t="s">
        <v>265</v>
      </c>
      <c r="C19" s="49" t="s">
        <v>485</v>
      </c>
      <c r="D19" s="51" t="s">
        <v>327</v>
      </c>
      <c r="E19" s="51" t="s">
        <v>360</v>
      </c>
      <c r="F19" s="50">
        <v>37</v>
      </c>
      <c r="G19" s="45" t="s">
        <v>128</v>
      </c>
      <c r="H19" s="42">
        <v>37</v>
      </c>
      <c r="I19" s="20">
        <v>10.037000000000001</v>
      </c>
      <c r="J19" s="20">
        <f t="shared" si="0"/>
        <v>371.36900000000003</v>
      </c>
      <c r="K19" s="50">
        <v>1664</v>
      </c>
      <c r="L19" s="47">
        <f t="shared" si="1"/>
        <v>2.2235576923076924E-2</v>
      </c>
      <c r="M19" s="54" t="s">
        <v>274</v>
      </c>
    </row>
    <row r="20" spans="1:13" ht="21" customHeight="1" x14ac:dyDescent="0.25">
      <c r="A20" s="55">
        <v>45787</v>
      </c>
      <c r="B20" s="49" t="s">
        <v>265</v>
      </c>
      <c r="C20" s="49" t="s">
        <v>485</v>
      </c>
      <c r="D20" s="49" t="s">
        <v>327</v>
      </c>
      <c r="E20" s="49" t="s">
        <v>360</v>
      </c>
      <c r="F20" s="50">
        <v>29</v>
      </c>
      <c r="G20" s="45" t="s">
        <v>128</v>
      </c>
      <c r="H20" s="50">
        <v>29</v>
      </c>
      <c r="I20" s="20">
        <v>10.037000000000001</v>
      </c>
      <c r="J20" s="20">
        <f t="shared" si="0"/>
        <v>291.07300000000004</v>
      </c>
      <c r="K20" s="50">
        <v>560</v>
      </c>
      <c r="L20" s="47">
        <f t="shared" si="1"/>
        <v>5.1785714285714289E-2</v>
      </c>
      <c r="M20" s="46" t="s">
        <v>319</v>
      </c>
    </row>
    <row r="21" spans="1:13" ht="21" customHeight="1" x14ac:dyDescent="0.25">
      <c r="A21" s="55">
        <v>45789</v>
      </c>
      <c r="B21" s="49" t="s">
        <v>265</v>
      </c>
      <c r="C21" s="49" t="s">
        <v>485</v>
      </c>
      <c r="D21" s="51" t="s">
        <v>327</v>
      </c>
      <c r="E21" s="51" t="s">
        <v>360</v>
      </c>
      <c r="F21" s="50">
        <f>19+10</f>
        <v>29</v>
      </c>
      <c r="G21" s="45" t="s">
        <v>128</v>
      </c>
      <c r="H21" s="42">
        <v>29</v>
      </c>
      <c r="I21" s="20">
        <v>10.037000000000001</v>
      </c>
      <c r="J21" s="20">
        <f t="shared" si="0"/>
        <v>291.07300000000004</v>
      </c>
      <c r="K21" s="50">
        <v>1176</v>
      </c>
      <c r="L21" s="47">
        <f t="shared" si="1"/>
        <v>2.4659863945578231E-2</v>
      </c>
      <c r="M21" s="54" t="s">
        <v>274</v>
      </c>
    </row>
    <row r="22" spans="1:13" ht="21" customHeight="1" x14ac:dyDescent="0.25">
      <c r="A22" s="55">
        <v>45790</v>
      </c>
      <c r="B22" s="49" t="s">
        <v>265</v>
      </c>
      <c r="C22" s="49" t="s">
        <v>485</v>
      </c>
      <c r="D22" s="51" t="s">
        <v>327</v>
      </c>
      <c r="E22" s="51" t="s">
        <v>360</v>
      </c>
      <c r="F22" s="50">
        <f>19+10</f>
        <v>29</v>
      </c>
      <c r="G22" s="45" t="s">
        <v>128</v>
      </c>
      <c r="H22" s="42">
        <v>29</v>
      </c>
      <c r="I22" s="20">
        <v>10.037000000000001</v>
      </c>
      <c r="J22" s="20">
        <f t="shared" si="0"/>
        <v>291.07300000000004</v>
      </c>
      <c r="K22" s="50">
        <v>1176</v>
      </c>
      <c r="L22" s="47">
        <f t="shared" si="1"/>
        <v>2.4659863945578231E-2</v>
      </c>
      <c r="M22" s="54" t="s">
        <v>274</v>
      </c>
    </row>
    <row r="23" spans="1:13" ht="21" customHeight="1" x14ac:dyDescent="0.25">
      <c r="A23" s="55">
        <v>45791</v>
      </c>
      <c r="B23" s="49" t="s">
        <v>265</v>
      </c>
      <c r="C23" s="49" t="s">
        <v>485</v>
      </c>
      <c r="D23" s="51" t="s">
        <v>327</v>
      </c>
      <c r="E23" s="51" t="s">
        <v>360</v>
      </c>
      <c r="F23" s="50">
        <v>17</v>
      </c>
      <c r="G23" s="45" t="s">
        <v>128</v>
      </c>
      <c r="H23" s="42">
        <v>17</v>
      </c>
      <c r="I23" s="20">
        <v>10.037000000000001</v>
      </c>
      <c r="J23" s="20">
        <f t="shared" si="0"/>
        <v>170.62900000000002</v>
      </c>
      <c r="K23" s="50">
        <v>960</v>
      </c>
      <c r="L23" s="47">
        <f t="shared" si="1"/>
        <v>1.7708333333333333E-2</v>
      </c>
      <c r="M23" s="54" t="s">
        <v>274</v>
      </c>
    </row>
    <row r="24" spans="1:13" ht="21" customHeight="1" x14ac:dyDescent="0.25">
      <c r="A24" s="55">
        <v>45799</v>
      </c>
      <c r="B24" s="49" t="s">
        <v>265</v>
      </c>
      <c r="C24" s="49" t="s">
        <v>485</v>
      </c>
      <c r="D24" s="49" t="s">
        <v>327</v>
      </c>
      <c r="E24" s="49" t="s">
        <v>360</v>
      </c>
      <c r="F24" s="50">
        <v>17</v>
      </c>
      <c r="G24" s="45" t="s">
        <v>128</v>
      </c>
      <c r="H24" s="42">
        <v>17</v>
      </c>
      <c r="I24" s="20">
        <v>10.037000000000001</v>
      </c>
      <c r="J24" s="20">
        <f t="shared" si="0"/>
        <v>170.62900000000002</v>
      </c>
      <c r="K24" s="50">
        <v>640</v>
      </c>
      <c r="L24" s="47">
        <f t="shared" si="1"/>
        <v>2.6562499999999999E-2</v>
      </c>
      <c r="M24" s="46" t="s">
        <v>319</v>
      </c>
    </row>
    <row r="25" spans="1:13" ht="21" customHeight="1" x14ac:dyDescent="0.25">
      <c r="A25" s="55">
        <v>45807</v>
      </c>
      <c r="B25" s="49" t="s">
        <v>265</v>
      </c>
      <c r="C25" s="49" t="s">
        <v>485</v>
      </c>
      <c r="D25" s="49" t="s">
        <v>327</v>
      </c>
      <c r="E25" s="49" t="s">
        <v>360</v>
      </c>
      <c r="F25" s="50">
        <v>8</v>
      </c>
      <c r="G25" s="45" t="s">
        <v>128</v>
      </c>
      <c r="H25" s="42">
        <v>8</v>
      </c>
      <c r="I25" s="20">
        <v>10.037000000000001</v>
      </c>
      <c r="J25" s="20">
        <f t="shared" si="0"/>
        <v>80.296000000000006</v>
      </c>
      <c r="K25" s="50">
        <v>1000</v>
      </c>
      <c r="L25" s="47">
        <f t="shared" si="1"/>
        <v>8.0000000000000002E-3</v>
      </c>
      <c r="M25" s="46" t="s">
        <v>315</v>
      </c>
    </row>
    <row r="26" spans="1:13" ht="21" customHeight="1" x14ac:dyDescent="0.25">
      <c r="A26" s="55">
        <v>45796</v>
      </c>
      <c r="B26" s="49" t="s">
        <v>265</v>
      </c>
      <c r="C26" s="49" t="s">
        <v>485</v>
      </c>
      <c r="D26" s="49" t="s">
        <v>327</v>
      </c>
      <c r="E26" s="49" t="s">
        <v>360</v>
      </c>
      <c r="F26" s="50">
        <v>7</v>
      </c>
      <c r="G26" s="45" t="s">
        <v>128</v>
      </c>
      <c r="H26" s="50">
        <v>7</v>
      </c>
      <c r="I26" s="20">
        <v>10.037000000000001</v>
      </c>
      <c r="J26" s="20">
        <f t="shared" si="0"/>
        <v>70.259</v>
      </c>
      <c r="K26" s="50">
        <v>640</v>
      </c>
      <c r="L26" s="47">
        <f t="shared" si="1"/>
        <v>1.0937499999999999E-2</v>
      </c>
      <c r="M26" s="46" t="s">
        <v>319</v>
      </c>
    </row>
    <row r="27" spans="1:13" ht="21" customHeight="1" x14ac:dyDescent="0.25">
      <c r="A27" s="55">
        <v>45793</v>
      </c>
      <c r="B27" s="49" t="s">
        <v>265</v>
      </c>
      <c r="C27" s="49" t="s">
        <v>485</v>
      </c>
      <c r="D27" s="49" t="s">
        <v>129</v>
      </c>
      <c r="E27" s="49" t="s">
        <v>130</v>
      </c>
      <c r="F27" s="50">
        <v>44</v>
      </c>
      <c r="G27" s="52" t="s">
        <v>128</v>
      </c>
      <c r="H27" s="4">
        <v>44</v>
      </c>
      <c r="I27" s="21">
        <v>11.968999999999999</v>
      </c>
      <c r="J27" s="20">
        <f t="shared" si="0"/>
        <v>526.63599999999997</v>
      </c>
      <c r="K27" s="50">
        <v>950</v>
      </c>
      <c r="L27" s="47">
        <f t="shared" si="1"/>
        <v>4.6315789473684213E-2</v>
      </c>
      <c r="M27" s="46"/>
    </row>
    <row r="28" spans="1:13" ht="21" customHeight="1" x14ac:dyDescent="0.25">
      <c r="A28" s="55">
        <v>45794</v>
      </c>
      <c r="B28" s="49" t="s">
        <v>265</v>
      </c>
      <c r="C28" s="49" t="s">
        <v>485</v>
      </c>
      <c r="D28" s="49" t="s">
        <v>165</v>
      </c>
      <c r="E28" s="49" t="s">
        <v>416</v>
      </c>
      <c r="F28" s="50">
        <v>7</v>
      </c>
      <c r="G28" s="52" t="s">
        <v>128</v>
      </c>
      <c r="H28" s="42">
        <v>7</v>
      </c>
      <c r="I28" s="20">
        <v>12.8642</v>
      </c>
      <c r="J28" s="20">
        <f t="shared" si="0"/>
        <v>90.049400000000006</v>
      </c>
      <c r="K28" s="50">
        <v>275</v>
      </c>
      <c r="L28" s="47">
        <f t="shared" si="1"/>
        <v>2.5454545454545455E-2</v>
      </c>
      <c r="M28" s="54" t="s">
        <v>274</v>
      </c>
    </row>
    <row r="29" spans="1:13" ht="21" customHeight="1" x14ac:dyDescent="0.25">
      <c r="A29" s="55">
        <v>45791</v>
      </c>
      <c r="B29" s="49" t="s">
        <v>265</v>
      </c>
      <c r="C29" s="49" t="s">
        <v>485</v>
      </c>
      <c r="D29" s="51" t="s">
        <v>165</v>
      </c>
      <c r="E29" s="49" t="s">
        <v>416</v>
      </c>
      <c r="F29" s="50">
        <v>6</v>
      </c>
      <c r="G29" s="52" t="s">
        <v>128</v>
      </c>
      <c r="H29" s="42">
        <v>6</v>
      </c>
      <c r="I29" s="20">
        <v>12.8642</v>
      </c>
      <c r="J29" s="20">
        <f t="shared" si="0"/>
        <v>77.185200000000009</v>
      </c>
      <c r="K29" s="50">
        <v>1295</v>
      </c>
      <c r="L29" s="47">
        <f t="shared" si="1"/>
        <v>4.633204633204633E-3</v>
      </c>
      <c r="M29" s="54" t="s">
        <v>274</v>
      </c>
    </row>
    <row r="30" spans="1:13" ht="21" customHeight="1" x14ac:dyDescent="0.25">
      <c r="A30" s="55">
        <v>45802</v>
      </c>
      <c r="B30" s="49" t="s">
        <v>268</v>
      </c>
      <c r="C30" s="49" t="s">
        <v>485</v>
      </c>
      <c r="D30" s="49" t="s">
        <v>156</v>
      </c>
      <c r="E30" s="51" t="s">
        <v>378</v>
      </c>
      <c r="F30" s="50">
        <v>6</v>
      </c>
      <c r="G30" s="52" t="s">
        <v>128</v>
      </c>
      <c r="H30" s="42">
        <v>6</v>
      </c>
      <c r="I30" s="20">
        <v>30.68</v>
      </c>
      <c r="J30" s="20">
        <f t="shared" si="0"/>
        <v>184.07999999999998</v>
      </c>
      <c r="K30" s="50">
        <v>752</v>
      </c>
      <c r="L30" s="47">
        <f t="shared" si="1"/>
        <v>7.9787234042553185E-3</v>
      </c>
      <c r="M30" s="46"/>
    </row>
    <row r="31" spans="1:13" ht="21" customHeight="1" x14ac:dyDescent="0.25">
      <c r="A31" s="55">
        <v>45797</v>
      </c>
      <c r="B31" s="49" t="s">
        <v>268</v>
      </c>
      <c r="C31" s="49" t="s">
        <v>485</v>
      </c>
      <c r="D31" s="51" t="s">
        <v>156</v>
      </c>
      <c r="E31" s="51" t="s">
        <v>378</v>
      </c>
      <c r="F31" s="50">
        <v>4</v>
      </c>
      <c r="G31" s="52" t="s">
        <v>128</v>
      </c>
      <c r="H31" s="42">
        <v>4</v>
      </c>
      <c r="I31" s="20">
        <v>30.68</v>
      </c>
      <c r="J31" s="20">
        <f t="shared" si="0"/>
        <v>122.72</v>
      </c>
      <c r="K31" s="50">
        <v>256</v>
      </c>
      <c r="L31" s="47">
        <f t="shared" si="1"/>
        <v>1.5625E-2</v>
      </c>
      <c r="M31" s="54"/>
    </row>
    <row r="32" spans="1:13" ht="21" customHeight="1" x14ac:dyDescent="0.25">
      <c r="A32" s="55">
        <v>45798</v>
      </c>
      <c r="B32" s="49" t="s">
        <v>268</v>
      </c>
      <c r="C32" s="49" t="s">
        <v>485</v>
      </c>
      <c r="D32" s="51" t="s">
        <v>156</v>
      </c>
      <c r="E32" s="51" t="s">
        <v>378</v>
      </c>
      <c r="F32" s="50">
        <v>3</v>
      </c>
      <c r="G32" s="52" t="s">
        <v>128</v>
      </c>
      <c r="H32" s="42">
        <v>3</v>
      </c>
      <c r="I32" s="20">
        <v>30.68</v>
      </c>
      <c r="J32" s="20">
        <f t="shared" si="0"/>
        <v>92.039999999999992</v>
      </c>
      <c r="K32" s="50">
        <v>512</v>
      </c>
      <c r="L32" s="47">
        <f t="shared" si="1"/>
        <v>5.859375E-3</v>
      </c>
      <c r="M32" s="46"/>
    </row>
    <row r="33" spans="1:13" ht="21" customHeight="1" x14ac:dyDescent="0.25">
      <c r="A33" s="55">
        <v>45801</v>
      </c>
      <c r="B33" s="49" t="s">
        <v>268</v>
      </c>
      <c r="C33" s="49" t="s">
        <v>485</v>
      </c>
      <c r="D33" s="51" t="s">
        <v>156</v>
      </c>
      <c r="E33" s="51" t="s">
        <v>378</v>
      </c>
      <c r="F33" s="50">
        <v>3</v>
      </c>
      <c r="G33" s="52" t="s">
        <v>128</v>
      </c>
      <c r="H33" s="42">
        <v>3</v>
      </c>
      <c r="I33" s="20">
        <v>30.68</v>
      </c>
      <c r="J33" s="20">
        <f t="shared" si="0"/>
        <v>92.039999999999992</v>
      </c>
      <c r="K33" s="50">
        <v>1024</v>
      </c>
      <c r="L33" s="47">
        <f t="shared" si="1"/>
        <v>2.9296875E-3</v>
      </c>
      <c r="M33" s="46"/>
    </row>
    <row r="34" spans="1:13" ht="21" customHeight="1" x14ac:dyDescent="0.25">
      <c r="A34" s="55">
        <v>45787</v>
      </c>
      <c r="B34" s="49" t="s">
        <v>268</v>
      </c>
      <c r="C34" s="49" t="s">
        <v>485</v>
      </c>
      <c r="D34" s="51" t="s">
        <v>156</v>
      </c>
      <c r="E34" s="51" t="s">
        <v>378</v>
      </c>
      <c r="F34" s="50">
        <v>2</v>
      </c>
      <c r="G34" s="52" t="s">
        <v>128</v>
      </c>
      <c r="H34" s="42">
        <v>2</v>
      </c>
      <c r="I34" s="20">
        <v>30.68</v>
      </c>
      <c r="J34" s="20">
        <f t="shared" si="0"/>
        <v>61.36</v>
      </c>
      <c r="K34" s="50">
        <v>598</v>
      </c>
      <c r="L34" s="47">
        <f t="shared" si="1"/>
        <v>3.3444816053511705E-3</v>
      </c>
      <c r="M34" s="46"/>
    </row>
    <row r="35" spans="1:13" ht="21" customHeight="1" x14ac:dyDescent="0.25">
      <c r="A35" s="55">
        <v>45788</v>
      </c>
      <c r="B35" s="49" t="s">
        <v>320</v>
      </c>
      <c r="C35" s="49" t="s">
        <v>487</v>
      </c>
      <c r="D35" s="49" t="s">
        <v>301</v>
      </c>
      <c r="E35" s="49" t="s">
        <v>357</v>
      </c>
      <c r="F35" s="50">
        <v>9</v>
      </c>
      <c r="G35" s="52" t="s">
        <v>128</v>
      </c>
      <c r="H35" s="50">
        <v>43</v>
      </c>
      <c r="I35" s="20">
        <v>51.675699999999999</v>
      </c>
      <c r="J35" s="20">
        <f t="shared" si="0"/>
        <v>2222.0551</v>
      </c>
      <c r="K35" s="50">
        <v>504</v>
      </c>
      <c r="L35" s="47">
        <f t="shared" si="1"/>
        <v>1.7857142857142856E-2</v>
      </c>
      <c r="M35" s="46"/>
    </row>
    <row r="36" spans="1:13" ht="21" customHeight="1" x14ac:dyDescent="0.25">
      <c r="A36" s="55">
        <v>45795</v>
      </c>
      <c r="B36" s="49" t="s">
        <v>320</v>
      </c>
      <c r="C36" s="49" t="s">
        <v>485</v>
      </c>
      <c r="D36" s="49" t="s">
        <v>302</v>
      </c>
      <c r="E36" s="49" t="s">
        <v>380</v>
      </c>
      <c r="F36" s="50">
        <f>18+5+1</f>
        <v>24</v>
      </c>
      <c r="G36" s="52" t="s">
        <v>128</v>
      </c>
      <c r="H36" s="42">
        <v>24</v>
      </c>
      <c r="I36" s="20">
        <v>15</v>
      </c>
      <c r="J36" s="20">
        <f t="shared" si="0"/>
        <v>360</v>
      </c>
      <c r="K36" s="50">
        <v>176</v>
      </c>
      <c r="L36" s="47">
        <f t="shared" si="1"/>
        <v>0.13636363636363635</v>
      </c>
      <c r="M36" s="46"/>
    </row>
    <row r="37" spans="1:13" ht="21" customHeight="1" x14ac:dyDescent="0.25">
      <c r="A37" s="55">
        <v>45794</v>
      </c>
      <c r="B37" s="49" t="s">
        <v>320</v>
      </c>
      <c r="C37" s="49" t="s">
        <v>485</v>
      </c>
      <c r="D37" s="49" t="s">
        <v>302</v>
      </c>
      <c r="E37" s="49" t="s">
        <v>380</v>
      </c>
      <c r="F37" s="50">
        <v>1</v>
      </c>
      <c r="G37" s="52" t="s">
        <v>128</v>
      </c>
      <c r="H37" s="42">
        <v>1</v>
      </c>
      <c r="I37" s="20">
        <v>15</v>
      </c>
      <c r="J37" s="20">
        <f t="shared" si="0"/>
        <v>15</v>
      </c>
      <c r="K37" s="50">
        <v>240</v>
      </c>
      <c r="L37" s="47">
        <f t="shared" si="1"/>
        <v>4.1666666666666666E-3</v>
      </c>
      <c r="M37" s="46"/>
    </row>
    <row r="38" spans="1:13" ht="21" customHeight="1" x14ac:dyDescent="0.25">
      <c r="A38" s="55">
        <v>45793</v>
      </c>
      <c r="B38" s="49" t="s">
        <v>320</v>
      </c>
      <c r="C38" s="49" t="s">
        <v>485</v>
      </c>
      <c r="D38" s="49" t="s">
        <v>302</v>
      </c>
      <c r="E38" s="49" t="s">
        <v>380</v>
      </c>
      <c r="F38" s="50">
        <v>4</v>
      </c>
      <c r="G38" s="52" t="s">
        <v>128</v>
      </c>
      <c r="H38" s="48">
        <v>4</v>
      </c>
      <c r="I38" s="20">
        <v>15</v>
      </c>
      <c r="J38" s="20">
        <f t="shared" si="0"/>
        <v>60</v>
      </c>
      <c r="K38" s="50">
        <v>288</v>
      </c>
      <c r="L38" s="47">
        <f t="shared" si="1"/>
        <v>1.3888888888888888E-2</v>
      </c>
      <c r="M38" s="46"/>
    </row>
    <row r="39" spans="1:13" ht="21" customHeight="1" x14ac:dyDescent="0.25">
      <c r="A39" s="55">
        <v>45789</v>
      </c>
      <c r="B39" s="49" t="s">
        <v>320</v>
      </c>
      <c r="C39" s="49" t="s">
        <v>485</v>
      </c>
      <c r="D39" s="49" t="s">
        <v>302</v>
      </c>
      <c r="E39" s="49" t="s">
        <v>457</v>
      </c>
      <c r="F39" s="50">
        <f>4+136</f>
        <v>140</v>
      </c>
      <c r="G39" s="52" t="s">
        <v>128</v>
      </c>
      <c r="H39" s="42">
        <v>140</v>
      </c>
      <c r="I39" s="20">
        <v>15</v>
      </c>
      <c r="J39" s="20">
        <f t="shared" si="0"/>
        <v>2100</v>
      </c>
      <c r="K39" s="50">
        <v>384</v>
      </c>
      <c r="L39" s="47">
        <f t="shared" si="1"/>
        <v>0.36458333333333331</v>
      </c>
      <c r="M39" s="46"/>
    </row>
    <row r="40" spans="1:13" ht="21" customHeight="1" x14ac:dyDescent="0.25">
      <c r="A40" s="55">
        <v>45790</v>
      </c>
      <c r="B40" s="49" t="s">
        <v>320</v>
      </c>
      <c r="C40" s="49" t="s">
        <v>485</v>
      </c>
      <c r="D40" s="49" t="s">
        <v>302</v>
      </c>
      <c r="E40" s="49" t="s">
        <v>380</v>
      </c>
      <c r="F40" s="50">
        <f>4+136</f>
        <v>140</v>
      </c>
      <c r="G40" s="52" t="s">
        <v>128</v>
      </c>
      <c r="H40" s="42">
        <v>140</v>
      </c>
      <c r="I40" s="20">
        <v>15</v>
      </c>
      <c r="J40" s="20">
        <f t="shared" si="0"/>
        <v>2100</v>
      </c>
      <c r="K40" s="50">
        <v>384</v>
      </c>
      <c r="L40" s="47">
        <f t="shared" si="1"/>
        <v>0.36458333333333331</v>
      </c>
      <c r="M40" s="46"/>
    </row>
    <row r="41" spans="1:13" ht="21" customHeight="1" x14ac:dyDescent="0.25">
      <c r="A41" s="55">
        <v>45801</v>
      </c>
      <c r="B41" s="51" t="s">
        <v>276</v>
      </c>
      <c r="C41" s="49" t="s">
        <v>485</v>
      </c>
      <c r="D41" s="49" t="s">
        <v>302</v>
      </c>
      <c r="E41" s="49" t="s">
        <v>380</v>
      </c>
      <c r="F41" s="50">
        <f>44+8</f>
        <v>52</v>
      </c>
      <c r="G41" s="52" t="s">
        <v>128</v>
      </c>
      <c r="H41" s="42">
        <v>52</v>
      </c>
      <c r="I41" s="20">
        <v>15</v>
      </c>
      <c r="J41" s="20">
        <f t="shared" si="0"/>
        <v>780</v>
      </c>
      <c r="K41" s="50">
        <v>480</v>
      </c>
      <c r="L41" s="47">
        <f t="shared" si="1"/>
        <v>0.10833333333333334</v>
      </c>
      <c r="M41" s="46"/>
    </row>
    <row r="42" spans="1:13" ht="21" customHeight="1" x14ac:dyDescent="0.25">
      <c r="A42" s="55">
        <v>45802</v>
      </c>
      <c r="B42" s="51" t="s">
        <v>276</v>
      </c>
      <c r="C42" s="49" t="s">
        <v>485</v>
      </c>
      <c r="D42" s="49" t="s">
        <v>302</v>
      </c>
      <c r="E42" s="49" t="s">
        <v>380</v>
      </c>
      <c r="F42" s="50">
        <f>116+4+7</f>
        <v>127</v>
      </c>
      <c r="G42" s="52" t="s">
        <v>128</v>
      </c>
      <c r="H42" s="42">
        <v>127</v>
      </c>
      <c r="I42" s="20">
        <v>15</v>
      </c>
      <c r="J42" s="20">
        <f t="shared" si="0"/>
        <v>1905</v>
      </c>
      <c r="K42" s="50">
        <f>240+416</f>
        <v>656</v>
      </c>
      <c r="L42" s="47">
        <f t="shared" si="1"/>
        <v>0.19359756097560976</v>
      </c>
      <c r="M42" s="46"/>
    </row>
    <row r="43" spans="1:13" ht="21" customHeight="1" x14ac:dyDescent="0.25">
      <c r="A43" s="55">
        <v>45794</v>
      </c>
      <c r="B43" s="49" t="s">
        <v>320</v>
      </c>
      <c r="C43" s="49" t="s">
        <v>485</v>
      </c>
      <c r="D43" s="49" t="s">
        <v>282</v>
      </c>
      <c r="E43" s="49" t="s">
        <v>458</v>
      </c>
      <c r="F43" s="50">
        <f>8+15</f>
        <v>23</v>
      </c>
      <c r="G43" s="45" t="s">
        <v>128</v>
      </c>
      <c r="H43" s="42">
        <v>23</v>
      </c>
      <c r="I43" s="20">
        <v>16.5</v>
      </c>
      <c r="J43" s="20">
        <f t="shared" si="0"/>
        <v>379.5</v>
      </c>
      <c r="K43" s="50">
        <v>468</v>
      </c>
      <c r="L43" s="47">
        <f t="shared" si="1"/>
        <v>4.9145299145299144E-2</v>
      </c>
      <c r="M43" s="46"/>
    </row>
    <row r="44" spans="1:13" ht="21" customHeight="1" x14ac:dyDescent="0.25">
      <c r="A44" s="55">
        <v>45792</v>
      </c>
      <c r="B44" s="49" t="s">
        <v>320</v>
      </c>
      <c r="C44" s="49" t="s">
        <v>485</v>
      </c>
      <c r="D44" s="49" t="s">
        <v>282</v>
      </c>
      <c r="E44" s="51" t="s">
        <v>381</v>
      </c>
      <c r="F44" s="50">
        <v>15</v>
      </c>
      <c r="G44" s="45" t="s">
        <v>128</v>
      </c>
      <c r="H44" s="42">
        <v>15</v>
      </c>
      <c r="I44" s="20">
        <v>16.5</v>
      </c>
      <c r="J44" s="20">
        <f t="shared" si="0"/>
        <v>247.5</v>
      </c>
      <c r="K44" s="50">
        <v>432</v>
      </c>
      <c r="L44" s="47">
        <f t="shared" si="1"/>
        <v>3.4722222222222224E-2</v>
      </c>
      <c r="M44" s="46"/>
    </row>
    <row r="45" spans="1:13" ht="21" customHeight="1" x14ac:dyDescent="0.25">
      <c r="A45" s="55">
        <v>45782</v>
      </c>
      <c r="B45" s="49" t="s">
        <v>320</v>
      </c>
      <c r="C45" s="49" t="s">
        <v>485</v>
      </c>
      <c r="D45" s="51" t="s">
        <v>282</v>
      </c>
      <c r="E45" s="51" t="s">
        <v>381</v>
      </c>
      <c r="F45" s="50">
        <v>9</v>
      </c>
      <c r="G45" s="45" t="s">
        <v>128</v>
      </c>
      <c r="H45" s="42">
        <f>F45</f>
        <v>9</v>
      </c>
      <c r="I45" s="20">
        <v>16.5</v>
      </c>
      <c r="J45" s="20">
        <f t="shared" si="0"/>
        <v>148.5</v>
      </c>
      <c r="K45" s="50">
        <v>360</v>
      </c>
      <c r="L45" s="47">
        <f t="shared" si="1"/>
        <v>2.5000000000000001E-2</v>
      </c>
      <c r="M45" s="46"/>
    </row>
    <row r="46" spans="1:13" ht="21" customHeight="1" x14ac:dyDescent="0.25">
      <c r="A46" s="55">
        <v>45791</v>
      </c>
      <c r="B46" s="49" t="s">
        <v>320</v>
      </c>
      <c r="C46" s="49" t="s">
        <v>485</v>
      </c>
      <c r="D46" s="49" t="s">
        <v>282</v>
      </c>
      <c r="E46" s="51" t="s">
        <v>381</v>
      </c>
      <c r="F46" s="50">
        <v>9</v>
      </c>
      <c r="G46" s="45" t="s">
        <v>128</v>
      </c>
      <c r="H46" s="42">
        <v>9</v>
      </c>
      <c r="I46" s="20">
        <v>16.5</v>
      </c>
      <c r="J46" s="20">
        <f t="shared" si="0"/>
        <v>148.5</v>
      </c>
      <c r="K46" s="50">
        <v>360</v>
      </c>
      <c r="L46" s="47">
        <f t="shared" si="1"/>
        <v>2.5000000000000001E-2</v>
      </c>
      <c r="M46" s="46"/>
    </row>
    <row r="47" spans="1:13" ht="21" customHeight="1" x14ac:dyDescent="0.25">
      <c r="A47" s="55">
        <v>45787</v>
      </c>
      <c r="B47" s="49" t="s">
        <v>320</v>
      </c>
      <c r="C47" s="49" t="s">
        <v>485</v>
      </c>
      <c r="D47" s="49" t="s">
        <v>282</v>
      </c>
      <c r="E47" s="51" t="s">
        <v>381</v>
      </c>
      <c r="F47" s="50">
        <v>8</v>
      </c>
      <c r="G47" s="45" t="s">
        <v>128</v>
      </c>
      <c r="H47" s="42">
        <v>8</v>
      </c>
      <c r="I47" s="20">
        <v>16.5</v>
      </c>
      <c r="J47" s="20">
        <f t="shared" si="0"/>
        <v>132</v>
      </c>
      <c r="K47" s="50">
        <f>108+444</f>
        <v>552</v>
      </c>
      <c r="L47" s="47">
        <f t="shared" si="1"/>
        <v>1.4492753623188406E-2</v>
      </c>
      <c r="M47" s="46"/>
    </row>
    <row r="48" spans="1:13" ht="21" customHeight="1" x14ac:dyDescent="0.25">
      <c r="A48" s="55">
        <v>45794</v>
      </c>
      <c r="B48" s="49" t="s">
        <v>276</v>
      </c>
      <c r="C48" s="49" t="s">
        <v>486</v>
      </c>
      <c r="D48" s="49" t="s">
        <v>307</v>
      </c>
      <c r="E48" s="49" t="s">
        <v>385</v>
      </c>
      <c r="F48" s="50">
        <v>6</v>
      </c>
      <c r="G48" s="52" t="s">
        <v>128</v>
      </c>
      <c r="H48" s="4">
        <v>6</v>
      </c>
      <c r="I48" s="4">
        <v>10.1416</v>
      </c>
      <c r="J48" s="4">
        <f t="shared" si="0"/>
        <v>60.849600000000002</v>
      </c>
      <c r="K48" s="50">
        <v>344</v>
      </c>
      <c r="L48" s="47">
        <f t="shared" si="1"/>
        <v>1.7441860465116279E-2</v>
      </c>
      <c r="M48" s="54"/>
    </row>
    <row r="49" spans="1:13" ht="21" customHeight="1" x14ac:dyDescent="0.25">
      <c r="A49" s="55">
        <v>45793</v>
      </c>
      <c r="B49" s="49" t="s">
        <v>276</v>
      </c>
      <c r="C49" s="49" t="s">
        <v>486</v>
      </c>
      <c r="D49" s="49" t="s">
        <v>307</v>
      </c>
      <c r="E49" s="49" t="s">
        <v>385</v>
      </c>
      <c r="F49" s="50">
        <v>1</v>
      </c>
      <c r="G49" s="52" t="s">
        <v>128</v>
      </c>
      <c r="H49" s="42">
        <v>1</v>
      </c>
      <c r="I49" s="4">
        <v>10.1416</v>
      </c>
      <c r="J49" s="4">
        <f t="shared" si="0"/>
        <v>10.1416</v>
      </c>
      <c r="K49" s="50">
        <v>468</v>
      </c>
      <c r="L49" s="47">
        <f t="shared" si="1"/>
        <v>2.136752136752137E-3</v>
      </c>
      <c r="M49" s="54"/>
    </row>
    <row r="50" spans="1:13" ht="21" customHeight="1" x14ac:dyDescent="0.25">
      <c r="A50" s="55">
        <v>45792</v>
      </c>
      <c r="B50" s="51" t="s">
        <v>276</v>
      </c>
      <c r="C50" s="49" t="s">
        <v>485</v>
      </c>
      <c r="D50" s="51" t="s">
        <v>310</v>
      </c>
      <c r="E50" s="49" t="s">
        <v>460</v>
      </c>
      <c r="F50" s="50">
        <v>71</v>
      </c>
      <c r="G50" s="45" t="s">
        <v>262</v>
      </c>
      <c r="H50" s="42">
        <v>71</v>
      </c>
      <c r="I50" s="20">
        <v>3.6282999999999999</v>
      </c>
      <c r="J50" s="20">
        <f t="shared" si="0"/>
        <v>257.60929999999996</v>
      </c>
      <c r="K50" s="50">
        <v>1020</v>
      </c>
      <c r="L50" s="47">
        <f t="shared" si="1"/>
        <v>6.9607843137254904E-2</v>
      </c>
      <c r="M50" s="46" t="s">
        <v>264</v>
      </c>
    </row>
    <row r="51" spans="1:13" ht="21" customHeight="1" x14ac:dyDescent="0.25">
      <c r="A51" s="55">
        <v>45791</v>
      </c>
      <c r="B51" s="51" t="s">
        <v>276</v>
      </c>
      <c r="C51" s="49" t="s">
        <v>485</v>
      </c>
      <c r="D51" s="51" t="s">
        <v>310</v>
      </c>
      <c r="E51" s="51" t="s">
        <v>383</v>
      </c>
      <c r="F51" s="50">
        <v>64</v>
      </c>
      <c r="G51" s="45" t="s">
        <v>262</v>
      </c>
      <c r="H51" s="42">
        <v>64</v>
      </c>
      <c r="I51" s="20">
        <v>3.6282999999999999</v>
      </c>
      <c r="J51" s="20">
        <f t="shared" si="0"/>
        <v>232.21119999999999</v>
      </c>
      <c r="K51" s="50">
        <v>1200</v>
      </c>
      <c r="L51" s="47">
        <f t="shared" si="1"/>
        <v>5.3333333333333337E-2</v>
      </c>
      <c r="M51" s="46" t="s">
        <v>264</v>
      </c>
    </row>
    <row r="52" spans="1:13" ht="21" customHeight="1" x14ac:dyDescent="0.25">
      <c r="A52" s="55">
        <v>45806</v>
      </c>
      <c r="B52" s="51" t="s">
        <v>276</v>
      </c>
      <c r="C52" s="49" t="s">
        <v>485</v>
      </c>
      <c r="D52" s="51" t="s">
        <v>310</v>
      </c>
      <c r="E52" s="51" t="s">
        <v>383</v>
      </c>
      <c r="F52" s="50">
        <v>56</v>
      </c>
      <c r="G52" s="52" t="s">
        <v>128</v>
      </c>
      <c r="H52" s="42">
        <v>56</v>
      </c>
      <c r="I52" s="20">
        <v>3.6282999999999999</v>
      </c>
      <c r="J52" s="20">
        <f t="shared" si="0"/>
        <v>203.1848</v>
      </c>
      <c r="K52" s="50">
        <v>1080</v>
      </c>
      <c r="L52" s="47">
        <f t="shared" si="1"/>
        <v>5.185185185185185E-2</v>
      </c>
      <c r="M52" s="46" t="s">
        <v>264</v>
      </c>
    </row>
    <row r="53" spans="1:13" ht="21" customHeight="1" x14ac:dyDescent="0.25">
      <c r="A53" s="55">
        <v>45799</v>
      </c>
      <c r="B53" s="51" t="s">
        <v>276</v>
      </c>
      <c r="C53" s="49" t="s">
        <v>485</v>
      </c>
      <c r="D53" s="49" t="s">
        <v>310</v>
      </c>
      <c r="E53" s="51" t="s">
        <v>383</v>
      </c>
      <c r="F53" s="50">
        <v>38</v>
      </c>
      <c r="G53" s="45" t="s">
        <v>262</v>
      </c>
      <c r="H53" s="42">
        <v>38</v>
      </c>
      <c r="I53" s="20">
        <v>3.6282999999999999</v>
      </c>
      <c r="J53" s="20">
        <f t="shared" si="0"/>
        <v>137.87539999999998</v>
      </c>
      <c r="K53" s="50">
        <v>1200</v>
      </c>
      <c r="L53" s="47">
        <f t="shared" si="1"/>
        <v>3.1666666666666669E-2</v>
      </c>
      <c r="M53" s="46" t="s">
        <v>264</v>
      </c>
    </row>
    <row r="54" spans="1:13" ht="21" customHeight="1" x14ac:dyDescent="0.25">
      <c r="A54" s="55">
        <v>45796</v>
      </c>
      <c r="B54" s="51" t="s">
        <v>276</v>
      </c>
      <c r="C54" s="49" t="s">
        <v>485</v>
      </c>
      <c r="D54" s="49" t="s">
        <v>310</v>
      </c>
      <c r="E54" s="51" t="s">
        <v>383</v>
      </c>
      <c r="F54" s="50">
        <v>34</v>
      </c>
      <c r="G54" s="45" t="s">
        <v>262</v>
      </c>
      <c r="H54" s="42">
        <v>34</v>
      </c>
      <c r="I54" s="20">
        <v>3.6282999999999999</v>
      </c>
      <c r="J54" s="20">
        <f t="shared" si="0"/>
        <v>123.3622</v>
      </c>
      <c r="K54" s="50">
        <v>720</v>
      </c>
      <c r="L54" s="47">
        <f t="shared" si="1"/>
        <v>4.7222222222222221E-2</v>
      </c>
      <c r="M54" s="46" t="s">
        <v>264</v>
      </c>
    </row>
    <row r="55" spans="1:13" ht="21" customHeight="1" x14ac:dyDescent="0.25">
      <c r="A55" s="55">
        <v>45801</v>
      </c>
      <c r="B55" s="51" t="s">
        <v>276</v>
      </c>
      <c r="C55" s="49" t="s">
        <v>485</v>
      </c>
      <c r="D55" s="49" t="s">
        <v>310</v>
      </c>
      <c r="E55" s="51" t="s">
        <v>383</v>
      </c>
      <c r="F55" s="50">
        <v>13</v>
      </c>
      <c r="G55" s="45" t="s">
        <v>262</v>
      </c>
      <c r="H55" s="42">
        <v>13</v>
      </c>
      <c r="I55" s="20">
        <v>3.6282999999999999</v>
      </c>
      <c r="J55" s="20">
        <f t="shared" si="0"/>
        <v>47.167899999999996</v>
      </c>
      <c r="K55" s="50">
        <v>180</v>
      </c>
      <c r="L55" s="47">
        <f t="shared" si="1"/>
        <v>7.2222222222222215E-2</v>
      </c>
      <c r="M55" s="46" t="s">
        <v>264</v>
      </c>
    </row>
    <row r="56" spans="1:13" ht="21" customHeight="1" x14ac:dyDescent="0.25">
      <c r="A56" s="55">
        <v>45785</v>
      </c>
      <c r="B56" s="49" t="s">
        <v>276</v>
      </c>
      <c r="C56" s="49" t="s">
        <v>485</v>
      </c>
      <c r="D56" s="49" t="s">
        <v>284</v>
      </c>
      <c r="E56" s="49" t="s">
        <v>461</v>
      </c>
      <c r="F56" s="50">
        <f>198+560</f>
        <v>758</v>
      </c>
      <c r="G56" s="45" t="s">
        <v>128</v>
      </c>
      <c r="H56" s="42">
        <v>758</v>
      </c>
      <c r="I56" s="20">
        <v>4.6017999999999999</v>
      </c>
      <c r="J56" s="20">
        <f t="shared" si="0"/>
        <v>3488.1644000000001</v>
      </c>
      <c r="K56" s="50">
        <v>1755</v>
      </c>
      <c r="L56" s="47">
        <f t="shared" si="1"/>
        <v>0.43190883190883189</v>
      </c>
      <c r="M56" s="46" t="s">
        <v>264</v>
      </c>
    </row>
    <row r="57" spans="1:13" ht="21" customHeight="1" x14ac:dyDescent="0.25">
      <c r="A57" s="55">
        <v>45791</v>
      </c>
      <c r="B57" s="51" t="s">
        <v>276</v>
      </c>
      <c r="C57" s="49" t="s">
        <v>485</v>
      </c>
      <c r="D57" s="51" t="s">
        <v>284</v>
      </c>
      <c r="E57" s="49" t="s">
        <v>382</v>
      </c>
      <c r="F57" s="50">
        <v>460</v>
      </c>
      <c r="G57" s="52" t="s">
        <v>128</v>
      </c>
      <c r="H57" s="42">
        <v>460</v>
      </c>
      <c r="I57" s="20">
        <v>4.6017999999999999</v>
      </c>
      <c r="J57" s="20">
        <f t="shared" si="0"/>
        <v>2116.828</v>
      </c>
      <c r="K57" s="50">
        <v>495</v>
      </c>
      <c r="L57" s="47">
        <f t="shared" si="1"/>
        <v>0.92929292929292928</v>
      </c>
      <c r="M57" s="46" t="s">
        <v>264</v>
      </c>
    </row>
    <row r="58" spans="1:13" ht="21" customHeight="1" x14ac:dyDescent="0.25">
      <c r="A58" s="55">
        <v>45793</v>
      </c>
      <c r="B58" s="51" t="s">
        <v>276</v>
      </c>
      <c r="C58" s="49" t="s">
        <v>485</v>
      </c>
      <c r="D58" s="51" t="s">
        <v>284</v>
      </c>
      <c r="E58" s="49" t="s">
        <v>382</v>
      </c>
      <c r="F58" s="50">
        <v>68</v>
      </c>
      <c r="G58" s="52" t="s">
        <v>128</v>
      </c>
      <c r="H58" s="42">
        <v>68</v>
      </c>
      <c r="I58" s="20">
        <v>4.6017999999999999</v>
      </c>
      <c r="J58" s="20">
        <f t="shared" si="0"/>
        <v>312.92239999999998</v>
      </c>
      <c r="K58" s="50">
        <v>1290</v>
      </c>
      <c r="L58" s="47">
        <f t="shared" si="1"/>
        <v>5.2713178294573643E-2</v>
      </c>
      <c r="M58" s="46" t="s">
        <v>264</v>
      </c>
    </row>
    <row r="59" spans="1:13" ht="21" customHeight="1" x14ac:dyDescent="0.25">
      <c r="A59" s="55">
        <v>45789</v>
      </c>
      <c r="B59" s="51" t="s">
        <v>276</v>
      </c>
      <c r="C59" s="49" t="s">
        <v>485</v>
      </c>
      <c r="D59" s="51" t="s">
        <v>284</v>
      </c>
      <c r="E59" s="49" t="s">
        <v>382</v>
      </c>
      <c r="F59" s="50">
        <v>38</v>
      </c>
      <c r="G59" s="52" t="s">
        <v>128</v>
      </c>
      <c r="H59" s="42">
        <v>38</v>
      </c>
      <c r="I59" s="20">
        <v>4.6017999999999999</v>
      </c>
      <c r="J59" s="20">
        <f t="shared" si="0"/>
        <v>174.86840000000001</v>
      </c>
      <c r="K59" s="50">
        <v>1260</v>
      </c>
      <c r="L59" s="47">
        <f t="shared" si="1"/>
        <v>3.0158730158730159E-2</v>
      </c>
      <c r="M59" s="46" t="s">
        <v>264</v>
      </c>
    </row>
    <row r="60" spans="1:13" ht="21" customHeight="1" x14ac:dyDescent="0.25">
      <c r="A60" s="55">
        <v>45790</v>
      </c>
      <c r="B60" s="51" t="s">
        <v>276</v>
      </c>
      <c r="C60" s="49" t="s">
        <v>485</v>
      </c>
      <c r="D60" s="51" t="s">
        <v>284</v>
      </c>
      <c r="E60" s="49" t="s">
        <v>382</v>
      </c>
      <c r="F60" s="50">
        <v>38</v>
      </c>
      <c r="G60" s="52" t="s">
        <v>128</v>
      </c>
      <c r="H60" s="42">
        <v>38</v>
      </c>
      <c r="I60" s="20">
        <v>4.6017999999999999</v>
      </c>
      <c r="J60" s="20">
        <f t="shared" si="0"/>
        <v>174.86840000000001</v>
      </c>
      <c r="K60" s="50">
        <v>1260</v>
      </c>
      <c r="L60" s="47">
        <f t="shared" si="1"/>
        <v>3.0158730158730159E-2</v>
      </c>
      <c r="M60" s="46" t="s">
        <v>264</v>
      </c>
    </row>
    <row r="61" spans="1:13" ht="21" customHeight="1" x14ac:dyDescent="0.25">
      <c r="A61" s="55">
        <v>45782</v>
      </c>
      <c r="B61" s="49" t="s">
        <v>276</v>
      </c>
      <c r="C61" s="49" t="s">
        <v>485</v>
      </c>
      <c r="D61" s="49" t="s">
        <v>284</v>
      </c>
      <c r="E61" s="49" t="s">
        <v>382</v>
      </c>
      <c r="F61" s="50">
        <v>32</v>
      </c>
      <c r="G61" s="45" t="s">
        <v>128</v>
      </c>
      <c r="H61" s="42">
        <f>F61</f>
        <v>32</v>
      </c>
      <c r="I61" s="20">
        <v>4.6017999999999999</v>
      </c>
      <c r="J61" s="20">
        <f t="shared" si="0"/>
        <v>147.2576</v>
      </c>
      <c r="K61" s="50">
        <v>1845</v>
      </c>
      <c r="L61" s="47">
        <f t="shared" si="1"/>
        <v>1.7344173441734417E-2</v>
      </c>
      <c r="M61" s="46" t="s">
        <v>264</v>
      </c>
    </row>
    <row r="62" spans="1:13" ht="21" customHeight="1" x14ac:dyDescent="0.25">
      <c r="A62" s="55">
        <v>45783</v>
      </c>
      <c r="B62" s="49" t="s">
        <v>276</v>
      </c>
      <c r="C62" s="49" t="s">
        <v>485</v>
      </c>
      <c r="D62" s="49" t="s">
        <v>284</v>
      </c>
      <c r="E62" s="49" t="s">
        <v>382</v>
      </c>
      <c r="F62" s="50">
        <f>47+33</f>
        <v>80</v>
      </c>
      <c r="G62" s="45" t="s">
        <v>128</v>
      </c>
      <c r="H62" s="50">
        <v>3</v>
      </c>
      <c r="I62" s="20">
        <v>4.6017999999999999</v>
      </c>
      <c r="J62" s="20">
        <f t="shared" si="0"/>
        <v>13.805399999999999</v>
      </c>
      <c r="K62" s="50">
        <f>1480+855</f>
        <v>2335</v>
      </c>
      <c r="L62" s="47">
        <f t="shared" si="1"/>
        <v>3.4261241970021415E-2</v>
      </c>
      <c r="M62" s="46" t="s">
        <v>264</v>
      </c>
    </row>
    <row r="63" spans="1:13" ht="21" customHeight="1" x14ac:dyDescent="0.25">
      <c r="A63" s="55">
        <v>45792</v>
      </c>
      <c r="B63" s="49" t="s">
        <v>265</v>
      </c>
      <c r="C63" s="49" t="s">
        <v>486</v>
      </c>
      <c r="D63" s="49" t="s">
        <v>306</v>
      </c>
      <c r="E63" s="49" t="s">
        <v>462</v>
      </c>
      <c r="F63" s="50">
        <v>24</v>
      </c>
      <c r="G63" s="52" t="s">
        <v>128</v>
      </c>
      <c r="H63" s="42">
        <v>24</v>
      </c>
      <c r="I63" s="20">
        <v>7.9108000000000001</v>
      </c>
      <c r="J63" s="20">
        <f t="shared" si="0"/>
        <v>189.85919999999999</v>
      </c>
      <c r="K63" s="50">
        <v>895</v>
      </c>
      <c r="L63" s="47">
        <f t="shared" si="1"/>
        <v>2.6815642458100558E-2</v>
      </c>
      <c r="M63" s="46"/>
    </row>
    <row r="64" spans="1:13" ht="21" customHeight="1" x14ac:dyDescent="0.25">
      <c r="A64" s="55">
        <v>45799</v>
      </c>
      <c r="B64" s="49" t="s">
        <v>265</v>
      </c>
      <c r="C64" s="49" t="s">
        <v>486</v>
      </c>
      <c r="D64" s="49" t="s">
        <v>306</v>
      </c>
      <c r="E64" s="49" t="s">
        <v>374</v>
      </c>
      <c r="F64" s="50">
        <v>18</v>
      </c>
      <c r="G64" s="52" t="s">
        <v>128</v>
      </c>
      <c r="H64" s="42">
        <v>18</v>
      </c>
      <c r="I64" s="20">
        <v>7.9108000000000001</v>
      </c>
      <c r="J64" s="20">
        <f t="shared" si="0"/>
        <v>142.39439999999999</v>
      </c>
      <c r="K64" s="50">
        <f>67+15</f>
        <v>82</v>
      </c>
      <c r="L64" s="47">
        <f t="shared" si="1"/>
        <v>0.21951219512195122</v>
      </c>
      <c r="M64" s="46"/>
    </row>
    <row r="65" spans="1:13" ht="21" customHeight="1" x14ac:dyDescent="0.25">
      <c r="A65" s="55">
        <v>45793</v>
      </c>
      <c r="B65" s="49" t="s">
        <v>265</v>
      </c>
      <c r="C65" s="49" t="s">
        <v>486</v>
      </c>
      <c r="D65" s="49" t="s">
        <v>306</v>
      </c>
      <c r="E65" s="49" t="s">
        <v>374</v>
      </c>
      <c r="F65" s="50">
        <v>9</v>
      </c>
      <c r="G65" s="52" t="s">
        <v>128</v>
      </c>
      <c r="H65" s="42">
        <v>9</v>
      </c>
      <c r="I65" s="20">
        <v>7.9108000000000001</v>
      </c>
      <c r="J65" s="20">
        <f t="shared" si="0"/>
        <v>71.197199999999995</v>
      </c>
      <c r="K65" s="50">
        <v>28</v>
      </c>
      <c r="L65" s="47">
        <f t="shared" si="1"/>
        <v>0.32142857142857145</v>
      </c>
      <c r="M65" s="46"/>
    </row>
    <row r="66" spans="1:13" ht="21" customHeight="1" x14ac:dyDescent="0.25">
      <c r="A66" s="55">
        <v>45793</v>
      </c>
      <c r="B66" s="49" t="s">
        <v>265</v>
      </c>
      <c r="C66" s="49" t="s">
        <v>486</v>
      </c>
      <c r="D66" s="51" t="s">
        <v>308</v>
      </c>
      <c r="E66" s="49" t="s">
        <v>463</v>
      </c>
      <c r="F66" s="50">
        <v>4</v>
      </c>
      <c r="G66" s="52" t="s">
        <v>128</v>
      </c>
      <c r="H66" s="4">
        <v>4</v>
      </c>
      <c r="I66" s="32">
        <v>29.6998</v>
      </c>
      <c r="J66" s="20">
        <f t="shared" ref="J66:J129" si="2">H66*I66</f>
        <v>118.7992</v>
      </c>
      <c r="K66" s="50">
        <v>205</v>
      </c>
      <c r="L66" s="47">
        <f t="shared" ref="L66:L129" si="3">F66/K66</f>
        <v>1.9512195121951219E-2</v>
      </c>
      <c r="M66" s="46"/>
    </row>
    <row r="67" spans="1:13" ht="21" customHeight="1" x14ac:dyDescent="0.25">
      <c r="A67" s="55">
        <v>45789</v>
      </c>
      <c r="B67" s="49" t="s">
        <v>320</v>
      </c>
      <c r="C67" s="49" t="s">
        <v>487</v>
      </c>
      <c r="D67" s="49" t="s">
        <v>301</v>
      </c>
      <c r="E67" s="49" t="s">
        <v>357</v>
      </c>
      <c r="F67" s="50">
        <v>16</v>
      </c>
      <c r="G67" s="52" t="s">
        <v>128</v>
      </c>
      <c r="H67" s="42">
        <v>16</v>
      </c>
      <c r="I67" s="20">
        <v>51.675699999999999</v>
      </c>
      <c r="J67" s="20">
        <f t="shared" si="2"/>
        <v>826.81119999999999</v>
      </c>
      <c r="K67" s="50">
        <v>966</v>
      </c>
      <c r="L67" s="47">
        <f t="shared" si="3"/>
        <v>1.6563146997929608E-2</v>
      </c>
      <c r="M67" s="46"/>
    </row>
    <row r="68" spans="1:13" ht="21" customHeight="1" x14ac:dyDescent="0.25">
      <c r="A68" s="55">
        <v>45790</v>
      </c>
      <c r="B68" s="49" t="s">
        <v>320</v>
      </c>
      <c r="C68" s="49" t="s">
        <v>487</v>
      </c>
      <c r="D68" s="49" t="s">
        <v>301</v>
      </c>
      <c r="E68" s="49" t="s">
        <v>357</v>
      </c>
      <c r="F68" s="50">
        <v>16</v>
      </c>
      <c r="G68" s="52" t="s">
        <v>128</v>
      </c>
      <c r="H68" s="42">
        <v>16</v>
      </c>
      <c r="I68" s="20">
        <v>51.675699999999999</v>
      </c>
      <c r="J68" s="20">
        <f t="shared" si="2"/>
        <v>826.81119999999999</v>
      </c>
      <c r="K68" s="50">
        <v>966</v>
      </c>
      <c r="L68" s="47">
        <f t="shared" si="3"/>
        <v>1.6563146997929608E-2</v>
      </c>
      <c r="M68" s="46"/>
    </row>
    <row r="69" spans="1:13" ht="21" customHeight="1" x14ac:dyDescent="0.25">
      <c r="A69" s="55">
        <v>45796</v>
      </c>
      <c r="B69" s="49" t="s">
        <v>265</v>
      </c>
      <c r="C69" s="49" t="s">
        <v>486</v>
      </c>
      <c r="D69" s="49" t="s">
        <v>309</v>
      </c>
      <c r="E69" s="49" t="s">
        <v>464</v>
      </c>
      <c r="F69" s="50">
        <v>27</v>
      </c>
      <c r="G69" s="52" t="s">
        <v>128</v>
      </c>
      <c r="H69" s="50">
        <v>27</v>
      </c>
      <c r="I69" s="20">
        <v>4.2720000000000002</v>
      </c>
      <c r="J69" s="20">
        <f t="shared" si="2"/>
        <v>115.34400000000001</v>
      </c>
      <c r="K69" s="50">
        <f>284+800+300</f>
        <v>1384</v>
      </c>
      <c r="L69" s="47">
        <f t="shared" si="3"/>
        <v>1.9508670520231215E-2</v>
      </c>
      <c r="M69" s="46"/>
    </row>
    <row r="70" spans="1:13" ht="21" customHeight="1" x14ac:dyDescent="0.25">
      <c r="A70" s="55">
        <v>45794</v>
      </c>
      <c r="B70" s="49" t="s">
        <v>265</v>
      </c>
      <c r="C70" s="49" t="s">
        <v>489</v>
      </c>
      <c r="D70" s="49" t="s">
        <v>267</v>
      </c>
      <c r="E70" s="49" t="s">
        <v>465</v>
      </c>
      <c r="F70" s="50">
        <v>650</v>
      </c>
      <c r="G70" s="45" t="s">
        <v>262</v>
      </c>
      <c r="H70" s="42">
        <v>650</v>
      </c>
      <c r="I70" s="20">
        <v>1.6369</v>
      </c>
      <c r="J70" s="20">
        <f t="shared" si="2"/>
        <v>1063.9850000000001</v>
      </c>
      <c r="K70" s="50">
        <f>216+1728</f>
        <v>1944</v>
      </c>
      <c r="L70" s="47">
        <f t="shared" si="3"/>
        <v>0.33436213991769548</v>
      </c>
      <c r="M70" s="46" t="s">
        <v>261</v>
      </c>
    </row>
    <row r="71" spans="1:13" ht="21" customHeight="1" x14ac:dyDescent="0.25">
      <c r="A71" s="55">
        <v>45783</v>
      </c>
      <c r="B71" s="49" t="s">
        <v>265</v>
      </c>
      <c r="C71" s="49" t="s">
        <v>489</v>
      </c>
      <c r="D71" s="49" t="s">
        <v>267</v>
      </c>
      <c r="E71" s="51" t="s">
        <v>17</v>
      </c>
      <c r="F71" s="50">
        <f>217+8+86</f>
        <v>311</v>
      </c>
      <c r="G71" s="45" t="s">
        <v>128</v>
      </c>
      <c r="H71" s="42">
        <v>311</v>
      </c>
      <c r="I71" s="20">
        <v>1.6369</v>
      </c>
      <c r="J71" s="20">
        <f t="shared" si="2"/>
        <v>509.07589999999999</v>
      </c>
      <c r="K71" s="50">
        <f>1296+864+1080</f>
        <v>3240</v>
      </c>
      <c r="L71" s="47">
        <f t="shared" si="3"/>
        <v>9.5987654320987659E-2</v>
      </c>
      <c r="M71" s="46" t="s">
        <v>274</v>
      </c>
    </row>
    <row r="72" spans="1:13" ht="21" customHeight="1" x14ac:dyDescent="0.25">
      <c r="A72" s="55">
        <v>45801</v>
      </c>
      <c r="B72" s="49" t="s">
        <v>265</v>
      </c>
      <c r="C72" s="49" t="s">
        <v>489</v>
      </c>
      <c r="D72" s="49" t="s">
        <v>267</v>
      </c>
      <c r="E72" s="51" t="s">
        <v>17</v>
      </c>
      <c r="F72" s="50">
        <f>45+129</f>
        <v>174</v>
      </c>
      <c r="G72" s="45" t="s">
        <v>262</v>
      </c>
      <c r="H72" s="42">
        <v>174</v>
      </c>
      <c r="I72" s="20">
        <v>1.6369</v>
      </c>
      <c r="J72" s="20">
        <f t="shared" si="2"/>
        <v>284.82060000000001</v>
      </c>
      <c r="K72" s="50">
        <f>216+2592+648</f>
        <v>3456</v>
      </c>
      <c r="L72" s="47">
        <f t="shared" si="3"/>
        <v>5.0347222222222224E-2</v>
      </c>
      <c r="M72" s="46" t="s">
        <v>261</v>
      </c>
    </row>
    <row r="73" spans="1:13" ht="21" customHeight="1" x14ac:dyDescent="0.25">
      <c r="A73" s="55">
        <v>45781</v>
      </c>
      <c r="B73" s="49" t="s">
        <v>265</v>
      </c>
      <c r="C73" s="49" t="s">
        <v>489</v>
      </c>
      <c r="D73" s="51" t="s">
        <v>267</v>
      </c>
      <c r="E73" s="51" t="s">
        <v>17</v>
      </c>
      <c r="F73" s="50">
        <v>130</v>
      </c>
      <c r="G73" s="45" t="s">
        <v>128</v>
      </c>
      <c r="H73" s="50">
        <v>130</v>
      </c>
      <c r="I73" s="20">
        <v>1.6369</v>
      </c>
      <c r="J73" s="20">
        <f t="shared" si="2"/>
        <v>212.797</v>
      </c>
      <c r="K73" s="50">
        <f>216+216</f>
        <v>432</v>
      </c>
      <c r="L73" s="47">
        <f t="shared" si="3"/>
        <v>0.30092592592592593</v>
      </c>
      <c r="M73" s="46" t="s">
        <v>274</v>
      </c>
    </row>
    <row r="74" spans="1:13" ht="21" customHeight="1" x14ac:dyDescent="0.25">
      <c r="A74" s="55">
        <v>45803</v>
      </c>
      <c r="B74" s="49" t="s">
        <v>265</v>
      </c>
      <c r="C74" s="49" t="s">
        <v>489</v>
      </c>
      <c r="D74" s="49" t="s">
        <v>267</v>
      </c>
      <c r="E74" s="51" t="s">
        <v>17</v>
      </c>
      <c r="F74" s="50">
        <v>123</v>
      </c>
      <c r="G74" s="45" t="s">
        <v>262</v>
      </c>
      <c r="H74" s="42">
        <v>123</v>
      </c>
      <c r="I74" s="20">
        <v>1.6369</v>
      </c>
      <c r="J74" s="20">
        <f t="shared" si="2"/>
        <v>201.33869999999999</v>
      </c>
      <c r="K74" s="50">
        <v>1080</v>
      </c>
      <c r="L74" s="47">
        <f t="shared" si="3"/>
        <v>0.11388888888888889</v>
      </c>
      <c r="M74" s="46" t="s">
        <v>261</v>
      </c>
    </row>
    <row r="75" spans="1:13" ht="21" customHeight="1" x14ac:dyDescent="0.25">
      <c r="A75" s="55">
        <v>45802</v>
      </c>
      <c r="B75" s="49" t="s">
        <v>265</v>
      </c>
      <c r="C75" s="49" t="s">
        <v>489</v>
      </c>
      <c r="D75" s="49" t="s">
        <v>267</v>
      </c>
      <c r="E75" s="51" t="s">
        <v>17</v>
      </c>
      <c r="F75" s="50">
        <v>104</v>
      </c>
      <c r="G75" s="45" t="s">
        <v>262</v>
      </c>
      <c r="H75" s="42">
        <v>104</v>
      </c>
      <c r="I75" s="20">
        <v>1.6369</v>
      </c>
      <c r="J75" s="20">
        <f t="shared" si="2"/>
        <v>170.23760000000001</v>
      </c>
      <c r="K75" s="50">
        <f>2160+1080</f>
        <v>3240</v>
      </c>
      <c r="L75" s="47">
        <f t="shared" si="3"/>
        <v>3.2098765432098768E-2</v>
      </c>
      <c r="M75" s="46" t="s">
        <v>261</v>
      </c>
    </row>
    <row r="76" spans="1:13" ht="21" customHeight="1" x14ac:dyDescent="0.25">
      <c r="A76" s="55">
        <v>45805</v>
      </c>
      <c r="B76" s="49" t="s">
        <v>265</v>
      </c>
      <c r="C76" s="49" t="s">
        <v>489</v>
      </c>
      <c r="D76" s="49" t="s">
        <v>267</v>
      </c>
      <c r="E76" s="51" t="s">
        <v>17</v>
      </c>
      <c r="F76" s="50">
        <v>45</v>
      </c>
      <c r="G76" s="45" t="s">
        <v>262</v>
      </c>
      <c r="H76" s="42">
        <v>45</v>
      </c>
      <c r="I76" s="20">
        <v>1.6369</v>
      </c>
      <c r="J76" s="20">
        <f t="shared" si="2"/>
        <v>73.660499999999999</v>
      </c>
      <c r="K76" s="50">
        <f>432+432</f>
        <v>864</v>
      </c>
      <c r="L76" s="47">
        <f t="shared" si="3"/>
        <v>5.2083333333333336E-2</v>
      </c>
      <c r="M76" s="46" t="s">
        <v>261</v>
      </c>
    </row>
    <row r="77" spans="1:13" ht="21" customHeight="1" x14ac:dyDescent="0.25">
      <c r="A77" s="55">
        <v>45804</v>
      </c>
      <c r="B77" s="49" t="s">
        <v>265</v>
      </c>
      <c r="C77" s="49" t="s">
        <v>489</v>
      </c>
      <c r="D77" s="49" t="s">
        <v>267</v>
      </c>
      <c r="E77" s="51" t="s">
        <v>17</v>
      </c>
      <c r="F77" s="50">
        <v>30</v>
      </c>
      <c r="G77" s="45" t="s">
        <v>262</v>
      </c>
      <c r="H77" s="42">
        <v>30</v>
      </c>
      <c r="I77" s="20">
        <v>1.6369</v>
      </c>
      <c r="J77" s="20">
        <f t="shared" si="2"/>
        <v>49.106999999999999</v>
      </c>
      <c r="K77" s="50">
        <v>1512</v>
      </c>
      <c r="L77" s="47">
        <f t="shared" si="3"/>
        <v>1.984126984126984E-2</v>
      </c>
      <c r="M77" s="46" t="s">
        <v>261</v>
      </c>
    </row>
    <row r="78" spans="1:13" ht="21" customHeight="1" x14ac:dyDescent="0.25">
      <c r="A78" s="55">
        <v>45806</v>
      </c>
      <c r="B78" s="49" t="s">
        <v>265</v>
      </c>
      <c r="C78" s="49" t="s">
        <v>489</v>
      </c>
      <c r="D78" s="49" t="s">
        <v>267</v>
      </c>
      <c r="E78" s="51" t="s">
        <v>17</v>
      </c>
      <c r="F78" s="50">
        <v>24</v>
      </c>
      <c r="G78" s="45" t="s">
        <v>262</v>
      </c>
      <c r="H78" s="42">
        <v>24</v>
      </c>
      <c r="I78" s="20">
        <v>1.6369</v>
      </c>
      <c r="J78" s="20">
        <f t="shared" si="2"/>
        <v>39.285600000000002</v>
      </c>
      <c r="K78" s="50">
        <v>356</v>
      </c>
      <c r="L78" s="47">
        <f t="shared" si="3"/>
        <v>6.741573033707865E-2</v>
      </c>
      <c r="M78" s="46" t="s">
        <v>274</v>
      </c>
    </row>
    <row r="79" spans="1:13" ht="21" customHeight="1" x14ac:dyDescent="0.25">
      <c r="A79" s="55">
        <v>45784</v>
      </c>
      <c r="B79" s="49" t="s">
        <v>265</v>
      </c>
      <c r="C79" s="49" t="s">
        <v>489</v>
      </c>
      <c r="D79" s="49" t="s">
        <v>267</v>
      </c>
      <c r="E79" s="51" t="s">
        <v>17</v>
      </c>
      <c r="F79" s="50">
        <v>75</v>
      </c>
      <c r="G79" s="45" t="s">
        <v>262</v>
      </c>
      <c r="H79" s="50">
        <v>14</v>
      </c>
      <c r="I79" s="20">
        <v>1.6369</v>
      </c>
      <c r="J79" s="20">
        <f t="shared" si="2"/>
        <v>22.916599999999999</v>
      </c>
      <c r="K79" s="50">
        <v>1080</v>
      </c>
      <c r="L79" s="47">
        <f t="shared" si="3"/>
        <v>6.9444444444444448E-2</v>
      </c>
      <c r="M79" s="46" t="s">
        <v>261</v>
      </c>
    </row>
    <row r="80" spans="1:13" ht="21" customHeight="1" x14ac:dyDescent="0.25">
      <c r="A80" s="55">
        <v>45782</v>
      </c>
      <c r="B80" s="49" t="s">
        <v>265</v>
      </c>
      <c r="C80" s="49" t="s">
        <v>489</v>
      </c>
      <c r="D80" s="49" t="s">
        <v>267</v>
      </c>
      <c r="E80" s="51" t="s">
        <v>17</v>
      </c>
      <c r="F80" s="50">
        <v>9</v>
      </c>
      <c r="G80" s="45" t="s">
        <v>128</v>
      </c>
      <c r="H80" s="42">
        <f>F80</f>
        <v>9</v>
      </c>
      <c r="I80" s="20">
        <v>1.6369</v>
      </c>
      <c r="J80" s="20">
        <f t="shared" si="2"/>
        <v>14.732100000000001</v>
      </c>
      <c r="K80" s="50">
        <v>360</v>
      </c>
      <c r="L80" s="47">
        <f t="shared" si="3"/>
        <v>2.5000000000000001E-2</v>
      </c>
      <c r="M80" s="46" t="s">
        <v>274</v>
      </c>
    </row>
    <row r="81" spans="1:13" ht="21" customHeight="1" x14ac:dyDescent="0.25">
      <c r="A81" s="55">
        <v>45801</v>
      </c>
      <c r="B81" s="49" t="s">
        <v>276</v>
      </c>
      <c r="C81" s="49" t="s">
        <v>489</v>
      </c>
      <c r="D81" s="49" t="s">
        <v>269</v>
      </c>
      <c r="E81" s="49" t="s">
        <v>466</v>
      </c>
      <c r="F81" s="50">
        <v>16</v>
      </c>
      <c r="G81" s="45" t="s">
        <v>128</v>
      </c>
      <c r="H81" s="42">
        <v>16</v>
      </c>
      <c r="I81" s="20">
        <v>9.64</v>
      </c>
      <c r="J81" s="20">
        <f t="shared" si="2"/>
        <v>154.24</v>
      </c>
      <c r="K81" s="50">
        <v>2496</v>
      </c>
      <c r="L81" s="47">
        <f t="shared" si="3"/>
        <v>6.41025641025641E-3</v>
      </c>
      <c r="M81" s="46" t="s">
        <v>275</v>
      </c>
    </row>
    <row r="82" spans="1:13" ht="21" customHeight="1" x14ac:dyDescent="0.25">
      <c r="A82" s="55">
        <v>45800</v>
      </c>
      <c r="B82" s="49" t="s">
        <v>276</v>
      </c>
      <c r="C82" s="49" t="s">
        <v>489</v>
      </c>
      <c r="D82" s="49" t="s">
        <v>269</v>
      </c>
      <c r="E82" s="49" t="s">
        <v>15</v>
      </c>
      <c r="F82" s="50">
        <v>13</v>
      </c>
      <c r="G82" s="45" t="s">
        <v>128</v>
      </c>
      <c r="H82" s="42">
        <v>13</v>
      </c>
      <c r="I82" s="20">
        <v>9.64</v>
      </c>
      <c r="J82" s="20">
        <f t="shared" si="2"/>
        <v>125.32000000000001</v>
      </c>
      <c r="K82" s="50">
        <v>960</v>
      </c>
      <c r="L82" s="47">
        <f t="shared" si="3"/>
        <v>1.3541666666666667E-2</v>
      </c>
      <c r="M82" s="46" t="s">
        <v>275</v>
      </c>
    </row>
    <row r="83" spans="1:13" ht="21" customHeight="1" x14ac:dyDescent="0.25">
      <c r="A83" s="55">
        <v>45797</v>
      </c>
      <c r="B83" s="49" t="s">
        <v>276</v>
      </c>
      <c r="C83" s="49" t="s">
        <v>489</v>
      </c>
      <c r="D83" s="49" t="s">
        <v>269</v>
      </c>
      <c r="E83" s="49" t="s">
        <v>15</v>
      </c>
      <c r="F83" s="50">
        <v>8</v>
      </c>
      <c r="G83" s="45" t="s">
        <v>128</v>
      </c>
      <c r="H83" s="42">
        <v>8</v>
      </c>
      <c r="I83" s="20">
        <v>9.64</v>
      </c>
      <c r="J83" s="20">
        <f t="shared" si="2"/>
        <v>77.12</v>
      </c>
      <c r="K83" s="50">
        <f>384+576+384</f>
        <v>1344</v>
      </c>
      <c r="L83" s="47">
        <f t="shared" si="3"/>
        <v>5.9523809523809521E-3</v>
      </c>
      <c r="M83" s="46" t="s">
        <v>275</v>
      </c>
    </row>
    <row r="84" spans="1:13" ht="21" customHeight="1" x14ac:dyDescent="0.25">
      <c r="A84" s="55">
        <v>45798</v>
      </c>
      <c r="B84" s="49" t="s">
        <v>276</v>
      </c>
      <c r="C84" s="49" t="s">
        <v>489</v>
      </c>
      <c r="D84" s="49" t="s">
        <v>269</v>
      </c>
      <c r="E84" s="49" t="s">
        <v>15</v>
      </c>
      <c r="F84" s="50">
        <v>7</v>
      </c>
      <c r="G84" s="45" t="s">
        <v>128</v>
      </c>
      <c r="H84" s="42">
        <v>7</v>
      </c>
      <c r="I84" s="20">
        <v>9.64</v>
      </c>
      <c r="J84" s="20">
        <f t="shared" si="2"/>
        <v>67.48</v>
      </c>
      <c r="K84" s="50">
        <f>2016+96</f>
        <v>2112</v>
      </c>
      <c r="L84" s="47">
        <f t="shared" si="3"/>
        <v>3.3143939393939395E-3</v>
      </c>
      <c r="M84" s="46" t="s">
        <v>275</v>
      </c>
    </row>
    <row r="85" spans="1:13" ht="21" customHeight="1" x14ac:dyDescent="0.25">
      <c r="A85" s="55">
        <v>45799</v>
      </c>
      <c r="B85" s="49" t="s">
        <v>276</v>
      </c>
      <c r="C85" s="49" t="s">
        <v>489</v>
      </c>
      <c r="D85" s="49" t="s">
        <v>269</v>
      </c>
      <c r="E85" s="49" t="s">
        <v>15</v>
      </c>
      <c r="F85" s="50">
        <v>5</v>
      </c>
      <c r="G85" s="45" t="s">
        <v>128</v>
      </c>
      <c r="H85" s="42">
        <v>5</v>
      </c>
      <c r="I85" s="20">
        <v>9.64</v>
      </c>
      <c r="J85" s="20">
        <f t="shared" si="2"/>
        <v>48.2</v>
      </c>
      <c r="K85" s="50">
        <v>384</v>
      </c>
      <c r="L85" s="47">
        <f t="shared" si="3"/>
        <v>1.3020833333333334E-2</v>
      </c>
      <c r="M85" s="46" t="s">
        <v>275</v>
      </c>
    </row>
    <row r="86" spans="1:13" ht="21" customHeight="1" x14ac:dyDescent="0.25">
      <c r="A86" s="55">
        <v>45782</v>
      </c>
      <c r="B86" s="49" t="s">
        <v>276</v>
      </c>
      <c r="C86" s="49" t="s">
        <v>489</v>
      </c>
      <c r="D86" s="49" t="s">
        <v>269</v>
      </c>
      <c r="E86" s="49" t="s">
        <v>15</v>
      </c>
      <c r="F86" s="50">
        <v>4</v>
      </c>
      <c r="G86" s="45" t="s">
        <v>128</v>
      </c>
      <c r="H86" s="42">
        <f>F86</f>
        <v>4</v>
      </c>
      <c r="I86" s="20">
        <v>9.64</v>
      </c>
      <c r="J86" s="20">
        <f t="shared" si="2"/>
        <v>38.56</v>
      </c>
      <c r="K86" s="50">
        <v>512</v>
      </c>
      <c r="L86" s="47">
        <f t="shared" si="3"/>
        <v>7.8125E-3</v>
      </c>
      <c r="M86" s="46" t="s">
        <v>275</v>
      </c>
    </row>
    <row r="87" spans="1:13" ht="21" customHeight="1" x14ac:dyDescent="0.25">
      <c r="A87" s="55">
        <v>45792</v>
      </c>
      <c r="B87" s="49" t="s">
        <v>276</v>
      </c>
      <c r="C87" s="49" t="s">
        <v>489</v>
      </c>
      <c r="D87" s="49" t="s">
        <v>269</v>
      </c>
      <c r="E87" s="49" t="s">
        <v>15</v>
      </c>
      <c r="F87" s="50">
        <v>4</v>
      </c>
      <c r="G87" s="45" t="s">
        <v>128</v>
      </c>
      <c r="H87" s="42">
        <v>4</v>
      </c>
      <c r="I87" s="20">
        <v>9.64</v>
      </c>
      <c r="J87" s="20">
        <f t="shared" si="2"/>
        <v>38.56</v>
      </c>
      <c r="K87" s="50">
        <v>2304</v>
      </c>
      <c r="L87" s="47">
        <f t="shared" si="3"/>
        <v>1.736111111111111E-3</v>
      </c>
      <c r="M87" s="46" t="s">
        <v>275</v>
      </c>
    </row>
    <row r="88" spans="1:13" ht="21" customHeight="1" x14ac:dyDescent="0.25">
      <c r="A88" s="55">
        <v>45802</v>
      </c>
      <c r="B88" s="49" t="s">
        <v>276</v>
      </c>
      <c r="C88" s="49" t="s">
        <v>489</v>
      </c>
      <c r="D88" s="49" t="s">
        <v>269</v>
      </c>
      <c r="E88" s="49" t="s">
        <v>15</v>
      </c>
      <c r="F88" s="50">
        <v>4</v>
      </c>
      <c r="G88" s="45" t="s">
        <v>128</v>
      </c>
      <c r="H88" s="42">
        <v>4</v>
      </c>
      <c r="I88" s="20">
        <v>9.64</v>
      </c>
      <c r="J88" s="20">
        <f t="shared" si="2"/>
        <v>38.56</v>
      </c>
      <c r="K88" s="50">
        <v>2496</v>
      </c>
      <c r="L88" s="47">
        <f t="shared" si="3"/>
        <v>1.6025641025641025E-3</v>
      </c>
      <c r="M88" s="46" t="s">
        <v>275</v>
      </c>
    </row>
    <row r="89" spans="1:13" ht="21" customHeight="1" x14ac:dyDescent="0.25">
      <c r="A89" s="55">
        <v>45803</v>
      </c>
      <c r="B89" s="49" t="s">
        <v>276</v>
      </c>
      <c r="C89" s="49" t="s">
        <v>489</v>
      </c>
      <c r="D89" s="49" t="s">
        <v>269</v>
      </c>
      <c r="E89" s="49" t="s">
        <v>15</v>
      </c>
      <c r="F89" s="50">
        <v>4</v>
      </c>
      <c r="G89" s="45" t="s">
        <v>128</v>
      </c>
      <c r="H89" s="42">
        <v>4</v>
      </c>
      <c r="I89" s="20">
        <v>9.64</v>
      </c>
      <c r="J89" s="20">
        <f t="shared" si="2"/>
        <v>38.56</v>
      </c>
      <c r="K89" s="50">
        <v>1440</v>
      </c>
      <c r="L89" s="47">
        <f t="shared" si="3"/>
        <v>2.7777777777777779E-3</v>
      </c>
      <c r="M89" s="46" t="s">
        <v>275</v>
      </c>
    </row>
    <row r="90" spans="1:13" ht="21" customHeight="1" x14ac:dyDescent="0.25">
      <c r="A90" s="55">
        <v>45781</v>
      </c>
      <c r="B90" s="49" t="s">
        <v>276</v>
      </c>
      <c r="C90" s="49" t="s">
        <v>489</v>
      </c>
      <c r="D90" s="49" t="s">
        <v>269</v>
      </c>
      <c r="E90" s="49" t="s">
        <v>15</v>
      </c>
      <c r="F90" s="50">
        <v>3</v>
      </c>
      <c r="G90" s="45" t="s">
        <v>128</v>
      </c>
      <c r="H90" s="50">
        <v>3</v>
      </c>
      <c r="I90" s="20">
        <v>9.64</v>
      </c>
      <c r="J90" s="20">
        <f t="shared" si="2"/>
        <v>28.92</v>
      </c>
      <c r="K90" s="50">
        <f>1888+96</f>
        <v>1984</v>
      </c>
      <c r="L90" s="47">
        <f t="shared" si="3"/>
        <v>1.5120967741935483E-3</v>
      </c>
      <c r="M90" s="46" t="s">
        <v>275</v>
      </c>
    </row>
    <row r="91" spans="1:13" ht="21" customHeight="1" x14ac:dyDescent="0.25">
      <c r="A91" s="55">
        <v>45806</v>
      </c>
      <c r="B91" s="49" t="s">
        <v>276</v>
      </c>
      <c r="C91" s="49" t="s">
        <v>489</v>
      </c>
      <c r="D91" s="49" t="s">
        <v>269</v>
      </c>
      <c r="E91" s="49" t="s">
        <v>15</v>
      </c>
      <c r="F91" s="50">
        <v>3</v>
      </c>
      <c r="G91" s="45" t="s">
        <v>128</v>
      </c>
      <c r="H91" s="42">
        <v>3</v>
      </c>
      <c r="I91" s="20">
        <v>9.64</v>
      </c>
      <c r="J91" s="20">
        <f t="shared" si="2"/>
        <v>28.92</v>
      </c>
      <c r="K91" s="50">
        <v>672</v>
      </c>
      <c r="L91" s="47">
        <f t="shared" si="3"/>
        <v>4.464285714285714E-3</v>
      </c>
      <c r="M91" s="46" t="s">
        <v>275</v>
      </c>
    </row>
    <row r="92" spans="1:13" ht="21" customHeight="1" x14ac:dyDescent="0.25">
      <c r="A92" s="55">
        <v>45791</v>
      </c>
      <c r="B92" s="49" t="s">
        <v>276</v>
      </c>
      <c r="C92" s="49" t="s">
        <v>489</v>
      </c>
      <c r="D92" s="49" t="s">
        <v>269</v>
      </c>
      <c r="E92" s="49" t="s">
        <v>15</v>
      </c>
      <c r="F92" s="50">
        <v>1</v>
      </c>
      <c r="G92" s="45" t="s">
        <v>128</v>
      </c>
      <c r="H92" s="42">
        <v>1</v>
      </c>
      <c r="I92" s="20">
        <v>9.64</v>
      </c>
      <c r="J92" s="20">
        <f t="shared" si="2"/>
        <v>9.64</v>
      </c>
      <c r="K92" s="50">
        <v>1824</v>
      </c>
      <c r="L92" s="47">
        <f t="shared" si="3"/>
        <v>5.4824561403508769E-4</v>
      </c>
      <c r="M92" s="46" t="s">
        <v>275</v>
      </c>
    </row>
    <row r="93" spans="1:13" ht="21" customHeight="1" x14ac:dyDescent="0.25">
      <c r="A93" s="55">
        <v>45793</v>
      </c>
      <c r="B93" s="49" t="s">
        <v>276</v>
      </c>
      <c r="C93" s="49" t="s">
        <v>489</v>
      </c>
      <c r="D93" s="49" t="s">
        <v>269</v>
      </c>
      <c r="E93" s="49" t="s">
        <v>15</v>
      </c>
      <c r="F93" s="50">
        <v>1</v>
      </c>
      <c r="G93" s="45" t="s">
        <v>128</v>
      </c>
      <c r="H93" s="42">
        <v>1</v>
      </c>
      <c r="I93" s="20">
        <v>9.64</v>
      </c>
      <c r="J93" s="20">
        <f t="shared" si="2"/>
        <v>9.64</v>
      </c>
      <c r="K93" s="50">
        <v>192</v>
      </c>
      <c r="L93" s="47">
        <f t="shared" si="3"/>
        <v>5.208333333333333E-3</v>
      </c>
      <c r="M93" s="46" t="s">
        <v>275</v>
      </c>
    </row>
    <row r="94" spans="1:13" ht="21" customHeight="1" x14ac:dyDescent="0.25">
      <c r="A94" s="55">
        <v>45796</v>
      </c>
      <c r="B94" s="49" t="s">
        <v>276</v>
      </c>
      <c r="C94" s="49" t="s">
        <v>489</v>
      </c>
      <c r="D94" s="49" t="s">
        <v>291</v>
      </c>
      <c r="E94" s="49" t="s">
        <v>467</v>
      </c>
      <c r="F94" s="50">
        <v>60</v>
      </c>
      <c r="G94" s="45" t="s">
        <v>128</v>
      </c>
      <c r="H94" s="42">
        <v>60</v>
      </c>
      <c r="I94" s="9">
        <v>8.5</v>
      </c>
      <c r="J94" s="20">
        <f t="shared" si="2"/>
        <v>510</v>
      </c>
      <c r="K94" s="50">
        <v>2592</v>
      </c>
      <c r="L94" s="47">
        <f t="shared" si="3"/>
        <v>2.3148148148148147E-2</v>
      </c>
      <c r="M94" s="46" t="s">
        <v>295</v>
      </c>
    </row>
    <row r="95" spans="1:13" ht="21" customHeight="1" x14ac:dyDescent="0.25">
      <c r="A95" s="55">
        <v>45792</v>
      </c>
      <c r="B95" s="49" t="s">
        <v>276</v>
      </c>
      <c r="C95" s="49" t="s">
        <v>489</v>
      </c>
      <c r="D95" s="49" t="s">
        <v>291</v>
      </c>
      <c r="E95" s="49" t="s">
        <v>42</v>
      </c>
      <c r="F95" s="50">
        <v>42</v>
      </c>
      <c r="G95" s="45" t="s">
        <v>128</v>
      </c>
      <c r="H95" s="42">
        <v>42</v>
      </c>
      <c r="I95" s="9">
        <v>8.5</v>
      </c>
      <c r="J95" s="20">
        <f t="shared" si="2"/>
        <v>357</v>
      </c>
      <c r="K95" s="50">
        <v>864</v>
      </c>
      <c r="L95" s="47">
        <f t="shared" si="3"/>
        <v>4.8611111111111112E-2</v>
      </c>
      <c r="M95" s="46" t="s">
        <v>295</v>
      </c>
    </row>
    <row r="96" spans="1:13" ht="21" customHeight="1" x14ac:dyDescent="0.25">
      <c r="A96" s="55">
        <v>45804</v>
      </c>
      <c r="B96" s="49" t="s">
        <v>276</v>
      </c>
      <c r="C96" s="49" t="s">
        <v>489</v>
      </c>
      <c r="D96" s="49" t="s">
        <v>291</v>
      </c>
      <c r="E96" s="49" t="s">
        <v>42</v>
      </c>
      <c r="F96" s="50">
        <v>41</v>
      </c>
      <c r="G96" s="45" t="s">
        <v>128</v>
      </c>
      <c r="H96" s="42">
        <v>41</v>
      </c>
      <c r="I96" s="9">
        <v>8.5</v>
      </c>
      <c r="J96" s="20">
        <f t="shared" si="2"/>
        <v>348.5</v>
      </c>
      <c r="K96" s="50">
        <v>2160</v>
      </c>
      <c r="L96" s="47">
        <f t="shared" si="3"/>
        <v>1.8981481481481481E-2</v>
      </c>
      <c r="M96" s="46" t="s">
        <v>295</v>
      </c>
    </row>
    <row r="97" spans="1:13" ht="21" customHeight="1" x14ac:dyDescent="0.25">
      <c r="A97" s="55">
        <v>45784</v>
      </c>
      <c r="B97" s="49" t="s">
        <v>276</v>
      </c>
      <c r="C97" s="49" t="s">
        <v>489</v>
      </c>
      <c r="D97" s="49" t="s">
        <v>291</v>
      </c>
      <c r="E97" s="49" t="s">
        <v>42</v>
      </c>
      <c r="F97" s="50">
        <v>21</v>
      </c>
      <c r="G97" s="45" t="s">
        <v>128</v>
      </c>
      <c r="H97" s="50">
        <v>21</v>
      </c>
      <c r="I97" s="9">
        <v>8.5</v>
      </c>
      <c r="J97" s="20">
        <f t="shared" si="2"/>
        <v>178.5</v>
      </c>
      <c r="K97" s="50">
        <f>648+2160</f>
        <v>2808</v>
      </c>
      <c r="L97" s="47">
        <f t="shared" si="3"/>
        <v>7.478632478632479E-3</v>
      </c>
      <c r="M97" s="46" t="s">
        <v>295</v>
      </c>
    </row>
    <row r="98" spans="1:13" ht="21" customHeight="1" x14ac:dyDescent="0.25">
      <c r="A98" s="55">
        <v>45797</v>
      </c>
      <c r="B98" s="49" t="s">
        <v>276</v>
      </c>
      <c r="C98" s="49" t="s">
        <v>489</v>
      </c>
      <c r="D98" s="49" t="s">
        <v>291</v>
      </c>
      <c r="E98" s="49" t="s">
        <v>42</v>
      </c>
      <c r="F98" s="50">
        <v>21</v>
      </c>
      <c r="G98" s="45" t="s">
        <v>128</v>
      </c>
      <c r="H98" s="42">
        <v>21</v>
      </c>
      <c r="I98" s="9">
        <v>8.5</v>
      </c>
      <c r="J98" s="20">
        <f t="shared" si="2"/>
        <v>178.5</v>
      </c>
      <c r="K98" s="50">
        <v>864</v>
      </c>
      <c r="L98" s="47">
        <f t="shared" si="3"/>
        <v>2.4305555555555556E-2</v>
      </c>
      <c r="M98" s="46" t="s">
        <v>295</v>
      </c>
    </row>
    <row r="99" spans="1:13" ht="21" customHeight="1" x14ac:dyDescent="0.25">
      <c r="A99" s="55">
        <v>45803</v>
      </c>
      <c r="B99" s="49" t="s">
        <v>276</v>
      </c>
      <c r="C99" s="49" t="s">
        <v>489</v>
      </c>
      <c r="D99" s="49" t="s">
        <v>291</v>
      </c>
      <c r="E99" s="49" t="s">
        <v>42</v>
      </c>
      <c r="F99" s="50">
        <v>17</v>
      </c>
      <c r="G99" s="45" t="s">
        <v>128</v>
      </c>
      <c r="H99" s="42">
        <v>17</v>
      </c>
      <c r="I99" s="9">
        <v>8.5</v>
      </c>
      <c r="J99" s="20">
        <f t="shared" si="2"/>
        <v>144.5</v>
      </c>
      <c r="K99" s="50">
        <v>2808</v>
      </c>
      <c r="L99" s="47">
        <f t="shared" si="3"/>
        <v>6.0541310541310537E-3</v>
      </c>
      <c r="M99" s="46" t="s">
        <v>295</v>
      </c>
    </row>
    <row r="100" spans="1:13" ht="21" customHeight="1" x14ac:dyDescent="0.25">
      <c r="A100" s="55">
        <v>45798</v>
      </c>
      <c r="B100" s="49" t="s">
        <v>276</v>
      </c>
      <c r="C100" s="49" t="s">
        <v>489</v>
      </c>
      <c r="D100" s="49" t="s">
        <v>291</v>
      </c>
      <c r="E100" s="49" t="s">
        <v>42</v>
      </c>
      <c r="F100" s="50">
        <v>14</v>
      </c>
      <c r="G100" s="45" t="s">
        <v>128</v>
      </c>
      <c r="H100" s="42">
        <v>14</v>
      </c>
      <c r="I100" s="9">
        <v>8.5</v>
      </c>
      <c r="J100" s="20">
        <f t="shared" si="2"/>
        <v>119</v>
      </c>
      <c r="K100" s="50">
        <v>1944</v>
      </c>
      <c r="L100" s="47">
        <f t="shared" si="3"/>
        <v>7.2016460905349796E-3</v>
      </c>
      <c r="M100" s="46" t="s">
        <v>295</v>
      </c>
    </row>
    <row r="101" spans="1:13" ht="21" customHeight="1" x14ac:dyDescent="0.25">
      <c r="A101" s="55">
        <v>45799</v>
      </c>
      <c r="B101" s="49" t="s">
        <v>276</v>
      </c>
      <c r="C101" s="49" t="s">
        <v>489</v>
      </c>
      <c r="D101" s="49" t="s">
        <v>291</v>
      </c>
      <c r="E101" s="49" t="s">
        <v>42</v>
      </c>
      <c r="F101" s="50">
        <v>11</v>
      </c>
      <c r="G101" s="45" t="s">
        <v>128</v>
      </c>
      <c r="H101" s="42">
        <v>11</v>
      </c>
      <c r="I101" s="9">
        <v>8.5</v>
      </c>
      <c r="J101" s="20">
        <f t="shared" si="2"/>
        <v>93.5</v>
      </c>
      <c r="K101" s="50">
        <v>216</v>
      </c>
      <c r="L101" s="47">
        <f t="shared" si="3"/>
        <v>5.0925925925925923E-2</v>
      </c>
      <c r="M101" s="46" t="s">
        <v>295</v>
      </c>
    </row>
    <row r="102" spans="1:13" ht="21" customHeight="1" x14ac:dyDescent="0.25">
      <c r="A102" s="55">
        <v>45783</v>
      </c>
      <c r="B102" s="49" t="s">
        <v>276</v>
      </c>
      <c r="C102" s="49" t="s">
        <v>489</v>
      </c>
      <c r="D102" s="49" t="s">
        <v>291</v>
      </c>
      <c r="E102" s="49" t="s">
        <v>42</v>
      </c>
      <c r="F102" s="50">
        <v>8</v>
      </c>
      <c r="G102" s="45" t="s">
        <v>128</v>
      </c>
      <c r="H102" s="50">
        <v>8</v>
      </c>
      <c r="I102" s="9">
        <v>8.5</v>
      </c>
      <c r="J102" s="20">
        <f t="shared" si="2"/>
        <v>68</v>
      </c>
      <c r="K102" s="50">
        <f>1818+1512</f>
        <v>3330</v>
      </c>
      <c r="L102" s="47">
        <f t="shared" si="3"/>
        <v>2.4024024024024023E-3</v>
      </c>
      <c r="M102" s="46" t="s">
        <v>295</v>
      </c>
    </row>
    <row r="103" spans="1:13" ht="21" customHeight="1" x14ac:dyDescent="0.25">
      <c r="A103" s="55">
        <v>45802</v>
      </c>
      <c r="B103" s="49" t="s">
        <v>276</v>
      </c>
      <c r="C103" s="49" t="s">
        <v>489</v>
      </c>
      <c r="D103" s="49" t="s">
        <v>291</v>
      </c>
      <c r="E103" s="49" t="s">
        <v>42</v>
      </c>
      <c r="F103" s="50">
        <v>4</v>
      </c>
      <c r="G103" s="45" t="s">
        <v>128</v>
      </c>
      <c r="H103" s="42">
        <v>4</v>
      </c>
      <c r="I103" s="9">
        <v>8.5</v>
      </c>
      <c r="J103" s="20">
        <f t="shared" si="2"/>
        <v>34</v>
      </c>
      <c r="K103" s="50">
        <v>1296</v>
      </c>
      <c r="L103" s="47">
        <f t="shared" si="3"/>
        <v>3.0864197530864196E-3</v>
      </c>
      <c r="M103" s="46" t="s">
        <v>295</v>
      </c>
    </row>
    <row r="104" spans="1:13" ht="21" customHeight="1" x14ac:dyDescent="0.25">
      <c r="A104" s="55">
        <v>45803</v>
      </c>
      <c r="B104" s="49" t="s">
        <v>276</v>
      </c>
      <c r="C104" s="49" t="s">
        <v>489</v>
      </c>
      <c r="D104" s="49" t="s">
        <v>291</v>
      </c>
      <c r="E104" s="49" t="s">
        <v>42</v>
      </c>
      <c r="F104" s="50">
        <v>4</v>
      </c>
      <c r="G104" s="45" t="s">
        <v>128</v>
      </c>
      <c r="H104" s="42">
        <v>4</v>
      </c>
      <c r="I104" s="9">
        <v>8.5</v>
      </c>
      <c r="J104" s="20">
        <f t="shared" si="2"/>
        <v>34</v>
      </c>
      <c r="K104" s="50">
        <v>648</v>
      </c>
      <c r="L104" s="47">
        <f t="shared" si="3"/>
        <v>6.1728395061728392E-3</v>
      </c>
      <c r="M104" s="46" t="s">
        <v>295</v>
      </c>
    </row>
    <row r="105" spans="1:13" ht="21" customHeight="1" x14ac:dyDescent="0.25">
      <c r="A105" s="55">
        <v>45791</v>
      </c>
      <c r="B105" s="49" t="s">
        <v>276</v>
      </c>
      <c r="C105" s="49" t="s">
        <v>489</v>
      </c>
      <c r="D105" s="49" t="s">
        <v>291</v>
      </c>
      <c r="E105" s="49" t="s">
        <v>42</v>
      </c>
      <c r="F105" s="50">
        <v>3</v>
      </c>
      <c r="G105" s="45" t="s">
        <v>128</v>
      </c>
      <c r="H105" s="42">
        <v>3</v>
      </c>
      <c r="I105" s="9">
        <v>8.5</v>
      </c>
      <c r="J105" s="20">
        <f t="shared" si="2"/>
        <v>25.5</v>
      </c>
      <c r="K105" s="50">
        <v>1728</v>
      </c>
      <c r="L105" s="47">
        <f t="shared" si="3"/>
        <v>1.736111111111111E-3</v>
      </c>
      <c r="M105" s="46" t="s">
        <v>295</v>
      </c>
    </row>
    <row r="106" spans="1:13" ht="21" customHeight="1" x14ac:dyDescent="0.25">
      <c r="A106" s="55">
        <v>45795</v>
      </c>
      <c r="B106" s="49" t="s">
        <v>276</v>
      </c>
      <c r="C106" s="49" t="s">
        <v>489</v>
      </c>
      <c r="D106" s="49" t="s">
        <v>280</v>
      </c>
      <c r="E106" s="49" t="s">
        <v>468</v>
      </c>
      <c r="F106" s="50">
        <v>121</v>
      </c>
      <c r="G106" s="45" t="s">
        <v>128</v>
      </c>
      <c r="H106" s="50">
        <v>121</v>
      </c>
      <c r="I106" s="20">
        <v>14.2</v>
      </c>
      <c r="J106" s="20">
        <f t="shared" si="2"/>
        <v>1718.1999999999998</v>
      </c>
      <c r="K106" s="50">
        <v>1792</v>
      </c>
      <c r="L106" s="47">
        <f t="shared" si="3"/>
        <v>6.7522321428571425E-2</v>
      </c>
      <c r="M106" s="46" t="s">
        <v>288</v>
      </c>
    </row>
    <row r="107" spans="1:13" ht="21" customHeight="1" x14ac:dyDescent="0.25">
      <c r="A107" s="55">
        <v>45794</v>
      </c>
      <c r="B107" s="49" t="s">
        <v>276</v>
      </c>
      <c r="C107" s="49" t="s">
        <v>489</v>
      </c>
      <c r="D107" s="49" t="s">
        <v>280</v>
      </c>
      <c r="E107" s="49" t="s">
        <v>18</v>
      </c>
      <c r="F107" s="50">
        <v>47</v>
      </c>
      <c r="G107" s="45" t="s">
        <v>128</v>
      </c>
      <c r="H107" s="42">
        <v>47</v>
      </c>
      <c r="I107" s="20">
        <v>14.2</v>
      </c>
      <c r="J107" s="20">
        <f t="shared" si="2"/>
        <v>667.4</v>
      </c>
      <c r="K107" s="50">
        <v>2912</v>
      </c>
      <c r="L107" s="47">
        <f t="shared" si="3"/>
        <v>1.6140109890109892E-2</v>
      </c>
      <c r="M107" s="46" t="s">
        <v>288</v>
      </c>
    </row>
    <row r="108" spans="1:13" ht="21" customHeight="1" x14ac:dyDescent="0.25">
      <c r="A108" s="55">
        <v>45792</v>
      </c>
      <c r="B108" s="49" t="s">
        <v>276</v>
      </c>
      <c r="C108" s="49" t="s">
        <v>489</v>
      </c>
      <c r="D108" s="49" t="s">
        <v>280</v>
      </c>
      <c r="E108" s="49" t="s">
        <v>18</v>
      </c>
      <c r="F108" s="50">
        <v>44</v>
      </c>
      <c r="G108" s="45" t="s">
        <v>128</v>
      </c>
      <c r="H108" s="42">
        <v>44</v>
      </c>
      <c r="I108" s="20">
        <v>14.2</v>
      </c>
      <c r="J108" s="20">
        <f t="shared" si="2"/>
        <v>624.79999999999995</v>
      </c>
      <c r="K108" s="50">
        <v>1624</v>
      </c>
      <c r="L108" s="47">
        <f t="shared" si="3"/>
        <v>2.7093596059113302E-2</v>
      </c>
      <c r="M108" s="46" t="s">
        <v>288</v>
      </c>
    </row>
    <row r="109" spans="1:13" ht="21" customHeight="1" x14ac:dyDescent="0.25">
      <c r="A109" s="55">
        <v>45804</v>
      </c>
      <c r="B109" s="49" t="s">
        <v>276</v>
      </c>
      <c r="C109" s="49" t="s">
        <v>489</v>
      </c>
      <c r="D109" s="49" t="s">
        <v>280</v>
      </c>
      <c r="E109" s="49" t="s">
        <v>468</v>
      </c>
      <c r="F109" s="50">
        <v>43</v>
      </c>
      <c r="G109" s="45" t="s">
        <v>128</v>
      </c>
      <c r="H109" s="42">
        <v>43</v>
      </c>
      <c r="I109" s="20">
        <v>14.2</v>
      </c>
      <c r="J109" s="20">
        <f t="shared" si="2"/>
        <v>610.6</v>
      </c>
      <c r="K109" s="50">
        <v>3024</v>
      </c>
      <c r="L109" s="47">
        <f t="shared" si="3"/>
        <v>1.4219576719576719E-2</v>
      </c>
      <c r="M109" s="46" t="s">
        <v>288</v>
      </c>
    </row>
    <row r="110" spans="1:13" ht="21" customHeight="1" x14ac:dyDescent="0.25">
      <c r="A110" s="55">
        <v>45805</v>
      </c>
      <c r="B110" s="49" t="s">
        <v>276</v>
      </c>
      <c r="C110" s="49" t="s">
        <v>489</v>
      </c>
      <c r="D110" s="49" t="s">
        <v>280</v>
      </c>
      <c r="E110" s="49" t="s">
        <v>18</v>
      </c>
      <c r="F110" s="50">
        <v>31</v>
      </c>
      <c r="G110" s="45" t="s">
        <v>128</v>
      </c>
      <c r="H110" s="42">
        <v>31</v>
      </c>
      <c r="I110" s="20">
        <v>14.2</v>
      </c>
      <c r="J110" s="20">
        <f t="shared" si="2"/>
        <v>440.2</v>
      </c>
      <c r="K110" s="50">
        <v>728</v>
      </c>
      <c r="L110" s="47">
        <f t="shared" si="3"/>
        <v>4.2582417582417584E-2</v>
      </c>
      <c r="M110" s="46" t="s">
        <v>288</v>
      </c>
    </row>
    <row r="111" spans="1:13" ht="21" customHeight="1" x14ac:dyDescent="0.25">
      <c r="A111" s="55">
        <v>45798</v>
      </c>
      <c r="B111" s="49" t="s">
        <v>276</v>
      </c>
      <c r="C111" s="49" t="s">
        <v>489</v>
      </c>
      <c r="D111" s="49" t="s">
        <v>280</v>
      </c>
      <c r="E111" s="49" t="s">
        <v>18</v>
      </c>
      <c r="F111" s="50">
        <v>30</v>
      </c>
      <c r="G111" s="45" t="s">
        <v>128</v>
      </c>
      <c r="H111" s="42">
        <v>30</v>
      </c>
      <c r="I111" s="20">
        <v>14.2</v>
      </c>
      <c r="J111" s="20">
        <f t="shared" si="2"/>
        <v>426</v>
      </c>
      <c r="K111" s="50">
        <v>364</v>
      </c>
      <c r="L111" s="47">
        <f t="shared" si="3"/>
        <v>8.2417582417582416E-2</v>
      </c>
      <c r="M111" s="46" t="s">
        <v>288</v>
      </c>
    </row>
    <row r="112" spans="1:13" ht="21" customHeight="1" x14ac:dyDescent="0.25">
      <c r="A112" s="55">
        <v>45800</v>
      </c>
      <c r="B112" s="49" t="s">
        <v>276</v>
      </c>
      <c r="C112" s="49" t="s">
        <v>489</v>
      </c>
      <c r="D112" s="49" t="s">
        <v>280</v>
      </c>
      <c r="E112" s="49" t="s">
        <v>18</v>
      </c>
      <c r="F112" s="50">
        <v>30</v>
      </c>
      <c r="G112" s="45" t="s">
        <v>128</v>
      </c>
      <c r="H112" s="42">
        <v>30</v>
      </c>
      <c r="I112" s="20">
        <v>14.2</v>
      </c>
      <c r="J112" s="20">
        <f t="shared" si="2"/>
        <v>426</v>
      </c>
      <c r="K112" s="50">
        <v>1288</v>
      </c>
      <c r="L112" s="47">
        <f t="shared" si="3"/>
        <v>2.3291925465838508E-2</v>
      </c>
      <c r="M112" s="46" t="s">
        <v>288</v>
      </c>
    </row>
    <row r="113" spans="1:13" ht="21" customHeight="1" x14ac:dyDescent="0.25">
      <c r="A113" s="55">
        <v>45801</v>
      </c>
      <c r="B113" s="49" t="s">
        <v>276</v>
      </c>
      <c r="C113" s="49" t="s">
        <v>489</v>
      </c>
      <c r="D113" s="49" t="s">
        <v>280</v>
      </c>
      <c r="E113" s="49" t="s">
        <v>18</v>
      </c>
      <c r="F113" s="50">
        <v>30</v>
      </c>
      <c r="G113" s="45" t="s">
        <v>128</v>
      </c>
      <c r="H113" s="42">
        <v>30</v>
      </c>
      <c r="I113" s="20">
        <v>14.2</v>
      </c>
      <c r="J113" s="20">
        <f t="shared" si="2"/>
        <v>426</v>
      </c>
      <c r="K113" s="50">
        <v>1400</v>
      </c>
      <c r="L113" s="47">
        <f t="shared" si="3"/>
        <v>2.1428571428571429E-2</v>
      </c>
      <c r="M113" s="46" t="s">
        <v>288</v>
      </c>
    </row>
    <row r="114" spans="1:13" ht="21" customHeight="1" x14ac:dyDescent="0.25">
      <c r="A114" s="55">
        <v>45785</v>
      </c>
      <c r="B114" s="49" t="s">
        <v>276</v>
      </c>
      <c r="C114" s="49" t="s">
        <v>489</v>
      </c>
      <c r="D114" s="49" t="s">
        <v>280</v>
      </c>
      <c r="E114" s="49" t="s">
        <v>18</v>
      </c>
      <c r="F114" s="50">
        <v>29</v>
      </c>
      <c r="G114" s="45" t="s">
        <v>128</v>
      </c>
      <c r="H114" s="42">
        <v>29</v>
      </c>
      <c r="I114" s="20">
        <v>14.2</v>
      </c>
      <c r="J114" s="20">
        <f t="shared" si="2"/>
        <v>411.79999999999995</v>
      </c>
      <c r="K114" s="50">
        <v>1736</v>
      </c>
      <c r="L114" s="47">
        <f t="shared" si="3"/>
        <v>1.6705069124423964E-2</v>
      </c>
      <c r="M114" s="46" t="s">
        <v>288</v>
      </c>
    </row>
    <row r="115" spans="1:13" ht="21" customHeight="1" x14ac:dyDescent="0.25">
      <c r="A115" s="55">
        <v>45787</v>
      </c>
      <c r="B115" s="49" t="s">
        <v>276</v>
      </c>
      <c r="C115" s="49" t="s">
        <v>489</v>
      </c>
      <c r="D115" s="49" t="s">
        <v>280</v>
      </c>
      <c r="E115" s="49" t="s">
        <v>18</v>
      </c>
      <c r="F115" s="50">
        <v>27</v>
      </c>
      <c r="G115" s="45" t="s">
        <v>128</v>
      </c>
      <c r="H115" s="42">
        <v>27</v>
      </c>
      <c r="I115" s="20">
        <v>14.2</v>
      </c>
      <c r="J115" s="20">
        <f t="shared" si="2"/>
        <v>383.4</v>
      </c>
      <c r="K115" s="50">
        <v>1400</v>
      </c>
      <c r="L115" s="47">
        <f t="shared" si="3"/>
        <v>1.9285714285714285E-2</v>
      </c>
      <c r="M115" s="46" t="s">
        <v>288</v>
      </c>
    </row>
    <row r="116" spans="1:13" ht="21" customHeight="1" x14ac:dyDescent="0.25">
      <c r="A116" s="55">
        <v>45797</v>
      </c>
      <c r="B116" s="49" t="s">
        <v>276</v>
      </c>
      <c r="C116" s="49" t="s">
        <v>489</v>
      </c>
      <c r="D116" s="49" t="s">
        <v>280</v>
      </c>
      <c r="E116" s="49" t="s">
        <v>18</v>
      </c>
      <c r="F116" s="50">
        <v>22</v>
      </c>
      <c r="G116" s="45" t="s">
        <v>128</v>
      </c>
      <c r="H116" s="42">
        <v>22</v>
      </c>
      <c r="I116" s="20">
        <v>14.2</v>
      </c>
      <c r="J116" s="20">
        <f t="shared" si="2"/>
        <v>312.39999999999998</v>
      </c>
      <c r="K116" s="50">
        <v>364</v>
      </c>
      <c r="L116" s="47">
        <f t="shared" si="3"/>
        <v>6.043956043956044E-2</v>
      </c>
      <c r="M116" s="46" t="s">
        <v>288</v>
      </c>
    </row>
    <row r="117" spans="1:13" ht="21" customHeight="1" x14ac:dyDescent="0.25">
      <c r="A117" s="55">
        <v>45806</v>
      </c>
      <c r="B117" s="49" t="s">
        <v>276</v>
      </c>
      <c r="C117" s="49" t="s">
        <v>489</v>
      </c>
      <c r="D117" s="49" t="s">
        <v>280</v>
      </c>
      <c r="E117" s="49" t="s">
        <v>18</v>
      </c>
      <c r="F117" s="50">
        <v>22</v>
      </c>
      <c r="G117" s="45" t="s">
        <v>128</v>
      </c>
      <c r="H117" s="42">
        <v>22</v>
      </c>
      <c r="I117" s="20">
        <v>14.2</v>
      </c>
      <c r="J117" s="20">
        <f t="shared" si="2"/>
        <v>312.39999999999998</v>
      </c>
      <c r="K117" s="50">
        <v>2856</v>
      </c>
      <c r="L117" s="47">
        <f t="shared" si="3"/>
        <v>7.7030812324929976E-3</v>
      </c>
      <c r="M117" s="46" t="s">
        <v>288</v>
      </c>
    </row>
    <row r="118" spans="1:13" ht="21" customHeight="1" x14ac:dyDescent="0.25">
      <c r="A118" s="55">
        <v>45784</v>
      </c>
      <c r="B118" s="49" t="s">
        <v>276</v>
      </c>
      <c r="C118" s="49" t="s">
        <v>489</v>
      </c>
      <c r="D118" s="49" t="s">
        <v>280</v>
      </c>
      <c r="E118" s="49" t="s">
        <v>18</v>
      </c>
      <c r="F118" s="50">
        <v>15</v>
      </c>
      <c r="G118" s="45" t="s">
        <v>128</v>
      </c>
      <c r="H118" s="50">
        <v>15</v>
      </c>
      <c r="I118" s="20">
        <v>14.2</v>
      </c>
      <c r="J118" s="20">
        <f t="shared" si="2"/>
        <v>213</v>
      </c>
      <c r="K118" s="50">
        <v>448</v>
      </c>
      <c r="L118" s="47">
        <f t="shared" si="3"/>
        <v>3.3482142857142856E-2</v>
      </c>
      <c r="M118" s="46" t="s">
        <v>288</v>
      </c>
    </row>
    <row r="119" spans="1:13" ht="21" customHeight="1" x14ac:dyDescent="0.25">
      <c r="A119" s="55">
        <v>45793</v>
      </c>
      <c r="B119" s="49" t="s">
        <v>276</v>
      </c>
      <c r="C119" s="49" t="s">
        <v>489</v>
      </c>
      <c r="D119" s="49" t="s">
        <v>280</v>
      </c>
      <c r="E119" s="49" t="s">
        <v>18</v>
      </c>
      <c r="F119" s="50">
        <v>11</v>
      </c>
      <c r="G119" s="45" t="s">
        <v>128</v>
      </c>
      <c r="H119" s="42">
        <v>11</v>
      </c>
      <c r="I119" s="20">
        <v>14.2</v>
      </c>
      <c r="J119" s="20">
        <f t="shared" si="2"/>
        <v>156.19999999999999</v>
      </c>
      <c r="K119" s="50">
        <v>392</v>
      </c>
      <c r="L119" s="47">
        <f t="shared" si="3"/>
        <v>2.8061224489795918E-2</v>
      </c>
      <c r="M119" s="46" t="s">
        <v>288</v>
      </c>
    </row>
    <row r="120" spans="1:13" ht="21" customHeight="1" x14ac:dyDescent="0.25">
      <c r="A120" s="55">
        <v>45799</v>
      </c>
      <c r="B120" s="49" t="s">
        <v>276</v>
      </c>
      <c r="C120" s="49" t="s">
        <v>489</v>
      </c>
      <c r="D120" s="49" t="s">
        <v>280</v>
      </c>
      <c r="E120" s="49" t="s">
        <v>18</v>
      </c>
      <c r="F120" s="50">
        <v>8</v>
      </c>
      <c r="G120" s="45" t="s">
        <v>128</v>
      </c>
      <c r="H120" s="42">
        <v>8</v>
      </c>
      <c r="I120" s="20">
        <v>14.2</v>
      </c>
      <c r="J120" s="20">
        <f t="shared" si="2"/>
        <v>113.6</v>
      </c>
      <c r="K120" s="50">
        <v>168</v>
      </c>
      <c r="L120" s="47">
        <f t="shared" si="3"/>
        <v>4.7619047619047616E-2</v>
      </c>
      <c r="M120" s="46" t="s">
        <v>288</v>
      </c>
    </row>
    <row r="121" spans="1:13" ht="21" customHeight="1" x14ac:dyDescent="0.25">
      <c r="A121" s="55">
        <v>45782</v>
      </c>
      <c r="B121" s="49" t="s">
        <v>276</v>
      </c>
      <c r="C121" s="49" t="s">
        <v>489</v>
      </c>
      <c r="D121" s="49" t="s">
        <v>280</v>
      </c>
      <c r="E121" s="49" t="s">
        <v>18</v>
      </c>
      <c r="F121" s="50">
        <v>6</v>
      </c>
      <c r="G121" s="45" t="s">
        <v>128</v>
      </c>
      <c r="H121" s="42">
        <f>F121</f>
        <v>6</v>
      </c>
      <c r="I121" s="20">
        <v>14.2</v>
      </c>
      <c r="J121" s="20">
        <f t="shared" si="2"/>
        <v>85.199999999999989</v>
      </c>
      <c r="K121" s="50">
        <v>896</v>
      </c>
      <c r="L121" s="47">
        <f t="shared" si="3"/>
        <v>6.6964285714285711E-3</v>
      </c>
      <c r="M121" s="46" t="s">
        <v>288</v>
      </c>
    </row>
    <row r="122" spans="1:13" ht="21" customHeight="1" x14ac:dyDescent="0.25">
      <c r="A122" s="55">
        <v>45788</v>
      </c>
      <c r="B122" s="49" t="s">
        <v>276</v>
      </c>
      <c r="C122" s="49" t="s">
        <v>489</v>
      </c>
      <c r="D122" s="49" t="s">
        <v>280</v>
      </c>
      <c r="E122" s="49" t="s">
        <v>18</v>
      </c>
      <c r="F122" s="50">
        <v>6</v>
      </c>
      <c r="G122" s="45" t="s">
        <v>128</v>
      </c>
      <c r="H122" s="50">
        <v>6</v>
      </c>
      <c r="I122" s="20">
        <v>14.2</v>
      </c>
      <c r="J122" s="20">
        <f t="shared" si="2"/>
        <v>85.199999999999989</v>
      </c>
      <c r="K122" s="50">
        <v>168</v>
      </c>
      <c r="L122" s="47">
        <f t="shared" si="3"/>
        <v>3.5714285714285712E-2</v>
      </c>
      <c r="M122" s="46" t="s">
        <v>288</v>
      </c>
    </row>
    <row r="123" spans="1:13" ht="21" customHeight="1" x14ac:dyDescent="0.25">
      <c r="A123" s="55">
        <v>45807</v>
      </c>
      <c r="B123" s="49" t="s">
        <v>276</v>
      </c>
      <c r="C123" s="49" t="s">
        <v>489</v>
      </c>
      <c r="D123" s="49" t="s">
        <v>280</v>
      </c>
      <c r="E123" s="49" t="s">
        <v>18</v>
      </c>
      <c r="F123" s="50">
        <v>5</v>
      </c>
      <c r="G123" s="45" t="s">
        <v>128</v>
      </c>
      <c r="H123" s="42">
        <v>5</v>
      </c>
      <c r="I123" s="20">
        <v>14.2</v>
      </c>
      <c r="J123" s="20">
        <f t="shared" si="2"/>
        <v>71</v>
      </c>
      <c r="K123" s="50">
        <v>840</v>
      </c>
      <c r="L123" s="47">
        <f t="shared" si="3"/>
        <v>5.9523809523809521E-3</v>
      </c>
      <c r="M123" s="46" t="s">
        <v>288</v>
      </c>
    </row>
    <row r="124" spans="1:13" ht="21" customHeight="1" x14ac:dyDescent="0.25">
      <c r="A124" s="55">
        <v>45803</v>
      </c>
      <c r="B124" s="49" t="s">
        <v>276</v>
      </c>
      <c r="C124" s="49" t="s">
        <v>489</v>
      </c>
      <c r="D124" s="49" t="s">
        <v>280</v>
      </c>
      <c r="E124" s="49" t="s">
        <v>18</v>
      </c>
      <c r="F124" s="50">
        <v>3</v>
      </c>
      <c r="G124" s="45" t="s">
        <v>128</v>
      </c>
      <c r="H124" s="42">
        <v>3</v>
      </c>
      <c r="I124" s="20">
        <v>14.2</v>
      </c>
      <c r="J124" s="20">
        <f t="shared" si="2"/>
        <v>42.599999999999994</v>
      </c>
      <c r="K124" s="50">
        <v>784</v>
      </c>
      <c r="L124" s="47">
        <f t="shared" si="3"/>
        <v>3.8265306122448979E-3</v>
      </c>
      <c r="M124" s="46" t="s">
        <v>288</v>
      </c>
    </row>
    <row r="125" spans="1:13" ht="21" customHeight="1" x14ac:dyDescent="0.25">
      <c r="A125" s="55">
        <v>45786</v>
      </c>
      <c r="B125" s="49" t="s">
        <v>276</v>
      </c>
      <c r="C125" s="49" t="s">
        <v>489</v>
      </c>
      <c r="D125" s="49" t="s">
        <v>296</v>
      </c>
      <c r="E125" s="49" t="s">
        <v>469</v>
      </c>
      <c r="F125" s="50">
        <v>16</v>
      </c>
      <c r="G125" s="45" t="s">
        <v>128</v>
      </c>
      <c r="H125" s="42">
        <v>16</v>
      </c>
      <c r="I125" s="20">
        <v>13.55</v>
      </c>
      <c r="J125" s="20">
        <f t="shared" si="2"/>
        <v>216.8</v>
      </c>
      <c r="K125" s="50">
        <f>416+2496</f>
        <v>2912</v>
      </c>
      <c r="L125" s="47">
        <f t="shared" si="3"/>
        <v>5.4945054945054949E-3</v>
      </c>
      <c r="M125" s="46" t="s">
        <v>279</v>
      </c>
    </row>
    <row r="126" spans="1:13" ht="21" customHeight="1" x14ac:dyDescent="0.25">
      <c r="A126" s="55">
        <v>45797</v>
      </c>
      <c r="B126" s="49" t="s">
        <v>276</v>
      </c>
      <c r="C126" s="49" t="s">
        <v>489</v>
      </c>
      <c r="D126" s="49" t="s">
        <v>296</v>
      </c>
      <c r="E126" s="49" t="s">
        <v>41</v>
      </c>
      <c r="F126" s="50">
        <v>15</v>
      </c>
      <c r="G126" s="45" t="s">
        <v>128</v>
      </c>
      <c r="H126" s="42">
        <v>15</v>
      </c>
      <c r="I126" s="20">
        <v>13.55</v>
      </c>
      <c r="J126" s="20">
        <f t="shared" si="2"/>
        <v>203.25</v>
      </c>
      <c r="K126" s="50">
        <v>1144</v>
      </c>
      <c r="L126" s="47">
        <f t="shared" si="3"/>
        <v>1.3111888111888112E-2</v>
      </c>
      <c r="M126" s="46" t="s">
        <v>279</v>
      </c>
    </row>
    <row r="127" spans="1:13" ht="21" customHeight="1" x14ac:dyDescent="0.25">
      <c r="A127" s="55">
        <v>45799</v>
      </c>
      <c r="B127" s="49" t="s">
        <v>276</v>
      </c>
      <c r="C127" s="49" t="s">
        <v>489</v>
      </c>
      <c r="D127" s="49" t="s">
        <v>296</v>
      </c>
      <c r="E127" s="49" t="s">
        <v>41</v>
      </c>
      <c r="F127" s="50">
        <v>14</v>
      </c>
      <c r="G127" s="45" t="s">
        <v>128</v>
      </c>
      <c r="H127" s="42">
        <v>14</v>
      </c>
      <c r="I127" s="20">
        <v>13.55</v>
      </c>
      <c r="J127" s="20">
        <f t="shared" si="2"/>
        <v>189.70000000000002</v>
      </c>
      <c r="K127" s="50">
        <f>324+2704</f>
        <v>3028</v>
      </c>
      <c r="L127" s="47">
        <f t="shared" si="3"/>
        <v>4.623513870541612E-3</v>
      </c>
      <c r="M127" s="46" t="s">
        <v>279</v>
      </c>
    </row>
    <row r="128" spans="1:13" ht="21" customHeight="1" x14ac:dyDescent="0.25">
      <c r="A128" s="55">
        <v>45800</v>
      </c>
      <c r="B128" s="49" t="s">
        <v>276</v>
      </c>
      <c r="C128" s="49" t="s">
        <v>489</v>
      </c>
      <c r="D128" s="49" t="s">
        <v>296</v>
      </c>
      <c r="E128" s="49" t="s">
        <v>41</v>
      </c>
      <c r="F128" s="50">
        <v>13</v>
      </c>
      <c r="G128" s="45" t="s">
        <v>128</v>
      </c>
      <c r="H128" s="42">
        <v>13</v>
      </c>
      <c r="I128" s="20">
        <v>13.55</v>
      </c>
      <c r="J128" s="20">
        <f t="shared" si="2"/>
        <v>176.15</v>
      </c>
      <c r="K128" s="50">
        <f>1976+520</f>
        <v>2496</v>
      </c>
      <c r="L128" s="47">
        <f t="shared" si="3"/>
        <v>5.208333333333333E-3</v>
      </c>
      <c r="M128" s="46" t="s">
        <v>279</v>
      </c>
    </row>
    <row r="129" spans="1:13" ht="21" customHeight="1" x14ac:dyDescent="0.25">
      <c r="A129" s="55">
        <v>45805</v>
      </c>
      <c r="B129" s="49" t="s">
        <v>276</v>
      </c>
      <c r="C129" s="49" t="s">
        <v>489</v>
      </c>
      <c r="D129" s="49" t="s">
        <v>296</v>
      </c>
      <c r="E129" s="49" t="s">
        <v>41</v>
      </c>
      <c r="F129" s="50">
        <v>9</v>
      </c>
      <c r="G129" s="45" t="s">
        <v>128</v>
      </c>
      <c r="H129" s="42">
        <v>9</v>
      </c>
      <c r="I129" s="20">
        <v>13.55</v>
      </c>
      <c r="J129" s="20">
        <f t="shared" si="2"/>
        <v>121.95</v>
      </c>
      <c r="K129" s="50">
        <v>4680</v>
      </c>
      <c r="L129" s="47">
        <f t="shared" si="3"/>
        <v>1.9230769230769232E-3</v>
      </c>
      <c r="M129" s="46" t="s">
        <v>279</v>
      </c>
    </row>
    <row r="130" spans="1:13" ht="21" customHeight="1" x14ac:dyDescent="0.25">
      <c r="A130" s="55">
        <v>45785</v>
      </c>
      <c r="B130" s="49" t="s">
        <v>276</v>
      </c>
      <c r="C130" s="49" t="s">
        <v>489</v>
      </c>
      <c r="D130" s="49" t="s">
        <v>296</v>
      </c>
      <c r="E130" s="49" t="s">
        <v>41</v>
      </c>
      <c r="F130" s="50">
        <v>8</v>
      </c>
      <c r="G130" s="45" t="s">
        <v>128</v>
      </c>
      <c r="H130" s="42">
        <v>8</v>
      </c>
      <c r="I130" s="20">
        <v>13.55</v>
      </c>
      <c r="J130" s="20">
        <f t="shared" ref="J130:J193" si="4">H130*I130</f>
        <v>108.4</v>
      </c>
      <c r="K130" s="50">
        <v>2496</v>
      </c>
      <c r="L130" s="47">
        <f t="shared" ref="L130:L193" si="5">F130/K130</f>
        <v>3.205128205128205E-3</v>
      </c>
      <c r="M130" s="46" t="s">
        <v>279</v>
      </c>
    </row>
    <row r="131" spans="1:13" ht="21" customHeight="1" x14ac:dyDescent="0.25">
      <c r="A131" s="55">
        <v>45796</v>
      </c>
      <c r="B131" s="49" t="s">
        <v>276</v>
      </c>
      <c r="C131" s="49" t="s">
        <v>489</v>
      </c>
      <c r="D131" s="49" t="s">
        <v>296</v>
      </c>
      <c r="E131" s="49" t="s">
        <v>41</v>
      </c>
      <c r="F131" s="50">
        <v>5</v>
      </c>
      <c r="G131" s="45" t="s">
        <v>128</v>
      </c>
      <c r="H131" s="50">
        <v>5</v>
      </c>
      <c r="I131" s="20">
        <v>13.55</v>
      </c>
      <c r="J131" s="20">
        <f t="shared" si="4"/>
        <v>67.75</v>
      </c>
      <c r="K131" s="50">
        <v>1768</v>
      </c>
      <c r="L131" s="47">
        <f t="shared" si="5"/>
        <v>2.8280542986425339E-3</v>
      </c>
      <c r="M131" s="46" t="s">
        <v>279</v>
      </c>
    </row>
    <row r="132" spans="1:13" ht="21" customHeight="1" x14ac:dyDescent="0.25">
      <c r="A132" s="55">
        <v>45806</v>
      </c>
      <c r="B132" s="49" t="s">
        <v>276</v>
      </c>
      <c r="C132" s="49" t="s">
        <v>489</v>
      </c>
      <c r="D132" s="49" t="s">
        <v>296</v>
      </c>
      <c r="E132" s="49" t="s">
        <v>41</v>
      </c>
      <c r="F132" s="50">
        <v>3</v>
      </c>
      <c r="G132" s="45" t="s">
        <v>128</v>
      </c>
      <c r="H132" s="42">
        <v>3</v>
      </c>
      <c r="I132" s="20">
        <v>13.55</v>
      </c>
      <c r="J132" s="20">
        <f t="shared" si="4"/>
        <v>40.650000000000006</v>
      </c>
      <c r="K132" s="50">
        <v>2184</v>
      </c>
      <c r="L132" s="47">
        <f t="shared" si="5"/>
        <v>1.3736263736263737E-3</v>
      </c>
      <c r="M132" s="46" t="s">
        <v>279</v>
      </c>
    </row>
    <row r="133" spans="1:13" ht="21" customHeight="1" x14ac:dyDescent="0.25">
      <c r="A133" s="55">
        <v>45793</v>
      </c>
      <c r="B133" s="49" t="s">
        <v>276</v>
      </c>
      <c r="C133" s="49" t="s">
        <v>489</v>
      </c>
      <c r="D133" s="49" t="s">
        <v>305</v>
      </c>
      <c r="E133" s="49" t="s">
        <v>41</v>
      </c>
      <c r="F133" s="50">
        <v>15</v>
      </c>
      <c r="G133" s="45" t="s">
        <v>128</v>
      </c>
      <c r="H133" s="42">
        <v>15</v>
      </c>
      <c r="I133" s="20">
        <v>13.55</v>
      </c>
      <c r="J133" s="20">
        <f t="shared" si="4"/>
        <v>203.25</v>
      </c>
      <c r="K133" s="50">
        <v>208</v>
      </c>
      <c r="L133" s="47">
        <f t="shared" si="5"/>
        <v>7.2115384615384609E-2</v>
      </c>
      <c r="M133" s="46" t="s">
        <v>279</v>
      </c>
    </row>
    <row r="134" spans="1:13" ht="21" customHeight="1" x14ac:dyDescent="0.25">
      <c r="A134" s="55">
        <v>45792</v>
      </c>
      <c r="B134" s="49" t="s">
        <v>276</v>
      </c>
      <c r="C134" s="49" t="s">
        <v>489</v>
      </c>
      <c r="D134" s="49" t="s">
        <v>305</v>
      </c>
      <c r="E134" s="49" t="s">
        <v>41</v>
      </c>
      <c r="F134" s="50">
        <v>14</v>
      </c>
      <c r="G134" s="45" t="s">
        <v>128</v>
      </c>
      <c r="H134" s="42">
        <v>14</v>
      </c>
      <c r="I134" s="20">
        <v>13.55</v>
      </c>
      <c r="J134" s="20">
        <f t="shared" si="4"/>
        <v>189.70000000000002</v>
      </c>
      <c r="K134" s="50">
        <v>1872</v>
      </c>
      <c r="L134" s="47">
        <f t="shared" si="5"/>
        <v>7.478632478632479E-3</v>
      </c>
      <c r="M134" s="46" t="s">
        <v>279</v>
      </c>
    </row>
    <row r="135" spans="1:13" ht="21" customHeight="1" x14ac:dyDescent="0.25">
      <c r="A135" s="55">
        <v>45797</v>
      </c>
      <c r="B135" s="49" t="s">
        <v>265</v>
      </c>
      <c r="C135" s="49" t="s">
        <v>489</v>
      </c>
      <c r="D135" s="49" t="s">
        <v>362</v>
      </c>
      <c r="E135" s="49" t="s">
        <v>471</v>
      </c>
      <c r="F135" s="50">
        <v>80</v>
      </c>
      <c r="G135" s="52" t="s">
        <v>128</v>
      </c>
      <c r="H135" s="42">
        <v>80</v>
      </c>
      <c r="I135" s="20">
        <v>2.1960000000000002</v>
      </c>
      <c r="J135" s="20">
        <f t="shared" si="4"/>
        <v>175.68</v>
      </c>
      <c r="K135" s="50">
        <v>4600</v>
      </c>
      <c r="L135" s="47">
        <f t="shared" si="5"/>
        <v>1.7391304347826087E-2</v>
      </c>
      <c r="M135" s="54"/>
    </row>
    <row r="136" spans="1:13" ht="21" customHeight="1" x14ac:dyDescent="0.25">
      <c r="A136" s="55">
        <v>45782</v>
      </c>
      <c r="B136" s="49" t="s">
        <v>276</v>
      </c>
      <c r="C136" s="49" t="s">
        <v>489</v>
      </c>
      <c r="D136" s="49" t="s">
        <v>283</v>
      </c>
      <c r="E136" s="10" t="s">
        <v>101</v>
      </c>
      <c r="F136" s="50">
        <v>202</v>
      </c>
      <c r="G136" s="45" t="s">
        <v>128</v>
      </c>
      <c r="H136" s="42">
        <f>F136</f>
        <v>202</v>
      </c>
      <c r="I136" s="9">
        <v>14.52</v>
      </c>
      <c r="J136" s="20">
        <f t="shared" si="4"/>
        <v>2933.04</v>
      </c>
      <c r="K136" s="50">
        <f>700+1650</f>
        <v>2350</v>
      </c>
      <c r="L136" s="47">
        <f t="shared" si="5"/>
        <v>8.595744680851064E-2</v>
      </c>
      <c r="M136" s="46" t="s">
        <v>290</v>
      </c>
    </row>
    <row r="137" spans="1:13" ht="21" customHeight="1" x14ac:dyDescent="0.25">
      <c r="A137" s="55">
        <v>45793</v>
      </c>
      <c r="B137" s="49" t="s">
        <v>276</v>
      </c>
      <c r="C137" s="49" t="s">
        <v>489</v>
      </c>
      <c r="D137" s="49" t="s">
        <v>283</v>
      </c>
      <c r="E137" s="10" t="s">
        <v>101</v>
      </c>
      <c r="F137" s="50">
        <v>21</v>
      </c>
      <c r="G137" s="45" t="s">
        <v>128</v>
      </c>
      <c r="H137" s="42">
        <v>21</v>
      </c>
      <c r="I137" s="9">
        <v>14.52</v>
      </c>
      <c r="J137" s="20">
        <f t="shared" si="4"/>
        <v>304.92</v>
      </c>
      <c r="K137" s="50">
        <v>1200</v>
      </c>
      <c r="L137" s="47">
        <f t="shared" si="5"/>
        <v>1.7500000000000002E-2</v>
      </c>
      <c r="M137" s="46" t="s">
        <v>290</v>
      </c>
    </row>
    <row r="138" spans="1:13" ht="21" customHeight="1" x14ac:dyDescent="0.25">
      <c r="A138" s="55">
        <v>45796</v>
      </c>
      <c r="B138" s="49" t="s">
        <v>276</v>
      </c>
      <c r="C138" s="49" t="s">
        <v>489</v>
      </c>
      <c r="D138" s="49" t="s">
        <v>283</v>
      </c>
      <c r="E138" s="10" t="s">
        <v>101</v>
      </c>
      <c r="F138" s="50">
        <v>17</v>
      </c>
      <c r="G138" s="45" t="s">
        <v>128</v>
      </c>
      <c r="H138" s="50">
        <v>17</v>
      </c>
      <c r="I138" s="9">
        <v>14.52</v>
      </c>
      <c r="J138" s="20">
        <f t="shared" si="4"/>
        <v>246.84</v>
      </c>
      <c r="K138" s="50">
        <v>2400</v>
      </c>
      <c r="L138" s="47">
        <f t="shared" si="5"/>
        <v>7.083333333333333E-3</v>
      </c>
      <c r="M138" s="46" t="s">
        <v>290</v>
      </c>
    </row>
    <row r="139" spans="1:13" ht="21" customHeight="1" x14ac:dyDescent="0.25">
      <c r="A139" s="55">
        <v>45786</v>
      </c>
      <c r="B139" s="51" t="s">
        <v>265</v>
      </c>
      <c r="C139" s="49" t="s">
        <v>488</v>
      </c>
      <c r="D139" s="49" t="s">
        <v>297</v>
      </c>
      <c r="E139" s="49" t="s">
        <v>351</v>
      </c>
      <c r="F139" s="50">
        <v>116</v>
      </c>
      <c r="G139" s="45" t="s">
        <v>128</v>
      </c>
      <c r="H139" s="42">
        <v>116</v>
      </c>
      <c r="I139" s="20">
        <v>23</v>
      </c>
      <c r="J139" s="20">
        <f t="shared" si="4"/>
        <v>2668</v>
      </c>
      <c r="K139" s="50">
        <v>1872</v>
      </c>
      <c r="L139" s="47">
        <f t="shared" si="5"/>
        <v>6.1965811965811968E-2</v>
      </c>
      <c r="M139" s="54" t="s">
        <v>324</v>
      </c>
    </row>
    <row r="140" spans="1:13" ht="21" customHeight="1" x14ac:dyDescent="0.25">
      <c r="A140" s="55">
        <v>45799</v>
      </c>
      <c r="B140" s="51" t="s">
        <v>265</v>
      </c>
      <c r="C140" s="49" t="s">
        <v>488</v>
      </c>
      <c r="D140" s="49" t="s">
        <v>297</v>
      </c>
      <c r="E140" s="49" t="s">
        <v>350</v>
      </c>
      <c r="F140" s="50">
        <v>80</v>
      </c>
      <c r="G140" s="45" t="s">
        <v>128</v>
      </c>
      <c r="H140" s="42">
        <v>80</v>
      </c>
      <c r="I140" s="20">
        <v>23</v>
      </c>
      <c r="J140" s="20">
        <f t="shared" si="4"/>
        <v>1840</v>
      </c>
      <c r="K140" s="50">
        <v>1872</v>
      </c>
      <c r="L140" s="47">
        <f t="shared" si="5"/>
        <v>4.2735042735042736E-2</v>
      </c>
      <c r="M140" s="54" t="s">
        <v>324</v>
      </c>
    </row>
    <row r="141" spans="1:13" ht="21" customHeight="1" x14ac:dyDescent="0.25">
      <c r="A141" s="55">
        <v>45795</v>
      </c>
      <c r="B141" s="51" t="s">
        <v>265</v>
      </c>
      <c r="C141" s="49" t="s">
        <v>488</v>
      </c>
      <c r="D141" s="49" t="s">
        <v>297</v>
      </c>
      <c r="E141" s="49" t="s">
        <v>351</v>
      </c>
      <c r="F141" s="50">
        <v>66</v>
      </c>
      <c r="G141" s="45" t="s">
        <v>128</v>
      </c>
      <c r="H141" s="50">
        <v>66</v>
      </c>
      <c r="I141" s="20">
        <v>23</v>
      </c>
      <c r="J141" s="20">
        <f t="shared" si="4"/>
        <v>1518</v>
      </c>
      <c r="K141" s="50">
        <v>1296</v>
      </c>
      <c r="L141" s="47">
        <f t="shared" si="5"/>
        <v>5.0925925925925923E-2</v>
      </c>
      <c r="M141" s="54" t="s">
        <v>324</v>
      </c>
    </row>
    <row r="142" spans="1:13" ht="21" customHeight="1" x14ac:dyDescent="0.25">
      <c r="A142" s="55">
        <v>45785</v>
      </c>
      <c r="B142" s="51" t="s">
        <v>265</v>
      </c>
      <c r="C142" s="49" t="s">
        <v>488</v>
      </c>
      <c r="D142" s="49" t="s">
        <v>297</v>
      </c>
      <c r="E142" s="49" t="s">
        <v>351</v>
      </c>
      <c r="F142" s="50">
        <v>51</v>
      </c>
      <c r="G142" s="45" t="s">
        <v>128</v>
      </c>
      <c r="H142" s="42">
        <v>51</v>
      </c>
      <c r="I142" s="20">
        <v>23</v>
      </c>
      <c r="J142" s="20">
        <f t="shared" si="4"/>
        <v>1173</v>
      </c>
      <c r="K142" s="50">
        <v>432</v>
      </c>
      <c r="L142" s="47">
        <f t="shared" si="5"/>
        <v>0.11805555555555555</v>
      </c>
      <c r="M142" s="54" t="s">
        <v>324</v>
      </c>
    </row>
    <row r="143" spans="1:13" ht="21" customHeight="1" x14ac:dyDescent="0.25">
      <c r="A143" s="55">
        <v>45798</v>
      </c>
      <c r="B143" s="51" t="s">
        <v>265</v>
      </c>
      <c r="C143" s="49" t="s">
        <v>488</v>
      </c>
      <c r="D143" s="49" t="s">
        <v>297</v>
      </c>
      <c r="E143" s="49" t="s">
        <v>351</v>
      </c>
      <c r="F143" s="50">
        <v>50</v>
      </c>
      <c r="G143" s="45" t="s">
        <v>128</v>
      </c>
      <c r="H143" s="42">
        <v>50</v>
      </c>
      <c r="I143" s="20">
        <v>23</v>
      </c>
      <c r="J143" s="20">
        <f t="shared" si="4"/>
        <v>1150</v>
      </c>
      <c r="K143" s="50">
        <v>1872</v>
      </c>
      <c r="L143" s="47">
        <f t="shared" si="5"/>
        <v>2.6709401709401708E-2</v>
      </c>
      <c r="M143" s="54" t="s">
        <v>324</v>
      </c>
    </row>
    <row r="144" spans="1:13" ht="21" customHeight="1" x14ac:dyDescent="0.25">
      <c r="A144" s="55">
        <v>45805</v>
      </c>
      <c r="B144" s="51" t="s">
        <v>265</v>
      </c>
      <c r="C144" s="49" t="s">
        <v>488</v>
      </c>
      <c r="D144" s="49" t="s">
        <v>297</v>
      </c>
      <c r="E144" s="49" t="s">
        <v>350</v>
      </c>
      <c r="F144" s="50">
        <v>41</v>
      </c>
      <c r="G144" s="45" t="s">
        <v>128</v>
      </c>
      <c r="H144" s="42">
        <v>41</v>
      </c>
      <c r="I144" s="20">
        <v>23</v>
      </c>
      <c r="J144" s="20">
        <f t="shared" si="4"/>
        <v>943</v>
      </c>
      <c r="K144" s="50">
        <v>2304</v>
      </c>
      <c r="L144" s="47">
        <f t="shared" si="5"/>
        <v>1.7795138888888888E-2</v>
      </c>
      <c r="M144" s="54" t="s">
        <v>324</v>
      </c>
    </row>
    <row r="145" spans="1:13" ht="21" customHeight="1" x14ac:dyDescent="0.25">
      <c r="A145" s="55">
        <v>45789</v>
      </c>
      <c r="B145" s="51" t="s">
        <v>265</v>
      </c>
      <c r="C145" s="49" t="s">
        <v>488</v>
      </c>
      <c r="D145" s="49" t="s">
        <v>297</v>
      </c>
      <c r="E145" s="49" t="s">
        <v>351</v>
      </c>
      <c r="F145" s="50">
        <v>40</v>
      </c>
      <c r="G145" s="45" t="s">
        <v>128</v>
      </c>
      <c r="H145" s="42">
        <v>40</v>
      </c>
      <c r="I145" s="20">
        <v>23</v>
      </c>
      <c r="J145" s="20">
        <f t="shared" si="4"/>
        <v>920</v>
      </c>
      <c r="K145" s="50">
        <v>1444</v>
      </c>
      <c r="L145" s="47">
        <f t="shared" si="5"/>
        <v>2.7700831024930747E-2</v>
      </c>
      <c r="M145" s="54" t="s">
        <v>324</v>
      </c>
    </row>
    <row r="146" spans="1:13" ht="21" customHeight="1" x14ac:dyDescent="0.25">
      <c r="A146" s="55">
        <v>45790</v>
      </c>
      <c r="B146" s="51" t="s">
        <v>265</v>
      </c>
      <c r="C146" s="49" t="s">
        <v>488</v>
      </c>
      <c r="D146" s="49" t="s">
        <v>297</v>
      </c>
      <c r="E146" s="49" t="s">
        <v>351</v>
      </c>
      <c r="F146" s="50">
        <v>40</v>
      </c>
      <c r="G146" s="45" t="s">
        <v>128</v>
      </c>
      <c r="H146" s="42">
        <v>40</v>
      </c>
      <c r="I146" s="20">
        <v>23</v>
      </c>
      <c r="J146" s="20">
        <f t="shared" si="4"/>
        <v>920</v>
      </c>
      <c r="K146" s="50">
        <v>1444</v>
      </c>
      <c r="L146" s="47">
        <f t="shared" si="5"/>
        <v>2.7700831024930747E-2</v>
      </c>
      <c r="M146" s="54" t="s">
        <v>324</v>
      </c>
    </row>
    <row r="147" spans="1:13" ht="21" customHeight="1" x14ac:dyDescent="0.25">
      <c r="A147" s="55">
        <v>45804</v>
      </c>
      <c r="B147" s="51" t="s">
        <v>265</v>
      </c>
      <c r="C147" s="49" t="s">
        <v>488</v>
      </c>
      <c r="D147" s="49" t="s">
        <v>297</v>
      </c>
      <c r="E147" s="49" t="s">
        <v>350</v>
      </c>
      <c r="F147" s="50">
        <v>25</v>
      </c>
      <c r="G147" s="45" t="s">
        <v>128</v>
      </c>
      <c r="H147" s="42">
        <v>25</v>
      </c>
      <c r="I147" s="20">
        <v>23</v>
      </c>
      <c r="J147" s="20">
        <f t="shared" si="4"/>
        <v>575</v>
      </c>
      <c r="K147" s="50">
        <v>720</v>
      </c>
      <c r="L147" s="47">
        <f t="shared" si="5"/>
        <v>3.4722222222222224E-2</v>
      </c>
      <c r="M147" s="54" t="s">
        <v>324</v>
      </c>
    </row>
    <row r="148" spans="1:13" ht="21" customHeight="1" x14ac:dyDescent="0.25">
      <c r="A148" s="55">
        <v>45791</v>
      </c>
      <c r="B148" s="51" t="s">
        <v>265</v>
      </c>
      <c r="C148" s="49" t="s">
        <v>488</v>
      </c>
      <c r="D148" s="49" t="s">
        <v>297</v>
      </c>
      <c r="E148" s="49" t="s">
        <v>351</v>
      </c>
      <c r="F148" s="50">
        <v>14</v>
      </c>
      <c r="G148" s="45" t="s">
        <v>128</v>
      </c>
      <c r="H148" s="42">
        <v>14</v>
      </c>
      <c r="I148" s="20">
        <v>23</v>
      </c>
      <c r="J148" s="20">
        <f t="shared" si="4"/>
        <v>322</v>
      </c>
      <c r="K148" s="50">
        <v>720</v>
      </c>
      <c r="L148" s="47">
        <f t="shared" si="5"/>
        <v>1.9444444444444445E-2</v>
      </c>
      <c r="M148" s="54" t="s">
        <v>324</v>
      </c>
    </row>
    <row r="149" spans="1:13" ht="21" customHeight="1" x14ac:dyDescent="0.25">
      <c r="A149" s="55">
        <v>45794</v>
      </c>
      <c r="B149" s="51" t="s">
        <v>265</v>
      </c>
      <c r="C149" s="49" t="s">
        <v>488</v>
      </c>
      <c r="D149" s="49" t="s">
        <v>297</v>
      </c>
      <c r="E149" s="49" t="s">
        <v>351</v>
      </c>
      <c r="F149" s="50">
        <v>14</v>
      </c>
      <c r="G149" s="45" t="s">
        <v>128</v>
      </c>
      <c r="H149" s="42">
        <v>14</v>
      </c>
      <c r="I149" s="20">
        <v>23</v>
      </c>
      <c r="J149" s="20">
        <f t="shared" si="4"/>
        <v>322</v>
      </c>
      <c r="K149" s="50">
        <v>576</v>
      </c>
      <c r="L149" s="47">
        <f t="shared" si="5"/>
        <v>2.4305555555555556E-2</v>
      </c>
      <c r="M149" s="54" t="s">
        <v>324</v>
      </c>
    </row>
    <row r="150" spans="1:13" ht="21" customHeight="1" x14ac:dyDescent="0.25">
      <c r="A150" s="55">
        <v>45787</v>
      </c>
      <c r="B150" s="51" t="s">
        <v>265</v>
      </c>
      <c r="C150" s="49" t="s">
        <v>488</v>
      </c>
      <c r="D150" s="49" t="s">
        <v>297</v>
      </c>
      <c r="E150" s="49" t="s">
        <v>351</v>
      </c>
      <c r="F150" s="50">
        <v>7</v>
      </c>
      <c r="G150" s="45" t="s">
        <v>128</v>
      </c>
      <c r="H150" s="50">
        <v>7</v>
      </c>
      <c r="I150" s="20">
        <v>23</v>
      </c>
      <c r="J150" s="20">
        <f t="shared" si="4"/>
        <v>161</v>
      </c>
      <c r="K150" s="50">
        <v>144</v>
      </c>
      <c r="L150" s="47">
        <f t="shared" si="5"/>
        <v>4.8611111111111112E-2</v>
      </c>
      <c r="M150" s="54" t="s">
        <v>324</v>
      </c>
    </row>
    <row r="151" spans="1:13" ht="21" customHeight="1" x14ac:dyDescent="0.25">
      <c r="A151" s="55">
        <v>45806</v>
      </c>
      <c r="B151" s="51" t="s">
        <v>265</v>
      </c>
      <c r="C151" s="49" t="s">
        <v>488</v>
      </c>
      <c r="D151" s="49" t="s">
        <v>297</v>
      </c>
      <c r="E151" s="49" t="s">
        <v>350</v>
      </c>
      <c r="F151" s="50">
        <v>6</v>
      </c>
      <c r="G151" s="45" t="s">
        <v>128</v>
      </c>
      <c r="H151" s="42">
        <v>6</v>
      </c>
      <c r="I151" s="20">
        <v>23</v>
      </c>
      <c r="J151" s="20">
        <f t="shared" si="4"/>
        <v>138</v>
      </c>
      <c r="K151" s="50">
        <v>288</v>
      </c>
      <c r="L151" s="47">
        <f t="shared" si="5"/>
        <v>2.0833333333333332E-2</v>
      </c>
      <c r="M151" s="54" t="s">
        <v>324</v>
      </c>
    </row>
    <row r="152" spans="1:13" ht="21" customHeight="1" x14ac:dyDescent="0.25">
      <c r="A152" s="55">
        <v>45789</v>
      </c>
      <c r="B152" s="51" t="s">
        <v>276</v>
      </c>
      <c r="C152" s="49" t="s">
        <v>488</v>
      </c>
      <c r="D152" s="49" t="s">
        <v>294</v>
      </c>
      <c r="E152" s="49" t="s">
        <v>353</v>
      </c>
      <c r="F152" s="50">
        <f>110+39</f>
        <v>149</v>
      </c>
      <c r="G152" s="45" t="s">
        <v>128</v>
      </c>
      <c r="H152" s="42">
        <v>149</v>
      </c>
      <c r="I152" s="20">
        <v>8.5</v>
      </c>
      <c r="J152" s="20">
        <f t="shared" si="4"/>
        <v>1266.5</v>
      </c>
      <c r="K152" s="50">
        <v>654</v>
      </c>
      <c r="L152" s="47">
        <f t="shared" si="5"/>
        <v>0.22782874617737003</v>
      </c>
      <c r="M152" s="46" t="s">
        <v>278</v>
      </c>
    </row>
    <row r="153" spans="1:13" ht="21" customHeight="1" x14ac:dyDescent="0.25">
      <c r="A153" s="55">
        <v>45790</v>
      </c>
      <c r="B153" s="51" t="s">
        <v>276</v>
      </c>
      <c r="C153" s="49" t="s">
        <v>488</v>
      </c>
      <c r="D153" s="49" t="s">
        <v>294</v>
      </c>
      <c r="E153" s="49" t="s">
        <v>353</v>
      </c>
      <c r="F153" s="50">
        <f>110+39</f>
        <v>149</v>
      </c>
      <c r="G153" s="45" t="s">
        <v>128</v>
      </c>
      <c r="H153" s="42">
        <v>149</v>
      </c>
      <c r="I153" s="20">
        <v>8.5</v>
      </c>
      <c r="J153" s="20">
        <f t="shared" si="4"/>
        <v>1266.5</v>
      </c>
      <c r="K153" s="50">
        <v>654</v>
      </c>
      <c r="L153" s="47">
        <f t="shared" si="5"/>
        <v>0.22782874617737003</v>
      </c>
      <c r="M153" s="46" t="s">
        <v>278</v>
      </c>
    </row>
    <row r="154" spans="1:13" ht="21" customHeight="1" x14ac:dyDescent="0.25">
      <c r="A154" s="55">
        <v>45785</v>
      </c>
      <c r="B154" s="51" t="s">
        <v>276</v>
      </c>
      <c r="C154" s="49" t="s">
        <v>488</v>
      </c>
      <c r="D154" s="49" t="s">
        <v>294</v>
      </c>
      <c r="E154" s="49" t="s">
        <v>353</v>
      </c>
      <c r="F154" s="50">
        <f>76+20</f>
        <v>96</v>
      </c>
      <c r="G154" s="45" t="s">
        <v>128</v>
      </c>
      <c r="H154" s="42">
        <v>96</v>
      </c>
      <c r="I154" s="20">
        <v>8.5</v>
      </c>
      <c r="J154" s="20">
        <f t="shared" si="4"/>
        <v>816</v>
      </c>
      <c r="K154" s="50">
        <v>1120</v>
      </c>
      <c r="L154" s="47">
        <f t="shared" si="5"/>
        <v>8.5714285714285715E-2</v>
      </c>
      <c r="M154" s="46" t="s">
        <v>278</v>
      </c>
    </row>
    <row r="155" spans="1:13" ht="21" customHeight="1" x14ac:dyDescent="0.25">
      <c r="A155" s="55">
        <v>45787</v>
      </c>
      <c r="B155" s="51" t="s">
        <v>276</v>
      </c>
      <c r="C155" s="49" t="s">
        <v>488</v>
      </c>
      <c r="D155" s="49" t="s">
        <v>294</v>
      </c>
      <c r="E155" s="49" t="s">
        <v>353</v>
      </c>
      <c r="F155" s="50">
        <v>60</v>
      </c>
      <c r="G155" s="45" t="s">
        <v>128</v>
      </c>
      <c r="H155" s="50">
        <v>60</v>
      </c>
      <c r="I155" s="20">
        <v>8.5</v>
      </c>
      <c r="J155" s="20">
        <f t="shared" si="4"/>
        <v>510</v>
      </c>
      <c r="K155" s="50">
        <v>224</v>
      </c>
      <c r="L155" s="47">
        <f t="shared" si="5"/>
        <v>0.26785714285714285</v>
      </c>
      <c r="M155" s="46" t="s">
        <v>278</v>
      </c>
    </row>
    <row r="156" spans="1:13" ht="21" customHeight="1" x14ac:dyDescent="0.25">
      <c r="A156" s="55">
        <v>45786</v>
      </c>
      <c r="B156" s="51" t="s">
        <v>276</v>
      </c>
      <c r="C156" s="49" t="s">
        <v>488</v>
      </c>
      <c r="D156" s="49" t="s">
        <v>294</v>
      </c>
      <c r="E156" s="49" t="s">
        <v>353</v>
      </c>
      <c r="F156" s="50">
        <v>50</v>
      </c>
      <c r="G156" s="45" t="s">
        <v>128</v>
      </c>
      <c r="H156" s="42">
        <v>50</v>
      </c>
      <c r="I156" s="20">
        <v>8.5</v>
      </c>
      <c r="J156" s="20">
        <f t="shared" si="4"/>
        <v>425</v>
      </c>
      <c r="K156" s="50">
        <v>1120</v>
      </c>
      <c r="L156" s="47">
        <f t="shared" si="5"/>
        <v>4.4642857142857144E-2</v>
      </c>
      <c r="M156" s="46" t="s">
        <v>278</v>
      </c>
    </row>
    <row r="157" spans="1:13" ht="21" customHeight="1" x14ac:dyDescent="0.25">
      <c r="A157" s="55">
        <v>45798</v>
      </c>
      <c r="B157" s="51" t="s">
        <v>276</v>
      </c>
      <c r="C157" s="49" t="s">
        <v>488</v>
      </c>
      <c r="D157" s="49" t="s">
        <v>294</v>
      </c>
      <c r="E157" s="49" t="s">
        <v>352</v>
      </c>
      <c r="F157" s="50">
        <v>50</v>
      </c>
      <c r="G157" s="45" t="s">
        <v>128</v>
      </c>
      <c r="H157" s="42">
        <v>50</v>
      </c>
      <c r="I157" s="20">
        <v>8.5</v>
      </c>
      <c r="J157" s="20">
        <f t="shared" si="4"/>
        <v>425</v>
      </c>
      <c r="K157" s="50">
        <v>1344</v>
      </c>
      <c r="L157" s="47">
        <f t="shared" si="5"/>
        <v>3.7202380952380952E-2</v>
      </c>
      <c r="M157" s="46" t="s">
        <v>278</v>
      </c>
    </row>
    <row r="158" spans="1:13" ht="21" customHeight="1" x14ac:dyDescent="0.25">
      <c r="A158" s="55">
        <v>45784</v>
      </c>
      <c r="B158" s="51" t="s">
        <v>276</v>
      </c>
      <c r="C158" s="49" t="s">
        <v>488</v>
      </c>
      <c r="D158" s="49" t="s">
        <v>294</v>
      </c>
      <c r="E158" s="49" t="s">
        <v>353</v>
      </c>
      <c r="F158" s="50">
        <f>35+11</f>
        <v>46</v>
      </c>
      <c r="G158" s="45" t="s">
        <v>128</v>
      </c>
      <c r="H158" s="50">
        <f>35+11</f>
        <v>46</v>
      </c>
      <c r="I158" s="20">
        <v>8.5</v>
      </c>
      <c r="J158" s="20">
        <f t="shared" si="4"/>
        <v>391</v>
      </c>
      <c r="K158" s="50">
        <v>896</v>
      </c>
      <c r="L158" s="47">
        <f t="shared" si="5"/>
        <v>5.1339285714285712E-2</v>
      </c>
      <c r="M158" s="46" t="s">
        <v>278</v>
      </c>
    </row>
    <row r="159" spans="1:13" ht="21" customHeight="1" x14ac:dyDescent="0.25">
      <c r="A159" s="55">
        <v>45797</v>
      </c>
      <c r="B159" s="51" t="s">
        <v>276</v>
      </c>
      <c r="C159" s="49" t="s">
        <v>488</v>
      </c>
      <c r="D159" s="49" t="s">
        <v>294</v>
      </c>
      <c r="E159" s="49" t="s">
        <v>353</v>
      </c>
      <c r="F159" s="50">
        <v>42</v>
      </c>
      <c r="G159" s="45" t="s">
        <v>128</v>
      </c>
      <c r="H159" s="42">
        <v>42</v>
      </c>
      <c r="I159" s="20">
        <v>8.5</v>
      </c>
      <c r="J159" s="20">
        <f t="shared" si="4"/>
        <v>357</v>
      </c>
      <c r="K159" s="50">
        <v>1344</v>
      </c>
      <c r="L159" s="47">
        <f t="shared" si="5"/>
        <v>3.125E-2</v>
      </c>
      <c r="M159" s="46" t="s">
        <v>278</v>
      </c>
    </row>
    <row r="160" spans="1:13" ht="21" customHeight="1" x14ac:dyDescent="0.25">
      <c r="A160" s="55">
        <v>45803</v>
      </c>
      <c r="B160" s="51" t="s">
        <v>276</v>
      </c>
      <c r="C160" s="49" t="s">
        <v>488</v>
      </c>
      <c r="D160" s="49" t="s">
        <v>294</v>
      </c>
      <c r="E160" s="49" t="s">
        <v>352</v>
      </c>
      <c r="F160" s="50">
        <v>29</v>
      </c>
      <c r="G160" s="45" t="s">
        <v>128</v>
      </c>
      <c r="H160" s="42">
        <v>29</v>
      </c>
      <c r="I160" s="20">
        <v>8.5</v>
      </c>
      <c r="J160" s="20">
        <f t="shared" si="4"/>
        <v>246.5</v>
      </c>
      <c r="K160" s="50">
        <v>896</v>
      </c>
      <c r="L160" s="47">
        <f t="shared" si="5"/>
        <v>3.2366071428571432E-2</v>
      </c>
      <c r="M160" s="46" t="s">
        <v>278</v>
      </c>
    </row>
    <row r="161" spans="1:13" ht="21" customHeight="1" x14ac:dyDescent="0.25">
      <c r="A161" s="55">
        <v>45796</v>
      </c>
      <c r="B161" s="51" t="s">
        <v>276</v>
      </c>
      <c r="C161" s="49" t="s">
        <v>488</v>
      </c>
      <c r="D161" s="49" t="s">
        <v>294</v>
      </c>
      <c r="E161" s="49" t="s">
        <v>353</v>
      </c>
      <c r="F161" s="50">
        <v>25</v>
      </c>
      <c r="G161" s="45" t="s">
        <v>128</v>
      </c>
      <c r="H161" s="42">
        <v>25</v>
      </c>
      <c r="I161" s="20">
        <v>8.5</v>
      </c>
      <c r="J161" s="20">
        <f t="shared" si="4"/>
        <v>212.5</v>
      </c>
      <c r="K161" s="50">
        <v>1120</v>
      </c>
      <c r="L161" s="47">
        <f t="shared" si="5"/>
        <v>2.2321428571428572E-2</v>
      </c>
      <c r="M161" s="46" t="s">
        <v>278</v>
      </c>
    </row>
    <row r="162" spans="1:13" ht="21" customHeight="1" x14ac:dyDescent="0.25">
      <c r="A162" s="55">
        <v>45799</v>
      </c>
      <c r="B162" s="51" t="s">
        <v>276</v>
      </c>
      <c r="C162" s="49" t="s">
        <v>488</v>
      </c>
      <c r="D162" s="49" t="s">
        <v>294</v>
      </c>
      <c r="E162" s="49" t="s">
        <v>352</v>
      </c>
      <c r="F162" s="50">
        <v>22</v>
      </c>
      <c r="G162" s="45" t="s">
        <v>128</v>
      </c>
      <c r="H162" s="42">
        <v>22</v>
      </c>
      <c r="I162" s="20">
        <v>8.5</v>
      </c>
      <c r="J162" s="20">
        <f t="shared" si="4"/>
        <v>187</v>
      </c>
      <c r="K162" s="50">
        <v>672</v>
      </c>
      <c r="L162" s="47">
        <f t="shared" si="5"/>
        <v>3.273809523809524E-2</v>
      </c>
      <c r="M162" s="46" t="s">
        <v>278</v>
      </c>
    </row>
    <row r="163" spans="1:13" ht="21" customHeight="1" x14ac:dyDescent="0.25">
      <c r="A163" s="55">
        <v>45802</v>
      </c>
      <c r="B163" s="51" t="s">
        <v>276</v>
      </c>
      <c r="C163" s="49" t="s">
        <v>488</v>
      </c>
      <c r="D163" s="49" t="s">
        <v>294</v>
      </c>
      <c r="E163" s="49" t="s">
        <v>352</v>
      </c>
      <c r="F163" s="50">
        <v>15</v>
      </c>
      <c r="G163" s="45" t="s">
        <v>128</v>
      </c>
      <c r="H163" s="42">
        <v>15</v>
      </c>
      <c r="I163" s="20">
        <v>8.5</v>
      </c>
      <c r="J163" s="20">
        <f t="shared" si="4"/>
        <v>127.5</v>
      </c>
      <c r="K163" s="50">
        <v>1344</v>
      </c>
      <c r="L163" s="47">
        <f t="shared" si="5"/>
        <v>1.1160714285714286E-2</v>
      </c>
      <c r="M163" s="46" t="s">
        <v>278</v>
      </c>
    </row>
    <row r="164" spans="1:13" ht="21" customHeight="1" x14ac:dyDescent="0.25">
      <c r="A164" s="55">
        <v>45791</v>
      </c>
      <c r="B164" s="51" t="s">
        <v>276</v>
      </c>
      <c r="C164" s="49" t="s">
        <v>488</v>
      </c>
      <c r="D164" s="49" t="s">
        <v>294</v>
      </c>
      <c r="E164" s="49" t="s">
        <v>353</v>
      </c>
      <c r="F164" s="50">
        <v>4</v>
      </c>
      <c r="G164" s="45" t="s">
        <v>128</v>
      </c>
      <c r="H164" s="42">
        <v>4</v>
      </c>
      <c r="I164" s="20">
        <v>8.5</v>
      </c>
      <c r="J164" s="20">
        <f t="shared" si="4"/>
        <v>34</v>
      </c>
      <c r="K164" s="50">
        <v>448</v>
      </c>
      <c r="L164" s="47">
        <f t="shared" si="5"/>
        <v>8.9285714285714281E-3</v>
      </c>
      <c r="M164" s="46" t="s">
        <v>278</v>
      </c>
    </row>
    <row r="165" spans="1:13" ht="21" customHeight="1" x14ac:dyDescent="0.25">
      <c r="A165" s="55">
        <v>45806</v>
      </c>
      <c r="B165" s="51" t="s">
        <v>276</v>
      </c>
      <c r="C165" s="49" t="s">
        <v>488</v>
      </c>
      <c r="D165" s="49" t="s">
        <v>294</v>
      </c>
      <c r="E165" s="49" t="s">
        <v>352</v>
      </c>
      <c r="F165" s="50">
        <v>4</v>
      </c>
      <c r="G165" s="45" t="s">
        <v>128</v>
      </c>
      <c r="H165" s="42">
        <v>4</v>
      </c>
      <c r="I165" s="20">
        <v>8.5</v>
      </c>
      <c r="J165" s="20">
        <f t="shared" si="4"/>
        <v>34</v>
      </c>
      <c r="K165" s="50">
        <v>448</v>
      </c>
      <c r="L165" s="47">
        <f t="shared" si="5"/>
        <v>8.9285714285714281E-3</v>
      </c>
      <c r="M165" s="46" t="s">
        <v>278</v>
      </c>
    </row>
    <row r="166" spans="1:13" ht="21" customHeight="1" x14ac:dyDescent="0.25">
      <c r="A166" s="55">
        <v>45794</v>
      </c>
      <c r="B166" s="51" t="s">
        <v>276</v>
      </c>
      <c r="C166" s="49" t="s">
        <v>488</v>
      </c>
      <c r="D166" s="49" t="s">
        <v>294</v>
      </c>
      <c r="E166" s="49" t="s">
        <v>353</v>
      </c>
      <c r="F166" s="50">
        <v>2</v>
      </c>
      <c r="G166" s="45" t="s">
        <v>128</v>
      </c>
      <c r="H166" s="42">
        <v>2</v>
      </c>
      <c r="I166" s="20">
        <v>8.5</v>
      </c>
      <c r="J166" s="20">
        <f t="shared" si="4"/>
        <v>17</v>
      </c>
      <c r="K166" s="50">
        <v>224</v>
      </c>
      <c r="L166" s="47">
        <f t="shared" si="5"/>
        <v>8.9285714285714281E-3</v>
      </c>
      <c r="M166" s="46" t="s">
        <v>278</v>
      </c>
    </row>
    <row r="167" spans="1:13" ht="21" customHeight="1" x14ac:dyDescent="0.25">
      <c r="A167" s="55">
        <v>45807</v>
      </c>
      <c r="B167" s="51" t="s">
        <v>276</v>
      </c>
      <c r="C167" s="49" t="s">
        <v>488</v>
      </c>
      <c r="D167" s="49" t="s">
        <v>294</v>
      </c>
      <c r="E167" s="49" t="s">
        <v>352</v>
      </c>
      <c r="F167" s="50">
        <v>2</v>
      </c>
      <c r="G167" s="45" t="s">
        <v>128</v>
      </c>
      <c r="H167" s="42">
        <v>2</v>
      </c>
      <c r="I167" s="20">
        <v>8.5</v>
      </c>
      <c r="J167" s="20">
        <f t="shared" si="4"/>
        <v>17</v>
      </c>
      <c r="K167" s="50">
        <v>416</v>
      </c>
      <c r="L167" s="47">
        <f t="shared" si="5"/>
        <v>4.807692307692308E-3</v>
      </c>
      <c r="M167" s="46" t="s">
        <v>278</v>
      </c>
    </row>
    <row r="168" spans="1:13" ht="21" customHeight="1" x14ac:dyDescent="0.25">
      <c r="A168" s="55">
        <v>45806</v>
      </c>
      <c r="B168" s="49" t="s">
        <v>276</v>
      </c>
      <c r="C168" s="49" t="s">
        <v>488</v>
      </c>
      <c r="D168" s="49" t="s">
        <v>298</v>
      </c>
      <c r="E168" s="49" t="s">
        <v>355</v>
      </c>
      <c r="F168" s="50">
        <f>143+123</f>
        <v>266</v>
      </c>
      <c r="G168" s="52" t="s">
        <v>128</v>
      </c>
      <c r="H168" s="42">
        <v>266</v>
      </c>
      <c r="I168" s="20">
        <v>0.4</v>
      </c>
      <c r="J168" s="20">
        <f t="shared" si="4"/>
        <v>106.4</v>
      </c>
      <c r="K168" s="50">
        <v>2352</v>
      </c>
      <c r="L168" s="47">
        <f t="shared" si="5"/>
        <v>0.1130952380952381</v>
      </c>
      <c r="M168" s="46" t="s">
        <v>318</v>
      </c>
    </row>
    <row r="169" spans="1:13" ht="21" customHeight="1" x14ac:dyDescent="0.25">
      <c r="A169" s="55">
        <v>45807</v>
      </c>
      <c r="B169" s="49" t="s">
        <v>276</v>
      </c>
      <c r="C169" s="49" t="s">
        <v>488</v>
      </c>
      <c r="D169" s="49" t="s">
        <v>298</v>
      </c>
      <c r="E169" s="49" t="s">
        <v>355</v>
      </c>
      <c r="F169" s="50">
        <f>50+112</f>
        <v>162</v>
      </c>
      <c r="G169" s="52" t="s">
        <v>128</v>
      </c>
      <c r="H169" s="42">
        <v>162</v>
      </c>
      <c r="I169" s="20">
        <v>0.4</v>
      </c>
      <c r="J169" s="20">
        <f t="shared" si="4"/>
        <v>64.8</v>
      </c>
      <c r="K169" s="50">
        <v>2016</v>
      </c>
      <c r="L169" s="47">
        <f t="shared" si="5"/>
        <v>8.0357142857142863E-2</v>
      </c>
      <c r="M169" s="46" t="s">
        <v>316</v>
      </c>
    </row>
    <row r="170" spans="1:13" ht="21" customHeight="1" x14ac:dyDescent="0.25">
      <c r="A170" s="55">
        <v>45801</v>
      </c>
      <c r="B170" s="49" t="s">
        <v>276</v>
      </c>
      <c r="C170" s="49" t="s">
        <v>488</v>
      </c>
      <c r="D170" s="49" t="s">
        <v>298</v>
      </c>
      <c r="E170" s="49" t="s">
        <v>355</v>
      </c>
      <c r="F170" s="50">
        <v>40</v>
      </c>
      <c r="G170" s="52" t="s">
        <v>128</v>
      </c>
      <c r="H170" s="42">
        <v>40</v>
      </c>
      <c r="I170" s="20">
        <v>0.4</v>
      </c>
      <c r="J170" s="20">
        <f t="shared" si="4"/>
        <v>16</v>
      </c>
      <c r="K170" s="50">
        <v>2016</v>
      </c>
      <c r="L170" s="47">
        <f t="shared" si="5"/>
        <v>1.984126984126984E-2</v>
      </c>
      <c r="M170" s="46" t="s">
        <v>318</v>
      </c>
    </row>
    <row r="171" spans="1:13" ht="21" customHeight="1" x14ac:dyDescent="0.25">
      <c r="A171" s="55">
        <v>45804</v>
      </c>
      <c r="B171" s="49" t="s">
        <v>265</v>
      </c>
      <c r="C171" s="49" t="s">
        <v>488</v>
      </c>
      <c r="D171" s="49" t="s">
        <v>272</v>
      </c>
      <c r="E171" s="49" t="s">
        <v>354</v>
      </c>
      <c r="F171" s="50">
        <v>195</v>
      </c>
      <c r="G171" s="45" t="s">
        <v>128</v>
      </c>
      <c r="H171" s="42">
        <v>195</v>
      </c>
      <c r="I171" s="20">
        <v>20</v>
      </c>
      <c r="J171" s="20">
        <f t="shared" si="4"/>
        <v>3900</v>
      </c>
      <c r="K171" s="50">
        <v>1152</v>
      </c>
      <c r="L171" s="47">
        <f t="shared" si="5"/>
        <v>0.16927083333333334</v>
      </c>
      <c r="M171" s="46" t="s">
        <v>317</v>
      </c>
    </row>
    <row r="172" spans="1:13" ht="21" customHeight="1" x14ac:dyDescent="0.25">
      <c r="A172" s="55">
        <v>45794</v>
      </c>
      <c r="B172" s="49" t="s">
        <v>265</v>
      </c>
      <c r="C172" s="49" t="s">
        <v>488</v>
      </c>
      <c r="D172" s="49" t="s">
        <v>272</v>
      </c>
      <c r="E172" s="49" t="s">
        <v>354</v>
      </c>
      <c r="F172" s="50">
        <v>122</v>
      </c>
      <c r="G172" s="45" t="s">
        <v>128</v>
      </c>
      <c r="H172" s="42">
        <v>122</v>
      </c>
      <c r="I172" s="20">
        <v>20</v>
      </c>
      <c r="J172" s="20">
        <f t="shared" si="4"/>
        <v>2440</v>
      </c>
      <c r="K172" s="50">
        <v>1296</v>
      </c>
      <c r="L172" s="47">
        <f t="shared" si="5"/>
        <v>9.4135802469135804E-2</v>
      </c>
      <c r="M172" s="46" t="s">
        <v>317</v>
      </c>
    </row>
    <row r="173" spans="1:13" ht="21" customHeight="1" x14ac:dyDescent="0.25">
      <c r="A173" s="55">
        <v>45787</v>
      </c>
      <c r="B173" s="49" t="s">
        <v>265</v>
      </c>
      <c r="C173" s="49" t="s">
        <v>488</v>
      </c>
      <c r="D173" s="49" t="s">
        <v>272</v>
      </c>
      <c r="E173" s="49" t="s">
        <v>354</v>
      </c>
      <c r="F173" s="50">
        <v>108</v>
      </c>
      <c r="G173" s="45" t="s">
        <v>128</v>
      </c>
      <c r="H173" s="50">
        <v>108</v>
      </c>
      <c r="I173" s="20">
        <v>20</v>
      </c>
      <c r="J173" s="20">
        <f t="shared" si="4"/>
        <v>2160</v>
      </c>
      <c r="K173" s="50">
        <v>2016</v>
      </c>
      <c r="L173" s="47">
        <f t="shared" si="5"/>
        <v>5.3571428571428568E-2</v>
      </c>
      <c r="M173" s="46" t="s">
        <v>317</v>
      </c>
    </row>
    <row r="174" spans="1:13" ht="21" customHeight="1" x14ac:dyDescent="0.25">
      <c r="A174" s="55">
        <v>45793</v>
      </c>
      <c r="B174" s="49" t="s">
        <v>265</v>
      </c>
      <c r="C174" s="49" t="s">
        <v>488</v>
      </c>
      <c r="D174" s="49" t="s">
        <v>272</v>
      </c>
      <c r="E174" s="49" t="s">
        <v>354</v>
      </c>
      <c r="F174" s="50">
        <v>100</v>
      </c>
      <c r="G174" s="45" t="s">
        <v>128</v>
      </c>
      <c r="H174" s="42">
        <v>100</v>
      </c>
      <c r="I174" s="20">
        <v>20</v>
      </c>
      <c r="J174" s="20">
        <f t="shared" si="4"/>
        <v>2000</v>
      </c>
      <c r="K174" s="50">
        <v>2160</v>
      </c>
      <c r="L174" s="47">
        <f t="shared" si="5"/>
        <v>4.6296296296296294E-2</v>
      </c>
      <c r="M174" s="46" t="s">
        <v>317</v>
      </c>
    </row>
    <row r="175" spans="1:13" ht="21" customHeight="1" x14ac:dyDescent="0.25">
      <c r="A175" s="55">
        <v>45797</v>
      </c>
      <c r="B175" s="49" t="s">
        <v>265</v>
      </c>
      <c r="C175" s="49" t="s">
        <v>488</v>
      </c>
      <c r="D175" s="49" t="s">
        <v>272</v>
      </c>
      <c r="E175" s="49" t="s">
        <v>354</v>
      </c>
      <c r="F175" s="50">
        <v>88</v>
      </c>
      <c r="G175" s="45" t="s">
        <v>128</v>
      </c>
      <c r="H175" s="42">
        <v>88</v>
      </c>
      <c r="I175" s="20">
        <v>20</v>
      </c>
      <c r="J175" s="20">
        <f t="shared" si="4"/>
        <v>1760</v>
      </c>
      <c r="K175" s="50">
        <v>2160</v>
      </c>
      <c r="L175" s="47">
        <f t="shared" si="5"/>
        <v>4.0740740740740744E-2</v>
      </c>
      <c r="M175" s="46" t="s">
        <v>317</v>
      </c>
    </row>
    <row r="176" spans="1:13" ht="21" customHeight="1" x14ac:dyDescent="0.25">
      <c r="A176" s="55">
        <v>45782</v>
      </c>
      <c r="B176" s="49" t="s">
        <v>265</v>
      </c>
      <c r="C176" s="49" t="s">
        <v>488</v>
      </c>
      <c r="D176" s="49" t="s">
        <v>272</v>
      </c>
      <c r="E176" s="49" t="s">
        <v>354</v>
      </c>
      <c r="F176" s="50">
        <v>80</v>
      </c>
      <c r="G176" s="45" t="s">
        <v>262</v>
      </c>
      <c r="H176" s="42">
        <f>F176</f>
        <v>80</v>
      </c>
      <c r="I176" s="20">
        <v>20</v>
      </c>
      <c r="J176" s="20">
        <f t="shared" si="4"/>
        <v>1600</v>
      </c>
      <c r="K176" s="50">
        <v>2160</v>
      </c>
      <c r="L176" s="47">
        <f t="shared" si="5"/>
        <v>3.7037037037037035E-2</v>
      </c>
      <c r="M176" s="46" t="s">
        <v>261</v>
      </c>
    </row>
    <row r="177" spans="1:13" ht="21" customHeight="1" x14ac:dyDescent="0.25">
      <c r="A177" s="55">
        <v>45806</v>
      </c>
      <c r="B177" s="49" t="s">
        <v>265</v>
      </c>
      <c r="C177" s="49" t="s">
        <v>488</v>
      </c>
      <c r="D177" s="49" t="s">
        <v>272</v>
      </c>
      <c r="E177" s="49" t="s">
        <v>354</v>
      </c>
      <c r="F177" s="50">
        <v>77</v>
      </c>
      <c r="G177" s="45" t="s">
        <v>128</v>
      </c>
      <c r="H177" s="42">
        <v>77</v>
      </c>
      <c r="I177" s="20">
        <v>20</v>
      </c>
      <c r="J177" s="20">
        <f t="shared" si="4"/>
        <v>1540</v>
      </c>
      <c r="K177" s="50">
        <v>1584</v>
      </c>
      <c r="L177" s="47">
        <f t="shared" si="5"/>
        <v>4.8611111111111112E-2</v>
      </c>
      <c r="M177" s="46" t="s">
        <v>317</v>
      </c>
    </row>
    <row r="178" spans="1:13" ht="21" customHeight="1" x14ac:dyDescent="0.25">
      <c r="A178" s="55">
        <v>45788</v>
      </c>
      <c r="B178" s="49" t="s">
        <v>265</v>
      </c>
      <c r="C178" s="49" t="s">
        <v>488</v>
      </c>
      <c r="D178" s="49" t="s">
        <v>272</v>
      </c>
      <c r="E178" s="49" t="s">
        <v>354</v>
      </c>
      <c r="F178" s="50">
        <v>70</v>
      </c>
      <c r="G178" s="45" t="s">
        <v>128</v>
      </c>
      <c r="H178" s="42">
        <v>70</v>
      </c>
      <c r="I178" s="20">
        <v>20</v>
      </c>
      <c r="J178" s="20">
        <f t="shared" si="4"/>
        <v>1400</v>
      </c>
      <c r="K178" s="50">
        <v>1584</v>
      </c>
      <c r="L178" s="47">
        <f t="shared" si="5"/>
        <v>4.4191919191919192E-2</v>
      </c>
      <c r="M178" s="46" t="s">
        <v>317</v>
      </c>
    </row>
    <row r="179" spans="1:13" ht="21" customHeight="1" x14ac:dyDescent="0.25">
      <c r="A179" s="55">
        <v>45796</v>
      </c>
      <c r="B179" s="49" t="s">
        <v>265</v>
      </c>
      <c r="C179" s="49" t="s">
        <v>488</v>
      </c>
      <c r="D179" s="49" t="s">
        <v>272</v>
      </c>
      <c r="E179" s="49" t="s">
        <v>354</v>
      </c>
      <c r="F179" s="50">
        <v>64</v>
      </c>
      <c r="G179" s="45" t="s">
        <v>128</v>
      </c>
      <c r="H179" s="42">
        <v>64</v>
      </c>
      <c r="I179" s="20">
        <v>20</v>
      </c>
      <c r="J179" s="20">
        <f t="shared" si="4"/>
        <v>1280</v>
      </c>
      <c r="K179" s="50">
        <v>1152</v>
      </c>
      <c r="L179" s="47">
        <f t="shared" si="5"/>
        <v>5.5555555555555552E-2</v>
      </c>
      <c r="M179" s="46" t="s">
        <v>317</v>
      </c>
    </row>
    <row r="180" spans="1:13" ht="21" customHeight="1" x14ac:dyDescent="0.25">
      <c r="A180" s="55">
        <v>45781</v>
      </c>
      <c r="B180" s="49" t="s">
        <v>265</v>
      </c>
      <c r="C180" s="49" t="s">
        <v>488</v>
      </c>
      <c r="D180" s="49" t="s">
        <v>272</v>
      </c>
      <c r="E180" s="49" t="s">
        <v>354</v>
      </c>
      <c r="F180" s="50">
        <v>57</v>
      </c>
      <c r="G180" s="45" t="s">
        <v>128</v>
      </c>
      <c r="H180" s="50">
        <v>57</v>
      </c>
      <c r="I180" s="20">
        <v>20</v>
      </c>
      <c r="J180" s="20">
        <f t="shared" si="4"/>
        <v>1140</v>
      </c>
      <c r="K180" s="50">
        <v>1736</v>
      </c>
      <c r="L180" s="47">
        <f t="shared" si="5"/>
        <v>3.2834101382488476E-2</v>
      </c>
      <c r="M180" s="46" t="s">
        <v>274</v>
      </c>
    </row>
    <row r="181" spans="1:13" ht="21" customHeight="1" x14ac:dyDescent="0.25">
      <c r="A181" s="55">
        <v>45783</v>
      </c>
      <c r="B181" s="49" t="s">
        <v>265</v>
      </c>
      <c r="C181" s="49" t="s">
        <v>488</v>
      </c>
      <c r="D181" s="49" t="s">
        <v>272</v>
      </c>
      <c r="E181" s="49" t="s">
        <v>354</v>
      </c>
      <c r="F181" s="50">
        <v>55</v>
      </c>
      <c r="G181" s="45" t="s">
        <v>262</v>
      </c>
      <c r="H181" s="50">
        <v>55</v>
      </c>
      <c r="I181" s="20">
        <v>20</v>
      </c>
      <c r="J181" s="20">
        <f t="shared" si="4"/>
        <v>1100</v>
      </c>
      <c r="K181" s="50">
        <v>1008</v>
      </c>
      <c r="L181" s="47">
        <f t="shared" si="5"/>
        <v>5.4563492063492064E-2</v>
      </c>
      <c r="M181" s="46" t="s">
        <v>261</v>
      </c>
    </row>
    <row r="182" spans="1:13" ht="21" customHeight="1" x14ac:dyDescent="0.25">
      <c r="A182" s="55">
        <v>45800</v>
      </c>
      <c r="B182" s="49" t="s">
        <v>265</v>
      </c>
      <c r="C182" s="49" t="s">
        <v>488</v>
      </c>
      <c r="D182" s="49" t="s">
        <v>272</v>
      </c>
      <c r="E182" s="49" t="s">
        <v>354</v>
      </c>
      <c r="F182" s="50">
        <v>52</v>
      </c>
      <c r="G182" s="45" t="s">
        <v>128</v>
      </c>
      <c r="H182" s="42">
        <v>52</v>
      </c>
      <c r="I182" s="20">
        <v>20</v>
      </c>
      <c r="J182" s="20">
        <f t="shared" si="4"/>
        <v>1040</v>
      </c>
      <c r="K182" s="50">
        <v>2160</v>
      </c>
      <c r="L182" s="47">
        <f t="shared" si="5"/>
        <v>2.4074074074074074E-2</v>
      </c>
      <c r="M182" s="46" t="s">
        <v>317</v>
      </c>
    </row>
    <row r="183" spans="1:13" ht="21" customHeight="1" x14ac:dyDescent="0.25">
      <c r="A183" s="55">
        <v>45807</v>
      </c>
      <c r="B183" s="49" t="s">
        <v>265</v>
      </c>
      <c r="C183" s="49" t="s">
        <v>488</v>
      </c>
      <c r="D183" s="49" t="s">
        <v>272</v>
      </c>
      <c r="E183" s="49" t="s">
        <v>354</v>
      </c>
      <c r="F183" s="50">
        <v>38</v>
      </c>
      <c r="G183" s="45" t="s">
        <v>128</v>
      </c>
      <c r="H183" s="42">
        <v>38</v>
      </c>
      <c r="I183" s="20">
        <v>20</v>
      </c>
      <c r="J183" s="20">
        <f t="shared" si="4"/>
        <v>760</v>
      </c>
      <c r="K183" s="50">
        <v>576</v>
      </c>
      <c r="L183" s="47">
        <f t="shared" si="5"/>
        <v>6.5972222222222224E-2</v>
      </c>
      <c r="M183" s="46" t="s">
        <v>317</v>
      </c>
    </row>
    <row r="184" spans="1:13" ht="21" customHeight="1" x14ac:dyDescent="0.25">
      <c r="A184" s="55">
        <v>45801</v>
      </c>
      <c r="B184" s="49" t="s">
        <v>265</v>
      </c>
      <c r="C184" s="49" t="s">
        <v>488</v>
      </c>
      <c r="D184" s="49" t="s">
        <v>272</v>
      </c>
      <c r="E184" s="49" t="s">
        <v>354</v>
      </c>
      <c r="F184" s="50">
        <v>37</v>
      </c>
      <c r="G184" s="45" t="s">
        <v>128</v>
      </c>
      <c r="H184" s="42">
        <v>37</v>
      </c>
      <c r="I184" s="20">
        <v>20</v>
      </c>
      <c r="J184" s="20">
        <f t="shared" si="4"/>
        <v>740</v>
      </c>
      <c r="K184" s="50">
        <v>2160</v>
      </c>
      <c r="L184" s="47">
        <f t="shared" si="5"/>
        <v>1.712962962962963E-2</v>
      </c>
      <c r="M184" s="46" t="s">
        <v>317</v>
      </c>
    </row>
    <row r="185" spans="1:13" ht="21" customHeight="1" x14ac:dyDescent="0.25">
      <c r="A185" s="55">
        <v>45798</v>
      </c>
      <c r="B185" s="49" t="s">
        <v>265</v>
      </c>
      <c r="C185" s="49" t="s">
        <v>488</v>
      </c>
      <c r="D185" s="49" t="s">
        <v>272</v>
      </c>
      <c r="E185" s="49" t="s">
        <v>354</v>
      </c>
      <c r="F185" s="50">
        <v>22</v>
      </c>
      <c r="G185" s="45" t="s">
        <v>128</v>
      </c>
      <c r="H185" s="42">
        <v>22</v>
      </c>
      <c r="I185" s="20">
        <v>20</v>
      </c>
      <c r="J185" s="20">
        <f t="shared" si="4"/>
        <v>440</v>
      </c>
      <c r="K185" s="50">
        <v>288</v>
      </c>
      <c r="L185" s="47">
        <f t="shared" si="5"/>
        <v>7.6388888888888895E-2</v>
      </c>
      <c r="M185" s="46" t="s">
        <v>317</v>
      </c>
    </row>
    <row r="186" spans="1:13" ht="21" customHeight="1" x14ac:dyDescent="0.25">
      <c r="A186" s="55">
        <v>45803</v>
      </c>
      <c r="B186" s="49" t="s">
        <v>265</v>
      </c>
      <c r="C186" s="49" t="s">
        <v>488</v>
      </c>
      <c r="D186" s="49" t="s">
        <v>272</v>
      </c>
      <c r="E186" s="49" t="s">
        <v>354</v>
      </c>
      <c r="F186" s="50">
        <v>20</v>
      </c>
      <c r="G186" s="45" t="s">
        <v>128</v>
      </c>
      <c r="H186" s="42">
        <v>20</v>
      </c>
      <c r="I186" s="20">
        <v>20</v>
      </c>
      <c r="J186" s="20">
        <f t="shared" si="4"/>
        <v>400</v>
      </c>
      <c r="K186" s="50">
        <v>1152</v>
      </c>
      <c r="L186" s="47">
        <f t="shared" si="5"/>
        <v>1.7361111111111112E-2</v>
      </c>
      <c r="M186" s="46" t="s">
        <v>317</v>
      </c>
    </row>
    <row r="187" spans="1:13" ht="21" customHeight="1" x14ac:dyDescent="0.25">
      <c r="A187" s="55">
        <v>45784</v>
      </c>
      <c r="B187" s="49" t="s">
        <v>265</v>
      </c>
      <c r="C187" s="49" t="s">
        <v>488</v>
      </c>
      <c r="D187" s="49" t="s">
        <v>272</v>
      </c>
      <c r="E187" s="49" t="s">
        <v>354</v>
      </c>
      <c r="F187" s="50">
        <v>18</v>
      </c>
      <c r="G187" s="45" t="s">
        <v>128</v>
      </c>
      <c r="H187" s="50">
        <v>18</v>
      </c>
      <c r="I187" s="20">
        <v>20</v>
      </c>
      <c r="J187" s="20">
        <f t="shared" si="4"/>
        <v>360</v>
      </c>
      <c r="K187" s="50">
        <v>288</v>
      </c>
      <c r="L187" s="47">
        <f t="shared" si="5"/>
        <v>6.25E-2</v>
      </c>
      <c r="M187" s="46" t="s">
        <v>317</v>
      </c>
    </row>
    <row r="188" spans="1:13" ht="21" customHeight="1" x14ac:dyDescent="0.25">
      <c r="A188" s="55">
        <v>45789</v>
      </c>
      <c r="B188" s="49" t="s">
        <v>265</v>
      </c>
      <c r="C188" s="49" t="s">
        <v>488</v>
      </c>
      <c r="D188" s="49" t="s">
        <v>272</v>
      </c>
      <c r="E188" s="49" t="s">
        <v>354</v>
      </c>
      <c r="F188" s="50">
        <v>15</v>
      </c>
      <c r="G188" s="45" t="s">
        <v>128</v>
      </c>
      <c r="H188" s="42">
        <v>15</v>
      </c>
      <c r="I188" s="20">
        <v>20</v>
      </c>
      <c r="J188" s="20">
        <f t="shared" si="4"/>
        <v>300</v>
      </c>
      <c r="K188" s="50">
        <v>432</v>
      </c>
      <c r="L188" s="47">
        <f t="shared" si="5"/>
        <v>3.4722222222222224E-2</v>
      </c>
      <c r="M188" s="46" t="s">
        <v>317</v>
      </c>
    </row>
    <row r="189" spans="1:13" ht="21" customHeight="1" x14ac:dyDescent="0.25">
      <c r="A189" s="55">
        <v>45790</v>
      </c>
      <c r="B189" s="49" t="s">
        <v>265</v>
      </c>
      <c r="C189" s="49" t="s">
        <v>488</v>
      </c>
      <c r="D189" s="49" t="s">
        <v>272</v>
      </c>
      <c r="E189" s="49" t="s">
        <v>354</v>
      </c>
      <c r="F189" s="50">
        <v>15</v>
      </c>
      <c r="G189" s="45" t="s">
        <v>128</v>
      </c>
      <c r="H189" s="42">
        <v>15</v>
      </c>
      <c r="I189" s="20">
        <v>20</v>
      </c>
      <c r="J189" s="20">
        <f t="shared" si="4"/>
        <v>300</v>
      </c>
      <c r="K189" s="50">
        <v>432</v>
      </c>
      <c r="L189" s="47">
        <f t="shared" si="5"/>
        <v>3.4722222222222224E-2</v>
      </c>
      <c r="M189" s="46" t="s">
        <v>317</v>
      </c>
    </row>
    <row r="190" spans="1:13" ht="21" customHeight="1" x14ac:dyDescent="0.25">
      <c r="A190" s="55">
        <v>45802</v>
      </c>
      <c r="B190" s="49" t="s">
        <v>265</v>
      </c>
      <c r="C190" s="49" t="s">
        <v>488</v>
      </c>
      <c r="D190" s="49" t="s">
        <v>272</v>
      </c>
      <c r="E190" s="49" t="s">
        <v>354</v>
      </c>
      <c r="F190" s="50">
        <v>6</v>
      </c>
      <c r="G190" s="45" t="s">
        <v>128</v>
      </c>
      <c r="H190" s="42">
        <v>6</v>
      </c>
      <c r="I190" s="20">
        <v>20</v>
      </c>
      <c r="J190" s="20">
        <f t="shared" si="4"/>
        <v>120</v>
      </c>
      <c r="K190" s="50">
        <v>576</v>
      </c>
      <c r="L190" s="47">
        <f t="shared" si="5"/>
        <v>1.0416666666666666E-2</v>
      </c>
      <c r="M190" s="46" t="s">
        <v>317</v>
      </c>
    </row>
    <row r="191" spans="1:13" ht="21" customHeight="1" x14ac:dyDescent="0.25">
      <c r="A191" s="55">
        <v>45804</v>
      </c>
      <c r="B191" s="49" t="s">
        <v>276</v>
      </c>
      <c r="C191" s="49" t="s">
        <v>488</v>
      </c>
      <c r="D191" s="49" t="s">
        <v>273</v>
      </c>
      <c r="E191" s="49" t="s">
        <v>351</v>
      </c>
      <c r="F191" s="50">
        <f>32+35</f>
        <v>67</v>
      </c>
      <c r="G191" s="52" t="s">
        <v>128</v>
      </c>
      <c r="H191" s="42">
        <v>67</v>
      </c>
      <c r="I191" s="20">
        <v>10</v>
      </c>
      <c r="J191" s="20">
        <f t="shared" si="4"/>
        <v>670</v>
      </c>
      <c r="K191" s="50">
        <v>1456</v>
      </c>
      <c r="L191" s="47">
        <f t="shared" si="5"/>
        <v>4.601648351648352E-2</v>
      </c>
      <c r="M191" s="46" t="s">
        <v>279</v>
      </c>
    </row>
    <row r="192" spans="1:13" ht="21" customHeight="1" x14ac:dyDescent="0.25">
      <c r="A192" s="55">
        <v>45783</v>
      </c>
      <c r="B192" s="49" t="s">
        <v>276</v>
      </c>
      <c r="C192" s="49" t="s">
        <v>488</v>
      </c>
      <c r="D192" s="49" t="s">
        <v>273</v>
      </c>
      <c r="E192" s="49" t="s">
        <v>350</v>
      </c>
      <c r="F192" s="50">
        <f>21+15+12</f>
        <v>48</v>
      </c>
      <c r="G192" s="45" t="s">
        <v>128</v>
      </c>
      <c r="H192" s="50">
        <v>48</v>
      </c>
      <c r="I192" s="20">
        <v>10</v>
      </c>
      <c r="J192" s="20">
        <f t="shared" si="4"/>
        <v>480</v>
      </c>
      <c r="K192" s="50">
        <v>1248</v>
      </c>
      <c r="L192" s="47">
        <f t="shared" si="5"/>
        <v>3.8461538461538464E-2</v>
      </c>
      <c r="M192" s="46" t="s">
        <v>279</v>
      </c>
    </row>
    <row r="193" spans="1:13" ht="21" customHeight="1" x14ac:dyDescent="0.25">
      <c r="A193" s="55">
        <v>45807</v>
      </c>
      <c r="B193" s="49" t="s">
        <v>276</v>
      </c>
      <c r="C193" s="49" t="s">
        <v>488</v>
      </c>
      <c r="D193" s="49" t="s">
        <v>273</v>
      </c>
      <c r="E193" s="49" t="s">
        <v>350</v>
      </c>
      <c r="F193" s="50">
        <v>47</v>
      </c>
      <c r="G193" s="52" t="s">
        <v>128</v>
      </c>
      <c r="H193" s="42">
        <v>47</v>
      </c>
      <c r="I193" s="20">
        <v>10</v>
      </c>
      <c r="J193" s="20">
        <f t="shared" si="4"/>
        <v>470</v>
      </c>
      <c r="K193" s="50">
        <v>448</v>
      </c>
      <c r="L193" s="47">
        <f t="shared" si="5"/>
        <v>0.10491071428571429</v>
      </c>
      <c r="M193" s="46" t="s">
        <v>279</v>
      </c>
    </row>
    <row r="194" spans="1:13" ht="21" customHeight="1" x14ac:dyDescent="0.25">
      <c r="A194" s="55">
        <v>45784</v>
      </c>
      <c r="B194" s="49" t="s">
        <v>276</v>
      </c>
      <c r="C194" s="49" t="s">
        <v>488</v>
      </c>
      <c r="D194" s="49" t="s">
        <v>273</v>
      </c>
      <c r="E194" s="49" t="s">
        <v>350</v>
      </c>
      <c r="F194" s="50">
        <v>36</v>
      </c>
      <c r="G194" s="45" t="s">
        <v>128</v>
      </c>
      <c r="H194" s="50">
        <v>36</v>
      </c>
      <c r="I194" s="20">
        <v>10</v>
      </c>
      <c r="J194" s="20">
        <f t="shared" ref="J194:J217" si="6">H194*I194</f>
        <v>360</v>
      </c>
      <c r="K194" s="50">
        <v>1456</v>
      </c>
      <c r="L194" s="47">
        <f t="shared" ref="L194:L257" si="7">F194/K194</f>
        <v>2.4725274725274724E-2</v>
      </c>
      <c r="M194" s="46" t="s">
        <v>279</v>
      </c>
    </row>
    <row r="195" spans="1:13" ht="21" customHeight="1" x14ac:dyDescent="0.25">
      <c r="A195" s="55">
        <v>45782</v>
      </c>
      <c r="B195" s="49" t="s">
        <v>276</v>
      </c>
      <c r="C195" s="49" t="s">
        <v>488</v>
      </c>
      <c r="D195" s="49" t="s">
        <v>273</v>
      </c>
      <c r="E195" s="49" t="s">
        <v>350</v>
      </c>
      <c r="F195" s="50">
        <v>21</v>
      </c>
      <c r="G195" s="45" t="s">
        <v>128</v>
      </c>
      <c r="H195" s="42">
        <f>F195</f>
        <v>21</v>
      </c>
      <c r="I195" s="20">
        <v>10</v>
      </c>
      <c r="J195" s="20">
        <f t="shared" si="6"/>
        <v>210</v>
      </c>
      <c r="K195" s="50">
        <v>1248</v>
      </c>
      <c r="L195" s="47">
        <f t="shared" si="7"/>
        <v>1.6826923076923076E-2</v>
      </c>
      <c r="M195" s="46" t="s">
        <v>279</v>
      </c>
    </row>
    <row r="196" spans="1:13" ht="21" customHeight="1" x14ac:dyDescent="0.25">
      <c r="A196" s="55">
        <v>45806</v>
      </c>
      <c r="B196" s="49" t="s">
        <v>276</v>
      </c>
      <c r="C196" s="49" t="s">
        <v>488</v>
      </c>
      <c r="D196" s="49" t="s">
        <v>273</v>
      </c>
      <c r="E196" s="49" t="s">
        <v>350</v>
      </c>
      <c r="F196" s="50">
        <f>17+4</f>
        <v>21</v>
      </c>
      <c r="G196" s="52" t="s">
        <v>128</v>
      </c>
      <c r="H196" s="42">
        <v>21</v>
      </c>
      <c r="I196" s="20">
        <v>10</v>
      </c>
      <c r="J196" s="20">
        <f t="shared" si="6"/>
        <v>210</v>
      </c>
      <c r="K196" s="50">
        <v>1664</v>
      </c>
      <c r="L196" s="47">
        <f t="shared" si="7"/>
        <v>1.2620192307692308E-2</v>
      </c>
      <c r="M196" s="46" t="s">
        <v>279</v>
      </c>
    </row>
    <row r="197" spans="1:13" ht="21" customHeight="1" x14ac:dyDescent="0.25">
      <c r="A197" s="55">
        <v>45803</v>
      </c>
      <c r="B197" s="49" t="s">
        <v>276</v>
      </c>
      <c r="C197" s="49" t="s">
        <v>488</v>
      </c>
      <c r="D197" s="49" t="s">
        <v>273</v>
      </c>
      <c r="E197" s="49" t="s">
        <v>350</v>
      </c>
      <c r="F197" s="50">
        <v>20</v>
      </c>
      <c r="G197" s="52" t="s">
        <v>128</v>
      </c>
      <c r="H197" s="42">
        <v>20</v>
      </c>
      <c r="I197" s="20">
        <v>10</v>
      </c>
      <c r="J197" s="20">
        <f t="shared" si="6"/>
        <v>200</v>
      </c>
      <c r="K197" s="50">
        <v>1040</v>
      </c>
      <c r="L197" s="47">
        <f t="shared" si="7"/>
        <v>1.9230769230769232E-2</v>
      </c>
      <c r="M197" s="46" t="s">
        <v>279</v>
      </c>
    </row>
    <row r="198" spans="1:13" ht="21" customHeight="1" x14ac:dyDescent="0.25">
      <c r="A198" s="55">
        <v>45791</v>
      </c>
      <c r="B198" s="49" t="s">
        <v>276</v>
      </c>
      <c r="C198" s="49" t="s">
        <v>488</v>
      </c>
      <c r="D198" s="49" t="s">
        <v>273</v>
      </c>
      <c r="E198" s="49" t="s">
        <v>350</v>
      </c>
      <c r="F198" s="50">
        <v>18</v>
      </c>
      <c r="G198" s="52" t="s">
        <v>128</v>
      </c>
      <c r="H198" s="42">
        <v>18</v>
      </c>
      <c r="I198" s="20">
        <v>10</v>
      </c>
      <c r="J198" s="20">
        <f t="shared" si="6"/>
        <v>180</v>
      </c>
      <c r="K198" s="50">
        <v>1248</v>
      </c>
      <c r="L198" s="47">
        <f t="shared" si="7"/>
        <v>1.4423076923076924E-2</v>
      </c>
      <c r="M198" s="46" t="s">
        <v>279</v>
      </c>
    </row>
    <row r="199" spans="1:13" ht="21" customHeight="1" x14ac:dyDescent="0.25">
      <c r="A199" s="55">
        <v>45781</v>
      </c>
      <c r="B199" s="49" t="s">
        <v>276</v>
      </c>
      <c r="C199" s="49" t="s">
        <v>488</v>
      </c>
      <c r="D199" s="49" t="s">
        <v>273</v>
      </c>
      <c r="E199" s="49" t="s">
        <v>350</v>
      </c>
      <c r="F199" s="50">
        <v>17</v>
      </c>
      <c r="G199" s="45" t="s">
        <v>128</v>
      </c>
      <c r="H199" s="50">
        <v>17</v>
      </c>
      <c r="I199" s="20">
        <v>10</v>
      </c>
      <c r="J199" s="20">
        <f t="shared" si="6"/>
        <v>170</v>
      </c>
      <c r="K199" s="50">
        <v>832</v>
      </c>
      <c r="L199" s="47">
        <f t="shared" si="7"/>
        <v>2.0432692307692308E-2</v>
      </c>
      <c r="M199" s="46" t="s">
        <v>279</v>
      </c>
    </row>
    <row r="200" spans="1:13" ht="21" customHeight="1" x14ac:dyDescent="0.25">
      <c r="A200" s="55">
        <v>45805</v>
      </c>
      <c r="B200" s="49" t="s">
        <v>276</v>
      </c>
      <c r="C200" s="49" t="s">
        <v>488</v>
      </c>
      <c r="D200" s="49" t="s">
        <v>273</v>
      </c>
      <c r="E200" s="49" t="s">
        <v>350</v>
      </c>
      <c r="F200" s="50">
        <v>17</v>
      </c>
      <c r="G200" s="52" t="s">
        <v>128</v>
      </c>
      <c r="H200" s="42">
        <v>17</v>
      </c>
      <c r="I200" s="20">
        <v>10</v>
      </c>
      <c r="J200" s="20">
        <f t="shared" si="6"/>
        <v>170</v>
      </c>
      <c r="K200" s="50">
        <v>1664</v>
      </c>
      <c r="L200" s="47">
        <f t="shared" si="7"/>
        <v>1.0216346153846154E-2</v>
      </c>
      <c r="M200" s="46" t="s">
        <v>279</v>
      </c>
    </row>
    <row r="201" spans="1:13" ht="21" customHeight="1" x14ac:dyDescent="0.25">
      <c r="A201" s="55">
        <v>45792</v>
      </c>
      <c r="B201" s="49" t="s">
        <v>276</v>
      </c>
      <c r="C201" s="49" t="s">
        <v>488</v>
      </c>
      <c r="D201" s="49" t="s">
        <v>273</v>
      </c>
      <c r="E201" s="49" t="s">
        <v>350</v>
      </c>
      <c r="F201" s="50">
        <v>15</v>
      </c>
      <c r="G201" s="52" t="s">
        <v>128</v>
      </c>
      <c r="H201" s="42">
        <v>15</v>
      </c>
      <c r="I201" s="20">
        <v>10</v>
      </c>
      <c r="J201" s="20">
        <f t="shared" si="6"/>
        <v>150</v>
      </c>
      <c r="K201" s="50">
        <v>1872</v>
      </c>
      <c r="L201" s="47">
        <f t="shared" si="7"/>
        <v>8.0128205128205121E-3</v>
      </c>
      <c r="M201" s="46" t="s">
        <v>279</v>
      </c>
    </row>
    <row r="202" spans="1:13" ht="21" customHeight="1" x14ac:dyDescent="0.25">
      <c r="A202" s="55">
        <v>45793</v>
      </c>
      <c r="B202" s="49" t="s">
        <v>276</v>
      </c>
      <c r="C202" s="49" t="s">
        <v>488</v>
      </c>
      <c r="D202" s="49" t="s">
        <v>273</v>
      </c>
      <c r="E202" s="49" t="s">
        <v>350</v>
      </c>
      <c r="F202" s="50">
        <v>15</v>
      </c>
      <c r="G202" s="52" t="s">
        <v>128</v>
      </c>
      <c r="H202" s="42">
        <v>15</v>
      </c>
      <c r="I202" s="20">
        <v>10</v>
      </c>
      <c r="J202" s="20">
        <f t="shared" si="6"/>
        <v>150</v>
      </c>
      <c r="K202" s="50">
        <v>1456</v>
      </c>
      <c r="L202" s="47">
        <f t="shared" si="7"/>
        <v>1.0302197802197802E-2</v>
      </c>
      <c r="M202" s="46" t="s">
        <v>279</v>
      </c>
    </row>
    <row r="203" spans="1:13" ht="21" customHeight="1" x14ac:dyDescent="0.25">
      <c r="A203" s="55">
        <v>45802</v>
      </c>
      <c r="B203" s="49" t="s">
        <v>276</v>
      </c>
      <c r="C203" s="49" t="s">
        <v>488</v>
      </c>
      <c r="D203" s="49" t="s">
        <v>273</v>
      </c>
      <c r="E203" s="49" t="s">
        <v>350</v>
      </c>
      <c r="F203" s="50">
        <v>15</v>
      </c>
      <c r="G203" s="52" t="s">
        <v>128</v>
      </c>
      <c r="H203" s="42">
        <v>15</v>
      </c>
      <c r="I203" s="20">
        <v>10</v>
      </c>
      <c r="J203" s="20">
        <f t="shared" si="6"/>
        <v>150</v>
      </c>
      <c r="K203" s="50">
        <v>832</v>
      </c>
      <c r="L203" s="47">
        <f t="shared" si="7"/>
        <v>1.8028846153846152E-2</v>
      </c>
      <c r="M203" s="46" t="s">
        <v>279</v>
      </c>
    </row>
    <row r="204" spans="1:13" ht="21" customHeight="1" x14ac:dyDescent="0.25">
      <c r="A204" s="55">
        <v>45789</v>
      </c>
      <c r="B204" s="49" t="s">
        <v>276</v>
      </c>
      <c r="C204" s="49" t="s">
        <v>488</v>
      </c>
      <c r="D204" s="49" t="s">
        <v>273</v>
      </c>
      <c r="E204" s="49" t="s">
        <v>350</v>
      </c>
      <c r="F204" s="50">
        <v>7</v>
      </c>
      <c r="G204" s="52" t="s">
        <v>128</v>
      </c>
      <c r="H204" s="42">
        <v>7</v>
      </c>
      <c r="I204" s="20">
        <v>10</v>
      </c>
      <c r="J204" s="20">
        <f t="shared" si="6"/>
        <v>70</v>
      </c>
      <c r="K204" s="50">
        <f>208+208</f>
        <v>416</v>
      </c>
      <c r="L204" s="47">
        <f t="shared" si="7"/>
        <v>1.6826923076923076E-2</v>
      </c>
      <c r="M204" s="46" t="s">
        <v>279</v>
      </c>
    </row>
    <row r="205" spans="1:13" ht="21" customHeight="1" x14ac:dyDescent="0.25">
      <c r="A205" s="55">
        <v>45790</v>
      </c>
      <c r="B205" s="49" t="s">
        <v>276</v>
      </c>
      <c r="C205" s="49" t="s">
        <v>488</v>
      </c>
      <c r="D205" s="49" t="s">
        <v>273</v>
      </c>
      <c r="E205" s="49" t="s">
        <v>350</v>
      </c>
      <c r="F205" s="50">
        <v>7</v>
      </c>
      <c r="G205" s="52" t="s">
        <v>128</v>
      </c>
      <c r="H205" s="42">
        <v>7</v>
      </c>
      <c r="I205" s="20">
        <v>10</v>
      </c>
      <c r="J205" s="20">
        <f t="shared" si="6"/>
        <v>70</v>
      </c>
      <c r="K205" s="50">
        <f>208+208</f>
        <v>416</v>
      </c>
      <c r="L205" s="47">
        <f t="shared" si="7"/>
        <v>1.6826923076923076E-2</v>
      </c>
      <c r="M205" s="46" t="s">
        <v>279</v>
      </c>
    </row>
    <row r="206" spans="1:13" ht="21" customHeight="1" x14ac:dyDescent="0.25">
      <c r="A206" s="55">
        <v>45794</v>
      </c>
      <c r="B206" s="49" t="s">
        <v>276</v>
      </c>
      <c r="C206" s="49" t="s">
        <v>488</v>
      </c>
      <c r="D206" s="49" t="s">
        <v>273</v>
      </c>
      <c r="E206" s="49" t="s">
        <v>350</v>
      </c>
      <c r="F206" s="50">
        <v>7</v>
      </c>
      <c r="G206" s="52" t="s">
        <v>128</v>
      </c>
      <c r="H206" s="42">
        <v>7</v>
      </c>
      <c r="I206" s="20">
        <v>10</v>
      </c>
      <c r="J206" s="20">
        <f t="shared" si="6"/>
        <v>70</v>
      </c>
      <c r="K206" s="50">
        <v>1040</v>
      </c>
      <c r="L206" s="47">
        <f t="shared" si="7"/>
        <v>6.7307692307692311E-3</v>
      </c>
      <c r="M206" s="46" t="s">
        <v>279</v>
      </c>
    </row>
    <row r="207" spans="1:13" ht="21" customHeight="1" x14ac:dyDescent="0.25">
      <c r="A207" s="55">
        <v>45800</v>
      </c>
      <c r="B207" s="49" t="s">
        <v>276</v>
      </c>
      <c r="C207" s="49" t="s">
        <v>488</v>
      </c>
      <c r="D207" s="49" t="s">
        <v>273</v>
      </c>
      <c r="E207" s="49" t="s">
        <v>350</v>
      </c>
      <c r="F207" s="50">
        <v>7</v>
      </c>
      <c r="G207" s="52" t="s">
        <v>128</v>
      </c>
      <c r="H207" s="42">
        <v>7</v>
      </c>
      <c r="I207" s="20">
        <v>10</v>
      </c>
      <c r="J207" s="20">
        <f t="shared" si="6"/>
        <v>70</v>
      </c>
      <c r="K207" s="50">
        <v>1040</v>
      </c>
      <c r="L207" s="47">
        <f t="shared" si="7"/>
        <v>6.7307692307692311E-3</v>
      </c>
      <c r="M207" s="46" t="s">
        <v>279</v>
      </c>
    </row>
    <row r="208" spans="1:13" ht="21" customHeight="1" x14ac:dyDescent="0.25">
      <c r="A208" s="55">
        <v>45788</v>
      </c>
      <c r="B208" s="49" t="s">
        <v>276</v>
      </c>
      <c r="C208" s="49" t="s">
        <v>488</v>
      </c>
      <c r="D208" s="49" t="s">
        <v>273</v>
      </c>
      <c r="E208" s="49" t="s">
        <v>350</v>
      </c>
      <c r="F208" s="50">
        <v>5</v>
      </c>
      <c r="G208" s="52" t="s">
        <v>128</v>
      </c>
      <c r="H208" s="42">
        <v>5</v>
      </c>
      <c r="I208" s="20">
        <v>10</v>
      </c>
      <c r="J208" s="20">
        <f t="shared" si="6"/>
        <v>50</v>
      </c>
      <c r="K208" s="50">
        <v>1040</v>
      </c>
      <c r="L208" s="47">
        <f t="shared" si="7"/>
        <v>4.807692307692308E-3</v>
      </c>
      <c r="M208" s="46" t="s">
        <v>279</v>
      </c>
    </row>
    <row r="209" spans="1:13" ht="21" customHeight="1" x14ac:dyDescent="0.25">
      <c r="A209" s="55">
        <v>45795</v>
      </c>
      <c r="B209" s="49" t="s">
        <v>276</v>
      </c>
      <c r="C209" s="49" t="s">
        <v>488</v>
      </c>
      <c r="D209" s="49" t="s">
        <v>273</v>
      </c>
      <c r="E209" s="49" t="s">
        <v>350</v>
      </c>
      <c r="F209" s="50">
        <v>4</v>
      </c>
      <c r="G209" s="52" t="s">
        <v>128</v>
      </c>
      <c r="H209" s="50">
        <v>4</v>
      </c>
      <c r="I209" s="20">
        <v>10</v>
      </c>
      <c r="J209" s="20">
        <f t="shared" si="6"/>
        <v>40</v>
      </c>
      <c r="K209" s="50">
        <v>632</v>
      </c>
      <c r="L209" s="47">
        <f t="shared" si="7"/>
        <v>6.3291139240506328E-3</v>
      </c>
      <c r="M209" s="46" t="s">
        <v>279</v>
      </c>
    </row>
    <row r="210" spans="1:13" ht="21" customHeight="1" x14ac:dyDescent="0.25">
      <c r="A210" s="55">
        <v>45785</v>
      </c>
      <c r="B210" s="49" t="s">
        <v>276</v>
      </c>
      <c r="C210" s="49" t="s">
        <v>488</v>
      </c>
      <c r="D210" s="49" t="s">
        <v>273</v>
      </c>
      <c r="E210" s="49" t="s">
        <v>350</v>
      </c>
      <c r="F210" s="50">
        <v>3</v>
      </c>
      <c r="G210" s="45" t="s">
        <v>128</v>
      </c>
      <c r="H210" s="42">
        <v>3</v>
      </c>
      <c r="I210" s="20">
        <v>10</v>
      </c>
      <c r="J210" s="20">
        <f t="shared" si="6"/>
        <v>30</v>
      </c>
      <c r="K210" s="50">
        <v>1456</v>
      </c>
      <c r="L210" s="47">
        <f t="shared" si="7"/>
        <v>2.0604395604395605E-3</v>
      </c>
      <c r="M210" s="46" t="s">
        <v>279</v>
      </c>
    </row>
    <row r="211" spans="1:13" ht="21" customHeight="1" x14ac:dyDescent="0.25">
      <c r="A211" s="55">
        <v>45796</v>
      </c>
      <c r="B211" s="49" t="s">
        <v>276</v>
      </c>
      <c r="C211" s="49" t="s">
        <v>488</v>
      </c>
      <c r="D211" s="49" t="s">
        <v>273</v>
      </c>
      <c r="E211" s="49" t="s">
        <v>350</v>
      </c>
      <c r="F211" s="50">
        <v>2</v>
      </c>
      <c r="G211" s="52" t="s">
        <v>128</v>
      </c>
      <c r="H211" s="42">
        <v>2</v>
      </c>
      <c r="I211" s="20">
        <v>10</v>
      </c>
      <c r="J211" s="20">
        <f t="shared" si="6"/>
        <v>20</v>
      </c>
      <c r="K211" s="50">
        <v>208</v>
      </c>
      <c r="L211" s="47">
        <f t="shared" si="7"/>
        <v>9.6153846153846159E-3</v>
      </c>
      <c r="M211" s="46" t="s">
        <v>279</v>
      </c>
    </row>
    <row r="212" spans="1:13" ht="21" customHeight="1" x14ac:dyDescent="0.25">
      <c r="A212" s="55">
        <v>45801</v>
      </c>
      <c r="B212" s="49" t="s">
        <v>276</v>
      </c>
      <c r="C212" s="49" t="s">
        <v>488</v>
      </c>
      <c r="D212" s="49" t="s">
        <v>273</v>
      </c>
      <c r="E212" s="49" t="s">
        <v>350</v>
      </c>
      <c r="F212" s="50">
        <v>2</v>
      </c>
      <c r="G212" s="52" t="s">
        <v>128</v>
      </c>
      <c r="H212" s="42">
        <v>2</v>
      </c>
      <c r="I212" s="20">
        <v>10</v>
      </c>
      <c r="J212" s="20">
        <f t="shared" si="6"/>
        <v>20</v>
      </c>
      <c r="K212" s="50">
        <v>616</v>
      </c>
      <c r="L212" s="47">
        <f t="shared" si="7"/>
        <v>3.246753246753247E-3</v>
      </c>
      <c r="M212" s="46" t="s">
        <v>279</v>
      </c>
    </row>
    <row r="213" spans="1:13" ht="21" customHeight="1" x14ac:dyDescent="0.25">
      <c r="A213" s="55">
        <v>45803</v>
      </c>
      <c r="B213" s="49" t="s">
        <v>320</v>
      </c>
      <c r="C213" s="49" t="s">
        <v>488</v>
      </c>
      <c r="D213" s="49" t="s">
        <v>285</v>
      </c>
      <c r="E213" s="49" t="s">
        <v>474</v>
      </c>
      <c r="F213" s="50">
        <v>68</v>
      </c>
      <c r="G213" s="52" t="s">
        <v>128</v>
      </c>
      <c r="H213" s="42">
        <v>68</v>
      </c>
      <c r="I213" s="20">
        <v>0.5</v>
      </c>
      <c r="J213" s="20">
        <f t="shared" si="6"/>
        <v>34</v>
      </c>
      <c r="K213" s="50">
        <v>3024</v>
      </c>
      <c r="L213" s="47">
        <f t="shared" si="7"/>
        <v>2.2486772486772486E-2</v>
      </c>
      <c r="M213" s="54" t="s">
        <v>325</v>
      </c>
    </row>
    <row r="214" spans="1:13" ht="21" customHeight="1" x14ac:dyDescent="0.25">
      <c r="A214" s="55">
        <v>45805</v>
      </c>
      <c r="B214" s="49" t="s">
        <v>320</v>
      </c>
      <c r="C214" s="49" t="s">
        <v>488</v>
      </c>
      <c r="D214" s="49" t="s">
        <v>285</v>
      </c>
      <c r="E214" s="49" t="s">
        <v>356</v>
      </c>
      <c r="F214" s="50">
        <v>50</v>
      </c>
      <c r="G214" s="52" t="s">
        <v>128</v>
      </c>
      <c r="H214" s="42">
        <v>50</v>
      </c>
      <c r="I214" s="20">
        <v>0.5</v>
      </c>
      <c r="J214" s="20">
        <f t="shared" si="6"/>
        <v>25</v>
      </c>
      <c r="K214" s="50">
        <v>2600</v>
      </c>
      <c r="L214" s="47">
        <f t="shared" si="7"/>
        <v>1.9230769230769232E-2</v>
      </c>
      <c r="M214" s="54" t="s">
        <v>325</v>
      </c>
    </row>
    <row r="215" spans="1:13" ht="21" customHeight="1" x14ac:dyDescent="0.25">
      <c r="A215" s="55">
        <v>45802</v>
      </c>
      <c r="B215" s="49" t="s">
        <v>320</v>
      </c>
      <c r="C215" s="49" t="s">
        <v>488</v>
      </c>
      <c r="D215" s="49" t="s">
        <v>285</v>
      </c>
      <c r="E215" s="49" t="s">
        <v>356</v>
      </c>
      <c r="F215" s="50">
        <v>2</v>
      </c>
      <c r="G215" s="52" t="s">
        <v>128</v>
      </c>
      <c r="H215" s="42">
        <v>2</v>
      </c>
      <c r="I215" s="20">
        <v>0.5</v>
      </c>
      <c r="J215" s="20">
        <f t="shared" si="6"/>
        <v>1</v>
      </c>
      <c r="K215" s="50">
        <v>2184</v>
      </c>
      <c r="L215" s="47">
        <f t="shared" si="7"/>
        <v>9.1575091575091575E-4</v>
      </c>
      <c r="M215" s="54" t="s">
        <v>325</v>
      </c>
    </row>
    <row r="216" spans="1:13" ht="21" customHeight="1" x14ac:dyDescent="0.25">
      <c r="A216" s="55">
        <v>45781</v>
      </c>
      <c r="B216" s="49" t="s">
        <v>276</v>
      </c>
      <c r="C216" s="49" t="s">
        <v>489</v>
      </c>
      <c r="D216" s="49" t="s">
        <v>270</v>
      </c>
      <c r="E216" s="49" t="s">
        <v>365</v>
      </c>
      <c r="F216" s="50">
        <v>15</v>
      </c>
      <c r="G216" s="45" t="s">
        <v>128</v>
      </c>
      <c r="H216" s="50">
        <v>15</v>
      </c>
      <c r="I216" s="20">
        <v>23.180900000000001</v>
      </c>
      <c r="J216" s="20">
        <f t="shared" si="6"/>
        <v>347.71350000000001</v>
      </c>
      <c r="K216" s="50">
        <v>1680</v>
      </c>
      <c r="L216" s="47">
        <f t="shared" si="7"/>
        <v>8.9285714285714281E-3</v>
      </c>
      <c r="M216" s="46"/>
    </row>
    <row r="217" spans="1:13" ht="21" customHeight="1" x14ac:dyDescent="0.25">
      <c r="A217" s="55">
        <v>45787</v>
      </c>
      <c r="B217" s="51" t="s">
        <v>276</v>
      </c>
      <c r="C217" s="49" t="s">
        <v>489</v>
      </c>
      <c r="D217" s="49" t="s">
        <v>300</v>
      </c>
      <c r="E217" s="49" t="s">
        <v>475</v>
      </c>
      <c r="F217" s="50">
        <v>2860</v>
      </c>
      <c r="G217" s="52" t="s">
        <v>128</v>
      </c>
      <c r="H217" s="50">
        <v>2860</v>
      </c>
      <c r="I217" s="20">
        <v>3.4018000000000002</v>
      </c>
      <c r="J217" s="20">
        <f t="shared" si="6"/>
        <v>9729.148000000001</v>
      </c>
      <c r="K217" s="50">
        <v>3000</v>
      </c>
      <c r="L217" s="47">
        <f t="shared" si="7"/>
        <v>0.95333333333333337</v>
      </c>
      <c r="M217" s="46"/>
    </row>
    <row r="218" spans="1:13" ht="21" customHeight="1" x14ac:dyDescent="0.25">
      <c r="A218" s="55">
        <v>45789</v>
      </c>
      <c r="B218" s="49" t="s">
        <v>287</v>
      </c>
      <c r="C218" s="49" t="s">
        <v>266</v>
      </c>
      <c r="D218" s="49" t="s">
        <v>299</v>
      </c>
      <c r="E218" s="49" t="s">
        <v>405</v>
      </c>
      <c r="F218" s="50">
        <f>29+216+2</f>
        <v>247</v>
      </c>
      <c r="G218" s="52" t="s">
        <v>277</v>
      </c>
      <c r="H218" s="42"/>
      <c r="I218" s="4"/>
      <c r="J218" s="4"/>
      <c r="K218" s="50">
        <v>960</v>
      </c>
      <c r="L218" s="47">
        <f t="shared" si="7"/>
        <v>0.25729166666666664</v>
      </c>
      <c r="M218" s="54" t="s">
        <v>289</v>
      </c>
    </row>
    <row r="219" spans="1:13" ht="21" customHeight="1" x14ac:dyDescent="0.25">
      <c r="A219" s="55">
        <v>45790</v>
      </c>
      <c r="B219" s="49" t="s">
        <v>287</v>
      </c>
      <c r="C219" s="49" t="s">
        <v>266</v>
      </c>
      <c r="D219" s="49" t="s">
        <v>299</v>
      </c>
      <c r="E219" s="49" t="s">
        <v>14</v>
      </c>
      <c r="F219" s="50">
        <f>29+216+2</f>
        <v>247</v>
      </c>
      <c r="G219" s="52" t="s">
        <v>277</v>
      </c>
      <c r="H219" s="42"/>
      <c r="I219" s="4"/>
      <c r="J219" s="4"/>
      <c r="K219" s="50">
        <v>960</v>
      </c>
      <c r="L219" s="47">
        <f t="shared" si="7"/>
        <v>0.25729166666666664</v>
      </c>
      <c r="M219" s="54" t="s">
        <v>289</v>
      </c>
    </row>
    <row r="220" spans="1:13" ht="21" customHeight="1" x14ac:dyDescent="0.25">
      <c r="A220" s="55">
        <v>45795</v>
      </c>
      <c r="B220" s="51" t="s">
        <v>287</v>
      </c>
      <c r="C220" s="49" t="s">
        <v>266</v>
      </c>
      <c r="D220" s="49" t="s">
        <v>281</v>
      </c>
      <c r="E220" s="49" t="s">
        <v>22</v>
      </c>
      <c r="F220" s="50">
        <f>16+26</f>
        <v>42</v>
      </c>
      <c r="G220" s="45" t="s">
        <v>277</v>
      </c>
      <c r="H220" s="50"/>
      <c r="I220" s="4"/>
      <c r="J220" s="4"/>
      <c r="K220" s="50">
        <v>83</v>
      </c>
      <c r="L220" s="47">
        <f t="shared" si="7"/>
        <v>0.50602409638554213</v>
      </c>
      <c r="M220" s="46" t="s">
        <v>289</v>
      </c>
    </row>
    <row r="221" spans="1:13" ht="21" customHeight="1" x14ac:dyDescent="0.25">
      <c r="A221" s="55">
        <v>45796</v>
      </c>
      <c r="B221" s="51" t="s">
        <v>287</v>
      </c>
      <c r="C221" s="49" t="s">
        <v>266</v>
      </c>
      <c r="D221" s="49" t="s">
        <v>293</v>
      </c>
      <c r="E221" s="49" t="s">
        <v>20</v>
      </c>
      <c r="F221" s="50">
        <v>25</v>
      </c>
      <c r="G221" s="45" t="s">
        <v>277</v>
      </c>
      <c r="H221" s="42"/>
      <c r="I221" s="4"/>
      <c r="J221" s="4"/>
      <c r="K221" s="50">
        <v>85</v>
      </c>
      <c r="L221" s="47">
        <f t="shared" si="7"/>
        <v>0.29411764705882354</v>
      </c>
      <c r="M221" s="46" t="s">
        <v>289</v>
      </c>
    </row>
    <row r="222" spans="1:13" ht="21" customHeight="1" x14ac:dyDescent="0.25">
      <c r="A222" s="55">
        <v>45793</v>
      </c>
      <c r="B222" s="49" t="s">
        <v>287</v>
      </c>
      <c r="C222" s="49" t="s">
        <v>266</v>
      </c>
      <c r="D222" s="49" t="s">
        <v>299</v>
      </c>
      <c r="E222" s="49" t="s">
        <v>14</v>
      </c>
      <c r="F222" s="50">
        <f>186+13</f>
        <v>199</v>
      </c>
      <c r="G222" s="52" t="s">
        <v>277</v>
      </c>
      <c r="H222" s="42"/>
      <c r="I222" s="4"/>
      <c r="J222" s="4"/>
      <c r="K222" s="50">
        <f>144+336</f>
        <v>480</v>
      </c>
      <c r="L222" s="47">
        <f t="shared" si="7"/>
        <v>0.41458333333333336</v>
      </c>
      <c r="M222" s="54" t="s">
        <v>289</v>
      </c>
    </row>
    <row r="223" spans="1:13" ht="21" customHeight="1" x14ac:dyDescent="0.25">
      <c r="A223" s="55">
        <v>45787</v>
      </c>
      <c r="B223" s="49" t="s">
        <v>287</v>
      </c>
      <c r="C223" s="49" t="s">
        <v>266</v>
      </c>
      <c r="D223" s="49" t="s">
        <v>293</v>
      </c>
      <c r="E223" s="49" t="s">
        <v>20</v>
      </c>
      <c r="F223" s="50">
        <v>24</v>
      </c>
      <c r="G223" s="45" t="s">
        <v>277</v>
      </c>
      <c r="H223" s="50"/>
      <c r="I223" s="4"/>
      <c r="J223" s="4"/>
      <c r="K223" s="50">
        <v>102</v>
      </c>
      <c r="L223" s="47">
        <f t="shared" si="7"/>
        <v>0.23529411764705882</v>
      </c>
      <c r="M223" s="46" t="s">
        <v>289</v>
      </c>
    </row>
    <row r="224" spans="1:13" ht="21" customHeight="1" x14ac:dyDescent="0.25">
      <c r="A224" s="55">
        <v>45788</v>
      </c>
      <c r="B224" s="51" t="s">
        <v>287</v>
      </c>
      <c r="C224" s="49" t="s">
        <v>266</v>
      </c>
      <c r="D224" s="49" t="s">
        <v>293</v>
      </c>
      <c r="E224" s="49" t="s">
        <v>20</v>
      </c>
      <c r="F224" s="50">
        <v>24</v>
      </c>
      <c r="G224" s="45" t="s">
        <v>277</v>
      </c>
      <c r="H224" s="42"/>
      <c r="I224" s="4"/>
      <c r="J224" s="4"/>
      <c r="K224" s="50">
        <v>70</v>
      </c>
      <c r="L224" s="47">
        <f t="shared" si="7"/>
        <v>0.34285714285714286</v>
      </c>
      <c r="M224" s="46" t="s">
        <v>289</v>
      </c>
    </row>
    <row r="225" spans="1:13" ht="21" customHeight="1" x14ac:dyDescent="0.25">
      <c r="A225" s="55">
        <v>45793</v>
      </c>
      <c r="B225" s="51" t="s">
        <v>287</v>
      </c>
      <c r="C225" s="49" t="s">
        <v>266</v>
      </c>
      <c r="D225" s="49" t="s">
        <v>281</v>
      </c>
      <c r="E225" s="49" t="s">
        <v>22</v>
      </c>
      <c r="F225" s="50">
        <v>30</v>
      </c>
      <c r="G225" s="45" t="s">
        <v>277</v>
      </c>
      <c r="H225" s="42"/>
      <c r="I225" s="4"/>
      <c r="J225" s="4"/>
      <c r="K225" s="50">
        <v>80</v>
      </c>
      <c r="L225" s="47">
        <f t="shared" si="7"/>
        <v>0.375</v>
      </c>
      <c r="M225" s="46" t="s">
        <v>289</v>
      </c>
    </row>
    <row r="226" spans="1:13" ht="21" customHeight="1" x14ac:dyDescent="0.25">
      <c r="A226" s="55">
        <v>45804</v>
      </c>
      <c r="B226" s="49" t="s">
        <v>287</v>
      </c>
      <c r="C226" s="49" t="s">
        <v>266</v>
      </c>
      <c r="D226" s="49" t="s">
        <v>299</v>
      </c>
      <c r="E226" s="49" t="s">
        <v>14</v>
      </c>
      <c r="F226" s="50">
        <v>148</v>
      </c>
      <c r="G226" s="52" t="s">
        <v>277</v>
      </c>
      <c r="H226" s="42"/>
      <c r="I226" s="4"/>
      <c r="J226" s="4"/>
      <c r="K226" s="50">
        <v>384</v>
      </c>
      <c r="L226" s="47">
        <f t="shared" si="7"/>
        <v>0.38541666666666669</v>
      </c>
      <c r="M226" s="54" t="s">
        <v>289</v>
      </c>
    </row>
    <row r="227" spans="1:13" ht="21" customHeight="1" x14ac:dyDescent="0.25">
      <c r="A227" s="55">
        <v>45797</v>
      </c>
      <c r="B227" s="51" t="s">
        <v>287</v>
      </c>
      <c r="C227" s="49" t="s">
        <v>266</v>
      </c>
      <c r="D227" s="49" t="s">
        <v>293</v>
      </c>
      <c r="E227" s="49" t="s">
        <v>20</v>
      </c>
      <c r="F227" s="50">
        <v>17</v>
      </c>
      <c r="G227" s="45" t="s">
        <v>277</v>
      </c>
      <c r="H227" s="42"/>
      <c r="I227" s="4"/>
      <c r="J227" s="4"/>
      <c r="K227" s="50">
        <v>60</v>
      </c>
      <c r="L227" s="47">
        <f t="shared" si="7"/>
        <v>0.28333333333333333</v>
      </c>
      <c r="M227" s="46" t="s">
        <v>289</v>
      </c>
    </row>
    <row r="228" spans="1:13" ht="21" customHeight="1" x14ac:dyDescent="0.25">
      <c r="A228" s="55">
        <v>45795</v>
      </c>
      <c r="B228" s="49" t="s">
        <v>287</v>
      </c>
      <c r="C228" s="49" t="s">
        <v>266</v>
      </c>
      <c r="D228" s="49" t="s">
        <v>299</v>
      </c>
      <c r="E228" s="49" t="s">
        <v>14</v>
      </c>
      <c r="F228" s="50">
        <f>125+9</f>
        <v>134</v>
      </c>
      <c r="G228" s="52" t="s">
        <v>277</v>
      </c>
      <c r="H228" s="50"/>
      <c r="I228" s="4"/>
      <c r="J228" s="4"/>
      <c r="K228" s="50">
        <v>528</v>
      </c>
      <c r="L228" s="47">
        <f t="shared" si="7"/>
        <v>0.25378787878787878</v>
      </c>
      <c r="M228" s="54" t="s">
        <v>289</v>
      </c>
    </row>
    <row r="229" spans="1:13" ht="21" customHeight="1" x14ac:dyDescent="0.25">
      <c r="A229" s="55">
        <v>45789</v>
      </c>
      <c r="B229" s="51" t="s">
        <v>287</v>
      </c>
      <c r="C229" s="49" t="s">
        <v>266</v>
      </c>
      <c r="D229" s="49" t="s">
        <v>293</v>
      </c>
      <c r="E229" s="49" t="s">
        <v>20</v>
      </c>
      <c r="F229" s="50">
        <v>16</v>
      </c>
      <c r="G229" s="45" t="s">
        <v>277</v>
      </c>
      <c r="H229" s="42"/>
      <c r="I229" s="4"/>
      <c r="J229" s="4"/>
      <c r="K229" s="50">
        <v>29</v>
      </c>
      <c r="L229" s="47">
        <f t="shared" si="7"/>
        <v>0.55172413793103448</v>
      </c>
      <c r="M229" s="46" t="s">
        <v>289</v>
      </c>
    </row>
    <row r="230" spans="1:13" ht="21" customHeight="1" x14ac:dyDescent="0.25">
      <c r="A230" s="55">
        <v>45790</v>
      </c>
      <c r="B230" s="51" t="s">
        <v>287</v>
      </c>
      <c r="C230" s="49" t="s">
        <v>266</v>
      </c>
      <c r="D230" s="49" t="s">
        <v>293</v>
      </c>
      <c r="E230" s="49" t="s">
        <v>20</v>
      </c>
      <c r="F230" s="50">
        <v>16</v>
      </c>
      <c r="G230" s="45" t="s">
        <v>277</v>
      </c>
      <c r="H230" s="42"/>
      <c r="I230" s="4"/>
      <c r="J230" s="4"/>
      <c r="K230" s="50">
        <v>29</v>
      </c>
      <c r="L230" s="47">
        <f t="shared" si="7"/>
        <v>0.55172413793103448</v>
      </c>
      <c r="M230" s="46" t="s">
        <v>289</v>
      </c>
    </row>
    <row r="231" spans="1:13" ht="21" customHeight="1" x14ac:dyDescent="0.25">
      <c r="A231" s="55">
        <v>45783</v>
      </c>
      <c r="B231" s="49" t="s">
        <v>287</v>
      </c>
      <c r="C231" s="49" t="s">
        <v>266</v>
      </c>
      <c r="D231" s="49" t="s">
        <v>281</v>
      </c>
      <c r="E231" s="49" t="s">
        <v>22</v>
      </c>
      <c r="F231" s="50">
        <v>23</v>
      </c>
      <c r="G231" s="45" t="s">
        <v>277</v>
      </c>
      <c r="H231" s="42"/>
      <c r="I231" s="4"/>
      <c r="J231" s="4"/>
      <c r="K231" s="50">
        <f>60+72</f>
        <v>132</v>
      </c>
      <c r="L231" s="47">
        <f t="shared" si="7"/>
        <v>0.17424242424242425</v>
      </c>
      <c r="M231" s="46" t="s">
        <v>289</v>
      </c>
    </row>
    <row r="232" spans="1:13" ht="21" customHeight="1" x14ac:dyDescent="0.25">
      <c r="A232" s="55">
        <v>45785</v>
      </c>
      <c r="B232" s="49" t="s">
        <v>287</v>
      </c>
      <c r="C232" s="49" t="s">
        <v>266</v>
      </c>
      <c r="D232" s="49" t="s">
        <v>281</v>
      </c>
      <c r="E232" s="49" t="s">
        <v>22</v>
      </c>
      <c r="F232" s="50">
        <v>23</v>
      </c>
      <c r="G232" s="45" t="s">
        <v>277</v>
      </c>
      <c r="H232" s="42"/>
      <c r="I232" s="4"/>
      <c r="J232" s="4"/>
      <c r="K232" s="50">
        <v>64</v>
      </c>
      <c r="L232" s="47">
        <f t="shared" si="7"/>
        <v>0.359375</v>
      </c>
      <c r="M232" s="46" t="s">
        <v>289</v>
      </c>
    </row>
    <row r="233" spans="1:13" ht="21" customHeight="1" x14ac:dyDescent="0.25">
      <c r="A233" s="55">
        <v>45799</v>
      </c>
      <c r="B233" s="49" t="s">
        <v>287</v>
      </c>
      <c r="C233" s="49" t="s">
        <v>266</v>
      </c>
      <c r="D233" s="49" t="s">
        <v>299</v>
      </c>
      <c r="E233" s="49" t="s">
        <v>14</v>
      </c>
      <c r="F233" s="50">
        <f>72+32</f>
        <v>104</v>
      </c>
      <c r="G233" s="52" t="s">
        <v>277</v>
      </c>
      <c r="H233" s="42"/>
      <c r="I233" s="4"/>
      <c r="J233" s="4"/>
      <c r="K233" s="50">
        <v>480</v>
      </c>
      <c r="L233" s="47">
        <f t="shared" si="7"/>
        <v>0.21666666666666667</v>
      </c>
      <c r="M233" s="54" t="s">
        <v>289</v>
      </c>
    </row>
    <row r="234" spans="1:13" ht="21" customHeight="1" x14ac:dyDescent="0.25">
      <c r="A234" s="55">
        <v>45782</v>
      </c>
      <c r="B234" s="49" t="s">
        <v>287</v>
      </c>
      <c r="C234" s="49" t="s">
        <v>266</v>
      </c>
      <c r="D234" s="49" t="s">
        <v>271</v>
      </c>
      <c r="E234" s="51" t="s">
        <v>21</v>
      </c>
      <c r="F234" s="50">
        <v>16</v>
      </c>
      <c r="G234" s="45" t="s">
        <v>277</v>
      </c>
      <c r="H234" s="42"/>
      <c r="I234" s="4"/>
      <c r="J234" s="4"/>
      <c r="K234" s="50">
        <v>31</v>
      </c>
      <c r="L234" s="47">
        <f t="shared" si="7"/>
        <v>0.5161290322580645</v>
      </c>
      <c r="M234" s="46" t="s">
        <v>289</v>
      </c>
    </row>
    <row r="235" spans="1:13" ht="21" customHeight="1" x14ac:dyDescent="0.25">
      <c r="A235" s="55">
        <v>45785</v>
      </c>
      <c r="B235" s="49" t="s">
        <v>287</v>
      </c>
      <c r="C235" s="49" t="s">
        <v>266</v>
      </c>
      <c r="D235" s="49" t="s">
        <v>271</v>
      </c>
      <c r="E235" s="51" t="s">
        <v>21</v>
      </c>
      <c r="F235" s="50">
        <v>16</v>
      </c>
      <c r="G235" s="45" t="s">
        <v>277</v>
      </c>
      <c r="H235" s="42"/>
      <c r="I235" s="4"/>
      <c r="J235" s="4"/>
      <c r="K235" s="50">
        <v>34</v>
      </c>
      <c r="L235" s="47">
        <f t="shared" si="7"/>
        <v>0.47058823529411764</v>
      </c>
      <c r="M235" s="46" t="s">
        <v>289</v>
      </c>
    </row>
    <row r="236" spans="1:13" ht="21" customHeight="1" x14ac:dyDescent="0.25">
      <c r="A236" s="55">
        <v>45784</v>
      </c>
      <c r="B236" s="49" t="s">
        <v>287</v>
      </c>
      <c r="C236" s="49" t="s">
        <v>266</v>
      </c>
      <c r="D236" s="49" t="s">
        <v>293</v>
      </c>
      <c r="E236" s="49" t="s">
        <v>20</v>
      </c>
      <c r="F236" s="50">
        <v>12</v>
      </c>
      <c r="G236" s="45" t="s">
        <v>277</v>
      </c>
      <c r="H236" s="50"/>
      <c r="I236" s="4"/>
      <c r="J236" s="4"/>
      <c r="K236" s="50">
        <v>34</v>
      </c>
      <c r="L236" s="47">
        <f t="shared" si="7"/>
        <v>0.35294117647058826</v>
      </c>
      <c r="M236" s="46" t="s">
        <v>289</v>
      </c>
    </row>
    <row r="237" spans="1:13" ht="21" customHeight="1" x14ac:dyDescent="0.25">
      <c r="A237" s="55">
        <v>45781</v>
      </c>
      <c r="B237" s="49" t="s">
        <v>287</v>
      </c>
      <c r="C237" s="49" t="s">
        <v>266</v>
      </c>
      <c r="D237" s="51" t="s">
        <v>271</v>
      </c>
      <c r="E237" s="49" t="s">
        <v>386</v>
      </c>
      <c r="F237" s="50">
        <v>14</v>
      </c>
      <c r="G237" s="45" t="s">
        <v>277</v>
      </c>
      <c r="H237" s="42"/>
      <c r="I237" s="4"/>
      <c r="J237" s="4"/>
      <c r="K237" s="50">
        <v>36</v>
      </c>
      <c r="L237" s="47">
        <f t="shared" si="7"/>
        <v>0.3888888888888889</v>
      </c>
      <c r="M237" s="46" t="s">
        <v>289</v>
      </c>
    </row>
    <row r="238" spans="1:13" ht="21" customHeight="1" x14ac:dyDescent="0.25">
      <c r="A238" s="55">
        <v>45800</v>
      </c>
      <c r="B238" s="49" t="s">
        <v>287</v>
      </c>
      <c r="C238" s="49" t="s">
        <v>266</v>
      </c>
      <c r="D238" s="49" t="s">
        <v>299</v>
      </c>
      <c r="E238" s="49" t="s">
        <v>14</v>
      </c>
      <c r="F238" s="50">
        <f>82+2</f>
        <v>84</v>
      </c>
      <c r="G238" s="52" t="s">
        <v>277</v>
      </c>
      <c r="H238" s="42"/>
      <c r="I238" s="4"/>
      <c r="J238" s="4"/>
      <c r="K238" s="50">
        <f>48+384</f>
        <v>432</v>
      </c>
      <c r="L238" s="47">
        <f t="shared" si="7"/>
        <v>0.19444444444444445</v>
      </c>
      <c r="M238" s="54" t="s">
        <v>289</v>
      </c>
    </row>
    <row r="239" spans="1:13" ht="21" customHeight="1" x14ac:dyDescent="0.25">
      <c r="A239" s="55">
        <v>45792</v>
      </c>
      <c r="B239" s="49" t="s">
        <v>287</v>
      </c>
      <c r="C239" s="49" t="s">
        <v>266</v>
      </c>
      <c r="D239" s="49" t="s">
        <v>299</v>
      </c>
      <c r="E239" s="49" t="s">
        <v>14</v>
      </c>
      <c r="F239" s="50">
        <f>72+8</f>
        <v>80</v>
      </c>
      <c r="G239" s="52" t="s">
        <v>277</v>
      </c>
      <c r="H239" s="42"/>
      <c r="I239" s="4"/>
      <c r="J239" s="4"/>
      <c r="K239" s="50">
        <v>624</v>
      </c>
      <c r="L239" s="47">
        <f t="shared" si="7"/>
        <v>0.12820512820512819</v>
      </c>
      <c r="M239" s="54" t="s">
        <v>289</v>
      </c>
    </row>
    <row r="240" spans="1:13" ht="21" customHeight="1" x14ac:dyDescent="0.25">
      <c r="A240" s="55">
        <v>45797</v>
      </c>
      <c r="B240" s="49" t="s">
        <v>287</v>
      </c>
      <c r="C240" s="49" t="s">
        <v>266</v>
      </c>
      <c r="D240" s="49" t="s">
        <v>299</v>
      </c>
      <c r="E240" s="49" t="s">
        <v>14</v>
      </c>
      <c r="F240" s="50">
        <v>76</v>
      </c>
      <c r="G240" s="52" t="s">
        <v>277</v>
      </c>
      <c r="H240" s="42"/>
      <c r="I240" s="4"/>
      <c r="J240" s="4"/>
      <c r="K240" s="50">
        <v>192</v>
      </c>
      <c r="L240" s="47">
        <f t="shared" si="7"/>
        <v>0.39583333333333331</v>
      </c>
      <c r="M240" s="54" t="s">
        <v>289</v>
      </c>
    </row>
    <row r="241" spans="1:13" ht="21" customHeight="1" x14ac:dyDescent="0.25">
      <c r="A241" s="55">
        <v>45786</v>
      </c>
      <c r="B241" s="49" t="s">
        <v>287</v>
      </c>
      <c r="C241" s="49" t="s">
        <v>266</v>
      </c>
      <c r="D241" s="49" t="s">
        <v>293</v>
      </c>
      <c r="E241" s="49" t="s">
        <v>20</v>
      </c>
      <c r="F241" s="50">
        <v>8</v>
      </c>
      <c r="G241" s="45" t="s">
        <v>277</v>
      </c>
      <c r="H241" s="42"/>
      <c r="I241" s="4"/>
      <c r="J241" s="4"/>
      <c r="K241" s="50">
        <v>57</v>
      </c>
      <c r="L241" s="47">
        <f t="shared" si="7"/>
        <v>0.14035087719298245</v>
      </c>
      <c r="M241" s="46" t="s">
        <v>289</v>
      </c>
    </row>
    <row r="242" spans="1:13" ht="21" customHeight="1" x14ac:dyDescent="0.25">
      <c r="A242" s="55">
        <v>45805</v>
      </c>
      <c r="B242" s="49" t="s">
        <v>287</v>
      </c>
      <c r="C242" s="49" t="s">
        <v>266</v>
      </c>
      <c r="D242" s="49" t="s">
        <v>271</v>
      </c>
      <c r="E242" s="51" t="s">
        <v>21</v>
      </c>
      <c r="F242" s="50">
        <v>8</v>
      </c>
      <c r="G242" s="45" t="s">
        <v>277</v>
      </c>
      <c r="H242" s="42"/>
      <c r="I242" s="4"/>
      <c r="J242" s="4"/>
      <c r="K242" s="50">
        <v>12</v>
      </c>
      <c r="L242" s="47">
        <f t="shared" si="7"/>
        <v>0.66666666666666663</v>
      </c>
      <c r="M242" s="46" t="s">
        <v>289</v>
      </c>
    </row>
    <row r="243" spans="1:13" ht="21" customHeight="1" x14ac:dyDescent="0.25">
      <c r="A243" s="55">
        <v>45784</v>
      </c>
      <c r="B243" s="49" t="s">
        <v>287</v>
      </c>
      <c r="C243" s="49" t="s">
        <v>266</v>
      </c>
      <c r="D243" s="49" t="s">
        <v>281</v>
      </c>
      <c r="E243" s="49" t="s">
        <v>22</v>
      </c>
      <c r="F243" s="50">
        <v>9</v>
      </c>
      <c r="G243" s="45" t="s">
        <v>277</v>
      </c>
      <c r="H243" s="50"/>
      <c r="I243" s="4"/>
      <c r="J243" s="4"/>
      <c r="K243" s="50">
        <v>72</v>
      </c>
      <c r="L243" s="47">
        <f t="shared" si="7"/>
        <v>0.125</v>
      </c>
      <c r="M243" s="46" t="s">
        <v>289</v>
      </c>
    </row>
    <row r="244" spans="1:13" ht="21" customHeight="1" x14ac:dyDescent="0.25">
      <c r="A244" s="55">
        <v>45806</v>
      </c>
      <c r="B244" s="49" t="s">
        <v>287</v>
      </c>
      <c r="C244" s="49" t="s">
        <v>266</v>
      </c>
      <c r="D244" s="49" t="s">
        <v>271</v>
      </c>
      <c r="E244" s="51" t="s">
        <v>21</v>
      </c>
      <c r="F244" s="50">
        <v>7</v>
      </c>
      <c r="G244" s="45" t="s">
        <v>277</v>
      </c>
      <c r="H244" s="42"/>
      <c r="I244" s="4"/>
      <c r="J244" s="4"/>
      <c r="K244" s="50">
        <v>9</v>
      </c>
      <c r="L244" s="47">
        <f t="shared" si="7"/>
        <v>0.77777777777777779</v>
      </c>
      <c r="M244" s="46" t="s">
        <v>289</v>
      </c>
    </row>
    <row r="245" spans="1:13" ht="21" customHeight="1" x14ac:dyDescent="0.25">
      <c r="A245" s="55">
        <v>45794</v>
      </c>
      <c r="B245" s="49" t="s">
        <v>287</v>
      </c>
      <c r="C245" s="49" t="s">
        <v>266</v>
      </c>
      <c r="D245" s="49" t="s">
        <v>299</v>
      </c>
      <c r="E245" s="49" t="s">
        <v>14</v>
      </c>
      <c r="F245" s="50">
        <v>34</v>
      </c>
      <c r="G245" s="52" t="s">
        <v>277</v>
      </c>
      <c r="H245" s="42"/>
      <c r="I245" s="4"/>
      <c r="J245" s="4"/>
      <c r="K245" s="50">
        <v>354</v>
      </c>
      <c r="L245" s="47">
        <f t="shared" si="7"/>
        <v>9.6045197740112997E-2</v>
      </c>
      <c r="M245" s="54" t="s">
        <v>289</v>
      </c>
    </row>
    <row r="246" spans="1:13" ht="21" customHeight="1" x14ac:dyDescent="0.25">
      <c r="A246" s="55">
        <v>45791</v>
      </c>
      <c r="B246" s="51" t="s">
        <v>287</v>
      </c>
      <c r="C246" s="49" t="s">
        <v>266</v>
      </c>
      <c r="D246" s="49" t="s">
        <v>281</v>
      </c>
      <c r="E246" s="49" t="s">
        <v>22</v>
      </c>
      <c r="F246" s="50">
        <v>6</v>
      </c>
      <c r="G246" s="45" t="s">
        <v>277</v>
      </c>
      <c r="H246" s="42"/>
      <c r="I246" s="4"/>
      <c r="J246" s="4"/>
      <c r="K246" s="50">
        <v>64</v>
      </c>
      <c r="L246" s="47">
        <f t="shared" si="7"/>
        <v>9.375E-2</v>
      </c>
      <c r="M246" s="46" t="s">
        <v>289</v>
      </c>
    </row>
    <row r="247" spans="1:13" ht="21" customHeight="1" x14ac:dyDescent="0.25">
      <c r="A247" s="55">
        <v>45801</v>
      </c>
      <c r="B247" s="49" t="s">
        <v>287</v>
      </c>
      <c r="C247" s="49" t="s">
        <v>266</v>
      </c>
      <c r="D247" s="49" t="s">
        <v>271</v>
      </c>
      <c r="E247" s="51" t="s">
        <v>21</v>
      </c>
      <c r="F247" s="50">
        <v>5</v>
      </c>
      <c r="G247" s="45" t="s">
        <v>277</v>
      </c>
      <c r="H247" s="42"/>
      <c r="I247" s="4"/>
      <c r="J247" s="4"/>
      <c r="K247" s="50">
        <v>10</v>
      </c>
      <c r="L247" s="47">
        <f t="shared" si="7"/>
        <v>0.5</v>
      </c>
      <c r="M247" s="46" t="s">
        <v>289</v>
      </c>
    </row>
    <row r="248" spans="1:13" ht="21" customHeight="1" x14ac:dyDescent="0.25">
      <c r="A248" s="55">
        <v>45786</v>
      </c>
      <c r="B248" s="49" t="s">
        <v>287</v>
      </c>
      <c r="C248" s="49" t="s">
        <v>266</v>
      </c>
      <c r="D248" s="49" t="s">
        <v>281</v>
      </c>
      <c r="E248" s="49" t="s">
        <v>22</v>
      </c>
      <c r="F248" s="50">
        <v>5</v>
      </c>
      <c r="G248" s="45" t="s">
        <v>277</v>
      </c>
      <c r="H248" s="42"/>
      <c r="I248" s="4"/>
      <c r="J248" s="4"/>
      <c r="K248" s="50">
        <v>15</v>
      </c>
      <c r="L248" s="47">
        <f t="shared" si="7"/>
        <v>0.33333333333333331</v>
      </c>
      <c r="M248" s="46" t="s">
        <v>289</v>
      </c>
    </row>
    <row r="249" spans="1:13" ht="21" customHeight="1" x14ac:dyDescent="0.25">
      <c r="A249" s="55">
        <v>45786</v>
      </c>
      <c r="B249" s="49" t="s">
        <v>287</v>
      </c>
      <c r="C249" s="49" t="s">
        <v>266</v>
      </c>
      <c r="D249" s="49" t="s">
        <v>286</v>
      </c>
      <c r="E249" s="49" t="s">
        <v>23</v>
      </c>
      <c r="F249" s="50">
        <v>26</v>
      </c>
      <c r="G249" s="45" t="s">
        <v>277</v>
      </c>
      <c r="H249" s="42"/>
      <c r="I249" s="4"/>
      <c r="J249" s="4"/>
      <c r="K249" s="50">
        <v>70</v>
      </c>
      <c r="L249" s="47">
        <f t="shared" si="7"/>
        <v>0.37142857142857144</v>
      </c>
      <c r="M249" s="46" t="s">
        <v>289</v>
      </c>
    </row>
    <row r="250" spans="1:13" ht="21" customHeight="1" x14ac:dyDescent="0.25">
      <c r="A250" s="55">
        <v>45791</v>
      </c>
      <c r="B250" s="51" t="s">
        <v>287</v>
      </c>
      <c r="C250" s="49" t="s">
        <v>266</v>
      </c>
      <c r="D250" s="49" t="s">
        <v>304</v>
      </c>
      <c r="E250" s="49" t="s">
        <v>367</v>
      </c>
      <c r="F250" s="50">
        <f>48+4</f>
        <v>52</v>
      </c>
      <c r="G250" s="52" t="s">
        <v>277</v>
      </c>
      <c r="H250" s="42"/>
      <c r="I250" s="4"/>
      <c r="J250" s="4"/>
      <c r="K250" s="50">
        <v>142</v>
      </c>
      <c r="L250" s="47">
        <f t="shared" si="7"/>
        <v>0.36619718309859156</v>
      </c>
      <c r="M250" s="54" t="s">
        <v>289</v>
      </c>
    </row>
    <row r="251" spans="1:13" ht="21" customHeight="1" x14ac:dyDescent="0.25">
      <c r="A251" s="55">
        <v>45786</v>
      </c>
      <c r="B251" s="49" t="s">
        <v>287</v>
      </c>
      <c r="C251" s="49" t="s">
        <v>266</v>
      </c>
      <c r="D251" s="49" t="s">
        <v>271</v>
      </c>
      <c r="E251" s="51" t="s">
        <v>21</v>
      </c>
      <c r="F251" s="50">
        <v>3</v>
      </c>
      <c r="G251" s="45" t="s">
        <v>277</v>
      </c>
      <c r="H251" s="42"/>
      <c r="I251" s="4"/>
      <c r="J251" s="4"/>
      <c r="K251" s="50">
        <v>24</v>
      </c>
      <c r="L251" s="47">
        <f t="shared" si="7"/>
        <v>0.125</v>
      </c>
      <c r="M251" s="46" t="s">
        <v>289</v>
      </c>
    </row>
    <row r="252" spans="1:13" ht="21" customHeight="1" x14ac:dyDescent="0.25">
      <c r="A252" s="55">
        <v>45799</v>
      </c>
      <c r="B252" s="49" t="s">
        <v>287</v>
      </c>
      <c r="C252" s="49" t="s">
        <v>266</v>
      </c>
      <c r="D252" s="49" t="s">
        <v>271</v>
      </c>
      <c r="E252" s="51" t="s">
        <v>21</v>
      </c>
      <c r="F252" s="50">
        <v>3</v>
      </c>
      <c r="G252" s="45" t="s">
        <v>277</v>
      </c>
      <c r="H252" s="42"/>
      <c r="I252" s="4"/>
      <c r="J252" s="4"/>
      <c r="K252" s="50">
        <v>6</v>
      </c>
      <c r="L252" s="47">
        <f t="shared" si="7"/>
        <v>0.5</v>
      </c>
      <c r="M252" s="46" t="s">
        <v>289</v>
      </c>
    </row>
    <row r="253" spans="1:13" ht="21" customHeight="1" x14ac:dyDescent="0.25">
      <c r="A253" s="55">
        <v>45782</v>
      </c>
      <c r="B253" s="49" t="s">
        <v>287</v>
      </c>
      <c r="C253" s="49" t="s">
        <v>266</v>
      </c>
      <c r="D253" s="49" t="s">
        <v>286</v>
      </c>
      <c r="E253" s="49" t="s">
        <v>388</v>
      </c>
      <c r="F253" s="50">
        <v>29</v>
      </c>
      <c r="G253" s="45" t="s">
        <v>277</v>
      </c>
      <c r="H253" s="42"/>
      <c r="I253" s="4"/>
      <c r="J253" s="4"/>
      <c r="K253" s="50">
        <v>61</v>
      </c>
      <c r="L253" s="47">
        <f t="shared" si="7"/>
        <v>0.47540983606557374</v>
      </c>
      <c r="M253" s="46" t="s">
        <v>289</v>
      </c>
    </row>
    <row r="254" spans="1:13" ht="21" customHeight="1" x14ac:dyDescent="0.25">
      <c r="A254" s="55">
        <v>45785</v>
      </c>
      <c r="B254" s="49" t="s">
        <v>287</v>
      </c>
      <c r="C254" s="49" t="s">
        <v>266</v>
      </c>
      <c r="D254" s="49" t="s">
        <v>292</v>
      </c>
      <c r="E254" s="49" t="s">
        <v>4</v>
      </c>
      <c r="F254" s="50">
        <f>150+1</f>
        <v>151</v>
      </c>
      <c r="G254" s="45" t="s">
        <v>277</v>
      </c>
      <c r="H254" s="42"/>
      <c r="I254" s="4"/>
      <c r="J254" s="4"/>
      <c r="K254" s="50">
        <f>1650+600</f>
        <v>2250</v>
      </c>
      <c r="L254" s="47">
        <f t="shared" si="7"/>
        <v>6.7111111111111107E-2</v>
      </c>
      <c r="M254" s="46" t="s">
        <v>289</v>
      </c>
    </row>
    <row r="255" spans="1:13" ht="21" customHeight="1" x14ac:dyDescent="0.25">
      <c r="A255" s="55">
        <v>45787</v>
      </c>
      <c r="B255" s="49" t="s">
        <v>287</v>
      </c>
      <c r="C255" s="49" t="s">
        <v>375</v>
      </c>
      <c r="D255" s="51" t="s">
        <v>332</v>
      </c>
      <c r="E255" s="51" t="s">
        <v>376</v>
      </c>
      <c r="F255" s="50">
        <f>12+15</f>
        <v>27</v>
      </c>
      <c r="G255" s="45" t="s">
        <v>277</v>
      </c>
      <c r="H255" s="50"/>
      <c r="I255" s="4"/>
      <c r="J255" s="4"/>
      <c r="K255" s="50">
        <f>1116+134</f>
        <v>1250</v>
      </c>
      <c r="L255" s="47">
        <f t="shared" si="7"/>
        <v>2.1600000000000001E-2</v>
      </c>
      <c r="M255" s="54" t="s">
        <v>289</v>
      </c>
    </row>
    <row r="256" spans="1:13" ht="21" customHeight="1" x14ac:dyDescent="0.25">
      <c r="A256" s="55">
        <v>45782</v>
      </c>
      <c r="B256" s="49" t="s">
        <v>287</v>
      </c>
      <c r="C256" s="49" t="s">
        <v>266</v>
      </c>
      <c r="D256" s="49" t="s">
        <v>281</v>
      </c>
      <c r="E256" s="49" t="s">
        <v>387</v>
      </c>
      <c r="F256" s="50">
        <v>2</v>
      </c>
      <c r="G256" s="52" t="s">
        <v>277</v>
      </c>
      <c r="H256" s="42"/>
      <c r="I256" s="4"/>
      <c r="J256" s="4"/>
      <c r="K256" s="50">
        <v>88</v>
      </c>
      <c r="L256" s="47">
        <f t="shared" si="7"/>
        <v>2.2727272727272728E-2</v>
      </c>
      <c r="M256" s="46" t="s">
        <v>289</v>
      </c>
    </row>
    <row r="257" spans="1:13" ht="21" customHeight="1" x14ac:dyDescent="0.25">
      <c r="A257" s="55">
        <v>45785</v>
      </c>
      <c r="B257" s="49" t="s">
        <v>287</v>
      </c>
      <c r="C257" s="49" t="s">
        <v>266</v>
      </c>
      <c r="D257" s="49" t="s">
        <v>293</v>
      </c>
      <c r="E257" s="49" t="s">
        <v>20</v>
      </c>
      <c r="F257" s="50">
        <v>1</v>
      </c>
      <c r="G257" s="45" t="s">
        <v>277</v>
      </c>
      <c r="H257" s="42"/>
      <c r="I257" s="4"/>
      <c r="J257" s="4"/>
      <c r="K257" s="50">
        <v>27</v>
      </c>
      <c r="L257" s="47">
        <f t="shared" si="7"/>
        <v>3.7037037037037035E-2</v>
      </c>
      <c r="M257" s="46" t="s">
        <v>289</v>
      </c>
    </row>
    <row r="258" spans="1:13" ht="21" customHeight="1" x14ac:dyDescent="0.25">
      <c r="A258" s="55">
        <v>45787</v>
      </c>
      <c r="B258" s="49" t="s">
        <v>287</v>
      </c>
      <c r="C258" s="49" t="s">
        <v>266</v>
      </c>
      <c r="D258" s="49" t="s">
        <v>286</v>
      </c>
      <c r="E258" s="49" t="s">
        <v>23</v>
      </c>
      <c r="F258" s="50">
        <v>7</v>
      </c>
      <c r="G258" s="45" t="s">
        <v>277</v>
      </c>
      <c r="H258" s="42"/>
      <c r="I258" s="4"/>
      <c r="J258" s="4"/>
      <c r="K258" s="50">
        <v>48</v>
      </c>
      <c r="L258" s="47">
        <f t="shared" ref="L258:L284" si="8">F258/K258</f>
        <v>0.14583333333333334</v>
      </c>
      <c r="M258" s="46" t="s">
        <v>289</v>
      </c>
    </row>
    <row r="259" spans="1:13" ht="21" customHeight="1" x14ac:dyDescent="0.25">
      <c r="A259" s="55">
        <v>45786</v>
      </c>
      <c r="B259" s="49" t="s">
        <v>287</v>
      </c>
      <c r="C259" s="49" t="s">
        <v>266</v>
      </c>
      <c r="D259" s="49" t="s">
        <v>292</v>
      </c>
      <c r="E259" s="49" t="s">
        <v>4</v>
      </c>
      <c r="F259" s="50">
        <v>81</v>
      </c>
      <c r="G259" s="45" t="s">
        <v>277</v>
      </c>
      <c r="H259" s="42"/>
      <c r="I259" s="4"/>
      <c r="J259" s="4"/>
      <c r="K259" s="50">
        <v>1650</v>
      </c>
      <c r="L259" s="47">
        <f t="shared" si="8"/>
        <v>4.9090909090909088E-2</v>
      </c>
      <c r="M259" s="46" t="s">
        <v>289</v>
      </c>
    </row>
    <row r="260" spans="1:13" ht="21" customHeight="1" x14ac:dyDescent="0.25">
      <c r="A260" s="55">
        <v>45802</v>
      </c>
      <c r="B260" s="49" t="s">
        <v>287</v>
      </c>
      <c r="C260" s="49" t="s">
        <v>266</v>
      </c>
      <c r="D260" s="49" t="s">
        <v>271</v>
      </c>
      <c r="E260" s="51" t="s">
        <v>21</v>
      </c>
      <c r="F260" s="50">
        <v>1</v>
      </c>
      <c r="G260" s="45" t="s">
        <v>277</v>
      </c>
      <c r="H260" s="42"/>
      <c r="I260" s="4"/>
      <c r="J260" s="4"/>
      <c r="K260" s="50">
        <v>8</v>
      </c>
      <c r="L260" s="47">
        <f t="shared" si="8"/>
        <v>0.125</v>
      </c>
      <c r="M260" s="46" t="s">
        <v>289</v>
      </c>
    </row>
    <row r="261" spans="1:13" ht="21" customHeight="1" x14ac:dyDescent="0.25">
      <c r="A261" s="55">
        <v>45783</v>
      </c>
      <c r="B261" s="49" t="s">
        <v>287</v>
      </c>
      <c r="C261" s="49" t="s">
        <v>266</v>
      </c>
      <c r="D261" s="49" t="s">
        <v>292</v>
      </c>
      <c r="E261" s="49" t="s">
        <v>389</v>
      </c>
      <c r="F261" s="50">
        <v>66</v>
      </c>
      <c r="G261" s="45" t="s">
        <v>277</v>
      </c>
      <c r="H261" s="50"/>
      <c r="I261" s="4"/>
      <c r="J261" s="4"/>
      <c r="K261" s="50">
        <v>1350</v>
      </c>
      <c r="L261" s="47">
        <f t="shared" si="8"/>
        <v>4.8888888888888891E-2</v>
      </c>
      <c r="M261" s="46" t="s">
        <v>289</v>
      </c>
    </row>
    <row r="262" spans="1:13" ht="21" customHeight="1" x14ac:dyDescent="0.25">
      <c r="A262" s="55">
        <v>45792</v>
      </c>
      <c r="B262" s="49" t="s">
        <v>287</v>
      </c>
      <c r="C262" s="49" t="s">
        <v>266</v>
      </c>
      <c r="D262" s="49" t="s">
        <v>292</v>
      </c>
      <c r="E262" s="49" t="s">
        <v>4</v>
      </c>
      <c r="F262" s="50">
        <f>3+12+43</f>
        <v>58</v>
      </c>
      <c r="G262" s="45" t="s">
        <v>277</v>
      </c>
      <c r="H262" s="42"/>
      <c r="I262" s="4"/>
      <c r="J262" s="4"/>
      <c r="K262" s="50">
        <f>600+1200</f>
        <v>1800</v>
      </c>
      <c r="L262" s="47">
        <f t="shared" si="8"/>
        <v>3.2222222222222222E-2</v>
      </c>
      <c r="M262" s="46" t="s">
        <v>289</v>
      </c>
    </row>
    <row r="263" spans="1:13" ht="21" customHeight="1" x14ac:dyDescent="0.25">
      <c r="A263" s="55">
        <v>45802</v>
      </c>
      <c r="B263" s="49" t="s">
        <v>287</v>
      </c>
      <c r="C263" s="49" t="s">
        <v>266</v>
      </c>
      <c r="D263" s="49" t="s">
        <v>292</v>
      </c>
      <c r="E263" s="49" t="s">
        <v>4</v>
      </c>
      <c r="F263" s="50">
        <v>57</v>
      </c>
      <c r="G263" s="45" t="s">
        <v>277</v>
      </c>
      <c r="H263" s="42"/>
      <c r="I263" s="4"/>
      <c r="J263" s="4"/>
      <c r="K263" s="50">
        <v>1350</v>
      </c>
      <c r="L263" s="47">
        <f t="shared" si="8"/>
        <v>4.2222222222222223E-2</v>
      </c>
      <c r="M263" s="46" t="s">
        <v>289</v>
      </c>
    </row>
    <row r="264" spans="1:13" ht="21" customHeight="1" x14ac:dyDescent="0.25">
      <c r="A264" s="55">
        <v>45787</v>
      </c>
      <c r="B264" s="49" t="s">
        <v>287</v>
      </c>
      <c r="C264" s="49" t="s">
        <v>266</v>
      </c>
      <c r="D264" s="49" t="s">
        <v>299</v>
      </c>
      <c r="E264" s="49" t="s">
        <v>14</v>
      </c>
      <c r="F264" s="50">
        <v>4</v>
      </c>
      <c r="G264" s="52" t="s">
        <v>277</v>
      </c>
      <c r="H264" s="42"/>
      <c r="I264" s="4"/>
      <c r="J264" s="4"/>
      <c r="K264" s="50">
        <v>192</v>
      </c>
      <c r="L264" s="47">
        <f t="shared" si="8"/>
        <v>2.0833333333333332E-2</v>
      </c>
      <c r="M264" s="54" t="s">
        <v>289</v>
      </c>
    </row>
    <row r="265" spans="1:13" ht="21" customHeight="1" x14ac:dyDescent="0.25">
      <c r="A265" s="55">
        <v>45785</v>
      </c>
      <c r="B265" s="49" t="s">
        <v>287</v>
      </c>
      <c r="C265" s="49" t="s">
        <v>266</v>
      </c>
      <c r="D265" s="49" t="s">
        <v>286</v>
      </c>
      <c r="E265" s="49" t="s">
        <v>23</v>
      </c>
      <c r="F265" s="50">
        <v>4</v>
      </c>
      <c r="G265" s="45" t="s">
        <v>277</v>
      </c>
      <c r="H265" s="42"/>
      <c r="I265" s="4"/>
      <c r="J265" s="4"/>
      <c r="K265" s="50">
        <v>30</v>
      </c>
      <c r="L265" s="47">
        <f t="shared" si="8"/>
        <v>0.13333333333333333</v>
      </c>
      <c r="M265" s="46" t="s">
        <v>289</v>
      </c>
    </row>
    <row r="266" spans="1:13" ht="21" customHeight="1" x14ac:dyDescent="0.25">
      <c r="A266" s="55">
        <v>45794</v>
      </c>
      <c r="B266" s="49" t="s">
        <v>287</v>
      </c>
      <c r="C266" s="49" t="s">
        <v>266</v>
      </c>
      <c r="D266" s="49" t="s">
        <v>292</v>
      </c>
      <c r="E266" s="49" t="s">
        <v>4</v>
      </c>
      <c r="F266" s="50">
        <f>35+10</f>
        <v>45</v>
      </c>
      <c r="G266" s="45" t="s">
        <v>277</v>
      </c>
      <c r="H266" s="42"/>
      <c r="I266" s="4"/>
      <c r="J266" s="4"/>
      <c r="K266" s="50">
        <v>1200</v>
      </c>
      <c r="L266" s="47">
        <f t="shared" si="8"/>
        <v>3.7499999999999999E-2</v>
      </c>
      <c r="M266" s="46" t="s">
        <v>289</v>
      </c>
    </row>
    <row r="267" spans="1:13" ht="21" customHeight="1" x14ac:dyDescent="0.25">
      <c r="A267" s="55">
        <v>45795</v>
      </c>
      <c r="B267" s="49" t="s">
        <v>287</v>
      </c>
      <c r="C267" s="49" t="s">
        <v>266</v>
      </c>
      <c r="D267" s="49" t="s">
        <v>292</v>
      </c>
      <c r="E267" s="49" t="s">
        <v>4</v>
      </c>
      <c r="F267" s="50">
        <f>31+10</f>
        <v>41</v>
      </c>
      <c r="G267" s="45" t="s">
        <v>277</v>
      </c>
      <c r="H267" s="50"/>
      <c r="I267" s="4"/>
      <c r="J267" s="4"/>
      <c r="K267" s="50">
        <v>750</v>
      </c>
      <c r="L267" s="47">
        <f t="shared" si="8"/>
        <v>5.4666666666666669E-2</v>
      </c>
      <c r="M267" s="46" t="s">
        <v>289</v>
      </c>
    </row>
    <row r="268" spans="1:13" ht="21" customHeight="1" x14ac:dyDescent="0.25">
      <c r="A268" s="55">
        <v>45799</v>
      </c>
      <c r="B268" s="49" t="s">
        <v>287</v>
      </c>
      <c r="C268" s="49" t="s">
        <v>266</v>
      </c>
      <c r="D268" s="49" t="s">
        <v>292</v>
      </c>
      <c r="E268" s="49" t="s">
        <v>4</v>
      </c>
      <c r="F268" s="50">
        <f>16+18</f>
        <v>34</v>
      </c>
      <c r="G268" s="45" t="s">
        <v>277</v>
      </c>
      <c r="H268" s="42"/>
      <c r="I268" s="4"/>
      <c r="J268" s="4"/>
      <c r="K268" s="50">
        <f>300+900</f>
        <v>1200</v>
      </c>
      <c r="L268" s="47">
        <f t="shared" si="8"/>
        <v>2.8333333333333332E-2</v>
      </c>
      <c r="M268" s="46" t="s">
        <v>289</v>
      </c>
    </row>
    <row r="269" spans="1:13" ht="21" customHeight="1" x14ac:dyDescent="0.25">
      <c r="A269" s="55">
        <v>45798</v>
      </c>
      <c r="B269" s="49" t="s">
        <v>287</v>
      </c>
      <c r="C269" s="49" t="s">
        <v>266</v>
      </c>
      <c r="D269" s="49" t="s">
        <v>292</v>
      </c>
      <c r="E269" s="49" t="s">
        <v>4</v>
      </c>
      <c r="F269" s="50">
        <v>33</v>
      </c>
      <c r="G269" s="45" t="s">
        <v>277</v>
      </c>
      <c r="H269" s="42"/>
      <c r="I269" s="4"/>
      <c r="J269" s="4"/>
      <c r="K269" s="50">
        <v>450</v>
      </c>
      <c r="L269" s="47">
        <f t="shared" si="8"/>
        <v>7.3333333333333334E-2</v>
      </c>
      <c r="M269" s="46" t="s">
        <v>289</v>
      </c>
    </row>
    <row r="270" spans="1:13" ht="21" customHeight="1" x14ac:dyDescent="0.25">
      <c r="A270" s="55">
        <v>45786</v>
      </c>
      <c r="B270" s="49" t="s">
        <v>287</v>
      </c>
      <c r="C270" s="49" t="s">
        <v>375</v>
      </c>
      <c r="D270" s="51" t="s">
        <v>332</v>
      </c>
      <c r="E270" s="49" t="s">
        <v>384</v>
      </c>
      <c r="F270" s="50">
        <v>12</v>
      </c>
      <c r="G270" s="45" t="s">
        <v>277</v>
      </c>
      <c r="H270" s="42"/>
      <c r="I270" s="4"/>
      <c r="J270" s="4"/>
      <c r="K270" s="50">
        <v>216</v>
      </c>
      <c r="L270" s="47">
        <f t="shared" si="8"/>
        <v>5.5555555555555552E-2</v>
      </c>
      <c r="M270" s="54" t="s">
        <v>289</v>
      </c>
    </row>
    <row r="271" spans="1:13" ht="21" customHeight="1" x14ac:dyDescent="0.25">
      <c r="A271" s="55">
        <v>45803</v>
      </c>
      <c r="B271" s="49" t="s">
        <v>287</v>
      </c>
      <c r="C271" s="49" t="s">
        <v>266</v>
      </c>
      <c r="D271" s="49" t="s">
        <v>292</v>
      </c>
      <c r="E271" s="49" t="s">
        <v>4</v>
      </c>
      <c r="F271" s="50">
        <f>18+12</f>
        <v>30</v>
      </c>
      <c r="G271" s="45" t="s">
        <v>277</v>
      </c>
      <c r="H271" s="42"/>
      <c r="I271" s="4"/>
      <c r="J271" s="4"/>
      <c r="K271" s="50">
        <f>1200+150</f>
        <v>1350</v>
      </c>
      <c r="L271" s="47">
        <f t="shared" si="8"/>
        <v>2.2222222222222223E-2</v>
      </c>
      <c r="M271" s="46" t="s">
        <v>289</v>
      </c>
    </row>
    <row r="272" spans="1:13" ht="21" customHeight="1" x14ac:dyDescent="0.25">
      <c r="A272" s="55">
        <v>45804</v>
      </c>
      <c r="B272" s="49" t="s">
        <v>287</v>
      </c>
      <c r="C272" s="49" t="s">
        <v>266</v>
      </c>
      <c r="D272" s="49" t="s">
        <v>292</v>
      </c>
      <c r="E272" s="49" t="s">
        <v>4</v>
      </c>
      <c r="F272" s="50">
        <v>29</v>
      </c>
      <c r="G272" s="45" t="s">
        <v>277</v>
      </c>
      <c r="H272" s="42"/>
      <c r="I272" s="4"/>
      <c r="J272" s="4"/>
      <c r="K272" s="50">
        <v>450</v>
      </c>
      <c r="L272" s="47">
        <f t="shared" si="8"/>
        <v>6.4444444444444443E-2</v>
      </c>
      <c r="M272" s="46" t="s">
        <v>289</v>
      </c>
    </row>
    <row r="273" spans="1:13" ht="21" customHeight="1" x14ac:dyDescent="0.25">
      <c r="A273" s="55">
        <v>45787</v>
      </c>
      <c r="B273" s="49" t="s">
        <v>287</v>
      </c>
      <c r="C273" s="49" t="s">
        <v>266</v>
      </c>
      <c r="D273" s="49" t="s">
        <v>292</v>
      </c>
      <c r="E273" s="49" t="s">
        <v>4</v>
      </c>
      <c r="F273" s="50">
        <f>26+2</f>
        <v>28</v>
      </c>
      <c r="G273" s="45" t="s">
        <v>277</v>
      </c>
      <c r="H273" s="50"/>
      <c r="I273" s="4"/>
      <c r="J273" s="4"/>
      <c r="K273" s="50">
        <v>450</v>
      </c>
      <c r="L273" s="47">
        <f t="shared" si="8"/>
        <v>6.222222222222222E-2</v>
      </c>
      <c r="M273" s="46" t="s">
        <v>289</v>
      </c>
    </row>
    <row r="274" spans="1:13" ht="21" customHeight="1" x14ac:dyDescent="0.25">
      <c r="A274" s="55">
        <v>45793</v>
      </c>
      <c r="B274" s="49" t="s">
        <v>287</v>
      </c>
      <c r="C274" s="49" t="s">
        <v>266</v>
      </c>
      <c r="D274" s="49" t="s">
        <v>292</v>
      </c>
      <c r="E274" s="49" t="s">
        <v>4</v>
      </c>
      <c r="F274" s="50">
        <v>27</v>
      </c>
      <c r="G274" s="45" t="s">
        <v>277</v>
      </c>
      <c r="H274" s="42"/>
      <c r="I274" s="4"/>
      <c r="J274" s="4"/>
      <c r="K274" s="50">
        <v>1200</v>
      </c>
      <c r="L274" s="47">
        <f t="shared" si="8"/>
        <v>2.2499999999999999E-2</v>
      </c>
      <c r="M274" s="46" t="s">
        <v>289</v>
      </c>
    </row>
    <row r="275" spans="1:13" ht="21" customHeight="1" x14ac:dyDescent="0.25">
      <c r="A275" s="55">
        <v>45797</v>
      </c>
      <c r="B275" s="49" t="s">
        <v>287</v>
      </c>
      <c r="C275" s="49" t="s">
        <v>266</v>
      </c>
      <c r="D275" s="49" t="s">
        <v>292</v>
      </c>
      <c r="E275" s="49" t="s">
        <v>4</v>
      </c>
      <c r="F275" s="50">
        <v>24</v>
      </c>
      <c r="G275" s="45" t="s">
        <v>277</v>
      </c>
      <c r="H275" s="42"/>
      <c r="I275" s="4"/>
      <c r="J275" s="4"/>
      <c r="K275" s="50">
        <v>300</v>
      </c>
      <c r="L275" s="47">
        <f t="shared" si="8"/>
        <v>0.08</v>
      </c>
      <c r="M275" s="46" t="s">
        <v>289</v>
      </c>
    </row>
    <row r="276" spans="1:13" ht="21" customHeight="1" x14ac:dyDescent="0.25">
      <c r="A276" s="55">
        <v>45783</v>
      </c>
      <c r="B276" s="49" t="s">
        <v>287</v>
      </c>
      <c r="C276" s="49" t="s">
        <v>266</v>
      </c>
      <c r="D276" s="49" t="s">
        <v>286</v>
      </c>
      <c r="E276" s="49" t="s">
        <v>388</v>
      </c>
      <c r="F276" s="50">
        <v>2</v>
      </c>
      <c r="G276" s="45" t="s">
        <v>277</v>
      </c>
      <c r="H276" s="50"/>
      <c r="I276" s="4"/>
      <c r="J276" s="4"/>
      <c r="K276" s="50">
        <v>27</v>
      </c>
      <c r="L276" s="47">
        <f t="shared" si="8"/>
        <v>7.407407407407407E-2</v>
      </c>
      <c r="M276" s="46" t="s">
        <v>289</v>
      </c>
    </row>
    <row r="277" spans="1:13" ht="21" customHeight="1" x14ac:dyDescent="0.25">
      <c r="A277" s="55">
        <v>45789</v>
      </c>
      <c r="B277" s="51" t="s">
        <v>287</v>
      </c>
      <c r="C277" s="49" t="s">
        <v>266</v>
      </c>
      <c r="D277" s="49" t="s">
        <v>303</v>
      </c>
      <c r="E277" s="49" t="s">
        <v>4</v>
      </c>
      <c r="F277" s="50">
        <v>22</v>
      </c>
      <c r="G277" s="52" t="s">
        <v>277</v>
      </c>
      <c r="H277" s="42"/>
      <c r="I277" s="4"/>
      <c r="J277" s="4"/>
      <c r="K277" s="50">
        <v>300</v>
      </c>
      <c r="L277" s="47">
        <f t="shared" si="8"/>
        <v>7.3333333333333334E-2</v>
      </c>
      <c r="M277" s="54" t="s">
        <v>289</v>
      </c>
    </row>
    <row r="278" spans="1:13" ht="21" customHeight="1" x14ac:dyDescent="0.25">
      <c r="A278" s="55">
        <v>45790</v>
      </c>
      <c r="B278" s="51" t="s">
        <v>287</v>
      </c>
      <c r="C278" s="49" t="s">
        <v>266</v>
      </c>
      <c r="D278" s="49" t="s">
        <v>303</v>
      </c>
      <c r="E278" s="49" t="s">
        <v>4</v>
      </c>
      <c r="F278" s="50">
        <v>22</v>
      </c>
      <c r="G278" s="52" t="s">
        <v>277</v>
      </c>
      <c r="H278" s="42"/>
      <c r="I278" s="4"/>
      <c r="J278" s="4"/>
      <c r="K278" s="50">
        <v>300</v>
      </c>
      <c r="L278" s="47">
        <f t="shared" si="8"/>
        <v>7.3333333333333334E-2</v>
      </c>
      <c r="M278" s="54" t="s">
        <v>289</v>
      </c>
    </row>
    <row r="279" spans="1:13" ht="21" customHeight="1" x14ac:dyDescent="0.25">
      <c r="A279" s="55">
        <v>45802</v>
      </c>
      <c r="B279" s="49" t="s">
        <v>287</v>
      </c>
      <c r="C279" s="49" t="s">
        <v>375</v>
      </c>
      <c r="D279" s="51" t="s">
        <v>332</v>
      </c>
      <c r="E279" s="51" t="s">
        <v>376</v>
      </c>
      <c r="F279" s="50">
        <v>2</v>
      </c>
      <c r="G279" s="45" t="s">
        <v>277</v>
      </c>
      <c r="H279" s="42"/>
      <c r="I279" s="4"/>
      <c r="J279" s="4"/>
      <c r="K279" s="50">
        <v>610</v>
      </c>
      <c r="L279" s="47">
        <f t="shared" si="8"/>
        <v>3.2786885245901639E-3</v>
      </c>
      <c r="M279" s="54" t="s">
        <v>289</v>
      </c>
    </row>
    <row r="280" spans="1:13" ht="21" customHeight="1" x14ac:dyDescent="0.25">
      <c r="A280" s="55">
        <v>45806</v>
      </c>
      <c r="B280" s="49" t="s">
        <v>287</v>
      </c>
      <c r="C280" s="49" t="s">
        <v>486</v>
      </c>
      <c r="D280" s="51" t="s">
        <v>332</v>
      </c>
      <c r="E280" s="49" t="s">
        <v>384</v>
      </c>
      <c r="F280" s="50">
        <v>4</v>
      </c>
      <c r="G280" s="52" t="s">
        <v>314</v>
      </c>
      <c r="H280" s="42">
        <v>2</v>
      </c>
      <c r="I280" s="20">
        <v>7</v>
      </c>
      <c r="J280" s="20">
        <f>H280*I280</f>
        <v>14</v>
      </c>
      <c r="K280" s="50">
        <v>206</v>
      </c>
      <c r="L280" s="47">
        <f t="shared" si="8"/>
        <v>1.9417475728155338E-2</v>
      </c>
      <c r="M280" s="54" t="s">
        <v>313</v>
      </c>
    </row>
    <row r="281" spans="1:13" ht="21" customHeight="1" x14ac:dyDescent="0.25">
      <c r="A281" s="55">
        <v>45807</v>
      </c>
      <c r="B281" s="49" t="s">
        <v>287</v>
      </c>
      <c r="C281" s="49" t="s">
        <v>489</v>
      </c>
      <c r="D281" s="49" t="s">
        <v>292</v>
      </c>
      <c r="E281" s="49" t="s">
        <v>389</v>
      </c>
      <c r="F281" s="50">
        <f>74+40</f>
        <v>114</v>
      </c>
      <c r="G281" s="45" t="s">
        <v>314</v>
      </c>
      <c r="H281" s="42">
        <v>40</v>
      </c>
      <c r="I281" s="20">
        <v>3.6124000000000001</v>
      </c>
      <c r="J281" s="20">
        <f>H281*I281</f>
        <v>144.49600000000001</v>
      </c>
      <c r="K281" s="50">
        <v>2250</v>
      </c>
      <c r="L281" s="47">
        <f t="shared" si="8"/>
        <v>5.0666666666666665E-2</v>
      </c>
      <c r="M281" s="46" t="s">
        <v>313</v>
      </c>
    </row>
    <row r="282" spans="1:13" ht="21" customHeight="1" x14ac:dyDescent="0.25">
      <c r="A282" s="55">
        <v>45805</v>
      </c>
      <c r="B282" s="49" t="s">
        <v>287</v>
      </c>
      <c r="C282" s="49" t="s">
        <v>489</v>
      </c>
      <c r="D282" s="49" t="s">
        <v>292</v>
      </c>
      <c r="E282" s="49" t="s">
        <v>4</v>
      </c>
      <c r="F282" s="50">
        <f>150+24</f>
        <v>174</v>
      </c>
      <c r="G282" s="45" t="s">
        <v>314</v>
      </c>
      <c r="H282" s="42">
        <v>24</v>
      </c>
      <c r="I282" s="20">
        <v>3.6124000000000001</v>
      </c>
      <c r="J282" s="20">
        <f>H282*I282</f>
        <v>86.697599999999994</v>
      </c>
      <c r="K282" s="50">
        <f>150+1050+1500</f>
        <v>2700</v>
      </c>
      <c r="L282" s="47">
        <f t="shared" si="8"/>
        <v>6.4444444444444443E-2</v>
      </c>
      <c r="M282" s="46" t="s">
        <v>313</v>
      </c>
    </row>
    <row r="283" spans="1:13" ht="21" customHeight="1" x14ac:dyDescent="0.25">
      <c r="A283" s="55">
        <v>45806</v>
      </c>
      <c r="B283" s="49" t="s">
        <v>287</v>
      </c>
      <c r="C283" s="49" t="s">
        <v>489</v>
      </c>
      <c r="D283" s="49" t="s">
        <v>292</v>
      </c>
      <c r="E283" s="49" t="s">
        <v>4</v>
      </c>
      <c r="F283" s="50">
        <f>45+16</f>
        <v>61</v>
      </c>
      <c r="G283" s="45" t="s">
        <v>314</v>
      </c>
      <c r="H283" s="42">
        <v>16</v>
      </c>
      <c r="I283" s="20">
        <v>3.6124000000000001</v>
      </c>
      <c r="J283" s="20">
        <f>H283*I283</f>
        <v>57.798400000000001</v>
      </c>
      <c r="K283" s="50">
        <v>1200</v>
      </c>
      <c r="L283" s="47">
        <f t="shared" si="8"/>
        <v>5.0833333333333335E-2</v>
      </c>
      <c r="M283" s="46" t="s">
        <v>313</v>
      </c>
    </row>
    <row r="284" spans="1:13" ht="21" customHeight="1" x14ac:dyDescent="0.25">
      <c r="A284" s="55">
        <v>45807</v>
      </c>
      <c r="B284" s="49" t="s">
        <v>287</v>
      </c>
      <c r="C284" s="49" t="s">
        <v>489</v>
      </c>
      <c r="D284" s="49" t="s">
        <v>299</v>
      </c>
      <c r="E284" s="49" t="s">
        <v>405</v>
      </c>
      <c r="F284" s="50">
        <f>288+23</f>
        <v>311</v>
      </c>
      <c r="G284" s="52" t="s">
        <v>314</v>
      </c>
      <c r="H284" s="42">
        <v>23</v>
      </c>
      <c r="I284" s="20">
        <v>34.097000000000001</v>
      </c>
      <c r="J284" s="20">
        <f>H284*I284</f>
        <v>784.23099999999999</v>
      </c>
      <c r="K284" s="50">
        <v>720</v>
      </c>
      <c r="L284" s="47">
        <f t="shared" si="8"/>
        <v>0.43194444444444446</v>
      </c>
      <c r="M284" s="46" t="s">
        <v>313</v>
      </c>
    </row>
    <row r="285" spans="1:13" x14ac:dyDescent="0.25">
      <c r="A285" s="17">
        <v>45789</v>
      </c>
      <c r="B285" s="9" t="s">
        <v>250</v>
      </c>
      <c r="C285" s="9" t="s">
        <v>483</v>
      </c>
      <c r="D285" s="39" t="s">
        <v>11</v>
      </c>
      <c r="E285" s="10" t="s">
        <v>10</v>
      </c>
      <c r="F285" s="11">
        <v>491</v>
      </c>
      <c r="G285" s="25" t="s">
        <v>6</v>
      </c>
      <c r="H285" s="11">
        <v>491</v>
      </c>
      <c r="I285" s="9">
        <v>23.28</v>
      </c>
      <c r="J285" s="60">
        <v>11430.480000000001</v>
      </c>
      <c r="K285" s="20"/>
      <c r="L285" s="20"/>
      <c r="M285" s="20"/>
    </row>
    <row r="286" spans="1:13" x14ac:dyDescent="0.25">
      <c r="A286" s="17">
        <v>45807</v>
      </c>
      <c r="B286" s="9" t="s">
        <v>250</v>
      </c>
      <c r="C286" s="9" t="s">
        <v>483</v>
      </c>
      <c r="D286" s="39" t="s">
        <v>11</v>
      </c>
      <c r="E286" s="9" t="s">
        <v>10</v>
      </c>
      <c r="F286" s="9">
        <v>280</v>
      </c>
      <c r="G286" s="25" t="s">
        <v>6</v>
      </c>
      <c r="H286" s="9">
        <v>280</v>
      </c>
      <c r="I286" s="9">
        <v>23.28</v>
      </c>
      <c r="J286" s="60">
        <v>6518.4000000000005</v>
      </c>
      <c r="K286" s="20"/>
      <c r="L286" s="20"/>
      <c r="M286" s="20"/>
    </row>
    <row r="287" spans="1:13" x14ac:dyDescent="0.25">
      <c r="A287" s="17">
        <v>45802</v>
      </c>
      <c r="B287" s="9" t="s">
        <v>250</v>
      </c>
      <c r="C287" s="9" t="s">
        <v>483</v>
      </c>
      <c r="D287" s="39" t="s">
        <v>11</v>
      </c>
      <c r="E287" s="9" t="s">
        <v>10</v>
      </c>
      <c r="F287" s="9">
        <v>244</v>
      </c>
      <c r="G287" s="25" t="s">
        <v>6</v>
      </c>
      <c r="H287" s="9">
        <v>244</v>
      </c>
      <c r="I287" s="9">
        <v>23.28</v>
      </c>
      <c r="J287" s="60">
        <v>5680.3200000000006</v>
      </c>
      <c r="K287" s="20"/>
      <c r="L287" s="20"/>
      <c r="M287" s="20"/>
    </row>
    <row r="288" spans="1:13" x14ac:dyDescent="0.25">
      <c r="A288" s="17">
        <v>45790</v>
      </c>
      <c r="B288" s="9" t="s">
        <v>250</v>
      </c>
      <c r="C288" s="9" t="s">
        <v>7</v>
      </c>
      <c r="D288" s="39" t="s">
        <v>28</v>
      </c>
      <c r="E288" s="9" t="s">
        <v>83</v>
      </c>
      <c r="F288" s="11">
        <v>18</v>
      </c>
      <c r="G288" s="23" t="s">
        <v>125</v>
      </c>
      <c r="H288" s="11"/>
      <c r="I288" s="21"/>
      <c r="J288" s="60">
        <v>0</v>
      </c>
      <c r="K288" s="20"/>
      <c r="L288" s="20"/>
      <c r="M288" s="20"/>
    </row>
    <row r="289" spans="1:13" x14ac:dyDescent="0.25">
      <c r="A289" s="17">
        <v>45789</v>
      </c>
      <c r="B289" s="9" t="s">
        <v>250</v>
      </c>
      <c r="C289" s="9" t="s">
        <v>7</v>
      </c>
      <c r="D289" s="39" t="s">
        <v>34</v>
      </c>
      <c r="E289" s="10" t="s">
        <v>84</v>
      </c>
      <c r="F289" s="11">
        <v>24</v>
      </c>
      <c r="G289" s="23" t="s">
        <v>125</v>
      </c>
      <c r="H289" s="11"/>
      <c r="I289" s="21"/>
      <c r="J289" s="60">
        <v>0</v>
      </c>
      <c r="K289" s="20"/>
      <c r="L289" s="20"/>
      <c r="M289" s="20"/>
    </row>
    <row r="290" spans="1:13" x14ac:dyDescent="0.25">
      <c r="A290" s="28">
        <v>45795</v>
      </c>
      <c r="B290" s="9" t="s">
        <v>250</v>
      </c>
      <c r="C290" s="28" t="s">
        <v>486</v>
      </c>
      <c r="D290" s="29" t="s">
        <v>189</v>
      </c>
      <c r="E290" s="65" t="s">
        <v>190</v>
      </c>
      <c r="F290" s="9">
        <v>70</v>
      </c>
      <c r="G290" s="9" t="s">
        <v>128</v>
      </c>
      <c r="H290" s="9">
        <v>70</v>
      </c>
      <c r="I290" s="32">
        <v>84.9983</v>
      </c>
      <c r="J290" s="60">
        <v>5949.8810000000003</v>
      </c>
      <c r="K290" s="20"/>
      <c r="L290" s="20"/>
      <c r="M290" s="20"/>
    </row>
    <row r="291" spans="1:13" x14ac:dyDescent="0.25">
      <c r="A291" s="17">
        <v>45789</v>
      </c>
      <c r="B291" s="9" t="s">
        <v>250</v>
      </c>
      <c r="C291" s="9" t="s">
        <v>483</v>
      </c>
      <c r="D291" s="39" t="s">
        <v>24</v>
      </c>
      <c r="E291" s="10" t="s">
        <v>81</v>
      </c>
      <c r="F291" s="11">
        <v>244</v>
      </c>
      <c r="G291" s="25" t="s">
        <v>6</v>
      </c>
      <c r="H291" s="11">
        <v>244</v>
      </c>
      <c r="I291" s="9">
        <v>19.18</v>
      </c>
      <c r="J291" s="60">
        <v>4679.92</v>
      </c>
      <c r="K291" s="20"/>
      <c r="L291" s="20"/>
      <c r="M291" s="20"/>
    </row>
    <row r="292" spans="1:13" x14ac:dyDescent="0.25">
      <c r="A292" s="17">
        <v>45805</v>
      </c>
      <c r="B292" s="9" t="s">
        <v>250</v>
      </c>
      <c r="C292" s="4" t="s">
        <v>76</v>
      </c>
      <c r="D292" s="39" t="s">
        <v>34</v>
      </c>
      <c r="E292" s="9" t="s">
        <v>84</v>
      </c>
      <c r="F292" s="9">
        <v>18</v>
      </c>
      <c r="G292" s="23" t="s">
        <v>125</v>
      </c>
      <c r="H292" s="9"/>
      <c r="I292" s="21"/>
      <c r="J292" s="60">
        <v>0</v>
      </c>
      <c r="K292" s="20"/>
      <c r="L292" s="20"/>
      <c r="M292" s="20"/>
    </row>
    <row r="293" spans="1:13" x14ac:dyDescent="0.25">
      <c r="A293" s="17">
        <v>45802</v>
      </c>
      <c r="B293" s="9" t="s">
        <v>250</v>
      </c>
      <c r="C293" s="9" t="s">
        <v>483</v>
      </c>
      <c r="D293" s="39" t="s">
        <v>79</v>
      </c>
      <c r="E293" s="9" t="s">
        <v>411</v>
      </c>
      <c r="F293" s="9">
        <v>174</v>
      </c>
      <c r="G293" s="25" t="s">
        <v>6</v>
      </c>
      <c r="H293" s="9">
        <v>174</v>
      </c>
      <c r="I293" s="9">
        <v>21.83</v>
      </c>
      <c r="J293" s="60">
        <v>3798.4199999999996</v>
      </c>
      <c r="K293" s="20"/>
      <c r="L293" s="20"/>
      <c r="M293" s="20"/>
    </row>
    <row r="294" spans="1:13" x14ac:dyDescent="0.25">
      <c r="A294" s="17">
        <v>45797</v>
      </c>
      <c r="B294" s="9" t="s">
        <v>250</v>
      </c>
      <c r="C294" s="9" t="s">
        <v>7</v>
      </c>
      <c r="D294" s="39" t="s">
        <v>28</v>
      </c>
      <c r="E294" s="9" t="s">
        <v>20</v>
      </c>
      <c r="F294" s="9">
        <v>11</v>
      </c>
      <c r="G294" s="23" t="s">
        <v>125</v>
      </c>
      <c r="H294" s="9"/>
      <c r="I294" s="21"/>
      <c r="J294" s="60">
        <v>0</v>
      </c>
      <c r="K294" s="20"/>
      <c r="L294" s="20"/>
      <c r="M294" s="20"/>
    </row>
    <row r="295" spans="1:13" x14ac:dyDescent="0.25">
      <c r="A295" s="17">
        <v>45805</v>
      </c>
      <c r="B295" s="9" t="s">
        <v>250</v>
      </c>
      <c r="C295" s="4" t="s">
        <v>76</v>
      </c>
      <c r="D295" s="39" t="s">
        <v>28</v>
      </c>
      <c r="E295" s="9" t="s">
        <v>83</v>
      </c>
      <c r="F295" s="9">
        <v>9</v>
      </c>
      <c r="G295" s="23" t="s">
        <v>125</v>
      </c>
      <c r="H295" s="9"/>
      <c r="I295" s="21"/>
      <c r="J295" s="60">
        <v>0</v>
      </c>
      <c r="K295" s="20"/>
      <c r="L295" s="20"/>
      <c r="M295" s="20"/>
    </row>
    <row r="296" spans="1:13" x14ac:dyDescent="0.25">
      <c r="A296" s="34">
        <v>45799</v>
      </c>
      <c r="B296" s="9" t="s">
        <v>250</v>
      </c>
      <c r="C296" s="23" t="s">
        <v>126</v>
      </c>
      <c r="D296" s="38" t="s">
        <v>156</v>
      </c>
      <c r="E296" s="9" t="s">
        <v>379</v>
      </c>
      <c r="F296" s="23">
        <v>87</v>
      </c>
      <c r="G296" s="23" t="s">
        <v>125</v>
      </c>
      <c r="H296" s="23"/>
      <c r="I296" s="21"/>
      <c r="J296" s="60">
        <v>0</v>
      </c>
      <c r="K296" s="20"/>
      <c r="L296" s="20"/>
      <c r="M296" s="20"/>
    </row>
    <row r="297" spans="1:13" x14ac:dyDescent="0.25">
      <c r="A297" s="17">
        <v>45791</v>
      </c>
      <c r="B297" s="9" t="s">
        <v>250</v>
      </c>
      <c r="C297" s="9" t="s">
        <v>483</v>
      </c>
      <c r="D297" s="39" t="s">
        <v>11</v>
      </c>
      <c r="E297" s="10" t="s">
        <v>10</v>
      </c>
      <c r="F297" s="9">
        <v>109</v>
      </c>
      <c r="G297" s="9" t="s">
        <v>6</v>
      </c>
      <c r="H297" s="9">
        <v>109</v>
      </c>
      <c r="I297" s="9">
        <v>23.28</v>
      </c>
      <c r="J297" s="60">
        <v>2537.52</v>
      </c>
      <c r="K297" s="20"/>
      <c r="L297" s="20"/>
      <c r="M297" s="20"/>
    </row>
    <row r="298" spans="1:13" x14ac:dyDescent="0.25">
      <c r="A298" s="28">
        <v>45789</v>
      </c>
      <c r="B298" s="9" t="s">
        <v>250</v>
      </c>
      <c r="C298" s="28" t="s">
        <v>486</v>
      </c>
      <c r="D298" s="29" t="s">
        <v>189</v>
      </c>
      <c r="E298" s="30" t="s">
        <v>190</v>
      </c>
      <c r="F298" s="9">
        <v>31</v>
      </c>
      <c r="G298" s="9" t="s">
        <v>128</v>
      </c>
      <c r="H298" s="9">
        <v>31</v>
      </c>
      <c r="I298" s="32">
        <v>84.9983</v>
      </c>
      <c r="J298" s="60">
        <v>2634.9472999999998</v>
      </c>
      <c r="K298" s="20"/>
      <c r="L298" s="20"/>
      <c r="M298" s="20"/>
    </row>
    <row r="299" spans="1:13" x14ac:dyDescent="0.25">
      <c r="A299" s="34">
        <v>45787</v>
      </c>
      <c r="B299" s="9" t="s">
        <v>250</v>
      </c>
      <c r="C299" s="23" t="s">
        <v>126</v>
      </c>
      <c r="D299" s="38" t="s">
        <v>136</v>
      </c>
      <c r="E299" s="9" t="s">
        <v>137</v>
      </c>
      <c r="F299" s="23">
        <v>19</v>
      </c>
      <c r="G299" s="23" t="s">
        <v>125</v>
      </c>
      <c r="H299" s="23"/>
      <c r="I299" s="21"/>
      <c r="J299" s="60">
        <v>0</v>
      </c>
      <c r="K299" s="20"/>
      <c r="L299" s="20"/>
      <c r="M299" s="20"/>
    </row>
    <row r="300" spans="1:13" x14ac:dyDescent="0.25">
      <c r="A300" s="28">
        <v>45790</v>
      </c>
      <c r="B300" s="9" t="s">
        <v>250</v>
      </c>
      <c r="C300" s="28" t="s">
        <v>486</v>
      </c>
      <c r="D300" s="29" t="s">
        <v>187</v>
      </c>
      <c r="E300" s="65" t="s">
        <v>188</v>
      </c>
      <c r="F300" s="9">
        <v>73</v>
      </c>
      <c r="G300" s="9" t="s">
        <v>128</v>
      </c>
      <c r="H300" s="9">
        <v>73</v>
      </c>
      <c r="I300" s="32">
        <v>27.2667</v>
      </c>
      <c r="J300" s="60">
        <v>1990.4691</v>
      </c>
      <c r="K300" s="20"/>
      <c r="L300" s="20"/>
      <c r="M300" s="20"/>
    </row>
    <row r="301" spans="1:13" x14ac:dyDescent="0.25">
      <c r="A301" s="3">
        <v>45799</v>
      </c>
      <c r="B301" s="9" t="s">
        <v>250</v>
      </c>
      <c r="C301" s="4" t="s">
        <v>76</v>
      </c>
      <c r="D301" s="39" t="s">
        <v>37</v>
      </c>
      <c r="E301" s="9" t="s">
        <v>176</v>
      </c>
      <c r="F301" s="9">
        <v>58</v>
      </c>
      <c r="G301" s="23" t="s">
        <v>125</v>
      </c>
      <c r="H301" s="9"/>
      <c r="I301" s="21"/>
      <c r="J301" s="60">
        <v>0</v>
      </c>
      <c r="K301" s="20"/>
      <c r="L301" s="20"/>
      <c r="M301" s="20"/>
    </row>
    <row r="302" spans="1:13" x14ac:dyDescent="0.25">
      <c r="A302" s="28">
        <v>45796</v>
      </c>
      <c r="B302" s="9" t="s">
        <v>250</v>
      </c>
      <c r="C302" s="28" t="s">
        <v>486</v>
      </c>
      <c r="D302" s="29" t="s">
        <v>187</v>
      </c>
      <c r="E302" s="30" t="s">
        <v>188</v>
      </c>
      <c r="F302" s="9">
        <v>72</v>
      </c>
      <c r="G302" s="9" t="s">
        <v>128</v>
      </c>
      <c r="H302" s="9">
        <v>72</v>
      </c>
      <c r="I302" s="31">
        <v>27.2667</v>
      </c>
      <c r="J302" s="60">
        <v>1963.2024000000001</v>
      </c>
      <c r="K302" s="20"/>
      <c r="L302" s="20"/>
      <c r="M302" s="20"/>
    </row>
    <row r="303" spans="1:13" x14ac:dyDescent="0.25">
      <c r="A303" s="28">
        <v>45795</v>
      </c>
      <c r="B303" s="9" t="s">
        <v>250</v>
      </c>
      <c r="C303" s="28" t="s">
        <v>486</v>
      </c>
      <c r="D303" s="29" t="s">
        <v>189</v>
      </c>
      <c r="E303" s="30" t="s">
        <v>190</v>
      </c>
      <c r="F303" s="9">
        <v>20</v>
      </c>
      <c r="G303" s="9" t="s">
        <v>128</v>
      </c>
      <c r="H303" s="9">
        <v>20</v>
      </c>
      <c r="I303" s="32">
        <v>84.9983</v>
      </c>
      <c r="J303" s="60">
        <v>1699.9659999999999</v>
      </c>
      <c r="K303" s="20"/>
      <c r="L303" s="20"/>
      <c r="M303" s="20"/>
    </row>
    <row r="304" spans="1:13" x14ac:dyDescent="0.25">
      <c r="A304" s="17">
        <v>45789</v>
      </c>
      <c r="B304" s="9" t="s">
        <v>250</v>
      </c>
      <c r="C304" s="9" t="s">
        <v>489</v>
      </c>
      <c r="D304" s="39" t="s">
        <v>36</v>
      </c>
      <c r="E304" s="9" t="s">
        <v>371</v>
      </c>
      <c r="F304" s="11">
        <v>82</v>
      </c>
      <c r="G304" s="25" t="s">
        <v>6</v>
      </c>
      <c r="H304" s="11">
        <v>82</v>
      </c>
      <c r="I304" s="9">
        <v>16.991</v>
      </c>
      <c r="J304" s="60">
        <v>1393.2619999999999</v>
      </c>
      <c r="K304" s="20"/>
      <c r="L304" s="20"/>
      <c r="M304" s="20"/>
    </row>
    <row r="305" spans="1:13" x14ac:dyDescent="0.25">
      <c r="A305" s="17">
        <v>45790</v>
      </c>
      <c r="B305" s="9" t="s">
        <v>250</v>
      </c>
      <c r="C305" s="9" t="s">
        <v>7</v>
      </c>
      <c r="D305" s="39" t="s">
        <v>34</v>
      </c>
      <c r="E305" s="9" t="s">
        <v>22</v>
      </c>
      <c r="F305" s="11">
        <v>6</v>
      </c>
      <c r="G305" s="23" t="s">
        <v>125</v>
      </c>
      <c r="H305" s="11"/>
      <c r="I305" s="21"/>
      <c r="J305" s="60">
        <v>0</v>
      </c>
      <c r="K305" s="20"/>
      <c r="L305" s="20"/>
      <c r="M305" s="20"/>
    </row>
    <row r="306" spans="1:13" x14ac:dyDescent="0.25">
      <c r="A306" s="3">
        <v>45799</v>
      </c>
      <c r="B306" s="9" t="s">
        <v>250</v>
      </c>
      <c r="C306" s="4" t="s">
        <v>489</v>
      </c>
      <c r="D306" s="39" t="s">
        <v>60</v>
      </c>
      <c r="E306" s="9" t="s">
        <v>15</v>
      </c>
      <c r="F306" s="9">
        <v>78</v>
      </c>
      <c r="G306" s="25" t="s">
        <v>6</v>
      </c>
      <c r="H306" s="9">
        <v>78</v>
      </c>
      <c r="I306" s="9">
        <v>16.991</v>
      </c>
      <c r="J306" s="60">
        <v>1325.298</v>
      </c>
      <c r="K306" s="20"/>
      <c r="L306" s="20"/>
      <c r="M306" s="20"/>
    </row>
    <row r="307" spans="1:13" x14ac:dyDescent="0.25">
      <c r="A307" s="28">
        <v>45798</v>
      </c>
      <c r="B307" s="9" t="s">
        <v>250</v>
      </c>
      <c r="C307" s="28" t="s">
        <v>484</v>
      </c>
      <c r="D307" s="29" t="s">
        <v>235</v>
      </c>
      <c r="E307" s="65" t="s">
        <v>432</v>
      </c>
      <c r="F307" s="9">
        <v>122</v>
      </c>
      <c r="G307" s="9" t="s">
        <v>128</v>
      </c>
      <c r="H307" s="9">
        <v>122</v>
      </c>
      <c r="I307" s="31">
        <v>10.8584</v>
      </c>
      <c r="J307" s="60">
        <v>1324.7248</v>
      </c>
      <c r="K307" s="20"/>
      <c r="L307" s="20"/>
      <c r="M307" s="20"/>
    </row>
    <row r="308" spans="1:13" x14ac:dyDescent="0.25">
      <c r="A308" s="17">
        <v>45789</v>
      </c>
      <c r="B308" s="9" t="s">
        <v>250</v>
      </c>
      <c r="C308" s="9" t="s">
        <v>7</v>
      </c>
      <c r="D308" s="39" t="s">
        <v>28</v>
      </c>
      <c r="E308" s="10" t="s">
        <v>83</v>
      </c>
      <c r="F308" s="11">
        <v>4</v>
      </c>
      <c r="G308" s="23" t="s">
        <v>125</v>
      </c>
      <c r="H308" s="11"/>
      <c r="I308" s="21"/>
      <c r="J308" s="60">
        <v>0</v>
      </c>
      <c r="K308" s="20"/>
      <c r="L308" s="20"/>
      <c r="M308" s="20"/>
    </row>
    <row r="309" spans="1:13" x14ac:dyDescent="0.25">
      <c r="A309" s="28">
        <v>45790</v>
      </c>
      <c r="B309" s="9" t="s">
        <v>250</v>
      </c>
      <c r="C309" s="28" t="s">
        <v>486</v>
      </c>
      <c r="D309" s="29" t="s">
        <v>205</v>
      </c>
      <c r="E309" s="65" t="s">
        <v>206</v>
      </c>
      <c r="F309" s="9">
        <v>50</v>
      </c>
      <c r="G309" s="9" t="s">
        <v>128</v>
      </c>
      <c r="H309" s="9">
        <v>50</v>
      </c>
      <c r="I309" s="31">
        <v>30.193999999999999</v>
      </c>
      <c r="J309" s="60">
        <v>1509.7</v>
      </c>
      <c r="K309" s="20"/>
      <c r="L309" s="20"/>
      <c r="M309" s="20"/>
    </row>
    <row r="310" spans="1:13" x14ac:dyDescent="0.25">
      <c r="A310" s="17">
        <v>45798</v>
      </c>
      <c r="B310" s="9" t="s">
        <v>250</v>
      </c>
      <c r="C310" s="9" t="s">
        <v>7</v>
      </c>
      <c r="D310" s="39" t="s">
        <v>53</v>
      </c>
      <c r="E310" s="9" t="s">
        <v>179</v>
      </c>
      <c r="F310" s="9">
        <v>4</v>
      </c>
      <c r="G310" s="23" t="s">
        <v>125</v>
      </c>
      <c r="H310" s="9"/>
      <c r="I310" s="21"/>
      <c r="J310" s="60">
        <v>0</v>
      </c>
      <c r="K310" s="20"/>
      <c r="L310" s="20"/>
      <c r="M310" s="20"/>
    </row>
    <row r="311" spans="1:13" x14ac:dyDescent="0.25">
      <c r="A311" s="17">
        <v>45805</v>
      </c>
      <c r="B311" s="9" t="s">
        <v>250</v>
      </c>
      <c r="C311" s="4" t="s">
        <v>489</v>
      </c>
      <c r="D311" s="39" t="s">
        <v>60</v>
      </c>
      <c r="E311" s="9" t="s">
        <v>15</v>
      </c>
      <c r="F311" s="9">
        <v>68</v>
      </c>
      <c r="G311" s="25" t="s">
        <v>6</v>
      </c>
      <c r="H311" s="9">
        <v>68</v>
      </c>
      <c r="I311" s="9">
        <v>16.991</v>
      </c>
      <c r="J311" s="60">
        <v>1155.3879999999999</v>
      </c>
      <c r="K311" s="20"/>
      <c r="L311" s="20"/>
      <c r="M311" s="20"/>
    </row>
    <row r="312" spans="1:13" x14ac:dyDescent="0.25">
      <c r="A312" s="34">
        <v>45787</v>
      </c>
      <c r="B312" s="9" t="s">
        <v>250</v>
      </c>
      <c r="C312" s="23" t="s">
        <v>126</v>
      </c>
      <c r="D312" s="39" t="s">
        <v>135</v>
      </c>
      <c r="E312" s="9" t="s">
        <v>181</v>
      </c>
      <c r="F312" s="23">
        <v>36</v>
      </c>
      <c r="G312" s="23" t="s">
        <v>125</v>
      </c>
      <c r="H312" s="23"/>
      <c r="I312" s="21"/>
      <c r="J312" s="60">
        <v>0</v>
      </c>
      <c r="K312" s="20"/>
      <c r="L312" s="20"/>
      <c r="M312" s="20"/>
    </row>
    <row r="313" spans="1:13" x14ac:dyDescent="0.25">
      <c r="A313" s="17">
        <v>45805</v>
      </c>
      <c r="B313" s="9" t="s">
        <v>250</v>
      </c>
      <c r="C313" s="4" t="s">
        <v>76</v>
      </c>
      <c r="D313" s="39" t="s">
        <v>37</v>
      </c>
      <c r="E313" s="9" t="s">
        <v>14</v>
      </c>
      <c r="F313" s="9">
        <v>35</v>
      </c>
      <c r="G313" s="23" t="s">
        <v>125</v>
      </c>
      <c r="H313" s="9"/>
      <c r="I313" s="21"/>
      <c r="J313" s="60">
        <v>0</v>
      </c>
      <c r="K313" s="20"/>
      <c r="L313" s="20"/>
      <c r="M313" s="20"/>
    </row>
    <row r="314" spans="1:13" x14ac:dyDescent="0.25">
      <c r="A314" s="17">
        <v>45795</v>
      </c>
      <c r="B314" s="9" t="s">
        <v>250</v>
      </c>
      <c r="C314" s="9" t="s">
        <v>7</v>
      </c>
      <c r="D314" s="39" t="s">
        <v>37</v>
      </c>
      <c r="E314" s="9" t="s">
        <v>14</v>
      </c>
      <c r="F314" s="9">
        <v>32</v>
      </c>
      <c r="G314" s="23" t="s">
        <v>125</v>
      </c>
      <c r="H314" s="9"/>
      <c r="I314" s="21"/>
      <c r="J314" s="60">
        <v>0</v>
      </c>
      <c r="K314" s="20"/>
      <c r="L314" s="20"/>
      <c r="M314" s="20"/>
    </row>
    <row r="315" spans="1:13" x14ac:dyDescent="0.25">
      <c r="A315" s="17">
        <v>45789</v>
      </c>
      <c r="B315" s="9" t="s">
        <v>250</v>
      </c>
      <c r="C315" s="9" t="s">
        <v>7</v>
      </c>
      <c r="D315" s="39" t="s">
        <v>53</v>
      </c>
      <c r="E315" s="9" t="s">
        <v>179</v>
      </c>
      <c r="F315" s="11">
        <v>3</v>
      </c>
      <c r="G315" s="23" t="s">
        <v>125</v>
      </c>
      <c r="H315" s="11"/>
      <c r="I315" s="21"/>
      <c r="J315" s="60">
        <v>0</v>
      </c>
      <c r="K315" s="20"/>
      <c r="L315" s="20"/>
      <c r="M315" s="20"/>
    </row>
    <row r="316" spans="1:13" x14ac:dyDescent="0.25">
      <c r="A316" s="17">
        <v>45790</v>
      </c>
      <c r="B316" s="9" t="s">
        <v>250</v>
      </c>
      <c r="C316" s="9" t="s">
        <v>7</v>
      </c>
      <c r="D316" s="39" t="s">
        <v>53</v>
      </c>
      <c r="E316" s="10" t="s">
        <v>21</v>
      </c>
      <c r="F316" s="11">
        <v>3</v>
      </c>
      <c r="G316" s="23" t="s">
        <v>125</v>
      </c>
      <c r="H316" s="11"/>
      <c r="I316" s="21"/>
      <c r="J316" s="60">
        <v>0</v>
      </c>
      <c r="K316" s="20"/>
      <c r="L316" s="20"/>
      <c r="M316" s="20"/>
    </row>
    <row r="317" spans="1:13" x14ac:dyDescent="0.25">
      <c r="A317" s="17">
        <v>45792</v>
      </c>
      <c r="B317" s="9" t="s">
        <v>250</v>
      </c>
      <c r="C317" s="9" t="s">
        <v>489</v>
      </c>
      <c r="D317" s="39" t="s">
        <v>60</v>
      </c>
      <c r="E317" s="12" t="s">
        <v>15</v>
      </c>
      <c r="F317" s="9">
        <v>54</v>
      </c>
      <c r="G317" s="25" t="s">
        <v>6</v>
      </c>
      <c r="H317" s="9">
        <v>54</v>
      </c>
      <c r="I317" s="9">
        <v>16.991</v>
      </c>
      <c r="J317" s="60">
        <v>917.51400000000001</v>
      </c>
      <c r="K317" s="20"/>
      <c r="L317" s="20"/>
      <c r="M317" s="20"/>
    </row>
    <row r="318" spans="1:13" x14ac:dyDescent="0.25">
      <c r="A318" s="17">
        <v>45792</v>
      </c>
      <c r="B318" s="9" t="s">
        <v>250</v>
      </c>
      <c r="C318" s="9" t="s">
        <v>7</v>
      </c>
      <c r="D318" s="39" t="s">
        <v>37</v>
      </c>
      <c r="E318" s="9" t="s">
        <v>14</v>
      </c>
      <c r="F318" s="9">
        <v>30</v>
      </c>
      <c r="G318" s="23" t="s">
        <v>125</v>
      </c>
      <c r="H318" s="9"/>
      <c r="I318" s="21"/>
      <c r="J318" s="60">
        <v>0</v>
      </c>
      <c r="K318" s="20"/>
      <c r="L318" s="20"/>
      <c r="M318" s="20"/>
    </row>
    <row r="319" spans="1:13" x14ac:dyDescent="0.25">
      <c r="A319" s="17">
        <v>45795</v>
      </c>
      <c r="B319" s="9" t="s">
        <v>250</v>
      </c>
      <c r="C319" s="9" t="s">
        <v>489</v>
      </c>
      <c r="D319" s="39" t="s">
        <v>62</v>
      </c>
      <c r="E319" s="9" t="s">
        <v>13</v>
      </c>
      <c r="F319" s="9">
        <v>53</v>
      </c>
      <c r="G319" s="25" t="s">
        <v>6</v>
      </c>
      <c r="H319" s="9">
        <v>53</v>
      </c>
      <c r="I319" s="9">
        <v>19.204000000000001</v>
      </c>
      <c r="J319" s="60">
        <v>1017.812</v>
      </c>
      <c r="K319" s="20"/>
      <c r="L319" s="20"/>
      <c r="M319" s="20"/>
    </row>
    <row r="320" spans="1:13" x14ac:dyDescent="0.25">
      <c r="A320" s="28">
        <v>45774</v>
      </c>
      <c r="B320" s="9" t="s">
        <v>250</v>
      </c>
      <c r="C320" s="28" t="s">
        <v>486</v>
      </c>
      <c r="D320" s="29" t="s">
        <v>215</v>
      </c>
      <c r="E320" s="65" t="s">
        <v>216</v>
      </c>
      <c r="F320" s="9">
        <v>36</v>
      </c>
      <c r="G320" s="9" t="s">
        <v>128</v>
      </c>
      <c r="H320" s="9">
        <v>36</v>
      </c>
      <c r="I320" s="31">
        <v>25.256599999999999</v>
      </c>
      <c r="J320" s="60">
        <v>909.23759999999993</v>
      </c>
      <c r="K320" s="20"/>
      <c r="L320" s="20"/>
      <c r="M320" s="20"/>
    </row>
    <row r="321" spans="1:13" x14ac:dyDescent="0.25">
      <c r="A321" s="17">
        <v>45805</v>
      </c>
      <c r="B321" s="9" t="s">
        <v>250</v>
      </c>
      <c r="C321" s="4" t="s">
        <v>489</v>
      </c>
      <c r="D321" s="39" t="s">
        <v>87</v>
      </c>
      <c r="E321" s="9" t="s">
        <v>98</v>
      </c>
      <c r="F321" s="9">
        <v>2900</v>
      </c>
      <c r="G321" s="25" t="s">
        <v>6</v>
      </c>
      <c r="H321" s="9">
        <v>2900</v>
      </c>
      <c r="I321" s="9">
        <v>0.29199999999999998</v>
      </c>
      <c r="J321" s="60">
        <v>846.8</v>
      </c>
      <c r="K321" s="20"/>
      <c r="L321" s="20"/>
      <c r="M321" s="20"/>
    </row>
    <row r="322" spans="1:13" x14ac:dyDescent="0.25">
      <c r="A322" s="34">
        <v>45799</v>
      </c>
      <c r="B322" s="9" t="s">
        <v>250</v>
      </c>
      <c r="C322" s="23" t="s">
        <v>485</v>
      </c>
      <c r="D322" s="38" t="s">
        <v>154</v>
      </c>
      <c r="E322" s="9" t="s">
        <v>155</v>
      </c>
      <c r="F322" s="23">
        <v>26</v>
      </c>
      <c r="G322" s="23" t="s">
        <v>128</v>
      </c>
      <c r="H322" s="23">
        <v>26</v>
      </c>
      <c r="I322" s="21">
        <v>27.922799999999999</v>
      </c>
      <c r="J322" s="60">
        <v>725.99279999999999</v>
      </c>
      <c r="K322" s="20"/>
      <c r="L322" s="20"/>
      <c r="M322" s="20"/>
    </row>
    <row r="323" spans="1:13" x14ac:dyDescent="0.25">
      <c r="A323" s="17">
        <v>45789</v>
      </c>
      <c r="B323" s="9" t="s">
        <v>250</v>
      </c>
      <c r="C323" s="9" t="s">
        <v>7</v>
      </c>
      <c r="D323" s="39" t="s">
        <v>37</v>
      </c>
      <c r="E323" s="9" t="s">
        <v>176</v>
      </c>
      <c r="F323" s="11">
        <v>24</v>
      </c>
      <c r="G323" s="23" t="s">
        <v>125</v>
      </c>
      <c r="H323" s="11"/>
      <c r="I323" s="21"/>
      <c r="J323" s="60">
        <v>0</v>
      </c>
      <c r="K323" s="20"/>
      <c r="L323" s="20"/>
      <c r="M323" s="20"/>
    </row>
    <row r="324" spans="1:13" x14ac:dyDescent="0.25">
      <c r="A324" s="17">
        <v>45790</v>
      </c>
      <c r="B324" s="9" t="s">
        <v>250</v>
      </c>
      <c r="C324" s="9" t="s">
        <v>7</v>
      </c>
      <c r="D324" s="39" t="s">
        <v>46</v>
      </c>
      <c r="E324" s="15" t="s">
        <v>174</v>
      </c>
      <c r="F324" s="16">
        <v>24</v>
      </c>
      <c r="G324" s="23" t="s">
        <v>125</v>
      </c>
      <c r="H324" s="16"/>
      <c r="I324" s="21"/>
      <c r="J324" s="60">
        <v>0</v>
      </c>
      <c r="K324" s="20"/>
      <c r="L324" s="20"/>
      <c r="M324" s="20"/>
    </row>
    <row r="325" spans="1:13" x14ac:dyDescent="0.25">
      <c r="A325" s="34">
        <v>45807</v>
      </c>
      <c r="B325" s="9" t="s">
        <v>250</v>
      </c>
      <c r="C325" s="23" t="s">
        <v>485</v>
      </c>
      <c r="D325" s="39" t="s">
        <v>167</v>
      </c>
      <c r="E325" s="9" t="s">
        <v>142</v>
      </c>
      <c r="F325" s="23">
        <v>88</v>
      </c>
      <c r="G325" s="9" t="s">
        <v>128</v>
      </c>
      <c r="H325" s="23">
        <v>88</v>
      </c>
      <c r="I325" s="21">
        <v>7.9405999999999999</v>
      </c>
      <c r="J325" s="60">
        <v>698.77279999999996</v>
      </c>
      <c r="K325" s="20"/>
      <c r="L325" s="20"/>
      <c r="M325" s="20"/>
    </row>
    <row r="326" spans="1:13" x14ac:dyDescent="0.25">
      <c r="A326" s="34">
        <v>45799</v>
      </c>
      <c r="B326" s="9" t="s">
        <v>250</v>
      </c>
      <c r="C326" s="23" t="s">
        <v>126</v>
      </c>
      <c r="D326" s="38" t="s">
        <v>156</v>
      </c>
      <c r="E326" s="9" t="s">
        <v>157</v>
      </c>
      <c r="F326" s="23">
        <v>20</v>
      </c>
      <c r="G326" s="23" t="s">
        <v>125</v>
      </c>
      <c r="H326" s="23"/>
      <c r="I326" s="21"/>
      <c r="J326" s="60">
        <v>0</v>
      </c>
      <c r="K326" s="20"/>
      <c r="L326" s="20"/>
      <c r="M326" s="20"/>
    </row>
    <row r="327" spans="1:13" x14ac:dyDescent="0.25">
      <c r="A327" s="17">
        <v>45802</v>
      </c>
      <c r="B327" s="9" t="s">
        <v>250</v>
      </c>
      <c r="C327" s="9" t="s">
        <v>483</v>
      </c>
      <c r="D327" s="39" t="s">
        <v>24</v>
      </c>
      <c r="E327" s="9" t="s">
        <v>81</v>
      </c>
      <c r="F327" s="9">
        <v>31</v>
      </c>
      <c r="G327" s="25" t="s">
        <v>6</v>
      </c>
      <c r="H327" s="9">
        <v>31</v>
      </c>
      <c r="I327" s="9">
        <v>19.18</v>
      </c>
      <c r="J327" s="60">
        <v>594.58000000000004</v>
      </c>
      <c r="K327" s="20"/>
      <c r="L327" s="20"/>
      <c r="M327" s="20"/>
    </row>
    <row r="328" spans="1:13" x14ac:dyDescent="0.25">
      <c r="A328" s="28">
        <v>45795</v>
      </c>
      <c r="B328" s="9" t="s">
        <v>250</v>
      </c>
      <c r="C328" s="28" t="s">
        <v>486</v>
      </c>
      <c r="D328" s="29" t="s">
        <v>203</v>
      </c>
      <c r="E328" s="65" t="s">
        <v>204</v>
      </c>
      <c r="F328" s="9">
        <v>15</v>
      </c>
      <c r="G328" s="9" t="s">
        <v>128</v>
      </c>
      <c r="H328" s="9">
        <v>15</v>
      </c>
      <c r="I328" s="31">
        <v>44.4726</v>
      </c>
      <c r="J328" s="60">
        <v>667.08899999999994</v>
      </c>
      <c r="K328" s="20"/>
      <c r="L328" s="20"/>
      <c r="M328" s="20"/>
    </row>
    <row r="329" spans="1:13" x14ac:dyDescent="0.25">
      <c r="A329" s="34">
        <v>45799</v>
      </c>
      <c r="B329" s="9" t="s">
        <v>250</v>
      </c>
      <c r="C329" s="23" t="s">
        <v>126</v>
      </c>
      <c r="D329" s="38" t="s">
        <v>158</v>
      </c>
      <c r="E329" s="23" t="s">
        <v>159</v>
      </c>
      <c r="F329" s="23">
        <v>653</v>
      </c>
      <c r="G329" s="23" t="s">
        <v>125</v>
      </c>
      <c r="H329" s="23"/>
      <c r="I329" s="21"/>
      <c r="J329" s="60">
        <v>0</v>
      </c>
      <c r="K329" s="20"/>
      <c r="L329" s="20"/>
      <c r="M329" s="20"/>
    </row>
    <row r="330" spans="1:13" x14ac:dyDescent="0.25">
      <c r="A330" s="34">
        <v>45791</v>
      </c>
      <c r="B330" s="9" t="s">
        <v>250</v>
      </c>
      <c r="C330" s="23" t="s">
        <v>485</v>
      </c>
      <c r="D330" s="38" t="s">
        <v>153</v>
      </c>
      <c r="E330" s="9" t="s">
        <v>423</v>
      </c>
      <c r="F330" s="23">
        <v>6</v>
      </c>
      <c r="G330" s="27" t="s">
        <v>128</v>
      </c>
      <c r="H330" s="23">
        <v>6</v>
      </c>
      <c r="I330" s="21">
        <v>87.462800000000001</v>
      </c>
      <c r="J330" s="60">
        <v>524.77679999999998</v>
      </c>
      <c r="K330" s="20"/>
      <c r="L330" s="20"/>
      <c r="M330" s="20"/>
    </row>
    <row r="331" spans="1:13" x14ac:dyDescent="0.25">
      <c r="A331" s="34">
        <v>45791</v>
      </c>
      <c r="B331" s="9" t="s">
        <v>250</v>
      </c>
      <c r="C331" s="23" t="s">
        <v>485</v>
      </c>
      <c r="D331" s="38" t="s">
        <v>152</v>
      </c>
      <c r="E331" s="9" t="s">
        <v>420</v>
      </c>
      <c r="F331" s="23">
        <v>6</v>
      </c>
      <c r="G331" s="27" t="s">
        <v>128</v>
      </c>
      <c r="H331" s="23">
        <v>6</v>
      </c>
      <c r="I331" s="21">
        <v>68.513800000000003</v>
      </c>
      <c r="J331" s="60">
        <v>411.08280000000002</v>
      </c>
      <c r="K331" s="20"/>
      <c r="L331" s="20"/>
      <c r="M331" s="20"/>
    </row>
    <row r="332" spans="1:13" x14ac:dyDescent="0.25">
      <c r="A332" s="17">
        <v>45790</v>
      </c>
      <c r="B332" s="9" t="s">
        <v>250</v>
      </c>
      <c r="C332" s="9" t="s">
        <v>7</v>
      </c>
      <c r="D332" s="39" t="s">
        <v>37</v>
      </c>
      <c r="E332" s="9" t="s">
        <v>14</v>
      </c>
      <c r="F332" s="9">
        <v>15</v>
      </c>
      <c r="G332" s="23" t="s">
        <v>125</v>
      </c>
      <c r="H332" s="9"/>
      <c r="I332" s="21"/>
      <c r="J332" s="60">
        <v>0</v>
      </c>
      <c r="K332" s="20"/>
      <c r="L332" s="20"/>
      <c r="M332" s="20"/>
    </row>
    <row r="333" spans="1:13" x14ac:dyDescent="0.25">
      <c r="A333" s="28">
        <v>45795</v>
      </c>
      <c r="B333" s="9" t="s">
        <v>250</v>
      </c>
      <c r="C333" s="28" t="s">
        <v>486</v>
      </c>
      <c r="D333" s="29" t="s">
        <v>189</v>
      </c>
      <c r="E333" s="30" t="s">
        <v>190</v>
      </c>
      <c r="F333" s="9">
        <v>6</v>
      </c>
      <c r="G333" s="9" t="s">
        <v>128</v>
      </c>
      <c r="H333" s="9">
        <v>6</v>
      </c>
      <c r="I333" s="32">
        <v>84.9983</v>
      </c>
      <c r="J333" s="60">
        <v>509.9898</v>
      </c>
      <c r="K333" s="20"/>
      <c r="L333" s="20"/>
      <c r="M333" s="20"/>
    </row>
    <row r="334" spans="1:13" x14ac:dyDescent="0.25">
      <c r="A334" s="17">
        <v>45797</v>
      </c>
      <c r="B334" s="9" t="s">
        <v>250</v>
      </c>
      <c r="C334" s="9" t="s">
        <v>7</v>
      </c>
      <c r="D334" s="39" t="s">
        <v>34</v>
      </c>
      <c r="E334" s="9" t="s">
        <v>22</v>
      </c>
      <c r="F334" s="9">
        <v>2</v>
      </c>
      <c r="G334" s="23" t="s">
        <v>125</v>
      </c>
      <c r="H334" s="9"/>
      <c r="I334" s="21"/>
      <c r="J334" s="60">
        <v>0</v>
      </c>
      <c r="K334" s="20"/>
      <c r="L334" s="20"/>
      <c r="M334" s="20"/>
    </row>
    <row r="335" spans="1:13" x14ac:dyDescent="0.25">
      <c r="A335" s="28">
        <v>45774</v>
      </c>
      <c r="B335" s="9" t="s">
        <v>250</v>
      </c>
      <c r="C335" s="28" t="s">
        <v>486</v>
      </c>
      <c r="D335" s="29" t="s">
        <v>197</v>
      </c>
      <c r="E335" s="65" t="s">
        <v>198</v>
      </c>
      <c r="F335" s="9">
        <v>20</v>
      </c>
      <c r="G335" s="9" t="s">
        <v>128</v>
      </c>
      <c r="H335" s="9">
        <v>20</v>
      </c>
      <c r="I335" s="32">
        <v>24.114999999999998</v>
      </c>
      <c r="J335" s="60">
        <v>482.29999999999995</v>
      </c>
      <c r="K335" s="20"/>
      <c r="L335" s="20"/>
      <c r="M335" s="20"/>
    </row>
    <row r="336" spans="1:13" x14ac:dyDescent="0.25">
      <c r="A336" s="28">
        <v>45795</v>
      </c>
      <c r="B336" s="9" t="s">
        <v>250</v>
      </c>
      <c r="C336" s="28" t="s">
        <v>486</v>
      </c>
      <c r="D336" s="57" t="s">
        <v>328</v>
      </c>
      <c r="E336" s="30" t="s">
        <v>216</v>
      </c>
      <c r="F336" s="9">
        <v>19</v>
      </c>
      <c r="G336" s="9" t="s">
        <v>128</v>
      </c>
      <c r="H336" s="9">
        <v>19</v>
      </c>
      <c r="I336" s="31">
        <v>25.256599999999999</v>
      </c>
      <c r="J336" s="60">
        <v>479.87539999999996</v>
      </c>
      <c r="K336" s="20"/>
      <c r="L336" s="20"/>
      <c r="M336" s="20"/>
    </row>
    <row r="337" spans="1:13" x14ac:dyDescent="0.25">
      <c r="A337" s="28">
        <v>45795</v>
      </c>
      <c r="B337" s="9" t="s">
        <v>250</v>
      </c>
      <c r="C337" s="28" t="s">
        <v>486</v>
      </c>
      <c r="D337" s="29" t="s">
        <v>224</v>
      </c>
      <c r="E337" s="65" t="s">
        <v>225</v>
      </c>
      <c r="F337" s="9">
        <v>11</v>
      </c>
      <c r="G337" s="9" t="s">
        <v>128</v>
      </c>
      <c r="H337" s="9">
        <v>11</v>
      </c>
      <c r="I337" s="31">
        <v>43.274299999999997</v>
      </c>
      <c r="J337" s="60">
        <v>476.01729999999998</v>
      </c>
      <c r="K337" s="20"/>
      <c r="L337" s="20"/>
      <c r="M337" s="20"/>
    </row>
    <row r="338" spans="1:13" x14ac:dyDescent="0.25">
      <c r="A338" s="28">
        <v>45795</v>
      </c>
      <c r="B338" s="9" t="s">
        <v>250</v>
      </c>
      <c r="C338" s="28" t="s">
        <v>486</v>
      </c>
      <c r="D338" s="29" t="s">
        <v>224</v>
      </c>
      <c r="E338" s="30" t="s">
        <v>225</v>
      </c>
      <c r="F338" s="9">
        <v>11</v>
      </c>
      <c r="G338" s="9" t="s">
        <v>128</v>
      </c>
      <c r="H338" s="9">
        <v>11</v>
      </c>
      <c r="I338" s="31">
        <v>43.274299999999997</v>
      </c>
      <c r="J338" s="60">
        <v>476.01729999999998</v>
      </c>
      <c r="K338" s="20"/>
      <c r="L338" s="20"/>
      <c r="M338" s="20"/>
    </row>
    <row r="339" spans="1:13" x14ac:dyDescent="0.25">
      <c r="A339" s="28">
        <v>45790</v>
      </c>
      <c r="B339" s="9" t="s">
        <v>250</v>
      </c>
      <c r="C339" s="28" t="s">
        <v>486</v>
      </c>
      <c r="D339" s="57" t="s">
        <v>435</v>
      </c>
      <c r="E339" s="65" t="s">
        <v>204</v>
      </c>
      <c r="F339" s="9">
        <v>10</v>
      </c>
      <c r="G339" s="9" t="s">
        <v>128</v>
      </c>
      <c r="H339" s="9">
        <v>10</v>
      </c>
      <c r="I339" s="32">
        <v>44.4726</v>
      </c>
      <c r="J339" s="60">
        <v>444.726</v>
      </c>
      <c r="K339" s="20"/>
      <c r="L339" s="20"/>
      <c r="M339" s="20"/>
    </row>
    <row r="340" spans="1:13" x14ac:dyDescent="0.25">
      <c r="A340" s="34">
        <v>45791</v>
      </c>
      <c r="B340" s="9" t="s">
        <v>250</v>
      </c>
      <c r="C340" s="23" t="s">
        <v>485</v>
      </c>
      <c r="D340" s="38" t="s">
        <v>146</v>
      </c>
      <c r="E340" s="9" t="s">
        <v>415</v>
      </c>
      <c r="F340" s="23">
        <v>32</v>
      </c>
      <c r="G340" s="23" t="s">
        <v>128</v>
      </c>
      <c r="H340" s="23">
        <v>32</v>
      </c>
      <c r="I340" s="21">
        <v>12.148199999999999</v>
      </c>
      <c r="J340" s="60">
        <v>388.74239999999998</v>
      </c>
      <c r="K340" s="20"/>
      <c r="L340" s="20"/>
      <c r="M340" s="20"/>
    </row>
    <row r="341" spans="1:13" x14ac:dyDescent="0.25">
      <c r="A341" s="28">
        <v>45795</v>
      </c>
      <c r="B341" s="9" t="s">
        <v>250</v>
      </c>
      <c r="C341" s="28" t="s">
        <v>486</v>
      </c>
      <c r="D341" s="29" t="s">
        <v>205</v>
      </c>
      <c r="E341" s="30" t="s">
        <v>206</v>
      </c>
      <c r="F341" s="9">
        <v>15</v>
      </c>
      <c r="G341" s="9" t="s">
        <v>128</v>
      </c>
      <c r="H341" s="9">
        <v>15</v>
      </c>
      <c r="I341" s="31">
        <v>30.193999999999999</v>
      </c>
      <c r="J341" s="60">
        <v>452.90999999999997</v>
      </c>
      <c r="K341" s="20"/>
      <c r="L341" s="20"/>
      <c r="M341" s="20"/>
    </row>
    <row r="342" spans="1:13" x14ac:dyDescent="0.25">
      <c r="A342" s="28">
        <v>45790</v>
      </c>
      <c r="B342" s="9" t="s">
        <v>250</v>
      </c>
      <c r="C342" s="28" t="s">
        <v>486</v>
      </c>
      <c r="D342" s="29" t="s">
        <v>211</v>
      </c>
      <c r="E342" s="65" t="s">
        <v>212</v>
      </c>
      <c r="F342" s="9">
        <v>5</v>
      </c>
      <c r="G342" s="9" t="s">
        <v>128</v>
      </c>
      <c r="H342" s="9">
        <v>5</v>
      </c>
      <c r="I342" s="31">
        <v>85.637100000000004</v>
      </c>
      <c r="J342" s="60">
        <v>428.18550000000005</v>
      </c>
      <c r="K342" s="20"/>
      <c r="L342" s="20"/>
      <c r="M342" s="20"/>
    </row>
    <row r="343" spans="1:13" x14ac:dyDescent="0.25">
      <c r="A343" s="28">
        <v>45790</v>
      </c>
      <c r="B343" s="9" t="s">
        <v>250</v>
      </c>
      <c r="C343" s="28" t="s">
        <v>486</v>
      </c>
      <c r="D343" s="29" t="s">
        <v>209</v>
      </c>
      <c r="E343" s="65" t="s">
        <v>210</v>
      </c>
      <c r="F343" s="9">
        <v>5</v>
      </c>
      <c r="G343" s="9" t="s">
        <v>128</v>
      </c>
      <c r="H343" s="9">
        <v>5</v>
      </c>
      <c r="I343" s="31">
        <v>85</v>
      </c>
      <c r="J343" s="60">
        <v>425</v>
      </c>
      <c r="K343" s="20"/>
      <c r="L343" s="20"/>
      <c r="M343" s="20"/>
    </row>
    <row r="344" spans="1:13" x14ac:dyDescent="0.25">
      <c r="A344" s="34">
        <v>45790</v>
      </c>
      <c r="B344" s="9" t="s">
        <v>250</v>
      </c>
      <c r="C344" s="23" t="s">
        <v>485</v>
      </c>
      <c r="D344" s="38" t="s">
        <v>144</v>
      </c>
      <c r="E344" s="9" t="s">
        <v>145</v>
      </c>
      <c r="F344" s="23">
        <v>33</v>
      </c>
      <c r="G344" s="23" t="s">
        <v>128</v>
      </c>
      <c r="H344" s="23">
        <v>33</v>
      </c>
      <c r="I344" s="21">
        <v>11.3788</v>
      </c>
      <c r="J344" s="60">
        <v>375.50040000000001</v>
      </c>
      <c r="K344" s="20"/>
      <c r="L344" s="20"/>
      <c r="M344" s="20"/>
    </row>
    <row r="345" spans="1:13" x14ac:dyDescent="0.25">
      <c r="A345" s="34">
        <v>45807</v>
      </c>
      <c r="B345" s="9" t="s">
        <v>250</v>
      </c>
      <c r="C345" s="23" t="s">
        <v>485</v>
      </c>
      <c r="D345" s="38" t="s">
        <v>165</v>
      </c>
      <c r="E345" s="9" t="s">
        <v>416</v>
      </c>
      <c r="F345" s="23">
        <v>29</v>
      </c>
      <c r="G345" s="9" t="s">
        <v>128</v>
      </c>
      <c r="H345" s="23">
        <v>29</v>
      </c>
      <c r="I345" s="21">
        <v>12.8642</v>
      </c>
      <c r="J345" s="60">
        <v>373.06180000000001</v>
      </c>
      <c r="K345" s="20"/>
      <c r="L345" s="20"/>
      <c r="M345" s="20"/>
    </row>
    <row r="346" spans="1:13" x14ac:dyDescent="0.25">
      <c r="A346" s="28">
        <v>45798</v>
      </c>
      <c r="B346" s="9" t="s">
        <v>250</v>
      </c>
      <c r="C346" s="28" t="s">
        <v>484</v>
      </c>
      <c r="D346" s="29" t="s">
        <v>242</v>
      </c>
      <c r="E346" s="30" t="s">
        <v>243</v>
      </c>
      <c r="F346" s="9">
        <v>190</v>
      </c>
      <c r="G346" s="9" t="s">
        <v>128</v>
      </c>
      <c r="H346" s="9">
        <v>190</v>
      </c>
      <c r="I346" s="31">
        <v>1.9469000000000001</v>
      </c>
      <c r="J346" s="60">
        <v>369.911</v>
      </c>
      <c r="K346" s="20"/>
      <c r="L346" s="20"/>
      <c r="M346" s="20"/>
    </row>
    <row r="347" spans="1:13" x14ac:dyDescent="0.25">
      <c r="A347" s="28">
        <v>45790</v>
      </c>
      <c r="B347" s="9" t="s">
        <v>250</v>
      </c>
      <c r="C347" s="28" t="s">
        <v>486</v>
      </c>
      <c r="D347" s="29" t="s">
        <v>203</v>
      </c>
      <c r="E347" s="30" t="s">
        <v>204</v>
      </c>
      <c r="F347" s="9">
        <v>9</v>
      </c>
      <c r="G347" s="9" t="s">
        <v>128</v>
      </c>
      <c r="H347" s="9">
        <v>9</v>
      </c>
      <c r="I347" s="32">
        <v>44.4726</v>
      </c>
      <c r="J347" s="60">
        <v>400.2534</v>
      </c>
      <c r="K347" s="20"/>
      <c r="L347" s="20"/>
      <c r="M347" s="20"/>
    </row>
    <row r="348" spans="1:13" x14ac:dyDescent="0.25">
      <c r="A348" s="28">
        <v>45790</v>
      </c>
      <c r="B348" s="9" t="s">
        <v>250</v>
      </c>
      <c r="C348" s="28" t="s">
        <v>486</v>
      </c>
      <c r="D348" s="29" t="s">
        <v>203</v>
      </c>
      <c r="E348" s="30" t="s">
        <v>204</v>
      </c>
      <c r="F348" s="9">
        <v>9</v>
      </c>
      <c r="G348" s="9" t="s">
        <v>128</v>
      </c>
      <c r="H348" s="9">
        <v>9</v>
      </c>
      <c r="I348" s="31">
        <v>44.4726</v>
      </c>
      <c r="J348" s="60">
        <v>400.2534</v>
      </c>
      <c r="K348" s="20"/>
      <c r="L348" s="20"/>
      <c r="M348" s="20"/>
    </row>
    <row r="349" spans="1:13" x14ac:dyDescent="0.25">
      <c r="A349" s="28">
        <v>45784</v>
      </c>
      <c r="B349" s="9" t="s">
        <v>250</v>
      </c>
      <c r="C349" s="28" t="s">
        <v>486</v>
      </c>
      <c r="D349" s="29" t="s">
        <v>187</v>
      </c>
      <c r="E349" s="30" t="s">
        <v>188</v>
      </c>
      <c r="F349" s="9">
        <v>13</v>
      </c>
      <c r="G349" s="9" t="s">
        <v>128</v>
      </c>
      <c r="H349" s="9">
        <v>13</v>
      </c>
      <c r="I349" s="31">
        <v>27.2667</v>
      </c>
      <c r="J349" s="60">
        <v>354.46710000000002</v>
      </c>
      <c r="K349" s="20"/>
      <c r="L349" s="20"/>
      <c r="M349" s="20"/>
    </row>
    <row r="350" spans="1:13" x14ac:dyDescent="0.25">
      <c r="A350" s="17">
        <v>45789</v>
      </c>
      <c r="B350" s="9" t="s">
        <v>250</v>
      </c>
      <c r="C350" s="9" t="s">
        <v>7</v>
      </c>
      <c r="D350" s="39" t="s">
        <v>54</v>
      </c>
      <c r="E350" s="10" t="s">
        <v>178</v>
      </c>
      <c r="F350" s="11">
        <v>5</v>
      </c>
      <c r="G350" s="23" t="s">
        <v>125</v>
      </c>
      <c r="H350" s="11"/>
      <c r="I350" s="21"/>
      <c r="J350" s="60">
        <v>0</v>
      </c>
      <c r="K350" s="20"/>
      <c r="L350" s="20"/>
      <c r="M350" s="20"/>
    </row>
    <row r="351" spans="1:13" x14ac:dyDescent="0.25">
      <c r="A351" s="28">
        <v>45774</v>
      </c>
      <c r="B351" s="9" t="s">
        <v>250</v>
      </c>
      <c r="C351" s="28" t="s">
        <v>486</v>
      </c>
      <c r="D351" s="29" t="s">
        <v>215</v>
      </c>
      <c r="E351" s="30" t="s">
        <v>216</v>
      </c>
      <c r="F351" s="9">
        <v>13</v>
      </c>
      <c r="G351" s="9" t="s">
        <v>128</v>
      </c>
      <c r="H351" s="9">
        <v>13</v>
      </c>
      <c r="I351" s="31">
        <v>25.256599999999999</v>
      </c>
      <c r="J351" s="60">
        <v>328.33580000000001</v>
      </c>
      <c r="K351" s="20"/>
      <c r="L351" s="20"/>
      <c r="M351" s="20"/>
    </row>
    <row r="352" spans="1:13" x14ac:dyDescent="0.25">
      <c r="A352" s="34">
        <v>45785</v>
      </c>
      <c r="B352" s="9" t="s">
        <v>250</v>
      </c>
      <c r="C352" s="23" t="s">
        <v>126</v>
      </c>
      <c r="D352" s="39" t="s">
        <v>131</v>
      </c>
      <c r="E352" s="9" t="s">
        <v>132</v>
      </c>
      <c r="F352" s="23">
        <v>11</v>
      </c>
      <c r="G352" s="23" t="s">
        <v>125</v>
      </c>
      <c r="H352" s="23"/>
      <c r="I352" s="21"/>
      <c r="J352" s="60">
        <v>0</v>
      </c>
      <c r="K352" s="20"/>
      <c r="L352" s="20"/>
      <c r="M352" s="20"/>
    </row>
    <row r="353" spans="1:13" x14ac:dyDescent="0.25">
      <c r="A353" s="28">
        <v>45774</v>
      </c>
      <c r="B353" s="9" t="s">
        <v>250</v>
      </c>
      <c r="C353" s="28" t="s">
        <v>486</v>
      </c>
      <c r="D353" s="29" t="s">
        <v>222</v>
      </c>
      <c r="E353" s="65" t="s">
        <v>223</v>
      </c>
      <c r="F353" s="9">
        <v>7</v>
      </c>
      <c r="G353" s="9" t="s">
        <v>128</v>
      </c>
      <c r="H353" s="9">
        <v>7</v>
      </c>
      <c r="I353" s="32">
        <v>43.107700000000001</v>
      </c>
      <c r="J353" s="60">
        <v>301.75389999999999</v>
      </c>
      <c r="K353" s="20"/>
      <c r="L353" s="20"/>
      <c r="M353" s="20"/>
    </row>
    <row r="354" spans="1:13" x14ac:dyDescent="0.25">
      <c r="A354" s="17">
        <v>45790</v>
      </c>
      <c r="B354" s="9" t="s">
        <v>250</v>
      </c>
      <c r="C354" s="9" t="s">
        <v>489</v>
      </c>
      <c r="D354" s="39" t="s">
        <v>60</v>
      </c>
      <c r="E354" s="12" t="s">
        <v>15</v>
      </c>
      <c r="F354" s="10">
        <v>15</v>
      </c>
      <c r="G354" s="25" t="s">
        <v>6</v>
      </c>
      <c r="H354" s="10">
        <v>15</v>
      </c>
      <c r="I354" s="9">
        <v>16.991</v>
      </c>
      <c r="J354" s="60">
        <v>254.86500000000001</v>
      </c>
      <c r="K354" s="20"/>
      <c r="L354" s="20"/>
      <c r="M354" s="20"/>
    </row>
    <row r="355" spans="1:13" x14ac:dyDescent="0.25">
      <c r="A355" s="28">
        <v>45798</v>
      </c>
      <c r="B355" s="9" t="s">
        <v>250</v>
      </c>
      <c r="C355" s="28" t="s">
        <v>484</v>
      </c>
      <c r="D355" s="29" t="s">
        <v>237</v>
      </c>
      <c r="E355" s="65" t="s">
        <v>238</v>
      </c>
      <c r="F355" s="9">
        <v>86</v>
      </c>
      <c r="G355" s="9" t="s">
        <v>128</v>
      </c>
      <c r="H355" s="9">
        <v>86</v>
      </c>
      <c r="I355" s="31">
        <v>2.7757999999999998</v>
      </c>
      <c r="J355" s="60">
        <v>238.71879999999999</v>
      </c>
      <c r="K355" s="20"/>
      <c r="L355" s="20"/>
      <c r="M355" s="20"/>
    </row>
    <row r="356" spans="1:13" x14ac:dyDescent="0.25">
      <c r="A356" s="28">
        <v>45790</v>
      </c>
      <c r="B356" s="9" t="s">
        <v>250</v>
      </c>
      <c r="C356" s="28" t="s">
        <v>486</v>
      </c>
      <c r="D356" s="29" t="s">
        <v>203</v>
      </c>
      <c r="E356" s="30" t="s">
        <v>204</v>
      </c>
      <c r="F356" s="9">
        <v>6</v>
      </c>
      <c r="G356" s="9" t="s">
        <v>128</v>
      </c>
      <c r="H356" s="9">
        <v>6</v>
      </c>
      <c r="I356" s="32">
        <v>44.4726</v>
      </c>
      <c r="J356" s="60">
        <v>266.8356</v>
      </c>
      <c r="K356" s="20"/>
      <c r="L356" s="20"/>
      <c r="M356" s="20"/>
    </row>
    <row r="357" spans="1:13" x14ac:dyDescent="0.25">
      <c r="A357" s="17">
        <v>45798</v>
      </c>
      <c r="B357" s="9" t="s">
        <v>250</v>
      </c>
      <c r="C357" s="9" t="s">
        <v>7</v>
      </c>
      <c r="D357" s="39" t="s">
        <v>54</v>
      </c>
      <c r="E357" s="10" t="s">
        <v>23</v>
      </c>
      <c r="F357" s="9">
        <v>4</v>
      </c>
      <c r="G357" s="23" t="s">
        <v>125</v>
      </c>
      <c r="H357" s="9"/>
      <c r="I357" s="21"/>
      <c r="J357" s="60">
        <v>0</v>
      </c>
      <c r="K357" s="20"/>
      <c r="L357" s="20"/>
      <c r="M357" s="20"/>
    </row>
    <row r="358" spans="1:13" x14ac:dyDescent="0.25">
      <c r="A358" s="34">
        <v>45807</v>
      </c>
      <c r="B358" s="9" t="s">
        <v>250</v>
      </c>
      <c r="C358" s="23" t="s">
        <v>485</v>
      </c>
      <c r="D358" s="38" t="s">
        <v>169</v>
      </c>
      <c r="E358" s="9" t="s">
        <v>185</v>
      </c>
      <c r="F358" s="23">
        <v>98</v>
      </c>
      <c r="G358" s="9" t="s">
        <v>128</v>
      </c>
      <c r="H358" s="23">
        <v>98</v>
      </c>
      <c r="I358" s="21">
        <v>2.3513999999999999</v>
      </c>
      <c r="J358" s="60">
        <v>230.43719999999999</v>
      </c>
      <c r="K358" s="20"/>
      <c r="L358" s="20"/>
      <c r="M358" s="20"/>
    </row>
    <row r="359" spans="1:13" x14ac:dyDescent="0.25">
      <c r="A359" s="28">
        <v>45795</v>
      </c>
      <c r="B359" s="9" t="s">
        <v>250</v>
      </c>
      <c r="C359" s="28" t="s">
        <v>486</v>
      </c>
      <c r="D359" s="29" t="s">
        <v>224</v>
      </c>
      <c r="E359" s="30" t="s">
        <v>225</v>
      </c>
      <c r="F359" s="9">
        <v>6</v>
      </c>
      <c r="G359" s="9" t="s">
        <v>128</v>
      </c>
      <c r="H359" s="9">
        <v>6</v>
      </c>
      <c r="I359" s="32">
        <v>43.274299999999997</v>
      </c>
      <c r="J359" s="60">
        <v>259.64580000000001</v>
      </c>
      <c r="K359" s="20"/>
      <c r="L359" s="20"/>
      <c r="M359" s="20"/>
    </row>
    <row r="360" spans="1:13" x14ac:dyDescent="0.25">
      <c r="A360" s="28">
        <v>45774</v>
      </c>
      <c r="B360" s="9" t="s">
        <v>250</v>
      </c>
      <c r="C360" s="28" t="s">
        <v>486</v>
      </c>
      <c r="D360" s="29" t="s">
        <v>192</v>
      </c>
      <c r="E360" s="65" t="s">
        <v>193</v>
      </c>
      <c r="F360" s="9">
        <v>16</v>
      </c>
      <c r="G360" s="9" t="s">
        <v>128</v>
      </c>
      <c r="H360" s="9">
        <v>16</v>
      </c>
      <c r="I360" s="31">
        <v>16.1416</v>
      </c>
      <c r="J360" s="60">
        <v>258.26560000000001</v>
      </c>
      <c r="K360" s="20"/>
      <c r="L360" s="20"/>
      <c r="M360" s="20"/>
    </row>
    <row r="361" spans="1:13" x14ac:dyDescent="0.25">
      <c r="A361" s="28">
        <v>45798</v>
      </c>
      <c r="B361" s="9" t="s">
        <v>250</v>
      </c>
      <c r="C361" s="28" t="s">
        <v>484</v>
      </c>
      <c r="D361" s="29" t="s">
        <v>240</v>
      </c>
      <c r="E361" s="30" t="s">
        <v>241</v>
      </c>
      <c r="F361" s="9">
        <v>150</v>
      </c>
      <c r="G361" s="9" t="s">
        <v>128</v>
      </c>
      <c r="H361" s="9">
        <v>150</v>
      </c>
      <c r="I361" s="31">
        <v>1.5133000000000001</v>
      </c>
      <c r="J361" s="60">
        <v>226.995</v>
      </c>
      <c r="K361" s="20"/>
      <c r="L361" s="20"/>
      <c r="M361" s="20"/>
    </row>
    <row r="362" spans="1:13" x14ac:dyDescent="0.25">
      <c r="A362" s="17">
        <v>45790</v>
      </c>
      <c r="B362" s="9" t="s">
        <v>250</v>
      </c>
      <c r="C362" s="9" t="s">
        <v>489</v>
      </c>
      <c r="D362" s="39" t="s">
        <v>56</v>
      </c>
      <c r="E362" s="15" t="s">
        <v>123</v>
      </c>
      <c r="F362" s="16">
        <v>9</v>
      </c>
      <c r="G362" s="10" t="s">
        <v>8</v>
      </c>
      <c r="H362" s="16">
        <v>9</v>
      </c>
      <c r="I362" s="21">
        <v>23.690300000000001</v>
      </c>
      <c r="J362" s="60">
        <v>213.21270000000001</v>
      </c>
      <c r="K362" s="20"/>
      <c r="L362" s="20"/>
      <c r="M362" s="20"/>
    </row>
    <row r="363" spans="1:13" x14ac:dyDescent="0.25">
      <c r="A363" s="28">
        <v>45790</v>
      </c>
      <c r="B363" s="9" t="s">
        <v>250</v>
      </c>
      <c r="C363" s="28" t="s">
        <v>486</v>
      </c>
      <c r="D363" s="57" t="s">
        <v>330</v>
      </c>
      <c r="E363" s="65" t="s">
        <v>200</v>
      </c>
      <c r="F363" s="9">
        <v>8</v>
      </c>
      <c r="G363" s="9" t="s">
        <v>128</v>
      </c>
      <c r="H363" s="9">
        <v>8</v>
      </c>
      <c r="I363" s="32">
        <v>29.6998</v>
      </c>
      <c r="J363" s="60">
        <v>237.5984</v>
      </c>
      <c r="K363" s="20"/>
      <c r="L363" s="20"/>
      <c r="M363" s="20"/>
    </row>
    <row r="364" spans="1:13" x14ac:dyDescent="0.25">
      <c r="A364" s="17">
        <v>45790</v>
      </c>
      <c r="B364" s="9" t="s">
        <v>250</v>
      </c>
      <c r="C364" s="9" t="s">
        <v>489</v>
      </c>
      <c r="D364" s="40" t="s">
        <v>59</v>
      </c>
      <c r="E364" s="10" t="s">
        <v>124</v>
      </c>
      <c r="F364" s="10">
        <v>12</v>
      </c>
      <c r="G364" s="10" t="s">
        <v>8</v>
      </c>
      <c r="H364" s="10">
        <v>12</v>
      </c>
      <c r="I364" s="21">
        <v>17.255500000000001</v>
      </c>
      <c r="J364" s="60">
        <v>207.06600000000003</v>
      </c>
      <c r="K364" s="20"/>
      <c r="L364" s="20"/>
      <c r="M364" s="20"/>
    </row>
    <row r="365" spans="1:13" x14ac:dyDescent="0.25">
      <c r="A365" s="28">
        <v>45790</v>
      </c>
      <c r="B365" s="9" t="s">
        <v>250</v>
      </c>
      <c r="C365" s="28" t="s">
        <v>486</v>
      </c>
      <c r="D365" s="29" t="s">
        <v>207</v>
      </c>
      <c r="E365" s="65" t="s">
        <v>208</v>
      </c>
      <c r="F365" s="9">
        <v>8</v>
      </c>
      <c r="G365" s="9" t="s">
        <v>128</v>
      </c>
      <c r="H365" s="9">
        <v>8</v>
      </c>
      <c r="I365" s="32">
        <v>30.194099999999999</v>
      </c>
      <c r="J365" s="60">
        <v>241.55279999999999</v>
      </c>
      <c r="K365" s="20"/>
      <c r="L365" s="20"/>
      <c r="M365" s="20"/>
    </row>
    <row r="366" spans="1:13" x14ac:dyDescent="0.25">
      <c r="A366" s="3">
        <v>45807</v>
      </c>
      <c r="B366" s="9" t="s">
        <v>250</v>
      </c>
      <c r="C366" s="14" t="s">
        <v>484</v>
      </c>
      <c r="D366" s="36" t="s">
        <v>120</v>
      </c>
      <c r="E366" s="30" t="s">
        <v>238</v>
      </c>
      <c r="F366" s="14">
        <v>72</v>
      </c>
      <c r="G366" s="9" t="s">
        <v>128</v>
      </c>
      <c r="H366" s="14">
        <v>72</v>
      </c>
      <c r="I366" s="31">
        <v>2.7757999999999998</v>
      </c>
      <c r="J366" s="60">
        <v>199.85759999999999</v>
      </c>
      <c r="K366" s="20"/>
      <c r="L366" s="20"/>
      <c r="M366" s="20"/>
    </row>
    <row r="367" spans="1:13" x14ac:dyDescent="0.25">
      <c r="A367" s="17">
        <v>45789</v>
      </c>
      <c r="B367" s="9" t="s">
        <v>250</v>
      </c>
      <c r="C367" s="9" t="s">
        <v>7</v>
      </c>
      <c r="D367" s="39" t="s">
        <v>47</v>
      </c>
      <c r="E367" s="10" t="s">
        <v>180</v>
      </c>
      <c r="F367" s="11">
        <v>4</v>
      </c>
      <c r="G367" s="23" t="s">
        <v>125</v>
      </c>
      <c r="H367" s="11"/>
      <c r="I367" s="21"/>
      <c r="J367" s="60">
        <v>0</v>
      </c>
      <c r="K367" s="20"/>
      <c r="L367" s="20"/>
      <c r="M367" s="20"/>
    </row>
    <row r="368" spans="1:13" x14ac:dyDescent="0.25">
      <c r="A368" s="28">
        <v>45798</v>
      </c>
      <c r="B368" s="9" t="s">
        <v>250</v>
      </c>
      <c r="C368" s="28" t="s">
        <v>484</v>
      </c>
      <c r="D368" s="29" t="s">
        <v>244</v>
      </c>
      <c r="E368" s="65" t="s">
        <v>431</v>
      </c>
      <c r="F368" s="9">
        <v>250</v>
      </c>
      <c r="G368" s="9" t="s">
        <v>128</v>
      </c>
      <c r="H368" s="9">
        <v>250</v>
      </c>
      <c r="I368" s="31">
        <v>0.79290000000000005</v>
      </c>
      <c r="J368" s="60">
        <v>198.22500000000002</v>
      </c>
      <c r="K368" s="20"/>
      <c r="L368" s="20"/>
      <c r="M368" s="20"/>
    </row>
    <row r="369" spans="1:13" x14ac:dyDescent="0.25">
      <c r="A369" s="17">
        <v>45789</v>
      </c>
      <c r="B369" s="9" t="s">
        <v>250</v>
      </c>
      <c r="C369" s="9" t="s">
        <v>489</v>
      </c>
      <c r="D369" s="40" t="s">
        <v>9</v>
      </c>
      <c r="E369" s="9" t="s">
        <v>100</v>
      </c>
      <c r="F369" s="11">
        <v>15</v>
      </c>
      <c r="G369" s="25" t="s">
        <v>6</v>
      </c>
      <c r="H369" s="11">
        <v>15</v>
      </c>
      <c r="I369" s="9">
        <v>22.7425</v>
      </c>
      <c r="J369" s="60">
        <v>341.13749999999999</v>
      </c>
      <c r="K369" s="20"/>
      <c r="L369" s="20"/>
      <c r="M369" s="20"/>
    </row>
    <row r="370" spans="1:13" x14ac:dyDescent="0.25">
      <c r="A370" s="28">
        <v>45795</v>
      </c>
      <c r="B370" s="9" t="s">
        <v>250</v>
      </c>
      <c r="C370" s="28" t="s">
        <v>486</v>
      </c>
      <c r="D370" s="29" t="s">
        <v>222</v>
      </c>
      <c r="E370" s="30" t="s">
        <v>223</v>
      </c>
      <c r="F370" s="9">
        <v>5</v>
      </c>
      <c r="G370" s="9" t="s">
        <v>128</v>
      </c>
      <c r="H370" s="9">
        <v>5</v>
      </c>
      <c r="I370" s="32">
        <v>43.107700000000001</v>
      </c>
      <c r="J370" s="60">
        <v>215.5385</v>
      </c>
      <c r="K370" s="20"/>
      <c r="L370" s="20"/>
      <c r="M370" s="20"/>
    </row>
    <row r="371" spans="1:13" x14ac:dyDescent="0.25">
      <c r="A371" s="28">
        <v>45774</v>
      </c>
      <c r="B371" s="9" t="s">
        <v>250</v>
      </c>
      <c r="C371" s="28" t="s">
        <v>486</v>
      </c>
      <c r="D371" s="29" t="s">
        <v>222</v>
      </c>
      <c r="E371" s="30" t="s">
        <v>223</v>
      </c>
      <c r="F371" s="9">
        <v>5</v>
      </c>
      <c r="G371" s="9" t="s">
        <v>128</v>
      </c>
      <c r="H371" s="9">
        <v>5</v>
      </c>
      <c r="I371" s="32">
        <v>43.107700000000001</v>
      </c>
      <c r="J371" s="60">
        <v>215.5385</v>
      </c>
      <c r="K371" s="20"/>
      <c r="L371" s="20"/>
      <c r="M371" s="20"/>
    </row>
    <row r="372" spans="1:13" x14ac:dyDescent="0.25">
      <c r="A372" s="17">
        <v>45795</v>
      </c>
      <c r="B372" s="9" t="s">
        <v>250</v>
      </c>
      <c r="C372" s="9" t="s">
        <v>7</v>
      </c>
      <c r="D372" s="39" t="s">
        <v>35</v>
      </c>
      <c r="E372" s="9" t="s">
        <v>175</v>
      </c>
      <c r="F372" s="9">
        <v>25</v>
      </c>
      <c r="G372" s="23" t="s">
        <v>125</v>
      </c>
      <c r="H372" s="9"/>
      <c r="I372" s="21"/>
      <c r="J372" s="60">
        <v>0</v>
      </c>
      <c r="K372" s="20"/>
      <c r="L372" s="20"/>
      <c r="M372" s="20"/>
    </row>
    <row r="373" spans="1:13" x14ac:dyDescent="0.25">
      <c r="A373" s="28">
        <v>45790</v>
      </c>
      <c r="B373" s="9" t="s">
        <v>250</v>
      </c>
      <c r="C373" s="28" t="s">
        <v>486</v>
      </c>
      <c r="D373" s="29" t="s">
        <v>191</v>
      </c>
      <c r="E373" s="65" t="s">
        <v>439</v>
      </c>
      <c r="F373" s="9">
        <v>8</v>
      </c>
      <c r="G373" s="9" t="s">
        <v>128</v>
      </c>
      <c r="H373" s="9">
        <v>8</v>
      </c>
      <c r="I373" s="32">
        <v>24.114999999999998</v>
      </c>
      <c r="J373" s="60">
        <v>192.92</v>
      </c>
      <c r="K373" s="20"/>
      <c r="L373" s="20"/>
      <c r="M373" s="20"/>
    </row>
    <row r="374" spans="1:13" x14ac:dyDescent="0.25">
      <c r="A374" s="34">
        <v>45785</v>
      </c>
      <c r="B374" s="9" t="s">
        <v>250</v>
      </c>
      <c r="C374" s="23" t="s">
        <v>485</v>
      </c>
      <c r="D374" s="39" t="s">
        <v>129</v>
      </c>
      <c r="E374" s="9" t="s">
        <v>130</v>
      </c>
      <c r="F374" s="23">
        <v>14</v>
      </c>
      <c r="G374" s="23" t="s">
        <v>128</v>
      </c>
      <c r="H374" s="23">
        <v>14</v>
      </c>
      <c r="I374" s="21">
        <v>11.968999999999999</v>
      </c>
      <c r="J374" s="60">
        <v>167.566</v>
      </c>
      <c r="K374" s="20"/>
      <c r="L374" s="20"/>
      <c r="M374" s="20"/>
    </row>
    <row r="375" spans="1:13" x14ac:dyDescent="0.25">
      <c r="A375" s="34">
        <v>45799</v>
      </c>
      <c r="B375" s="9" t="s">
        <v>250</v>
      </c>
      <c r="C375" s="23" t="s">
        <v>485</v>
      </c>
      <c r="D375" s="38" t="s">
        <v>138</v>
      </c>
      <c r="E375" s="23" t="s">
        <v>139</v>
      </c>
      <c r="F375" s="23">
        <v>16</v>
      </c>
      <c r="G375" s="23" t="s">
        <v>128</v>
      </c>
      <c r="H375" s="23">
        <v>16</v>
      </c>
      <c r="I375" s="21">
        <v>10.444699999999999</v>
      </c>
      <c r="J375" s="60">
        <v>167.11519999999999</v>
      </c>
      <c r="K375" s="20"/>
      <c r="L375" s="20"/>
      <c r="M375" s="20"/>
    </row>
    <row r="376" spans="1:13" x14ac:dyDescent="0.25">
      <c r="A376" s="17">
        <v>45790</v>
      </c>
      <c r="B376" s="9" t="s">
        <v>250</v>
      </c>
      <c r="C376" s="9" t="s">
        <v>489</v>
      </c>
      <c r="D376" s="40" t="s">
        <v>69</v>
      </c>
      <c r="E376" s="9" t="s">
        <v>479</v>
      </c>
      <c r="F376" s="10">
        <v>14</v>
      </c>
      <c r="G376" s="25" t="s">
        <v>6</v>
      </c>
      <c r="H376" s="10">
        <v>14</v>
      </c>
      <c r="I376" s="9">
        <v>11.773300000000001</v>
      </c>
      <c r="J376" s="60">
        <v>164.8262</v>
      </c>
      <c r="K376" s="20"/>
      <c r="L376" s="20"/>
      <c r="M376" s="20"/>
    </row>
    <row r="377" spans="1:13" x14ac:dyDescent="0.25">
      <c r="A377" s="28">
        <v>45774</v>
      </c>
      <c r="B377" s="9" t="s">
        <v>250</v>
      </c>
      <c r="C377" s="28" t="s">
        <v>486</v>
      </c>
      <c r="D377" s="29" t="s">
        <v>215</v>
      </c>
      <c r="E377" s="30" t="s">
        <v>216</v>
      </c>
      <c r="F377" s="9">
        <v>7</v>
      </c>
      <c r="G377" s="9" t="s">
        <v>128</v>
      </c>
      <c r="H377" s="9">
        <v>7</v>
      </c>
      <c r="I377" s="31">
        <v>25.256599999999999</v>
      </c>
      <c r="J377" s="60">
        <v>176.7962</v>
      </c>
      <c r="K377" s="20"/>
      <c r="L377" s="20"/>
      <c r="M377" s="20"/>
    </row>
    <row r="378" spans="1:13" x14ac:dyDescent="0.25">
      <c r="A378" s="17">
        <v>45805</v>
      </c>
      <c r="B378" s="9" t="s">
        <v>250</v>
      </c>
      <c r="C378" s="4" t="s">
        <v>489</v>
      </c>
      <c r="D378" s="40" t="s">
        <v>59</v>
      </c>
      <c r="E378" s="9" t="s">
        <v>124</v>
      </c>
      <c r="F378" s="9">
        <v>9</v>
      </c>
      <c r="G378" s="10" t="s">
        <v>8</v>
      </c>
      <c r="H378" s="9">
        <v>9</v>
      </c>
      <c r="I378" s="21">
        <v>17.255500000000001</v>
      </c>
      <c r="J378" s="60">
        <v>155.29950000000002</v>
      </c>
      <c r="K378" s="20"/>
      <c r="L378" s="20"/>
      <c r="M378" s="20"/>
    </row>
    <row r="379" spans="1:13" x14ac:dyDescent="0.25">
      <c r="A379" s="17">
        <v>45795</v>
      </c>
      <c r="B379" s="9" t="s">
        <v>250</v>
      </c>
      <c r="C379" s="9" t="s">
        <v>489</v>
      </c>
      <c r="D379" s="40" t="s">
        <v>9</v>
      </c>
      <c r="E379" s="9" t="s">
        <v>100</v>
      </c>
      <c r="F379" s="9">
        <v>12</v>
      </c>
      <c r="G379" s="25" t="s">
        <v>6</v>
      </c>
      <c r="H379" s="9">
        <v>12</v>
      </c>
      <c r="I379" s="9">
        <v>22.7425</v>
      </c>
      <c r="J379" s="60">
        <v>272.90999999999997</v>
      </c>
      <c r="K379" s="20"/>
      <c r="L379" s="20"/>
      <c r="M379" s="20"/>
    </row>
    <row r="380" spans="1:13" x14ac:dyDescent="0.25">
      <c r="A380" s="28">
        <v>45795</v>
      </c>
      <c r="B380" s="9" t="s">
        <v>250</v>
      </c>
      <c r="C380" s="28" t="s">
        <v>486</v>
      </c>
      <c r="D380" s="29" t="s">
        <v>219</v>
      </c>
      <c r="E380" s="65" t="s">
        <v>220</v>
      </c>
      <c r="F380" s="9">
        <v>16</v>
      </c>
      <c r="G380" s="9" t="s">
        <v>128</v>
      </c>
      <c r="H380" s="9">
        <v>16</v>
      </c>
      <c r="I380" s="32">
        <v>10.8024</v>
      </c>
      <c r="J380" s="60">
        <v>172.83840000000001</v>
      </c>
      <c r="K380" s="20"/>
      <c r="L380" s="20"/>
      <c r="M380" s="20"/>
    </row>
    <row r="381" spans="1:13" x14ac:dyDescent="0.25">
      <c r="A381" s="17">
        <v>45789</v>
      </c>
      <c r="B381" s="9" t="s">
        <v>250</v>
      </c>
      <c r="C381" s="9" t="s">
        <v>7</v>
      </c>
      <c r="D381" s="40" t="s">
        <v>35</v>
      </c>
      <c r="E381" s="9" t="s">
        <v>175</v>
      </c>
      <c r="F381" s="11">
        <v>22</v>
      </c>
      <c r="G381" s="23" t="s">
        <v>125</v>
      </c>
      <c r="H381" s="11"/>
      <c r="I381" s="21"/>
      <c r="J381" s="60">
        <v>0</v>
      </c>
      <c r="K381" s="20"/>
      <c r="L381" s="20"/>
      <c r="M381" s="20"/>
    </row>
    <row r="382" spans="1:13" x14ac:dyDescent="0.25">
      <c r="A382" s="17">
        <v>45790</v>
      </c>
      <c r="B382" s="9" t="s">
        <v>250</v>
      </c>
      <c r="C382" s="9" t="s">
        <v>7</v>
      </c>
      <c r="D382" s="39" t="s">
        <v>35</v>
      </c>
      <c r="E382" s="9" t="s">
        <v>4</v>
      </c>
      <c r="F382" s="9">
        <v>22</v>
      </c>
      <c r="G382" s="23" t="s">
        <v>125</v>
      </c>
      <c r="H382" s="9"/>
      <c r="I382" s="21"/>
      <c r="J382" s="60">
        <v>0</v>
      </c>
      <c r="K382" s="20"/>
      <c r="L382" s="20"/>
      <c r="M382" s="20"/>
    </row>
    <row r="383" spans="1:13" x14ac:dyDescent="0.25">
      <c r="A383" s="28">
        <v>45798</v>
      </c>
      <c r="B383" s="9" t="s">
        <v>250</v>
      </c>
      <c r="C383" s="28" t="s">
        <v>484</v>
      </c>
      <c r="D383" s="29" t="s">
        <v>236</v>
      </c>
      <c r="E383" s="65" t="s">
        <v>418</v>
      </c>
      <c r="F383" s="9">
        <v>55</v>
      </c>
      <c r="G383" s="9" t="s">
        <v>128</v>
      </c>
      <c r="H383" s="9">
        <v>55</v>
      </c>
      <c r="I383" s="31">
        <v>2.6991000000000001</v>
      </c>
      <c r="J383" s="60">
        <v>148.45050000000001</v>
      </c>
      <c r="K383" s="20"/>
      <c r="L383" s="20"/>
      <c r="M383" s="20"/>
    </row>
    <row r="384" spans="1:13" x14ac:dyDescent="0.25">
      <c r="A384" s="28">
        <v>45798</v>
      </c>
      <c r="B384" s="9" t="s">
        <v>250</v>
      </c>
      <c r="C384" s="28" t="s">
        <v>484</v>
      </c>
      <c r="D384" s="29" t="s">
        <v>239</v>
      </c>
      <c r="E384" s="65" t="s">
        <v>433</v>
      </c>
      <c r="F384" s="9">
        <v>83</v>
      </c>
      <c r="G384" s="9" t="s">
        <v>128</v>
      </c>
      <c r="H384" s="9">
        <v>83</v>
      </c>
      <c r="I384" s="31">
        <v>1.7414000000000001</v>
      </c>
      <c r="J384" s="60">
        <v>144.53620000000001</v>
      </c>
      <c r="K384" s="20"/>
      <c r="L384" s="20"/>
      <c r="M384" s="20"/>
    </row>
    <row r="385" spans="1:13" x14ac:dyDescent="0.25">
      <c r="A385" s="28">
        <v>45774</v>
      </c>
      <c r="B385" s="9" t="s">
        <v>250</v>
      </c>
      <c r="C385" s="28" t="s">
        <v>486</v>
      </c>
      <c r="D385" s="29" t="s">
        <v>219</v>
      </c>
      <c r="E385" s="30" t="s">
        <v>220</v>
      </c>
      <c r="F385" s="9">
        <v>15</v>
      </c>
      <c r="G385" s="9" t="s">
        <v>128</v>
      </c>
      <c r="H385" s="9">
        <v>15</v>
      </c>
      <c r="I385" s="31">
        <v>10.8024</v>
      </c>
      <c r="J385" s="60">
        <v>162.036</v>
      </c>
      <c r="K385" s="20"/>
      <c r="L385" s="20"/>
      <c r="M385" s="20"/>
    </row>
    <row r="386" spans="1:13" x14ac:dyDescent="0.25">
      <c r="A386" s="34">
        <v>45789</v>
      </c>
      <c r="B386" s="9" t="s">
        <v>250</v>
      </c>
      <c r="C386" s="23" t="s">
        <v>485</v>
      </c>
      <c r="D386" s="39" t="s">
        <v>167</v>
      </c>
      <c r="E386" s="9" t="s">
        <v>142</v>
      </c>
      <c r="F386" s="23">
        <v>18</v>
      </c>
      <c r="G386" s="23" t="s">
        <v>128</v>
      </c>
      <c r="H386" s="23">
        <v>18</v>
      </c>
      <c r="I386" s="21">
        <v>7.9405999999999999</v>
      </c>
      <c r="J386" s="60">
        <v>142.9308</v>
      </c>
      <c r="K386" s="20"/>
      <c r="L386" s="20"/>
      <c r="M386" s="20"/>
    </row>
    <row r="387" spans="1:13" x14ac:dyDescent="0.25">
      <c r="A387" s="17">
        <v>45805</v>
      </c>
      <c r="B387" s="9" t="s">
        <v>250</v>
      </c>
      <c r="C387" s="4" t="s">
        <v>489</v>
      </c>
      <c r="D387" s="40" t="s">
        <v>9</v>
      </c>
      <c r="E387" s="9" t="s">
        <v>18</v>
      </c>
      <c r="F387" s="9">
        <v>11</v>
      </c>
      <c r="G387" s="25" t="s">
        <v>6</v>
      </c>
      <c r="H387" s="9">
        <v>11</v>
      </c>
      <c r="I387" s="9">
        <v>22.7425</v>
      </c>
      <c r="J387" s="60">
        <v>250.16749999999999</v>
      </c>
      <c r="K387" s="20"/>
      <c r="L387" s="20"/>
      <c r="M387" s="20"/>
    </row>
    <row r="388" spans="1:13" x14ac:dyDescent="0.25">
      <c r="A388" s="17">
        <v>45795</v>
      </c>
      <c r="B388" s="9" t="s">
        <v>250</v>
      </c>
      <c r="C388" s="9" t="s">
        <v>489</v>
      </c>
      <c r="D388" s="40" t="s">
        <v>59</v>
      </c>
      <c r="E388" s="9" t="s">
        <v>41</v>
      </c>
      <c r="F388" s="9">
        <v>8</v>
      </c>
      <c r="G388" s="10" t="s">
        <v>8</v>
      </c>
      <c r="H388" s="9">
        <v>8</v>
      </c>
      <c r="I388" s="21">
        <v>17.255500000000001</v>
      </c>
      <c r="J388" s="60">
        <v>138.04400000000001</v>
      </c>
      <c r="K388" s="20"/>
      <c r="L388" s="20"/>
      <c r="M388" s="20"/>
    </row>
    <row r="389" spans="1:13" x14ac:dyDescent="0.25">
      <c r="A389" s="34">
        <v>45791</v>
      </c>
      <c r="B389" s="9" t="s">
        <v>250</v>
      </c>
      <c r="C389" s="23" t="s">
        <v>485</v>
      </c>
      <c r="D389" s="38" t="s">
        <v>148</v>
      </c>
      <c r="E389" s="9" t="s">
        <v>149</v>
      </c>
      <c r="F389" s="23">
        <v>58</v>
      </c>
      <c r="G389" s="23" t="s">
        <v>128</v>
      </c>
      <c r="H389" s="23">
        <v>58</v>
      </c>
      <c r="I389" s="21">
        <v>2.3513999999999999</v>
      </c>
      <c r="J389" s="60">
        <v>136.38120000000001</v>
      </c>
      <c r="K389" s="20"/>
      <c r="L389" s="20"/>
      <c r="M389" s="20"/>
    </row>
    <row r="390" spans="1:13" x14ac:dyDescent="0.25">
      <c r="A390" s="34">
        <v>45787</v>
      </c>
      <c r="B390" s="9" t="s">
        <v>250</v>
      </c>
      <c r="C390" s="23" t="s">
        <v>485</v>
      </c>
      <c r="D390" s="38" t="s">
        <v>138</v>
      </c>
      <c r="E390" s="9" t="s">
        <v>139</v>
      </c>
      <c r="F390" s="23">
        <v>13</v>
      </c>
      <c r="G390" s="23" t="s">
        <v>128</v>
      </c>
      <c r="H390" s="23">
        <v>13</v>
      </c>
      <c r="I390" s="21">
        <v>10.444699999999999</v>
      </c>
      <c r="J390" s="60">
        <v>135.78109999999998</v>
      </c>
      <c r="K390" s="20"/>
      <c r="L390" s="20"/>
      <c r="M390" s="20"/>
    </row>
    <row r="391" spans="1:13" x14ac:dyDescent="0.25">
      <c r="A391" s="34">
        <v>45799</v>
      </c>
      <c r="B391" s="9" t="s">
        <v>250</v>
      </c>
      <c r="C391" s="23" t="s">
        <v>485</v>
      </c>
      <c r="D391" s="38" t="s">
        <v>160</v>
      </c>
      <c r="E391" s="9" t="s">
        <v>161</v>
      </c>
      <c r="F391" s="23">
        <v>13</v>
      </c>
      <c r="G391" s="23" t="s">
        <v>128</v>
      </c>
      <c r="H391" s="23">
        <v>13</v>
      </c>
      <c r="I391" s="21">
        <v>10.353999999999999</v>
      </c>
      <c r="J391" s="60">
        <v>134.60199999999998</v>
      </c>
      <c r="K391" s="20"/>
      <c r="L391" s="20"/>
      <c r="M391" s="20"/>
    </row>
    <row r="392" spans="1:13" x14ac:dyDescent="0.25">
      <c r="A392" s="34">
        <v>45807</v>
      </c>
      <c r="B392" s="9" t="s">
        <v>250</v>
      </c>
      <c r="C392" s="23" t="s">
        <v>485</v>
      </c>
      <c r="D392" s="39" t="s">
        <v>166</v>
      </c>
      <c r="E392" s="9" t="s">
        <v>424</v>
      </c>
      <c r="F392" s="23">
        <v>8</v>
      </c>
      <c r="G392" s="23" t="s">
        <v>128</v>
      </c>
      <c r="H392" s="23">
        <v>8</v>
      </c>
      <c r="I392" s="21">
        <v>17.421199999999999</v>
      </c>
      <c r="J392" s="60">
        <v>139.36959999999999</v>
      </c>
      <c r="K392" s="20"/>
      <c r="L392" s="20"/>
      <c r="M392" s="20"/>
    </row>
    <row r="393" spans="1:13" x14ac:dyDescent="0.25">
      <c r="A393" s="28">
        <v>45790</v>
      </c>
      <c r="B393" s="9" t="s">
        <v>250</v>
      </c>
      <c r="C393" s="28" t="s">
        <v>486</v>
      </c>
      <c r="D393" s="29" t="s">
        <v>197</v>
      </c>
      <c r="E393" s="30" t="s">
        <v>198</v>
      </c>
      <c r="F393" s="9">
        <v>6</v>
      </c>
      <c r="G393" s="9" t="s">
        <v>128</v>
      </c>
      <c r="H393" s="9">
        <v>6</v>
      </c>
      <c r="I393" s="32">
        <v>24.114999999999998</v>
      </c>
      <c r="J393" s="60">
        <v>144.69</v>
      </c>
      <c r="K393" s="20"/>
      <c r="L393" s="20"/>
      <c r="M393" s="20"/>
    </row>
    <row r="394" spans="1:13" x14ac:dyDescent="0.25">
      <c r="A394" s="28">
        <v>45774</v>
      </c>
      <c r="B394" s="9" t="s">
        <v>250</v>
      </c>
      <c r="C394" s="28" t="s">
        <v>486</v>
      </c>
      <c r="D394" s="29" t="s">
        <v>197</v>
      </c>
      <c r="E394" s="30" t="s">
        <v>198</v>
      </c>
      <c r="F394" s="9">
        <v>6</v>
      </c>
      <c r="G394" s="9" t="s">
        <v>128</v>
      </c>
      <c r="H394" s="9">
        <v>6</v>
      </c>
      <c r="I394" s="32">
        <v>24.114999999999998</v>
      </c>
      <c r="J394" s="60">
        <v>144.69</v>
      </c>
      <c r="K394" s="20"/>
      <c r="L394" s="20"/>
      <c r="M394" s="20"/>
    </row>
    <row r="395" spans="1:13" x14ac:dyDescent="0.25">
      <c r="A395" s="34">
        <v>45807</v>
      </c>
      <c r="B395" s="9" t="s">
        <v>250</v>
      </c>
      <c r="C395" s="23" t="s">
        <v>485</v>
      </c>
      <c r="D395" s="38" t="s">
        <v>168</v>
      </c>
      <c r="E395" s="23" t="s">
        <v>149</v>
      </c>
      <c r="F395" s="23">
        <v>52</v>
      </c>
      <c r="G395" s="9" t="s">
        <v>128</v>
      </c>
      <c r="H395" s="23">
        <v>52</v>
      </c>
      <c r="I395" s="21">
        <v>2.3513999999999999</v>
      </c>
      <c r="J395" s="60">
        <v>122.27279999999999</v>
      </c>
      <c r="K395" s="20"/>
      <c r="L395" s="20"/>
      <c r="M395" s="20"/>
    </row>
    <row r="396" spans="1:13" x14ac:dyDescent="0.25">
      <c r="A396" s="28">
        <v>45790</v>
      </c>
      <c r="B396" s="9" t="s">
        <v>250</v>
      </c>
      <c r="C396" s="28" t="s">
        <v>486</v>
      </c>
      <c r="D396" s="29" t="s">
        <v>203</v>
      </c>
      <c r="E396" s="30" t="s">
        <v>204</v>
      </c>
      <c r="F396" s="9">
        <v>3</v>
      </c>
      <c r="G396" s="9" t="s">
        <v>128</v>
      </c>
      <c r="H396" s="9">
        <v>3</v>
      </c>
      <c r="I396" s="32">
        <v>44.4726</v>
      </c>
      <c r="J396" s="60">
        <v>133.4178</v>
      </c>
      <c r="K396" s="20"/>
      <c r="L396" s="20"/>
      <c r="M396" s="20"/>
    </row>
    <row r="397" spans="1:13" x14ac:dyDescent="0.25">
      <c r="A397" s="17">
        <v>45792</v>
      </c>
      <c r="B397" s="9" t="s">
        <v>250</v>
      </c>
      <c r="C397" s="9" t="s">
        <v>489</v>
      </c>
      <c r="D397" s="40" t="s">
        <v>251</v>
      </c>
      <c r="E397" s="9" t="s">
        <v>102</v>
      </c>
      <c r="F397" s="9">
        <v>10</v>
      </c>
      <c r="G397" s="25" t="s">
        <v>6</v>
      </c>
      <c r="H397" s="9">
        <v>10</v>
      </c>
      <c r="I397" s="9">
        <v>11.773300000000001</v>
      </c>
      <c r="J397" s="60">
        <v>117.733</v>
      </c>
      <c r="K397" s="20"/>
      <c r="L397" s="20"/>
      <c r="M397" s="20"/>
    </row>
    <row r="398" spans="1:13" x14ac:dyDescent="0.25">
      <c r="A398" s="28">
        <v>45774</v>
      </c>
      <c r="B398" s="9" t="s">
        <v>250</v>
      </c>
      <c r="C398" s="28" t="s">
        <v>486</v>
      </c>
      <c r="D398" s="29" t="s">
        <v>224</v>
      </c>
      <c r="E398" s="30" t="s">
        <v>225</v>
      </c>
      <c r="F398" s="9">
        <v>3</v>
      </c>
      <c r="G398" s="9" t="s">
        <v>128</v>
      </c>
      <c r="H398" s="9">
        <v>3</v>
      </c>
      <c r="I398" s="32">
        <v>43.274299999999997</v>
      </c>
      <c r="J398" s="60">
        <v>129.8229</v>
      </c>
      <c r="K398" s="20"/>
      <c r="L398" s="20"/>
      <c r="M398" s="20"/>
    </row>
    <row r="399" spans="1:13" x14ac:dyDescent="0.25">
      <c r="A399" s="34">
        <v>45799</v>
      </c>
      <c r="B399" s="9" t="s">
        <v>250</v>
      </c>
      <c r="C399" s="23" t="s">
        <v>485</v>
      </c>
      <c r="D399" s="38" t="s">
        <v>160</v>
      </c>
      <c r="E399" s="23" t="s">
        <v>161</v>
      </c>
      <c r="F399" s="23">
        <v>11</v>
      </c>
      <c r="G399" s="23" t="s">
        <v>128</v>
      </c>
      <c r="H399" s="23">
        <v>11</v>
      </c>
      <c r="I399" s="21">
        <v>10.353999999999999</v>
      </c>
      <c r="J399" s="60">
        <v>113.89399999999999</v>
      </c>
      <c r="K399" s="20"/>
      <c r="L399" s="20"/>
      <c r="M399" s="20"/>
    </row>
    <row r="400" spans="1:13" x14ac:dyDescent="0.25">
      <c r="A400" s="34">
        <v>45799</v>
      </c>
      <c r="B400" s="9" t="s">
        <v>250</v>
      </c>
      <c r="C400" s="23" t="s">
        <v>485</v>
      </c>
      <c r="D400" s="38" t="s">
        <v>140</v>
      </c>
      <c r="E400" s="9" t="s">
        <v>141</v>
      </c>
      <c r="F400" s="23">
        <v>12</v>
      </c>
      <c r="G400" s="23" t="s">
        <v>128</v>
      </c>
      <c r="H400" s="23">
        <v>12</v>
      </c>
      <c r="I400" s="21">
        <v>8.3518000000000008</v>
      </c>
      <c r="J400" s="60">
        <v>100.22160000000001</v>
      </c>
      <c r="K400" s="20"/>
      <c r="L400" s="20"/>
      <c r="M400" s="20"/>
    </row>
    <row r="401" spans="1:13" x14ac:dyDescent="0.25">
      <c r="A401" s="28">
        <v>45795</v>
      </c>
      <c r="B401" s="9" t="s">
        <v>250</v>
      </c>
      <c r="C401" s="28" t="s">
        <v>486</v>
      </c>
      <c r="D401" s="29" t="s">
        <v>192</v>
      </c>
      <c r="E401" s="30" t="s">
        <v>193</v>
      </c>
      <c r="F401" s="9">
        <v>7</v>
      </c>
      <c r="G401" s="9" t="s">
        <v>128</v>
      </c>
      <c r="H401" s="9">
        <v>7</v>
      </c>
      <c r="I401" s="32">
        <v>16.1416</v>
      </c>
      <c r="J401" s="60">
        <v>112.99120000000001</v>
      </c>
      <c r="K401" s="20"/>
      <c r="L401" s="20"/>
      <c r="M401" s="20"/>
    </row>
    <row r="402" spans="1:13" x14ac:dyDescent="0.25">
      <c r="A402" s="17">
        <v>45805</v>
      </c>
      <c r="B402" s="9" t="s">
        <v>250</v>
      </c>
      <c r="C402" s="4" t="s">
        <v>76</v>
      </c>
      <c r="D402" s="39" t="s">
        <v>35</v>
      </c>
      <c r="E402" s="9" t="s">
        <v>4</v>
      </c>
      <c r="F402" s="9">
        <v>14</v>
      </c>
      <c r="G402" s="23" t="s">
        <v>125</v>
      </c>
      <c r="H402" s="9"/>
      <c r="I402" s="21"/>
      <c r="J402" s="60">
        <v>0</v>
      </c>
      <c r="K402" s="20"/>
      <c r="L402" s="20"/>
      <c r="M402" s="20"/>
    </row>
    <row r="403" spans="1:13" x14ac:dyDescent="0.25">
      <c r="A403" s="28">
        <v>45798</v>
      </c>
      <c r="B403" s="9" t="s">
        <v>250</v>
      </c>
      <c r="C403" s="28" t="s">
        <v>484</v>
      </c>
      <c r="D403" s="29" t="s">
        <v>233</v>
      </c>
      <c r="E403" s="30" t="s">
        <v>234</v>
      </c>
      <c r="F403" s="9">
        <v>87</v>
      </c>
      <c r="G403" s="9" t="s">
        <v>128</v>
      </c>
      <c r="H403" s="9">
        <v>87</v>
      </c>
      <c r="I403" s="31">
        <v>1.25</v>
      </c>
      <c r="J403" s="60">
        <v>108.75</v>
      </c>
      <c r="K403" s="20"/>
      <c r="L403" s="20"/>
      <c r="M403" s="20"/>
    </row>
    <row r="404" spans="1:13" x14ac:dyDescent="0.25">
      <c r="A404" s="17">
        <v>45789</v>
      </c>
      <c r="B404" s="9" t="s">
        <v>250</v>
      </c>
      <c r="C404" s="9" t="s">
        <v>489</v>
      </c>
      <c r="D404" s="40" t="s">
        <v>251</v>
      </c>
      <c r="E404" s="10" t="s">
        <v>102</v>
      </c>
      <c r="F404" s="11">
        <v>8</v>
      </c>
      <c r="G404" s="25" t="s">
        <v>6</v>
      </c>
      <c r="H404" s="11">
        <v>8</v>
      </c>
      <c r="I404" s="9">
        <v>11.773300000000001</v>
      </c>
      <c r="J404" s="60">
        <v>94.186400000000006</v>
      </c>
      <c r="K404" s="20"/>
      <c r="L404" s="20"/>
      <c r="M404" s="20"/>
    </row>
    <row r="405" spans="1:13" x14ac:dyDescent="0.25">
      <c r="A405" s="34">
        <v>45785</v>
      </c>
      <c r="B405" s="9" t="s">
        <v>250</v>
      </c>
      <c r="C405" s="23" t="s">
        <v>485</v>
      </c>
      <c r="D405" s="39" t="s">
        <v>133</v>
      </c>
      <c r="E405" s="23" t="s">
        <v>134</v>
      </c>
      <c r="F405" s="23">
        <v>9</v>
      </c>
      <c r="G405" s="23" t="s">
        <v>128</v>
      </c>
      <c r="H405" s="23">
        <v>9</v>
      </c>
      <c r="I405" s="21">
        <v>10.037000000000001</v>
      </c>
      <c r="J405" s="60">
        <v>90.333000000000013</v>
      </c>
      <c r="K405" s="20"/>
      <c r="L405" s="20"/>
      <c r="M405" s="20"/>
    </row>
    <row r="406" spans="1:13" x14ac:dyDescent="0.25">
      <c r="A406" s="28">
        <v>45795</v>
      </c>
      <c r="B406" s="9" t="s">
        <v>250</v>
      </c>
      <c r="C406" s="28" t="s">
        <v>486</v>
      </c>
      <c r="D406" s="29" t="s">
        <v>215</v>
      </c>
      <c r="E406" s="30" t="s">
        <v>216</v>
      </c>
      <c r="F406" s="9">
        <v>4</v>
      </c>
      <c r="G406" s="9" t="s">
        <v>128</v>
      </c>
      <c r="H406" s="9">
        <v>4</v>
      </c>
      <c r="I406" s="31">
        <v>25.256599999999999</v>
      </c>
      <c r="J406" s="60">
        <v>101.0264</v>
      </c>
      <c r="K406" s="20"/>
      <c r="L406" s="20"/>
      <c r="M406" s="20"/>
    </row>
    <row r="407" spans="1:13" x14ac:dyDescent="0.25">
      <c r="A407" s="34">
        <v>45791</v>
      </c>
      <c r="B407" s="9" t="s">
        <v>250</v>
      </c>
      <c r="C407" s="23" t="s">
        <v>485</v>
      </c>
      <c r="D407" s="39" t="s">
        <v>150</v>
      </c>
      <c r="E407" s="9" t="s">
        <v>151</v>
      </c>
      <c r="F407" s="23">
        <v>4</v>
      </c>
      <c r="G407" s="27" t="s">
        <v>128</v>
      </c>
      <c r="H407" s="23">
        <v>4</v>
      </c>
      <c r="I407" s="21">
        <v>21.612200000000001</v>
      </c>
      <c r="J407" s="60">
        <v>86.448800000000006</v>
      </c>
      <c r="K407" s="20"/>
      <c r="L407" s="20"/>
      <c r="M407" s="20"/>
    </row>
    <row r="408" spans="1:13" x14ac:dyDescent="0.25">
      <c r="A408" s="28">
        <v>45790</v>
      </c>
      <c r="B408" s="9" t="s">
        <v>250</v>
      </c>
      <c r="C408" s="28" t="s">
        <v>486</v>
      </c>
      <c r="D408" s="29" t="s">
        <v>192</v>
      </c>
      <c r="E408" s="30" t="s">
        <v>193</v>
      </c>
      <c r="F408" s="9">
        <v>6</v>
      </c>
      <c r="G408" s="9" t="s">
        <v>128</v>
      </c>
      <c r="H408" s="9">
        <v>6</v>
      </c>
      <c r="I408" s="32">
        <v>16.1416</v>
      </c>
      <c r="J408" s="60">
        <v>96.849600000000009</v>
      </c>
      <c r="K408" s="20"/>
      <c r="L408" s="20"/>
      <c r="M408" s="20"/>
    </row>
    <row r="409" spans="1:13" x14ac:dyDescent="0.25">
      <c r="A409" s="3">
        <v>45799</v>
      </c>
      <c r="B409" s="9" t="s">
        <v>250</v>
      </c>
      <c r="C409" s="4" t="s">
        <v>489</v>
      </c>
      <c r="D409" s="39" t="s">
        <v>62</v>
      </c>
      <c r="E409" s="9" t="s">
        <v>13</v>
      </c>
      <c r="F409" s="9">
        <v>5</v>
      </c>
      <c r="G409" s="25" t="s">
        <v>6</v>
      </c>
      <c r="H409" s="9">
        <v>5</v>
      </c>
      <c r="I409" s="9">
        <v>19.204000000000001</v>
      </c>
      <c r="J409" s="60">
        <v>96.02000000000001</v>
      </c>
      <c r="K409" s="20"/>
      <c r="L409" s="20"/>
      <c r="M409" s="20"/>
    </row>
    <row r="410" spans="1:13" x14ac:dyDescent="0.25">
      <c r="A410" s="34">
        <v>45787</v>
      </c>
      <c r="B410" s="9" t="s">
        <v>250</v>
      </c>
      <c r="C410" s="23" t="s">
        <v>485</v>
      </c>
      <c r="D410" s="39" t="s">
        <v>133</v>
      </c>
      <c r="E410" s="9" t="s">
        <v>127</v>
      </c>
      <c r="F410" s="23">
        <v>8</v>
      </c>
      <c r="G410" s="23" t="s">
        <v>128</v>
      </c>
      <c r="H410" s="23">
        <v>8</v>
      </c>
      <c r="I410" s="21">
        <v>10.037000000000001</v>
      </c>
      <c r="J410" s="60">
        <v>80.296000000000006</v>
      </c>
      <c r="K410" s="20"/>
      <c r="L410" s="20"/>
      <c r="M410" s="20"/>
    </row>
    <row r="411" spans="1:13" x14ac:dyDescent="0.25">
      <c r="A411" s="28">
        <v>45795</v>
      </c>
      <c r="B411" s="9" t="s">
        <v>250</v>
      </c>
      <c r="C411" s="28" t="s">
        <v>486</v>
      </c>
      <c r="D411" s="29" t="s">
        <v>199</v>
      </c>
      <c r="E411" s="30" t="s">
        <v>200</v>
      </c>
      <c r="F411" s="9">
        <v>3</v>
      </c>
      <c r="G411" s="9" t="s">
        <v>128</v>
      </c>
      <c r="H411" s="9">
        <v>3</v>
      </c>
      <c r="I411" s="31">
        <v>29.6998</v>
      </c>
      <c r="J411" s="60">
        <v>89.099400000000003</v>
      </c>
      <c r="K411" s="20"/>
      <c r="L411" s="20"/>
      <c r="M411" s="20"/>
    </row>
    <row r="412" spans="1:13" x14ac:dyDescent="0.25">
      <c r="A412" s="28">
        <v>45790</v>
      </c>
      <c r="B412" s="9" t="s">
        <v>250</v>
      </c>
      <c r="C412" s="28" t="s">
        <v>486</v>
      </c>
      <c r="D412" s="29" t="s">
        <v>203</v>
      </c>
      <c r="E412" s="30" t="s">
        <v>204</v>
      </c>
      <c r="F412" s="9">
        <v>2</v>
      </c>
      <c r="G412" s="9" t="s">
        <v>128</v>
      </c>
      <c r="H412" s="9">
        <v>2</v>
      </c>
      <c r="I412" s="32">
        <v>44.4726</v>
      </c>
      <c r="J412" s="60">
        <v>88.9452</v>
      </c>
      <c r="K412" s="20"/>
      <c r="L412" s="20"/>
      <c r="M412" s="20"/>
    </row>
    <row r="413" spans="1:13" x14ac:dyDescent="0.25">
      <c r="A413" s="28">
        <v>45790</v>
      </c>
      <c r="B413" s="9" t="s">
        <v>250</v>
      </c>
      <c r="C413" s="28" t="s">
        <v>486</v>
      </c>
      <c r="D413" s="29" t="s">
        <v>203</v>
      </c>
      <c r="E413" s="30" t="s">
        <v>204</v>
      </c>
      <c r="F413" s="9">
        <v>2</v>
      </c>
      <c r="G413" s="9" t="s">
        <v>128</v>
      </c>
      <c r="H413" s="9">
        <v>2</v>
      </c>
      <c r="I413" s="32">
        <v>44.4726</v>
      </c>
      <c r="J413" s="60">
        <v>88.9452</v>
      </c>
      <c r="K413" s="20"/>
      <c r="L413" s="20"/>
      <c r="M413" s="20"/>
    </row>
    <row r="414" spans="1:13" x14ac:dyDescent="0.25">
      <c r="A414" s="28">
        <v>45795</v>
      </c>
      <c r="B414" s="9" t="s">
        <v>250</v>
      </c>
      <c r="C414" s="28" t="s">
        <v>486</v>
      </c>
      <c r="D414" s="29" t="s">
        <v>211</v>
      </c>
      <c r="E414" s="30" t="s">
        <v>212</v>
      </c>
      <c r="F414" s="9">
        <v>1</v>
      </c>
      <c r="G414" s="9" t="s">
        <v>128</v>
      </c>
      <c r="H414" s="9">
        <v>1</v>
      </c>
      <c r="I414" s="32">
        <v>85.637100000000004</v>
      </c>
      <c r="J414" s="60">
        <v>85.637100000000004</v>
      </c>
      <c r="K414" s="20"/>
      <c r="L414" s="20"/>
      <c r="M414" s="20"/>
    </row>
    <row r="415" spans="1:13" x14ac:dyDescent="0.25">
      <c r="A415" s="17">
        <v>45790</v>
      </c>
      <c r="B415" s="9" t="s">
        <v>250</v>
      </c>
      <c r="C415" s="9" t="s">
        <v>489</v>
      </c>
      <c r="D415" s="39" t="s">
        <v>62</v>
      </c>
      <c r="E415" s="9" t="s">
        <v>13</v>
      </c>
      <c r="F415" s="9">
        <v>4</v>
      </c>
      <c r="G415" s="25" t="s">
        <v>6</v>
      </c>
      <c r="H415" s="9">
        <v>4</v>
      </c>
      <c r="I415" s="9">
        <v>19.204000000000001</v>
      </c>
      <c r="J415" s="60">
        <v>76.816000000000003</v>
      </c>
      <c r="K415" s="20"/>
      <c r="L415" s="20"/>
      <c r="M415" s="20"/>
    </row>
    <row r="416" spans="1:13" x14ac:dyDescent="0.25">
      <c r="A416" s="17">
        <v>45792</v>
      </c>
      <c r="B416" s="9" t="s">
        <v>250</v>
      </c>
      <c r="C416" s="9" t="s">
        <v>489</v>
      </c>
      <c r="D416" s="39" t="s">
        <v>62</v>
      </c>
      <c r="E416" s="9" t="s">
        <v>13</v>
      </c>
      <c r="F416" s="9">
        <v>4</v>
      </c>
      <c r="G416" s="25" t="s">
        <v>6</v>
      </c>
      <c r="H416" s="9">
        <v>4</v>
      </c>
      <c r="I416" s="9">
        <v>19.204000000000001</v>
      </c>
      <c r="J416" s="60">
        <v>76.816000000000003</v>
      </c>
      <c r="K416" s="20"/>
      <c r="L416" s="20"/>
      <c r="M416" s="20"/>
    </row>
    <row r="417" spans="1:13" x14ac:dyDescent="0.25">
      <c r="A417" s="28">
        <v>45795</v>
      </c>
      <c r="B417" s="9" t="s">
        <v>250</v>
      </c>
      <c r="C417" s="28" t="s">
        <v>486</v>
      </c>
      <c r="D417" s="29" t="s">
        <v>215</v>
      </c>
      <c r="E417" s="30" t="s">
        <v>216</v>
      </c>
      <c r="F417" s="9">
        <v>3</v>
      </c>
      <c r="G417" s="9" t="s">
        <v>128</v>
      </c>
      <c r="H417" s="9">
        <v>3</v>
      </c>
      <c r="I417" s="31">
        <v>25.256599999999999</v>
      </c>
      <c r="J417" s="60">
        <v>75.769800000000004</v>
      </c>
      <c r="K417" s="20"/>
      <c r="L417" s="20"/>
      <c r="M417" s="20"/>
    </row>
    <row r="418" spans="1:13" x14ac:dyDescent="0.25">
      <c r="A418" s="34">
        <v>45807</v>
      </c>
      <c r="B418" s="9" t="s">
        <v>250</v>
      </c>
      <c r="C418" s="23" t="s">
        <v>485</v>
      </c>
      <c r="D418" s="38" t="s">
        <v>140</v>
      </c>
      <c r="E418" s="23" t="s">
        <v>141</v>
      </c>
      <c r="F418" s="23">
        <v>8</v>
      </c>
      <c r="G418" s="9" t="s">
        <v>128</v>
      </c>
      <c r="H418" s="23">
        <v>8</v>
      </c>
      <c r="I418" s="21">
        <v>8.3518000000000008</v>
      </c>
      <c r="J418" s="60">
        <v>66.814400000000006</v>
      </c>
      <c r="K418" s="20"/>
      <c r="L418" s="20"/>
      <c r="M418" s="20"/>
    </row>
    <row r="419" spans="1:13" x14ac:dyDescent="0.25">
      <c r="A419" s="28">
        <v>45798</v>
      </c>
      <c r="B419" s="9" t="s">
        <v>250</v>
      </c>
      <c r="C419" s="28" t="s">
        <v>484</v>
      </c>
      <c r="D419" s="29" t="s">
        <v>247</v>
      </c>
      <c r="E419" s="65" t="s">
        <v>446</v>
      </c>
      <c r="F419" s="9">
        <v>122</v>
      </c>
      <c r="G419" s="9" t="s">
        <v>128</v>
      </c>
      <c r="H419" s="9">
        <v>122</v>
      </c>
      <c r="I419" s="31">
        <v>0.52580000000000005</v>
      </c>
      <c r="J419" s="60">
        <v>64.147600000000011</v>
      </c>
      <c r="K419" s="20"/>
      <c r="L419" s="20"/>
      <c r="M419" s="20"/>
    </row>
    <row r="420" spans="1:13" x14ac:dyDescent="0.25">
      <c r="A420" s="34">
        <v>45791</v>
      </c>
      <c r="B420" s="9" t="s">
        <v>250</v>
      </c>
      <c r="C420" s="23" t="s">
        <v>485</v>
      </c>
      <c r="D420" s="38" t="s">
        <v>148</v>
      </c>
      <c r="E420" s="9" t="s">
        <v>185</v>
      </c>
      <c r="F420" s="23">
        <v>26</v>
      </c>
      <c r="G420" s="23" t="s">
        <v>128</v>
      </c>
      <c r="H420" s="23">
        <v>26</v>
      </c>
      <c r="I420" s="21">
        <v>2.3513999999999999</v>
      </c>
      <c r="J420" s="60">
        <v>61.136399999999995</v>
      </c>
      <c r="K420" s="20"/>
      <c r="L420" s="20"/>
      <c r="M420" s="20"/>
    </row>
    <row r="421" spans="1:13" x14ac:dyDescent="0.25">
      <c r="A421" s="3">
        <v>45799</v>
      </c>
      <c r="B421" s="9" t="s">
        <v>250</v>
      </c>
      <c r="C421" s="4" t="s">
        <v>76</v>
      </c>
      <c r="D421" s="39" t="s">
        <v>46</v>
      </c>
      <c r="E421" s="15" t="s">
        <v>12</v>
      </c>
      <c r="F421" s="9">
        <v>2</v>
      </c>
      <c r="G421" s="23" t="s">
        <v>125</v>
      </c>
      <c r="H421" s="9"/>
      <c r="I421" s="21"/>
      <c r="J421" s="60">
        <v>0</v>
      </c>
      <c r="K421" s="20"/>
      <c r="L421" s="20"/>
      <c r="M421" s="20"/>
    </row>
    <row r="422" spans="1:13" x14ac:dyDescent="0.25">
      <c r="A422" s="28">
        <v>45795</v>
      </c>
      <c r="B422" s="9" t="s">
        <v>250</v>
      </c>
      <c r="C422" s="28" t="s">
        <v>486</v>
      </c>
      <c r="D422" s="29" t="s">
        <v>221</v>
      </c>
      <c r="E422" s="65" t="s">
        <v>451</v>
      </c>
      <c r="F422" s="9">
        <v>16</v>
      </c>
      <c r="G422" s="9" t="s">
        <v>128</v>
      </c>
      <c r="H422" s="9">
        <v>16</v>
      </c>
      <c r="I422" s="32">
        <v>3.4986999999999999</v>
      </c>
      <c r="J422" s="60">
        <v>55.979199999999999</v>
      </c>
      <c r="K422" s="20"/>
      <c r="L422" s="20"/>
      <c r="M422" s="20"/>
    </row>
    <row r="423" spans="1:13" x14ac:dyDescent="0.25">
      <c r="A423" s="34">
        <v>45787</v>
      </c>
      <c r="B423" s="9" t="s">
        <v>250</v>
      </c>
      <c r="C423" s="23" t="s">
        <v>485</v>
      </c>
      <c r="D423" s="38" t="s">
        <v>140</v>
      </c>
      <c r="E423" s="23" t="s">
        <v>141</v>
      </c>
      <c r="F423" s="23">
        <v>7</v>
      </c>
      <c r="G423" s="23" t="s">
        <v>128</v>
      </c>
      <c r="H423" s="23">
        <v>7</v>
      </c>
      <c r="I423" s="21">
        <v>8.3518000000000008</v>
      </c>
      <c r="J423" s="60">
        <v>58.462600000000009</v>
      </c>
      <c r="K423" s="20"/>
      <c r="L423" s="20"/>
      <c r="M423" s="20"/>
    </row>
    <row r="424" spans="1:13" x14ac:dyDescent="0.25">
      <c r="A424" s="28">
        <v>45798</v>
      </c>
      <c r="B424" s="9" t="s">
        <v>250</v>
      </c>
      <c r="C424" s="28" t="s">
        <v>484</v>
      </c>
      <c r="D424" s="29" t="s">
        <v>245</v>
      </c>
      <c r="E424" s="65" t="s">
        <v>246</v>
      </c>
      <c r="F424" s="9">
        <v>105</v>
      </c>
      <c r="G424" s="9" t="s">
        <v>128</v>
      </c>
      <c r="H424" s="9">
        <v>105</v>
      </c>
      <c r="I424" s="31">
        <v>0.54310000000000003</v>
      </c>
      <c r="J424" s="60">
        <v>57.025500000000001</v>
      </c>
      <c r="K424" s="20"/>
      <c r="L424" s="20"/>
      <c r="M424" s="20"/>
    </row>
    <row r="425" spans="1:13" x14ac:dyDescent="0.25">
      <c r="A425" s="34">
        <v>45796</v>
      </c>
      <c r="B425" s="9" t="s">
        <v>250</v>
      </c>
      <c r="C425" s="23" t="s">
        <v>485</v>
      </c>
      <c r="D425" s="39" t="s">
        <v>144</v>
      </c>
      <c r="E425" s="9" t="s">
        <v>145</v>
      </c>
      <c r="F425" s="23">
        <v>5</v>
      </c>
      <c r="G425" s="27" t="s">
        <v>128</v>
      </c>
      <c r="H425" s="23">
        <v>5</v>
      </c>
      <c r="I425" s="21">
        <v>11.3788</v>
      </c>
      <c r="J425" s="60">
        <v>56.893999999999998</v>
      </c>
      <c r="K425" s="20"/>
      <c r="L425" s="20"/>
      <c r="M425" s="20"/>
    </row>
    <row r="426" spans="1:13" x14ac:dyDescent="0.25">
      <c r="A426" s="17">
        <v>45790</v>
      </c>
      <c r="B426" s="9" t="s">
        <v>250</v>
      </c>
      <c r="C426" s="9" t="s">
        <v>489</v>
      </c>
      <c r="D426" s="40" t="s">
        <v>9</v>
      </c>
      <c r="E426" s="15" t="s">
        <v>18</v>
      </c>
      <c r="F426" s="10">
        <v>4</v>
      </c>
      <c r="G426" s="25" t="s">
        <v>6</v>
      </c>
      <c r="H426" s="10">
        <v>4</v>
      </c>
      <c r="I426" s="9">
        <v>22.7425</v>
      </c>
      <c r="J426" s="60">
        <v>90.97</v>
      </c>
      <c r="K426" s="20"/>
      <c r="L426" s="20"/>
      <c r="M426" s="20"/>
    </row>
    <row r="427" spans="1:13" x14ac:dyDescent="0.25">
      <c r="A427" s="17">
        <v>45805</v>
      </c>
      <c r="B427" s="9" t="s">
        <v>250</v>
      </c>
      <c r="C427" s="4" t="s">
        <v>489</v>
      </c>
      <c r="D427" s="39" t="s">
        <v>62</v>
      </c>
      <c r="E427" s="9" t="s">
        <v>103</v>
      </c>
      <c r="F427" s="9">
        <v>3</v>
      </c>
      <c r="G427" s="25" t="s">
        <v>6</v>
      </c>
      <c r="H427" s="9">
        <v>3</v>
      </c>
      <c r="I427" s="9">
        <v>19.204000000000001</v>
      </c>
      <c r="J427" s="60">
        <v>57.612000000000002</v>
      </c>
      <c r="K427" s="20"/>
      <c r="L427" s="20"/>
      <c r="M427" s="20"/>
    </row>
    <row r="428" spans="1:13" x14ac:dyDescent="0.25">
      <c r="A428" s="34">
        <v>45799</v>
      </c>
      <c r="B428" s="9" t="s">
        <v>250</v>
      </c>
      <c r="C428" s="23" t="s">
        <v>485</v>
      </c>
      <c r="D428" s="38" t="s">
        <v>133</v>
      </c>
      <c r="E428" s="23" t="s">
        <v>134</v>
      </c>
      <c r="F428" s="23">
        <v>5</v>
      </c>
      <c r="G428" s="23" t="s">
        <v>128</v>
      </c>
      <c r="H428" s="23">
        <v>5</v>
      </c>
      <c r="I428" s="21">
        <v>10.037000000000001</v>
      </c>
      <c r="J428" s="60">
        <v>50.185000000000002</v>
      </c>
      <c r="K428" s="20"/>
      <c r="L428" s="20"/>
      <c r="M428" s="20"/>
    </row>
    <row r="429" spans="1:13" x14ac:dyDescent="0.25">
      <c r="A429" s="17">
        <v>45805</v>
      </c>
      <c r="B429" s="9" t="s">
        <v>250</v>
      </c>
      <c r="C429" s="4" t="s">
        <v>76</v>
      </c>
      <c r="D429" s="39" t="s">
        <v>86</v>
      </c>
      <c r="E429" s="9" t="s">
        <v>172</v>
      </c>
      <c r="F429" s="9">
        <v>29</v>
      </c>
      <c r="G429" s="23" t="s">
        <v>125</v>
      </c>
      <c r="H429" s="9"/>
      <c r="I429" s="21"/>
      <c r="J429" s="60">
        <v>0</v>
      </c>
      <c r="K429" s="20"/>
      <c r="L429" s="20"/>
      <c r="M429" s="20"/>
    </row>
    <row r="430" spans="1:13" x14ac:dyDescent="0.25">
      <c r="A430" s="28">
        <v>45796</v>
      </c>
      <c r="B430" s="9" t="s">
        <v>250</v>
      </c>
      <c r="C430" s="28" t="s">
        <v>486</v>
      </c>
      <c r="D430" s="29" t="s">
        <v>187</v>
      </c>
      <c r="E430" s="30" t="s">
        <v>188</v>
      </c>
      <c r="F430" s="9">
        <v>2</v>
      </c>
      <c r="G430" s="9" t="s">
        <v>128</v>
      </c>
      <c r="H430" s="9">
        <v>2</v>
      </c>
      <c r="I430" s="31">
        <v>27.2667</v>
      </c>
      <c r="J430" s="60">
        <v>54.5334</v>
      </c>
      <c r="K430" s="20"/>
      <c r="L430" s="20"/>
      <c r="M430" s="20"/>
    </row>
    <row r="431" spans="1:13" x14ac:dyDescent="0.25">
      <c r="A431" s="17">
        <v>45790</v>
      </c>
      <c r="B431" s="9" t="s">
        <v>250</v>
      </c>
      <c r="C431" s="9" t="s">
        <v>7</v>
      </c>
      <c r="D431" s="39" t="s">
        <v>51</v>
      </c>
      <c r="E431" s="9" t="s">
        <v>172</v>
      </c>
      <c r="F431" s="11">
        <v>26</v>
      </c>
      <c r="G431" s="23" t="s">
        <v>125</v>
      </c>
      <c r="H431" s="11"/>
      <c r="I431" s="21"/>
      <c r="J431" s="60">
        <v>0</v>
      </c>
      <c r="K431" s="20"/>
      <c r="L431" s="20"/>
      <c r="M431" s="20"/>
    </row>
    <row r="432" spans="1:13" x14ac:dyDescent="0.25">
      <c r="A432" s="28">
        <v>45795</v>
      </c>
      <c r="B432" s="9" t="s">
        <v>250</v>
      </c>
      <c r="C432" s="28" t="s">
        <v>486</v>
      </c>
      <c r="D432" s="29" t="s">
        <v>215</v>
      </c>
      <c r="E432" s="30" t="s">
        <v>216</v>
      </c>
      <c r="F432" s="9">
        <v>2</v>
      </c>
      <c r="G432" s="9" t="s">
        <v>128</v>
      </c>
      <c r="H432" s="9">
        <v>2</v>
      </c>
      <c r="I432" s="31">
        <v>25.256599999999999</v>
      </c>
      <c r="J432" s="60">
        <v>50.513199999999998</v>
      </c>
      <c r="K432" s="20"/>
      <c r="L432" s="20"/>
      <c r="M432" s="20"/>
    </row>
    <row r="433" spans="1:13" x14ac:dyDescent="0.25">
      <c r="A433" s="17">
        <v>45790</v>
      </c>
      <c r="B433" s="9" t="s">
        <v>250</v>
      </c>
      <c r="C433" s="9" t="s">
        <v>489</v>
      </c>
      <c r="D433" s="39" t="s">
        <v>49</v>
      </c>
      <c r="E433" s="10" t="s">
        <v>425</v>
      </c>
      <c r="F433" s="11">
        <v>9</v>
      </c>
      <c r="G433" s="25" t="s">
        <v>6</v>
      </c>
      <c r="H433" s="11">
        <v>9</v>
      </c>
      <c r="I433" s="9">
        <v>4.7911000000000001</v>
      </c>
      <c r="J433" s="60">
        <v>43.119900000000001</v>
      </c>
      <c r="K433" s="20"/>
      <c r="L433" s="20"/>
      <c r="M433" s="20"/>
    </row>
    <row r="434" spans="1:13" x14ac:dyDescent="0.25">
      <c r="A434" s="17">
        <v>45790</v>
      </c>
      <c r="B434" s="9" t="s">
        <v>250</v>
      </c>
      <c r="C434" s="9" t="s">
        <v>489</v>
      </c>
      <c r="D434" s="39" t="s">
        <v>49</v>
      </c>
      <c r="E434" s="9" t="s">
        <v>426</v>
      </c>
      <c r="F434" s="11">
        <v>9</v>
      </c>
      <c r="G434" s="25" t="s">
        <v>6</v>
      </c>
      <c r="H434" s="11">
        <v>9</v>
      </c>
      <c r="I434" s="9">
        <v>4.7911000000000001</v>
      </c>
      <c r="J434" s="60">
        <v>43.119900000000001</v>
      </c>
      <c r="K434" s="20"/>
      <c r="L434" s="20"/>
      <c r="M434" s="20"/>
    </row>
    <row r="435" spans="1:13" x14ac:dyDescent="0.25">
      <c r="A435" s="17">
        <v>45789</v>
      </c>
      <c r="B435" s="9" t="s">
        <v>250</v>
      </c>
      <c r="C435" s="9" t="s">
        <v>489</v>
      </c>
      <c r="D435" s="39" t="s">
        <v>30</v>
      </c>
      <c r="E435" s="10" t="s">
        <v>19</v>
      </c>
      <c r="F435" s="11">
        <v>16</v>
      </c>
      <c r="G435" s="25" t="s">
        <v>6</v>
      </c>
      <c r="H435" s="11">
        <v>16</v>
      </c>
      <c r="I435" s="9">
        <v>3.0209999999999999</v>
      </c>
      <c r="J435" s="60">
        <v>48.335999999999999</v>
      </c>
      <c r="K435" s="20"/>
      <c r="L435" s="20"/>
      <c r="M435" s="20"/>
    </row>
    <row r="436" spans="1:13" x14ac:dyDescent="0.25">
      <c r="A436" s="28">
        <v>45790</v>
      </c>
      <c r="B436" s="9" t="s">
        <v>250</v>
      </c>
      <c r="C436" s="28" t="s">
        <v>486</v>
      </c>
      <c r="D436" s="29" t="s">
        <v>213</v>
      </c>
      <c r="E436" s="65" t="s">
        <v>214</v>
      </c>
      <c r="F436" s="9">
        <v>90</v>
      </c>
      <c r="G436" s="9" t="s">
        <v>128</v>
      </c>
      <c r="H436" s="9">
        <v>90</v>
      </c>
      <c r="I436" s="32">
        <v>0.53</v>
      </c>
      <c r="J436" s="60">
        <v>47.7</v>
      </c>
      <c r="K436" s="20"/>
      <c r="L436" s="20"/>
      <c r="M436" s="20"/>
    </row>
    <row r="437" spans="1:13" x14ac:dyDescent="0.25">
      <c r="A437" s="28">
        <v>45790</v>
      </c>
      <c r="B437" s="9" t="s">
        <v>250</v>
      </c>
      <c r="C437" s="28" t="s">
        <v>486</v>
      </c>
      <c r="D437" s="29" t="s">
        <v>196</v>
      </c>
      <c r="E437" s="65" t="s">
        <v>441</v>
      </c>
      <c r="F437" s="9">
        <v>4</v>
      </c>
      <c r="G437" s="9" t="s">
        <v>128</v>
      </c>
      <c r="H437" s="9">
        <v>4</v>
      </c>
      <c r="I437" s="32">
        <v>11.628299999999999</v>
      </c>
      <c r="J437" s="60">
        <v>46.513199999999998</v>
      </c>
      <c r="K437" s="20"/>
      <c r="L437" s="20"/>
      <c r="M437" s="20"/>
    </row>
    <row r="438" spans="1:13" x14ac:dyDescent="0.25">
      <c r="A438" s="28">
        <v>45790</v>
      </c>
      <c r="B438" s="9" t="s">
        <v>250</v>
      </c>
      <c r="C438" s="28" t="s">
        <v>486</v>
      </c>
      <c r="D438" s="29" t="s">
        <v>203</v>
      </c>
      <c r="E438" s="30" t="s">
        <v>204</v>
      </c>
      <c r="F438" s="9">
        <v>1</v>
      </c>
      <c r="G438" s="9" t="s">
        <v>128</v>
      </c>
      <c r="H438" s="9">
        <v>1</v>
      </c>
      <c r="I438" s="32">
        <v>44.4726</v>
      </c>
      <c r="J438" s="60">
        <v>44.4726</v>
      </c>
      <c r="K438" s="20"/>
      <c r="L438" s="20"/>
      <c r="M438" s="20"/>
    </row>
    <row r="439" spans="1:13" x14ac:dyDescent="0.25">
      <c r="A439" s="28">
        <v>45790</v>
      </c>
      <c r="B439" s="9" t="s">
        <v>250</v>
      </c>
      <c r="C439" s="28" t="s">
        <v>486</v>
      </c>
      <c r="D439" s="29" t="s">
        <v>203</v>
      </c>
      <c r="E439" s="30" t="s">
        <v>204</v>
      </c>
      <c r="F439" s="9">
        <v>1</v>
      </c>
      <c r="G439" s="9" t="s">
        <v>128</v>
      </c>
      <c r="H439" s="9">
        <v>1</v>
      </c>
      <c r="I439" s="31">
        <v>44.4726</v>
      </c>
      <c r="J439" s="60">
        <v>44.4726</v>
      </c>
      <c r="K439" s="20"/>
      <c r="L439" s="20"/>
      <c r="M439" s="20"/>
    </row>
    <row r="440" spans="1:13" x14ac:dyDescent="0.25">
      <c r="A440" s="17">
        <v>45789</v>
      </c>
      <c r="B440" s="9" t="s">
        <v>250</v>
      </c>
      <c r="C440" s="9" t="s">
        <v>489</v>
      </c>
      <c r="D440" s="39" t="s">
        <v>29</v>
      </c>
      <c r="E440" s="10" t="s">
        <v>89</v>
      </c>
      <c r="F440" s="11">
        <v>15</v>
      </c>
      <c r="G440" s="25" t="s">
        <v>6</v>
      </c>
      <c r="H440" s="11">
        <v>15</v>
      </c>
      <c r="I440" s="9">
        <v>2.9420000000000002</v>
      </c>
      <c r="J440" s="60">
        <v>44.13</v>
      </c>
      <c r="K440" s="20"/>
      <c r="L440" s="20"/>
      <c r="M440" s="20"/>
    </row>
    <row r="441" spans="1:13" x14ac:dyDescent="0.25">
      <c r="A441" s="17">
        <v>45789</v>
      </c>
      <c r="B441" s="9" t="s">
        <v>250</v>
      </c>
      <c r="C441" s="9" t="s">
        <v>489</v>
      </c>
      <c r="D441" s="39" t="s">
        <v>29</v>
      </c>
      <c r="E441" s="10" t="s">
        <v>90</v>
      </c>
      <c r="F441" s="11">
        <v>15</v>
      </c>
      <c r="G441" s="25" t="s">
        <v>6</v>
      </c>
      <c r="H441" s="11">
        <v>15</v>
      </c>
      <c r="I441" s="9">
        <v>2.9420000000000002</v>
      </c>
      <c r="J441" s="60">
        <v>44.13</v>
      </c>
      <c r="K441" s="20"/>
      <c r="L441" s="20"/>
      <c r="M441" s="20"/>
    </row>
    <row r="442" spans="1:13" x14ac:dyDescent="0.25">
      <c r="A442" s="28">
        <v>45774</v>
      </c>
      <c r="B442" s="9" t="s">
        <v>250</v>
      </c>
      <c r="C442" s="28" t="s">
        <v>486</v>
      </c>
      <c r="D442" s="29" t="s">
        <v>224</v>
      </c>
      <c r="E442" s="30" t="s">
        <v>225</v>
      </c>
      <c r="F442" s="9">
        <v>1</v>
      </c>
      <c r="G442" s="9" t="s">
        <v>128</v>
      </c>
      <c r="H442" s="9">
        <v>1</v>
      </c>
      <c r="I442" s="32">
        <v>43.274299999999997</v>
      </c>
      <c r="J442" s="60">
        <v>43.274299999999997</v>
      </c>
      <c r="K442" s="20"/>
      <c r="L442" s="20"/>
      <c r="M442" s="20"/>
    </row>
    <row r="443" spans="1:13" x14ac:dyDescent="0.25">
      <c r="A443" s="17">
        <v>45789</v>
      </c>
      <c r="B443" s="9" t="s">
        <v>250</v>
      </c>
      <c r="C443" s="9" t="s">
        <v>489</v>
      </c>
      <c r="D443" s="39" t="s">
        <v>44</v>
      </c>
      <c r="E443" s="9" t="s">
        <v>99</v>
      </c>
      <c r="F443" s="9">
        <v>23</v>
      </c>
      <c r="G443" s="25" t="s">
        <v>6</v>
      </c>
      <c r="H443" s="9">
        <v>23</v>
      </c>
      <c r="I443" s="9">
        <v>1.85</v>
      </c>
      <c r="J443" s="60">
        <v>42.550000000000004</v>
      </c>
      <c r="K443" s="20"/>
      <c r="L443" s="20"/>
      <c r="M443" s="20"/>
    </row>
    <row r="444" spans="1:13" x14ac:dyDescent="0.25">
      <c r="A444" s="17">
        <v>45805</v>
      </c>
      <c r="B444" s="9" t="s">
        <v>250</v>
      </c>
      <c r="C444" s="4" t="s">
        <v>76</v>
      </c>
      <c r="D444" s="39" t="s">
        <v>85</v>
      </c>
      <c r="E444" s="9" t="s">
        <v>82</v>
      </c>
      <c r="F444" s="9">
        <v>1</v>
      </c>
      <c r="G444" s="23" t="s">
        <v>125</v>
      </c>
      <c r="H444" s="9"/>
      <c r="I444" s="21"/>
      <c r="J444" s="60">
        <v>0</v>
      </c>
      <c r="K444" s="20"/>
      <c r="L444" s="20"/>
      <c r="M444" s="20"/>
    </row>
    <row r="445" spans="1:13" x14ac:dyDescent="0.25">
      <c r="A445" s="3">
        <v>45799</v>
      </c>
      <c r="B445" s="9" t="s">
        <v>250</v>
      </c>
      <c r="C445" s="4" t="s">
        <v>489</v>
      </c>
      <c r="D445" s="40" t="s">
        <v>69</v>
      </c>
      <c r="E445" s="12" t="s">
        <v>42</v>
      </c>
      <c r="F445" s="9">
        <v>3</v>
      </c>
      <c r="G445" s="25" t="s">
        <v>6</v>
      </c>
      <c r="H445" s="9">
        <v>3</v>
      </c>
      <c r="I445" s="9">
        <v>11.773300000000001</v>
      </c>
      <c r="J445" s="60">
        <v>35.319900000000004</v>
      </c>
      <c r="K445" s="20"/>
      <c r="L445" s="20"/>
      <c r="M445" s="20"/>
    </row>
    <row r="446" spans="1:13" x14ac:dyDescent="0.25">
      <c r="A446" s="17">
        <v>45790</v>
      </c>
      <c r="B446" s="9" t="s">
        <v>250</v>
      </c>
      <c r="C446" s="9" t="s">
        <v>489</v>
      </c>
      <c r="D446" s="39" t="s">
        <v>61</v>
      </c>
      <c r="E446" s="12" t="s">
        <v>16</v>
      </c>
      <c r="F446" s="10">
        <v>3</v>
      </c>
      <c r="G446" s="25" t="s">
        <v>6</v>
      </c>
      <c r="H446" s="10">
        <v>3</v>
      </c>
      <c r="I446" s="9">
        <v>11.773300000000001</v>
      </c>
      <c r="J446" s="60">
        <v>35.319900000000004</v>
      </c>
      <c r="K446" s="20"/>
      <c r="L446" s="20"/>
      <c r="M446" s="20"/>
    </row>
    <row r="447" spans="1:13" x14ac:dyDescent="0.25">
      <c r="A447" s="17">
        <v>45805</v>
      </c>
      <c r="B447" s="9" t="s">
        <v>250</v>
      </c>
      <c r="C447" s="4" t="s">
        <v>489</v>
      </c>
      <c r="D447" s="40" t="s">
        <v>251</v>
      </c>
      <c r="E447" s="9" t="s">
        <v>16</v>
      </c>
      <c r="F447" s="9">
        <v>3</v>
      </c>
      <c r="G447" s="25" t="s">
        <v>6</v>
      </c>
      <c r="H447" s="9">
        <v>3</v>
      </c>
      <c r="I447" s="9">
        <v>11.773300000000001</v>
      </c>
      <c r="J447" s="60">
        <v>35.319900000000004</v>
      </c>
      <c r="K447" s="20"/>
      <c r="L447" s="20"/>
      <c r="M447" s="20"/>
    </row>
    <row r="448" spans="1:13" x14ac:dyDescent="0.25">
      <c r="A448" s="28">
        <v>45795</v>
      </c>
      <c r="B448" s="9" t="s">
        <v>250</v>
      </c>
      <c r="C448" s="28" t="s">
        <v>486</v>
      </c>
      <c r="D448" s="57" t="s">
        <v>331</v>
      </c>
      <c r="E448" s="65" t="s">
        <v>443</v>
      </c>
      <c r="F448" s="9">
        <v>7</v>
      </c>
      <c r="G448" s="9" t="s">
        <v>128</v>
      </c>
      <c r="H448" s="9">
        <v>7</v>
      </c>
      <c r="I448" s="32">
        <v>5.6056999999999997</v>
      </c>
      <c r="J448" s="60">
        <v>39.239899999999999</v>
      </c>
      <c r="K448" s="20"/>
      <c r="L448" s="20"/>
      <c r="M448" s="20"/>
    </row>
    <row r="449" spans="1:13" x14ac:dyDescent="0.25">
      <c r="A449" s="28">
        <v>45774</v>
      </c>
      <c r="B449" s="9" t="s">
        <v>250</v>
      </c>
      <c r="C449" s="28" t="s">
        <v>486</v>
      </c>
      <c r="D449" s="29" t="s">
        <v>229</v>
      </c>
      <c r="E449" s="65" t="s">
        <v>449</v>
      </c>
      <c r="F449" s="9">
        <v>4</v>
      </c>
      <c r="G449" s="9" t="s">
        <v>128</v>
      </c>
      <c r="H449" s="9">
        <v>4</v>
      </c>
      <c r="I449" s="32">
        <v>9.7737999999999996</v>
      </c>
      <c r="J449" s="60">
        <v>39.095199999999998</v>
      </c>
      <c r="K449" s="20"/>
      <c r="L449" s="20"/>
      <c r="M449" s="20"/>
    </row>
    <row r="450" spans="1:13" x14ac:dyDescent="0.25">
      <c r="A450" s="3">
        <v>45799</v>
      </c>
      <c r="B450" s="9" t="s">
        <v>250</v>
      </c>
      <c r="C450" s="4" t="s">
        <v>489</v>
      </c>
      <c r="D450" s="40" t="s">
        <v>59</v>
      </c>
      <c r="E450" s="9" t="s">
        <v>41</v>
      </c>
      <c r="F450" s="9">
        <v>2</v>
      </c>
      <c r="G450" s="10" t="s">
        <v>8</v>
      </c>
      <c r="H450" s="9">
        <v>2</v>
      </c>
      <c r="I450" s="21">
        <v>17.255500000000001</v>
      </c>
      <c r="J450" s="60">
        <v>34.511000000000003</v>
      </c>
      <c r="K450" s="20"/>
      <c r="L450" s="20"/>
      <c r="M450" s="20"/>
    </row>
    <row r="451" spans="1:13" x14ac:dyDescent="0.25">
      <c r="A451" s="17">
        <v>45789</v>
      </c>
      <c r="B451" s="9" t="s">
        <v>250</v>
      </c>
      <c r="C451" s="9" t="s">
        <v>489</v>
      </c>
      <c r="D451" s="39" t="s">
        <v>62</v>
      </c>
      <c r="E451" s="10" t="s">
        <v>101</v>
      </c>
      <c r="F451" s="11">
        <v>2</v>
      </c>
      <c r="G451" s="25" t="s">
        <v>6</v>
      </c>
      <c r="H451" s="11">
        <v>2</v>
      </c>
      <c r="I451" s="9">
        <v>19.204000000000001</v>
      </c>
      <c r="J451" s="60">
        <v>38.408000000000001</v>
      </c>
      <c r="K451" s="20"/>
      <c r="L451" s="20"/>
      <c r="M451" s="20"/>
    </row>
    <row r="452" spans="1:13" x14ac:dyDescent="0.25">
      <c r="A452" s="28">
        <v>45795</v>
      </c>
      <c r="B452" s="9" t="s">
        <v>250</v>
      </c>
      <c r="C452" s="28" t="s">
        <v>486</v>
      </c>
      <c r="D452" s="29" t="s">
        <v>226</v>
      </c>
      <c r="E452" s="65" t="s">
        <v>227</v>
      </c>
      <c r="F452" s="9">
        <v>19</v>
      </c>
      <c r="G452" s="9" t="s">
        <v>128</v>
      </c>
      <c r="H452" s="9">
        <v>19</v>
      </c>
      <c r="I452" s="32">
        <v>2.0181</v>
      </c>
      <c r="J452" s="60">
        <v>38.343899999999998</v>
      </c>
      <c r="K452" s="20"/>
      <c r="L452" s="20"/>
      <c r="M452" s="20"/>
    </row>
    <row r="453" spans="1:13" x14ac:dyDescent="0.25">
      <c r="A453" s="17">
        <v>45797</v>
      </c>
      <c r="B453" s="9" t="s">
        <v>250</v>
      </c>
      <c r="C453" s="9" t="s">
        <v>7</v>
      </c>
      <c r="D453" s="39" t="s">
        <v>51</v>
      </c>
      <c r="E453" s="9" t="s">
        <v>39</v>
      </c>
      <c r="F453" s="9">
        <v>19</v>
      </c>
      <c r="G453" s="23" t="s">
        <v>125</v>
      </c>
      <c r="H453" s="9"/>
      <c r="I453" s="21"/>
      <c r="J453" s="60">
        <v>0</v>
      </c>
      <c r="K453" s="20"/>
      <c r="L453" s="20"/>
      <c r="M453" s="20"/>
    </row>
    <row r="454" spans="1:13" x14ac:dyDescent="0.25">
      <c r="A454" s="34">
        <v>45785</v>
      </c>
      <c r="B454" s="9" t="s">
        <v>250</v>
      </c>
      <c r="C454" s="23" t="s">
        <v>485</v>
      </c>
      <c r="D454" s="39" t="s">
        <v>133</v>
      </c>
      <c r="E454" s="9" t="s">
        <v>127</v>
      </c>
      <c r="F454" s="23">
        <v>3</v>
      </c>
      <c r="G454" s="23" t="s">
        <v>128</v>
      </c>
      <c r="H454" s="23">
        <v>3</v>
      </c>
      <c r="I454" s="21">
        <v>10.037000000000001</v>
      </c>
      <c r="J454" s="60">
        <v>30.111000000000004</v>
      </c>
      <c r="K454" s="20"/>
      <c r="L454" s="20"/>
      <c r="M454" s="20"/>
    </row>
    <row r="455" spans="1:13" x14ac:dyDescent="0.25">
      <c r="A455" s="17">
        <v>45789</v>
      </c>
      <c r="B455" s="9" t="s">
        <v>250</v>
      </c>
      <c r="C455" s="9" t="s">
        <v>7</v>
      </c>
      <c r="D455" s="39" t="s">
        <v>46</v>
      </c>
      <c r="E455" s="10" t="s">
        <v>174</v>
      </c>
      <c r="F455" s="11">
        <v>1</v>
      </c>
      <c r="G455" s="23" t="s">
        <v>125</v>
      </c>
      <c r="H455" s="11"/>
      <c r="I455" s="21"/>
      <c r="J455" s="60">
        <v>0</v>
      </c>
      <c r="K455" s="20"/>
      <c r="L455" s="20"/>
      <c r="M455" s="20"/>
    </row>
    <row r="456" spans="1:13" x14ac:dyDescent="0.25">
      <c r="A456" s="17">
        <v>45805</v>
      </c>
      <c r="B456" s="9" t="s">
        <v>250</v>
      </c>
      <c r="C456" s="4" t="s">
        <v>489</v>
      </c>
      <c r="D456" s="39" t="s">
        <v>48</v>
      </c>
      <c r="E456" s="9" t="s">
        <v>17</v>
      </c>
      <c r="F456" s="9">
        <v>17</v>
      </c>
      <c r="G456" s="25" t="s">
        <v>6</v>
      </c>
      <c r="H456" s="9">
        <v>17</v>
      </c>
      <c r="I456" s="9">
        <v>1.85</v>
      </c>
      <c r="J456" s="60">
        <v>31.450000000000003</v>
      </c>
      <c r="K456" s="20"/>
      <c r="L456" s="20"/>
      <c r="M456" s="20"/>
    </row>
    <row r="457" spans="1:13" x14ac:dyDescent="0.25">
      <c r="A457" s="28">
        <v>45790</v>
      </c>
      <c r="B457" s="9" t="s">
        <v>250</v>
      </c>
      <c r="C457" s="28" t="s">
        <v>486</v>
      </c>
      <c r="D457" s="29" t="s">
        <v>201</v>
      </c>
      <c r="E457" s="65" t="s">
        <v>202</v>
      </c>
      <c r="F457" s="9">
        <v>2</v>
      </c>
      <c r="G457" s="9" t="s">
        <v>128</v>
      </c>
      <c r="H457" s="9">
        <v>2</v>
      </c>
      <c r="I457" s="32">
        <v>15.2744</v>
      </c>
      <c r="J457" s="60">
        <v>30.5488</v>
      </c>
      <c r="K457" s="20"/>
      <c r="L457" s="20"/>
      <c r="M457" s="20"/>
    </row>
    <row r="458" spans="1:13" x14ac:dyDescent="0.25">
      <c r="A458" s="34">
        <v>45799</v>
      </c>
      <c r="B458" s="9" t="s">
        <v>250</v>
      </c>
      <c r="C458" s="23" t="s">
        <v>485</v>
      </c>
      <c r="D458" s="38" t="s">
        <v>162</v>
      </c>
      <c r="E458" s="9" t="s">
        <v>410</v>
      </c>
      <c r="F458" s="23">
        <v>3</v>
      </c>
      <c r="G458" s="23" t="s">
        <v>128</v>
      </c>
      <c r="H458" s="23">
        <v>3</v>
      </c>
      <c r="I458" s="21">
        <v>8.6704000000000008</v>
      </c>
      <c r="J458" s="60">
        <v>26.011200000000002</v>
      </c>
      <c r="K458" s="20"/>
      <c r="L458" s="20"/>
      <c r="M458" s="20"/>
    </row>
    <row r="459" spans="1:13" x14ac:dyDescent="0.25">
      <c r="A459" s="34">
        <v>45807</v>
      </c>
      <c r="B459" s="9" t="s">
        <v>250</v>
      </c>
      <c r="C459" s="23" t="s">
        <v>485</v>
      </c>
      <c r="D459" s="38" t="s">
        <v>170</v>
      </c>
      <c r="E459" s="9" t="s">
        <v>421</v>
      </c>
      <c r="F459" s="23">
        <v>15</v>
      </c>
      <c r="G459" s="9" t="s">
        <v>128</v>
      </c>
      <c r="H459" s="23">
        <v>15</v>
      </c>
      <c r="I459" s="21">
        <v>1.7216</v>
      </c>
      <c r="J459" s="60">
        <v>25.824000000000002</v>
      </c>
      <c r="K459" s="20"/>
      <c r="L459" s="20"/>
      <c r="M459" s="20"/>
    </row>
    <row r="460" spans="1:13" x14ac:dyDescent="0.25">
      <c r="A460" s="28">
        <v>45774</v>
      </c>
      <c r="B460" s="9" t="s">
        <v>250</v>
      </c>
      <c r="C460" s="28" t="s">
        <v>486</v>
      </c>
      <c r="D460" s="29" t="s">
        <v>231</v>
      </c>
      <c r="E460" s="30" t="s">
        <v>232</v>
      </c>
      <c r="F460" s="9">
        <v>5</v>
      </c>
      <c r="G460" s="9" t="s">
        <v>128</v>
      </c>
      <c r="H460" s="9">
        <v>5</v>
      </c>
      <c r="I460" s="31">
        <v>5.6056999999999997</v>
      </c>
      <c r="J460" s="60">
        <v>28.028499999999998</v>
      </c>
      <c r="K460" s="20"/>
      <c r="L460" s="20"/>
      <c r="M460" s="20"/>
    </row>
    <row r="461" spans="1:13" x14ac:dyDescent="0.25">
      <c r="A461" s="28">
        <v>45796</v>
      </c>
      <c r="B461" s="9" t="s">
        <v>250</v>
      </c>
      <c r="C461" s="28" t="s">
        <v>486</v>
      </c>
      <c r="D461" s="29" t="s">
        <v>187</v>
      </c>
      <c r="E461" s="30" t="s">
        <v>188</v>
      </c>
      <c r="F461" s="9">
        <v>1</v>
      </c>
      <c r="G461" s="9" t="s">
        <v>128</v>
      </c>
      <c r="H461" s="9">
        <v>1</v>
      </c>
      <c r="I461" s="31">
        <v>27.2667</v>
      </c>
      <c r="J461" s="60">
        <v>27.2667</v>
      </c>
      <c r="K461" s="20"/>
      <c r="L461" s="20"/>
      <c r="M461" s="20"/>
    </row>
    <row r="462" spans="1:13" x14ac:dyDescent="0.25">
      <c r="A462" s="28">
        <v>45796</v>
      </c>
      <c r="B462" s="9" t="s">
        <v>250</v>
      </c>
      <c r="C462" s="28" t="s">
        <v>486</v>
      </c>
      <c r="D462" s="29" t="s">
        <v>187</v>
      </c>
      <c r="E462" s="30" t="s">
        <v>188</v>
      </c>
      <c r="F462" s="9">
        <v>1</v>
      </c>
      <c r="G462" s="9" t="s">
        <v>128</v>
      </c>
      <c r="H462" s="9">
        <v>1</v>
      </c>
      <c r="I462" s="32">
        <v>27.2667</v>
      </c>
      <c r="J462" s="60">
        <v>27.2667</v>
      </c>
      <c r="K462" s="20"/>
      <c r="L462" s="20"/>
      <c r="M462" s="20"/>
    </row>
    <row r="463" spans="1:13" x14ac:dyDescent="0.25">
      <c r="A463" s="17">
        <v>45789</v>
      </c>
      <c r="B463" s="9" t="s">
        <v>250</v>
      </c>
      <c r="C463" s="9" t="s">
        <v>489</v>
      </c>
      <c r="D463" s="39" t="s">
        <v>56</v>
      </c>
      <c r="E463" s="10" t="s">
        <v>123</v>
      </c>
      <c r="F463" s="11">
        <v>1</v>
      </c>
      <c r="G463" s="10" t="s">
        <v>8</v>
      </c>
      <c r="H463" s="11">
        <v>1</v>
      </c>
      <c r="I463" s="21">
        <v>23.690300000000001</v>
      </c>
      <c r="J463" s="60">
        <v>23.690300000000001</v>
      </c>
      <c r="K463" s="20"/>
      <c r="L463" s="20"/>
      <c r="M463" s="20"/>
    </row>
    <row r="464" spans="1:13" x14ac:dyDescent="0.25">
      <c r="A464" s="17">
        <v>45805</v>
      </c>
      <c r="B464" s="9" t="s">
        <v>250</v>
      </c>
      <c r="C464" s="4" t="s">
        <v>489</v>
      </c>
      <c r="D464" s="40" t="s">
        <v>69</v>
      </c>
      <c r="E464" s="9" t="s">
        <v>42</v>
      </c>
      <c r="F464" s="9">
        <v>2</v>
      </c>
      <c r="G464" s="25" t="s">
        <v>6</v>
      </c>
      <c r="H464" s="9">
        <v>2</v>
      </c>
      <c r="I464" s="9">
        <v>11.773300000000001</v>
      </c>
      <c r="J464" s="60">
        <v>23.546600000000002</v>
      </c>
      <c r="K464" s="20"/>
      <c r="L464" s="20"/>
      <c r="M464" s="20"/>
    </row>
    <row r="465" spans="1:13" x14ac:dyDescent="0.25">
      <c r="A465" s="3">
        <v>45799</v>
      </c>
      <c r="B465" s="9" t="s">
        <v>250</v>
      </c>
      <c r="C465" s="4" t="s">
        <v>489</v>
      </c>
      <c r="D465" s="40" t="s">
        <v>251</v>
      </c>
      <c r="E465" s="9" t="s">
        <v>16</v>
      </c>
      <c r="F465" s="9">
        <v>2</v>
      </c>
      <c r="G465" s="25" t="s">
        <v>6</v>
      </c>
      <c r="H465" s="9">
        <v>2</v>
      </c>
      <c r="I465" s="9">
        <v>11.773300000000001</v>
      </c>
      <c r="J465" s="60">
        <v>23.546600000000002</v>
      </c>
      <c r="K465" s="20"/>
      <c r="L465" s="20"/>
      <c r="M465" s="20"/>
    </row>
    <row r="466" spans="1:13" x14ac:dyDescent="0.25">
      <c r="A466" s="17">
        <v>45790</v>
      </c>
      <c r="B466" s="9" t="s">
        <v>250</v>
      </c>
      <c r="C466" s="9" t="s">
        <v>489</v>
      </c>
      <c r="D466" s="39" t="s">
        <v>49</v>
      </c>
      <c r="E466" s="10" t="s">
        <v>91</v>
      </c>
      <c r="F466" s="11">
        <v>9</v>
      </c>
      <c r="G466" s="25" t="s">
        <v>6</v>
      </c>
      <c r="H466" s="11">
        <v>9</v>
      </c>
      <c r="I466" s="9">
        <v>2.4201999999999999</v>
      </c>
      <c r="J466" s="60">
        <v>21.7818</v>
      </c>
      <c r="K466" s="20"/>
      <c r="L466" s="20"/>
      <c r="M466" s="20"/>
    </row>
    <row r="467" spans="1:13" x14ac:dyDescent="0.25">
      <c r="A467" s="17">
        <v>45790</v>
      </c>
      <c r="B467" s="9" t="s">
        <v>250</v>
      </c>
      <c r="C467" s="9" t="s">
        <v>489</v>
      </c>
      <c r="D467" s="39" t="s">
        <v>49</v>
      </c>
      <c r="E467" s="10" t="s">
        <v>38</v>
      </c>
      <c r="F467" s="11">
        <v>9</v>
      </c>
      <c r="G467" s="25" t="s">
        <v>6</v>
      </c>
      <c r="H467" s="11">
        <v>9</v>
      </c>
      <c r="I467" s="9">
        <v>2.4201999999999999</v>
      </c>
      <c r="J467" s="60">
        <v>21.7818</v>
      </c>
      <c r="K467" s="20"/>
      <c r="L467" s="20"/>
      <c r="M467" s="20"/>
    </row>
    <row r="468" spans="1:13" x14ac:dyDescent="0.25">
      <c r="A468" s="28">
        <v>45774</v>
      </c>
      <c r="B468" s="9" t="s">
        <v>250</v>
      </c>
      <c r="C468" s="28" t="s">
        <v>486</v>
      </c>
      <c r="D468" s="29" t="s">
        <v>215</v>
      </c>
      <c r="E468" s="30" t="s">
        <v>216</v>
      </c>
      <c r="F468" s="9">
        <v>1</v>
      </c>
      <c r="G468" s="9" t="s">
        <v>128</v>
      </c>
      <c r="H468" s="9">
        <v>1</v>
      </c>
      <c r="I468" s="31">
        <v>25.256599999999999</v>
      </c>
      <c r="J468" s="60">
        <v>25.256599999999999</v>
      </c>
      <c r="K468" s="20"/>
      <c r="L468" s="20"/>
      <c r="M468" s="20"/>
    </row>
    <row r="469" spans="1:13" x14ac:dyDescent="0.25">
      <c r="A469" s="28">
        <v>45774</v>
      </c>
      <c r="B469" s="9" t="s">
        <v>250</v>
      </c>
      <c r="C469" s="28" t="s">
        <v>486</v>
      </c>
      <c r="D469" s="29" t="s">
        <v>215</v>
      </c>
      <c r="E469" s="30" t="s">
        <v>216</v>
      </c>
      <c r="F469" s="9">
        <v>1</v>
      </c>
      <c r="G469" s="9" t="s">
        <v>128</v>
      </c>
      <c r="H469" s="9">
        <v>1</v>
      </c>
      <c r="I469" s="31">
        <v>25.256599999999999</v>
      </c>
      <c r="J469" s="60">
        <v>25.256599999999999</v>
      </c>
      <c r="K469" s="20"/>
      <c r="L469" s="20"/>
      <c r="M469" s="20"/>
    </row>
    <row r="470" spans="1:13" x14ac:dyDescent="0.25">
      <c r="A470" s="28">
        <v>45774</v>
      </c>
      <c r="B470" s="9" t="s">
        <v>250</v>
      </c>
      <c r="C470" s="28" t="s">
        <v>486</v>
      </c>
      <c r="D470" s="29" t="s">
        <v>215</v>
      </c>
      <c r="E470" s="30" t="s">
        <v>216</v>
      </c>
      <c r="F470" s="9">
        <v>1</v>
      </c>
      <c r="G470" s="9" t="s">
        <v>128</v>
      </c>
      <c r="H470" s="9">
        <v>1</v>
      </c>
      <c r="I470" s="31">
        <v>25.256599999999999</v>
      </c>
      <c r="J470" s="60">
        <v>25.256599999999999</v>
      </c>
      <c r="K470" s="20"/>
      <c r="L470" s="20"/>
      <c r="M470" s="20"/>
    </row>
    <row r="471" spans="1:13" x14ac:dyDescent="0.25">
      <c r="A471" s="28">
        <v>45774</v>
      </c>
      <c r="B471" s="9" t="s">
        <v>250</v>
      </c>
      <c r="C471" s="28" t="s">
        <v>486</v>
      </c>
      <c r="D471" s="29" t="s">
        <v>230</v>
      </c>
      <c r="E471" s="65" t="s">
        <v>440</v>
      </c>
      <c r="F471" s="9">
        <v>2</v>
      </c>
      <c r="G471" s="9" t="s">
        <v>128</v>
      </c>
      <c r="H471" s="9">
        <v>2</v>
      </c>
      <c r="I471" s="31">
        <v>12.3451</v>
      </c>
      <c r="J471" s="60">
        <v>24.690200000000001</v>
      </c>
      <c r="K471" s="20"/>
      <c r="L471" s="20"/>
      <c r="M471" s="20"/>
    </row>
    <row r="472" spans="1:13" x14ac:dyDescent="0.25">
      <c r="A472" s="17">
        <v>45789</v>
      </c>
      <c r="B472" s="9" t="s">
        <v>250</v>
      </c>
      <c r="C472" s="9" t="s">
        <v>489</v>
      </c>
      <c r="D472" s="39" t="s">
        <v>29</v>
      </c>
      <c r="E472" s="10" t="s">
        <v>26</v>
      </c>
      <c r="F472" s="11">
        <v>16</v>
      </c>
      <c r="G472" s="25" t="s">
        <v>6</v>
      </c>
      <c r="H472" s="11">
        <v>16</v>
      </c>
      <c r="I472" s="9">
        <v>1.5389999999999999</v>
      </c>
      <c r="J472" s="60">
        <v>24.623999999999999</v>
      </c>
      <c r="K472" s="20"/>
      <c r="L472" s="20"/>
      <c r="M472" s="20"/>
    </row>
    <row r="473" spans="1:13" x14ac:dyDescent="0.25">
      <c r="A473" s="17">
        <v>45789</v>
      </c>
      <c r="B473" s="9" t="s">
        <v>250</v>
      </c>
      <c r="C473" s="9" t="s">
        <v>489</v>
      </c>
      <c r="D473" s="39" t="s">
        <v>30</v>
      </c>
      <c r="E473" s="13" t="s">
        <v>25</v>
      </c>
      <c r="F473" s="11">
        <v>8</v>
      </c>
      <c r="G473" s="25" t="s">
        <v>6</v>
      </c>
      <c r="H473" s="11">
        <v>8</v>
      </c>
      <c r="I473" s="9">
        <v>2.9540000000000002</v>
      </c>
      <c r="J473" s="60">
        <v>23.632000000000001</v>
      </c>
      <c r="K473" s="20"/>
      <c r="L473" s="20"/>
      <c r="M473" s="20"/>
    </row>
    <row r="474" spans="1:13" x14ac:dyDescent="0.25">
      <c r="A474" s="34">
        <v>45789</v>
      </c>
      <c r="B474" s="9" t="s">
        <v>250</v>
      </c>
      <c r="C474" s="23" t="s">
        <v>485</v>
      </c>
      <c r="D474" s="38" t="s">
        <v>143</v>
      </c>
      <c r="E474" s="9" t="s">
        <v>184</v>
      </c>
      <c r="F474" s="23">
        <v>6</v>
      </c>
      <c r="G474" s="23" t="s">
        <v>128</v>
      </c>
      <c r="H474" s="23">
        <v>6</v>
      </c>
      <c r="I474" s="21">
        <v>3.4586999999999999</v>
      </c>
      <c r="J474" s="60">
        <v>20.752199999999998</v>
      </c>
      <c r="K474" s="20"/>
      <c r="L474" s="20"/>
      <c r="M474" s="20"/>
    </row>
    <row r="475" spans="1:13" x14ac:dyDescent="0.25">
      <c r="A475" s="17">
        <v>45789</v>
      </c>
      <c r="B475" s="9" t="s">
        <v>250</v>
      </c>
      <c r="C475" s="9" t="s">
        <v>489</v>
      </c>
      <c r="D475" s="39" t="s">
        <v>30</v>
      </c>
      <c r="E475" s="10" t="s">
        <v>92</v>
      </c>
      <c r="F475" s="11">
        <v>28</v>
      </c>
      <c r="G475" s="25" t="s">
        <v>6</v>
      </c>
      <c r="H475" s="11">
        <v>28</v>
      </c>
      <c r="I475" s="9">
        <v>0.78900000000000003</v>
      </c>
      <c r="J475" s="60">
        <v>22.092000000000002</v>
      </c>
      <c r="K475" s="20"/>
      <c r="L475" s="20"/>
      <c r="M475" s="20"/>
    </row>
    <row r="476" spans="1:13" x14ac:dyDescent="0.25">
      <c r="A476" s="17">
        <v>45805</v>
      </c>
      <c r="B476" s="9" t="s">
        <v>250</v>
      </c>
      <c r="C476" s="4" t="s">
        <v>489</v>
      </c>
      <c r="D476" s="40" t="s">
        <v>57</v>
      </c>
      <c r="E476" s="9" t="s">
        <v>97</v>
      </c>
      <c r="F476" s="9">
        <v>8</v>
      </c>
      <c r="G476" s="25" t="s">
        <v>6</v>
      </c>
      <c r="H476" s="9">
        <v>8</v>
      </c>
      <c r="I476" s="9">
        <v>2.532</v>
      </c>
      <c r="J476" s="60">
        <v>20.256</v>
      </c>
      <c r="K476" s="20"/>
      <c r="L476" s="20"/>
      <c r="M476" s="20"/>
    </row>
    <row r="477" spans="1:13" x14ac:dyDescent="0.25">
      <c r="A477" s="28">
        <v>45774</v>
      </c>
      <c r="B477" s="9" t="s">
        <v>250</v>
      </c>
      <c r="C477" s="28" t="s">
        <v>486</v>
      </c>
      <c r="D477" s="29" t="s">
        <v>228</v>
      </c>
      <c r="E477" s="65" t="s">
        <v>448</v>
      </c>
      <c r="F477" s="9">
        <v>2</v>
      </c>
      <c r="G477" s="9" t="s">
        <v>128</v>
      </c>
      <c r="H477" s="9">
        <v>2</v>
      </c>
      <c r="I477" s="32">
        <v>9.7222000000000008</v>
      </c>
      <c r="J477" s="60">
        <v>19.444400000000002</v>
      </c>
      <c r="K477" s="20"/>
      <c r="L477" s="20"/>
      <c r="M477" s="20"/>
    </row>
    <row r="478" spans="1:13" x14ac:dyDescent="0.25">
      <c r="A478" s="17">
        <v>45795</v>
      </c>
      <c r="B478" s="9" t="s">
        <v>250</v>
      </c>
      <c r="C478" s="9" t="s">
        <v>489</v>
      </c>
      <c r="D478" s="39" t="s">
        <v>60</v>
      </c>
      <c r="E478" s="9" t="s">
        <v>371</v>
      </c>
      <c r="F478" s="9">
        <v>1</v>
      </c>
      <c r="G478" s="25" t="s">
        <v>6</v>
      </c>
      <c r="H478" s="9">
        <v>1</v>
      </c>
      <c r="I478" s="9">
        <v>16.991</v>
      </c>
      <c r="J478" s="60">
        <v>16.991</v>
      </c>
      <c r="K478" s="20"/>
      <c r="L478" s="20"/>
      <c r="M478" s="20"/>
    </row>
    <row r="479" spans="1:13" x14ac:dyDescent="0.25">
      <c r="A479" s="34">
        <v>45791</v>
      </c>
      <c r="B479" s="9" t="s">
        <v>250</v>
      </c>
      <c r="C479" s="23" t="s">
        <v>485</v>
      </c>
      <c r="D479" s="39" t="s">
        <v>147</v>
      </c>
      <c r="E479" s="9" t="s">
        <v>417</v>
      </c>
      <c r="F479" s="23">
        <v>6</v>
      </c>
      <c r="G479" s="23" t="s">
        <v>128</v>
      </c>
      <c r="H479" s="23">
        <v>6</v>
      </c>
      <c r="I479" s="21">
        <v>2.8033999999999999</v>
      </c>
      <c r="J479" s="60">
        <v>16.820399999999999</v>
      </c>
      <c r="K479" s="20"/>
      <c r="L479" s="20"/>
      <c r="M479" s="20"/>
    </row>
    <row r="480" spans="1:13" x14ac:dyDescent="0.25">
      <c r="A480" s="17">
        <v>45790</v>
      </c>
      <c r="B480" s="9" t="s">
        <v>250</v>
      </c>
      <c r="C480" s="9" t="s">
        <v>7</v>
      </c>
      <c r="D480" s="39" t="s">
        <v>45</v>
      </c>
      <c r="E480" s="12" t="s">
        <v>27</v>
      </c>
      <c r="F480" s="16">
        <v>2</v>
      </c>
      <c r="G480" s="23" t="s">
        <v>125</v>
      </c>
      <c r="H480" s="16"/>
      <c r="I480" s="21"/>
      <c r="J480" s="60">
        <v>0</v>
      </c>
      <c r="K480" s="20"/>
      <c r="L480" s="20"/>
      <c r="M480" s="20"/>
    </row>
    <row r="481" spans="1:13" x14ac:dyDescent="0.25">
      <c r="A481" s="17">
        <v>45792</v>
      </c>
      <c r="B481" s="9" t="s">
        <v>250</v>
      </c>
      <c r="C481" s="9" t="s">
        <v>489</v>
      </c>
      <c r="D481" s="40" t="s">
        <v>57</v>
      </c>
      <c r="E481" s="15" t="s">
        <v>40</v>
      </c>
      <c r="F481" s="9">
        <v>7</v>
      </c>
      <c r="G481" s="25" t="s">
        <v>6</v>
      </c>
      <c r="H481" s="9">
        <v>7</v>
      </c>
      <c r="I481" s="9">
        <v>2.532</v>
      </c>
      <c r="J481" s="60">
        <v>17.724</v>
      </c>
      <c r="K481" s="20"/>
      <c r="L481" s="20"/>
      <c r="M481" s="20"/>
    </row>
    <row r="482" spans="1:13" x14ac:dyDescent="0.25">
      <c r="A482" s="34">
        <v>45807</v>
      </c>
      <c r="B482" s="9" t="s">
        <v>250</v>
      </c>
      <c r="C482" s="23" t="s">
        <v>485</v>
      </c>
      <c r="D482" s="39" t="s">
        <v>163</v>
      </c>
      <c r="E482" s="9" t="s">
        <v>164</v>
      </c>
      <c r="F482" s="23">
        <v>15</v>
      </c>
      <c r="G482" s="9" t="s">
        <v>128</v>
      </c>
      <c r="H482" s="23">
        <v>15</v>
      </c>
      <c r="I482" s="21">
        <v>0.95579999999999998</v>
      </c>
      <c r="J482" s="60">
        <v>14.337</v>
      </c>
      <c r="K482" s="20"/>
      <c r="L482" s="20"/>
      <c r="M482" s="20"/>
    </row>
    <row r="483" spans="1:13" x14ac:dyDescent="0.25">
      <c r="A483" s="28">
        <v>45790</v>
      </c>
      <c r="B483" s="9" t="s">
        <v>250</v>
      </c>
      <c r="C483" s="28" t="s">
        <v>486</v>
      </c>
      <c r="D483" s="29" t="s">
        <v>194</v>
      </c>
      <c r="E483" s="30" t="s">
        <v>195</v>
      </c>
      <c r="F483" s="9">
        <v>1</v>
      </c>
      <c r="G483" s="9" t="s">
        <v>128</v>
      </c>
      <c r="H483" s="9">
        <v>1</v>
      </c>
      <c r="I483" s="32">
        <v>16.1416</v>
      </c>
      <c r="J483" s="60">
        <v>16.1416</v>
      </c>
      <c r="K483" s="20"/>
      <c r="L483" s="20"/>
      <c r="M483" s="20"/>
    </row>
    <row r="484" spans="1:13" x14ac:dyDescent="0.25">
      <c r="A484" s="17">
        <v>45789</v>
      </c>
      <c r="B484" s="9" t="s">
        <v>250</v>
      </c>
      <c r="C484" s="9" t="s">
        <v>489</v>
      </c>
      <c r="D484" s="39" t="s">
        <v>48</v>
      </c>
      <c r="E484" s="10" t="s">
        <v>372</v>
      </c>
      <c r="F484" s="11">
        <v>8</v>
      </c>
      <c r="G484" s="25" t="s">
        <v>6</v>
      </c>
      <c r="H484" s="11">
        <v>8</v>
      </c>
      <c r="I484" s="9">
        <v>1.85</v>
      </c>
      <c r="J484" s="60">
        <v>14.8</v>
      </c>
      <c r="K484" s="20"/>
      <c r="L484" s="20"/>
      <c r="M484" s="20"/>
    </row>
    <row r="485" spans="1:13" x14ac:dyDescent="0.25">
      <c r="A485" s="28">
        <v>45790</v>
      </c>
      <c r="B485" s="9" t="s">
        <v>250</v>
      </c>
      <c r="C485" s="28" t="s">
        <v>486</v>
      </c>
      <c r="D485" s="29" t="s">
        <v>201</v>
      </c>
      <c r="E485" s="30" t="s">
        <v>202</v>
      </c>
      <c r="F485" s="9">
        <v>1</v>
      </c>
      <c r="G485" s="9" t="s">
        <v>128</v>
      </c>
      <c r="H485" s="9">
        <v>1</v>
      </c>
      <c r="I485" s="32">
        <v>15.2744</v>
      </c>
      <c r="J485" s="60">
        <v>15.2744</v>
      </c>
      <c r="K485" s="20"/>
      <c r="L485" s="20"/>
      <c r="M485" s="20"/>
    </row>
    <row r="486" spans="1:13" x14ac:dyDescent="0.25">
      <c r="A486" s="3">
        <v>45799</v>
      </c>
      <c r="B486" s="9" t="s">
        <v>250</v>
      </c>
      <c r="C486" s="4" t="s">
        <v>489</v>
      </c>
      <c r="D486" s="40" t="s">
        <v>9</v>
      </c>
      <c r="E486" s="9" t="s">
        <v>18</v>
      </c>
      <c r="F486" s="9">
        <v>1</v>
      </c>
      <c r="G486" s="25" t="s">
        <v>6</v>
      </c>
      <c r="H486" s="9">
        <v>1</v>
      </c>
      <c r="I486" s="9">
        <v>22.7425</v>
      </c>
      <c r="J486" s="60">
        <v>22.7425</v>
      </c>
      <c r="K486" s="20"/>
      <c r="L486" s="20"/>
      <c r="M486" s="20"/>
    </row>
    <row r="487" spans="1:13" x14ac:dyDescent="0.25">
      <c r="A487" s="17">
        <v>45790</v>
      </c>
      <c r="B487" s="9" t="s">
        <v>250</v>
      </c>
      <c r="C487" s="9" t="s">
        <v>489</v>
      </c>
      <c r="D487" s="39" t="s">
        <v>50</v>
      </c>
      <c r="E487" s="9" t="s">
        <v>93</v>
      </c>
      <c r="F487" s="11">
        <v>1</v>
      </c>
      <c r="G487" s="25" t="s">
        <v>6</v>
      </c>
      <c r="H487" s="11">
        <v>1</v>
      </c>
      <c r="I487" s="9">
        <v>13.836</v>
      </c>
      <c r="J487" s="60">
        <v>13.836</v>
      </c>
      <c r="K487" s="20"/>
      <c r="L487" s="20"/>
      <c r="M487" s="20"/>
    </row>
    <row r="488" spans="1:13" x14ac:dyDescent="0.25">
      <c r="A488" s="17">
        <v>45792</v>
      </c>
      <c r="B488" s="9" t="s">
        <v>250</v>
      </c>
      <c r="C488" s="9" t="s">
        <v>489</v>
      </c>
      <c r="D488" s="40" t="s">
        <v>69</v>
      </c>
      <c r="E488" s="12" t="s">
        <v>42</v>
      </c>
      <c r="F488" s="9">
        <v>1</v>
      </c>
      <c r="G488" s="25" t="s">
        <v>6</v>
      </c>
      <c r="H488" s="9">
        <v>1</v>
      </c>
      <c r="I488" s="9">
        <v>11.773300000000001</v>
      </c>
      <c r="J488" s="60">
        <v>11.773300000000001</v>
      </c>
      <c r="K488" s="20"/>
      <c r="L488" s="20"/>
      <c r="M488" s="20"/>
    </row>
    <row r="489" spans="1:13" x14ac:dyDescent="0.25">
      <c r="A489" s="17">
        <v>45795</v>
      </c>
      <c r="B489" s="9" t="s">
        <v>250</v>
      </c>
      <c r="C489" s="9" t="s">
        <v>489</v>
      </c>
      <c r="D489" s="40" t="s">
        <v>69</v>
      </c>
      <c r="E489" s="9" t="s">
        <v>16</v>
      </c>
      <c r="F489" s="9">
        <v>1</v>
      </c>
      <c r="G489" s="25" t="s">
        <v>6</v>
      </c>
      <c r="H489" s="9">
        <v>1</v>
      </c>
      <c r="I489" s="9">
        <v>11.773300000000001</v>
      </c>
      <c r="J489" s="60">
        <v>11.773300000000001</v>
      </c>
      <c r="K489" s="20"/>
      <c r="L489" s="20"/>
      <c r="M489" s="20"/>
    </row>
    <row r="490" spans="1:13" x14ac:dyDescent="0.25">
      <c r="A490" s="28">
        <v>45795</v>
      </c>
      <c r="B490" s="9" t="s">
        <v>250</v>
      </c>
      <c r="C490" s="28" t="s">
        <v>486</v>
      </c>
      <c r="D490" s="29" t="s">
        <v>217</v>
      </c>
      <c r="E490" s="65" t="s">
        <v>218</v>
      </c>
      <c r="F490" s="9">
        <v>1</v>
      </c>
      <c r="G490" s="9" t="s">
        <v>128</v>
      </c>
      <c r="H490" s="9">
        <v>1</v>
      </c>
      <c r="I490" s="32">
        <v>13</v>
      </c>
      <c r="J490" s="60">
        <v>13</v>
      </c>
      <c r="K490" s="20"/>
      <c r="L490" s="20"/>
      <c r="M490" s="20"/>
    </row>
    <row r="491" spans="1:13" x14ac:dyDescent="0.25">
      <c r="A491" s="17">
        <v>45790</v>
      </c>
      <c r="B491" s="9" t="s">
        <v>250</v>
      </c>
      <c r="C491" s="9" t="s">
        <v>489</v>
      </c>
      <c r="D491" s="40" t="s">
        <v>57</v>
      </c>
      <c r="E491" s="15" t="s">
        <v>97</v>
      </c>
      <c r="F491" s="15">
        <v>5</v>
      </c>
      <c r="G491" s="25" t="s">
        <v>6</v>
      </c>
      <c r="H491" s="15">
        <v>5</v>
      </c>
      <c r="I491" s="9">
        <v>2.532</v>
      </c>
      <c r="J491" s="60">
        <v>12.66</v>
      </c>
      <c r="K491" s="20"/>
      <c r="L491" s="20"/>
      <c r="M491" s="20"/>
    </row>
    <row r="492" spans="1:13" x14ac:dyDescent="0.25">
      <c r="A492" s="17">
        <v>45790</v>
      </c>
      <c r="B492" s="9" t="s">
        <v>250</v>
      </c>
      <c r="C492" s="9" t="s">
        <v>489</v>
      </c>
      <c r="D492" s="39" t="s">
        <v>55</v>
      </c>
      <c r="E492" s="9" t="s">
        <v>95</v>
      </c>
      <c r="F492" s="11">
        <v>4</v>
      </c>
      <c r="G492" s="25" t="s">
        <v>6</v>
      </c>
      <c r="H492" s="11">
        <v>4</v>
      </c>
      <c r="I492" s="9">
        <v>2.6549999999999998</v>
      </c>
      <c r="J492" s="60">
        <v>10.62</v>
      </c>
      <c r="K492" s="20"/>
      <c r="L492" s="20"/>
      <c r="M492" s="20"/>
    </row>
    <row r="493" spans="1:13" x14ac:dyDescent="0.25">
      <c r="A493" s="28">
        <v>45790</v>
      </c>
      <c r="B493" s="9" t="s">
        <v>250</v>
      </c>
      <c r="C493" s="28" t="s">
        <v>486</v>
      </c>
      <c r="D493" s="29" t="s">
        <v>213</v>
      </c>
      <c r="E493" s="30" t="s">
        <v>214</v>
      </c>
      <c r="F493" s="9">
        <v>17</v>
      </c>
      <c r="G493" s="9" t="s">
        <v>128</v>
      </c>
      <c r="H493" s="9">
        <v>17</v>
      </c>
      <c r="I493" s="31">
        <v>0.53</v>
      </c>
      <c r="J493" s="60">
        <v>9.01</v>
      </c>
      <c r="K493" s="20"/>
      <c r="L493" s="20"/>
      <c r="M493" s="20"/>
    </row>
    <row r="494" spans="1:13" x14ac:dyDescent="0.25">
      <c r="A494" s="17">
        <v>45789</v>
      </c>
      <c r="B494" s="9" t="s">
        <v>250</v>
      </c>
      <c r="C494" s="9" t="s">
        <v>7</v>
      </c>
      <c r="D494" s="39" t="s">
        <v>45</v>
      </c>
      <c r="E494" s="10" t="s">
        <v>173</v>
      </c>
      <c r="F494" s="11">
        <v>1</v>
      </c>
      <c r="G494" s="23" t="s">
        <v>125</v>
      </c>
      <c r="H494" s="11"/>
      <c r="I494" s="21"/>
      <c r="J494" s="60">
        <v>0</v>
      </c>
      <c r="K494" s="20"/>
      <c r="L494" s="20"/>
      <c r="M494" s="20"/>
    </row>
    <row r="495" spans="1:13" x14ac:dyDescent="0.25">
      <c r="A495" s="17">
        <v>45805</v>
      </c>
      <c r="B495" s="9" t="s">
        <v>250</v>
      </c>
      <c r="C495" s="4" t="s">
        <v>76</v>
      </c>
      <c r="D495" s="39" t="s">
        <v>35</v>
      </c>
      <c r="E495" s="9" t="s">
        <v>4</v>
      </c>
      <c r="F495" s="9">
        <v>1</v>
      </c>
      <c r="G495" s="23" t="s">
        <v>125</v>
      </c>
      <c r="H495" s="9"/>
      <c r="I495" s="21"/>
      <c r="J495" s="60">
        <v>0</v>
      </c>
      <c r="K495" s="20"/>
      <c r="L495" s="20"/>
      <c r="M495" s="20"/>
    </row>
    <row r="496" spans="1:13" x14ac:dyDescent="0.25">
      <c r="A496" s="28">
        <v>45795</v>
      </c>
      <c r="B496" s="9" t="s">
        <v>250</v>
      </c>
      <c r="C496" s="28" t="s">
        <v>486</v>
      </c>
      <c r="D496" s="57" t="s">
        <v>329</v>
      </c>
      <c r="E496" s="65" t="s">
        <v>442</v>
      </c>
      <c r="F496" s="9">
        <v>2</v>
      </c>
      <c r="G496" s="9" t="s">
        <v>128</v>
      </c>
      <c r="H496" s="9">
        <v>2</v>
      </c>
      <c r="I496" s="31">
        <v>3.8807</v>
      </c>
      <c r="J496" s="60">
        <v>7.7614000000000001</v>
      </c>
      <c r="K496" s="20"/>
      <c r="L496" s="20"/>
      <c r="M496" s="20"/>
    </row>
    <row r="497" spans="1:13" x14ac:dyDescent="0.25">
      <c r="A497" s="3">
        <v>45799</v>
      </c>
      <c r="B497" s="9" t="s">
        <v>250</v>
      </c>
      <c r="C497" s="4" t="s">
        <v>489</v>
      </c>
      <c r="D497" s="39" t="s">
        <v>64</v>
      </c>
      <c r="E497" s="9" t="s">
        <v>43</v>
      </c>
      <c r="F497" s="9">
        <v>8</v>
      </c>
      <c r="G497" s="25" t="s">
        <v>6</v>
      </c>
      <c r="H497" s="9">
        <v>8</v>
      </c>
      <c r="I497" s="9">
        <v>0.96399999999999997</v>
      </c>
      <c r="J497" s="60">
        <v>7.7119999999999997</v>
      </c>
      <c r="K497" s="20"/>
      <c r="L497" s="20"/>
      <c r="M497" s="20"/>
    </row>
    <row r="498" spans="1:13" x14ac:dyDescent="0.25">
      <c r="A498" s="3">
        <v>45799</v>
      </c>
      <c r="B498" s="9" t="s">
        <v>250</v>
      </c>
      <c r="C498" s="4" t="s">
        <v>489</v>
      </c>
      <c r="D498" s="40" t="s">
        <v>57</v>
      </c>
      <c r="E498" s="9" t="s">
        <v>40</v>
      </c>
      <c r="F498" s="9">
        <v>3</v>
      </c>
      <c r="G498" s="25" t="s">
        <v>6</v>
      </c>
      <c r="H498" s="9">
        <v>3</v>
      </c>
      <c r="I498" s="9">
        <v>2.532</v>
      </c>
      <c r="J498" s="60">
        <v>7.5960000000000001</v>
      </c>
      <c r="K498" s="20"/>
      <c r="L498" s="20"/>
      <c r="M498" s="20"/>
    </row>
    <row r="499" spans="1:13" x14ac:dyDescent="0.25">
      <c r="A499" s="28">
        <v>45795</v>
      </c>
      <c r="B499" s="9" t="s">
        <v>250</v>
      </c>
      <c r="C499" s="28" t="s">
        <v>486</v>
      </c>
      <c r="D499" s="29" t="s">
        <v>226</v>
      </c>
      <c r="E499" s="30" t="s">
        <v>227</v>
      </c>
      <c r="F499" s="9">
        <v>3</v>
      </c>
      <c r="G499" s="9" t="s">
        <v>128</v>
      </c>
      <c r="H499" s="9">
        <v>3</v>
      </c>
      <c r="I499" s="32">
        <v>2.0181</v>
      </c>
      <c r="J499" s="60">
        <v>6.0542999999999996</v>
      </c>
      <c r="K499" s="20"/>
      <c r="L499" s="20"/>
      <c r="M499" s="20"/>
    </row>
    <row r="500" spans="1:13" x14ac:dyDescent="0.25">
      <c r="A500" s="17">
        <v>45795</v>
      </c>
      <c r="B500" s="9" t="s">
        <v>250</v>
      </c>
      <c r="C500" s="9" t="s">
        <v>489</v>
      </c>
      <c r="D500" s="40" t="s">
        <v>57</v>
      </c>
      <c r="E500" s="9" t="s">
        <v>40</v>
      </c>
      <c r="F500" s="9">
        <v>2</v>
      </c>
      <c r="G500" s="25" t="s">
        <v>6</v>
      </c>
      <c r="H500" s="9">
        <v>2</v>
      </c>
      <c r="I500" s="9">
        <v>2.532</v>
      </c>
      <c r="J500" s="60">
        <v>5.0640000000000001</v>
      </c>
      <c r="K500" s="20"/>
      <c r="L500" s="20"/>
      <c r="M500" s="20"/>
    </row>
    <row r="501" spans="1:13" x14ac:dyDescent="0.25">
      <c r="A501" s="17">
        <v>45790</v>
      </c>
      <c r="B501" s="9" t="s">
        <v>250</v>
      </c>
      <c r="C501" s="9" t="s">
        <v>489</v>
      </c>
      <c r="D501" s="39" t="s">
        <v>55</v>
      </c>
      <c r="E501" s="9" t="s">
        <v>94</v>
      </c>
      <c r="F501" s="9">
        <v>3</v>
      </c>
      <c r="G501" s="25" t="s">
        <v>6</v>
      </c>
      <c r="H501" s="9">
        <v>3</v>
      </c>
      <c r="I501" s="9">
        <v>1.381</v>
      </c>
      <c r="J501" s="60">
        <v>4.1429999999999998</v>
      </c>
      <c r="K501" s="20"/>
      <c r="L501" s="20"/>
      <c r="M501" s="20"/>
    </row>
    <row r="502" spans="1:13" x14ac:dyDescent="0.25">
      <c r="A502" s="17">
        <v>45792</v>
      </c>
      <c r="B502" s="9" t="s">
        <v>250</v>
      </c>
      <c r="C502" s="9" t="s">
        <v>489</v>
      </c>
      <c r="D502" s="39" t="s">
        <v>48</v>
      </c>
      <c r="E502" s="10" t="s">
        <v>17</v>
      </c>
      <c r="F502" s="9">
        <v>2</v>
      </c>
      <c r="G502" s="25" t="s">
        <v>6</v>
      </c>
      <c r="H502" s="9">
        <v>2</v>
      </c>
      <c r="I502" s="9">
        <v>1.85</v>
      </c>
      <c r="J502" s="60">
        <v>3.7</v>
      </c>
      <c r="K502" s="20"/>
      <c r="L502" s="20"/>
      <c r="M502" s="20"/>
    </row>
    <row r="503" spans="1:13" x14ac:dyDescent="0.25">
      <c r="A503" s="17">
        <v>45797</v>
      </c>
      <c r="B503" s="9" t="s">
        <v>250</v>
      </c>
      <c r="C503" s="9" t="s">
        <v>489</v>
      </c>
      <c r="D503" s="39" t="s">
        <v>29</v>
      </c>
      <c r="E503" s="9" t="s">
        <v>72</v>
      </c>
      <c r="F503" s="9">
        <v>2</v>
      </c>
      <c r="G503" s="25" t="s">
        <v>6</v>
      </c>
      <c r="H503" s="9">
        <v>2</v>
      </c>
      <c r="I503" s="9">
        <v>1.5389999999999999</v>
      </c>
      <c r="J503" s="60">
        <v>3.0779999999999998</v>
      </c>
      <c r="K503" s="20"/>
      <c r="L503" s="20"/>
      <c r="M503" s="20"/>
    </row>
    <row r="504" spans="1:13" x14ac:dyDescent="0.25">
      <c r="A504" s="28">
        <v>45790</v>
      </c>
      <c r="B504" s="9" t="s">
        <v>250</v>
      </c>
      <c r="C504" s="28" t="s">
        <v>486</v>
      </c>
      <c r="D504" s="29" t="s">
        <v>213</v>
      </c>
      <c r="E504" s="30" t="s">
        <v>214</v>
      </c>
      <c r="F504" s="9">
        <v>2</v>
      </c>
      <c r="G504" s="9" t="s">
        <v>128</v>
      </c>
      <c r="H504" s="9">
        <v>2</v>
      </c>
      <c r="I504" s="32">
        <v>0.53</v>
      </c>
      <c r="J504" s="60">
        <v>1.06</v>
      </c>
      <c r="K504" s="20"/>
      <c r="L504" s="20"/>
      <c r="M504" s="20"/>
    </row>
    <row r="505" spans="1:13" x14ac:dyDescent="0.25">
      <c r="A505" s="17">
        <v>45790</v>
      </c>
      <c r="B505" s="9" t="s">
        <v>250</v>
      </c>
      <c r="C505" s="9" t="s">
        <v>489</v>
      </c>
      <c r="D505" s="39" t="s">
        <v>64</v>
      </c>
      <c r="E505" s="9" t="s">
        <v>96</v>
      </c>
      <c r="F505" s="9">
        <v>1</v>
      </c>
      <c r="G505" s="25" t="s">
        <v>6</v>
      </c>
      <c r="H505" s="9">
        <v>1</v>
      </c>
      <c r="I505" s="9">
        <v>0.96399999999999997</v>
      </c>
      <c r="J505" s="60">
        <v>0.96399999999999997</v>
      </c>
      <c r="K505" s="20"/>
      <c r="L505" s="20"/>
      <c r="M505" s="20"/>
    </row>
    <row r="506" spans="1:13" x14ac:dyDescent="0.25">
      <c r="A506" s="58" t="s">
        <v>337</v>
      </c>
      <c r="B506" s="9" t="s">
        <v>250</v>
      </c>
      <c r="C506" s="9" t="s">
        <v>488</v>
      </c>
      <c r="D506" s="39" t="s">
        <v>338</v>
      </c>
      <c r="E506" s="9" t="s">
        <v>345</v>
      </c>
      <c r="F506" s="9">
        <v>11</v>
      </c>
      <c r="G506" s="9" t="s">
        <v>128</v>
      </c>
      <c r="H506" s="9">
        <v>11</v>
      </c>
      <c r="I506" s="20">
        <v>45.444200000000002</v>
      </c>
      <c r="J506" s="60">
        <v>499.88620000000003</v>
      </c>
      <c r="K506" s="20"/>
      <c r="L506" s="20"/>
      <c r="M506" s="20"/>
    </row>
    <row r="507" spans="1:13" x14ac:dyDescent="0.25">
      <c r="A507" s="58" t="s">
        <v>337</v>
      </c>
      <c r="B507" s="9" t="s">
        <v>250</v>
      </c>
      <c r="C507" s="9" t="s">
        <v>488</v>
      </c>
      <c r="D507" s="39" t="s">
        <v>339</v>
      </c>
      <c r="E507" s="9" t="s">
        <v>346</v>
      </c>
      <c r="F507" s="9">
        <v>98</v>
      </c>
      <c r="G507" s="25" t="s">
        <v>6</v>
      </c>
      <c r="H507" s="9">
        <v>98</v>
      </c>
      <c r="I507" s="20">
        <v>3.6122000000000001</v>
      </c>
      <c r="J507" s="60">
        <v>353.99560000000002</v>
      </c>
      <c r="K507" s="20"/>
      <c r="L507" s="20"/>
      <c r="M507" s="20"/>
    </row>
    <row r="508" spans="1:13" x14ac:dyDescent="0.25">
      <c r="A508" s="58" t="s">
        <v>337</v>
      </c>
      <c r="B508" s="9" t="s">
        <v>250</v>
      </c>
      <c r="C508" s="9" t="s">
        <v>488</v>
      </c>
      <c r="D508" s="39" t="s">
        <v>340</v>
      </c>
      <c r="E508" s="9" t="s">
        <v>347</v>
      </c>
      <c r="F508" s="9">
        <v>6</v>
      </c>
      <c r="G508" s="9" t="s">
        <v>128</v>
      </c>
      <c r="H508" s="9">
        <v>6</v>
      </c>
      <c r="I508" s="20">
        <v>3.0802</v>
      </c>
      <c r="J508" s="60">
        <v>18.481200000000001</v>
      </c>
      <c r="K508" s="20"/>
      <c r="L508" s="20"/>
      <c r="M508" s="20"/>
    </row>
    <row r="509" spans="1:13" x14ac:dyDescent="0.25">
      <c r="A509" s="58" t="s">
        <v>337</v>
      </c>
      <c r="B509" s="9" t="s">
        <v>250</v>
      </c>
      <c r="C509" s="9" t="s">
        <v>488</v>
      </c>
      <c r="D509" s="39" t="s">
        <v>341</v>
      </c>
      <c r="E509" s="9" t="s">
        <v>428</v>
      </c>
      <c r="F509" s="9">
        <v>71</v>
      </c>
      <c r="G509" s="25" t="s">
        <v>6</v>
      </c>
      <c r="H509" s="9">
        <v>71</v>
      </c>
      <c r="I509" s="64">
        <v>11.75112</v>
      </c>
      <c r="J509" s="60">
        <v>834.32952</v>
      </c>
      <c r="K509" s="20"/>
      <c r="L509" s="20"/>
      <c r="M509" s="20"/>
    </row>
    <row r="510" spans="1:13" x14ac:dyDescent="0.25">
      <c r="A510" s="58" t="s">
        <v>337</v>
      </c>
      <c r="B510" s="9" t="s">
        <v>250</v>
      </c>
      <c r="C510" s="9" t="s">
        <v>488</v>
      </c>
      <c r="D510" s="39" t="s">
        <v>342</v>
      </c>
      <c r="E510" s="9" t="s">
        <v>348</v>
      </c>
      <c r="F510" s="9">
        <v>3</v>
      </c>
      <c r="G510" s="9" t="s">
        <v>128</v>
      </c>
      <c r="H510" s="9">
        <v>3</v>
      </c>
      <c r="I510" s="9">
        <v>46.180799999999998</v>
      </c>
      <c r="J510" s="60">
        <v>138.54239999999999</v>
      </c>
      <c r="K510" s="20"/>
      <c r="L510" s="20"/>
      <c r="M510" s="20"/>
    </row>
    <row r="511" spans="1:13" x14ac:dyDescent="0.25">
      <c r="A511" s="58" t="s">
        <v>337</v>
      </c>
      <c r="B511" s="9" t="s">
        <v>250</v>
      </c>
      <c r="C511" s="9" t="s">
        <v>488</v>
      </c>
      <c r="D511" s="39" t="s">
        <v>429</v>
      </c>
      <c r="E511" s="9" t="s">
        <v>430</v>
      </c>
      <c r="F511" s="9">
        <v>114</v>
      </c>
      <c r="G511" s="25" t="s">
        <v>6</v>
      </c>
      <c r="H511" s="9">
        <v>114</v>
      </c>
      <c r="I511" s="9">
        <v>58.9133</v>
      </c>
      <c r="J511" s="60">
        <v>6716.1162000000004</v>
      </c>
      <c r="K511" s="20"/>
      <c r="L511" s="20"/>
      <c r="M511" s="20"/>
    </row>
    <row r="512" spans="1:13" x14ac:dyDescent="0.25">
      <c r="A512" s="58" t="s">
        <v>337</v>
      </c>
      <c r="B512" s="9" t="s">
        <v>250</v>
      </c>
      <c r="C512" s="9" t="s">
        <v>488</v>
      </c>
      <c r="D512" s="39" t="s">
        <v>343</v>
      </c>
      <c r="E512" s="9" t="s">
        <v>427</v>
      </c>
      <c r="F512" s="9">
        <v>98</v>
      </c>
      <c r="G512" s="9" t="s">
        <v>128</v>
      </c>
      <c r="H512" s="9">
        <v>98</v>
      </c>
      <c r="I512" s="9">
        <v>47.699399999999997</v>
      </c>
      <c r="J512" s="60">
        <v>4674.5411999999997</v>
      </c>
      <c r="K512" s="20"/>
      <c r="L512" s="20"/>
      <c r="M512" s="20"/>
    </row>
    <row r="513" spans="1:13" x14ac:dyDescent="0.25">
      <c r="A513" s="58" t="s">
        <v>337</v>
      </c>
      <c r="B513" s="9" t="s">
        <v>250</v>
      </c>
      <c r="C513" s="9" t="s">
        <v>488</v>
      </c>
      <c r="D513" s="39" t="s">
        <v>344</v>
      </c>
      <c r="E513" s="9" t="s">
        <v>349</v>
      </c>
      <c r="F513" s="9">
        <v>7</v>
      </c>
      <c r="G513" s="25" t="s">
        <v>6</v>
      </c>
      <c r="H513" s="9">
        <v>7</v>
      </c>
      <c r="I513" s="9">
        <v>57.43656</v>
      </c>
      <c r="J513" s="60">
        <v>402.05592000000001</v>
      </c>
      <c r="K513" s="20"/>
      <c r="L513" s="20"/>
      <c r="M513" s="20"/>
    </row>
    <row r="514" spans="1:13" x14ac:dyDescent="0.25">
      <c r="A514" s="3">
        <v>45796</v>
      </c>
      <c r="B514" s="14" t="s">
        <v>252</v>
      </c>
      <c r="C514" s="14" t="s">
        <v>66</v>
      </c>
      <c r="D514" s="4" t="s">
        <v>71</v>
      </c>
      <c r="E514" s="4" t="s">
        <v>395</v>
      </c>
      <c r="F514" s="4">
        <v>650</v>
      </c>
      <c r="G514" s="4" t="s">
        <v>403</v>
      </c>
      <c r="H514" s="4"/>
      <c r="I514" s="4">
        <v>22</v>
      </c>
      <c r="J514" s="4">
        <v>506</v>
      </c>
      <c r="K514" s="20"/>
      <c r="L514" s="20"/>
      <c r="M514" s="4" t="s">
        <v>73</v>
      </c>
    </row>
    <row r="515" spans="1:13" x14ac:dyDescent="0.25">
      <c r="A515" s="3">
        <v>45797</v>
      </c>
      <c r="B515" s="14" t="s">
        <v>252</v>
      </c>
      <c r="C515" s="14" t="s">
        <v>66</v>
      </c>
      <c r="D515" s="4" t="s">
        <v>71</v>
      </c>
      <c r="E515" s="4" t="s">
        <v>395</v>
      </c>
      <c r="F515" s="4">
        <v>697</v>
      </c>
      <c r="G515" s="4" t="s">
        <v>403</v>
      </c>
      <c r="H515" s="4"/>
      <c r="I515" s="4">
        <v>22</v>
      </c>
      <c r="J515" s="4">
        <v>506</v>
      </c>
      <c r="K515" s="20"/>
      <c r="L515" s="20"/>
      <c r="M515" s="4" t="s">
        <v>73</v>
      </c>
    </row>
    <row r="516" spans="1:13" ht="31.2" x14ac:dyDescent="0.25">
      <c r="A516" s="3">
        <v>45795</v>
      </c>
      <c r="B516" s="14" t="s">
        <v>252</v>
      </c>
      <c r="C516" s="14" t="s">
        <v>66</v>
      </c>
      <c r="D516" s="18" t="s">
        <v>409</v>
      </c>
      <c r="E516" s="18" t="s">
        <v>399</v>
      </c>
      <c r="F516" s="14">
        <f>351+94</f>
        <v>445</v>
      </c>
      <c r="G516" s="4" t="s">
        <v>403</v>
      </c>
      <c r="H516" s="14"/>
      <c r="I516" s="4">
        <v>22</v>
      </c>
      <c r="J516" s="4">
        <v>352</v>
      </c>
      <c r="K516" s="20"/>
      <c r="L516" s="20"/>
      <c r="M516" s="14" t="s">
        <v>75</v>
      </c>
    </row>
    <row r="517" spans="1:13" x14ac:dyDescent="0.25">
      <c r="A517" s="3">
        <v>45786</v>
      </c>
      <c r="B517" s="14" t="s">
        <v>252</v>
      </c>
      <c r="C517" s="14" t="s">
        <v>66</v>
      </c>
      <c r="D517" s="14" t="s">
        <v>67</v>
      </c>
      <c r="E517" s="14" t="s">
        <v>394</v>
      </c>
      <c r="F517" s="4">
        <v>460</v>
      </c>
      <c r="G517" s="4" t="s">
        <v>403</v>
      </c>
      <c r="H517" s="4"/>
      <c r="I517" s="4">
        <v>22</v>
      </c>
      <c r="J517" s="4">
        <v>506</v>
      </c>
      <c r="K517" s="20"/>
      <c r="L517" s="20"/>
      <c r="M517" s="14" t="s">
        <v>68</v>
      </c>
    </row>
    <row r="518" spans="1:13" x14ac:dyDescent="0.25">
      <c r="A518" s="3">
        <v>45787</v>
      </c>
      <c r="B518" s="14" t="s">
        <v>252</v>
      </c>
      <c r="C518" s="14" t="s">
        <v>66</v>
      </c>
      <c r="D518" s="14" t="s">
        <v>67</v>
      </c>
      <c r="E518" s="14" t="s">
        <v>394</v>
      </c>
      <c r="F518" s="4">
        <v>510</v>
      </c>
      <c r="G518" s="4" t="s">
        <v>403</v>
      </c>
      <c r="H518" s="4"/>
      <c r="I518" s="4">
        <v>22</v>
      </c>
      <c r="J518" s="4">
        <v>506</v>
      </c>
      <c r="K518" s="20"/>
      <c r="L518" s="20"/>
      <c r="M518" s="14" t="s">
        <v>68</v>
      </c>
    </row>
    <row r="519" spans="1:13" x14ac:dyDescent="0.25">
      <c r="A519" s="3">
        <v>45788</v>
      </c>
      <c r="B519" s="14" t="s">
        <v>252</v>
      </c>
      <c r="C519" s="14" t="s">
        <v>66</v>
      </c>
      <c r="D519" s="14" t="s">
        <v>67</v>
      </c>
      <c r="E519" s="14" t="s">
        <v>394</v>
      </c>
      <c r="F519" s="4">
        <v>290</v>
      </c>
      <c r="G519" s="4" t="s">
        <v>403</v>
      </c>
      <c r="H519" s="4"/>
      <c r="I519" s="4">
        <v>22</v>
      </c>
      <c r="J519" s="4">
        <v>352</v>
      </c>
      <c r="K519" s="20"/>
      <c r="L519" s="20"/>
      <c r="M519" s="14" t="s">
        <v>68</v>
      </c>
    </row>
    <row r="520" spans="1:13" x14ac:dyDescent="0.25">
      <c r="A520" s="3">
        <v>45789</v>
      </c>
      <c r="B520" s="14" t="s">
        <v>252</v>
      </c>
      <c r="C520" s="14" t="s">
        <v>66</v>
      </c>
      <c r="D520" s="14" t="s">
        <v>67</v>
      </c>
      <c r="E520" s="14" t="s">
        <v>394</v>
      </c>
      <c r="F520" s="4">
        <v>389</v>
      </c>
      <c r="G520" s="4" t="s">
        <v>403</v>
      </c>
      <c r="H520" s="4"/>
      <c r="I520" s="4">
        <v>22</v>
      </c>
      <c r="J520" s="4">
        <v>352</v>
      </c>
      <c r="K520" s="20"/>
      <c r="L520" s="20"/>
      <c r="M520" s="14" t="s">
        <v>68</v>
      </c>
    </row>
    <row r="521" spans="1:13" x14ac:dyDescent="0.25">
      <c r="A521" s="3">
        <v>45791</v>
      </c>
      <c r="B521" s="14" t="s">
        <v>252</v>
      </c>
      <c r="C521" s="14" t="s">
        <v>66</v>
      </c>
      <c r="D521" s="14" t="s">
        <v>67</v>
      </c>
      <c r="E521" s="14" t="s">
        <v>394</v>
      </c>
      <c r="F521" s="4">
        <v>390</v>
      </c>
      <c r="G521" s="4" t="s">
        <v>403</v>
      </c>
      <c r="H521" s="4"/>
      <c r="I521" s="4">
        <v>22</v>
      </c>
      <c r="J521" s="4">
        <v>352</v>
      </c>
      <c r="K521" s="20"/>
      <c r="L521" s="20"/>
      <c r="M521" s="14" t="s">
        <v>68</v>
      </c>
    </row>
    <row r="522" spans="1:13" x14ac:dyDescent="0.25">
      <c r="A522" s="3">
        <v>45792</v>
      </c>
      <c r="B522" s="14" t="s">
        <v>252</v>
      </c>
      <c r="C522" s="14" t="s">
        <v>66</v>
      </c>
      <c r="D522" s="14" t="s">
        <v>67</v>
      </c>
      <c r="E522" s="14" t="s">
        <v>394</v>
      </c>
      <c r="F522" s="4">
        <v>550</v>
      </c>
      <c r="G522" s="4" t="s">
        <v>403</v>
      </c>
      <c r="H522" s="4"/>
      <c r="I522" s="4">
        <v>22</v>
      </c>
      <c r="J522" s="4">
        <v>506</v>
      </c>
      <c r="K522" s="20"/>
      <c r="L522" s="20"/>
      <c r="M522" s="14" t="s">
        <v>68</v>
      </c>
    </row>
    <row r="523" spans="1:13" x14ac:dyDescent="0.25">
      <c r="A523" s="3">
        <v>45793</v>
      </c>
      <c r="B523" s="14" t="s">
        <v>252</v>
      </c>
      <c r="C523" s="14" t="s">
        <v>66</v>
      </c>
      <c r="D523" s="14" t="s">
        <v>67</v>
      </c>
      <c r="E523" s="14" t="s">
        <v>394</v>
      </c>
      <c r="F523" s="4">
        <v>560</v>
      </c>
      <c r="G523" s="4" t="s">
        <v>403</v>
      </c>
      <c r="H523" s="4"/>
      <c r="I523" s="4">
        <v>22</v>
      </c>
      <c r="J523" s="4">
        <v>506</v>
      </c>
      <c r="K523" s="20"/>
      <c r="L523" s="20"/>
      <c r="M523" s="14" t="s">
        <v>68</v>
      </c>
    </row>
    <row r="524" spans="1:13" x14ac:dyDescent="0.25">
      <c r="A524" s="3">
        <v>45794</v>
      </c>
      <c r="B524" s="14" t="s">
        <v>252</v>
      </c>
      <c r="C524" s="14" t="s">
        <v>66</v>
      </c>
      <c r="D524" s="14" t="s">
        <v>67</v>
      </c>
      <c r="E524" s="14" t="s">
        <v>394</v>
      </c>
      <c r="F524" s="4">
        <v>370</v>
      </c>
      <c r="G524" s="4" t="s">
        <v>403</v>
      </c>
      <c r="H524" s="4"/>
      <c r="I524" s="4">
        <v>22</v>
      </c>
      <c r="J524" s="4">
        <v>352</v>
      </c>
      <c r="K524" s="20"/>
      <c r="L524" s="20"/>
      <c r="M524" s="14" t="s">
        <v>68</v>
      </c>
    </row>
    <row r="525" spans="1:13" x14ac:dyDescent="0.25">
      <c r="A525" s="3">
        <v>45798</v>
      </c>
      <c r="B525" s="14" t="s">
        <v>252</v>
      </c>
      <c r="C525" s="14" t="s">
        <v>66</v>
      </c>
      <c r="D525" s="14" t="s">
        <v>67</v>
      </c>
      <c r="E525" s="14" t="s">
        <v>394</v>
      </c>
      <c r="F525" s="4">
        <v>387</v>
      </c>
      <c r="G525" s="4" t="s">
        <v>403</v>
      </c>
      <c r="H525" s="4"/>
      <c r="I525" s="4">
        <v>22</v>
      </c>
      <c r="J525" s="4">
        <v>506</v>
      </c>
      <c r="K525" s="20"/>
      <c r="L525" s="20"/>
      <c r="M525" s="14" t="s">
        <v>68</v>
      </c>
    </row>
    <row r="526" spans="1:13" x14ac:dyDescent="0.25">
      <c r="A526" s="3">
        <v>45799</v>
      </c>
      <c r="B526" s="14" t="s">
        <v>252</v>
      </c>
      <c r="C526" s="14" t="s">
        <v>66</v>
      </c>
      <c r="D526" s="14" t="s">
        <v>77</v>
      </c>
      <c r="E526" s="14" t="s">
        <v>394</v>
      </c>
      <c r="F526" s="4">
        <v>210</v>
      </c>
      <c r="G526" s="4" t="s">
        <v>403</v>
      </c>
      <c r="H526" s="4"/>
      <c r="I526" s="4">
        <v>22</v>
      </c>
      <c r="J526" s="4">
        <v>506</v>
      </c>
      <c r="K526" s="20"/>
      <c r="L526" s="20"/>
      <c r="M526" s="14" t="s">
        <v>68</v>
      </c>
    </row>
    <row r="527" spans="1:13" x14ac:dyDescent="0.25">
      <c r="A527" s="3">
        <v>45800</v>
      </c>
      <c r="B527" s="14" t="s">
        <v>252</v>
      </c>
      <c r="C527" s="14" t="s">
        <v>66</v>
      </c>
      <c r="D527" s="14" t="s">
        <v>67</v>
      </c>
      <c r="E527" s="14" t="s">
        <v>394</v>
      </c>
      <c r="F527" s="14">
        <v>1000</v>
      </c>
      <c r="G527" s="4" t="s">
        <v>403</v>
      </c>
      <c r="H527" s="14"/>
      <c r="I527" s="4">
        <v>22</v>
      </c>
      <c r="J527" s="4">
        <v>506</v>
      </c>
      <c r="K527" s="20"/>
      <c r="L527" s="20"/>
      <c r="M527" s="14" t="s">
        <v>68</v>
      </c>
    </row>
    <row r="528" spans="1:13" x14ac:dyDescent="0.25">
      <c r="A528" s="3">
        <v>45803</v>
      </c>
      <c r="B528" s="14" t="s">
        <v>252</v>
      </c>
      <c r="C528" s="14" t="s">
        <v>66</v>
      </c>
      <c r="D528" s="14" t="s">
        <v>77</v>
      </c>
      <c r="E528" s="14" t="s">
        <v>394</v>
      </c>
      <c r="F528" s="4">
        <v>290</v>
      </c>
      <c r="G528" s="4" t="s">
        <v>403</v>
      </c>
      <c r="H528" s="4"/>
      <c r="I528" s="4">
        <v>22</v>
      </c>
      <c r="J528" s="4">
        <v>506</v>
      </c>
      <c r="K528" s="20"/>
      <c r="L528" s="20"/>
      <c r="M528" s="14" t="s">
        <v>68</v>
      </c>
    </row>
    <row r="529" spans="1:13" x14ac:dyDescent="0.25">
      <c r="A529" s="3">
        <v>45804</v>
      </c>
      <c r="B529" s="14" t="s">
        <v>252</v>
      </c>
      <c r="C529" s="14" t="s">
        <v>66</v>
      </c>
      <c r="D529" s="14" t="s">
        <v>77</v>
      </c>
      <c r="E529" s="14" t="s">
        <v>394</v>
      </c>
      <c r="F529" s="4">
        <v>300</v>
      </c>
      <c r="G529" s="4" t="s">
        <v>403</v>
      </c>
      <c r="H529" s="4"/>
      <c r="I529" s="4">
        <v>22</v>
      </c>
      <c r="J529" s="4">
        <v>506</v>
      </c>
      <c r="K529" s="20"/>
      <c r="L529" s="20"/>
      <c r="M529" s="14" t="s">
        <v>68</v>
      </c>
    </row>
    <row r="530" spans="1:13" x14ac:dyDescent="0.25">
      <c r="A530" s="3">
        <v>45805</v>
      </c>
      <c r="B530" s="14" t="s">
        <v>252</v>
      </c>
      <c r="C530" s="14" t="s">
        <v>66</v>
      </c>
      <c r="D530" s="14" t="s">
        <v>88</v>
      </c>
      <c r="E530" s="14" t="s">
        <v>394</v>
      </c>
      <c r="F530" s="4">
        <v>430</v>
      </c>
      <c r="G530" s="4" t="s">
        <v>403</v>
      </c>
      <c r="H530" s="4"/>
      <c r="I530" s="4">
        <v>22</v>
      </c>
      <c r="J530" s="4">
        <v>858</v>
      </c>
      <c r="K530" s="20"/>
      <c r="L530" s="20"/>
      <c r="M530" s="14" t="s">
        <v>68</v>
      </c>
    </row>
    <row r="531" spans="1:13" x14ac:dyDescent="0.25">
      <c r="A531" s="3">
        <v>45806</v>
      </c>
      <c r="B531" s="14" t="s">
        <v>252</v>
      </c>
      <c r="C531" s="14" t="s">
        <v>66</v>
      </c>
      <c r="D531" s="14" t="s">
        <v>88</v>
      </c>
      <c r="E531" s="14" t="s">
        <v>394</v>
      </c>
      <c r="F531" s="4">
        <v>500</v>
      </c>
      <c r="G531" s="4" t="s">
        <v>403</v>
      </c>
      <c r="H531" s="4"/>
      <c r="I531" s="4">
        <v>22</v>
      </c>
      <c r="J531" s="4">
        <v>1012</v>
      </c>
      <c r="K531" s="20"/>
      <c r="L531" s="20"/>
      <c r="M531" s="14" t="s">
        <v>68</v>
      </c>
    </row>
    <row r="532" spans="1:13" x14ac:dyDescent="0.25">
      <c r="A532" s="3">
        <v>45807</v>
      </c>
      <c r="B532" s="14" t="s">
        <v>252</v>
      </c>
      <c r="C532" s="14" t="s">
        <v>66</v>
      </c>
      <c r="D532" s="14" t="s">
        <v>88</v>
      </c>
      <c r="E532" s="14" t="s">
        <v>394</v>
      </c>
      <c r="F532" s="4">
        <v>480</v>
      </c>
      <c r="G532" s="4" t="s">
        <v>403</v>
      </c>
      <c r="H532" s="4"/>
      <c r="I532" s="4">
        <v>22</v>
      </c>
      <c r="J532" s="4">
        <v>1012</v>
      </c>
      <c r="K532" s="20"/>
      <c r="L532" s="20"/>
      <c r="M532" s="14" t="s">
        <v>68</v>
      </c>
    </row>
    <row r="533" spans="1:13" x14ac:dyDescent="0.25">
      <c r="A533" s="3">
        <v>45807</v>
      </c>
      <c r="B533" s="14" t="s">
        <v>393</v>
      </c>
      <c r="C533" s="14" t="s">
        <v>7</v>
      </c>
      <c r="D533" s="14" t="s">
        <v>115</v>
      </c>
      <c r="E533" s="14" t="s">
        <v>102</v>
      </c>
      <c r="F533" s="4">
        <v>360</v>
      </c>
      <c r="G533" s="4" t="s">
        <v>403</v>
      </c>
      <c r="H533" s="4">
        <v>0</v>
      </c>
      <c r="I533" s="4">
        <v>22</v>
      </c>
      <c r="J533" s="4">
        <v>132</v>
      </c>
      <c r="K533" s="20"/>
      <c r="L533" s="20"/>
      <c r="M533" s="14" t="s">
        <v>117</v>
      </c>
    </row>
    <row r="534" spans="1:13" x14ac:dyDescent="0.25">
      <c r="A534" s="3">
        <v>45807</v>
      </c>
      <c r="B534" s="14" t="s">
        <v>393</v>
      </c>
      <c r="C534" s="14" t="s">
        <v>7</v>
      </c>
      <c r="D534" s="14" t="s">
        <v>115</v>
      </c>
      <c r="E534" s="14" t="s">
        <v>102</v>
      </c>
      <c r="F534" s="4">
        <v>108</v>
      </c>
      <c r="G534" s="4" t="s">
        <v>403</v>
      </c>
      <c r="H534" s="4">
        <v>0</v>
      </c>
      <c r="I534" s="4">
        <v>22</v>
      </c>
      <c r="J534" s="4">
        <v>66</v>
      </c>
      <c r="K534" s="20"/>
      <c r="L534" s="20"/>
      <c r="M534" s="14" t="s">
        <v>119</v>
      </c>
    </row>
    <row r="535" spans="1:13" x14ac:dyDescent="0.25">
      <c r="A535" s="3">
        <v>45806</v>
      </c>
      <c r="B535" s="14" t="s">
        <v>393</v>
      </c>
      <c r="C535" s="14" t="s">
        <v>110</v>
      </c>
      <c r="D535" s="14" t="s">
        <v>111</v>
      </c>
      <c r="E535" s="14" t="s">
        <v>112</v>
      </c>
      <c r="F535" s="14">
        <v>1046</v>
      </c>
      <c r="G535" s="4" t="s">
        <v>403</v>
      </c>
      <c r="H535" s="4">
        <v>0</v>
      </c>
      <c r="I535" s="4">
        <v>22</v>
      </c>
      <c r="J535" s="4">
        <v>132</v>
      </c>
      <c r="K535" s="20"/>
      <c r="L535" s="20"/>
      <c r="M535" s="14" t="s">
        <v>114</v>
      </c>
    </row>
    <row r="536" spans="1:13" x14ac:dyDescent="0.25">
      <c r="A536" s="3">
        <v>45807</v>
      </c>
      <c r="B536" s="14" t="s">
        <v>393</v>
      </c>
      <c r="C536" s="14" t="s">
        <v>484</v>
      </c>
      <c r="D536" s="14" t="s">
        <v>120</v>
      </c>
      <c r="E536" s="14" t="s">
        <v>121</v>
      </c>
      <c r="F536" s="4">
        <v>900</v>
      </c>
      <c r="G536" s="4" t="s">
        <v>403</v>
      </c>
      <c r="H536" s="4">
        <v>72</v>
      </c>
      <c r="I536" s="4">
        <v>22</v>
      </c>
      <c r="J536" s="4">
        <v>198</v>
      </c>
      <c r="K536" s="20"/>
      <c r="L536" s="20"/>
      <c r="M536" s="14" t="s">
        <v>248</v>
      </c>
    </row>
    <row r="537" spans="1:13" x14ac:dyDescent="0.25">
      <c r="A537" s="3">
        <v>45803</v>
      </c>
      <c r="B537" s="14" t="s">
        <v>393</v>
      </c>
      <c r="C537" s="14" t="s">
        <v>110</v>
      </c>
      <c r="D537" s="14" t="s">
        <v>120</v>
      </c>
      <c r="E537" s="14" t="s">
        <v>122</v>
      </c>
      <c r="F537" s="4">
        <v>280</v>
      </c>
      <c r="G537" s="4" t="s">
        <v>403</v>
      </c>
      <c r="H537" s="4">
        <v>0</v>
      </c>
      <c r="I537" s="4">
        <v>22</v>
      </c>
      <c r="J537" s="4">
        <v>220</v>
      </c>
      <c r="K537" s="20"/>
      <c r="L537" s="20"/>
      <c r="M537" s="14" t="s">
        <v>249</v>
      </c>
    </row>
    <row r="538" spans="1:13" x14ac:dyDescent="0.25">
      <c r="A538" s="3">
        <v>45803</v>
      </c>
      <c r="B538" s="14" t="s">
        <v>393</v>
      </c>
      <c r="C538" s="14" t="s">
        <v>110</v>
      </c>
      <c r="D538" s="14" t="s">
        <v>120</v>
      </c>
      <c r="E538" s="14" t="s">
        <v>122</v>
      </c>
      <c r="F538" s="4">
        <v>540</v>
      </c>
      <c r="G538" s="4" t="s">
        <v>403</v>
      </c>
      <c r="H538" s="4">
        <v>0</v>
      </c>
      <c r="I538" s="4">
        <v>22</v>
      </c>
      <c r="J538" s="4">
        <v>330</v>
      </c>
      <c r="K538" s="20"/>
      <c r="L538" s="20"/>
      <c r="M538" s="14" t="s">
        <v>249</v>
      </c>
    </row>
    <row r="539" spans="1:13" x14ac:dyDescent="0.25">
      <c r="A539" s="3">
        <v>45803</v>
      </c>
      <c r="B539" s="14" t="s">
        <v>393</v>
      </c>
      <c r="C539" s="14" t="s">
        <v>110</v>
      </c>
      <c r="D539" s="14" t="s">
        <v>120</v>
      </c>
      <c r="E539" s="14" t="s">
        <v>122</v>
      </c>
      <c r="F539" s="4">
        <v>300</v>
      </c>
      <c r="G539" s="4" t="s">
        <v>403</v>
      </c>
      <c r="H539" s="4">
        <v>0</v>
      </c>
      <c r="I539" s="4">
        <v>22</v>
      </c>
      <c r="J539" s="4">
        <v>264</v>
      </c>
      <c r="K539" s="20"/>
      <c r="L539" s="20"/>
      <c r="M539" s="14" t="s">
        <v>249</v>
      </c>
    </row>
    <row r="540" spans="1:13" x14ac:dyDescent="0.25">
      <c r="A540" s="3">
        <v>45803</v>
      </c>
      <c r="B540" s="14" t="s">
        <v>393</v>
      </c>
      <c r="C540" s="14" t="s">
        <v>110</v>
      </c>
      <c r="D540" s="14" t="s">
        <v>120</v>
      </c>
      <c r="E540" s="14" t="s">
        <v>122</v>
      </c>
      <c r="F540" s="4">
        <v>540</v>
      </c>
      <c r="G540" s="4" t="s">
        <v>403</v>
      </c>
      <c r="H540" s="4">
        <v>0</v>
      </c>
      <c r="I540" s="4">
        <v>22</v>
      </c>
      <c r="J540" s="4">
        <v>396</v>
      </c>
      <c r="K540" s="20"/>
      <c r="L540" s="20"/>
      <c r="M540" s="14" t="s">
        <v>249</v>
      </c>
    </row>
  </sheetData>
  <autoFilter ref="A1:J540" xr:uid="{00000000-0009-0000-0000-000003000000}">
    <sortState xmlns:xlrd2="http://schemas.microsoft.com/office/spreadsheetml/2017/richdata2" ref="A2:J284">
      <sortCondition ref="G2:G284"/>
    </sortState>
  </autoFilter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8B63-78A8-45CE-91CD-FA567EE2EF9A}">
  <dimension ref="A1:M412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5.6" x14ac:dyDescent="0.25"/>
  <cols>
    <col min="1" max="1" width="10.59765625" style="84" customWidth="1"/>
    <col min="2" max="3" width="8.796875" style="82"/>
    <col min="4" max="4" width="17" style="82" customWidth="1"/>
    <col min="5" max="5" width="19.09765625" style="82" customWidth="1"/>
    <col min="6" max="6" width="8.796875" style="82"/>
    <col min="7" max="7" width="13.59765625" style="83" customWidth="1"/>
    <col min="8" max="10" width="8.796875" style="83"/>
    <col min="11" max="12" width="8.796875" style="82"/>
    <col min="13" max="13" width="21.09765625" style="82" customWidth="1"/>
    <col min="14" max="16384" width="8.796875" style="82"/>
  </cols>
  <sheetData>
    <row r="1" spans="1:13" ht="21" customHeight="1" x14ac:dyDescent="0.25">
      <c r="A1" s="107" t="s">
        <v>253</v>
      </c>
      <c r="B1" s="105" t="s">
        <v>334</v>
      </c>
      <c r="C1" s="105" t="s">
        <v>396</v>
      </c>
      <c r="D1" s="105" t="s">
        <v>254</v>
      </c>
      <c r="E1" s="105" t="s">
        <v>584</v>
      </c>
      <c r="F1" s="116" t="s">
        <v>256</v>
      </c>
      <c r="G1" s="105" t="s">
        <v>482</v>
      </c>
      <c r="H1" s="97" t="s">
        <v>260</v>
      </c>
      <c r="I1" s="97" t="s">
        <v>406</v>
      </c>
      <c r="J1" s="97" t="s">
        <v>333</v>
      </c>
      <c r="K1" s="105" t="s">
        <v>255</v>
      </c>
      <c r="L1" s="115" t="s">
        <v>257</v>
      </c>
      <c r="M1" s="105" t="s">
        <v>258</v>
      </c>
    </row>
    <row r="2" spans="1:13" ht="21" customHeight="1" x14ac:dyDescent="0.25">
      <c r="A2" s="90">
        <v>45805</v>
      </c>
      <c r="B2" s="87" t="s">
        <v>250</v>
      </c>
      <c r="C2" s="97" t="s">
        <v>489</v>
      </c>
      <c r="D2" s="89" t="s">
        <v>87</v>
      </c>
      <c r="E2" s="87" t="s">
        <v>98</v>
      </c>
      <c r="F2" s="87">
        <v>2900</v>
      </c>
      <c r="G2" s="88" t="s">
        <v>6</v>
      </c>
      <c r="H2" s="87">
        <v>2900</v>
      </c>
      <c r="I2" s="87">
        <v>0.29199999999999998</v>
      </c>
      <c r="J2" s="86">
        <v>846.8</v>
      </c>
      <c r="K2" s="85"/>
      <c r="L2" s="85"/>
      <c r="M2" s="85"/>
    </row>
    <row r="3" spans="1:13" ht="21" customHeight="1" x14ac:dyDescent="0.25">
      <c r="A3" s="107">
        <v>45787</v>
      </c>
      <c r="B3" s="106" t="s">
        <v>393</v>
      </c>
      <c r="C3" s="106" t="s">
        <v>489</v>
      </c>
      <c r="D3" s="106" t="s">
        <v>583</v>
      </c>
      <c r="E3" s="106" t="s">
        <v>172</v>
      </c>
      <c r="F3" s="104">
        <v>2860</v>
      </c>
      <c r="G3" s="105" t="s">
        <v>6</v>
      </c>
      <c r="H3" s="104">
        <v>2860</v>
      </c>
      <c r="I3" s="85">
        <v>3.4018000000000002</v>
      </c>
      <c r="J3" s="85">
        <f>H3*I3</f>
        <v>9729.148000000001</v>
      </c>
      <c r="K3" s="104">
        <v>3000</v>
      </c>
      <c r="L3" s="103">
        <f>F3/K3</f>
        <v>0.95333333333333337</v>
      </c>
      <c r="M3" s="102"/>
    </row>
    <row r="4" spans="1:13" ht="21" customHeight="1" x14ac:dyDescent="0.25">
      <c r="A4" s="107">
        <v>45785</v>
      </c>
      <c r="B4" s="106" t="s">
        <v>393</v>
      </c>
      <c r="C4" s="106" t="s">
        <v>485</v>
      </c>
      <c r="D4" s="106" t="s">
        <v>503</v>
      </c>
      <c r="E4" s="106" t="s">
        <v>582</v>
      </c>
      <c r="F4" s="104">
        <f>198+560</f>
        <v>758</v>
      </c>
      <c r="G4" s="105" t="s">
        <v>6</v>
      </c>
      <c r="H4" s="105">
        <v>758</v>
      </c>
      <c r="I4" s="85">
        <v>4.6017999999999999</v>
      </c>
      <c r="J4" s="85">
        <f>H4*I4</f>
        <v>3488.1644000000001</v>
      </c>
      <c r="K4" s="104">
        <v>1755</v>
      </c>
      <c r="L4" s="103">
        <f>F4/K4</f>
        <v>0.43190883190883189</v>
      </c>
      <c r="M4" s="102" t="s">
        <v>264</v>
      </c>
    </row>
    <row r="5" spans="1:13" ht="21" customHeight="1" x14ac:dyDescent="0.25">
      <c r="A5" s="107">
        <v>45794</v>
      </c>
      <c r="B5" s="106" t="s">
        <v>515</v>
      </c>
      <c r="C5" s="106" t="s">
        <v>489</v>
      </c>
      <c r="D5" s="106" t="s">
        <v>538</v>
      </c>
      <c r="E5" s="106" t="s">
        <v>372</v>
      </c>
      <c r="F5" s="104">
        <v>650</v>
      </c>
      <c r="G5" s="105" t="s">
        <v>262</v>
      </c>
      <c r="H5" s="105">
        <v>650</v>
      </c>
      <c r="I5" s="85">
        <v>1.6369</v>
      </c>
      <c r="J5" s="85">
        <f>H5*I5</f>
        <v>1063.9850000000001</v>
      </c>
      <c r="K5" s="104">
        <f>216+1728</f>
        <v>1944</v>
      </c>
      <c r="L5" s="103">
        <f>F5/K5</f>
        <v>0.33436213991769548</v>
      </c>
      <c r="M5" s="102" t="s">
        <v>261</v>
      </c>
    </row>
    <row r="6" spans="1:13" ht="21" customHeight="1" x14ac:dyDescent="0.25">
      <c r="A6" s="90">
        <v>45789</v>
      </c>
      <c r="B6" s="87" t="s">
        <v>250</v>
      </c>
      <c r="C6" s="87" t="s">
        <v>483</v>
      </c>
      <c r="D6" s="89" t="s">
        <v>11</v>
      </c>
      <c r="E6" s="101" t="s">
        <v>10</v>
      </c>
      <c r="F6" s="96">
        <v>491</v>
      </c>
      <c r="G6" s="88" t="s">
        <v>6</v>
      </c>
      <c r="H6" s="96">
        <v>491</v>
      </c>
      <c r="I6" s="87">
        <v>23.28</v>
      </c>
      <c r="J6" s="86">
        <v>11430.480000000001</v>
      </c>
      <c r="K6" s="85"/>
      <c r="L6" s="85"/>
      <c r="M6" s="85"/>
    </row>
    <row r="7" spans="1:13" ht="21" customHeight="1" x14ac:dyDescent="0.25">
      <c r="A7" s="107">
        <v>45791</v>
      </c>
      <c r="B7" s="106" t="s">
        <v>393</v>
      </c>
      <c r="C7" s="106" t="s">
        <v>485</v>
      </c>
      <c r="D7" s="106" t="s">
        <v>503</v>
      </c>
      <c r="E7" s="106" t="s">
        <v>382</v>
      </c>
      <c r="F7" s="104">
        <v>460</v>
      </c>
      <c r="G7" s="105" t="s">
        <v>6</v>
      </c>
      <c r="H7" s="105">
        <v>460</v>
      </c>
      <c r="I7" s="85">
        <v>4.6017999999999999</v>
      </c>
      <c r="J7" s="85">
        <f>H7*I7</f>
        <v>2116.828</v>
      </c>
      <c r="K7" s="104">
        <v>495</v>
      </c>
      <c r="L7" s="103">
        <f>F7/K7</f>
        <v>0.92929292929292928</v>
      </c>
      <c r="M7" s="102" t="s">
        <v>264</v>
      </c>
    </row>
    <row r="8" spans="1:13" ht="21" customHeight="1" x14ac:dyDescent="0.25">
      <c r="A8" s="107">
        <v>45783</v>
      </c>
      <c r="B8" s="106" t="s">
        <v>515</v>
      </c>
      <c r="C8" s="106" t="s">
        <v>489</v>
      </c>
      <c r="D8" s="106" t="s">
        <v>538</v>
      </c>
      <c r="E8" s="106" t="s">
        <v>17</v>
      </c>
      <c r="F8" s="104">
        <f>217+8+86</f>
        <v>311</v>
      </c>
      <c r="G8" s="105" t="s">
        <v>6</v>
      </c>
      <c r="H8" s="105">
        <v>311</v>
      </c>
      <c r="I8" s="85">
        <v>1.6369</v>
      </c>
      <c r="J8" s="85">
        <f>H8*I8</f>
        <v>509.07589999999999</v>
      </c>
      <c r="K8" s="104">
        <f>1296+864+1080</f>
        <v>3240</v>
      </c>
      <c r="L8" s="103">
        <f>F8/K8</f>
        <v>9.5987654320987659E-2</v>
      </c>
      <c r="M8" s="102" t="s">
        <v>528</v>
      </c>
    </row>
    <row r="9" spans="1:13" ht="21" customHeight="1" x14ac:dyDescent="0.25">
      <c r="A9" s="90">
        <v>45807</v>
      </c>
      <c r="B9" s="87" t="s">
        <v>250</v>
      </c>
      <c r="C9" s="87" t="s">
        <v>483</v>
      </c>
      <c r="D9" s="89" t="s">
        <v>11</v>
      </c>
      <c r="E9" s="87" t="s">
        <v>10</v>
      </c>
      <c r="F9" s="87">
        <v>280</v>
      </c>
      <c r="G9" s="88" t="s">
        <v>6</v>
      </c>
      <c r="H9" s="87">
        <v>280</v>
      </c>
      <c r="I9" s="87">
        <v>23.28</v>
      </c>
      <c r="J9" s="86">
        <v>6518.4000000000005</v>
      </c>
      <c r="K9" s="85"/>
      <c r="L9" s="85"/>
      <c r="M9" s="85"/>
    </row>
    <row r="10" spans="1:13" ht="21" customHeight="1" x14ac:dyDescent="0.25">
      <c r="A10" s="107">
        <v>45806</v>
      </c>
      <c r="B10" s="106" t="s">
        <v>393</v>
      </c>
      <c r="C10" s="106" t="s">
        <v>488</v>
      </c>
      <c r="D10" s="106" t="s">
        <v>339</v>
      </c>
      <c r="E10" s="106" t="s">
        <v>346</v>
      </c>
      <c r="F10" s="104">
        <f>143+123</f>
        <v>266</v>
      </c>
      <c r="G10" s="105" t="s">
        <v>6</v>
      </c>
      <c r="H10" s="105">
        <v>266</v>
      </c>
      <c r="I10" s="85">
        <v>0.4</v>
      </c>
      <c r="J10" s="85">
        <f>H10*I10</f>
        <v>106.4</v>
      </c>
      <c r="K10" s="104">
        <v>2352</v>
      </c>
      <c r="L10" s="103">
        <f>F10/K10</f>
        <v>0.1130952380952381</v>
      </c>
      <c r="M10" s="102" t="s">
        <v>574</v>
      </c>
    </row>
    <row r="11" spans="1:13" ht="21" customHeight="1" x14ac:dyDescent="0.25">
      <c r="A11" s="94">
        <v>45798</v>
      </c>
      <c r="B11" s="87" t="s">
        <v>250</v>
      </c>
      <c r="C11" s="94" t="s">
        <v>484</v>
      </c>
      <c r="D11" s="93" t="s">
        <v>244</v>
      </c>
      <c r="E11" s="92" t="s">
        <v>431</v>
      </c>
      <c r="F11" s="87">
        <v>250</v>
      </c>
      <c r="G11" s="87" t="s">
        <v>6</v>
      </c>
      <c r="H11" s="87">
        <v>250</v>
      </c>
      <c r="I11" s="99">
        <v>0.79290000000000005</v>
      </c>
      <c r="J11" s="86">
        <v>198.22500000000002</v>
      </c>
      <c r="K11" s="85"/>
      <c r="L11" s="85"/>
      <c r="M11" s="85"/>
    </row>
    <row r="12" spans="1:13" ht="21" customHeight="1" x14ac:dyDescent="0.25">
      <c r="A12" s="90">
        <v>45802</v>
      </c>
      <c r="B12" s="87" t="s">
        <v>250</v>
      </c>
      <c r="C12" s="87" t="s">
        <v>483</v>
      </c>
      <c r="D12" s="89" t="s">
        <v>11</v>
      </c>
      <c r="E12" s="87" t="s">
        <v>10</v>
      </c>
      <c r="F12" s="87">
        <v>244</v>
      </c>
      <c r="G12" s="88" t="s">
        <v>6</v>
      </c>
      <c r="H12" s="87">
        <v>244</v>
      </c>
      <c r="I12" s="87">
        <v>23.28</v>
      </c>
      <c r="J12" s="86">
        <v>5680.3200000000006</v>
      </c>
      <c r="K12" s="85"/>
      <c r="L12" s="85"/>
      <c r="M12" s="85"/>
    </row>
    <row r="13" spans="1:13" ht="21" customHeight="1" x14ac:dyDescent="0.25">
      <c r="A13" s="90">
        <v>45789</v>
      </c>
      <c r="B13" s="87" t="s">
        <v>250</v>
      </c>
      <c r="C13" s="87" t="s">
        <v>483</v>
      </c>
      <c r="D13" s="89" t="s">
        <v>24</v>
      </c>
      <c r="E13" s="101" t="s">
        <v>81</v>
      </c>
      <c r="F13" s="96">
        <v>244</v>
      </c>
      <c r="G13" s="88" t="s">
        <v>6</v>
      </c>
      <c r="H13" s="96">
        <v>244</v>
      </c>
      <c r="I13" s="87">
        <v>19.18</v>
      </c>
      <c r="J13" s="86">
        <v>4679.92</v>
      </c>
      <c r="K13" s="85"/>
      <c r="L13" s="85"/>
      <c r="M13" s="85"/>
    </row>
    <row r="14" spans="1:13" ht="21" customHeight="1" x14ac:dyDescent="0.25">
      <c r="A14" s="107">
        <v>45782</v>
      </c>
      <c r="B14" s="106" t="s">
        <v>393</v>
      </c>
      <c r="C14" s="106" t="s">
        <v>489</v>
      </c>
      <c r="D14" s="106" t="s">
        <v>559</v>
      </c>
      <c r="E14" s="101" t="s">
        <v>101</v>
      </c>
      <c r="F14" s="104">
        <v>202</v>
      </c>
      <c r="G14" s="105" t="s">
        <v>6</v>
      </c>
      <c r="H14" s="105">
        <f>F14</f>
        <v>202</v>
      </c>
      <c r="I14" s="87">
        <v>14.52</v>
      </c>
      <c r="J14" s="85">
        <f>H14*I14</f>
        <v>2933.04</v>
      </c>
      <c r="K14" s="104">
        <f>700+1650</f>
        <v>2350</v>
      </c>
      <c r="L14" s="103">
        <f>F14/K14</f>
        <v>8.595744680851064E-2</v>
      </c>
      <c r="M14" s="102" t="s">
        <v>290</v>
      </c>
    </row>
    <row r="15" spans="1:13" ht="21" customHeight="1" x14ac:dyDescent="0.25">
      <c r="A15" s="107">
        <v>45804</v>
      </c>
      <c r="B15" s="106" t="s">
        <v>515</v>
      </c>
      <c r="C15" s="106" t="s">
        <v>488</v>
      </c>
      <c r="D15" s="106" t="s">
        <v>342</v>
      </c>
      <c r="E15" s="106" t="s">
        <v>348</v>
      </c>
      <c r="F15" s="104">
        <v>195</v>
      </c>
      <c r="G15" s="105" t="s">
        <v>6</v>
      </c>
      <c r="H15" s="105">
        <v>195</v>
      </c>
      <c r="I15" s="85">
        <v>20</v>
      </c>
      <c r="J15" s="85">
        <f>H15*I15</f>
        <v>3900</v>
      </c>
      <c r="K15" s="104">
        <v>1152</v>
      </c>
      <c r="L15" s="103">
        <f>F15/K15</f>
        <v>0.16927083333333334</v>
      </c>
      <c r="M15" s="102" t="s">
        <v>317</v>
      </c>
    </row>
    <row r="16" spans="1:13" ht="21" customHeight="1" x14ac:dyDescent="0.25">
      <c r="A16" s="94">
        <v>45798</v>
      </c>
      <c r="B16" s="87" t="s">
        <v>250</v>
      </c>
      <c r="C16" s="94" t="s">
        <v>484</v>
      </c>
      <c r="D16" s="93" t="s">
        <v>242</v>
      </c>
      <c r="E16" s="92" t="s">
        <v>243</v>
      </c>
      <c r="F16" s="87">
        <v>190</v>
      </c>
      <c r="G16" s="87" t="s">
        <v>6</v>
      </c>
      <c r="H16" s="87">
        <v>190</v>
      </c>
      <c r="I16" s="99">
        <v>1.9469000000000001</v>
      </c>
      <c r="J16" s="86">
        <v>369.911</v>
      </c>
      <c r="K16" s="85"/>
      <c r="L16" s="85"/>
      <c r="M16" s="85"/>
    </row>
    <row r="17" spans="1:13" ht="21" customHeight="1" x14ac:dyDescent="0.25">
      <c r="A17" s="107">
        <v>45801</v>
      </c>
      <c r="B17" s="106" t="s">
        <v>515</v>
      </c>
      <c r="C17" s="106" t="s">
        <v>489</v>
      </c>
      <c r="D17" s="106" t="s">
        <v>538</v>
      </c>
      <c r="E17" s="106" t="s">
        <v>17</v>
      </c>
      <c r="F17" s="104">
        <f>45+129</f>
        <v>174</v>
      </c>
      <c r="G17" s="105" t="s">
        <v>262</v>
      </c>
      <c r="H17" s="105">
        <v>174</v>
      </c>
      <c r="I17" s="85">
        <v>1.6369</v>
      </c>
      <c r="J17" s="85">
        <f>H17*I17</f>
        <v>284.82060000000001</v>
      </c>
      <c r="K17" s="104">
        <f>216+2592+648</f>
        <v>3456</v>
      </c>
      <c r="L17" s="103">
        <f>F17/K17</f>
        <v>5.0347222222222224E-2</v>
      </c>
      <c r="M17" s="102" t="s">
        <v>261</v>
      </c>
    </row>
    <row r="18" spans="1:13" ht="21" customHeight="1" x14ac:dyDescent="0.25">
      <c r="A18" s="90">
        <v>45802</v>
      </c>
      <c r="B18" s="87" t="s">
        <v>250</v>
      </c>
      <c r="C18" s="87" t="s">
        <v>483</v>
      </c>
      <c r="D18" s="89" t="s">
        <v>79</v>
      </c>
      <c r="E18" s="87" t="s">
        <v>411</v>
      </c>
      <c r="F18" s="87">
        <v>174</v>
      </c>
      <c r="G18" s="88" t="s">
        <v>6</v>
      </c>
      <c r="H18" s="87">
        <v>174</v>
      </c>
      <c r="I18" s="87">
        <v>21.83</v>
      </c>
      <c r="J18" s="86">
        <v>3798.4199999999996</v>
      </c>
      <c r="K18" s="85"/>
      <c r="L18" s="85"/>
      <c r="M18" s="85"/>
    </row>
    <row r="19" spans="1:13" ht="21" customHeight="1" x14ac:dyDescent="0.25">
      <c r="A19" s="107">
        <v>45807</v>
      </c>
      <c r="B19" s="106" t="s">
        <v>393</v>
      </c>
      <c r="C19" s="106" t="s">
        <v>488</v>
      </c>
      <c r="D19" s="106" t="s">
        <v>339</v>
      </c>
      <c r="E19" s="106" t="s">
        <v>346</v>
      </c>
      <c r="F19" s="104">
        <f>50+112</f>
        <v>162</v>
      </c>
      <c r="G19" s="105" t="s">
        <v>6</v>
      </c>
      <c r="H19" s="105">
        <v>162</v>
      </c>
      <c r="I19" s="85">
        <v>0.4</v>
      </c>
      <c r="J19" s="85">
        <f>H19*I19</f>
        <v>64.8</v>
      </c>
      <c r="K19" s="104">
        <v>2016</v>
      </c>
      <c r="L19" s="103">
        <f>F19/K19</f>
        <v>8.0357142857142863E-2</v>
      </c>
      <c r="M19" s="102" t="s">
        <v>581</v>
      </c>
    </row>
    <row r="20" spans="1:13" ht="21" customHeight="1" x14ac:dyDescent="0.25">
      <c r="A20" s="107">
        <v>45795</v>
      </c>
      <c r="B20" s="106" t="s">
        <v>515</v>
      </c>
      <c r="C20" s="106" t="s">
        <v>485</v>
      </c>
      <c r="D20" s="106" t="s">
        <v>327</v>
      </c>
      <c r="E20" s="106" t="s">
        <v>516</v>
      </c>
      <c r="F20" s="104">
        <f>110+47</f>
        <v>157</v>
      </c>
      <c r="G20" s="105" t="s">
        <v>6</v>
      </c>
      <c r="H20" s="104">
        <f>110+47</f>
        <v>157</v>
      </c>
      <c r="I20" s="85">
        <v>10.037000000000001</v>
      </c>
      <c r="J20" s="85">
        <f>H20*I20</f>
        <v>1575.8090000000002</v>
      </c>
      <c r="K20" s="104">
        <v>2240</v>
      </c>
      <c r="L20" s="103">
        <f>F20/K20</f>
        <v>7.0089285714285715E-2</v>
      </c>
      <c r="M20" s="102" t="s">
        <v>533</v>
      </c>
    </row>
    <row r="21" spans="1:13" ht="21" customHeight="1" x14ac:dyDescent="0.25">
      <c r="A21" s="94">
        <v>45798</v>
      </c>
      <c r="B21" s="87" t="s">
        <v>250</v>
      </c>
      <c r="C21" s="94" t="s">
        <v>484</v>
      </c>
      <c r="D21" s="93" t="s">
        <v>240</v>
      </c>
      <c r="E21" s="92" t="s">
        <v>241</v>
      </c>
      <c r="F21" s="87">
        <v>150</v>
      </c>
      <c r="G21" s="87" t="s">
        <v>6</v>
      </c>
      <c r="H21" s="87">
        <v>150</v>
      </c>
      <c r="I21" s="99">
        <v>1.5133000000000001</v>
      </c>
      <c r="J21" s="86">
        <v>226.995</v>
      </c>
      <c r="K21" s="85"/>
      <c r="L21" s="85"/>
      <c r="M21" s="85"/>
    </row>
    <row r="22" spans="1:13" ht="21" customHeight="1" x14ac:dyDescent="0.25">
      <c r="A22" s="107">
        <v>45789</v>
      </c>
      <c r="B22" s="106" t="s">
        <v>393</v>
      </c>
      <c r="C22" s="106" t="s">
        <v>488</v>
      </c>
      <c r="D22" s="106" t="s">
        <v>343</v>
      </c>
      <c r="E22" s="106" t="s">
        <v>427</v>
      </c>
      <c r="F22" s="104">
        <f>110+39</f>
        <v>149</v>
      </c>
      <c r="G22" s="105" t="s">
        <v>6</v>
      </c>
      <c r="H22" s="105">
        <v>149</v>
      </c>
      <c r="I22" s="85">
        <v>8.5</v>
      </c>
      <c r="J22" s="85">
        <f>H22*I22</f>
        <v>1266.5</v>
      </c>
      <c r="K22" s="104">
        <v>654</v>
      </c>
      <c r="L22" s="103">
        <f>F22/K22</f>
        <v>0.22782874617737003</v>
      </c>
      <c r="M22" s="102" t="s">
        <v>278</v>
      </c>
    </row>
    <row r="23" spans="1:13" ht="21" customHeight="1" x14ac:dyDescent="0.25">
      <c r="A23" s="107">
        <v>45790</v>
      </c>
      <c r="B23" s="106" t="s">
        <v>393</v>
      </c>
      <c r="C23" s="106" t="s">
        <v>488</v>
      </c>
      <c r="D23" s="106" t="s">
        <v>343</v>
      </c>
      <c r="E23" s="106" t="s">
        <v>427</v>
      </c>
      <c r="F23" s="104">
        <f>110+39</f>
        <v>149</v>
      </c>
      <c r="G23" s="105" t="s">
        <v>6</v>
      </c>
      <c r="H23" s="105">
        <v>149</v>
      </c>
      <c r="I23" s="85">
        <v>8.5</v>
      </c>
      <c r="J23" s="85">
        <f>H23*I23</f>
        <v>1266.5</v>
      </c>
      <c r="K23" s="104">
        <v>654</v>
      </c>
      <c r="L23" s="103">
        <f>F23/K23</f>
        <v>0.22782874617737003</v>
      </c>
      <c r="M23" s="102" t="s">
        <v>278</v>
      </c>
    </row>
    <row r="24" spans="1:13" ht="21" customHeight="1" x14ac:dyDescent="0.25">
      <c r="A24" s="107">
        <v>45789</v>
      </c>
      <c r="B24" s="106" t="s">
        <v>320</v>
      </c>
      <c r="C24" s="106" t="s">
        <v>485</v>
      </c>
      <c r="D24" s="106" t="s">
        <v>493</v>
      </c>
      <c r="E24" s="106" t="s">
        <v>580</v>
      </c>
      <c r="F24" s="104">
        <f>4+136</f>
        <v>140</v>
      </c>
      <c r="G24" s="105" t="s">
        <v>6</v>
      </c>
      <c r="H24" s="105">
        <v>140</v>
      </c>
      <c r="I24" s="85">
        <v>15</v>
      </c>
      <c r="J24" s="85">
        <f>H24*I24</f>
        <v>2100</v>
      </c>
      <c r="K24" s="104">
        <v>384</v>
      </c>
      <c r="L24" s="103">
        <f>F24/K24</f>
        <v>0.36458333333333331</v>
      </c>
      <c r="M24" s="102"/>
    </row>
    <row r="25" spans="1:13" ht="21" customHeight="1" x14ac:dyDescent="0.25">
      <c r="A25" s="107">
        <v>45790</v>
      </c>
      <c r="B25" s="106" t="s">
        <v>320</v>
      </c>
      <c r="C25" s="106" t="s">
        <v>485</v>
      </c>
      <c r="D25" s="106" t="s">
        <v>493</v>
      </c>
      <c r="E25" s="106" t="s">
        <v>380</v>
      </c>
      <c r="F25" s="104">
        <f>4+136</f>
        <v>140</v>
      </c>
      <c r="G25" s="105" t="s">
        <v>6</v>
      </c>
      <c r="H25" s="105">
        <v>140</v>
      </c>
      <c r="I25" s="85">
        <v>15</v>
      </c>
      <c r="J25" s="85">
        <f>H25*I25</f>
        <v>2100</v>
      </c>
      <c r="K25" s="104">
        <v>384</v>
      </c>
      <c r="L25" s="103">
        <f>F25/K25</f>
        <v>0.36458333333333331</v>
      </c>
      <c r="M25" s="102"/>
    </row>
    <row r="26" spans="1:13" ht="21" customHeight="1" x14ac:dyDescent="0.25">
      <c r="A26" s="107">
        <v>45781</v>
      </c>
      <c r="B26" s="106" t="s">
        <v>515</v>
      </c>
      <c r="C26" s="106" t="s">
        <v>489</v>
      </c>
      <c r="D26" s="106" t="s">
        <v>538</v>
      </c>
      <c r="E26" s="106" t="s">
        <v>17</v>
      </c>
      <c r="F26" s="104">
        <v>130</v>
      </c>
      <c r="G26" s="105" t="s">
        <v>6</v>
      </c>
      <c r="H26" s="104">
        <v>130</v>
      </c>
      <c r="I26" s="85">
        <v>1.6369</v>
      </c>
      <c r="J26" s="85">
        <f>H26*I26</f>
        <v>212.797</v>
      </c>
      <c r="K26" s="104">
        <f>216+216</f>
        <v>432</v>
      </c>
      <c r="L26" s="103">
        <f>F26/K26</f>
        <v>0.30092592592592593</v>
      </c>
      <c r="M26" s="102" t="s">
        <v>528</v>
      </c>
    </row>
    <row r="27" spans="1:13" ht="21" customHeight="1" x14ac:dyDescent="0.25">
      <c r="A27" s="107">
        <v>45802</v>
      </c>
      <c r="B27" s="106" t="s">
        <v>393</v>
      </c>
      <c r="C27" s="106" t="s">
        <v>485</v>
      </c>
      <c r="D27" s="106" t="s">
        <v>493</v>
      </c>
      <c r="E27" s="106" t="s">
        <v>380</v>
      </c>
      <c r="F27" s="104">
        <f>116+4+7</f>
        <v>127</v>
      </c>
      <c r="G27" s="105" t="s">
        <v>6</v>
      </c>
      <c r="H27" s="105">
        <v>127</v>
      </c>
      <c r="I27" s="85">
        <v>15</v>
      </c>
      <c r="J27" s="85">
        <f>H27*I27</f>
        <v>1905</v>
      </c>
      <c r="K27" s="104">
        <f>240+416</f>
        <v>656</v>
      </c>
      <c r="L27" s="103">
        <f>F27/K27</f>
        <v>0.19359756097560976</v>
      </c>
      <c r="M27" s="102"/>
    </row>
    <row r="28" spans="1:13" ht="21" customHeight="1" x14ac:dyDescent="0.25">
      <c r="A28" s="107">
        <v>45803</v>
      </c>
      <c r="B28" s="106" t="s">
        <v>515</v>
      </c>
      <c r="C28" s="106" t="s">
        <v>489</v>
      </c>
      <c r="D28" s="106" t="s">
        <v>538</v>
      </c>
      <c r="E28" s="106" t="s">
        <v>17</v>
      </c>
      <c r="F28" s="104">
        <v>123</v>
      </c>
      <c r="G28" s="105" t="s">
        <v>262</v>
      </c>
      <c r="H28" s="105">
        <v>123</v>
      </c>
      <c r="I28" s="85">
        <v>1.6369</v>
      </c>
      <c r="J28" s="85">
        <f>H28*I28</f>
        <v>201.33869999999999</v>
      </c>
      <c r="K28" s="104">
        <v>1080</v>
      </c>
      <c r="L28" s="103">
        <f>F28/K28</f>
        <v>0.11388888888888889</v>
      </c>
      <c r="M28" s="102" t="s">
        <v>261</v>
      </c>
    </row>
    <row r="29" spans="1:13" ht="21" customHeight="1" x14ac:dyDescent="0.25">
      <c r="A29" s="107">
        <v>45794</v>
      </c>
      <c r="B29" s="106" t="s">
        <v>515</v>
      </c>
      <c r="C29" s="106" t="s">
        <v>488</v>
      </c>
      <c r="D29" s="106" t="s">
        <v>342</v>
      </c>
      <c r="E29" s="106" t="s">
        <v>348</v>
      </c>
      <c r="F29" s="104">
        <v>122</v>
      </c>
      <c r="G29" s="105" t="s">
        <v>6</v>
      </c>
      <c r="H29" s="105">
        <v>122</v>
      </c>
      <c r="I29" s="85">
        <v>20</v>
      </c>
      <c r="J29" s="85">
        <f>H29*I29</f>
        <v>2440</v>
      </c>
      <c r="K29" s="104">
        <v>1296</v>
      </c>
      <c r="L29" s="103">
        <f>F29/K29</f>
        <v>9.4135802469135804E-2</v>
      </c>
      <c r="M29" s="102" t="s">
        <v>317</v>
      </c>
    </row>
    <row r="30" spans="1:13" ht="21" customHeight="1" x14ac:dyDescent="0.25">
      <c r="A30" s="94">
        <v>45798</v>
      </c>
      <c r="B30" s="87" t="s">
        <v>250</v>
      </c>
      <c r="C30" s="94" t="s">
        <v>484</v>
      </c>
      <c r="D30" s="93" t="s">
        <v>235</v>
      </c>
      <c r="E30" s="92" t="s">
        <v>432</v>
      </c>
      <c r="F30" s="87">
        <v>122</v>
      </c>
      <c r="G30" s="87" t="s">
        <v>6</v>
      </c>
      <c r="H30" s="87">
        <v>122</v>
      </c>
      <c r="I30" s="99">
        <v>10.8584</v>
      </c>
      <c r="J30" s="86">
        <v>1324.7248</v>
      </c>
      <c r="K30" s="85"/>
      <c r="L30" s="85"/>
      <c r="M30" s="85"/>
    </row>
    <row r="31" spans="1:13" ht="21" customHeight="1" x14ac:dyDescent="0.25">
      <c r="A31" s="94">
        <v>45798</v>
      </c>
      <c r="B31" s="87" t="s">
        <v>250</v>
      </c>
      <c r="C31" s="94" t="s">
        <v>484</v>
      </c>
      <c r="D31" s="93" t="s">
        <v>247</v>
      </c>
      <c r="E31" s="92" t="s">
        <v>446</v>
      </c>
      <c r="F31" s="87">
        <v>122</v>
      </c>
      <c r="G31" s="87" t="s">
        <v>6</v>
      </c>
      <c r="H31" s="87">
        <v>122</v>
      </c>
      <c r="I31" s="99">
        <v>0.52580000000000005</v>
      </c>
      <c r="J31" s="86">
        <v>64.147600000000011</v>
      </c>
      <c r="K31" s="85"/>
      <c r="L31" s="85"/>
      <c r="M31" s="85"/>
    </row>
    <row r="32" spans="1:13" ht="21" customHeight="1" x14ac:dyDescent="0.25">
      <c r="A32" s="107">
        <v>45795</v>
      </c>
      <c r="B32" s="106" t="s">
        <v>393</v>
      </c>
      <c r="C32" s="106" t="s">
        <v>489</v>
      </c>
      <c r="D32" s="106" t="s">
        <v>509</v>
      </c>
      <c r="E32" s="106" t="s">
        <v>100</v>
      </c>
      <c r="F32" s="104">
        <v>121</v>
      </c>
      <c r="G32" s="105" t="s">
        <v>6</v>
      </c>
      <c r="H32" s="104">
        <v>121</v>
      </c>
      <c r="I32" s="85">
        <v>14.2</v>
      </c>
      <c r="J32" s="85">
        <f>H32*I32</f>
        <v>1718.1999999999998</v>
      </c>
      <c r="K32" s="104">
        <v>1792</v>
      </c>
      <c r="L32" s="103">
        <f>F32/K32</f>
        <v>6.7522321428571425E-2</v>
      </c>
      <c r="M32" s="102" t="s">
        <v>288</v>
      </c>
    </row>
    <row r="33" spans="1:13" ht="21" customHeight="1" x14ac:dyDescent="0.25">
      <c r="A33" s="107">
        <v>45786</v>
      </c>
      <c r="B33" s="106" t="s">
        <v>515</v>
      </c>
      <c r="C33" s="106" t="s">
        <v>488</v>
      </c>
      <c r="D33" s="106" t="s">
        <v>338</v>
      </c>
      <c r="E33" s="106" t="s">
        <v>345</v>
      </c>
      <c r="F33" s="104">
        <v>116</v>
      </c>
      <c r="G33" s="105" t="s">
        <v>6</v>
      </c>
      <c r="H33" s="105">
        <v>116</v>
      </c>
      <c r="I33" s="85">
        <v>23</v>
      </c>
      <c r="J33" s="85">
        <f>H33*I33</f>
        <v>2668</v>
      </c>
      <c r="K33" s="104">
        <v>1872</v>
      </c>
      <c r="L33" s="103">
        <f>F33/K33</f>
        <v>6.1965811965811968E-2</v>
      </c>
      <c r="M33" s="102" t="s">
        <v>527</v>
      </c>
    </row>
    <row r="34" spans="1:13" ht="21" customHeight="1" x14ac:dyDescent="0.25">
      <c r="A34" s="108" t="s">
        <v>337</v>
      </c>
      <c r="B34" s="87" t="s">
        <v>250</v>
      </c>
      <c r="C34" s="87" t="s">
        <v>488</v>
      </c>
      <c r="D34" s="89" t="s">
        <v>429</v>
      </c>
      <c r="E34" s="87" t="s">
        <v>430</v>
      </c>
      <c r="F34" s="87">
        <v>114</v>
      </c>
      <c r="G34" s="88" t="s">
        <v>6</v>
      </c>
      <c r="H34" s="87">
        <v>114</v>
      </c>
      <c r="I34" s="87">
        <v>58.9133</v>
      </c>
      <c r="J34" s="86">
        <v>6716.1162000000004</v>
      </c>
      <c r="K34" s="85"/>
      <c r="L34" s="85"/>
      <c r="M34" s="85"/>
    </row>
    <row r="35" spans="1:13" ht="21" customHeight="1" x14ac:dyDescent="0.25">
      <c r="A35" s="90">
        <v>45791</v>
      </c>
      <c r="B35" s="87" t="s">
        <v>250</v>
      </c>
      <c r="C35" s="87" t="s">
        <v>483</v>
      </c>
      <c r="D35" s="89" t="s">
        <v>11</v>
      </c>
      <c r="E35" s="101" t="s">
        <v>10</v>
      </c>
      <c r="F35" s="87">
        <v>109</v>
      </c>
      <c r="G35" s="87" t="s">
        <v>6</v>
      </c>
      <c r="H35" s="87">
        <v>109</v>
      </c>
      <c r="I35" s="87">
        <v>23.28</v>
      </c>
      <c r="J35" s="86">
        <v>2537.52</v>
      </c>
      <c r="K35" s="85"/>
      <c r="L35" s="85"/>
      <c r="M35" s="85"/>
    </row>
    <row r="36" spans="1:13" ht="21" customHeight="1" x14ac:dyDescent="0.25">
      <c r="A36" s="107">
        <v>45787</v>
      </c>
      <c r="B36" s="106" t="s">
        <v>515</v>
      </c>
      <c r="C36" s="106" t="s">
        <v>488</v>
      </c>
      <c r="D36" s="106" t="s">
        <v>342</v>
      </c>
      <c r="E36" s="106" t="s">
        <v>348</v>
      </c>
      <c r="F36" s="104">
        <v>108</v>
      </c>
      <c r="G36" s="105" t="s">
        <v>6</v>
      </c>
      <c r="H36" s="104">
        <v>108</v>
      </c>
      <c r="I36" s="85">
        <v>20</v>
      </c>
      <c r="J36" s="85">
        <f>H36*I36</f>
        <v>2160</v>
      </c>
      <c r="K36" s="104">
        <v>2016</v>
      </c>
      <c r="L36" s="103">
        <f>F36/K36</f>
        <v>5.3571428571428568E-2</v>
      </c>
      <c r="M36" s="102" t="s">
        <v>317</v>
      </c>
    </row>
    <row r="37" spans="1:13" ht="21" customHeight="1" x14ac:dyDescent="0.25">
      <c r="A37" s="94">
        <v>45798</v>
      </c>
      <c r="B37" s="87" t="s">
        <v>250</v>
      </c>
      <c r="C37" s="94" t="s">
        <v>484</v>
      </c>
      <c r="D37" s="93" t="s">
        <v>245</v>
      </c>
      <c r="E37" s="92" t="s">
        <v>246</v>
      </c>
      <c r="F37" s="87">
        <v>105</v>
      </c>
      <c r="G37" s="87" t="s">
        <v>6</v>
      </c>
      <c r="H37" s="87">
        <v>105</v>
      </c>
      <c r="I37" s="99">
        <v>0.54310000000000003</v>
      </c>
      <c r="J37" s="86">
        <v>57.025500000000001</v>
      </c>
      <c r="K37" s="85"/>
      <c r="L37" s="85"/>
      <c r="M37" s="85"/>
    </row>
    <row r="38" spans="1:13" ht="21" customHeight="1" x14ac:dyDescent="0.25">
      <c r="A38" s="107">
        <v>45802</v>
      </c>
      <c r="B38" s="106" t="s">
        <v>515</v>
      </c>
      <c r="C38" s="106" t="s">
        <v>489</v>
      </c>
      <c r="D38" s="106" t="s">
        <v>538</v>
      </c>
      <c r="E38" s="106" t="s">
        <v>17</v>
      </c>
      <c r="F38" s="104">
        <v>104</v>
      </c>
      <c r="G38" s="105" t="s">
        <v>262</v>
      </c>
      <c r="H38" s="105">
        <v>104</v>
      </c>
      <c r="I38" s="85">
        <v>1.6369</v>
      </c>
      <c r="J38" s="85">
        <f>H38*I38</f>
        <v>170.23760000000001</v>
      </c>
      <c r="K38" s="104">
        <f>2160+1080</f>
        <v>3240</v>
      </c>
      <c r="L38" s="103">
        <f>F38/K38</f>
        <v>3.2098765432098768E-2</v>
      </c>
      <c r="M38" s="102" t="s">
        <v>261</v>
      </c>
    </row>
    <row r="39" spans="1:13" ht="21" customHeight="1" x14ac:dyDescent="0.25">
      <c r="A39" s="107">
        <v>45793</v>
      </c>
      <c r="B39" s="106" t="s">
        <v>515</v>
      </c>
      <c r="C39" s="106" t="s">
        <v>488</v>
      </c>
      <c r="D39" s="106" t="s">
        <v>342</v>
      </c>
      <c r="E39" s="106" t="s">
        <v>348</v>
      </c>
      <c r="F39" s="104">
        <v>100</v>
      </c>
      <c r="G39" s="105" t="s">
        <v>6</v>
      </c>
      <c r="H39" s="105">
        <v>100</v>
      </c>
      <c r="I39" s="85">
        <v>20</v>
      </c>
      <c r="J39" s="85">
        <f>H39*I39</f>
        <v>2000</v>
      </c>
      <c r="K39" s="104">
        <v>2160</v>
      </c>
      <c r="L39" s="103">
        <f>F39/K39</f>
        <v>4.6296296296296294E-2</v>
      </c>
      <c r="M39" s="102" t="s">
        <v>317</v>
      </c>
    </row>
    <row r="40" spans="1:13" ht="21" customHeight="1" x14ac:dyDescent="0.25">
      <c r="A40" s="90">
        <v>45807</v>
      </c>
      <c r="B40" s="87" t="s">
        <v>250</v>
      </c>
      <c r="C40" s="87" t="s">
        <v>485</v>
      </c>
      <c r="D40" s="89" t="s">
        <v>579</v>
      </c>
      <c r="E40" s="87" t="s">
        <v>566</v>
      </c>
      <c r="F40" s="87">
        <v>98</v>
      </c>
      <c r="G40" s="87" t="s">
        <v>6</v>
      </c>
      <c r="H40" s="87">
        <v>98</v>
      </c>
      <c r="I40" s="100">
        <v>2.3513999999999999</v>
      </c>
      <c r="J40" s="86">
        <v>230.43719999999999</v>
      </c>
      <c r="K40" s="85"/>
      <c r="L40" s="85"/>
      <c r="M40" s="85"/>
    </row>
    <row r="41" spans="1:13" ht="21" customHeight="1" x14ac:dyDescent="0.25">
      <c r="A41" s="108" t="s">
        <v>337</v>
      </c>
      <c r="B41" s="87" t="s">
        <v>250</v>
      </c>
      <c r="C41" s="87" t="s">
        <v>488</v>
      </c>
      <c r="D41" s="89" t="s">
        <v>339</v>
      </c>
      <c r="E41" s="87" t="s">
        <v>346</v>
      </c>
      <c r="F41" s="87">
        <v>98</v>
      </c>
      <c r="G41" s="88" t="s">
        <v>6</v>
      </c>
      <c r="H41" s="87">
        <v>98</v>
      </c>
      <c r="I41" s="85">
        <v>3.6122000000000001</v>
      </c>
      <c r="J41" s="86">
        <v>353.99560000000002</v>
      </c>
      <c r="K41" s="85"/>
      <c r="L41" s="85"/>
      <c r="M41" s="85"/>
    </row>
    <row r="42" spans="1:13" ht="21" customHeight="1" x14ac:dyDescent="0.25">
      <c r="A42" s="108" t="s">
        <v>337</v>
      </c>
      <c r="B42" s="87" t="s">
        <v>250</v>
      </c>
      <c r="C42" s="87" t="s">
        <v>488</v>
      </c>
      <c r="D42" s="89" t="s">
        <v>343</v>
      </c>
      <c r="E42" s="87" t="s">
        <v>427</v>
      </c>
      <c r="F42" s="87">
        <v>98</v>
      </c>
      <c r="G42" s="87" t="s">
        <v>6</v>
      </c>
      <c r="H42" s="87">
        <v>98</v>
      </c>
      <c r="I42" s="87">
        <v>47.699399999999997</v>
      </c>
      <c r="J42" s="86">
        <v>4674.5411999999997</v>
      </c>
      <c r="K42" s="85"/>
      <c r="L42" s="85"/>
      <c r="M42" s="85"/>
    </row>
    <row r="43" spans="1:13" ht="21" customHeight="1" x14ac:dyDescent="0.25">
      <c r="A43" s="107">
        <v>45785</v>
      </c>
      <c r="B43" s="106" t="s">
        <v>393</v>
      </c>
      <c r="C43" s="106" t="s">
        <v>488</v>
      </c>
      <c r="D43" s="106" t="s">
        <v>343</v>
      </c>
      <c r="E43" s="106" t="s">
        <v>427</v>
      </c>
      <c r="F43" s="104">
        <f>76+20</f>
        <v>96</v>
      </c>
      <c r="G43" s="105" t="s">
        <v>6</v>
      </c>
      <c r="H43" s="105">
        <v>96</v>
      </c>
      <c r="I43" s="85">
        <v>8.5</v>
      </c>
      <c r="J43" s="85">
        <f>H43*I43</f>
        <v>816</v>
      </c>
      <c r="K43" s="104">
        <v>1120</v>
      </c>
      <c r="L43" s="103">
        <f>F43/K43</f>
        <v>8.5714285714285715E-2</v>
      </c>
      <c r="M43" s="102" t="s">
        <v>278</v>
      </c>
    </row>
    <row r="44" spans="1:13" ht="21" customHeight="1" x14ac:dyDescent="0.25">
      <c r="A44" s="94">
        <v>45790</v>
      </c>
      <c r="B44" s="87" t="s">
        <v>250</v>
      </c>
      <c r="C44" s="94" t="s">
        <v>486</v>
      </c>
      <c r="D44" s="93" t="s">
        <v>213</v>
      </c>
      <c r="E44" s="92" t="s">
        <v>214</v>
      </c>
      <c r="F44" s="87">
        <v>90</v>
      </c>
      <c r="G44" s="87" t="s">
        <v>6</v>
      </c>
      <c r="H44" s="87">
        <v>90</v>
      </c>
      <c r="I44" s="91">
        <v>0.53</v>
      </c>
      <c r="J44" s="86">
        <v>47.7</v>
      </c>
      <c r="K44" s="85"/>
      <c r="L44" s="85"/>
      <c r="M44" s="85"/>
    </row>
    <row r="45" spans="1:13" ht="21" customHeight="1" x14ac:dyDescent="0.25">
      <c r="A45" s="107">
        <v>45798</v>
      </c>
      <c r="B45" s="106" t="s">
        <v>515</v>
      </c>
      <c r="C45" s="106" t="s">
        <v>485</v>
      </c>
      <c r="D45" s="106" t="s">
        <v>327</v>
      </c>
      <c r="E45" s="106" t="s">
        <v>360</v>
      </c>
      <c r="F45" s="104">
        <v>89</v>
      </c>
      <c r="G45" s="105" t="s">
        <v>6</v>
      </c>
      <c r="H45" s="105">
        <v>89</v>
      </c>
      <c r="I45" s="85">
        <v>10.037000000000001</v>
      </c>
      <c r="J45" s="85">
        <f>H45*I45</f>
        <v>893.29300000000012</v>
      </c>
      <c r="K45" s="104">
        <v>2880</v>
      </c>
      <c r="L45" s="103">
        <f>F45/K45</f>
        <v>3.0902777777777779E-2</v>
      </c>
      <c r="M45" s="102" t="s">
        <v>533</v>
      </c>
    </row>
    <row r="46" spans="1:13" ht="21" customHeight="1" x14ac:dyDescent="0.25">
      <c r="A46" s="107">
        <v>45797</v>
      </c>
      <c r="B46" s="106" t="s">
        <v>515</v>
      </c>
      <c r="C46" s="106" t="s">
        <v>488</v>
      </c>
      <c r="D46" s="106" t="s">
        <v>342</v>
      </c>
      <c r="E46" s="106" t="s">
        <v>348</v>
      </c>
      <c r="F46" s="104">
        <v>88</v>
      </c>
      <c r="G46" s="105" t="s">
        <v>6</v>
      </c>
      <c r="H46" s="105">
        <v>88</v>
      </c>
      <c r="I46" s="85">
        <v>20</v>
      </c>
      <c r="J46" s="85">
        <f>H46*I46</f>
        <v>1760</v>
      </c>
      <c r="K46" s="104">
        <v>2160</v>
      </c>
      <c r="L46" s="103">
        <f>F46/K46</f>
        <v>4.0740740740740744E-2</v>
      </c>
      <c r="M46" s="102" t="s">
        <v>317</v>
      </c>
    </row>
    <row r="47" spans="1:13" ht="21" customHeight="1" x14ac:dyDescent="0.25">
      <c r="A47" s="90">
        <v>45807</v>
      </c>
      <c r="B47" s="87" t="s">
        <v>250</v>
      </c>
      <c r="C47" s="87" t="s">
        <v>485</v>
      </c>
      <c r="D47" s="89" t="s">
        <v>542</v>
      </c>
      <c r="E47" s="87" t="s">
        <v>562</v>
      </c>
      <c r="F47" s="87">
        <v>88</v>
      </c>
      <c r="G47" s="87" t="s">
        <v>6</v>
      </c>
      <c r="H47" s="87">
        <v>88</v>
      </c>
      <c r="I47" s="100">
        <v>7.9405999999999999</v>
      </c>
      <c r="J47" s="86">
        <v>698.77279999999996</v>
      </c>
      <c r="K47" s="85"/>
      <c r="L47" s="85"/>
      <c r="M47" s="85"/>
    </row>
    <row r="48" spans="1:13" ht="21" customHeight="1" x14ac:dyDescent="0.25">
      <c r="A48" s="94">
        <v>45798</v>
      </c>
      <c r="B48" s="87" t="s">
        <v>250</v>
      </c>
      <c r="C48" s="94" t="s">
        <v>484</v>
      </c>
      <c r="D48" s="93" t="s">
        <v>233</v>
      </c>
      <c r="E48" s="92" t="s">
        <v>234</v>
      </c>
      <c r="F48" s="87">
        <v>87</v>
      </c>
      <c r="G48" s="87" t="s">
        <v>6</v>
      </c>
      <c r="H48" s="87">
        <v>87</v>
      </c>
      <c r="I48" s="99">
        <v>1.25</v>
      </c>
      <c r="J48" s="86">
        <v>108.75</v>
      </c>
      <c r="K48" s="85"/>
      <c r="L48" s="85"/>
      <c r="M48" s="85"/>
    </row>
    <row r="49" spans="1:13" ht="21" customHeight="1" x14ac:dyDescent="0.25">
      <c r="A49" s="94">
        <v>45798</v>
      </c>
      <c r="B49" s="87" t="s">
        <v>250</v>
      </c>
      <c r="C49" s="94" t="s">
        <v>484</v>
      </c>
      <c r="D49" s="93" t="s">
        <v>237</v>
      </c>
      <c r="E49" s="92" t="s">
        <v>238</v>
      </c>
      <c r="F49" s="87">
        <v>86</v>
      </c>
      <c r="G49" s="87" t="s">
        <v>6</v>
      </c>
      <c r="H49" s="87">
        <v>86</v>
      </c>
      <c r="I49" s="99">
        <v>2.7757999999999998</v>
      </c>
      <c r="J49" s="86">
        <v>238.71879999999999</v>
      </c>
      <c r="K49" s="85"/>
      <c r="L49" s="85"/>
      <c r="M49" s="85"/>
    </row>
    <row r="50" spans="1:13" ht="21" customHeight="1" x14ac:dyDescent="0.25">
      <c r="A50" s="94">
        <v>45798</v>
      </c>
      <c r="B50" s="87" t="s">
        <v>250</v>
      </c>
      <c r="C50" s="94" t="s">
        <v>484</v>
      </c>
      <c r="D50" s="93" t="s">
        <v>239</v>
      </c>
      <c r="E50" s="92" t="s">
        <v>433</v>
      </c>
      <c r="F50" s="87">
        <v>83</v>
      </c>
      <c r="G50" s="87" t="s">
        <v>6</v>
      </c>
      <c r="H50" s="87">
        <v>83</v>
      </c>
      <c r="I50" s="99">
        <v>1.7414000000000001</v>
      </c>
      <c r="J50" s="86">
        <v>144.53620000000001</v>
      </c>
      <c r="K50" s="85"/>
      <c r="L50" s="85"/>
      <c r="M50" s="85"/>
    </row>
    <row r="51" spans="1:13" ht="21" customHeight="1" x14ac:dyDescent="0.25">
      <c r="A51" s="90">
        <v>45789</v>
      </c>
      <c r="B51" s="87" t="s">
        <v>250</v>
      </c>
      <c r="C51" s="87" t="s">
        <v>489</v>
      </c>
      <c r="D51" s="89" t="s">
        <v>36</v>
      </c>
      <c r="E51" s="87" t="s">
        <v>371</v>
      </c>
      <c r="F51" s="96">
        <v>82</v>
      </c>
      <c r="G51" s="88" t="s">
        <v>6</v>
      </c>
      <c r="H51" s="96">
        <v>82</v>
      </c>
      <c r="I51" s="87">
        <v>16.991</v>
      </c>
      <c r="J51" s="86">
        <v>1393.2619999999999</v>
      </c>
      <c r="K51" s="85"/>
      <c r="L51" s="85"/>
      <c r="M51" s="85"/>
    </row>
    <row r="52" spans="1:13" ht="21" customHeight="1" x14ac:dyDescent="0.25">
      <c r="A52" s="107">
        <v>45797</v>
      </c>
      <c r="B52" s="106" t="s">
        <v>515</v>
      </c>
      <c r="C52" s="106" t="s">
        <v>489</v>
      </c>
      <c r="D52" s="106" t="s">
        <v>362</v>
      </c>
      <c r="E52" s="106" t="s">
        <v>97</v>
      </c>
      <c r="F52" s="104">
        <v>80</v>
      </c>
      <c r="G52" s="105" t="s">
        <v>6</v>
      </c>
      <c r="H52" s="105">
        <v>80</v>
      </c>
      <c r="I52" s="85">
        <v>2.1960000000000002</v>
      </c>
      <c r="J52" s="85">
        <f>H52*I52</f>
        <v>175.68</v>
      </c>
      <c r="K52" s="104">
        <v>4600</v>
      </c>
      <c r="L52" s="103">
        <f>F52/K52</f>
        <v>1.7391304347826087E-2</v>
      </c>
      <c r="M52" s="102"/>
    </row>
    <row r="53" spans="1:13" ht="21" customHeight="1" x14ac:dyDescent="0.25">
      <c r="A53" s="107">
        <v>45799</v>
      </c>
      <c r="B53" s="106" t="s">
        <v>515</v>
      </c>
      <c r="C53" s="106" t="s">
        <v>488</v>
      </c>
      <c r="D53" s="106" t="s">
        <v>338</v>
      </c>
      <c r="E53" s="106" t="s">
        <v>350</v>
      </c>
      <c r="F53" s="104">
        <v>80</v>
      </c>
      <c r="G53" s="105" t="s">
        <v>6</v>
      </c>
      <c r="H53" s="105">
        <v>80</v>
      </c>
      <c r="I53" s="85">
        <v>23</v>
      </c>
      <c r="J53" s="85">
        <f>H53*I53</f>
        <v>1840</v>
      </c>
      <c r="K53" s="104">
        <v>1872</v>
      </c>
      <c r="L53" s="103">
        <f>F53/K53</f>
        <v>4.2735042735042736E-2</v>
      </c>
      <c r="M53" s="102" t="s">
        <v>527</v>
      </c>
    </row>
    <row r="54" spans="1:13" ht="21" customHeight="1" x14ac:dyDescent="0.25">
      <c r="A54" s="107">
        <v>45782</v>
      </c>
      <c r="B54" s="106" t="s">
        <v>515</v>
      </c>
      <c r="C54" s="106" t="s">
        <v>488</v>
      </c>
      <c r="D54" s="106" t="s">
        <v>342</v>
      </c>
      <c r="E54" s="106" t="s">
        <v>348</v>
      </c>
      <c r="F54" s="104">
        <v>80</v>
      </c>
      <c r="G54" s="105" t="s">
        <v>262</v>
      </c>
      <c r="H54" s="105">
        <f>F54</f>
        <v>80</v>
      </c>
      <c r="I54" s="85">
        <v>20</v>
      </c>
      <c r="J54" s="85">
        <f>H54*I54</f>
        <v>1600</v>
      </c>
      <c r="K54" s="104">
        <v>2160</v>
      </c>
      <c r="L54" s="103">
        <f>F54/K54</f>
        <v>3.7037037037037035E-2</v>
      </c>
      <c r="M54" s="102" t="s">
        <v>261</v>
      </c>
    </row>
    <row r="55" spans="1:13" ht="21" customHeight="1" x14ac:dyDescent="0.25">
      <c r="A55" s="98">
        <v>45799</v>
      </c>
      <c r="B55" s="87" t="s">
        <v>250</v>
      </c>
      <c r="C55" s="97" t="s">
        <v>489</v>
      </c>
      <c r="D55" s="89" t="s">
        <v>60</v>
      </c>
      <c r="E55" s="87" t="s">
        <v>15</v>
      </c>
      <c r="F55" s="87">
        <v>78</v>
      </c>
      <c r="G55" s="88" t="s">
        <v>6</v>
      </c>
      <c r="H55" s="87">
        <v>78</v>
      </c>
      <c r="I55" s="87">
        <v>16.991</v>
      </c>
      <c r="J55" s="86">
        <v>1325.298</v>
      </c>
      <c r="K55" s="85"/>
      <c r="L55" s="85"/>
      <c r="M55" s="85"/>
    </row>
    <row r="56" spans="1:13" ht="21" customHeight="1" x14ac:dyDescent="0.25">
      <c r="A56" s="107">
        <v>45806</v>
      </c>
      <c r="B56" s="106" t="s">
        <v>515</v>
      </c>
      <c r="C56" s="106" t="s">
        <v>488</v>
      </c>
      <c r="D56" s="106" t="s">
        <v>342</v>
      </c>
      <c r="E56" s="106" t="s">
        <v>348</v>
      </c>
      <c r="F56" s="104">
        <v>77</v>
      </c>
      <c r="G56" s="105" t="s">
        <v>6</v>
      </c>
      <c r="H56" s="105">
        <v>77</v>
      </c>
      <c r="I56" s="85">
        <v>20</v>
      </c>
      <c r="J56" s="85">
        <f>H56*I56</f>
        <v>1540</v>
      </c>
      <c r="K56" s="104">
        <v>1584</v>
      </c>
      <c r="L56" s="103">
        <f>F56/K56</f>
        <v>4.8611111111111112E-2</v>
      </c>
      <c r="M56" s="102" t="s">
        <v>317</v>
      </c>
    </row>
    <row r="57" spans="1:13" ht="21" customHeight="1" x14ac:dyDescent="0.25">
      <c r="A57" s="94">
        <v>45790</v>
      </c>
      <c r="B57" s="87" t="s">
        <v>250</v>
      </c>
      <c r="C57" s="94" t="s">
        <v>486</v>
      </c>
      <c r="D57" s="93" t="s">
        <v>187</v>
      </c>
      <c r="E57" s="92" t="s">
        <v>188</v>
      </c>
      <c r="F57" s="87">
        <v>73</v>
      </c>
      <c r="G57" s="87" t="s">
        <v>6</v>
      </c>
      <c r="H57" s="87">
        <v>73</v>
      </c>
      <c r="I57" s="91">
        <v>27.2667</v>
      </c>
      <c r="J57" s="86">
        <v>1990.4691</v>
      </c>
      <c r="K57" s="85"/>
      <c r="L57" s="85"/>
      <c r="M57" s="85"/>
    </row>
    <row r="58" spans="1:13" ht="21" customHeight="1" x14ac:dyDescent="0.25">
      <c r="A58" s="107">
        <v>45804</v>
      </c>
      <c r="B58" s="106" t="s">
        <v>515</v>
      </c>
      <c r="C58" s="106" t="s">
        <v>485</v>
      </c>
      <c r="D58" s="106" t="s">
        <v>327</v>
      </c>
      <c r="E58" s="106" t="s">
        <v>360</v>
      </c>
      <c r="F58" s="104">
        <v>72</v>
      </c>
      <c r="G58" s="105" t="s">
        <v>6</v>
      </c>
      <c r="H58" s="105">
        <v>72</v>
      </c>
      <c r="I58" s="85">
        <v>10.037000000000001</v>
      </c>
      <c r="J58" s="85">
        <f>H58*I58</f>
        <v>722.6640000000001</v>
      </c>
      <c r="K58" s="104">
        <f>3200+896</f>
        <v>4096</v>
      </c>
      <c r="L58" s="103">
        <f>F58/K58</f>
        <v>1.7578125E-2</v>
      </c>
      <c r="M58" s="102" t="s">
        <v>533</v>
      </c>
    </row>
    <row r="59" spans="1:13" ht="21" customHeight="1" x14ac:dyDescent="0.25">
      <c r="A59" s="94">
        <v>45796</v>
      </c>
      <c r="B59" s="87" t="s">
        <v>250</v>
      </c>
      <c r="C59" s="94" t="s">
        <v>486</v>
      </c>
      <c r="D59" s="93" t="s">
        <v>187</v>
      </c>
      <c r="E59" s="92" t="s">
        <v>188</v>
      </c>
      <c r="F59" s="87">
        <v>72</v>
      </c>
      <c r="G59" s="87" t="s">
        <v>6</v>
      </c>
      <c r="H59" s="87">
        <v>72</v>
      </c>
      <c r="I59" s="99">
        <v>27.2667</v>
      </c>
      <c r="J59" s="86">
        <v>1963.2024000000001</v>
      </c>
      <c r="K59" s="85"/>
      <c r="L59" s="85"/>
      <c r="M59" s="85"/>
    </row>
    <row r="60" spans="1:13" ht="21" customHeight="1" x14ac:dyDescent="0.25">
      <c r="A60" s="98">
        <v>45807</v>
      </c>
      <c r="B60" s="87" t="s">
        <v>250</v>
      </c>
      <c r="C60" s="97" t="s">
        <v>484</v>
      </c>
      <c r="D60" s="114" t="s">
        <v>120</v>
      </c>
      <c r="E60" s="92" t="s">
        <v>238</v>
      </c>
      <c r="F60" s="97">
        <v>72</v>
      </c>
      <c r="G60" s="87" t="s">
        <v>6</v>
      </c>
      <c r="H60" s="97">
        <v>72</v>
      </c>
      <c r="I60" s="99">
        <v>2.7757999999999998</v>
      </c>
      <c r="J60" s="86">
        <v>199.85759999999999</v>
      </c>
      <c r="K60" s="85"/>
      <c r="L60" s="85"/>
      <c r="M60" s="85"/>
    </row>
    <row r="61" spans="1:13" ht="21" customHeight="1" x14ac:dyDescent="0.25">
      <c r="A61" s="98">
        <v>45807</v>
      </c>
      <c r="B61" s="97" t="s">
        <v>393</v>
      </c>
      <c r="C61" s="97" t="s">
        <v>484</v>
      </c>
      <c r="D61" s="97" t="s">
        <v>120</v>
      </c>
      <c r="E61" s="97" t="s">
        <v>121</v>
      </c>
      <c r="F61" s="97">
        <v>900</v>
      </c>
      <c r="G61" s="97" t="s">
        <v>578</v>
      </c>
      <c r="H61" s="97">
        <v>72</v>
      </c>
      <c r="I61" s="97">
        <v>22</v>
      </c>
      <c r="J61" s="97">
        <v>198</v>
      </c>
      <c r="K61" s="85"/>
      <c r="L61" s="85"/>
      <c r="M61" s="97" t="s">
        <v>248</v>
      </c>
    </row>
    <row r="62" spans="1:13" ht="21" customHeight="1" x14ac:dyDescent="0.25">
      <c r="A62" s="107">
        <v>45792</v>
      </c>
      <c r="B62" s="106" t="s">
        <v>393</v>
      </c>
      <c r="C62" s="106" t="s">
        <v>485</v>
      </c>
      <c r="D62" s="106" t="s">
        <v>547</v>
      </c>
      <c r="E62" s="106" t="s">
        <v>577</v>
      </c>
      <c r="F62" s="104">
        <v>71</v>
      </c>
      <c r="G62" s="105" t="s">
        <v>262</v>
      </c>
      <c r="H62" s="105">
        <v>71</v>
      </c>
      <c r="I62" s="85">
        <v>3.6282999999999999</v>
      </c>
      <c r="J62" s="85">
        <f>H62*I62</f>
        <v>257.60929999999996</v>
      </c>
      <c r="K62" s="104">
        <v>1020</v>
      </c>
      <c r="L62" s="103">
        <f>F62/K62</f>
        <v>6.9607843137254904E-2</v>
      </c>
      <c r="M62" s="102" t="s">
        <v>264</v>
      </c>
    </row>
    <row r="63" spans="1:13" ht="21" customHeight="1" x14ac:dyDescent="0.25">
      <c r="A63" s="108" t="s">
        <v>337</v>
      </c>
      <c r="B63" s="87" t="s">
        <v>250</v>
      </c>
      <c r="C63" s="87" t="s">
        <v>488</v>
      </c>
      <c r="D63" s="89" t="s">
        <v>341</v>
      </c>
      <c r="E63" s="87" t="s">
        <v>428</v>
      </c>
      <c r="F63" s="87">
        <v>71</v>
      </c>
      <c r="G63" s="88" t="s">
        <v>6</v>
      </c>
      <c r="H63" s="87">
        <v>71</v>
      </c>
      <c r="I63" s="113">
        <v>11.75112</v>
      </c>
      <c r="J63" s="86">
        <v>834.32952</v>
      </c>
      <c r="K63" s="85"/>
      <c r="L63" s="85"/>
      <c r="M63" s="85"/>
    </row>
    <row r="64" spans="1:13" ht="21" customHeight="1" x14ac:dyDescent="0.25">
      <c r="A64" s="107">
        <v>45788</v>
      </c>
      <c r="B64" s="106" t="s">
        <v>515</v>
      </c>
      <c r="C64" s="106" t="s">
        <v>488</v>
      </c>
      <c r="D64" s="106" t="s">
        <v>342</v>
      </c>
      <c r="E64" s="106" t="s">
        <v>348</v>
      </c>
      <c r="F64" s="104">
        <v>70</v>
      </c>
      <c r="G64" s="105" t="s">
        <v>6</v>
      </c>
      <c r="H64" s="105">
        <v>70</v>
      </c>
      <c r="I64" s="85">
        <v>20</v>
      </c>
      <c r="J64" s="85">
        <f>H64*I64</f>
        <v>1400</v>
      </c>
      <c r="K64" s="104">
        <v>1584</v>
      </c>
      <c r="L64" s="103">
        <f>F64/K64</f>
        <v>4.4191919191919192E-2</v>
      </c>
      <c r="M64" s="102" t="s">
        <v>317</v>
      </c>
    </row>
    <row r="65" spans="1:13" ht="21" customHeight="1" x14ac:dyDescent="0.25">
      <c r="A65" s="94">
        <v>45795</v>
      </c>
      <c r="B65" s="87" t="s">
        <v>250</v>
      </c>
      <c r="C65" s="94" t="s">
        <v>486</v>
      </c>
      <c r="D65" s="93" t="s">
        <v>189</v>
      </c>
      <c r="E65" s="92" t="s">
        <v>190</v>
      </c>
      <c r="F65" s="87">
        <v>70</v>
      </c>
      <c r="G65" s="87" t="s">
        <v>6</v>
      </c>
      <c r="H65" s="87">
        <v>70</v>
      </c>
      <c r="I65" s="91">
        <v>84.9983</v>
      </c>
      <c r="J65" s="86">
        <v>5949.8810000000003</v>
      </c>
      <c r="K65" s="85"/>
      <c r="L65" s="85"/>
      <c r="M65" s="85"/>
    </row>
    <row r="66" spans="1:13" ht="21" customHeight="1" x14ac:dyDescent="0.25">
      <c r="A66" s="107">
        <v>45785</v>
      </c>
      <c r="B66" s="106" t="s">
        <v>515</v>
      </c>
      <c r="C66" s="106" t="s">
        <v>485</v>
      </c>
      <c r="D66" s="106" t="s">
        <v>327</v>
      </c>
      <c r="E66" s="106" t="s">
        <v>360</v>
      </c>
      <c r="F66" s="104">
        <f>11+58</f>
        <v>69</v>
      </c>
      <c r="G66" s="105" t="s">
        <v>6</v>
      </c>
      <c r="H66" s="105">
        <v>69</v>
      </c>
      <c r="I66" s="85">
        <v>10.037000000000001</v>
      </c>
      <c r="J66" s="85">
        <f>H66*I66</f>
        <v>692.55300000000011</v>
      </c>
      <c r="K66" s="104">
        <v>1264</v>
      </c>
      <c r="L66" s="103">
        <f>F66/K66</f>
        <v>5.4588607594936708E-2</v>
      </c>
      <c r="M66" s="102" t="s">
        <v>528</v>
      </c>
    </row>
    <row r="67" spans="1:13" ht="21" customHeight="1" x14ac:dyDescent="0.25">
      <c r="A67" s="107">
        <v>45797</v>
      </c>
      <c r="B67" s="106" t="s">
        <v>515</v>
      </c>
      <c r="C67" s="106" t="s">
        <v>485</v>
      </c>
      <c r="D67" s="106" t="s">
        <v>327</v>
      </c>
      <c r="E67" s="106" t="s">
        <v>360</v>
      </c>
      <c r="F67" s="104">
        <v>69</v>
      </c>
      <c r="G67" s="105" t="s">
        <v>6</v>
      </c>
      <c r="H67" s="105">
        <v>69</v>
      </c>
      <c r="I67" s="85">
        <v>10.037000000000001</v>
      </c>
      <c r="J67" s="85">
        <f>H67*I67</f>
        <v>692.55300000000011</v>
      </c>
      <c r="K67" s="104">
        <v>320</v>
      </c>
      <c r="L67" s="103">
        <f>F67/K67</f>
        <v>0.21562500000000001</v>
      </c>
      <c r="M67" s="102" t="s">
        <v>533</v>
      </c>
    </row>
    <row r="68" spans="1:13" ht="21" customHeight="1" x14ac:dyDescent="0.25">
      <c r="A68" s="107">
        <v>45793</v>
      </c>
      <c r="B68" s="106" t="s">
        <v>393</v>
      </c>
      <c r="C68" s="106" t="s">
        <v>485</v>
      </c>
      <c r="D68" s="106" t="s">
        <v>503</v>
      </c>
      <c r="E68" s="106" t="s">
        <v>382</v>
      </c>
      <c r="F68" s="104">
        <v>68</v>
      </c>
      <c r="G68" s="105" t="s">
        <v>6</v>
      </c>
      <c r="H68" s="105">
        <v>68</v>
      </c>
      <c r="I68" s="85">
        <v>4.6017999999999999</v>
      </c>
      <c r="J68" s="85">
        <f>H68*I68</f>
        <v>312.92239999999998</v>
      </c>
      <c r="K68" s="104">
        <v>1290</v>
      </c>
      <c r="L68" s="103">
        <f>F68/K68</f>
        <v>5.2713178294573643E-2</v>
      </c>
      <c r="M68" s="102" t="s">
        <v>264</v>
      </c>
    </row>
    <row r="69" spans="1:13" ht="21" customHeight="1" x14ac:dyDescent="0.25">
      <c r="A69" s="107">
        <v>45803</v>
      </c>
      <c r="B69" s="106" t="s">
        <v>320</v>
      </c>
      <c r="C69" s="106" t="s">
        <v>488</v>
      </c>
      <c r="D69" s="106" t="s">
        <v>340</v>
      </c>
      <c r="E69" s="106" t="s">
        <v>347</v>
      </c>
      <c r="F69" s="104">
        <v>68</v>
      </c>
      <c r="G69" s="105" t="s">
        <v>6</v>
      </c>
      <c r="H69" s="105">
        <v>68</v>
      </c>
      <c r="I69" s="85">
        <v>0.5</v>
      </c>
      <c r="J69" s="85">
        <f>H69*I69</f>
        <v>34</v>
      </c>
      <c r="K69" s="104">
        <v>3024</v>
      </c>
      <c r="L69" s="103">
        <f>F69/K69</f>
        <v>2.2486772486772486E-2</v>
      </c>
      <c r="M69" s="102" t="s">
        <v>499</v>
      </c>
    </row>
    <row r="70" spans="1:13" ht="21" customHeight="1" x14ac:dyDescent="0.25">
      <c r="A70" s="90">
        <v>45805</v>
      </c>
      <c r="B70" s="87" t="s">
        <v>250</v>
      </c>
      <c r="C70" s="97" t="s">
        <v>489</v>
      </c>
      <c r="D70" s="89" t="s">
        <v>60</v>
      </c>
      <c r="E70" s="87" t="s">
        <v>15</v>
      </c>
      <c r="F70" s="87">
        <v>68</v>
      </c>
      <c r="G70" s="88" t="s">
        <v>6</v>
      </c>
      <c r="H70" s="87">
        <v>68</v>
      </c>
      <c r="I70" s="87">
        <v>16.991</v>
      </c>
      <c r="J70" s="86">
        <v>1155.3879999999999</v>
      </c>
      <c r="K70" s="85"/>
      <c r="L70" s="85"/>
      <c r="M70" s="85"/>
    </row>
    <row r="71" spans="1:13" ht="21" customHeight="1" x14ac:dyDescent="0.25">
      <c r="A71" s="107">
        <v>45804</v>
      </c>
      <c r="B71" s="106" t="s">
        <v>393</v>
      </c>
      <c r="C71" s="106" t="s">
        <v>488</v>
      </c>
      <c r="D71" s="106" t="s">
        <v>429</v>
      </c>
      <c r="E71" s="106" t="s">
        <v>345</v>
      </c>
      <c r="F71" s="104">
        <f>32+35</f>
        <v>67</v>
      </c>
      <c r="G71" s="105" t="s">
        <v>6</v>
      </c>
      <c r="H71" s="105">
        <v>67</v>
      </c>
      <c r="I71" s="85">
        <v>10</v>
      </c>
      <c r="J71" s="85">
        <f>H71*I71</f>
        <v>670</v>
      </c>
      <c r="K71" s="104">
        <v>1456</v>
      </c>
      <c r="L71" s="103">
        <f>F71/K71</f>
        <v>4.601648351648352E-2</v>
      </c>
      <c r="M71" s="102" t="s">
        <v>500</v>
      </c>
    </row>
    <row r="72" spans="1:13" ht="21" customHeight="1" x14ac:dyDescent="0.25">
      <c r="A72" s="107">
        <v>45795</v>
      </c>
      <c r="B72" s="106" t="s">
        <v>515</v>
      </c>
      <c r="C72" s="106" t="s">
        <v>488</v>
      </c>
      <c r="D72" s="106" t="s">
        <v>338</v>
      </c>
      <c r="E72" s="106" t="s">
        <v>345</v>
      </c>
      <c r="F72" s="104">
        <v>66</v>
      </c>
      <c r="G72" s="105" t="s">
        <v>6</v>
      </c>
      <c r="H72" s="104">
        <v>66</v>
      </c>
      <c r="I72" s="85">
        <v>23</v>
      </c>
      <c r="J72" s="85">
        <f>H72*I72</f>
        <v>1518</v>
      </c>
      <c r="K72" s="104">
        <v>1296</v>
      </c>
      <c r="L72" s="103">
        <f>F72/K72</f>
        <v>5.0925925925925923E-2</v>
      </c>
      <c r="M72" s="102" t="s">
        <v>527</v>
      </c>
    </row>
    <row r="73" spans="1:13" ht="21" customHeight="1" x14ac:dyDescent="0.25">
      <c r="A73" s="107">
        <v>45791</v>
      </c>
      <c r="B73" s="106" t="s">
        <v>393</v>
      </c>
      <c r="C73" s="106" t="s">
        <v>485</v>
      </c>
      <c r="D73" s="106" t="s">
        <v>547</v>
      </c>
      <c r="E73" s="106" t="s">
        <v>383</v>
      </c>
      <c r="F73" s="104">
        <v>64</v>
      </c>
      <c r="G73" s="105" t="s">
        <v>262</v>
      </c>
      <c r="H73" s="105">
        <v>64</v>
      </c>
      <c r="I73" s="85">
        <v>3.6282999999999999</v>
      </c>
      <c r="J73" s="85">
        <f>H73*I73</f>
        <v>232.21119999999999</v>
      </c>
      <c r="K73" s="104">
        <v>1200</v>
      </c>
      <c r="L73" s="103">
        <f>F73/K73</f>
        <v>5.3333333333333337E-2</v>
      </c>
      <c r="M73" s="102" t="s">
        <v>264</v>
      </c>
    </row>
    <row r="74" spans="1:13" ht="21" customHeight="1" x14ac:dyDescent="0.25">
      <c r="A74" s="107">
        <v>45796</v>
      </c>
      <c r="B74" s="106" t="s">
        <v>515</v>
      </c>
      <c r="C74" s="106" t="s">
        <v>488</v>
      </c>
      <c r="D74" s="106" t="s">
        <v>342</v>
      </c>
      <c r="E74" s="106" t="s">
        <v>348</v>
      </c>
      <c r="F74" s="104">
        <v>64</v>
      </c>
      <c r="G74" s="105" t="s">
        <v>6</v>
      </c>
      <c r="H74" s="105">
        <v>64</v>
      </c>
      <c r="I74" s="85">
        <v>20</v>
      </c>
      <c r="J74" s="85">
        <f>H74*I74</f>
        <v>1280</v>
      </c>
      <c r="K74" s="104">
        <v>1152</v>
      </c>
      <c r="L74" s="103">
        <f>F74/K74</f>
        <v>5.5555555555555552E-2</v>
      </c>
      <c r="M74" s="102" t="s">
        <v>317</v>
      </c>
    </row>
    <row r="75" spans="1:13" ht="21" customHeight="1" x14ac:dyDescent="0.25">
      <c r="A75" s="107">
        <v>45796</v>
      </c>
      <c r="B75" s="106" t="s">
        <v>393</v>
      </c>
      <c r="C75" s="106" t="s">
        <v>489</v>
      </c>
      <c r="D75" s="106" t="s">
        <v>115</v>
      </c>
      <c r="E75" s="106" t="s">
        <v>479</v>
      </c>
      <c r="F75" s="104">
        <v>60</v>
      </c>
      <c r="G75" s="105" t="s">
        <v>6</v>
      </c>
      <c r="H75" s="105">
        <v>60</v>
      </c>
      <c r="I75" s="87">
        <v>8.5</v>
      </c>
      <c r="J75" s="85">
        <f>H75*I75</f>
        <v>510</v>
      </c>
      <c r="K75" s="104">
        <v>2592</v>
      </c>
      <c r="L75" s="103">
        <f>F75/K75</f>
        <v>2.3148148148148147E-2</v>
      </c>
      <c r="M75" s="102" t="s">
        <v>510</v>
      </c>
    </row>
    <row r="76" spans="1:13" ht="21" customHeight="1" x14ac:dyDescent="0.25">
      <c r="A76" s="107">
        <v>45787</v>
      </c>
      <c r="B76" s="106" t="s">
        <v>393</v>
      </c>
      <c r="C76" s="106" t="s">
        <v>488</v>
      </c>
      <c r="D76" s="106" t="s">
        <v>343</v>
      </c>
      <c r="E76" s="106" t="s">
        <v>427</v>
      </c>
      <c r="F76" s="104">
        <v>60</v>
      </c>
      <c r="G76" s="105" t="s">
        <v>6</v>
      </c>
      <c r="H76" s="104">
        <v>60</v>
      </c>
      <c r="I76" s="85">
        <v>8.5</v>
      </c>
      <c r="J76" s="85">
        <f>H76*I76</f>
        <v>510</v>
      </c>
      <c r="K76" s="104">
        <v>224</v>
      </c>
      <c r="L76" s="103">
        <f>F76/K76</f>
        <v>0.26785714285714285</v>
      </c>
      <c r="M76" s="102" t="s">
        <v>278</v>
      </c>
    </row>
    <row r="77" spans="1:13" ht="21" customHeight="1" x14ac:dyDescent="0.25">
      <c r="A77" s="90">
        <v>45791</v>
      </c>
      <c r="B77" s="87" t="s">
        <v>250</v>
      </c>
      <c r="C77" s="87" t="s">
        <v>485</v>
      </c>
      <c r="D77" s="89" t="s">
        <v>567</v>
      </c>
      <c r="E77" s="87" t="s">
        <v>575</v>
      </c>
      <c r="F77" s="87">
        <v>58</v>
      </c>
      <c r="G77" s="87" t="s">
        <v>6</v>
      </c>
      <c r="H77" s="87">
        <v>58</v>
      </c>
      <c r="I77" s="100">
        <v>2.3513999999999999</v>
      </c>
      <c r="J77" s="86">
        <v>136.38120000000001</v>
      </c>
      <c r="K77" s="85"/>
      <c r="L77" s="85"/>
      <c r="M77" s="85"/>
    </row>
    <row r="78" spans="1:13" ht="21" customHeight="1" x14ac:dyDescent="0.25">
      <c r="A78" s="107">
        <v>45781</v>
      </c>
      <c r="B78" s="106" t="s">
        <v>515</v>
      </c>
      <c r="C78" s="106" t="s">
        <v>488</v>
      </c>
      <c r="D78" s="106" t="s">
        <v>342</v>
      </c>
      <c r="E78" s="106" t="s">
        <v>348</v>
      </c>
      <c r="F78" s="104">
        <v>57</v>
      </c>
      <c r="G78" s="105" t="s">
        <v>6</v>
      </c>
      <c r="H78" s="104">
        <v>57</v>
      </c>
      <c r="I78" s="85">
        <v>20</v>
      </c>
      <c r="J78" s="85">
        <f>H78*I78</f>
        <v>1140</v>
      </c>
      <c r="K78" s="104">
        <v>1736</v>
      </c>
      <c r="L78" s="103">
        <f>F78/K78</f>
        <v>3.2834101382488476E-2</v>
      </c>
      <c r="M78" s="102" t="s">
        <v>528</v>
      </c>
    </row>
    <row r="79" spans="1:13" ht="21" customHeight="1" x14ac:dyDescent="0.25">
      <c r="A79" s="107">
        <v>45788</v>
      </c>
      <c r="B79" s="106" t="s">
        <v>515</v>
      </c>
      <c r="C79" s="106" t="s">
        <v>485</v>
      </c>
      <c r="D79" s="106" t="s">
        <v>327</v>
      </c>
      <c r="E79" s="106" t="s">
        <v>360</v>
      </c>
      <c r="F79" s="104">
        <v>56</v>
      </c>
      <c r="G79" s="105" t="s">
        <v>6</v>
      </c>
      <c r="H79" s="104">
        <v>56</v>
      </c>
      <c r="I79" s="85">
        <v>10.037000000000001</v>
      </c>
      <c r="J79" s="85">
        <f>H79*I79</f>
        <v>562.072</v>
      </c>
      <c r="K79" s="104">
        <v>2160</v>
      </c>
      <c r="L79" s="103">
        <f>F79/K79</f>
        <v>2.5925925925925925E-2</v>
      </c>
      <c r="M79" s="102" t="s">
        <v>528</v>
      </c>
    </row>
    <row r="80" spans="1:13" ht="21" customHeight="1" x14ac:dyDescent="0.25">
      <c r="A80" s="107">
        <v>45806</v>
      </c>
      <c r="B80" s="106" t="s">
        <v>393</v>
      </c>
      <c r="C80" s="106" t="s">
        <v>485</v>
      </c>
      <c r="D80" s="106" t="s">
        <v>547</v>
      </c>
      <c r="E80" s="106" t="s">
        <v>383</v>
      </c>
      <c r="F80" s="104">
        <v>56</v>
      </c>
      <c r="G80" s="105" t="s">
        <v>6</v>
      </c>
      <c r="H80" s="105">
        <v>56</v>
      </c>
      <c r="I80" s="85">
        <v>3.6282999999999999</v>
      </c>
      <c r="J80" s="85">
        <f>H80*I80</f>
        <v>203.1848</v>
      </c>
      <c r="K80" s="104">
        <v>1080</v>
      </c>
      <c r="L80" s="103">
        <f>F80/K80</f>
        <v>5.185185185185185E-2</v>
      </c>
      <c r="M80" s="102" t="s">
        <v>264</v>
      </c>
    </row>
    <row r="81" spans="1:13" ht="21" customHeight="1" x14ac:dyDescent="0.25">
      <c r="A81" s="107">
        <v>45793</v>
      </c>
      <c r="B81" s="106" t="s">
        <v>515</v>
      </c>
      <c r="C81" s="106" t="s">
        <v>485</v>
      </c>
      <c r="D81" s="106" t="s">
        <v>327</v>
      </c>
      <c r="E81" s="106" t="s">
        <v>360</v>
      </c>
      <c r="F81" s="104">
        <v>55</v>
      </c>
      <c r="G81" s="105" t="s">
        <v>6</v>
      </c>
      <c r="H81" s="105">
        <v>55</v>
      </c>
      <c r="I81" s="85">
        <v>10.037000000000001</v>
      </c>
      <c r="J81" s="85">
        <f>H81*I81</f>
        <v>552.03500000000008</v>
      </c>
      <c r="K81" s="104">
        <v>960</v>
      </c>
      <c r="L81" s="103">
        <f>F81/K81</f>
        <v>5.7291666666666664E-2</v>
      </c>
      <c r="M81" s="102" t="s">
        <v>528</v>
      </c>
    </row>
    <row r="82" spans="1:13" ht="21" customHeight="1" x14ac:dyDescent="0.25">
      <c r="A82" s="107">
        <v>45783</v>
      </c>
      <c r="B82" s="106" t="s">
        <v>515</v>
      </c>
      <c r="C82" s="106" t="s">
        <v>488</v>
      </c>
      <c r="D82" s="106" t="s">
        <v>342</v>
      </c>
      <c r="E82" s="106" t="s">
        <v>348</v>
      </c>
      <c r="F82" s="104">
        <v>55</v>
      </c>
      <c r="G82" s="105" t="s">
        <v>262</v>
      </c>
      <c r="H82" s="104">
        <v>55</v>
      </c>
      <c r="I82" s="85">
        <v>20</v>
      </c>
      <c r="J82" s="85">
        <f>H82*I82</f>
        <v>1100</v>
      </c>
      <c r="K82" s="104">
        <v>1008</v>
      </c>
      <c r="L82" s="103">
        <f>F82/K82</f>
        <v>5.4563492063492064E-2</v>
      </c>
      <c r="M82" s="102" t="s">
        <v>261</v>
      </c>
    </row>
    <row r="83" spans="1:13" ht="21" customHeight="1" x14ac:dyDescent="0.25">
      <c r="A83" s="94">
        <v>45798</v>
      </c>
      <c r="B83" s="87" t="s">
        <v>250</v>
      </c>
      <c r="C83" s="94" t="s">
        <v>484</v>
      </c>
      <c r="D83" s="93" t="s">
        <v>236</v>
      </c>
      <c r="E83" s="92" t="s">
        <v>418</v>
      </c>
      <c r="F83" s="87">
        <v>55</v>
      </c>
      <c r="G83" s="87" t="s">
        <v>6</v>
      </c>
      <c r="H83" s="87">
        <v>55</v>
      </c>
      <c r="I83" s="99">
        <v>2.6991000000000001</v>
      </c>
      <c r="J83" s="86">
        <v>148.45050000000001</v>
      </c>
      <c r="K83" s="85"/>
      <c r="L83" s="85"/>
      <c r="M83" s="85"/>
    </row>
    <row r="84" spans="1:13" ht="21" customHeight="1" x14ac:dyDescent="0.25">
      <c r="A84" s="90">
        <v>45792</v>
      </c>
      <c r="B84" s="87" t="s">
        <v>250</v>
      </c>
      <c r="C84" s="87" t="s">
        <v>489</v>
      </c>
      <c r="D84" s="89" t="s">
        <v>60</v>
      </c>
      <c r="E84" s="87" t="s">
        <v>15</v>
      </c>
      <c r="F84" s="87">
        <v>54</v>
      </c>
      <c r="G84" s="88" t="s">
        <v>6</v>
      </c>
      <c r="H84" s="87">
        <v>54</v>
      </c>
      <c r="I84" s="87">
        <v>16.991</v>
      </c>
      <c r="J84" s="86">
        <v>917.51400000000001</v>
      </c>
      <c r="K84" s="85"/>
      <c r="L84" s="85"/>
      <c r="M84" s="85"/>
    </row>
    <row r="85" spans="1:13" ht="21" customHeight="1" x14ac:dyDescent="0.25">
      <c r="A85" s="107">
        <v>45782</v>
      </c>
      <c r="B85" s="106" t="s">
        <v>515</v>
      </c>
      <c r="C85" s="106" t="s">
        <v>485</v>
      </c>
      <c r="D85" s="106" t="s">
        <v>327</v>
      </c>
      <c r="E85" s="106" t="s">
        <v>360</v>
      </c>
      <c r="F85" s="104">
        <f>18+35</f>
        <v>53</v>
      </c>
      <c r="G85" s="105" t="s">
        <v>6</v>
      </c>
      <c r="H85" s="105">
        <f>F85</f>
        <v>53</v>
      </c>
      <c r="I85" s="85">
        <v>10.037000000000001</v>
      </c>
      <c r="J85" s="85">
        <f>H85*I85</f>
        <v>531.96100000000001</v>
      </c>
      <c r="K85" s="104">
        <v>760</v>
      </c>
      <c r="L85" s="103">
        <f>F85/K85</f>
        <v>6.9736842105263153E-2</v>
      </c>
      <c r="M85" s="102" t="s">
        <v>528</v>
      </c>
    </row>
    <row r="86" spans="1:13" ht="21" customHeight="1" x14ac:dyDescent="0.25">
      <c r="A86" s="90">
        <v>45795</v>
      </c>
      <c r="B86" s="87" t="s">
        <v>250</v>
      </c>
      <c r="C86" s="87" t="s">
        <v>489</v>
      </c>
      <c r="D86" s="89" t="s">
        <v>62</v>
      </c>
      <c r="E86" s="87" t="s">
        <v>13</v>
      </c>
      <c r="F86" s="87">
        <v>53</v>
      </c>
      <c r="G86" s="88" t="s">
        <v>6</v>
      </c>
      <c r="H86" s="87">
        <v>53</v>
      </c>
      <c r="I86" s="87">
        <v>19.204000000000001</v>
      </c>
      <c r="J86" s="86">
        <v>1017.812</v>
      </c>
      <c r="K86" s="85"/>
      <c r="L86" s="85"/>
      <c r="M86" s="85"/>
    </row>
    <row r="87" spans="1:13" ht="21" customHeight="1" x14ac:dyDescent="0.25">
      <c r="A87" s="107">
        <v>45801</v>
      </c>
      <c r="B87" s="106" t="s">
        <v>393</v>
      </c>
      <c r="C87" s="106" t="s">
        <v>485</v>
      </c>
      <c r="D87" s="106" t="s">
        <v>493</v>
      </c>
      <c r="E87" s="106" t="s">
        <v>380</v>
      </c>
      <c r="F87" s="104">
        <f>44+8</f>
        <v>52</v>
      </c>
      <c r="G87" s="105" t="s">
        <v>6</v>
      </c>
      <c r="H87" s="105">
        <v>52</v>
      </c>
      <c r="I87" s="85">
        <v>15</v>
      </c>
      <c r="J87" s="85">
        <f>H87*I87</f>
        <v>780</v>
      </c>
      <c r="K87" s="104">
        <v>480</v>
      </c>
      <c r="L87" s="103">
        <f>F87/K87</f>
        <v>0.10833333333333334</v>
      </c>
      <c r="M87" s="102"/>
    </row>
    <row r="88" spans="1:13" ht="21" customHeight="1" x14ac:dyDescent="0.25">
      <c r="A88" s="107">
        <v>45800</v>
      </c>
      <c r="B88" s="106" t="s">
        <v>515</v>
      </c>
      <c r="C88" s="106" t="s">
        <v>488</v>
      </c>
      <c r="D88" s="106" t="s">
        <v>342</v>
      </c>
      <c r="E88" s="106" t="s">
        <v>348</v>
      </c>
      <c r="F88" s="104">
        <v>52</v>
      </c>
      <c r="G88" s="105" t="s">
        <v>6</v>
      </c>
      <c r="H88" s="105">
        <v>52</v>
      </c>
      <c r="I88" s="85">
        <v>20</v>
      </c>
      <c r="J88" s="85">
        <f>H88*I88</f>
        <v>1040</v>
      </c>
      <c r="K88" s="104">
        <v>2160</v>
      </c>
      <c r="L88" s="103">
        <f>F88/K88</f>
        <v>2.4074074074074074E-2</v>
      </c>
      <c r="M88" s="102" t="s">
        <v>317</v>
      </c>
    </row>
    <row r="89" spans="1:13" ht="21" customHeight="1" x14ac:dyDescent="0.25">
      <c r="A89" s="90">
        <v>45807</v>
      </c>
      <c r="B89" s="87" t="s">
        <v>250</v>
      </c>
      <c r="C89" s="87" t="s">
        <v>485</v>
      </c>
      <c r="D89" s="89" t="s">
        <v>576</v>
      </c>
      <c r="E89" s="87" t="s">
        <v>575</v>
      </c>
      <c r="F89" s="87">
        <v>52</v>
      </c>
      <c r="G89" s="87" t="s">
        <v>6</v>
      </c>
      <c r="H89" s="87">
        <v>52</v>
      </c>
      <c r="I89" s="100">
        <v>2.3513999999999999</v>
      </c>
      <c r="J89" s="86">
        <v>122.27279999999999</v>
      </c>
      <c r="K89" s="85"/>
      <c r="L89" s="85"/>
      <c r="M89" s="85"/>
    </row>
    <row r="90" spans="1:13" ht="21" customHeight="1" x14ac:dyDescent="0.25">
      <c r="A90" s="107">
        <v>45785</v>
      </c>
      <c r="B90" s="106" t="s">
        <v>515</v>
      </c>
      <c r="C90" s="106" t="s">
        <v>488</v>
      </c>
      <c r="D90" s="106" t="s">
        <v>338</v>
      </c>
      <c r="E90" s="106" t="s">
        <v>345</v>
      </c>
      <c r="F90" s="104">
        <v>51</v>
      </c>
      <c r="G90" s="105" t="s">
        <v>6</v>
      </c>
      <c r="H90" s="105">
        <v>51</v>
      </c>
      <c r="I90" s="85">
        <v>23</v>
      </c>
      <c r="J90" s="85">
        <f>H90*I90</f>
        <v>1173</v>
      </c>
      <c r="K90" s="104">
        <v>432</v>
      </c>
      <c r="L90" s="103">
        <f>F90/K90</f>
        <v>0.11805555555555555</v>
      </c>
      <c r="M90" s="102" t="s">
        <v>527</v>
      </c>
    </row>
    <row r="91" spans="1:13" ht="21" customHeight="1" x14ac:dyDescent="0.25">
      <c r="A91" s="107">
        <v>45798</v>
      </c>
      <c r="B91" s="106" t="s">
        <v>515</v>
      </c>
      <c r="C91" s="106" t="s">
        <v>488</v>
      </c>
      <c r="D91" s="106" t="s">
        <v>338</v>
      </c>
      <c r="E91" s="106" t="s">
        <v>345</v>
      </c>
      <c r="F91" s="104">
        <v>50</v>
      </c>
      <c r="G91" s="105" t="s">
        <v>6</v>
      </c>
      <c r="H91" s="105">
        <v>50</v>
      </c>
      <c r="I91" s="85">
        <v>23</v>
      </c>
      <c r="J91" s="85">
        <f>H91*I91</f>
        <v>1150</v>
      </c>
      <c r="K91" s="104">
        <v>1872</v>
      </c>
      <c r="L91" s="103">
        <f>F91/K91</f>
        <v>2.6709401709401708E-2</v>
      </c>
      <c r="M91" s="102" t="s">
        <v>527</v>
      </c>
    </row>
    <row r="92" spans="1:13" ht="21" customHeight="1" x14ac:dyDescent="0.25">
      <c r="A92" s="107">
        <v>45786</v>
      </c>
      <c r="B92" s="106" t="s">
        <v>393</v>
      </c>
      <c r="C92" s="106" t="s">
        <v>488</v>
      </c>
      <c r="D92" s="106" t="s">
        <v>343</v>
      </c>
      <c r="E92" s="106" t="s">
        <v>427</v>
      </c>
      <c r="F92" s="104">
        <v>50</v>
      </c>
      <c r="G92" s="105" t="s">
        <v>6</v>
      </c>
      <c r="H92" s="105">
        <v>50</v>
      </c>
      <c r="I92" s="85">
        <v>8.5</v>
      </c>
      <c r="J92" s="85">
        <f>H92*I92</f>
        <v>425</v>
      </c>
      <c r="K92" s="104">
        <v>1120</v>
      </c>
      <c r="L92" s="103">
        <f>F92/K92</f>
        <v>4.4642857142857144E-2</v>
      </c>
      <c r="M92" s="102" t="s">
        <v>278</v>
      </c>
    </row>
    <row r="93" spans="1:13" ht="21" customHeight="1" x14ac:dyDescent="0.25">
      <c r="A93" s="107">
        <v>45798</v>
      </c>
      <c r="B93" s="106" t="s">
        <v>393</v>
      </c>
      <c r="C93" s="106" t="s">
        <v>488</v>
      </c>
      <c r="D93" s="106" t="s">
        <v>343</v>
      </c>
      <c r="E93" s="106" t="s">
        <v>430</v>
      </c>
      <c r="F93" s="104">
        <v>50</v>
      </c>
      <c r="G93" s="105" t="s">
        <v>6</v>
      </c>
      <c r="H93" s="105">
        <v>50</v>
      </c>
      <c r="I93" s="85">
        <v>8.5</v>
      </c>
      <c r="J93" s="85">
        <f>H93*I93</f>
        <v>425</v>
      </c>
      <c r="K93" s="104">
        <v>1344</v>
      </c>
      <c r="L93" s="103">
        <f>F93/K93</f>
        <v>3.7202380952380952E-2</v>
      </c>
      <c r="M93" s="102" t="s">
        <v>278</v>
      </c>
    </row>
    <row r="94" spans="1:13" ht="21" customHeight="1" x14ac:dyDescent="0.25">
      <c r="A94" s="107">
        <v>45805</v>
      </c>
      <c r="B94" s="106" t="s">
        <v>320</v>
      </c>
      <c r="C94" s="106" t="s">
        <v>488</v>
      </c>
      <c r="D94" s="106" t="s">
        <v>340</v>
      </c>
      <c r="E94" s="106" t="s">
        <v>356</v>
      </c>
      <c r="F94" s="104">
        <v>50</v>
      </c>
      <c r="G94" s="105" t="s">
        <v>6</v>
      </c>
      <c r="H94" s="105">
        <v>50</v>
      </c>
      <c r="I94" s="85">
        <v>0.5</v>
      </c>
      <c r="J94" s="85">
        <f>H94*I94</f>
        <v>25</v>
      </c>
      <c r="K94" s="104">
        <v>2600</v>
      </c>
      <c r="L94" s="103">
        <f>F94/K94</f>
        <v>1.9230769230769232E-2</v>
      </c>
      <c r="M94" s="102" t="s">
        <v>499</v>
      </c>
    </row>
    <row r="95" spans="1:13" ht="21" customHeight="1" x14ac:dyDescent="0.25">
      <c r="A95" s="94">
        <v>45790</v>
      </c>
      <c r="B95" s="87" t="s">
        <v>250</v>
      </c>
      <c r="C95" s="94" t="s">
        <v>486</v>
      </c>
      <c r="D95" s="93" t="s">
        <v>205</v>
      </c>
      <c r="E95" s="92" t="s">
        <v>206</v>
      </c>
      <c r="F95" s="87">
        <v>50</v>
      </c>
      <c r="G95" s="87" t="s">
        <v>6</v>
      </c>
      <c r="H95" s="87">
        <v>50</v>
      </c>
      <c r="I95" s="99">
        <v>30.193999999999999</v>
      </c>
      <c r="J95" s="86">
        <v>1509.7</v>
      </c>
      <c r="K95" s="85"/>
      <c r="L95" s="85"/>
      <c r="M95" s="85"/>
    </row>
    <row r="96" spans="1:13" ht="21" customHeight="1" x14ac:dyDescent="0.25">
      <c r="A96" s="107">
        <v>45783</v>
      </c>
      <c r="B96" s="106" t="s">
        <v>393</v>
      </c>
      <c r="C96" s="106" t="s">
        <v>488</v>
      </c>
      <c r="D96" s="106" t="s">
        <v>429</v>
      </c>
      <c r="E96" s="106" t="s">
        <v>350</v>
      </c>
      <c r="F96" s="104">
        <f>21+15+12</f>
        <v>48</v>
      </c>
      <c r="G96" s="105" t="s">
        <v>6</v>
      </c>
      <c r="H96" s="104">
        <v>48</v>
      </c>
      <c r="I96" s="85">
        <v>10</v>
      </c>
      <c r="J96" s="85">
        <f>H96*I96</f>
        <v>480</v>
      </c>
      <c r="K96" s="104">
        <v>1248</v>
      </c>
      <c r="L96" s="103">
        <f>F96/K96</f>
        <v>3.8461538461538464E-2</v>
      </c>
      <c r="M96" s="102" t="s">
        <v>500</v>
      </c>
    </row>
    <row r="97" spans="1:13" ht="21" customHeight="1" x14ac:dyDescent="0.25">
      <c r="A97" s="107">
        <v>45794</v>
      </c>
      <c r="B97" s="106" t="s">
        <v>393</v>
      </c>
      <c r="C97" s="106" t="s">
        <v>489</v>
      </c>
      <c r="D97" s="106" t="s">
        <v>509</v>
      </c>
      <c r="E97" s="106" t="s">
        <v>18</v>
      </c>
      <c r="F97" s="104">
        <v>47</v>
      </c>
      <c r="G97" s="105" t="s">
        <v>6</v>
      </c>
      <c r="H97" s="105">
        <v>47</v>
      </c>
      <c r="I97" s="85">
        <v>14.2</v>
      </c>
      <c r="J97" s="85">
        <f>H97*I97</f>
        <v>667.4</v>
      </c>
      <c r="K97" s="104">
        <v>2912</v>
      </c>
      <c r="L97" s="103">
        <f>F97/K97</f>
        <v>1.6140109890109892E-2</v>
      </c>
      <c r="M97" s="102" t="s">
        <v>288</v>
      </c>
    </row>
    <row r="98" spans="1:13" ht="21" customHeight="1" x14ac:dyDescent="0.25">
      <c r="A98" s="107">
        <v>45807</v>
      </c>
      <c r="B98" s="106" t="s">
        <v>393</v>
      </c>
      <c r="C98" s="106" t="s">
        <v>488</v>
      </c>
      <c r="D98" s="106" t="s">
        <v>429</v>
      </c>
      <c r="E98" s="106" t="s">
        <v>350</v>
      </c>
      <c r="F98" s="104">
        <v>47</v>
      </c>
      <c r="G98" s="105" t="s">
        <v>6</v>
      </c>
      <c r="H98" s="105">
        <v>47</v>
      </c>
      <c r="I98" s="85">
        <v>10</v>
      </c>
      <c r="J98" s="85">
        <f>H98*I98</f>
        <v>470</v>
      </c>
      <c r="K98" s="104">
        <v>448</v>
      </c>
      <c r="L98" s="103">
        <f>F98/K98</f>
        <v>0.10491071428571429</v>
      </c>
      <c r="M98" s="102" t="s">
        <v>500</v>
      </c>
    </row>
    <row r="99" spans="1:13" ht="21" customHeight="1" x14ac:dyDescent="0.25">
      <c r="A99" s="107">
        <v>45784</v>
      </c>
      <c r="B99" s="106" t="s">
        <v>393</v>
      </c>
      <c r="C99" s="106" t="s">
        <v>488</v>
      </c>
      <c r="D99" s="106" t="s">
        <v>343</v>
      </c>
      <c r="E99" s="106" t="s">
        <v>427</v>
      </c>
      <c r="F99" s="104">
        <f>35+11</f>
        <v>46</v>
      </c>
      <c r="G99" s="105" t="s">
        <v>6</v>
      </c>
      <c r="H99" s="104">
        <f>35+11</f>
        <v>46</v>
      </c>
      <c r="I99" s="85">
        <v>8.5</v>
      </c>
      <c r="J99" s="85">
        <f>H99*I99</f>
        <v>391</v>
      </c>
      <c r="K99" s="104">
        <v>896</v>
      </c>
      <c r="L99" s="103">
        <f>F99/K99</f>
        <v>5.1339285714285712E-2</v>
      </c>
      <c r="M99" s="102" t="s">
        <v>278</v>
      </c>
    </row>
    <row r="100" spans="1:13" ht="21" customHeight="1" x14ac:dyDescent="0.25">
      <c r="A100" s="107">
        <v>45806</v>
      </c>
      <c r="B100" s="106" t="s">
        <v>515</v>
      </c>
      <c r="C100" s="106" t="s">
        <v>485</v>
      </c>
      <c r="D100" s="106" t="s">
        <v>327</v>
      </c>
      <c r="E100" s="106" t="s">
        <v>360</v>
      </c>
      <c r="F100" s="104">
        <f>12+33</f>
        <v>45</v>
      </c>
      <c r="G100" s="105" t="s">
        <v>6</v>
      </c>
      <c r="H100" s="105">
        <v>45</v>
      </c>
      <c r="I100" s="85">
        <v>10.037000000000001</v>
      </c>
      <c r="J100" s="85">
        <f>H100*I100</f>
        <v>451.66500000000002</v>
      </c>
      <c r="K100" s="104">
        <v>2624</v>
      </c>
      <c r="L100" s="103">
        <f>F100/K100</f>
        <v>1.714939024390244E-2</v>
      </c>
      <c r="M100" s="102" t="s">
        <v>533</v>
      </c>
    </row>
    <row r="101" spans="1:13" ht="21" customHeight="1" x14ac:dyDescent="0.25">
      <c r="A101" s="107">
        <v>45805</v>
      </c>
      <c r="B101" s="106" t="s">
        <v>515</v>
      </c>
      <c r="C101" s="106" t="s">
        <v>489</v>
      </c>
      <c r="D101" s="106" t="s">
        <v>538</v>
      </c>
      <c r="E101" s="106" t="s">
        <v>17</v>
      </c>
      <c r="F101" s="104">
        <v>45</v>
      </c>
      <c r="G101" s="105" t="s">
        <v>262</v>
      </c>
      <c r="H101" s="105">
        <v>45</v>
      </c>
      <c r="I101" s="85">
        <v>1.6369</v>
      </c>
      <c r="J101" s="85">
        <f>H101*I101</f>
        <v>73.660499999999999</v>
      </c>
      <c r="K101" s="104">
        <f>432+432</f>
        <v>864</v>
      </c>
      <c r="L101" s="103">
        <f>F101/K101</f>
        <v>5.2083333333333336E-2</v>
      </c>
      <c r="M101" s="102" t="s">
        <v>261</v>
      </c>
    </row>
    <row r="102" spans="1:13" ht="21" customHeight="1" x14ac:dyDescent="0.25">
      <c r="A102" s="107">
        <v>45785</v>
      </c>
      <c r="B102" s="106" t="s">
        <v>393</v>
      </c>
      <c r="C102" s="106" t="s">
        <v>485</v>
      </c>
      <c r="D102" s="106" t="s">
        <v>542</v>
      </c>
      <c r="E102" s="106" t="s">
        <v>358</v>
      </c>
      <c r="F102" s="104">
        <f>24+20</f>
        <v>44</v>
      </c>
      <c r="G102" s="105" t="s">
        <v>262</v>
      </c>
      <c r="H102" s="105">
        <v>44</v>
      </c>
      <c r="I102" s="100">
        <v>7.9405999999999999</v>
      </c>
      <c r="J102" s="85">
        <f>H102*I102</f>
        <v>349.38639999999998</v>
      </c>
      <c r="K102" s="104">
        <v>2200</v>
      </c>
      <c r="L102" s="103">
        <f>F102/K102</f>
        <v>0.02</v>
      </c>
      <c r="M102" s="102" t="s">
        <v>263</v>
      </c>
    </row>
    <row r="103" spans="1:13" ht="21" customHeight="1" x14ac:dyDescent="0.25">
      <c r="A103" s="107">
        <v>45803</v>
      </c>
      <c r="B103" s="106" t="s">
        <v>515</v>
      </c>
      <c r="C103" s="106" t="s">
        <v>485</v>
      </c>
      <c r="D103" s="106" t="s">
        <v>327</v>
      </c>
      <c r="E103" s="106" t="s">
        <v>360</v>
      </c>
      <c r="F103" s="104">
        <v>44</v>
      </c>
      <c r="G103" s="105" t="s">
        <v>6</v>
      </c>
      <c r="H103" s="105">
        <v>44</v>
      </c>
      <c r="I103" s="85">
        <v>10.037000000000001</v>
      </c>
      <c r="J103" s="85">
        <f>H103*I103</f>
        <v>441.62800000000004</v>
      </c>
      <c r="K103" s="104">
        <v>2240</v>
      </c>
      <c r="L103" s="103">
        <f>F103/K103</f>
        <v>1.9642857142857142E-2</v>
      </c>
      <c r="M103" s="102" t="s">
        <v>533</v>
      </c>
    </row>
    <row r="104" spans="1:13" ht="21" customHeight="1" x14ac:dyDescent="0.25">
      <c r="A104" s="107">
        <v>45793</v>
      </c>
      <c r="B104" s="106" t="s">
        <v>515</v>
      </c>
      <c r="C104" s="106" t="s">
        <v>485</v>
      </c>
      <c r="D104" s="106" t="s">
        <v>549</v>
      </c>
      <c r="E104" s="106" t="s">
        <v>548</v>
      </c>
      <c r="F104" s="104">
        <v>44</v>
      </c>
      <c r="G104" s="105" t="s">
        <v>6</v>
      </c>
      <c r="H104" s="97">
        <v>44</v>
      </c>
      <c r="I104" s="100">
        <v>11.968999999999999</v>
      </c>
      <c r="J104" s="85">
        <f>H104*I104</f>
        <v>526.63599999999997</v>
      </c>
      <c r="K104" s="104">
        <v>950</v>
      </c>
      <c r="L104" s="103">
        <f>F104/K104</f>
        <v>4.6315789473684213E-2</v>
      </c>
      <c r="M104" s="102"/>
    </row>
    <row r="105" spans="1:13" ht="21" customHeight="1" x14ac:dyDescent="0.25">
      <c r="A105" s="107">
        <v>45792</v>
      </c>
      <c r="B105" s="106" t="s">
        <v>393</v>
      </c>
      <c r="C105" s="106" t="s">
        <v>489</v>
      </c>
      <c r="D105" s="106" t="s">
        <v>509</v>
      </c>
      <c r="E105" s="106" t="s">
        <v>18</v>
      </c>
      <c r="F105" s="104">
        <v>44</v>
      </c>
      <c r="G105" s="105" t="s">
        <v>6</v>
      </c>
      <c r="H105" s="105">
        <v>44</v>
      </c>
      <c r="I105" s="85">
        <v>14.2</v>
      </c>
      <c r="J105" s="85">
        <f>H105*I105</f>
        <v>624.79999999999995</v>
      </c>
      <c r="K105" s="104">
        <v>1624</v>
      </c>
      <c r="L105" s="103">
        <f>F105/K105</f>
        <v>2.7093596059113302E-2</v>
      </c>
      <c r="M105" s="102" t="s">
        <v>288</v>
      </c>
    </row>
    <row r="106" spans="1:13" ht="21" customHeight="1" x14ac:dyDescent="0.25">
      <c r="A106" s="107">
        <v>45788</v>
      </c>
      <c r="B106" s="106" t="s">
        <v>320</v>
      </c>
      <c r="C106" s="106" t="s">
        <v>487</v>
      </c>
      <c r="D106" s="106" t="s">
        <v>558</v>
      </c>
      <c r="E106" s="106" t="s">
        <v>357</v>
      </c>
      <c r="F106" s="104">
        <v>9</v>
      </c>
      <c r="G106" s="105" t="s">
        <v>6</v>
      </c>
      <c r="H106" s="104">
        <v>43</v>
      </c>
      <c r="I106" s="85">
        <v>51.675699999999999</v>
      </c>
      <c r="J106" s="85">
        <f>H106*I106</f>
        <v>2222.0551</v>
      </c>
      <c r="K106" s="104">
        <v>504</v>
      </c>
      <c r="L106" s="103">
        <f>F106/K106</f>
        <v>1.7857142857142856E-2</v>
      </c>
      <c r="M106" s="102"/>
    </row>
    <row r="107" spans="1:13" ht="21" customHeight="1" x14ac:dyDescent="0.25">
      <c r="A107" s="107">
        <v>45805</v>
      </c>
      <c r="B107" s="106" t="s">
        <v>515</v>
      </c>
      <c r="C107" s="106" t="s">
        <v>485</v>
      </c>
      <c r="D107" s="106" t="s">
        <v>327</v>
      </c>
      <c r="E107" s="106" t="s">
        <v>360</v>
      </c>
      <c r="F107" s="104">
        <v>43</v>
      </c>
      <c r="G107" s="105" t="s">
        <v>6</v>
      </c>
      <c r="H107" s="105">
        <v>43</v>
      </c>
      <c r="I107" s="85">
        <v>10.037000000000001</v>
      </c>
      <c r="J107" s="85">
        <f>H107*I107</f>
        <v>431.59100000000001</v>
      </c>
      <c r="K107" s="104">
        <f>320+3200</f>
        <v>3520</v>
      </c>
      <c r="L107" s="103">
        <f>F107/K107</f>
        <v>1.2215909090909092E-2</v>
      </c>
      <c r="M107" s="102" t="s">
        <v>533</v>
      </c>
    </row>
    <row r="108" spans="1:13" ht="21" customHeight="1" x14ac:dyDescent="0.25">
      <c r="A108" s="107">
        <v>45804</v>
      </c>
      <c r="B108" s="106" t="s">
        <v>393</v>
      </c>
      <c r="C108" s="106" t="s">
        <v>489</v>
      </c>
      <c r="D108" s="106" t="s">
        <v>509</v>
      </c>
      <c r="E108" s="106" t="s">
        <v>100</v>
      </c>
      <c r="F108" s="104">
        <v>43</v>
      </c>
      <c r="G108" s="105" t="s">
        <v>6</v>
      </c>
      <c r="H108" s="105">
        <v>43</v>
      </c>
      <c r="I108" s="85">
        <v>14.2</v>
      </c>
      <c r="J108" s="85">
        <f>H108*I108</f>
        <v>610.6</v>
      </c>
      <c r="K108" s="104">
        <v>3024</v>
      </c>
      <c r="L108" s="103">
        <f>F108/K108</f>
        <v>1.4219576719576719E-2</v>
      </c>
      <c r="M108" s="102" t="s">
        <v>288</v>
      </c>
    </row>
    <row r="109" spans="1:13" ht="21" customHeight="1" x14ac:dyDescent="0.25">
      <c r="A109" s="107">
        <v>45792</v>
      </c>
      <c r="B109" s="106" t="s">
        <v>393</v>
      </c>
      <c r="C109" s="106" t="s">
        <v>489</v>
      </c>
      <c r="D109" s="106" t="s">
        <v>115</v>
      </c>
      <c r="E109" s="106" t="s">
        <v>42</v>
      </c>
      <c r="F109" s="104">
        <v>42</v>
      </c>
      <c r="G109" s="105" t="s">
        <v>6</v>
      </c>
      <c r="H109" s="105">
        <v>42</v>
      </c>
      <c r="I109" s="87">
        <v>8.5</v>
      </c>
      <c r="J109" s="85">
        <f>H109*I109</f>
        <v>357</v>
      </c>
      <c r="K109" s="104">
        <v>864</v>
      </c>
      <c r="L109" s="103">
        <f>F109/K109</f>
        <v>4.8611111111111112E-2</v>
      </c>
      <c r="M109" s="102" t="s">
        <v>510</v>
      </c>
    </row>
    <row r="110" spans="1:13" ht="21" customHeight="1" x14ac:dyDescent="0.25">
      <c r="A110" s="107">
        <v>45797</v>
      </c>
      <c r="B110" s="106" t="s">
        <v>393</v>
      </c>
      <c r="C110" s="106" t="s">
        <v>488</v>
      </c>
      <c r="D110" s="106" t="s">
        <v>343</v>
      </c>
      <c r="E110" s="106" t="s">
        <v>427</v>
      </c>
      <c r="F110" s="104">
        <v>42</v>
      </c>
      <c r="G110" s="105" t="s">
        <v>6</v>
      </c>
      <c r="H110" s="105">
        <v>42</v>
      </c>
      <c r="I110" s="85">
        <v>8.5</v>
      </c>
      <c r="J110" s="85">
        <f>H110*I110</f>
        <v>357</v>
      </c>
      <c r="K110" s="104">
        <v>1344</v>
      </c>
      <c r="L110" s="103">
        <f>F110/K110</f>
        <v>3.125E-2</v>
      </c>
      <c r="M110" s="102" t="s">
        <v>278</v>
      </c>
    </row>
    <row r="111" spans="1:13" ht="21" customHeight="1" x14ac:dyDescent="0.25">
      <c r="A111" s="107">
        <v>45804</v>
      </c>
      <c r="B111" s="106" t="s">
        <v>393</v>
      </c>
      <c r="C111" s="106" t="s">
        <v>489</v>
      </c>
      <c r="D111" s="106" t="s">
        <v>115</v>
      </c>
      <c r="E111" s="106" t="s">
        <v>42</v>
      </c>
      <c r="F111" s="104">
        <v>41</v>
      </c>
      <c r="G111" s="105" t="s">
        <v>6</v>
      </c>
      <c r="H111" s="105">
        <v>41</v>
      </c>
      <c r="I111" s="87">
        <v>8.5</v>
      </c>
      <c r="J111" s="85">
        <f>H111*I111</f>
        <v>348.5</v>
      </c>
      <c r="K111" s="104">
        <v>2160</v>
      </c>
      <c r="L111" s="103">
        <f>F111/K111</f>
        <v>1.8981481481481481E-2</v>
      </c>
      <c r="M111" s="102" t="s">
        <v>510</v>
      </c>
    </row>
    <row r="112" spans="1:13" ht="21" customHeight="1" x14ac:dyDescent="0.25">
      <c r="A112" s="107">
        <v>45805</v>
      </c>
      <c r="B112" s="106" t="s">
        <v>515</v>
      </c>
      <c r="C112" s="106" t="s">
        <v>488</v>
      </c>
      <c r="D112" s="106" t="s">
        <v>338</v>
      </c>
      <c r="E112" s="106" t="s">
        <v>350</v>
      </c>
      <c r="F112" s="104">
        <v>41</v>
      </c>
      <c r="G112" s="105" t="s">
        <v>6</v>
      </c>
      <c r="H112" s="105">
        <v>41</v>
      </c>
      <c r="I112" s="85">
        <v>23</v>
      </c>
      <c r="J112" s="85">
        <f>H112*I112</f>
        <v>943</v>
      </c>
      <c r="K112" s="104">
        <v>2304</v>
      </c>
      <c r="L112" s="103">
        <f>F112/K112</f>
        <v>1.7795138888888888E-2</v>
      </c>
      <c r="M112" s="102" t="s">
        <v>527</v>
      </c>
    </row>
    <row r="113" spans="1:13" ht="21" customHeight="1" x14ac:dyDescent="0.25">
      <c r="A113" s="107">
        <v>45789</v>
      </c>
      <c r="B113" s="106" t="s">
        <v>515</v>
      </c>
      <c r="C113" s="106" t="s">
        <v>488</v>
      </c>
      <c r="D113" s="106" t="s">
        <v>338</v>
      </c>
      <c r="E113" s="106" t="s">
        <v>345</v>
      </c>
      <c r="F113" s="104">
        <v>40</v>
      </c>
      <c r="G113" s="105" t="s">
        <v>6</v>
      </c>
      <c r="H113" s="105">
        <v>40</v>
      </c>
      <c r="I113" s="85">
        <v>23</v>
      </c>
      <c r="J113" s="85">
        <f>H113*I113</f>
        <v>920</v>
      </c>
      <c r="K113" s="104">
        <v>1444</v>
      </c>
      <c r="L113" s="103">
        <f>F113/K113</f>
        <v>2.7700831024930747E-2</v>
      </c>
      <c r="M113" s="102" t="s">
        <v>527</v>
      </c>
    </row>
    <row r="114" spans="1:13" ht="21" customHeight="1" x14ac:dyDescent="0.25">
      <c r="A114" s="107">
        <v>45790</v>
      </c>
      <c r="B114" s="106" t="s">
        <v>515</v>
      </c>
      <c r="C114" s="106" t="s">
        <v>488</v>
      </c>
      <c r="D114" s="106" t="s">
        <v>338</v>
      </c>
      <c r="E114" s="106" t="s">
        <v>345</v>
      </c>
      <c r="F114" s="104">
        <v>40</v>
      </c>
      <c r="G114" s="105" t="s">
        <v>6</v>
      </c>
      <c r="H114" s="105">
        <v>40</v>
      </c>
      <c r="I114" s="85">
        <v>23</v>
      </c>
      <c r="J114" s="85">
        <f>H114*I114</f>
        <v>920</v>
      </c>
      <c r="K114" s="104">
        <v>1444</v>
      </c>
      <c r="L114" s="103">
        <f>F114/K114</f>
        <v>2.7700831024930747E-2</v>
      </c>
      <c r="M114" s="102" t="s">
        <v>527</v>
      </c>
    </row>
    <row r="115" spans="1:13" ht="21" customHeight="1" x14ac:dyDescent="0.25">
      <c r="A115" s="107">
        <v>45801</v>
      </c>
      <c r="B115" s="106" t="s">
        <v>393</v>
      </c>
      <c r="C115" s="106" t="s">
        <v>488</v>
      </c>
      <c r="D115" s="106" t="s">
        <v>339</v>
      </c>
      <c r="E115" s="106" t="s">
        <v>346</v>
      </c>
      <c r="F115" s="104">
        <v>40</v>
      </c>
      <c r="G115" s="105" t="s">
        <v>6</v>
      </c>
      <c r="H115" s="105">
        <v>40</v>
      </c>
      <c r="I115" s="85">
        <v>0.4</v>
      </c>
      <c r="J115" s="85">
        <f>H115*I115</f>
        <v>16</v>
      </c>
      <c r="K115" s="104">
        <v>2016</v>
      </c>
      <c r="L115" s="103">
        <f>F115/K115</f>
        <v>1.984126984126984E-2</v>
      </c>
      <c r="M115" s="102" t="s">
        <v>574</v>
      </c>
    </row>
    <row r="116" spans="1:13" ht="21" customHeight="1" x14ac:dyDescent="0.25">
      <c r="A116" s="107">
        <v>45807</v>
      </c>
      <c r="B116" s="106" t="s">
        <v>498</v>
      </c>
      <c r="C116" s="106" t="s">
        <v>489</v>
      </c>
      <c r="D116" s="106" t="s">
        <v>557</v>
      </c>
      <c r="E116" s="106" t="s">
        <v>175</v>
      </c>
      <c r="F116" s="104">
        <f>74+40</f>
        <v>114</v>
      </c>
      <c r="G116" s="105" t="s">
        <v>495</v>
      </c>
      <c r="H116" s="105">
        <v>40</v>
      </c>
      <c r="I116" s="85">
        <v>3.6124000000000001</v>
      </c>
      <c r="J116" s="85">
        <f>H116*I116</f>
        <v>144.49600000000001</v>
      </c>
      <c r="K116" s="104">
        <v>2250</v>
      </c>
      <c r="L116" s="103">
        <f>F116/K116</f>
        <v>5.0666666666666665E-2</v>
      </c>
      <c r="M116" s="102" t="s">
        <v>494</v>
      </c>
    </row>
    <row r="117" spans="1:13" ht="21" customHeight="1" x14ac:dyDescent="0.25">
      <c r="A117" s="107">
        <v>45799</v>
      </c>
      <c r="B117" s="106" t="s">
        <v>393</v>
      </c>
      <c r="C117" s="106" t="s">
        <v>485</v>
      </c>
      <c r="D117" s="106" t="s">
        <v>547</v>
      </c>
      <c r="E117" s="106" t="s">
        <v>383</v>
      </c>
      <c r="F117" s="104">
        <v>38</v>
      </c>
      <c r="G117" s="105" t="s">
        <v>262</v>
      </c>
      <c r="H117" s="105">
        <v>38</v>
      </c>
      <c r="I117" s="85">
        <v>3.6282999999999999</v>
      </c>
      <c r="J117" s="85">
        <f>H117*I117</f>
        <v>137.87539999999998</v>
      </c>
      <c r="K117" s="104">
        <v>1200</v>
      </c>
      <c r="L117" s="103">
        <f>F117/K117</f>
        <v>3.1666666666666669E-2</v>
      </c>
      <c r="M117" s="102" t="s">
        <v>264</v>
      </c>
    </row>
    <row r="118" spans="1:13" ht="21" customHeight="1" x14ac:dyDescent="0.25">
      <c r="A118" s="107">
        <v>45789</v>
      </c>
      <c r="B118" s="106" t="s">
        <v>393</v>
      </c>
      <c r="C118" s="106" t="s">
        <v>485</v>
      </c>
      <c r="D118" s="106" t="s">
        <v>503</v>
      </c>
      <c r="E118" s="106" t="s">
        <v>382</v>
      </c>
      <c r="F118" s="104">
        <v>38</v>
      </c>
      <c r="G118" s="105" t="s">
        <v>6</v>
      </c>
      <c r="H118" s="105">
        <v>38</v>
      </c>
      <c r="I118" s="85">
        <v>4.6017999999999999</v>
      </c>
      <c r="J118" s="85">
        <f>H118*I118</f>
        <v>174.86840000000001</v>
      </c>
      <c r="K118" s="104">
        <v>1260</v>
      </c>
      <c r="L118" s="103">
        <f>F118/K118</f>
        <v>3.0158730158730159E-2</v>
      </c>
      <c r="M118" s="102" t="s">
        <v>264</v>
      </c>
    </row>
    <row r="119" spans="1:13" ht="21" customHeight="1" x14ac:dyDescent="0.25">
      <c r="A119" s="107">
        <v>45790</v>
      </c>
      <c r="B119" s="106" t="s">
        <v>393</v>
      </c>
      <c r="C119" s="106" t="s">
        <v>485</v>
      </c>
      <c r="D119" s="106" t="s">
        <v>503</v>
      </c>
      <c r="E119" s="106" t="s">
        <v>382</v>
      </c>
      <c r="F119" s="104">
        <v>38</v>
      </c>
      <c r="G119" s="105" t="s">
        <v>6</v>
      </c>
      <c r="H119" s="105">
        <v>38</v>
      </c>
      <c r="I119" s="85">
        <v>4.6017999999999999</v>
      </c>
      <c r="J119" s="85">
        <f>H119*I119</f>
        <v>174.86840000000001</v>
      </c>
      <c r="K119" s="104">
        <v>1260</v>
      </c>
      <c r="L119" s="103">
        <f>F119/K119</f>
        <v>3.0158730158730159E-2</v>
      </c>
      <c r="M119" s="102" t="s">
        <v>264</v>
      </c>
    </row>
    <row r="120" spans="1:13" ht="21" customHeight="1" x14ac:dyDescent="0.25">
      <c r="A120" s="107">
        <v>45807</v>
      </c>
      <c r="B120" s="106" t="s">
        <v>515</v>
      </c>
      <c r="C120" s="106" t="s">
        <v>488</v>
      </c>
      <c r="D120" s="106" t="s">
        <v>342</v>
      </c>
      <c r="E120" s="106" t="s">
        <v>348</v>
      </c>
      <c r="F120" s="104">
        <v>38</v>
      </c>
      <c r="G120" s="105" t="s">
        <v>6</v>
      </c>
      <c r="H120" s="105">
        <v>38</v>
      </c>
      <c r="I120" s="85">
        <v>20</v>
      </c>
      <c r="J120" s="85">
        <f>H120*I120</f>
        <v>760</v>
      </c>
      <c r="K120" s="104">
        <v>576</v>
      </c>
      <c r="L120" s="103">
        <f>F120/K120</f>
        <v>6.5972222222222224E-2</v>
      </c>
      <c r="M120" s="102" t="s">
        <v>317</v>
      </c>
    </row>
    <row r="121" spans="1:13" ht="21" customHeight="1" x14ac:dyDescent="0.25">
      <c r="A121" s="107">
        <v>45807</v>
      </c>
      <c r="B121" s="106" t="s">
        <v>393</v>
      </c>
      <c r="C121" s="106" t="s">
        <v>485</v>
      </c>
      <c r="D121" s="106" t="s">
        <v>542</v>
      </c>
      <c r="E121" s="106" t="s">
        <v>358</v>
      </c>
      <c r="F121" s="104">
        <f>29+8</f>
        <v>37</v>
      </c>
      <c r="G121" s="105" t="s">
        <v>262</v>
      </c>
      <c r="H121" s="105">
        <v>37</v>
      </c>
      <c r="I121" s="100">
        <v>7.9405999999999999</v>
      </c>
      <c r="J121" s="85">
        <f>H121*I121</f>
        <v>293.80219999999997</v>
      </c>
      <c r="K121" s="104">
        <v>1480</v>
      </c>
      <c r="L121" s="103">
        <f>F121/K121</f>
        <v>2.5000000000000001E-2</v>
      </c>
      <c r="M121" s="102" t="s">
        <v>263</v>
      </c>
    </row>
    <row r="122" spans="1:13" ht="21" customHeight="1" x14ac:dyDescent="0.25">
      <c r="A122" s="107">
        <v>45792</v>
      </c>
      <c r="B122" s="106" t="s">
        <v>515</v>
      </c>
      <c r="C122" s="106" t="s">
        <v>485</v>
      </c>
      <c r="D122" s="106" t="s">
        <v>327</v>
      </c>
      <c r="E122" s="106" t="s">
        <v>360</v>
      </c>
      <c r="F122" s="104">
        <v>37</v>
      </c>
      <c r="G122" s="105" t="s">
        <v>6</v>
      </c>
      <c r="H122" s="105">
        <v>37</v>
      </c>
      <c r="I122" s="85">
        <v>10.037000000000001</v>
      </c>
      <c r="J122" s="85">
        <f>H122*I122</f>
        <v>371.36900000000003</v>
      </c>
      <c r="K122" s="104">
        <v>1664</v>
      </c>
      <c r="L122" s="103">
        <f>F122/K122</f>
        <v>2.2235576923076924E-2</v>
      </c>
      <c r="M122" s="102" t="s">
        <v>528</v>
      </c>
    </row>
    <row r="123" spans="1:13" ht="21" customHeight="1" x14ac:dyDescent="0.25">
      <c r="A123" s="107">
        <v>45801</v>
      </c>
      <c r="B123" s="106" t="s">
        <v>515</v>
      </c>
      <c r="C123" s="106" t="s">
        <v>488</v>
      </c>
      <c r="D123" s="106" t="s">
        <v>342</v>
      </c>
      <c r="E123" s="106" t="s">
        <v>348</v>
      </c>
      <c r="F123" s="104">
        <v>37</v>
      </c>
      <c r="G123" s="105" t="s">
        <v>6</v>
      </c>
      <c r="H123" s="105">
        <v>37</v>
      </c>
      <c r="I123" s="85">
        <v>20</v>
      </c>
      <c r="J123" s="85">
        <f>H123*I123</f>
        <v>740</v>
      </c>
      <c r="K123" s="104">
        <v>2160</v>
      </c>
      <c r="L123" s="103">
        <f>F123/K123</f>
        <v>1.712962962962963E-2</v>
      </c>
      <c r="M123" s="102" t="s">
        <v>317</v>
      </c>
    </row>
    <row r="124" spans="1:13" ht="21" customHeight="1" x14ac:dyDescent="0.25">
      <c r="A124" s="107">
        <v>45784</v>
      </c>
      <c r="B124" s="106" t="s">
        <v>393</v>
      </c>
      <c r="C124" s="106" t="s">
        <v>488</v>
      </c>
      <c r="D124" s="106" t="s">
        <v>429</v>
      </c>
      <c r="E124" s="106" t="s">
        <v>350</v>
      </c>
      <c r="F124" s="104">
        <v>36</v>
      </c>
      <c r="G124" s="105" t="s">
        <v>6</v>
      </c>
      <c r="H124" s="104">
        <v>36</v>
      </c>
      <c r="I124" s="85">
        <v>10</v>
      </c>
      <c r="J124" s="85">
        <f>H124*I124</f>
        <v>360</v>
      </c>
      <c r="K124" s="104">
        <v>1456</v>
      </c>
      <c r="L124" s="103">
        <f>F124/K124</f>
        <v>2.4725274725274724E-2</v>
      </c>
      <c r="M124" s="102" t="s">
        <v>500</v>
      </c>
    </row>
    <row r="125" spans="1:13" ht="21" customHeight="1" x14ac:dyDescent="0.25">
      <c r="A125" s="94">
        <v>45774</v>
      </c>
      <c r="B125" s="87" t="s">
        <v>250</v>
      </c>
      <c r="C125" s="94" t="s">
        <v>486</v>
      </c>
      <c r="D125" s="93" t="s">
        <v>215</v>
      </c>
      <c r="E125" s="92" t="s">
        <v>216</v>
      </c>
      <c r="F125" s="87">
        <v>36</v>
      </c>
      <c r="G125" s="87" t="s">
        <v>6</v>
      </c>
      <c r="H125" s="87">
        <v>36</v>
      </c>
      <c r="I125" s="99">
        <v>25.256599999999999</v>
      </c>
      <c r="J125" s="86">
        <v>909.23759999999993</v>
      </c>
      <c r="K125" s="85"/>
      <c r="L125" s="85"/>
      <c r="M125" s="85"/>
    </row>
    <row r="126" spans="1:13" ht="21" customHeight="1" x14ac:dyDescent="0.25">
      <c r="A126" s="107">
        <v>45796</v>
      </c>
      <c r="B126" s="106" t="s">
        <v>393</v>
      </c>
      <c r="C126" s="106" t="s">
        <v>485</v>
      </c>
      <c r="D126" s="106" t="s">
        <v>547</v>
      </c>
      <c r="E126" s="106" t="s">
        <v>383</v>
      </c>
      <c r="F126" s="104">
        <v>34</v>
      </c>
      <c r="G126" s="105" t="s">
        <v>262</v>
      </c>
      <c r="H126" s="105">
        <v>34</v>
      </c>
      <c r="I126" s="85">
        <v>3.6282999999999999</v>
      </c>
      <c r="J126" s="85">
        <f>H126*I126</f>
        <v>123.3622</v>
      </c>
      <c r="K126" s="104">
        <v>720</v>
      </c>
      <c r="L126" s="103">
        <f>F126/K126</f>
        <v>4.7222222222222221E-2</v>
      </c>
      <c r="M126" s="102" t="s">
        <v>264</v>
      </c>
    </row>
    <row r="127" spans="1:13" ht="21" customHeight="1" x14ac:dyDescent="0.25">
      <c r="A127" s="90">
        <v>45790</v>
      </c>
      <c r="B127" s="87" t="s">
        <v>250</v>
      </c>
      <c r="C127" s="87" t="s">
        <v>485</v>
      </c>
      <c r="D127" s="89" t="s">
        <v>518</v>
      </c>
      <c r="E127" s="87" t="s">
        <v>517</v>
      </c>
      <c r="F127" s="87">
        <v>33</v>
      </c>
      <c r="G127" s="87" t="s">
        <v>6</v>
      </c>
      <c r="H127" s="87">
        <v>33</v>
      </c>
      <c r="I127" s="100">
        <v>11.3788</v>
      </c>
      <c r="J127" s="86">
        <v>375.50040000000001</v>
      </c>
      <c r="K127" s="85"/>
      <c r="L127" s="85"/>
      <c r="M127" s="85"/>
    </row>
    <row r="128" spans="1:13" ht="21" customHeight="1" x14ac:dyDescent="0.25">
      <c r="A128" s="107">
        <v>45782</v>
      </c>
      <c r="B128" s="106" t="s">
        <v>393</v>
      </c>
      <c r="C128" s="106" t="s">
        <v>485</v>
      </c>
      <c r="D128" s="106" t="s">
        <v>503</v>
      </c>
      <c r="E128" s="106" t="s">
        <v>382</v>
      </c>
      <c r="F128" s="104">
        <v>32</v>
      </c>
      <c r="G128" s="105" t="s">
        <v>6</v>
      </c>
      <c r="H128" s="105">
        <f>F128</f>
        <v>32</v>
      </c>
      <c r="I128" s="85">
        <v>4.6017999999999999</v>
      </c>
      <c r="J128" s="85">
        <f>H128*I128</f>
        <v>147.2576</v>
      </c>
      <c r="K128" s="104">
        <v>1845</v>
      </c>
      <c r="L128" s="103">
        <f>F128/K128</f>
        <v>1.7344173441734417E-2</v>
      </c>
      <c r="M128" s="102" t="s">
        <v>264</v>
      </c>
    </row>
    <row r="129" spans="1:13" ht="21" customHeight="1" x14ac:dyDescent="0.25">
      <c r="A129" s="90">
        <v>45791</v>
      </c>
      <c r="B129" s="87" t="s">
        <v>250</v>
      </c>
      <c r="C129" s="87" t="s">
        <v>485</v>
      </c>
      <c r="D129" s="89" t="s">
        <v>573</v>
      </c>
      <c r="E129" s="87" t="s">
        <v>572</v>
      </c>
      <c r="F129" s="87">
        <v>32</v>
      </c>
      <c r="G129" s="87" t="s">
        <v>6</v>
      </c>
      <c r="H129" s="87">
        <v>32</v>
      </c>
      <c r="I129" s="100">
        <v>12.148199999999999</v>
      </c>
      <c r="J129" s="86">
        <v>388.74239999999998</v>
      </c>
      <c r="K129" s="85"/>
      <c r="L129" s="85"/>
      <c r="M129" s="85"/>
    </row>
    <row r="130" spans="1:13" ht="21" customHeight="1" x14ac:dyDescent="0.25">
      <c r="A130" s="107">
        <v>45805</v>
      </c>
      <c r="B130" s="106" t="s">
        <v>393</v>
      </c>
      <c r="C130" s="106" t="s">
        <v>489</v>
      </c>
      <c r="D130" s="106" t="s">
        <v>509</v>
      </c>
      <c r="E130" s="106" t="s">
        <v>18</v>
      </c>
      <c r="F130" s="104">
        <v>31</v>
      </c>
      <c r="G130" s="105" t="s">
        <v>6</v>
      </c>
      <c r="H130" s="105">
        <v>31</v>
      </c>
      <c r="I130" s="85">
        <v>14.2</v>
      </c>
      <c r="J130" s="85">
        <f>H130*I130</f>
        <v>440.2</v>
      </c>
      <c r="K130" s="104">
        <v>728</v>
      </c>
      <c r="L130" s="103">
        <f>F130/K130</f>
        <v>4.2582417582417584E-2</v>
      </c>
      <c r="M130" s="102" t="s">
        <v>288</v>
      </c>
    </row>
    <row r="131" spans="1:13" ht="21" customHeight="1" x14ac:dyDescent="0.25">
      <c r="A131" s="94">
        <v>45789</v>
      </c>
      <c r="B131" s="87" t="s">
        <v>250</v>
      </c>
      <c r="C131" s="94" t="s">
        <v>486</v>
      </c>
      <c r="D131" s="93" t="s">
        <v>189</v>
      </c>
      <c r="E131" s="92" t="s">
        <v>190</v>
      </c>
      <c r="F131" s="87">
        <v>31</v>
      </c>
      <c r="G131" s="87" t="s">
        <v>6</v>
      </c>
      <c r="H131" s="87">
        <v>31</v>
      </c>
      <c r="I131" s="91">
        <v>84.9983</v>
      </c>
      <c r="J131" s="86">
        <v>2634.9472999999998</v>
      </c>
      <c r="K131" s="85"/>
      <c r="L131" s="85"/>
      <c r="M131" s="85"/>
    </row>
    <row r="132" spans="1:13" ht="21" customHeight="1" x14ac:dyDescent="0.25">
      <c r="A132" s="90">
        <v>45802</v>
      </c>
      <c r="B132" s="87" t="s">
        <v>250</v>
      </c>
      <c r="C132" s="87" t="s">
        <v>483</v>
      </c>
      <c r="D132" s="89" t="s">
        <v>24</v>
      </c>
      <c r="E132" s="87" t="s">
        <v>81</v>
      </c>
      <c r="F132" s="87">
        <v>31</v>
      </c>
      <c r="G132" s="88" t="s">
        <v>6</v>
      </c>
      <c r="H132" s="87">
        <v>31</v>
      </c>
      <c r="I132" s="87">
        <v>19.18</v>
      </c>
      <c r="J132" s="86">
        <v>594.58000000000004</v>
      </c>
      <c r="K132" s="85"/>
      <c r="L132" s="85"/>
      <c r="M132" s="85"/>
    </row>
    <row r="133" spans="1:13" ht="21" customHeight="1" x14ac:dyDescent="0.25">
      <c r="A133" s="107">
        <v>45804</v>
      </c>
      <c r="B133" s="106" t="s">
        <v>515</v>
      </c>
      <c r="C133" s="106" t="s">
        <v>489</v>
      </c>
      <c r="D133" s="106" t="s">
        <v>538</v>
      </c>
      <c r="E133" s="106" t="s">
        <v>17</v>
      </c>
      <c r="F133" s="104">
        <v>30</v>
      </c>
      <c r="G133" s="105" t="s">
        <v>262</v>
      </c>
      <c r="H133" s="105">
        <v>30</v>
      </c>
      <c r="I133" s="85">
        <v>1.6369</v>
      </c>
      <c r="J133" s="85">
        <f>H133*I133</f>
        <v>49.106999999999999</v>
      </c>
      <c r="K133" s="104">
        <v>1512</v>
      </c>
      <c r="L133" s="103">
        <f>F133/K133</f>
        <v>1.984126984126984E-2</v>
      </c>
      <c r="M133" s="102" t="s">
        <v>261</v>
      </c>
    </row>
    <row r="134" spans="1:13" ht="21" customHeight="1" x14ac:dyDescent="0.25">
      <c r="A134" s="107">
        <v>45798</v>
      </c>
      <c r="B134" s="106" t="s">
        <v>393</v>
      </c>
      <c r="C134" s="106" t="s">
        <v>489</v>
      </c>
      <c r="D134" s="106" t="s">
        <v>509</v>
      </c>
      <c r="E134" s="106" t="s">
        <v>18</v>
      </c>
      <c r="F134" s="104">
        <v>30</v>
      </c>
      <c r="G134" s="105" t="s">
        <v>6</v>
      </c>
      <c r="H134" s="105">
        <v>30</v>
      </c>
      <c r="I134" s="85">
        <v>14.2</v>
      </c>
      <c r="J134" s="85">
        <f>H134*I134</f>
        <v>426</v>
      </c>
      <c r="K134" s="104">
        <v>364</v>
      </c>
      <c r="L134" s="103">
        <f>F134/K134</f>
        <v>8.2417582417582416E-2</v>
      </c>
      <c r="M134" s="102" t="s">
        <v>288</v>
      </c>
    </row>
    <row r="135" spans="1:13" ht="21" customHeight="1" x14ac:dyDescent="0.25">
      <c r="A135" s="107">
        <v>45800</v>
      </c>
      <c r="B135" s="106" t="s">
        <v>393</v>
      </c>
      <c r="C135" s="106" t="s">
        <v>489</v>
      </c>
      <c r="D135" s="106" t="s">
        <v>509</v>
      </c>
      <c r="E135" s="106" t="s">
        <v>18</v>
      </c>
      <c r="F135" s="104">
        <v>30</v>
      </c>
      <c r="G135" s="105" t="s">
        <v>6</v>
      </c>
      <c r="H135" s="105">
        <v>30</v>
      </c>
      <c r="I135" s="85">
        <v>14.2</v>
      </c>
      <c r="J135" s="85">
        <f>H135*I135</f>
        <v>426</v>
      </c>
      <c r="K135" s="104">
        <v>1288</v>
      </c>
      <c r="L135" s="103">
        <f>F135/K135</f>
        <v>2.3291925465838508E-2</v>
      </c>
      <c r="M135" s="102" t="s">
        <v>288</v>
      </c>
    </row>
    <row r="136" spans="1:13" ht="21" customHeight="1" x14ac:dyDescent="0.25">
      <c r="A136" s="107">
        <v>45801</v>
      </c>
      <c r="B136" s="106" t="s">
        <v>393</v>
      </c>
      <c r="C136" s="106" t="s">
        <v>489</v>
      </c>
      <c r="D136" s="106" t="s">
        <v>509</v>
      </c>
      <c r="E136" s="106" t="s">
        <v>18</v>
      </c>
      <c r="F136" s="104">
        <v>30</v>
      </c>
      <c r="G136" s="105" t="s">
        <v>6</v>
      </c>
      <c r="H136" s="105">
        <v>30</v>
      </c>
      <c r="I136" s="85">
        <v>14.2</v>
      </c>
      <c r="J136" s="85">
        <f>H136*I136</f>
        <v>426</v>
      </c>
      <c r="K136" s="104">
        <v>1400</v>
      </c>
      <c r="L136" s="103">
        <f>F136/K136</f>
        <v>2.1428571428571429E-2</v>
      </c>
      <c r="M136" s="102" t="s">
        <v>288</v>
      </c>
    </row>
    <row r="137" spans="1:13" ht="21" customHeight="1" x14ac:dyDescent="0.25">
      <c r="A137" s="107">
        <v>45787</v>
      </c>
      <c r="B137" s="106" t="s">
        <v>515</v>
      </c>
      <c r="C137" s="106" t="s">
        <v>485</v>
      </c>
      <c r="D137" s="106" t="s">
        <v>327</v>
      </c>
      <c r="E137" s="106" t="s">
        <v>360</v>
      </c>
      <c r="F137" s="104">
        <v>29</v>
      </c>
      <c r="G137" s="105" t="s">
        <v>6</v>
      </c>
      <c r="H137" s="104">
        <v>29</v>
      </c>
      <c r="I137" s="85">
        <v>10.037000000000001</v>
      </c>
      <c r="J137" s="85">
        <f>H137*I137</f>
        <v>291.07300000000004</v>
      </c>
      <c r="K137" s="104">
        <v>560</v>
      </c>
      <c r="L137" s="103">
        <f>F137/K137</f>
        <v>5.1785714285714289E-2</v>
      </c>
      <c r="M137" s="102" t="s">
        <v>533</v>
      </c>
    </row>
    <row r="138" spans="1:13" ht="21" customHeight="1" x14ac:dyDescent="0.25">
      <c r="A138" s="107">
        <v>45789</v>
      </c>
      <c r="B138" s="106" t="s">
        <v>515</v>
      </c>
      <c r="C138" s="106" t="s">
        <v>485</v>
      </c>
      <c r="D138" s="106" t="s">
        <v>327</v>
      </c>
      <c r="E138" s="106" t="s">
        <v>360</v>
      </c>
      <c r="F138" s="104">
        <f>19+10</f>
        <v>29</v>
      </c>
      <c r="G138" s="105" t="s">
        <v>6</v>
      </c>
      <c r="H138" s="105">
        <v>29</v>
      </c>
      <c r="I138" s="85">
        <v>10.037000000000001</v>
      </c>
      <c r="J138" s="85">
        <f>H138*I138</f>
        <v>291.07300000000004</v>
      </c>
      <c r="K138" s="104">
        <v>1176</v>
      </c>
      <c r="L138" s="103">
        <f>F138/K138</f>
        <v>2.4659863945578231E-2</v>
      </c>
      <c r="M138" s="102" t="s">
        <v>528</v>
      </c>
    </row>
    <row r="139" spans="1:13" ht="21" customHeight="1" x14ac:dyDescent="0.25">
      <c r="A139" s="107">
        <v>45790</v>
      </c>
      <c r="B139" s="106" t="s">
        <v>515</v>
      </c>
      <c r="C139" s="106" t="s">
        <v>485</v>
      </c>
      <c r="D139" s="106" t="s">
        <v>327</v>
      </c>
      <c r="E139" s="106" t="s">
        <v>360</v>
      </c>
      <c r="F139" s="104">
        <f>19+10</f>
        <v>29</v>
      </c>
      <c r="G139" s="105" t="s">
        <v>6</v>
      </c>
      <c r="H139" s="105">
        <v>29</v>
      </c>
      <c r="I139" s="85">
        <v>10.037000000000001</v>
      </c>
      <c r="J139" s="85">
        <f>H139*I139</f>
        <v>291.07300000000004</v>
      </c>
      <c r="K139" s="104">
        <v>1176</v>
      </c>
      <c r="L139" s="103">
        <f>F139/K139</f>
        <v>2.4659863945578231E-2</v>
      </c>
      <c r="M139" s="102" t="s">
        <v>528</v>
      </c>
    </row>
    <row r="140" spans="1:13" ht="21" customHeight="1" x14ac:dyDescent="0.25">
      <c r="A140" s="107">
        <v>45785</v>
      </c>
      <c r="B140" s="106" t="s">
        <v>393</v>
      </c>
      <c r="C140" s="106" t="s">
        <v>489</v>
      </c>
      <c r="D140" s="106" t="s">
        <v>509</v>
      </c>
      <c r="E140" s="106" t="s">
        <v>18</v>
      </c>
      <c r="F140" s="104">
        <v>29</v>
      </c>
      <c r="G140" s="105" t="s">
        <v>6</v>
      </c>
      <c r="H140" s="105">
        <v>29</v>
      </c>
      <c r="I140" s="85">
        <v>14.2</v>
      </c>
      <c r="J140" s="85">
        <f>H140*I140</f>
        <v>411.79999999999995</v>
      </c>
      <c r="K140" s="104">
        <v>1736</v>
      </c>
      <c r="L140" s="103">
        <f>F140/K140</f>
        <v>1.6705069124423964E-2</v>
      </c>
      <c r="M140" s="102" t="s">
        <v>288</v>
      </c>
    </row>
    <row r="141" spans="1:13" ht="21" customHeight="1" x14ac:dyDescent="0.25">
      <c r="A141" s="107">
        <v>45803</v>
      </c>
      <c r="B141" s="106" t="s">
        <v>393</v>
      </c>
      <c r="C141" s="106" t="s">
        <v>488</v>
      </c>
      <c r="D141" s="106" t="s">
        <v>343</v>
      </c>
      <c r="E141" s="106" t="s">
        <v>430</v>
      </c>
      <c r="F141" s="104">
        <v>29</v>
      </c>
      <c r="G141" s="105" t="s">
        <v>6</v>
      </c>
      <c r="H141" s="105">
        <v>29</v>
      </c>
      <c r="I141" s="85">
        <v>8.5</v>
      </c>
      <c r="J141" s="85">
        <f>H141*I141</f>
        <v>246.5</v>
      </c>
      <c r="K141" s="104">
        <v>896</v>
      </c>
      <c r="L141" s="103">
        <f>F141/K141</f>
        <v>3.2366071428571432E-2</v>
      </c>
      <c r="M141" s="102" t="s">
        <v>278</v>
      </c>
    </row>
    <row r="142" spans="1:13" ht="21" customHeight="1" x14ac:dyDescent="0.25">
      <c r="A142" s="90">
        <v>45807</v>
      </c>
      <c r="B142" s="87" t="s">
        <v>250</v>
      </c>
      <c r="C142" s="87" t="s">
        <v>485</v>
      </c>
      <c r="D142" s="89" t="s">
        <v>530</v>
      </c>
      <c r="E142" s="87" t="s">
        <v>529</v>
      </c>
      <c r="F142" s="87">
        <v>29</v>
      </c>
      <c r="G142" s="87" t="s">
        <v>6</v>
      </c>
      <c r="H142" s="87">
        <v>29</v>
      </c>
      <c r="I142" s="100">
        <v>12.8642</v>
      </c>
      <c r="J142" s="86">
        <v>373.06180000000001</v>
      </c>
      <c r="K142" s="85"/>
      <c r="L142" s="85"/>
      <c r="M142" s="85"/>
    </row>
    <row r="143" spans="1:13" ht="21" customHeight="1" x14ac:dyDescent="0.25">
      <c r="A143" s="90">
        <v>45789</v>
      </c>
      <c r="B143" s="87" t="s">
        <v>250</v>
      </c>
      <c r="C143" s="87" t="s">
        <v>489</v>
      </c>
      <c r="D143" s="89" t="s">
        <v>30</v>
      </c>
      <c r="E143" s="101" t="s">
        <v>92</v>
      </c>
      <c r="F143" s="96">
        <v>28</v>
      </c>
      <c r="G143" s="88" t="s">
        <v>6</v>
      </c>
      <c r="H143" s="96">
        <v>28</v>
      </c>
      <c r="I143" s="87">
        <v>0.78900000000000003</v>
      </c>
      <c r="J143" s="86">
        <v>22.092000000000002</v>
      </c>
      <c r="K143" s="85"/>
      <c r="L143" s="85"/>
      <c r="M143" s="85"/>
    </row>
    <row r="144" spans="1:13" ht="21" customHeight="1" x14ac:dyDescent="0.25">
      <c r="A144" s="107">
        <v>45796</v>
      </c>
      <c r="B144" s="106" t="s">
        <v>515</v>
      </c>
      <c r="C144" s="106" t="s">
        <v>486</v>
      </c>
      <c r="D144" s="106" t="s">
        <v>571</v>
      </c>
      <c r="E144" s="106" t="s">
        <v>570</v>
      </c>
      <c r="F144" s="104">
        <v>27</v>
      </c>
      <c r="G144" s="105" t="s">
        <v>6</v>
      </c>
      <c r="H144" s="104">
        <v>27</v>
      </c>
      <c r="I144" s="85">
        <v>4.2720000000000002</v>
      </c>
      <c r="J144" s="85">
        <f>H144*I144</f>
        <v>115.34400000000001</v>
      </c>
      <c r="K144" s="104">
        <f>284+800+300</f>
        <v>1384</v>
      </c>
      <c r="L144" s="103">
        <f>F144/K144</f>
        <v>1.9508670520231215E-2</v>
      </c>
      <c r="M144" s="102"/>
    </row>
    <row r="145" spans="1:13" ht="21" customHeight="1" x14ac:dyDescent="0.25">
      <c r="A145" s="107">
        <v>45787</v>
      </c>
      <c r="B145" s="106" t="s">
        <v>393</v>
      </c>
      <c r="C145" s="106" t="s">
        <v>489</v>
      </c>
      <c r="D145" s="106" t="s">
        <v>509</v>
      </c>
      <c r="E145" s="106" t="s">
        <v>18</v>
      </c>
      <c r="F145" s="104">
        <v>27</v>
      </c>
      <c r="G145" s="105" t="s">
        <v>6</v>
      </c>
      <c r="H145" s="105">
        <v>27</v>
      </c>
      <c r="I145" s="85">
        <v>14.2</v>
      </c>
      <c r="J145" s="85">
        <f>H145*I145</f>
        <v>383.4</v>
      </c>
      <c r="K145" s="104">
        <v>1400</v>
      </c>
      <c r="L145" s="103">
        <f>F145/K145</f>
        <v>1.9285714285714285E-2</v>
      </c>
      <c r="M145" s="102" t="s">
        <v>288</v>
      </c>
    </row>
    <row r="146" spans="1:13" ht="21" customHeight="1" x14ac:dyDescent="0.25">
      <c r="A146" s="90">
        <v>45799</v>
      </c>
      <c r="B146" s="87" t="s">
        <v>250</v>
      </c>
      <c r="C146" s="87" t="s">
        <v>485</v>
      </c>
      <c r="D146" s="89" t="s">
        <v>569</v>
      </c>
      <c r="E146" s="87" t="s">
        <v>568</v>
      </c>
      <c r="F146" s="87">
        <v>26</v>
      </c>
      <c r="G146" s="87" t="s">
        <v>6</v>
      </c>
      <c r="H146" s="87">
        <v>26</v>
      </c>
      <c r="I146" s="100">
        <v>27.922799999999999</v>
      </c>
      <c r="J146" s="86">
        <v>725.99279999999999</v>
      </c>
      <c r="K146" s="85"/>
      <c r="L146" s="85"/>
      <c r="M146" s="85"/>
    </row>
    <row r="147" spans="1:13" ht="21" customHeight="1" x14ac:dyDescent="0.25">
      <c r="A147" s="90">
        <v>45791</v>
      </c>
      <c r="B147" s="87" t="s">
        <v>250</v>
      </c>
      <c r="C147" s="87" t="s">
        <v>485</v>
      </c>
      <c r="D147" s="89" t="s">
        <v>567</v>
      </c>
      <c r="E147" s="87" t="s">
        <v>566</v>
      </c>
      <c r="F147" s="87">
        <v>26</v>
      </c>
      <c r="G147" s="87" t="s">
        <v>6</v>
      </c>
      <c r="H147" s="87">
        <v>26</v>
      </c>
      <c r="I147" s="100">
        <v>2.3513999999999999</v>
      </c>
      <c r="J147" s="86">
        <v>61.136399999999995</v>
      </c>
      <c r="K147" s="85"/>
      <c r="L147" s="85"/>
      <c r="M147" s="85"/>
    </row>
    <row r="148" spans="1:13" ht="21" customHeight="1" x14ac:dyDescent="0.25">
      <c r="A148" s="107">
        <v>45804</v>
      </c>
      <c r="B148" s="106" t="s">
        <v>515</v>
      </c>
      <c r="C148" s="106" t="s">
        <v>488</v>
      </c>
      <c r="D148" s="106" t="s">
        <v>338</v>
      </c>
      <c r="E148" s="106" t="s">
        <v>350</v>
      </c>
      <c r="F148" s="104">
        <v>25</v>
      </c>
      <c r="G148" s="105" t="s">
        <v>6</v>
      </c>
      <c r="H148" s="105">
        <v>25</v>
      </c>
      <c r="I148" s="85">
        <v>23</v>
      </c>
      <c r="J148" s="85">
        <f>H148*I148</f>
        <v>575</v>
      </c>
      <c r="K148" s="104">
        <v>720</v>
      </c>
      <c r="L148" s="103">
        <f>F148/K148</f>
        <v>3.4722222222222224E-2</v>
      </c>
      <c r="M148" s="102" t="s">
        <v>527</v>
      </c>
    </row>
    <row r="149" spans="1:13" ht="21" customHeight="1" x14ac:dyDescent="0.25">
      <c r="A149" s="107">
        <v>45796</v>
      </c>
      <c r="B149" s="106" t="s">
        <v>393</v>
      </c>
      <c r="C149" s="106" t="s">
        <v>488</v>
      </c>
      <c r="D149" s="106" t="s">
        <v>343</v>
      </c>
      <c r="E149" s="106" t="s">
        <v>427</v>
      </c>
      <c r="F149" s="104">
        <v>25</v>
      </c>
      <c r="G149" s="105" t="s">
        <v>6</v>
      </c>
      <c r="H149" s="105">
        <v>25</v>
      </c>
      <c r="I149" s="85">
        <v>8.5</v>
      </c>
      <c r="J149" s="85">
        <f>H149*I149</f>
        <v>212.5</v>
      </c>
      <c r="K149" s="104">
        <v>1120</v>
      </c>
      <c r="L149" s="103">
        <f>F149/K149</f>
        <v>2.2321428571428572E-2</v>
      </c>
      <c r="M149" s="102" t="s">
        <v>278</v>
      </c>
    </row>
    <row r="150" spans="1:13" ht="21" customHeight="1" x14ac:dyDescent="0.25">
      <c r="A150" s="107">
        <v>45795</v>
      </c>
      <c r="B150" s="106" t="s">
        <v>320</v>
      </c>
      <c r="C150" s="106" t="s">
        <v>485</v>
      </c>
      <c r="D150" s="106" t="s">
        <v>493</v>
      </c>
      <c r="E150" s="106" t="s">
        <v>380</v>
      </c>
      <c r="F150" s="104">
        <f>18+5+1</f>
        <v>24</v>
      </c>
      <c r="G150" s="105" t="s">
        <v>6</v>
      </c>
      <c r="H150" s="105">
        <v>24</v>
      </c>
      <c r="I150" s="85">
        <v>15</v>
      </c>
      <c r="J150" s="85">
        <f>H150*I150</f>
        <v>360</v>
      </c>
      <c r="K150" s="104">
        <v>176</v>
      </c>
      <c r="L150" s="103">
        <f>F150/K150</f>
        <v>0.13636363636363635</v>
      </c>
      <c r="M150" s="102"/>
    </row>
    <row r="151" spans="1:13" ht="21" customHeight="1" x14ac:dyDescent="0.25">
      <c r="A151" s="107">
        <v>45792</v>
      </c>
      <c r="B151" s="106" t="s">
        <v>515</v>
      </c>
      <c r="C151" s="106" t="s">
        <v>486</v>
      </c>
      <c r="D151" s="106" t="s">
        <v>539</v>
      </c>
      <c r="E151" s="106" t="s">
        <v>565</v>
      </c>
      <c r="F151" s="104">
        <v>24</v>
      </c>
      <c r="G151" s="105" t="s">
        <v>6</v>
      </c>
      <c r="H151" s="105">
        <v>24</v>
      </c>
      <c r="I151" s="85">
        <v>7.9108000000000001</v>
      </c>
      <c r="J151" s="85">
        <f>H151*I151</f>
        <v>189.85919999999999</v>
      </c>
      <c r="K151" s="104">
        <v>895</v>
      </c>
      <c r="L151" s="103">
        <f>F151/K151</f>
        <v>2.6815642458100558E-2</v>
      </c>
      <c r="M151" s="102"/>
    </row>
    <row r="152" spans="1:13" ht="21" customHeight="1" x14ac:dyDescent="0.25">
      <c r="A152" s="107">
        <v>45806</v>
      </c>
      <c r="B152" s="106" t="s">
        <v>515</v>
      </c>
      <c r="C152" s="106" t="s">
        <v>489</v>
      </c>
      <c r="D152" s="106" t="s">
        <v>538</v>
      </c>
      <c r="E152" s="106" t="s">
        <v>17</v>
      </c>
      <c r="F152" s="104">
        <v>24</v>
      </c>
      <c r="G152" s="105" t="s">
        <v>262</v>
      </c>
      <c r="H152" s="105">
        <v>24</v>
      </c>
      <c r="I152" s="85">
        <v>1.6369</v>
      </c>
      <c r="J152" s="85">
        <f>H152*I152</f>
        <v>39.285600000000002</v>
      </c>
      <c r="K152" s="104">
        <v>356</v>
      </c>
      <c r="L152" s="103">
        <f>F152/K152</f>
        <v>6.741573033707865E-2</v>
      </c>
      <c r="M152" s="102" t="s">
        <v>528</v>
      </c>
    </row>
    <row r="153" spans="1:13" ht="21" customHeight="1" x14ac:dyDescent="0.25">
      <c r="A153" s="107">
        <v>45805</v>
      </c>
      <c r="B153" s="106" t="s">
        <v>498</v>
      </c>
      <c r="C153" s="106" t="s">
        <v>489</v>
      </c>
      <c r="D153" s="106" t="s">
        <v>557</v>
      </c>
      <c r="E153" s="106" t="s">
        <v>4</v>
      </c>
      <c r="F153" s="104">
        <f>150+24</f>
        <v>174</v>
      </c>
      <c r="G153" s="105" t="s">
        <v>495</v>
      </c>
      <c r="H153" s="105">
        <v>24</v>
      </c>
      <c r="I153" s="85">
        <v>3.6124000000000001</v>
      </c>
      <c r="J153" s="85">
        <f>H153*I153</f>
        <v>86.697599999999994</v>
      </c>
      <c r="K153" s="104">
        <f>150+1050+1500</f>
        <v>2700</v>
      </c>
      <c r="L153" s="103">
        <f>F153/K153</f>
        <v>6.4444444444444443E-2</v>
      </c>
      <c r="M153" s="102" t="s">
        <v>494</v>
      </c>
    </row>
    <row r="154" spans="1:13" ht="21" customHeight="1" x14ac:dyDescent="0.25">
      <c r="A154" s="107">
        <v>45794</v>
      </c>
      <c r="B154" s="106" t="s">
        <v>320</v>
      </c>
      <c r="C154" s="106" t="s">
        <v>485</v>
      </c>
      <c r="D154" s="106" t="s">
        <v>536</v>
      </c>
      <c r="E154" s="106" t="s">
        <v>564</v>
      </c>
      <c r="F154" s="104">
        <f>8+15</f>
        <v>23</v>
      </c>
      <c r="G154" s="105" t="s">
        <v>6</v>
      </c>
      <c r="H154" s="105">
        <v>23</v>
      </c>
      <c r="I154" s="85">
        <v>16.5</v>
      </c>
      <c r="J154" s="85">
        <f>H154*I154</f>
        <v>379.5</v>
      </c>
      <c r="K154" s="104">
        <v>468</v>
      </c>
      <c r="L154" s="103">
        <f>F154/K154</f>
        <v>4.9145299145299144E-2</v>
      </c>
      <c r="M154" s="102"/>
    </row>
    <row r="155" spans="1:13" ht="21" customHeight="1" x14ac:dyDescent="0.25">
      <c r="A155" s="90">
        <v>45789</v>
      </c>
      <c r="B155" s="87" t="s">
        <v>250</v>
      </c>
      <c r="C155" s="87" t="s">
        <v>489</v>
      </c>
      <c r="D155" s="89" t="s">
        <v>44</v>
      </c>
      <c r="E155" s="87" t="s">
        <v>99</v>
      </c>
      <c r="F155" s="87">
        <v>23</v>
      </c>
      <c r="G155" s="88" t="s">
        <v>6</v>
      </c>
      <c r="H155" s="87">
        <v>23</v>
      </c>
      <c r="I155" s="87">
        <v>1.85</v>
      </c>
      <c r="J155" s="86">
        <v>42.550000000000004</v>
      </c>
      <c r="K155" s="85"/>
      <c r="L155" s="85"/>
      <c r="M155" s="85"/>
    </row>
    <row r="156" spans="1:13" ht="21" customHeight="1" x14ac:dyDescent="0.25">
      <c r="A156" s="107">
        <v>45807</v>
      </c>
      <c r="B156" s="106" t="s">
        <v>498</v>
      </c>
      <c r="C156" s="106" t="s">
        <v>489</v>
      </c>
      <c r="D156" s="106" t="s">
        <v>563</v>
      </c>
      <c r="E156" s="106" t="s">
        <v>176</v>
      </c>
      <c r="F156" s="104">
        <f>288+23</f>
        <v>311</v>
      </c>
      <c r="G156" s="105" t="s">
        <v>495</v>
      </c>
      <c r="H156" s="105">
        <v>23</v>
      </c>
      <c r="I156" s="85">
        <v>34.097000000000001</v>
      </c>
      <c r="J156" s="85">
        <f>H156*I156</f>
        <v>784.23099999999999</v>
      </c>
      <c r="K156" s="104">
        <v>720</v>
      </c>
      <c r="L156" s="103">
        <f>F156/K156</f>
        <v>0.43194444444444446</v>
      </c>
      <c r="M156" s="102" t="s">
        <v>494</v>
      </c>
    </row>
    <row r="157" spans="1:13" ht="21" customHeight="1" x14ac:dyDescent="0.25">
      <c r="A157" s="107">
        <v>45797</v>
      </c>
      <c r="B157" s="106" t="s">
        <v>393</v>
      </c>
      <c r="C157" s="106" t="s">
        <v>489</v>
      </c>
      <c r="D157" s="106" t="s">
        <v>509</v>
      </c>
      <c r="E157" s="106" t="s">
        <v>18</v>
      </c>
      <c r="F157" s="104">
        <v>22</v>
      </c>
      <c r="G157" s="105" t="s">
        <v>6</v>
      </c>
      <c r="H157" s="105">
        <v>22</v>
      </c>
      <c r="I157" s="85">
        <v>14.2</v>
      </c>
      <c r="J157" s="85">
        <f>H157*I157</f>
        <v>312.39999999999998</v>
      </c>
      <c r="K157" s="104">
        <v>364</v>
      </c>
      <c r="L157" s="103">
        <f>F157/K157</f>
        <v>6.043956043956044E-2</v>
      </c>
      <c r="M157" s="102" t="s">
        <v>288</v>
      </c>
    </row>
    <row r="158" spans="1:13" ht="21" customHeight="1" x14ac:dyDescent="0.25">
      <c r="A158" s="107">
        <v>45806</v>
      </c>
      <c r="B158" s="106" t="s">
        <v>393</v>
      </c>
      <c r="C158" s="106" t="s">
        <v>489</v>
      </c>
      <c r="D158" s="106" t="s">
        <v>509</v>
      </c>
      <c r="E158" s="106" t="s">
        <v>18</v>
      </c>
      <c r="F158" s="104">
        <v>22</v>
      </c>
      <c r="G158" s="105" t="s">
        <v>6</v>
      </c>
      <c r="H158" s="105">
        <v>22</v>
      </c>
      <c r="I158" s="85">
        <v>14.2</v>
      </c>
      <c r="J158" s="85">
        <f>H158*I158</f>
        <v>312.39999999999998</v>
      </c>
      <c r="K158" s="104">
        <v>2856</v>
      </c>
      <c r="L158" s="103">
        <f>F158/K158</f>
        <v>7.7030812324929976E-3</v>
      </c>
      <c r="M158" s="102" t="s">
        <v>288</v>
      </c>
    </row>
    <row r="159" spans="1:13" ht="21" customHeight="1" x14ac:dyDescent="0.25">
      <c r="A159" s="107">
        <v>45799</v>
      </c>
      <c r="B159" s="106" t="s">
        <v>393</v>
      </c>
      <c r="C159" s="106" t="s">
        <v>488</v>
      </c>
      <c r="D159" s="106" t="s">
        <v>343</v>
      </c>
      <c r="E159" s="106" t="s">
        <v>430</v>
      </c>
      <c r="F159" s="104">
        <v>22</v>
      </c>
      <c r="G159" s="105" t="s">
        <v>6</v>
      </c>
      <c r="H159" s="105">
        <v>22</v>
      </c>
      <c r="I159" s="85">
        <v>8.5</v>
      </c>
      <c r="J159" s="85">
        <f>H159*I159</f>
        <v>187</v>
      </c>
      <c r="K159" s="104">
        <v>672</v>
      </c>
      <c r="L159" s="103">
        <f>F159/K159</f>
        <v>3.273809523809524E-2</v>
      </c>
      <c r="M159" s="102" t="s">
        <v>278</v>
      </c>
    </row>
    <row r="160" spans="1:13" ht="21" customHeight="1" x14ac:dyDescent="0.25">
      <c r="A160" s="107">
        <v>45798</v>
      </c>
      <c r="B160" s="106" t="s">
        <v>515</v>
      </c>
      <c r="C160" s="106" t="s">
        <v>488</v>
      </c>
      <c r="D160" s="106" t="s">
        <v>342</v>
      </c>
      <c r="E160" s="106" t="s">
        <v>348</v>
      </c>
      <c r="F160" s="104">
        <v>22</v>
      </c>
      <c r="G160" s="105" t="s">
        <v>6</v>
      </c>
      <c r="H160" s="105">
        <v>22</v>
      </c>
      <c r="I160" s="85">
        <v>20</v>
      </c>
      <c r="J160" s="85">
        <f>H160*I160</f>
        <v>440</v>
      </c>
      <c r="K160" s="104">
        <v>288</v>
      </c>
      <c r="L160" s="103">
        <f>F160/K160</f>
        <v>7.6388888888888895E-2</v>
      </c>
      <c r="M160" s="102" t="s">
        <v>317</v>
      </c>
    </row>
    <row r="161" spans="1:13" ht="21" customHeight="1" x14ac:dyDescent="0.25">
      <c r="A161" s="107">
        <v>45784</v>
      </c>
      <c r="B161" s="106" t="s">
        <v>393</v>
      </c>
      <c r="C161" s="106" t="s">
        <v>489</v>
      </c>
      <c r="D161" s="106" t="s">
        <v>115</v>
      </c>
      <c r="E161" s="106" t="s">
        <v>42</v>
      </c>
      <c r="F161" s="104">
        <v>21</v>
      </c>
      <c r="G161" s="105" t="s">
        <v>6</v>
      </c>
      <c r="H161" s="104">
        <v>21</v>
      </c>
      <c r="I161" s="87">
        <v>8.5</v>
      </c>
      <c r="J161" s="85">
        <f>H161*I161</f>
        <v>178.5</v>
      </c>
      <c r="K161" s="104">
        <f>648+2160</f>
        <v>2808</v>
      </c>
      <c r="L161" s="103">
        <f>F161/K161</f>
        <v>7.478632478632479E-3</v>
      </c>
      <c r="M161" s="102" t="s">
        <v>510</v>
      </c>
    </row>
    <row r="162" spans="1:13" ht="21" customHeight="1" x14ac:dyDescent="0.25">
      <c r="A162" s="107">
        <v>45797</v>
      </c>
      <c r="B162" s="106" t="s">
        <v>393</v>
      </c>
      <c r="C162" s="106" t="s">
        <v>489</v>
      </c>
      <c r="D162" s="106" t="s">
        <v>115</v>
      </c>
      <c r="E162" s="106" t="s">
        <v>42</v>
      </c>
      <c r="F162" s="104">
        <v>21</v>
      </c>
      <c r="G162" s="105" t="s">
        <v>6</v>
      </c>
      <c r="H162" s="105">
        <v>21</v>
      </c>
      <c r="I162" s="87">
        <v>8.5</v>
      </c>
      <c r="J162" s="85">
        <f>H162*I162</f>
        <v>178.5</v>
      </c>
      <c r="K162" s="104">
        <v>864</v>
      </c>
      <c r="L162" s="103">
        <f>F162/K162</f>
        <v>2.4305555555555556E-2</v>
      </c>
      <c r="M162" s="102" t="s">
        <v>510</v>
      </c>
    </row>
    <row r="163" spans="1:13" ht="21" customHeight="1" x14ac:dyDescent="0.25">
      <c r="A163" s="107">
        <v>45793</v>
      </c>
      <c r="B163" s="106" t="s">
        <v>393</v>
      </c>
      <c r="C163" s="106" t="s">
        <v>489</v>
      </c>
      <c r="D163" s="106" t="s">
        <v>559</v>
      </c>
      <c r="E163" s="101" t="s">
        <v>101</v>
      </c>
      <c r="F163" s="104">
        <v>21</v>
      </c>
      <c r="G163" s="105" t="s">
        <v>6</v>
      </c>
      <c r="H163" s="105">
        <v>21</v>
      </c>
      <c r="I163" s="87">
        <v>14.52</v>
      </c>
      <c r="J163" s="85">
        <f>H163*I163</f>
        <v>304.92</v>
      </c>
      <c r="K163" s="104">
        <v>1200</v>
      </c>
      <c r="L163" s="103">
        <f>F163/K163</f>
        <v>1.7500000000000002E-2</v>
      </c>
      <c r="M163" s="102" t="s">
        <v>290</v>
      </c>
    </row>
    <row r="164" spans="1:13" ht="21" customHeight="1" x14ac:dyDescent="0.25">
      <c r="A164" s="107">
        <v>45782</v>
      </c>
      <c r="B164" s="106" t="s">
        <v>393</v>
      </c>
      <c r="C164" s="106" t="s">
        <v>488</v>
      </c>
      <c r="D164" s="106" t="s">
        <v>429</v>
      </c>
      <c r="E164" s="106" t="s">
        <v>350</v>
      </c>
      <c r="F164" s="104">
        <v>21</v>
      </c>
      <c r="G164" s="105" t="s">
        <v>6</v>
      </c>
      <c r="H164" s="105">
        <f>F164</f>
        <v>21</v>
      </c>
      <c r="I164" s="85">
        <v>10</v>
      </c>
      <c r="J164" s="85">
        <f>H164*I164</f>
        <v>210</v>
      </c>
      <c r="K164" s="104">
        <v>1248</v>
      </c>
      <c r="L164" s="103">
        <f>F164/K164</f>
        <v>1.6826923076923076E-2</v>
      </c>
      <c r="M164" s="102" t="s">
        <v>500</v>
      </c>
    </row>
    <row r="165" spans="1:13" ht="21" customHeight="1" x14ac:dyDescent="0.25">
      <c r="A165" s="107">
        <v>45806</v>
      </c>
      <c r="B165" s="106" t="s">
        <v>393</v>
      </c>
      <c r="C165" s="106" t="s">
        <v>488</v>
      </c>
      <c r="D165" s="106" t="s">
        <v>429</v>
      </c>
      <c r="E165" s="106" t="s">
        <v>350</v>
      </c>
      <c r="F165" s="104">
        <f>17+4</f>
        <v>21</v>
      </c>
      <c r="G165" s="105" t="s">
        <v>6</v>
      </c>
      <c r="H165" s="105">
        <v>21</v>
      </c>
      <c r="I165" s="85">
        <v>10</v>
      </c>
      <c r="J165" s="85">
        <f>H165*I165</f>
        <v>210</v>
      </c>
      <c r="K165" s="104">
        <v>1664</v>
      </c>
      <c r="L165" s="103">
        <f>F165/K165</f>
        <v>1.2620192307692308E-2</v>
      </c>
      <c r="M165" s="102" t="s">
        <v>500</v>
      </c>
    </row>
    <row r="166" spans="1:13" ht="21" customHeight="1" x14ac:dyDescent="0.25">
      <c r="A166" s="107">
        <v>45803</v>
      </c>
      <c r="B166" s="106" t="s">
        <v>515</v>
      </c>
      <c r="C166" s="106" t="s">
        <v>488</v>
      </c>
      <c r="D166" s="106" t="s">
        <v>342</v>
      </c>
      <c r="E166" s="106" t="s">
        <v>348</v>
      </c>
      <c r="F166" s="104">
        <v>20</v>
      </c>
      <c r="G166" s="105" t="s">
        <v>6</v>
      </c>
      <c r="H166" s="105">
        <v>20</v>
      </c>
      <c r="I166" s="85">
        <v>20</v>
      </c>
      <c r="J166" s="85">
        <f>H166*I166</f>
        <v>400</v>
      </c>
      <c r="K166" s="104">
        <v>1152</v>
      </c>
      <c r="L166" s="103">
        <f>F166/K166</f>
        <v>1.7361111111111112E-2</v>
      </c>
      <c r="M166" s="102" t="s">
        <v>317</v>
      </c>
    </row>
    <row r="167" spans="1:13" ht="21" customHeight="1" x14ac:dyDescent="0.25">
      <c r="A167" s="107">
        <v>45803</v>
      </c>
      <c r="B167" s="106" t="s">
        <v>393</v>
      </c>
      <c r="C167" s="106" t="s">
        <v>488</v>
      </c>
      <c r="D167" s="106" t="s">
        <v>429</v>
      </c>
      <c r="E167" s="106" t="s">
        <v>350</v>
      </c>
      <c r="F167" s="104">
        <v>20</v>
      </c>
      <c r="G167" s="105" t="s">
        <v>6</v>
      </c>
      <c r="H167" s="105">
        <v>20</v>
      </c>
      <c r="I167" s="85">
        <v>10</v>
      </c>
      <c r="J167" s="85">
        <f>H167*I167</f>
        <v>200</v>
      </c>
      <c r="K167" s="104">
        <v>1040</v>
      </c>
      <c r="L167" s="103">
        <f>F167/K167</f>
        <v>1.9230769230769232E-2</v>
      </c>
      <c r="M167" s="102" t="s">
        <v>500</v>
      </c>
    </row>
    <row r="168" spans="1:13" ht="21" customHeight="1" x14ac:dyDescent="0.25">
      <c r="A168" s="94">
        <v>45795</v>
      </c>
      <c r="B168" s="87" t="s">
        <v>250</v>
      </c>
      <c r="C168" s="94" t="s">
        <v>486</v>
      </c>
      <c r="D168" s="93" t="s">
        <v>189</v>
      </c>
      <c r="E168" s="92" t="s">
        <v>190</v>
      </c>
      <c r="F168" s="87">
        <v>20</v>
      </c>
      <c r="G168" s="87" t="s">
        <v>6</v>
      </c>
      <c r="H168" s="87">
        <v>20</v>
      </c>
      <c r="I168" s="91">
        <v>84.9983</v>
      </c>
      <c r="J168" s="86">
        <v>1699.9659999999999</v>
      </c>
      <c r="K168" s="85"/>
      <c r="L168" s="85"/>
      <c r="M168" s="85"/>
    </row>
    <row r="169" spans="1:13" ht="21" customHeight="1" x14ac:dyDescent="0.25">
      <c r="A169" s="94">
        <v>45774</v>
      </c>
      <c r="B169" s="87" t="s">
        <v>250</v>
      </c>
      <c r="C169" s="94" t="s">
        <v>486</v>
      </c>
      <c r="D169" s="93" t="s">
        <v>197</v>
      </c>
      <c r="E169" s="92" t="s">
        <v>198</v>
      </c>
      <c r="F169" s="87">
        <v>20</v>
      </c>
      <c r="G169" s="87" t="s">
        <v>6</v>
      </c>
      <c r="H169" s="87">
        <v>20</v>
      </c>
      <c r="I169" s="91">
        <v>24.114999999999998</v>
      </c>
      <c r="J169" s="86">
        <v>482.29999999999995</v>
      </c>
      <c r="K169" s="85"/>
      <c r="L169" s="85"/>
      <c r="M169" s="85"/>
    </row>
    <row r="170" spans="1:13" ht="21" customHeight="1" x14ac:dyDescent="0.25">
      <c r="A170" s="94">
        <v>45795</v>
      </c>
      <c r="B170" s="87" t="s">
        <v>250</v>
      </c>
      <c r="C170" s="94" t="s">
        <v>486</v>
      </c>
      <c r="D170" s="93" t="s">
        <v>328</v>
      </c>
      <c r="E170" s="92" t="s">
        <v>216</v>
      </c>
      <c r="F170" s="87">
        <v>19</v>
      </c>
      <c r="G170" s="87" t="s">
        <v>6</v>
      </c>
      <c r="H170" s="87">
        <v>19</v>
      </c>
      <c r="I170" s="99">
        <v>25.256599999999999</v>
      </c>
      <c r="J170" s="86">
        <v>479.87539999999996</v>
      </c>
      <c r="K170" s="85"/>
      <c r="L170" s="85"/>
      <c r="M170" s="85"/>
    </row>
    <row r="171" spans="1:13" ht="21" customHeight="1" x14ac:dyDescent="0.25">
      <c r="A171" s="94">
        <v>45795</v>
      </c>
      <c r="B171" s="87" t="s">
        <v>250</v>
      </c>
      <c r="C171" s="94" t="s">
        <v>486</v>
      </c>
      <c r="D171" s="93" t="s">
        <v>226</v>
      </c>
      <c r="E171" s="92" t="s">
        <v>227</v>
      </c>
      <c r="F171" s="87">
        <v>19</v>
      </c>
      <c r="G171" s="87" t="s">
        <v>6</v>
      </c>
      <c r="H171" s="87">
        <v>19</v>
      </c>
      <c r="I171" s="91">
        <v>2.0181</v>
      </c>
      <c r="J171" s="86">
        <v>38.343899999999998</v>
      </c>
      <c r="K171" s="85"/>
      <c r="L171" s="85"/>
      <c r="M171" s="85"/>
    </row>
    <row r="172" spans="1:13" ht="21" customHeight="1" x14ac:dyDescent="0.25">
      <c r="A172" s="107">
        <v>45799</v>
      </c>
      <c r="B172" s="106" t="s">
        <v>515</v>
      </c>
      <c r="C172" s="106" t="s">
        <v>486</v>
      </c>
      <c r="D172" s="106" t="s">
        <v>539</v>
      </c>
      <c r="E172" s="106" t="s">
        <v>374</v>
      </c>
      <c r="F172" s="104">
        <v>18</v>
      </c>
      <c r="G172" s="105" t="s">
        <v>6</v>
      </c>
      <c r="H172" s="105">
        <v>18</v>
      </c>
      <c r="I172" s="85">
        <v>7.9108000000000001</v>
      </c>
      <c r="J172" s="85">
        <f>H172*I172</f>
        <v>142.39439999999999</v>
      </c>
      <c r="K172" s="104">
        <f>67+15</f>
        <v>82</v>
      </c>
      <c r="L172" s="103">
        <f>F172/K172</f>
        <v>0.21951219512195122</v>
      </c>
      <c r="M172" s="102"/>
    </row>
    <row r="173" spans="1:13" ht="21" customHeight="1" x14ac:dyDescent="0.25">
      <c r="A173" s="107">
        <v>45784</v>
      </c>
      <c r="B173" s="106" t="s">
        <v>515</v>
      </c>
      <c r="C173" s="106" t="s">
        <v>488</v>
      </c>
      <c r="D173" s="106" t="s">
        <v>342</v>
      </c>
      <c r="E173" s="106" t="s">
        <v>348</v>
      </c>
      <c r="F173" s="104">
        <v>18</v>
      </c>
      <c r="G173" s="105" t="s">
        <v>6</v>
      </c>
      <c r="H173" s="104">
        <v>18</v>
      </c>
      <c r="I173" s="85">
        <v>20</v>
      </c>
      <c r="J173" s="85">
        <f>H173*I173</f>
        <v>360</v>
      </c>
      <c r="K173" s="104">
        <v>288</v>
      </c>
      <c r="L173" s="103">
        <f>F173/K173</f>
        <v>6.25E-2</v>
      </c>
      <c r="M173" s="102" t="s">
        <v>317</v>
      </c>
    </row>
    <row r="174" spans="1:13" ht="21" customHeight="1" x14ac:dyDescent="0.25">
      <c r="A174" s="107">
        <v>45791</v>
      </c>
      <c r="B174" s="106" t="s">
        <v>393</v>
      </c>
      <c r="C174" s="106" t="s">
        <v>488</v>
      </c>
      <c r="D174" s="106" t="s">
        <v>429</v>
      </c>
      <c r="E174" s="106" t="s">
        <v>350</v>
      </c>
      <c r="F174" s="104">
        <v>18</v>
      </c>
      <c r="G174" s="105" t="s">
        <v>6</v>
      </c>
      <c r="H174" s="105">
        <v>18</v>
      </c>
      <c r="I174" s="85">
        <v>10</v>
      </c>
      <c r="J174" s="85">
        <f>H174*I174</f>
        <v>180</v>
      </c>
      <c r="K174" s="104">
        <v>1248</v>
      </c>
      <c r="L174" s="103">
        <f>F174/K174</f>
        <v>1.4423076923076924E-2</v>
      </c>
      <c r="M174" s="102" t="s">
        <v>500</v>
      </c>
    </row>
    <row r="175" spans="1:13" ht="21" customHeight="1" x14ac:dyDescent="0.25">
      <c r="A175" s="90">
        <v>45789</v>
      </c>
      <c r="B175" s="87" t="s">
        <v>250</v>
      </c>
      <c r="C175" s="87" t="s">
        <v>485</v>
      </c>
      <c r="D175" s="89" t="s">
        <v>542</v>
      </c>
      <c r="E175" s="87" t="s">
        <v>562</v>
      </c>
      <c r="F175" s="87">
        <v>18</v>
      </c>
      <c r="G175" s="87" t="s">
        <v>6</v>
      </c>
      <c r="H175" s="87">
        <v>18</v>
      </c>
      <c r="I175" s="100">
        <v>7.9405999999999999</v>
      </c>
      <c r="J175" s="86">
        <v>142.9308</v>
      </c>
      <c r="K175" s="85"/>
      <c r="L175" s="85"/>
      <c r="M175" s="85"/>
    </row>
    <row r="176" spans="1:13" ht="21" customHeight="1" x14ac:dyDescent="0.25">
      <c r="A176" s="107">
        <v>45800</v>
      </c>
      <c r="B176" s="106" t="s">
        <v>393</v>
      </c>
      <c r="C176" s="106" t="s">
        <v>485</v>
      </c>
      <c r="D176" s="106" t="s">
        <v>561</v>
      </c>
      <c r="E176" s="106" t="s">
        <v>560</v>
      </c>
      <c r="F176" s="104">
        <v>17</v>
      </c>
      <c r="G176" s="105" t="s">
        <v>6</v>
      </c>
      <c r="H176" s="105">
        <v>17</v>
      </c>
      <c r="I176" s="85">
        <v>2.6105999999999998</v>
      </c>
      <c r="J176" s="85">
        <f>H176*I176</f>
        <v>44.380199999999995</v>
      </c>
      <c r="K176" s="104">
        <v>640</v>
      </c>
      <c r="L176" s="103">
        <f>F176/K176</f>
        <v>2.6562499999999999E-2</v>
      </c>
      <c r="M176" s="102" t="s">
        <v>264</v>
      </c>
    </row>
    <row r="177" spans="1:13" ht="21" customHeight="1" x14ac:dyDescent="0.25">
      <c r="A177" s="107">
        <v>45791</v>
      </c>
      <c r="B177" s="106" t="s">
        <v>515</v>
      </c>
      <c r="C177" s="106" t="s">
        <v>485</v>
      </c>
      <c r="D177" s="106" t="s">
        <v>327</v>
      </c>
      <c r="E177" s="106" t="s">
        <v>360</v>
      </c>
      <c r="F177" s="104">
        <v>17</v>
      </c>
      <c r="G177" s="105" t="s">
        <v>6</v>
      </c>
      <c r="H177" s="105">
        <v>17</v>
      </c>
      <c r="I177" s="85">
        <v>10.037000000000001</v>
      </c>
      <c r="J177" s="85">
        <f>H177*I177</f>
        <v>170.62900000000002</v>
      </c>
      <c r="K177" s="104">
        <v>960</v>
      </c>
      <c r="L177" s="103">
        <f>F177/K177</f>
        <v>1.7708333333333333E-2</v>
      </c>
      <c r="M177" s="102" t="s">
        <v>528</v>
      </c>
    </row>
    <row r="178" spans="1:13" ht="21" customHeight="1" x14ac:dyDescent="0.25">
      <c r="A178" s="107">
        <v>45799</v>
      </c>
      <c r="B178" s="106" t="s">
        <v>515</v>
      </c>
      <c r="C178" s="106" t="s">
        <v>485</v>
      </c>
      <c r="D178" s="106" t="s">
        <v>327</v>
      </c>
      <c r="E178" s="106" t="s">
        <v>360</v>
      </c>
      <c r="F178" s="104">
        <v>17</v>
      </c>
      <c r="G178" s="105" t="s">
        <v>6</v>
      </c>
      <c r="H178" s="105">
        <v>17</v>
      </c>
      <c r="I178" s="85">
        <v>10.037000000000001</v>
      </c>
      <c r="J178" s="85">
        <f>H178*I178</f>
        <v>170.62900000000002</v>
      </c>
      <c r="K178" s="104">
        <v>640</v>
      </c>
      <c r="L178" s="103">
        <f>F178/K178</f>
        <v>2.6562499999999999E-2</v>
      </c>
      <c r="M178" s="102" t="s">
        <v>533</v>
      </c>
    </row>
    <row r="179" spans="1:13" ht="21" customHeight="1" x14ac:dyDescent="0.25">
      <c r="A179" s="107">
        <v>45803</v>
      </c>
      <c r="B179" s="106" t="s">
        <v>393</v>
      </c>
      <c r="C179" s="106" t="s">
        <v>489</v>
      </c>
      <c r="D179" s="106" t="s">
        <v>115</v>
      </c>
      <c r="E179" s="106" t="s">
        <v>42</v>
      </c>
      <c r="F179" s="104">
        <v>17</v>
      </c>
      <c r="G179" s="105" t="s">
        <v>6</v>
      </c>
      <c r="H179" s="105">
        <v>17</v>
      </c>
      <c r="I179" s="87">
        <v>8.5</v>
      </c>
      <c r="J179" s="85">
        <f>H179*I179</f>
        <v>144.5</v>
      </c>
      <c r="K179" s="104">
        <v>2808</v>
      </c>
      <c r="L179" s="103">
        <f>F179/K179</f>
        <v>6.0541310541310537E-3</v>
      </c>
      <c r="M179" s="102" t="s">
        <v>510</v>
      </c>
    </row>
    <row r="180" spans="1:13" ht="21" customHeight="1" x14ac:dyDescent="0.25">
      <c r="A180" s="107">
        <v>45796</v>
      </c>
      <c r="B180" s="106" t="s">
        <v>393</v>
      </c>
      <c r="C180" s="106" t="s">
        <v>489</v>
      </c>
      <c r="D180" s="106" t="s">
        <v>559</v>
      </c>
      <c r="E180" s="101" t="s">
        <v>101</v>
      </c>
      <c r="F180" s="104">
        <v>17</v>
      </c>
      <c r="G180" s="105" t="s">
        <v>6</v>
      </c>
      <c r="H180" s="104">
        <v>17</v>
      </c>
      <c r="I180" s="87">
        <v>14.52</v>
      </c>
      <c r="J180" s="85">
        <f>H180*I180</f>
        <v>246.84</v>
      </c>
      <c r="K180" s="104">
        <v>2400</v>
      </c>
      <c r="L180" s="103">
        <f>F180/K180</f>
        <v>7.083333333333333E-3</v>
      </c>
      <c r="M180" s="102" t="s">
        <v>290</v>
      </c>
    </row>
    <row r="181" spans="1:13" ht="21" customHeight="1" x14ac:dyDescent="0.25">
      <c r="A181" s="107">
        <v>45781</v>
      </c>
      <c r="B181" s="106" t="s">
        <v>393</v>
      </c>
      <c r="C181" s="106" t="s">
        <v>488</v>
      </c>
      <c r="D181" s="106" t="s">
        <v>429</v>
      </c>
      <c r="E181" s="106" t="s">
        <v>350</v>
      </c>
      <c r="F181" s="104">
        <v>17</v>
      </c>
      <c r="G181" s="105" t="s">
        <v>6</v>
      </c>
      <c r="H181" s="104">
        <v>17</v>
      </c>
      <c r="I181" s="85">
        <v>10</v>
      </c>
      <c r="J181" s="85">
        <f>H181*I181</f>
        <v>170</v>
      </c>
      <c r="K181" s="104">
        <v>832</v>
      </c>
      <c r="L181" s="103">
        <f>F181/K181</f>
        <v>2.0432692307692308E-2</v>
      </c>
      <c r="M181" s="102" t="s">
        <v>500</v>
      </c>
    </row>
    <row r="182" spans="1:13" ht="21" customHeight="1" x14ac:dyDescent="0.25">
      <c r="A182" s="107">
        <v>45805</v>
      </c>
      <c r="B182" s="106" t="s">
        <v>393</v>
      </c>
      <c r="C182" s="106" t="s">
        <v>488</v>
      </c>
      <c r="D182" s="106" t="s">
        <v>429</v>
      </c>
      <c r="E182" s="106" t="s">
        <v>350</v>
      </c>
      <c r="F182" s="104">
        <v>17</v>
      </c>
      <c r="G182" s="105" t="s">
        <v>6</v>
      </c>
      <c r="H182" s="105">
        <v>17</v>
      </c>
      <c r="I182" s="85">
        <v>10</v>
      </c>
      <c r="J182" s="85">
        <f>H182*I182</f>
        <v>170</v>
      </c>
      <c r="K182" s="104">
        <v>1664</v>
      </c>
      <c r="L182" s="103">
        <f>F182/K182</f>
        <v>1.0216346153846154E-2</v>
      </c>
      <c r="M182" s="102" t="s">
        <v>500</v>
      </c>
    </row>
    <row r="183" spans="1:13" ht="21" customHeight="1" x14ac:dyDescent="0.25">
      <c r="A183" s="90">
        <v>45805</v>
      </c>
      <c r="B183" s="87" t="s">
        <v>250</v>
      </c>
      <c r="C183" s="97" t="s">
        <v>489</v>
      </c>
      <c r="D183" s="89" t="s">
        <v>48</v>
      </c>
      <c r="E183" s="87" t="s">
        <v>17</v>
      </c>
      <c r="F183" s="87">
        <v>17</v>
      </c>
      <c r="G183" s="88" t="s">
        <v>6</v>
      </c>
      <c r="H183" s="87">
        <v>17</v>
      </c>
      <c r="I183" s="87">
        <v>1.85</v>
      </c>
      <c r="J183" s="86">
        <v>31.450000000000003</v>
      </c>
      <c r="K183" s="85"/>
      <c r="L183" s="85"/>
      <c r="M183" s="85"/>
    </row>
    <row r="184" spans="1:13" ht="21" customHeight="1" x14ac:dyDescent="0.25">
      <c r="A184" s="94">
        <v>45790</v>
      </c>
      <c r="B184" s="87" t="s">
        <v>250</v>
      </c>
      <c r="C184" s="94" t="s">
        <v>486</v>
      </c>
      <c r="D184" s="93" t="s">
        <v>213</v>
      </c>
      <c r="E184" s="92" t="s">
        <v>214</v>
      </c>
      <c r="F184" s="87">
        <v>17</v>
      </c>
      <c r="G184" s="87" t="s">
        <v>6</v>
      </c>
      <c r="H184" s="87">
        <v>17</v>
      </c>
      <c r="I184" s="99">
        <v>0.53</v>
      </c>
      <c r="J184" s="86">
        <v>9.01</v>
      </c>
      <c r="K184" s="85"/>
      <c r="L184" s="85"/>
      <c r="M184" s="85"/>
    </row>
    <row r="185" spans="1:13" ht="21" customHeight="1" x14ac:dyDescent="0.25">
      <c r="A185" s="107">
        <v>45789</v>
      </c>
      <c r="B185" s="106" t="s">
        <v>320</v>
      </c>
      <c r="C185" s="106" t="s">
        <v>487</v>
      </c>
      <c r="D185" s="106" t="s">
        <v>558</v>
      </c>
      <c r="E185" s="106" t="s">
        <v>357</v>
      </c>
      <c r="F185" s="104">
        <v>16</v>
      </c>
      <c r="G185" s="105" t="s">
        <v>6</v>
      </c>
      <c r="H185" s="105">
        <v>16</v>
      </c>
      <c r="I185" s="85">
        <v>51.675699999999999</v>
      </c>
      <c r="J185" s="85">
        <f>H185*I185</f>
        <v>826.81119999999999</v>
      </c>
      <c r="K185" s="104">
        <v>966</v>
      </c>
      <c r="L185" s="103">
        <f>F185/K185</f>
        <v>1.6563146997929608E-2</v>
      </c>
      <c r="M185" s="102"/>
    </row>
    <row r="186" spans="1:13" ht="21" customHeight="1" x14ac:dyDescent="0.25">
      <c r="A186" s="107">
        <v>45790</v>
      </c>
      <c r="B186" s="106" t="s">
        <v>320</v>
      </c>
      <c r="C186" s="106" t="s">
        <v>487</v>
      </c>
      <c r="D186" s="106" t="s">
        <v>558</v>
      </c>
      <c r="E186" s="106" t="s">
        <v>357</v>
      </c>
      <c r="F186" s="104">
        <v>16</v>
      </c>
      <c r="G186" s="105" t="s">
        <v>6</v>
      </c>
      <c r="H186" s="105">
        <v>16</v>
      </c>
      <c r="I186" s="85">
        <v>51.675699999999999</v>
      </c>
      <c r="J186" s="85">
        <f>H186*I186</f>
        <v>826.81119999999999</v>
      </c>
      <c r="K186" s="104">
        <v>966</v>
      </c>
      <c r="L186" s="103">
        <f>F186/K186</f>
        <v>1.6563146997929608E-2</v>
      </c>
      <c r="M186" s="102"/>
    </row>
    <row r="187" spans="1:13" ht="21" customHeight="1" x14ac:dyDescent="0.25">
      <c r="A187" s="107">
        <v>45801</v>
      </c>
      <c r="B187" s="106" t="s">
        <v>393</v>
      </c>
      <c r="C187" s="106" t="s">
        <v>489</v>
      </c>
      <c r="D187" s="106" t="s">
        <v>490</v>
      </c>
      <c r="E187" s="106" t="s">
        <v>371</v>
      </c>
      <c r="F187" s="104">
        <v>16</v>
      </c>
      <c r="G187" s="105" t="s">
        <v>6</v>
      </c>
      <c r="H187" s="105">
        <v>16</v>
      </c>
      <c r="I187" s="85">
        <v>9.64</v>
      </c>
      <c r="J187" s="85">
        <f>H187*I187</f>
        <v>154.24</v>
      </c>
      <c r="K187" s="104">
        <v>2496</v>
      </c>
      <c r="L187" s="103">
        <f>F187/K187</f>
        <v>6.41025641025641E-3</v>
      </c>
      <c r="M187" s="102" t="s">
        <v>275</v>
      </c>
    </row>
    <row r="188" spans="1:13" ht="21" customHeight="1" x14ac:dyDescent="0.25">
      <c r="A188" s="107">
        <v>45786</v>
      </c>
      <c r="B188" s="106" t="s">
        <v>393</v>
      </c>
      <c r="C188" s="106" t="s">
        <v>489</v>
      </c>
      <c r="D188" s="106" t="s">
        <v>508</v>
      </c>
      <c r="E188" s="106" t="s">
        <v>124</v>
      </c>
      <c r="F188" s="104">
        <v>16</v>
      </c>
      <c r="G188" s="105" t="s">
        <v>6</v>
      </c>
      <c r="H188" s="105">
        <v>16</v>
      </c>
      <c r="I188" s="85">
        <v>13.55</v>
      </c>
      <c r="J188" s="85">
        <f>H188*I188</f>
        <v>216.8</v>
      </c>
      <c r="K188" s="104">
        <f>416+2496</f>
        <v>2912</v>
      </c>
      <c r="L188" s="103">
        <f>F188/K188</f>
        <v>5.4945054945054949E-3</v>
      </c>
      <c r="M188" s="102" t="s">
        <v>500</v>
      </c>
    </row>
    <row r="189" spans="1:13" ht="21" customHeight="1" x14ac:dyDescent="0.25">
      <c r="A189" s="94">
        <v>45774</v>
      </c>
      <c r="B189" s="87" t="s">
        <v>250</v>
      </c>
      <c r="C189" s="94" t="s">
        <v>486</v>
      </c>
      <c r="D189" s="93" t="s">
        <v>192</v>
      </c>
      <c r="E189" s="92" t="s">
        <v>193</v>
      </c>
      <c r="F189" s="87">
        <v>16</v>
      </c>
      <c r="G189" s="87" t="s">
        <v>6</v>
      </c>
      <c r="H189" s="87">
        <v>16</v>
      </c>
      <c r="I189" s="99">
        <v>16.1416</v>
      </c>
      <c r="J189" s="86">
        <v>258.26560000000001</v>
      </c>
      <c r="K189" s="85"/>
      <c r="L189" s="85"/>
      <c r="M189" s="85"/>
    </row>
    <row r="190" spans="1:13" ht="21" customHeight="1" x14ac:dyDescent="0.25">
      <c r="A190" s="90">
        <v>45799</v>
      </c>
      <c r="B190" s="87" t="s">
        <v>250</v>
      </c>
      <c r="C190" s="87" t="s">
        <v>485</v>
      </c>
      <c r="D190" s="89" t="s">
        <v>546</v>
      </c>
      <c r="E190" s="87" t="s">
        <v>545</v>
      </c>
      <c r="F190" s="87">
        <v>16</v>
      </c>
      <c r="G190" s="87" t="s">
        <v>6</v>
      </c>
      <c r="H190" s="87">
        <v>16</v>
      </c>
      <c r="I190" s="100">
        <v>10.444699999999999</v>
      </c>
      <c r="J190" s="86">
        <v>167.11519999999999</v>
      </c>
      <c r="K190" s="85"/>
      <c r="L190" s="85"/>
      <c r="M190" s="85"/>
    </row>
    <row r="191" spans="1:13" ht="21" customHeight="1" x14ac:dyDescent="0.25">
      <c r="A191" s="94">
        <v>45795</v>
      </c>
      <c r="B191" s="87" t="s">
        <v>250</v>
      </c>
      <c r="C191" s="94" t="s">
        <v>486</v>
      </c>
      <c r="D191" s="93" t="s">
        <v>219</v>
      </c>
      <c r="E191" s="92" t="s">
        <v>220</v>
      </c>
      <c r="F191" s="87">
        <v>16</v>
      </c>
      <c r="G191" s="87" t="s">
        <v>6</v>
      </c>
      <c r="H191" s="87">
        <v>16</v>
      </c>
      <c r="I191" s="91">
        <v>10.8024</v>
      </c>
      <c r="J191" s="86">
        <v>172.83840000000001</v>
      </c>
      <c r="K191" s="85"/>
      <c r="L191" s="85"/>
      <c r="M191" s="85"/>
    </row>
    <row r="192" spans="1:13" ht="21" customHeight="1" x14ac:dyDescent="0.25">
      <c r="A192" s="94">
        <v>45795</v>
      </c>
      <c r="B192" s="87" t="s">
        <v>250</v>
      </c>
      <c r="C192" s="94" t="s">
        <v>486</v>
      </c>
      <c r="D192" s="93" t="s">
        <v>221</v>
      </c>
      <c r="E192" s="92" t="s">
        <v>451</v>
      </c>
      <c r="F192" s="87">
        <v>16</v>
      </c>
      <c r="G192" s="87" t="s">
        <v>6</v>
      </c>
      <c r="H192" s="87">
        <v>16</v>
      </c>
      <c r="I192" s="91">
        <v>3.4986999999999999</v>
      </c>
      <c r="J192" s="86">
        <v>55.979199999999999</v>
      </c>
      <c r="K192" s="85"/>
      <c r="L192" s="85"/>
      <c r="M192" s="85"/>
    </row>
    <row r="193" spans="1:13" ht="21" customHeight="1" x14ac:dyDescent="0.25">
      <c r="A193" s="90">
        <v>45789</v>
      </c>
      <c r="B193" s="87" t="s">
        <v>250</v>
      </c>
      <c r="C193" s="87" t="s">
        <v>489</v>
      </c>
      <c r="D193" s="89" t="s">
        <v>30</v>
      </c>
      <c r="E193" s="101" t="s">
        <v>19</v>
      </c>
      <c r="F193" s="96">
        <v>16</v>
      </c>
      <c r="G193" s="88" t="s">
        <v>6</v>
      </c>
      <c r="H193" s="96">
        <v>16</v>
      </c>
      <c r="I193" s="87">
        <v>3.0209999999999999</v>
      </c>
      <c r="J193" s="86">
        <v>48.335999999999999</v>
      </c>
      <c r="K193" s="85"/>
      <c r="L193" s="85"/>
      <c r="M193" s="85"/>
    </row>
    <row r="194" spans="1:13" ht="21" customHeight="1" x14ac:dyDescent="0.25">
      <c r="A194" s="90">
        <v>45789</v>
      </c>
      <c r="B194" s="87" t="s">
        <v>250</v>
      </c>
      <c r="C194" s="87" t="s">
        <v>489</v>
      </c>
      <c r="D194" s="89" t="s">
        <v>29</v>
      </c>
      <c r="E194" s="101" t="s">
        <v>26</v>
      </c>
      <c r="F194" s="96">
        <v>16</v>
      </c>
      <c r="G194" s="88" t="s">
        <v>6</v>
      </c>
      <c r="H194" s="96">
        <v>16</v>
      </c>
      <c r="I194" s="87">
        <v>1.5389999999999999</v>
      </c>
      <c r="J194" s="86">
        <v>24.623999999999999</v>
      </c>
      <c r="K194" s="85"/>
      <c r="L194" s="85"/>
      <c r="M194" s="85"/>
    </row>
    <row r="195" spans="1:13" ht="21" customHeight="1" x14ac:dyDescent="0.25">
      <c r="A195" s="107">
        <v>45806</v>
      </c>
      <c r="B195" s="106" t="s">
        <v>498</v>
      </c>
      <c r="C195" s="106" t="s">
        <v>489</v>
      </c>
      <c r="D195" s="106" t="s">
        <v>557</v>
      </c>
      <c r="E195" s="106" t="s">
        <v>4</v>
      </c>
      <c r="F195" s="104">
        <f>45+16</f>
        <v>61</v>
      </c>
      <c r="G195" s="105" t="s">
        <v>495</v>
      </c>
      <c r="H195" s="105">
        <v>16</v>
      </c>
      <c r="I195" s="85">
        <v>3.6124000000000001</v>
      </c>
      <c r="J195" s="85">
        <f>H195*I195</f>
        <v>57.798400000000001</v>
      </c>
      <c r="K195" s="104">
        <v>1200</v>
      </c>
      <c r="L195" s="103">
        <f>F195/K195</f>
        <v>5.0833333333333335E-2</v>
      </c>
      <c r="M195" s="102" t="s">
        <v>494</v>
      </c>
    </row>
    <row r="196" spans="1:13" ht="21" customHeight="1" x14ac:dyDescent="0.25">
      <c r="A196" s="107">
        <v>45792</v>
      </c>
      <c r="B196" s="106" t="s">
        <v>320</v>
      </c>
      <c r="C196" s="106" t="s">
        <v>485</v>
      </c>
      <c r="D196" s="106" t="s">
        <v>536</v>
      </c>
      <c r="E196" s="106" t="s">
        <v>381</v>
      </c>
      <c r="F196" s="104">
        <v>15</v>
      </c>
      <c r="G196" s="105" t="s">
        <v>6</v>
      </c>
      <c r="H196" s="105">
        <v>15</v>
      </c>
      <c r="I196" s="85">
        <v>16.5</v>
      </c>
      <c r="J196" s="85">
        <f>H196*I196</f>
        <v>247.5</v>
      </c>
      <c r="K196" s="104">
        <v>432</v>
      </c>
      <c r="L196" s="103">
        <f>F196/K196</f>
        <v>3.4722222222222224E-2</v>
      </c>
      <c r="M196" s="102"/>
    </row>
    <row r="197" spans="1:13" ht="21" customHeight="1" x14ac:dyDescent="0.25">
      <c r="A197" s="107">
        <v>45784</v>
      </c>
      <c r="B197" s="106" t="s">
        <v>393</v>
      </c>
      <c r="C197" s="106" t="s">
        <v>489</v>
      </c>
      <c r="D197" s="106" t="s">
        <v>509</v>
      </c>
      <c r="E197" s="106" t="s">
        <v>18</v>
      </c>
      <c r="F197" s="104">
        <v>15</v>
      </c>
      <c r="G197" s="105" t="s">
        <v>6</v>
      </c>
      <c r="H197" s="104">
        <v>15</v>
      </c>
      <c r="I197" s="85">
        <v>14.2</v>
      </c>
      <c r="J197" s="85">
        <f>H197*I197</f>
        <v>213</v>
      </c>
      <c r="K197" s="104">
        <v>448</v>
      </c>
      <c r="L197" s="103">
        <f>F197/K197</f>
        <v>3.3482142857142856E-2</v>
      </c>
      <c r="M197" s="102" t="s">
        <v>288</v>
      </c>
    </row>
    <row r="198" spans="1:13" ht="21" customHeight="1" x14ac:dyDescent="0.25">
      <c r="A198" s="107">
        <v>45797</v>
      </c>
      <c r="B198" s="106" t="s">
        <v>393</v>
      </c>
      <c r="C198" s="106" t="s">
        <v>489</v>
      </c>
      <c r="D198" s="106" t="s">
        <v>508</v>
      </c>
      <c r="E198" s="106" t="s">
        <v>41</v>
      </c>
      <c r="F198" s="104">
        <v>15</v>
      </c>
      <c r="G198" s="105" t="s">
        <v>6</v>
      </c>
      <c r="H198" s="105">
        <v>15</v>
      </c>
      <c r="I198" s="85">
        <v>13.55</v>
      </c>
      <c r="J198" s="85">
        <f>H198*I198</f>
        <v>203.25</v>
      </c>
      <c r="K198" s="104">
        <v>1144</v>
      </c>
      <c r="L198" s="103">
        <f>F198/K198</f>
        <v>1.3111888111888112E-2</v>
      </c>
      <c r="M198" s="102" t="s">
        <v>500</v>
      </c>
    </row>
    <row r="199" spans="1:13" ht="21" customHeight="1" x14ac:dyDescent="0.25">
      <c r="A199" s="107">
        <v>45793</v>
      </c>
      <c r="B199" s="106" t="s">
        <v>393</v>
      </c>
      <c r="C199" s="106" t="s">
        <v>489</v>
      </c>
      <c r="D199" s="106" t="s">
        <v>550</v>
      </c>
      <c r="E199" s="106" t="s">
        <v>41</v>
      </c>
      <c r="F199" s="104">
        <v>15</v>
      </c>
      <c r="G199" s="105" t="s">
        <v>6</v>
      </c>
      <c r="H199" s="105">
        <v>15</v>
      </c>
      <c r="I199" s="85">
        <v>13.55</v>
      </c>
      <c r="J199" s="85">
        <f>H199*I199</f>
        <v>203.25</v>
      </c>
      <c r="K199" s="104">
        <v>208</v>
      </c>
      <c r="L199" s="103">
        <f>F199/K199</f>
        <v>7.2115384615384609E-2</v>
      </c>
      <c r="M199" s="102" t="s">
        <v>500</v>
      </c>
    </row>
    <row r="200" spans="1:13" ht="21" customHeight="1" x14ac:dyDescent="0.25">
      <c r="A200" s="107">
        <v>45802</v>
      </c>
      <c r="B200" s="106" t="s">
        <v>393</v>
      </c>
      <c r="C200" s="106" t="s">
        <v>488</v>
      </c>
      <c r="D200" s="106" t="s">
        <v>343</v>
      </c>
      <c r="E200" s="106" t="s">
        <v>430</v>
      </c>
      <c r="F200" s="104">
        <v>15</v>
      </c>
      <c r="G200" s="105" t="s">
        <v>6</v>
      </c>
      <c r="H200" s="105">
        <v>15</v>
      </c>
      <c r="I200" s="85">
        <v>8.5</v>
      </c>
      <c r="J200" s="85">
        <f>H200*I200</f>
        <v>127.5</v>
      </c>
      <c r="K200" s="104">
        <v>1344</v>
      </c>
      <c r="L200" s="103">
        <f>F200/K200</f>
        <v>1.1160714285714286E-2</v>
      </c>
      <c r="M200" s="102" t="s">
        <v>278</v>
      </c>
    </row>
    <row r="201" spans="1:13" ht="21" customHeight="1" x14ac:dyDescent="0.25">
      <c r="A201" s="107">
        <v>45789</v>
      </c>
      <c r="B201" s="106" t="s">
        <v>515</v>
      </c>
      <c r="C201" s="106" t="s">
        <v>488</v>
      </c>
      <c r="D201" s="106" t="s">
        <v>342</v>
      </c>
      <c r="E201" s="106" t="s">
        <v>348</v>
      </c>
      <c r="F201" s="104">
        <v>15</v>
      </c>
      <c r="G201" s="105" t="s">
        <v>6</v>
      </c>
      <c r="H201" s="105">
        <v>15</v>
      </c>
      <c r="I201" s="85">
        <v>20</v>
      </c>
      <c r="J201" s="85">
        <f>H201*I201</f>
        <v>300</v>
      </c>
      <c r="K201" s="104">
        <v>432</v>
      </c>
      <c r="L201" s="103">
        <f>F201/K201</f>
        <v>3.4722222222222224E-2</v>
      </c>
      <c r="M201" s="102" t="s">
        <v>317</v>
      </c>
    </row>
    <row r="202" spans="1:13" ht="21" customHeight="1" x14ac:dyDescent="0.25">
      <c r="A202" s="107">
        <v>45790</v>
      </c>
      <c r="B202" s="106" t="s">
        <v>515</v>
      </c>
      <c r="C202" s="106" t="s">
        <v>488</v>
      </c>
      <c r="D202" s="106" t="s">
        <v>342</v>
      </c>
      <c r="E202" s="106" t="s">
        <v>348</v>
      </c>
      <c r="F202" s="104">
        <v>15</v>
      </c>
      <c r="G202" s="105" t="s">
        <v>6</v>
      </c>
      <c r="H202" s="105">
        <v>15</v>
      </c>
      <c r="I202" s="85">
        <v>20</v>
      </c>
      <c r="J202" s="85">
        <f>H202*I202</f>
        <v>300</v>
      </c>
      <c r="K202" s="104">
        <v>432</v>
      </c>
      <c r="L202" s="103">
        <f>F202/K202</f>
        <v>3.4722222222222224E-2</v>
      </c>
      <c r="M202" s="102" t="s">
        <v>317</v>
      </c>
    </row>
    <row r="203" spans="1:13" ht="21" customHeight="1" x14ac:dyDescent="0.25">
      <c r="A203" s="107">
        <v>45792</v>
      </c>
      <c r="B203" s="106" t="s">
        <v>393</v>
      </c>
      <c r="C203" s="106" t="s">
        <v>488</v>
      </c>
      <c r="D203" s="106" t="s">
        <v>429</v>
      </c>
      <c r="E203" s="106" t="s">
        <v>350</v>
      </c>
      <c r="F203" s="104">
        <v>15</v>
      </c>
      <c r="G203" s="105" t="s">
        <v>6</v>
      </c>
      <c r="H203" s="105">
        <v>15</v>
      </c>
      <c r="I203" s="85">
        <v>10</v>
      </c>
      <c r="J203" s="85">
        <f>H203*I203</f>
        <v>150</v>
      </c>
      <c r="K203" s="104">
        <v>1872</v>
      </c>
      <c r="L203" s="103">
        <f>F203/K203</f>
        <v>8.0128205128205121E-3</v>
      </c>
      <c r="M203" s="102" t="s">
        <v>500</v>
      </c>
    </row>
    <row r="204" spans="1:13" ht="21" customHeight="1" x14ac:dyDescent="0.25">
      <c r="A204" s="107">
        <v>45793</v>
      </c>
      <c r="B204" s="106" t="s">
        <v>393</v>
      </c>
      <c r="C204" s="106" t="s">
        <v>488</v>
      </c>
      <c r="D204" s="106" t="s">
        <v>429</v>
      </c>
      <c r="E204" s="106" t="s">
        <v>350</v>
      </c>
      <c r="F204" s="104">
        <v>15</v>
      </c>
      <c r="G204" s="105" t="s">
        <v>6</v>
      </c>
      <c r="H204" s="105">
        <v>15</v>
      </c>
      <c r="I204" s="85">
        <v>10</v>
      </c>
      <c r="J204" s="85">
        <f>H204*I204</f>
        <v>150</v>
      </c>
      <c r="K204" s="104">
        <v>1456</v>
      </c>
      <c r="L204" s="103">
        <f>F204/K204</f>
        <v>1.0302197802197802E-2</v>
      </c>
      <c r="M204" s="102" t="s">
        <v>500</v>
      </c>
    </row>
    <row r="205" spans="1:13" ht="21" customHeight="1" x14ac:dyDescent="0.25">
      <c r="A205" s="107">
        <v>45802</v>
      </c>
      <c r="B205" s="106" t="s">
        <v>393</v>
      </c>
      <c r="C205" s="106" t="s">
        <v>488</v>
      </c>
      <c r="D205" s="106" t="s">
        <v>429</v>
      </c>
      <c r="E205" s="106" t="s">
        <v>350</v>
      </c>
      <c r="F205" s="104">
        <v>15</v>
      </c>
      <c r="G205" s="105" t="s">
        <v>6</v>
      </c>
      <c r="H205" s="105">
        <v>15</v>
      </c>
      <c r="I205" s="85">
        <v>10</v>
      </c>
      <c r="J205" s="85">
        <f>H205*I205</f>
        <v>150</v>
      </c>
      <c r="K205" s="104">
        <v>832</v>
      </c>
      <c r="L205" s="103">
        <f>F205/K205</f>
        <v>1.8028846153846152E-2</v>
      </c>
      <c r="M205" s="102" t="s">
        <v>500</v>
      </c>
    </row>
    <row r="206" spans="1:13" ht="21" customHeight="1" x14ac:dyDescent="0.25">
      <c r="A206" s="107">
        <v>45781</v>
      </c>
      <c r="B206" s="106" t="s">
        <v>393</v>
      </c>
      <c r="C206" s="106" t="s">
        <v>489</v>
      </c>
      <c r="D206" s="106" t="s">
        <v>556</v>
      </c>
      <c r="E206" s="106" t="s">
        <v>555</v>
      </c>
      <c r="F206" s="104">
        <v>15</v>
      </c>
      <c r="G206" s="105" t="s">
        <v>6</v>
      </c>
      <c r="H206" s="104">
        <v>15</v>
      </c>
      <c r="I206" s="85">
        <v>23.180900000000001</v>
      </c>
      <c r="J206" s="85">
        <f>H206*I206</f>
        <v>347.71350000000001</v>
      </c>
      <c r="K206" s="104">
        <v>1680</v>
      </c>
      <c r="L206" s="103">
        <f>F206/K206</f>
        <v>8.9285714285714281E-3</v>
      </c>
      <c r="M206" s="102"/>
    </row>
    <row r="207" spans="1:13" ht="21" customHeight="1" x14ac:dyDescent="0.25">
      <c r="A207" s="94">
        <v>45795</v>
      </c>
      <c r="B207" s="87" t="s">
        <v>250</v>
      </c>
      <c r="C207" s="94" t="s">
        <v>486</v>
      </c>
      <c r="D207" s="93" t="s">
        <v>203</v>
      </c>
      <c r="E207" s="92" t="s">
        <v>204</v>
      </c>
      <c r="F207" s="87">
        <v>15</v>
      </c>
      <c r="G207" s="87" t="s">
        <v>6</v>
      </c>
      <c r="H207" s="87">
        <v>15</v>
      </c>
      <c r="I207" s="99">
        <v>44.4726</v>
      </c>
      <c r="J207" s="86">
        <v>667.08899999999994</v>
      </c>
      <c r="K207" s="85"/>
      <c r="L207" s="85"/>
      <c r="M207" s="85"/>
    </row>
    <row r="208" spans="1:13" ht="21" customHeight="1" x14ac:dyDescent="0.25">
      <c r="A208" s="94">
        <v>45795</v>
      </c>
      <c r="B208" s="87" t="s">
        <v>250</v>
      </c>
      <c r="C208" s="94" t="s">
        <v>486</v>
      </c>
      <c r="D208" s="93" t="s">
        <v>205</v>
      </c>
      <c r="E208" s="92" t="s">
        <v>206</v>
      </c>
      <c r="F208" s="87">
        <v>15</v>
      </c>
      <c r="G208" s="87" t="s">
        <v>6</v>
      </c>
      <c r="H208" s="87">
        <v>15</v>
      </c>
      <c r="I208" s="99">
        <v>30.193999999999999</v>
      </c>
      <c r="J208" s="86">
        <v>452.90999999999997</v>
      </c>
      <c r="K208" s="85"/>
      <c r="L208" s="85"/>
      <c r="M208" s="85"/>
    </row>
    <row r="209" spans="1:13" ht="21" customHeight="1" x14ac:dyDescent="0.25">
      <c r="A209" s="90">
        <v>45790</v>
      </c>
      <c r="B209" s="87" t="s">
        <v>250</v>
      </c>
      <c r="C209" s="87" t="s">
        <v>489</v>
      </c>
      <c r="D209" s="89" t="s">
        <v>60</v>
      </c>
      <c r="E209" s="87" t="s">
        <v>15</v>
      </c>
      <c r="F209" s="101">
        <v>15</v>
      </c>
      <c r="G209" s="88" t="s">
        <v>6</v>
      </c>
      <c r="H209" s="101">
        <v>15</v>
      </c>
      <c r="I209" s="87">
        <v>16.991</v>
      </c>
      <c r="J209" s="86">
        <v>254.86500000000001</v>
      </c>
      <c r="K209" s="85"/>
      <c r="L209" s="85"/>
      <c r="M209" s="85"/>
    </row>
    <row r="210" spans="1:13" ht="21" customHeight="1" x14ac:dyDescent="0.25">
      <c r="A210" s="90">
        <v>45789</v>
      </c>
      <c r="B210" s="87" t="s">
        <v>250</v>
      </c>
      <c r="C210" s="87" t="s">
        <v>489</v>
      </c>
      <c r="D210" s="95" t="s">
        <v>9</v>
      </c>
      <c r="E210" s="87" t="s">
        <v>100</v>
      </c>
      <c r="F210" s="96">
        <v>15</v>
      </c>
      <c r="G210" s="88" t="s">
        <v>6</v>
      </c>
      <c r="H210" s="96">
        <v>15</v>
      </c>
      <c r="I210" s="87">
        <v>22.7425</v>
      </c>
      <c r="J210" s="86">
        <v>341.13749999999999</v>
      </c>
      <c r="K210" s="85"/>
      <c r="L210" s="85"/>
      <c r="M210" s="85"/>
    </row>
    <row r="211" spans="1:13" ht="21" customHeight="1" x14ac:dyDescent="0.25">
      <c r="A211" s="94">
        <v>45774</v>
      </c>
      <c r="B211" s="87" t="s">
        <v>250</v>
      </c>
      <c r="C211" s="94" t="s">
        <v>486</v>
      </c>
      <c r="D211" s="93" t="s">
        <v>219</v>
      </c>
      <c r="E211" s="92" t="s">
        <v>220</v>
      </c>
      <c r="F211" s="87">
        <v>15</v>
      </c>
      <c r="G211" s="87" t="s">
        <v>6</v>
      </c>
      <c r="H211" s="87">
        <v>15</v>
      </c>
      <c r="I211" s="99">
        <v>10.8024</v>
      </c>
      <c r="J211" s="86">
        <v>162.036</v>
      </c>
      <c r="K211" s="85"/>
      <c r="L211" s="85"/>
      <c r="M211" s="85"/>
    </row>
    <row r="212" spans="1:13" ht="21" customHeight="1" x14ac:dyDescent="0.25">
      <c r="A212" s="90">
        <v>45789</v>
      </c>
      <c r="B212" s="87" t="s">
        <v>250</v>
      </c>
      <c r="C212" s="87" t="s">
        <v>489</v>
      </c>
      <c r="D212" s="89" t="s">
        <v>29</v>
      </c>
      <c r="E212" s="101" t="s">
        <v>89</v>
      </c>
      <c r="F212" s="96">
        <v>15</v>
      </c>
      <c r="G212" s="88" t="s">
        <v>6</v>
      </c>
      <c r="H212" s="96">
        <v>15</v>
      </c>
      <c r="I212" s="87">
        <v>2.9420000000000002</v>
      </c>
      <c r="J212" s="86">
        <v>44.13</v>
      </c>
      <c r="K212" s="85"/>
      <c r="L212" s="85"/>
      <c r="M212" s="85"/>
    </row>
    <row r="213" spans="1:13" ht="21" customHeight="1" x14ac:dyDescent="0.25">
      <c r="A213" s="90">
        <v>45789</v>
      </c>
      <c r="B213" s="87" t="s">
        <v>250</v>
      </c>
      <c r="C213" s="87" t="s">
        <v>489</v>
      </c>
      <c r="D213" s="89" t="s">
        <v>29</v>
      </c>
      <c r="E213" s="101" t="s">
        <v>90</v>
      </c>
      <c r="F213" s="96">
        <v>15</v>
      </c>
      <c r="G213" s="88" t="s">
        <v>6</v>
      </c>
      <c r="H213" s="96">
        <v>15</v>
      </c>
      <c r="I213" s="87">
        <v>2.9420000000000002</v>
      </c>
      <c r="J213" s="86">
        <v>44.13</v>
      </c>
      <c r="K213" s="85"/>
      <c r="L213" s="85"/>
      <c r="M213" s="85"/>
    </row>
    <row r="214" spans="1:13" ht="21" customHeight="1" x14ac:dyDescent="0.25">
      <c r="A214" s="90">
        <v>45807</v>
      </c>
      <c r="B214" s="87" t="s">
        <v>250</v>
      </c>
      <c r="C214" s="87" t="s">
        <v>485</v>
      </c>
      <c r="D214" s="89" t="s">
        <v>554</v>
      </c>
      <c r="E214" s="87" t="s">
        <v>553</v>
      </c>
      <c r="F214" s="87">
        <v>15</v>
      </c>
      <c r="G214" s="87" t="s">
        <v>6</v>
      </c>
      <c r="H214" s="87">
        <v>15</v>
      </c>
      <c r="I214" s="100">
        <v>1.7216</v>
      </c>
      <c r="J214" s="86">
        <v>25.824000000000002</v>
      </c>
      <c r="K214" s="85"/>
      <c r="L214" s="85"/>
      <c r="M214" s="85"/>
    </row>
    <row r="215" spans="1:13" ht="21" customHeight="1" x14ac:dyDescent="0.25">
      <c r="A215" s="90">
        <v>45807</v>
      </c>
      <c r="B215" s="87" t="s">
        <v>250</v>
      </c>
      <c r="C215" s="87" t="s">
        <v>485</v>
      </c>
      <c r="D215" s="89" t="s">
        <v>552</v>
      </c>
      <c r="E215" s="87" t="s">
        <v>551</v>
      </c>
      <c r="F215" s="87">
        <v>15</v>
      </c>
      <c r="G215" s="87" t="s">
        <v>6</v>
      </c>
      <c r="H215" s="87">
        <v>15</v>
      </c>
      <c r="I215" s="100">
        <v>0.95579999999999998</v>
      </c>
      <c r="J215" s="86">
        <v>14.337</v>
      </c>
      <c r="K215" s="85"/>
      <c r="L215" s="85"/>
      <c r="M215" s="85"/>
    </row>
    <row r="216" spans="1:13" ht="21" customHeight="1" x14ac:dyDescent="0.25">
      <c r="A216" s="107">
        <v>45798</v>
      </c>
      <c r="B216" s="106" t="s">
        <v>393</v>
      </c>
      <c r="C216" s="106" t="s">
        <v>489</v>
      </c>
      <c r="D216" s="106" t="s">
        <v>115</v>
      </c>
      <c r="E216" s="106" t="s">
        <v>42</v>
      </c>
      <c r="F216" s="104">
        <v>14</v>
      </c>
      <c r="G216" s="105" t="s">
        <v>6</v>
      </c>
      <c r="H216" s="105">
        <v>14</v>
      </c>
      <c r="I216" s="87">
        <v>8.5</v>
      </c>
      <c r="J216" s="85">
        <f>H216*I216</f>
        <v>119</v>
      </c>
      <c r="K216" s="104">
        <v>1944</v>
      </c>
      <c r="L216" s="103">
        <f>F216/K216</f>
        <v>7.2016460905349796E-3</v>
      </c>
      <c r="M216" s="102" t="s">
        <v>510</v>
      </c>
    </row>
    <row r="217" spans="1:13" ht="21" customHeight="1" x14ac:dyDescent="0.25">
      <c r="A217" s="107">
        <v>45799</v>
      </c>
      <c r="B217" s="106" t="s">
        <v>393</v>
      </c>
      <c r="C217" s="106" t="s">
        <v>489</v>
      </c>
      <c r="D217" s="106" t="s">
        <v>508</v>
      </c>
      <c r="E217" s="106" t="s">
        <v>41</v>
      </c>
      <c r="F217" s="104">
        <v>14</v>
      </c>
      <c r="G217" s="105" t="s">
        <v>6</v>
      </c>
      <c r="H217" s="105">
        <v>14</v>
      </c>
      <c r="I217" s="85">
        <v>13.55</v>
      </c>
      <c r="J217" s="85">
        <f>H217*I217</f>
        <v>189.70000000000002</v>
      </c>
      <c r="K217" s="104">
        <f>324+2704</f>
        <v>3028</v>
      </c>
      <c r="L217" s="103">
        <f>F217/K217</f>
        <v>4.623513870541612E-3</v>
      </c>
      <c r="M217" s="102" t="s">
        <v>500</v>
      </c>
    </row>
    <row r="218" spans="1:13" ht="21" customHeight="1" x14ac:dyDescent="0.25">
      <c r="A218" s="107">
        <v>45792</v>
      </c>
      <c r="B218" s="106" t="s">
        <v>393</v>
      </c>
      <c r="C218" s="106" t="s">
        <v>489</v>
      </c>
      <c r="D218" s="106" t="s">
        <v>550</v>
      </c>
      <c r="E218" s="106" t="s">
        <v>41</v>
      </c>
      <c r="F218" s="104">
        <v>14</v>
      </c>
      <c r="G218" s="105" t="s">
        <v>6</v>
      </c>
      <c r="H218" s="105">
        <v>14</v>
      </c>
      <c r="I218" s="85">
        <v>13.55</v>
      </c>
      <c r="J218" s="85">
        <f>H218*I218</f>
        <v>189.70000000000002</v>
      </c>
      <c r="K218" s="104">
        <v>1872</v>
      </c>
      <c r="L218" s="103">
        <f>F218/K218</f>
        <v>7.478632478632479E-3</v>
      </c>
      <c r="M218" s="102" t="s">
        <v>500</v>
      </c>
    </row>
    <row r="219" spans="1:13" ht="21" customHeight="1" x14ac:dyDescent="0.25">
      <c r="A219" s="107">
        <v>45791</v>
      </c>
      <c r="B219" s="106" t="s">
        <v>515</v>
      </c>
      <c r="C219" s="106" t="s">
        <v>488</v>
      </c>
      <c r="D219" s="106" t="s">
        <v>338</v>
      </c>
      <c r="E219" s="106" t="s">
        <v>345</v>
      </c>
      <c r="F219" s="104">
        <v>14</v>
      </c>
      <c r="G219" s="105" t="s">
        <v>6</v>
      </c>
      <c r="H219" s="105">
        <v>14</v>
      </c>
      <c r="I219" s="85">
        <v>23</v>
      </c>
      <c r="J219" s="85">
        <f>H219*I219</f>
        <v>322</v>
      </c>
      <c r="K219" s="104">
        <v>720</v>
      </c>
      <c r="L219" s="103">
        <f>F219/K219</f>
        <v>1.9444444444444445E-2</v>
      </c>
      <c r="M219" s="102" t="s">
        <v>527</v>
      </c>
    </row>
    <row r="220" spans="1:13" ht="21" customHeight="1" x14ac:dyDescent="0.25">
      <c r="A220" s="107">
        <v>45794</v>
      </c>
      <c r="B220" s="106" t="s">
        <v>515</v>
      </c>
      <c r="C220" s="106" t="s">
        <v>488</v>
      </c>
      <c r="D220" s="106" t="s">
        <v>338</v>
      </c>
      <c r="E220" s="106" t="s">
        <v>345</v>
      </c>
      <c r="F220" s="104">
        <v>14</v>
      </c>
      <c r="G220" s="105" t="s">
        <v>6</v>
      </c>
      <c r="H220" s="105">
        <v>14</v>
      </c>
      <c r="I220" s="85">
        <v>23</v>
      </c>
      <c r="J220" s="85">
        <f>H220*I220</f>
        <v>322</v>
      </c>
      <c r="K220" s="104">
        <v>576</v>
      </c>
      <c r="L220" s="103">
        <f>F220/K220</f>
        <v>2.4305555555555556E-2</v>
      </c>
      <c r="M220" s="102" t="s">
        <v>527</v>
      </c>
    </row>
    <row r="221" spans="1:13" ht="21" customHeight="1" x14ac:dyDescent="0.25">
      <c r="A221" s="90">
        <v>45785</v>
      </c>
      <c r="B221" s="87" t="s">
        <v>250</v>
      </c>
      <c r="C221" s="87" t="s">
        <v>485</v>
      </c>
      <c r="D221" s="89" t="s">
        <v>549</v>
      </c>
      <c r="E221" s="87" t="s">
        <v>548</v>
      </c>
      <c r="F221" s="87">
        <v>14</v>
      </c>
      <c r="G221" s="87" t="s">
        <v>6</v>
      </c>
      <c r="H221" s="87">
        <v>14</v>
      </c>
      <c r="I221" s="100">
        <v>11.968999999999999</v>
      </c>
      <c r="J221" s="86">
        <v>167.566</v>
      </c>
      <c r="K221" s="85"/>
      <c r="L221" s="85"/>
      <c r="M221" s="85"/>
    </row>
    <row r="222" spans="1:13" ht="21" customHeight="1" x14ac:dyDescent="0.25">
      <c r="A222" s="90">
        <v>45790</v>
      </c>
      <c r="B222" s="87" t="s">
        <v>250</v>
      </c>
      <c r="C222" s="87" t="s">
        <v>489</v>
      </c>
      <c r="D222" s="95" t="s">
        <v>69</v>
      </c>
      <c r="E222" s="87" t="s">
        <v>479</v>
      </c>
      <c r="F222" s="101">
        <v>14</v>
      </c>
      <c r="G222" s="88" t="s">
        <v>6</v>
      </c>
      <c r="H222" s="101">
        <v>14</v>
      </c>
      <c r="I222" s="87">
        <v>11.773300000000001</v>
      </c>
      <c r="J222" s="86">
        <v>164.8262</v>
      </c>
      <c r="K222" s="85"/>
      <c r="L222" s="85"/>
      <c r="M222" s="85"/>
    </row>
    <row r="223" spans="1:13" ht="21" customHeight="1" x14ac:dyDescent="0.25">
      <c r="A223" s="107">
        <v>45784</v>
      </c>
      <c r="B223" s="106" t="s">
        <v>515</v>
      </c>
      <c r="C223" s="106" t="s">
        <v>489</v>
      </c>
      <c r="D223" s="106" t="s">
        <v>538</v>
      </c>
      <c r="E223" s="106" t="s">
        <v>17</v>
      </c>
      <c r="F223" s="104">
        <v>75</v>
      </c>
      <c r="G223" s="105" t="s">
        <v>262</v>
      </c>
      <c r="H223" s="104">
        <v>14</v>
      </c>
      <c r="I223" s="85">
        <v>1.6369</v>
      </c>
      <c r="J223" s="85">
        <f>H223*I223</f>
        <v>22.916599999999999</v>
      </c>
      <c r="K223" s="104">
        <v>1080</v>
      </c>
      <c r="L223" s="103">
        <f>F223/K223</f>
        <v>6.9444444444444448E-2</v>
      </c>
      <c r="M223" s="102" t="s">
        <v>261</v>
      </c>
    </row>
    <row r="224" spans="1:13" ht="21" customHeight="1" x14ac:dyDescent="0.25">
      <c r="A224" s="107">
        <v>45801</v>
      </c>
      <c r="B224" s="106" t="s">
        <v>393</v>
      </c>
      <c r="C224" s="106" t="s">
        <v>485</v>
      </c>
      <c r="D224" s="106" t="s">
        <v>547</v>
      </c>
      <c r="E224" s="106" t="s">
        <v>383</v>
      </c>
      <c r="F224" s="104">
        <v>13</v>
      </c>
      <c r="G224" s="105" t="s">
        <v>262</v>
      </c>
      <c r="H224" s="105">
        <v>13</v>
      </c>
      <c r="I224" s="85">
        <v>3.6282999999999999</v>
      </c>
      <c r="J224" s="85">
        <f>H224*I224</f>
        <v>47.167899999999996</v>
      </c>
      <c r="K224" s="104">
        <v>180</v>
      </c>
      <c r="L224" s="103">
        <f>F224/K224</f>
        <v>7.2222222222222215E-2</v>
      </c>
      <c r="M224" s="102" t="s">
        <v>264</v>
      </c>
    </row>
    <row r="225" spans="1:13" ht="21" customHeight="1" x14ac:dyDescent="0.25">
      <c r="A225" s="107">
        <v>45800</v>
      </c>
      <c r="B225" s="106" t="s">
        <v>393</v>
      </c>
      <c r="C225" s="106" t="s">
        <v>489</v>
      </c>
      <c r="D225" s="106" t="s">
        <v>490</v>
      </c>
      <c r="E225" s="106" t="s">
        <v>15</v>
      </c>
      <c r="F225" s="104">
        <v>13</v>
      </c>
      <c r="G225" s="105" t="s">
        <v>6</v>
      </c>
      <c r="H225" s="105">
        <v>13</v>
      </c>
      <c r="I225" s="85">
        <v>9.64</v>
      </c>
      <c r="J225" s="85">
        <f>H225*I225</f>
        <v>125.32000000000001</v>
      </c>
      <c r="K225" s="104">
        <v>960</v>
      </c>
      <c r="L225" s="103">
        <f>F225/K225</f>
        <v>1.3541666666666667E-2</v>
      </c>
      <c r="M225" s="102" t="s">
        <v>275</v>
      </c>
    </row>
    <row r="226" spans="1:13" ht="21" customHeight="1" x14ac:dyDescent="0.25">
      <c r="A226" s="107">
        <v>45800</v>
      </c>
      <c r="B226" s="106" t="s">
        <v>393</v>
      </c>
      <c r="C226" s="106" t="s">
        <v>489</v>
      </c>
      <c r="D226" s="106" t="s">
        <v>508</v>
      </c>
      <c r="E226" s="106" t="s">
        <v>41</v>
      </c>
      <c r="F226" s="104">
        <v>13</v>
      </c>
      <c r="G226" s="105" t="s">
        <v>6</v>
      </c>
      <c r="H226" s="105">
        <v>13</v>
      </c>
      <c r="I226" s="85">
        <v>13.55</v>
      </c>
      <c r="J226" s="85">
        <f>H226*I226</f>
        <v>176.15</v>
      </c>
      <c r="K226" s="104">
        <f>1976+520</f>
        <v>2496</v>
      </c>
      <c r="L226" s="103">
        <f>F226/K226</f>
        <v>5.208333333333333E-3</v>
      </c>
      <c r="M226" s="102" t="s">
        <v>500</v>
      </c>
    </row>
    <row r="227" spans="1:13" ht="21" customHeight="1" x14ac:dyDescent="0.25">
      <c r="A227" s="94">
        <v>45784</v>
      </c>
      <c r="B227" s="87" t="s">
        <v>250</v>
      </c>
      <c r="C227" s="94" t="s">
        <v>486</v>
      </c>
      <c r="D227" s="93" t="s">
        <v>187</v>
      </c>
      <c r="E227" s="92" t="s">
        <v>188</v>
      </c>
      <c r="F227" s="87">
        <v>13</v>
      </c>
      <c r="G227" s="87" t="s">
        <v>6</v>
      </c>
      <c r="H227" s="87">
        <v>13</v>
      </c>
      <c r="I227" s="99">
        <v>27.2667</v>
      </c>
      <c r="J227" s="86">
        <v>354.46710000000002</v>
      </c>
      <c r="K227" s="85"/>
      <c r="L227" s="85"/>
      <c r="M227" s="85"/>
    </row>
    <row r="228" spans="1:13" ht="21" customHeight="1" x14ac:dyDescent="0.25">
      <c r="A228" s="94">
        <v>45774</v>
      </c>
      <c r="B228" s="87" t="s">
        <v>250</v>
      </c>
      <c r="C228" s="94" t="s">
        <v>486</v>
      </c>
      <c r="D228" s="93" t="s">
        <v>215</v>
      </c>
      <c r="E228" s="92" t="s">
        <v>216</v>
      </c>
      <c r="F228" s="87">
        <v>13</v>
      </c>
      <c r="G228" s="87" t="s">
        <v>6</v>
      </c>
      <c r="H228" s="87">
        <v>13</v>
      </c>
      <c r="I228" s="99">
        <v>25.256599999999999</v>
      </c>
      <c r="J228" s="86">
        <v>328.33580000000001</v>
      </c>
      <c r="K228" s="85"/>
      <c r="L228" s="85"/>
      <c r="M228" s="85"/>
    </row>
    <row r="229" spans="1:13" ht="21" customHeight="1" x14ac:dyDescent="0.25">
      <c r="A229" s="90">
        <v>45787</v>
      </c>
      <c r="B229" s="87" t="s">
        <v>250</v>
      </c>
      <c r="C229" s="87" t="s">
        <v>485</v>
      </c>
      <c r="D229" s="89" t="s">
        <v>546</v>
      </c>
      <c r="E229" s="87" t="s">
        <v>545</v>
      </c>
      <c r="F229" s="87">
        <v>13</v>
      </c>
      <c r="G229" s="87" t="s">
        <v>6</v>
      </c>
      <c r="H229" s="87">
        <v>13</v>
      </c>
      <c r="I229" s="100">
        <v>10.444699999999999</v>
      </c>
      <c r="J229" s="86">
        <v>135.78109999999998</v>
      </c>
      <c r="K229" s="85"/>
      <c r="L229" s="85"/>
      <c r="M229" s="85"/>
    </row>
    <row r="230" spans="1:13" ht="21" customHeight="1" x14ac:dyDescent="0.25">
      <c r="A230" s="90">
        <v>45799</v>
      </c>
      <c r="B230" s="87" t="s">
        <v>250</v>
      </c>
      <c r="C230" s="87" t="s">
        <v>485</v>
      </c>
      <c r="D230" s="89" t="s">
        <v>541</v>
      </c>
      <c r="E230" s="87" t="s">
        <v>540</v>
      </c>
      <c r="F230" s="87">
        <v>13</v>
      </c>
      <c r="G230" s="87" t="s">
        <v>6</v>
      </c>
      <c r="H230" s="87">
        <v>13</v>
      </c>
      <c r="I230" s="100">
        <v>10.353999999999999</v>
      </c>
      <c r="J230" s="86">
        <v>134.60199999999998</v>
      </c>
      <c r="K230" s="85"/>
      <c r="L230" s="85"/>
      <c r="M230" s="85"/>
    </row>
    <row r="231" spans="1:13" ht="21" customHeight="1" x14ac:dyDescent="0.25">
      <c r="A231" s="107">
        <v>45799</v>
      </c>
      <c r="B231" s="106" t="s">
        <v>515</v>
      </c>
      <c r="C231" s="106" t="s">
        <v>486</v>
      </c>
      <c r="D231" s="106" t="s">
        <v>544</v>
      </c>
      <c r="E231" s="106" t="s">
        <v>543</v>
      </c>
      <c r="F231" s="104">
        <v>12</v>
      </c>
      <c r="G231" s="105" t="s">
        <v>6</v>
      </c>
      <c r="H231" s="105">
        <v>12</v>
      </c>
      <c r="I231" s="85">
        <v>5.5134999999999996</v>
      </c>
      <c r="J231" s="85">
        <f>H231*I231</f>
        <v>66.161999999999992</v>
      </c>
      <c r="K231" s="104">
        <v>296</v>
      </c>
      <c r="L231" s="103">
        <f>F231/K231</f>
        <v>4.0540540540540543E-2</v>
      </c>
      <c r="M231" s="102" t="s">
        <v>528</v>
      </c>
    </row>
    <row r="232" spans="1:13" ht="21" customHeight="1" x14ac:dyDescent="0.25">
      <c r="A232" s="90">
        <v>45790</v>
      </c>
      <c r="B232" s="87" t="s">
        <v>250</v>
      </c>
      <c r="C232" s="87" t="s">
        <v>489</v>
      </c>
      <c r="D232" s="95" t="s">
        <v>59</v>
      </c>
      <c r="E232" s="101" t="s">
        <v>124</v>
      </c>
      <c r="F232" s="101">
        <v>12</v>
      </c>
      <c r="G232" s="101" t="s">
        <v>8</v>
      </c>
      <c r="H232" s="101">
        <v>12</v>
      </c>
      <c r="I232" s="100">
        <v>17.255500000000001</v>
      </c>
      <c r="J232" s="86">
        <v>207.06600000000003</v>
      </c>
      <c r="K232" s="85"/>
      <c r="L232" s="85"/>
      <c r="M232" s="85"/>
    </row>
    <row r="233" spans="1:13" ht="21" customHeight="1" x14ac:dyDescent="0.25">
      <c r="A233" s="90">
        <v>45795</v>
      </c>
      <c r="B233" s="87" t="s">
        <v>250</v>
      </c>
      <c r="C233" s="87" t="s">
        <v>489</v>
      </c>
      <c r="D233" s="95" t="s">
        <v>9</v>
      </c>
      <c r="E233" s="87" t="s">
        <v>100</v>
      </c>
      <c r="F233" s="87">
        <v>12</v>
      </c>
      <c r="G233" s="88" t="s">
        <v>6</v>
      </c>
      <c r="H233" s="87">
        <v>12</v>
      </c>
      <c r="I233" s="87">
        <v>22.7425</v>
      </c>
      <c r="J233" s="86">
        <v>272.90999999999997</v>
      </c>
      <c r="K233" s="85"/>
      <c r="L233" s="85"/>
      <c r="M233" s="85"/>
    </row>
    <row r="234" spans="1:13" ht="21" customHeight="1" x14ac:dyDescent="0.25">
      <c r="A234" s="90">
        <v>45799</v>
      </c>
      <c r="B234" s="87" t="s">
        <v>250</v>
      </c>
      <c r="C234" s="87" t="s">
        <v>485</v>
      </c>
      <c r="D234" s="89" t="s">
        <v>532</v>
      </c>
      <c r="E234" s="87" t="s">
        <v>531</v>
      </c>
      <c r="F234" s="87">
        <v>12</v>
      </c>
      <c r="G234" s="87" t="s">
        <v>6</v>
      </c>
      <c r="H234" s="87">
        <v>12</v>
      </c>
      <c r="I234" s="100">
        <v>8.3518000000000008</v>
      </c>
      <c r="J234" s="86">
        <v>100.22160000000001</v>
      </c>
      <c r="K234" s="85"/>
      <c r="L234" s="85"/>
      <c r="M234" s="85"/>
    </row>
    <row r="235" spans="1:13" ht="21" customHeight="1" x14ac:dyDescent="0.25">
      <c r="A235" s="107">
        <v>45799</v>
      </c>
      <c r="B235" s="106" t="s">
        <v>393</v>
      </c>
      <c r="C235" s="106" t="s">
        <v>489</v>
      </c>
      <c r="D235" s="106" t="s">
        <v>115</v>
      </c>
      <c r="E235" s="106" t="s">
        <v>42</v>
      </c>
      <c r="F235" s="104">
        <v>11</v>
      </c>
      <c r="G235" s="105" t="s">
        <v>6</v>
      </c>
      <c r="H235" s="105">
        <v>11</v>
      </c>
      <c r="I235" s="87">
        <v>8.5</v>
      </c>
      <c r="J235" s="85">
        <f>H235*I235</f>
        <v>93.5</v>
      </c>
      <c r="K235" s="104">
        <v>216</v>
      </c>
      <c r="L235" s="103">
        <f>F235/K235</f>
        <v>5.0925925925925923E-2</v>
      </c>
      <c r="M235" s="102" t="s">
        <v>510</v>
      </c>
    </row>
    <row r="236" spans="1:13" ht="21" customHeight="1" x14ac:dyDescent="0.25">
      <c r="A236" s="107">
        <v>45793</v>
      </c>
      <c r="B236" s="106" t="s">
        <v>393</v>
      </c>
      <c r="C236" s="106" t="s">
        <v>489</v>
      </c>
      <c r="D236" s="106" t="s">
        <v>509</v>
      </c>
      <c r="E236" s="106" t="s">
        <v>18</v>
      </c>
      <c r="F236" s="104">
        <v>11</v>
      </c>
      <c r="G236" s="105" t="s">
        <v>6</v>
      </c>
      <c r="H236" s="105">
        <v>11</v>
      </c>
      <c r="I236" s="85">
        <v>14.2</v>
      </c>
      <c r="J236" s="85">
        <f>H236*I236</f>
        <v>156.19999999999999</v>
      </c>
      <c r="K236" s="104">
        <v>392</v>
      </c>
      <c r="L236" s="103">
        <f>F236/K236</f>
        <v>2.8061224489795918E-2</v>
      </c>
      <c r="M236" s="102" t="s">
        <v>288</v>
      </c>
    </row>
    <row r="237" spans="1:13" ht="21" customHeight="1" x14ac:dyDescent="0.25">
      <c r="A237" s="94">
        <v>45795</v>
      </c>
      <c r="B237" s="87" t="s">
        <v>250</v>
      </c>
      <c r="C237" s="94" t="s">
        <v>486</v>
      </c>
      <c r="D237" s="93" t="s">
        <v>224</v>
      </c>
      <c r="E237" s="92" t="s">
        <v>225</v>
      </c>
      <c r="F237" s="87">
        <v>11</v>
      </c>
      <c r="G237" s="87" t="s">
        <v>6</v>
      </c>
      <c r="H237" s="87">
        <v>11</v>
      </c>
      <c r="I237" s="99">
        <v>43.274299999999997</v>
      </c>
      <c r="J237" s="86">
        <v>476.01729999999998</v>
      </c>
      <c r="K237" s="85"/>
      <c r="L237" s="85"/>
      <c r="M237" s="85"/>
    </row>
    <row r="238" spans="1:13" ht="21" customHeight="1" x14ac:dyDescent="0.25">
      <c r="A238" s="94">
        <v>45795</v>
      </c>
      <c r="B238" s="87" t="s">
        <v>250</v>
      </c>
      <c r="C238" s="94" t="s">
        <v>486</v>
      </c>
      <c r="D238" s="93" t="s">
        <v>224</v>
      </c>
      <c r="E238" s="92" t="s">
        <v>225</v>
      </c>
      <c r="F238" s="87">
        <v>11</v>
      </c>
      <c r="G238" s="87" t="s">
        <v>6</v>
      </c>
      <c r="H238" s="87">
        <v>11</v>
      </c>
      <c r="I238" s="99">
        <v>43.274299999999997</v>
      </c>
      <c r="J238" s="86">
        <v>476.01729999999998</v>
      </c>
      <c r="K238" s="85"/>
      <c r="L238" s="85"/>
      <c r="M238" s="85"/>
    </row>
    <row r="239" spans="1:13" ht="21" customHeight="1" x14ac:dyDescent="0.25">
      <c r="A239" s="90">
        <v>45805</v>
      </c>
      <c r="B239" s="87" t="s">
        <v>250</v>
      </c>
      <c r="C239" s="97" t="s">
        <v>489</v>
      </c>
      <c r="D239" s="95" t="s">
        <v>9</v>
      </c>
      <c r="E239" s="87" t="s">
        <v>18</v>
      </c>
      <c r="F239" s="87">
        <v>11</v>
      </c>
      <c r="G239" s="88" t="s">
        <v>6</v>
      </c>
      <c r="H239" s="87">
        <v>11</v>
      </c>
      <c r="I239" s="87">
        <v>22.7425</v>
      </c>
      <c r="J239" s="86">
        <v>250.16749999999999</v>
      </c>
      <c r="K239" s="85"/>
      <c r="L239" s="85"/>
      <c r="M239" s="85"/>
    </row>
    <row r="240" spans="1:13" ht="21" customHeight="1" x14ac:dyDescent="0.25">
      <c r="A240" s="90">
        <v>45799</v>
      </c>
      <c r="B240" s="87" t="s">
        <v>250</v>
      </c>
      <c r="C240" s="87" t="s">
        <v>485</v>
      </c>
      <c r="D240" s="89" t="s">
        <v>541</v>
      </c>
      <c r="E240" s="87" t="s">
        <v>540</v>
      </c>
      <c r="F240" s="87">
        <v>11</v>
      </c>
      <c r="G240" s="87" t="s">
        <v>6</v>
      </c>
      <c r="H240" s="87">
        <v>11</v>
      </c>
      <c r="I240" s="100">
        <v>10.353999999999999</v>
      </c>
      <c r="J240" s="86">
        <v>113.89399999999999</v>
      </c>
      <c r="K240" s="85"/>
      <c r="L240" s="85"/>
      <c r="M240" s="85"/>
    </row>
    <row r="241" spans="1:13" ht="21" customHeight="1" x14ac:dyDescent="0.25">
      <c r="A241" s="108" t="s">
        <v>337</v>
      </c>
      <c r="B241" s="87" t="s">
        <v>250</v>
      </c>
      <c r="C241" s="87" t="s">
        <v>488</v>
      </c>
      <c r="D241" s="89" t="s">
        <v>338</v>
      </c>
      <c r="E241" s="87" t="s">
        <v>345</v>
      </c>
      <c r="F241" s="87">
        <v>11</v>
      </c>
      <c r="G241" s="87" t="s">
        <v>6</v>
      </c>
      <c r="H241" s="87">
        <v>11</v>
      </c>
      <c r="I241" s="85">
        <v>45.444200000000002</v>
      </c>
      <c r="J241" s="86">
        <v>499.88620000000003</v>
      </c>
      <c r="K241" s="85"/>
      <c r="L241" s="85"/>
      <c r="M241" s="85"/>
    </row>
    <row r="242" spans="1:13" ht="21" customHeight="1" x14ac:dyDescent="0.25">
      <c r="A242" s="107">
        <v>45784</v>
      </c>
      <c r="B242" s="106" t="s">
        <v>393</v>
      </c>
      <c r="C242" s="106" t="s">
        <v>485</v>
      </c>
      <c r="D242" s="106" t="s">
        <v>542</v>
      </c>
      <c r="E242" s="106" t="s">
        <v>358</v>
      </c>
      <c r="F242" s="104">
        <v>26</v>
      </c>
      <c r="G242" s="105" t="s">
        <v>262</v>
      </c>
      <c r="H242" s="104">
        <v>11</v>
      </c>
      <c r="I242" s="100">
        <v>7.9405999999999999</v>
      </c>
      <c r="J242" s="85">
        <f>H242*I242</f>
        <v>87.346599999999995</v>
      </c>
      <c r="K242" s="104">
        <v>1200</v>
      </c>
      <c r="L242" s="103">
        <f>F242/K242</f>
        <v>2.1666666666666667E-2</v>
      </c>
      <c r="M242" s="102" t="s">
        <v>263</v>
      </c>
    </row>
    <row r="243" spans="1:13" ht="21" customHeight="1" x14ac:dyDescent="0.25">
      <c r="A243" s="107">
        <v>45781</v>
      </c>
      <c r="B243" s="106" t="s">
        <v>515</v>
      </c>
      <c r="C243" s="106" t="s">
        <v>485</v>
      </c>
      <c r="D243" s="106" t="s">
        <v>541</v>
      </c>
      <c r="E243" s="106" t="s">
        <v>540</v>
      </c>
      <c r="F243" s="104">
        <v>10</v>
      </c>
      <c r="G243" s="105" t="s">
        <v>6</v>
      </c>
      <c r="H243" s="104">
        <v>10</v>
      </c>
      <c r="I243" s="85">
        <v>10.353999999999999</v>
      </c>
      <c r="J243" s="85">
        <f>H243*I243</f>
        <v>103.53999999999999</v>
      </c>
      <c r="K243" s="104">
        <v>315</v>
      </c>
      <c r="L243" s="103">
        <f>F243/K243</f>
        <v>3.1746031746031744E-2</v>
      </c>
      <c r="M243" s="102" t="s">
        <v>528</v>
      </c>
    </row>
    <row r="244" spans="1:13" ht="21" customHeight="1" x14ac:dyDescent="0.25">
      <c r="A244" s="94">
        <v>45790</v>
      </c>
      <c r="B244" s="87" t="s">
        <v>250</v>
      </c>
      <c r="C244" s="94" t="s">
        <v>486</v>
      </c>
      <c r="D244" s="93" t="s">
        <v>435</v>
      </c>
      <c r="E244" s="92" t="s">
        <v>204</v>
      </c>
      <c r="F244" s="87">
        <v>10</v>
      </c>
      <c r="G244" s="87" t="s">
        <v>6</v>
      </c>
      <c r="H244" s="87">
        <v>10</v>
      </c>
      <c r="I244" s="91">
        <v>44.4726</v>
      </c>
      <c r="J244" s="86">
        <v>444.726</v>
      </c>
      <c r="K244" s="85"/>
      <c r="L244" s="85"/>
      <c r="M244" s="85"/>
    </row>
    <row r="245" spans="1:13" ht="21" customHeight="1" x14ac:dyDescent="0.25">
      <c r="A245" s="90">
        <v>45792</v>
      </c>
      <c r="B245" s="87" t="s">
        <v>250</v>
      </c>
      <c r="C245" s="87" t="s">
        <v>489</v>
      </c>
      <c r="D245" s="95" t="s">
        <v>251</v>
      </c>
      <c r="E245" s="87" t="s">
        <v>102</v>
      </c>
      <c r="F245" s="87">
        <v>10</v>
      </c>
      <c r="G245" s="88" t="s">
        <v>6</v>
      </c>
      <c r="H245" s="87">
        <v>10</v>
      </c>
      <c r="I245" s="87">
        <v>11.773300000000001</v>
      </c>
      <c r="J245" s="86">
        <v>117.733</v>
      </c>
      <c r="K245" s="85"/>
      <c r="L245" s="85"/>
      <c r="M245" s="85"/>
    </row>
    <row r="246" spans="1:13" ht="21" customHeight="1" x14ac:dyDescent="0.25">
      <c r="A246" s="107">
        <v>45782</v>
      </c>
      <c r="B246" s="106" t="s">
        <v>320</v>
      </c>
      <c r="C246" s="106" t="s">
        <v>485</v>
      </c>
      <c r="D246" s="106" t="s">
        <v>536</v>
      </c>
      <c r="E246" s="106" t="s">
        <v>381</v>
      </c>
      <c r="F246" s="104">
        <v>9</v>
      </c>
      <c r="G246" s="105" t="s">
        <v>6</v>
      </c>
      <c r="H246" s="105">
        <f>F246</f>
        <v>9</v>
      </c>
      <c r="I246" s="85">
        <v>16.5</v>
      </c>
      <c r="J246" s="85">
        <f>H246*I246</f>
        <v>148.5</v>
      </c>
      <c r="K246" s="104">
        <v>360</v>
      </c>
      <c r="L246" s="103">
        <f>F246/K246</f>
        <v>2.5000000000000001E-2</v>
      </c>
      <c r="M246" s="102"/>
    </row>
    <row r="247" spans="1:13" ht="21" customHeight="1" x14ac:dyDescent="0.25">
      <c r="A247" s="107">
        <v>45791</v>
      </c>
      <c r="B247" s="106" t="s">
        <v>320</v>
      </c>
      <c r="C247" s="106" t="s">
        <v>485</v>
      </c>
      <c r="D247" s="106" t="s">
        <v>536</v>
      </c>
      <c r="E247" s="106" t="s">
        <v>381</v>
      </c>
      <c r="F247" s="104">
        <v>9</v>
      </c>
      <c r="G247" s="105" t="s">
        <v>6</v>
      </c>
      <c r="H247" s="105">
        <v>9</v>
      </c>
      <c r="I247" s="85">
        <v>16.5</v>
      </c>
      <c r="J247" s="85">
        <f>H247*I247</f>
        <v>148.5</v>
      </c>
      <c r="K247" s="104">
        <v>360</v>
      </c>
      <c r="L247" s="103">
        <f>F247/K247</f>
        <v>2.5000000000000001E-2</v>
      </c>
      <c r="M247" s="102"/>
    </row>
    <row r="248" spans="1:13" ht="21" customHeight="1" x14ac:dyDescent="0.25">
      <c r="A248" s="107">
        <v>45793</v>
      </c>
      <c r="B248" s="106" t="s">
        <v>515</v>
      </c>
      <c r="C248" s="106" t="s">
        <v>486</v>
      </c>
      <c r="D248" s="106" t="s">
        <v>539</v>
      </c>
      <c r="E248" s="106" t="s">
        <v>374</v>
      </c>
      <c r="F248" s="104">
        <v>9</v>
      </c>
      <c r="G248" s="105" t="s">
        <v>6</v>
      </c>
      <c r="H248" s="105">
        <v>9</v>
      </c>
      <c r="I248" s="85">
        <v>7.9108000000000001</v>
      </c>
      <c r="J248" s="85">
        <f>H248*I248</f>
        <v>71.197199999999995</v>
      </c>
      <c r="K248" s="104">
        <v>28</v>
      </c>
      <c r="L248" s="103">
        <f>F248/K248</f>
        <v>0.32142857142857145</v>
      </c>
      <c r="M248" s="102"/>
    </row>
    <row r="249" spans="1:13" ht="21" customHeight="1" x14ac:dyDescent="0.25">
      <c r="A249" s="107">
        <v>45782</v>
      </c>
      <c r="B249" s="106" t="s">
        <v>515</v>
      </c>
      <c r="C249" s="106" t="s">
        <v>489</v>
      </c>
      <c r="D249" s="106" t="s">
        <v>538</v>
      </c>
      <c r="E249" s="106" t="s">
        <v>17</v>
      </c>
      <c r="F249" s="104">
        <v>9</v>
      </c>
      <c r="G249" s="105" t="s">
        <v>6</v>
      </c>
      <c r="H249" s="105">
        <f>F249</f>
        <v>9</v>
      </c>
      <c r="I249" s="85">
        <v>1.6369</v>
      </c>
      <c r="J249" s="85">
        <f>H249*I249</f>
        <v>14.732100000000001</v>
      </c>
      <c r="K249" s="104">
        <v>360</v>
      </c>
      <c r="L249" s="103">
        <f>F249/K249</f>
        <v>2.5000000000000001E-2</v>
      </c>
      <c r="M249" s="102" t="s">
        <v>528</v>
      </c>
    </row>
    <row r="250" spans="1:13" ht="21" customHeight="1" x14ac:dyDescent="0.25">
      <c r="A250" s="107">
        <v>45805</v>
      </c>
      <c r="B250" s="106" t="s">
        <v>393</v>
      </c>
      <c r="C250" s="106" t="s">
        <v>489</v>
      </c>
      <c r="D250" s="106" t="s">
        <v>508</v>
      </c>
      <c r="E250" s="106" t="s">
        <v>41</v>
      </c>
      <c r="F250" s="104">
        <v>9</v>
      </c>
      <c r="G250" s="105" t="s">
        <v>6</v>
      </c>
      <c r="H250" s="105">
        <v>9</v>
      </c>
      <c r="I250" s="85">
        <v>13.55</v>
      </c>
      <c r="J250" s="85">
        <f>H250*I250</f>
        <v>121.95</v>
      </c>
      <c r="K250" s="104">
        <v>4680</v>
      </c>
      <c r="L250" s="103">
        <f>F250/K250</f>
        <v>1.9230769230769232E-3</v>
      </c>
      <c r="M250" s="102" t="s">
        <v>500</v>
      </c>
    </row>
    <row r="251" spans="1:13" ht="21" customHeight="1" x14ac:dyDescent="0.25">
      <c r="A251" s="94">
        <v>45790</v>
      </c>
      <c r="B251" s="87" t="s">
        <v>250</v>
      </c>
      <c r="C251" s="94" t="s">
        <v>486</v>
      </c>
      <c r="D251" s="93" t="s">
        <v>203</v>
      </c>
      <c r="E251" s="92" t="s">
        <v>204</v>
      </c>
      <c r="F251" s="87">
        <v>9</v>
      </c>
      <c r="G251" s="87" t="s">
        <v>6</v>
      </c>
      <c r="H251" s="87">
        <v>9</v>
      </c>
      <c r="I251" s="91">
        <v>44.4726</v>
      </c>
      <c r="J251" s="86">
        <v>400.2534</v>
      </c>
      <c r="K251" s="85"/>
      <c r="L251" s="85"/>
      <c r="M251" s="85"/>
    </row>
    <row r="252" spans="1:13" ht="21" customHeight="1" x14ac:dyDescent="0.25">
      <c r="A252" s="94">
        <v>45790</v>
      </c>
      <c r="B252" s="87" t="s">
        <v>250</v>
      </c>
      <c r="C252" s="94" t="s">
        <v>486</v>
      </c>
      <c r="D252" s="93" t="s">
        <v>203</v>
      </c>
      <c r="E252" s="92" t="s">
        <v>204</v>
      </c>
      <c r="F252" s="87">
        <v>9</v>
      </c>
      <c r="G252" s="87" t="s">
        <v>6</v>
      </c>
      <c r="H252" s="87">
        <v>9</v>
      </c>
      <c r="I252" s="99">
        <v>44.4726</v>
      </c>
      <c r="J252" s="86">
        <v>400.2534</v>
      </c>
      <c r="K252" s="85"/>
      <c r="L252" s="85"/>
      <c r="M252" s="85"/>
    </row>
    <row r="253" spans="1:13" ht="21" customHeight="1" x14ac:dyDescent="0.25">
      <c r="A253" s="90">
        <v>45790</v>
      </c>
      <c r="B253" s="87" t="s">
        <v>250</v>
      </c>
      <c r="C253" s="87" t="s">
        <v>489</v>
      </c>
      <c r="D253" s="89" t="s">
        <v>56</v>
      </c>
      <c r="E253" s="109" t="s">
        <v>123</v>
      </c>
      <c r="F253" s="112">
        <v>9</v>
      </c>
      <c r="G253" s="101" t="s">
        <v>8</v>
      </c>
      <c r="H253" s="112">
        <v>9</v>
      </c>
      <c r="I253" s="100">
        <v>23.690300000000001</v>
      </c>
      <c r="J253" s="86">
        <v>213.21270000000001</v>
      </c>
      <c r="K253" s="85"/>
      <c r="L253" s="85"/>
      <c r="M253" s="85"/>
    </row>
    <row r="254" spans="1:13" ht="21" customHeight="1" x14ac:dyDescent="0.25">
      <c r="A254" s="90">
        <v>45805</v>
      </c>
      <c r="B254" s="87" t="s">
        <v>250</v>
      </c>
      <c r="C254" s="97" t="s">
        <v>489</v>
      </c>
      <c r="D254" s="95" t="s">
        <v>59</v>
      </c>
      <c r="E254" s="87" t="s">
        <v>124</v>
      </c>
      <c r="F254" s="87">
        <v>9</v>
      </c>
      <c r="G254" s="101" t="s">
        <v>8</v>
      </c>
      <c r="H254" s="87">
        <v>9</v>
      </c>
      <c r="I254" s="100">
        <v>17.255500000000001</v>
      </c>
      <c r="J254" s="86">
        <v>155.29950000000002</v>
      </c>
      <c r="K254" s="85"/>
      <c r="L254" s="85"/>
      <c r="M254" s="85"/>
    </row>
    <row r="255" spans="1:13" ht="21" customHeight="1" x14ac:dyDescent="0.25">
      <c r="A255" s="90">
        <v>45785</v>
      </c>
      <c r="B255" s="87" t="s">
        <v>250</v>
      </c>
      <c r="C255" s="87" t="s">
        <v>485</v>
      </c>
      <c r="D255" s="89" t="s">
        <v>507</v>
      </c>
      <c r="E255" s="87" t="s">
        <v>516</v>
      </c>
      <c r="F255" s="87">
        <v>9</v>
      </c>
      <c r="G255" s="87" t="s">
        <v>6</v>
      </c>
      <c r="H255" s="87">
        <v>9</v>
      </c>
      <c r="I255" s="100">
        <v>10.037000000000001</v>
      </c>
      <c r="J255" s="86">
        <v>90.333000000000013</v>
      </c>
      <c r="K255" s="85"/>
      <c r="L255" s="85"/>
      <c r="M255" s="85"/>
    </row>
    <row r="256" spans="1:13" ht="21" customHeight="1" x14ac:dyDescent="0.25">
      <c r="A256" s="90">
        <v>45790</v>
      </c>
      <c r="B256" s="87" t="s">
        <v>250</v>
      </c>
      <c r="C256" s="87" t="s">
        <v>489</v>
      </c>
      <c r="D256" s="89" t="s">
        <v>49</v>
      </c>
      <c r="E256" s="101" t="s">
        <v>425</v>
      </c>
      <c r="F256" s="96">
        <v>9</v>
      </c>
      <c r="G256" s="88" t="s">
        <v>6</v>
      </c>
      <c r="H256" s="96">
        <v>9</v>
      </c>
      <c r="I256" s="87">
        <v>4.7911000000000001</v>
      </c>
      <c r="J256" s="86">
        <v>43.119900000000001</v>
      </c>
      <c r="K256" s="85"/>
      <c r="L256" s="85"/>
      <c r="M256" s="85"/>
    </row>
    <row r="257" spans="1:13" ht="21" customHeight="1" x14ac:dyDescent="0.25">
      <c r="A257" s="90">
        <v>45790</v>
      </c>
      <c r="B257" s="87" t="s">
        <v>250</v>
      </c>
      <c r="C257" s="87" t="s">
        <v>489</v>
      </c>
      <c r="D257" s="89" t="s">
        <v>49</v>
      </c>
      <c r="E257" s="87" t="s">
        <v>426</v>
      </c>
      <c r="F257" s="96">
        <v>9</v>
      </c>
      <c r="G257" s="88" t="s">
        <v>6</v>
      </c>
      <c r="H257" s="96">
        <v>9</v>
      </c>
      <c r="I257" s="87">
        <v>4.7911000000000001</v>
      </c>
      <c r="J257" s="86">
        <v>43.119900000000001</v>
      </c>
      <c r="K257" s="85"/>
      <c r="L257" s="85"/>
      <c r="M257" s="85"/>
    </row>
    <row r="258" spans="1:13" ht="21" customHeight="1" x14ac:dyDescent="0.25">
      <c r="A258" s="90">
        <v>45790</v>
      </c>
      <c r="B258" s="87" t="s">
        <v>250</v>
      </c>
      <c r="C258" s="87" t="s">
        <v>489</v>
      </c>
      <c r="D258" s="89" t="s">
        <v>49</v>
      </c>
      <c r="E258" s="101" t="s">
        <v>91</v>
      </c>
      <c r="F258" s="96">
        <v>9</v>
      </c>
      <c r="G258" s="88" t="s">
        <v>6</v>
      </c>
      <c r="H258" s="96">
        <v>9</v>
      </c>
      <c r="I258" s="87">
        <v>2.4201999999999999</v>
      </c>
      <c r="J258" s="86">
        <v>21.7818</v>
      </c>
      <c r="K258" s="85"/>
      <c r="L258" s="85"/>
      <c r="M258" s="85"/>
    </row>
    <row r="259" spans="1:13" ht="21" customHeight="1" x14ac:dyDescent="0.25">
      <c r="A259" s="90">
        <v>45790</v>
      </c>
      <c r="B259" s="87" t="s">
        <v>250</v>
      </c>
      <c r="C259" s="87" t="s">
        <v>489</v>
      </c>
      <c r="D259" s="89" t="s">
        <v>49</v>
      </c>
      <c r="E259" s="101" t="s">
        <v>38</v>
      </c>
      <c r="F259" s="96">
        <v>9</v>
      </c>
      <c r="G259" s="88" t="s">
        <v>6</v>
      </c>
      <c r="H259" s="96">
        <v>9</v>
      </c>
      <c r="I259" s="87">
        <v>2.4201999999999999</v>
      </c>
      <c r="J259" s="86">
        <v>21.7818</v>
      </c>
      <c r="K259" s="85"/>
      <c r="L259" s="85"/>
      <c r="M259" s="85"/>
    </row>
    <row r="260" spans="1:13" ht="21" customHeight="1" x14ac:dyDescent="0.25">
      <c r="A260" s="107">
        <v>45807</v>
      </c>
      <c r="B260" s="106" t="s">
        <v>515</v>
      </c>
      <c r="C260" s="106" t="s">
        <v>485</v>
      </c>
      <c r="D260" s="106" t="s">
        <v>327</v>
      </c>
      <c r="E260" s="106" t="s">
        <v>360</v>
      </c>
      <c r="F260" s="104">
        <v>8</v>
      </c>
      <c r="G260" s="105" t="s">
        <v>6</v>
      </c>
      <c r="H260" s="105">
        <v>8</v>
      </c>
      <c r="I260" s="85">
        <v>10.037000000000001</v>
      </c>
      <c r="J260" s="85">
        <f>H260*I260</f>
        <v>80.296000000000006</v>
      </c>
      <c r="K260" s="104">
        <v>1000</v>
      </c>
      <c r="L260" s="103">
        <f>F260/K260</f>
        <v>8.0000000000000002E-3</v>
      </c>
      <c r="M260" s="102" t="s">
        <v>537</v>
      </c>
    </row>
    <row r="261" spans="1:13" ht="21" customHeight="1" x14ac:dyDescent="0.25">
      <c r="A261" s="107">
        <v>45787</v>
      </c>
      <c r="B261" s="106" t="s">
        <v>320</v>
      </c>
      <c r="C261" s="106" t="s">
        <v>485</v>
      </c>
      <c r="D261" s="106" t="s">
        <v>536</v>
      </c>
      <c r="E261" s="106" t="s">
        <v>381</v>
      </c>
      <c r="F261" s="104">
        <v>8</v>
      </c>
      <c r="G261" s="105" t="s">
        <v>6</v>
      </c>
      <c r="H261" s="105">
        <v>8</v>
      </c>
      <c r="I261" s="85">
        <v>16.5</v>
      </c>
      <c r="J261" s="85">
        <f>H261*I261</f>
        <v>132</v>
      </c>
      <c r="K261" s="104">
        <f>108+444</f>
        <v>552</v>
      </c>
      <c r="L261" s="103">
        <f>F261/K261</f>
        <v>1.4492753623188406E-2</v>
      </c>
      <c r="M261" s="102"/>
    </row>
    <row r="262" spans="1:13" ht="21" customHeight="1" x14ac:dyDescent="0.25">
      <c r="A262" s="107">
        <v>45797</v>
      </c>
      <c r="B262" s="106" t="s">
        <v>393</v>
      </c>
      <c r="C262" s="106" t="s">
        <v>489</v>
      </c>
      <c r="D262" s="106" t="s">
        <v>490</v>
      </c>
      <c r="E262" s="106" t="s">
        <v>15</v>
      </c>
      <c r="F262" s="104">
        <v>8</v>
      </c>
      <c r="G262" s="105" t="s">
        <v>6</v>
      </c>
      <c r="H262" s="105">
        <v>8</v>
      </c>
      <c r="I262" s="85">
        <v>9.64</v>
      </c>
      <c r="J262" s="85">
        <f>H262*I262</f>
        <v>77.12</v>
      </c>
      <c r="K262" s="104">
        <f>384+576+384</f>
        <v>1344</v>
      </c>
      <c r="L262" s="103">
        <f>F262/K262</f>
        <v>5.9523809523809521E-3</v>
      </c>
      <c r="M262" s="102" t="s">
        <v>275</v>
      </c>
    </row>
    <row r="263" spans="1:13" ht="21" customHeight="1" x14ac:dyDescent="0.25">
      <c r="A263" s="107">
        <v>45783</v>
      </c>
      <c r="B263" s="106" t="s">
        <v>393</v>
      </c>
      <c r="C263" s="106" t="s">
        <v>489</v>
      </c>
      <c r="D263" s="106" t="s">
        <v>115</v>
      </c>
      <c r="E263" s="106" t="s">
        <v>42</v>
      </c>
      <c r="F263" s="104">
        <v>8</v>
      </c>
      <c r="G263" s="105" t="s">
        <v>6</v>
      </c>
      <c r="H263" s="104">
        <v>8</v>
      </c>
      <c r="I263" s="87">
        <v>8.5</v>
      </c>
      <c r="J263" s="85">
        <f>H263*I263</f>
        <v>68</v>
      </c>
      <c r="K263" s="104">
        <f>1818+1512</f>
        <v>3330</v>
      </c>
      <c r="L263" s="103">
        <f>F263/K263</f>
        <v>2.4024024024024023E-3</v>
      </c>
      <c r="M263" s="102" t="s">
        <v>510</v>
      </c>
    </row>
    <row r="264" spans="1:13" ht="21" customHeight="1" x14ac:dyDescent="0.25">
      <c r="A264" s="107">
        <v>45799</v>
      </c>
      <c r="B264" s="106" t="s">
        <v>393</v>
      </c>
      <c r="C264" s="106" t="s">
        <v>489</v>
      </c>
      <c r="D264" s="106" t="s">
        <v>509</v>
      </c>
      <c r="E264" s="106" t="s">
        <v>18</v>
      </c>
      <c r="F264" s="104">
        <v>8</v>
      </c>
      <c r="G264" s="105" t="s">
        <v>6</v>
      </c>
      <c r="H264" s="105">
        <v>8</v>
      </c>
      <c r="I264" s="85">
        <v>14.2</v>
      </c>
      <c r="J264" s="85">
        <f>H264*I264</f>
        <v>113.6</v>
      </c>
      <c r="K264" s="104">
        <v>168</v>
      </c>
      <c r="L264" s="103">
        <f>F264/K264</f>
        <v>4.7619047619047616E-2</v>
      </c>
      <c r="M264" s="102" t="s">
        <v>288</v>
      </c>
    </row>
    <row r="265" spans="1:13" ht="21" customHeight="1" x14ac:dyDescent="0.25">
      <c r="A265" s="107">
        <v>45785</v>
      </c>
      <c r="B265" s="106" t="s">
        <v>393</v>
      </c>
      <c r="C265" s="106" t="s">
        <v>489</v>
      </c>
      <c r="D265" s="106" t="s">
        <v>508</v>
      </c>
      <c r="E265" s="106" t="s">
        <v>41</v>
      </c>
      <c r="F265" s="104">
        <v>8</v>
      </c>
      <c r="G265" s="105" t="s">
        <v>6</v>
      </c>
      <c r="H265" s="105">
        <v>8</v>
      </c>
      <c r="I265" s="85">
        <v>13.55</v>
      </c>
      <c r="J265" s="85">
        <f>H265*I265</f>
        <v>108.4</v>
      </c>
      <c r="K265" s="104">
        <v>2496</v>
      </c>
      <c r="L265" s="103">
        <f>F265/K265</f>
        <v>3.205128205128205E-3</v>
      </c>
      <c r="M265" s="102" t="s">
        <v>500</v>
      </c>
    </row>
    <row r="266" spans="1:13" ht="21" customHeight="1" x14ac:dyDescent="0.25">
      <c r="A266" s="94">
        <v>45790</v>
      </c>
      <c r="B266" s="87" t="s">
        <v>250</v>
      </c>
      <c r="C266" s="94" t="s">
        <v>486</v>
      </c>
      <c r="D266" s="93" t="s">
        <v>330</v>
      </c>
      <c r="E266" s="92" t="s">
        <v>200</v>
      </c>
      <c r="F266" s="87">
        <v>8</v>
      </c>
      <c r="G266" s="87" t="s">
        <v>6</v>
      </c>
      <c r="H266" s="87">
        <v>8</v>
      </c>
      <c r="I266" s="91">
        <v>29.6998</v>
      </c>
      <c r="J266" s="86">
        <v>237.5984</v>
      </c>
      <c r="K266" s="85"/>
      <c r="L266" s="85"/>
      <c r="M266" s="85"/>
    </row>
    <row r="267" spans="1:13" ht="21" customHeight="1" x14ac:dyDescent="0.25">
      <c r="A267" s="94">
        <v>45790</v>
      </c>
      <c r="B267" s="87" t="s">
        <v>250</v>
      </c>
      <c r="C267" s="94" t="s">
        <v>486</v>
      </c>
      <c r="D267" s="93" t="s">
        <v>207</v>
      </c>
      <c r="E267" s="92" t="s">
        <v>208</v>
      </c>
      <c r="F267" s="87">
        <v>8</v>
      </c>
      <c r="G267" s="87" t="s">
        <v>6</v>
      </c>
      <c r="H267" s="87">
        <v>8</v>
      </c>
      <c r="I267" s="91">
        <v>30.194099999999999</v>
      </c>
      <c r="J267" s="86">
        <v>241.55279999999999</v>
      </c>
      <c r="K267" s="85"/>
      <c r="L267" s="85"/>
      <c r="M267" s="85"/>
    </row>
    <row r="268" spans="1:13" ht="21" customHeight="1" x14ac:dyDescent="0.25">
      <c r="A268" s="94">
        <v>45790</v>
      </c>
      <c r="B268" s="87" t="s">
        <v>250</v>
      </c>
      <c r="C268" s="94" t="s">
        <v>486</v>
      </c>
      <c r="D268" s="93" t="s">
        <v>191</v>
      </c>
      <c r="E268" s="92" t="s">
        <v>439</v>
      </c>
      <c r="F268" s="87">
        <v>8</v>
      </c>
      <c r="G268" s="87" t="s">
        <v>6</v>
      </c>
      <c r="H268" s="87">
        <v>8</v>
      </c>
      <c r="I268" s="91">
        <v>24.114999999999998</v>
      </c>
      <c r="J268" s="86">
        <v>192.92</v>
      </c>
      <c r="K268" s="85"/>
      <c r="L268" s="85"/>
      <c r="M268" s="85"/>
    </row>
    <row r="269" spans="1:13" ht="21" customHeight="1" x14ac:dyDescent="0.25">
      <c r="A269" s="90">
        <v>45795</v>
      </c>
      <c r="B269" s="87" t="s">
        <v>250</v>
      </c>
      <c r="C269" s="87" t="s">
        <v>489</v>
      </c>
      <c r="D269" s="95" t="s">
        <v>59</v>
      </c>
      <c r="E269" s="87" t="s">
        <v>41</v>
      </c>
      <c r="F269" s="87">
        <v>8</v>
      </c>
      <c r="G269" s="101" t="s">
        <v>8</v>
      </c>
      <c r="H269" s="87">
        <v>8</v>
      </c>
      <c r="I269" s="100">
        <v>17.255500000000001</v>
      </c>
      <c r="J269" s="86">
        <v>138.04400000000001</v>
      </c>
      <c r="K269" s="85"/>
      <c r="L269" s="85"/>
      <c r="M269" s="85"/>
    </row>
    <row r="270" spans="1:13" ht="21" customHeight="1" x14ac:dyDescent="0.25">
      <c r="A270" s="90">
        <v>45807</v>
      </c>
      <c r="B270" s="87" t="s">
        <v>250</v>
      </c>
      <c r="C270" s="87" t="s">
        <v>485</v>
      </c>
      <c r="D270" s="89" t="s">
        <v>535</v>
      </c>
      <c r="E270" s="87" t="s">
        <v>534</v>
      </c>
      <c r="F270" s="87">
        <v>8</v>
      </c>
      <c r="G270" s="87" t="s">
        <v>6</v>
      </c>
      <c r="H270" s="87">
        <v>8</v>
      </c>
      <c r="I270" s="100">
        <v>17.421199999999999</v>
      </c>
      <c r="J270" s="86">
        <v>139.36959999999999</v>
      </c>
      <c r="K270" s="85"/>
      <c r="L270" s="85"/>
      <c r="M270" s="85"/>
    </row>
    <row r="271" spans="1:13" ht="21" customHeight="1" x14ac:dyDescent="0.25">
      <c r="A271" s="90">
        <v>45789</v>
      </c>
      <c r="B271" s="87" t="s">
        <v>250</v>
      </c>
      <c r="C271" s="87" t="s">
        <v>489</v>
      </c>
      <c r="D271" s="95" t="s">
        <v>251</v>
      </c>
      <c r="E271" s="101" t="s">
        <v>102</v>
      </c>
      <c r="F271" s="96">
        <v>8</v>
      </c>
      <c r="G271" s="88" t="s">
        <v>6</v>
      </c>
      <c r="H271" s="96">
        <v>8</v>
      </c>
      <c r="I271" s="87">
        <v>11.773300000000001</v>
      </c>
      <c r="J271" s="86">
        <v>94.186400000000006</v>
      </c>
      <c r="K271" s="85"/>
      <c r="L271" s="85"/>
      <c r="M271" s="85"/>
    </row>
    <row r="272" spans="1:13" ht="21" customHeight="1" x14ac:dyDescent="0.25">
      <c r="A272" s="90">
        <v>45787</v>
      </c>
      <c r="B272" s="87" t="s">
        <v>250</v>
      </c>
      <c r="C272" s="87" t="s">
        <v>485</v>
      </c>
      <c r="D272" s="89" t="s">
        <v>507</v>
      </c>
      <c r="E272" s="87" t="s">
        <v>506</v>
      </c>
      <c r="F272" s="87">
        <v>8</v>
      </c>
      <c r="G272" s="87" t="s">
        <v>6</v>
      </c>
      <c r="H272" s="87">
        <v>8</v>
      </c>
      <c r="I272" s="100">
        <v>10.037000000000001</v>
      </c>
      <c r="J272" s="86">
        <v>80.296000000000006</v>
      </c>
      <c r="K272" s="85"/>
      <c r="L272" s="85"/>
      <c r="M272" s="85"/>
    </row>
    <row r="273" spans="1:13" ht="21" customHeight="1" x14ac:dyDescent="0.25">
      <c r="A273" s="90">
        <v>45807</v>
      </c>
      <c r="B273" s="87" t="s">
        <v>250</v>
      </c>
      <c r="C273" s="87" t="s">
        <v>485</v>
      </c>
      <c r="D273" s="89" t="s">
        <v>532</v>
      </c>
      <c r="E273" s="87" t="s">
        <v>531</v>
      </c>
      <c r="F273" s="87">
        <v>8</v>
      </c>
      <c r="G273" s="87" t="s">
        <v>6</v>
      </c>
      <c r="H273" s="87">
        <v>8</v>
      </c>
      <c r="I273" s="100">
        <v>8.3518000000000008</v>
      </c>
      <c r="J273" s="86">
        <v>66.814400000000006</v>
      </c>
      <c r="K273" s="85"/>
      <c r="L273" s="85"/>
      <c r="M273" s="85"/>
    </row>
    <row r="274" spans="1:13" ht="21" customHeight="1" x14ac:dyDescent="0.25">
      <c r="A274" s="90">
        <v>45789</v>
      </c>
      <c r="B274" s="87" t="s">
        <v>250</v>
      </c>
      <c r="C274" s="87" t="s">
        <v>489</v>
      </c>
      <c r="D274" s="89" t="s">
        <v>30</v>
      </c>
      <c r="E274" s="101" t="s">
        <v>25</v>
      </c>
      <c r="F274" s="96">
        <v>8</v>
      </c>
      <c r="G274" s="88" t="s">
        <v>6</v>
      </c>
      <c r="H274" s="96">
        <v>8</v>
      </c>
      <c r="I274" s="87">
        <v>2.9540000000000002</v>
      </c>
      <c r="J274" s="86">
        <v>23.632000000000001</v>
      </c>
      <c r="K274" s="85"/>
      <c r="L274" s="85"/>
      <c r="M274" s="85"/>
    </row>
    <row r="275" spans="1:13" ht="21" customHeight="1" x14ac:dyDescent="0.25">
      <c r="A275" s="90">
        <v>45805</v>
      </c>
      <c r="B275" s="87" t="s">
        <v>250</v>
      </c>
      <c r="C275" s="97" t="s">
        <v>489</v>
      </c>
      <c r="D275" s="95" t="s">
        <v>57</v>
      </c>
      <c r="E275" s="87" t="s">
        <v>97</v>
      </c>
      <c r="F275" s="87">
        <v>8</v>
      </c>
      <c r="G275" s="88" t="s">
        <v>6</v>
      </c>
      <c r="H275" s="87">
        <v>8</v>
      </c>
      <c r="I275" s="87">
        <v>2.532</v>
      </c>
      <c r="J275" s="86">
        <v>20.256</v>
      </c>
      <c r="K275" s="85"/>
      <c r="L275" s="85"/>
      <c r="M275" s="85"/>
    </row>
    <row r="276" spans="1:13" ht="21" customHeight="1" x14ac:dyDescent="0.25">
      <c r="A276" s="90">
        <v>45789</v>
      </c>
      <c r="B276" s="87" t="s">
        <v>250</v>
      </c>
      <c r="C276" s="87" t="s">
        <v>489</v>
      </c>
      <c r="D276" s="89" t="s">
        <v>48</v>
      </c>
      <c r="E276" s="101" t="s">
        <v>372</v>
      </c>
      <c r="F276" s="96">
        <v>8</v>
      </c>
      <c r="G276" s="88" t="s">
        <v>6</v>
      </c>
      <c r="H276" s="96">
        <v>8</v>
      </c>
      <c r="I276" s="87">
        <v>1.85</v>
      </c>
      <c r="J276" s="86">
        <v>14.8</v>
      </c>
      <c r="K276" s="85"/>
      <c r="L276" s="85"/>
      <c r="M276" s="85"/>
    </row>
    <row r="277" spans="1:13" ht="21" customHeight="1" x14ac:dyDescent="0.25">
      <c r="A277" s="98">
        <v>45799</v>
      </c>
      <c r="B277" s="87" t="s">
        <v>250</v>
      </c>
      <c r="C277" s="97" t="s">
        <v>489</v>
      </c>
      <c r="D277" s="89" t="s">
        <v>64</v>
      </c>
      <c r="E277" s="87" t="s">
        <v>43</v>
      </c>
      <c r="F277" s="87">
        <v>8</v>
      </c>
      <c r="G277" s="88" t="s">
        <v>6</v>
      </c>
      <c r="H277" s="87">
        <v>8</v>
      </c>
      <c r="I277" s="87">
        <v>0.96399999999999997</v>
      </c>
      <c r="J277" s="86">
        <v>7.7119999999999997</v>
      </c>
      <c r="K277" s="85"/>
      <c r="L277" s="85"/>
      <c r="M277" s="85"/>
    </row>
    <row r="278" spans="1:13" ht="21" customHeight="1" x14ac:dyDescent="0.25">
      <c r="A278" s="107">
        <v>45796</v>
      </c>
      <c r="B278" s="106" t="s">
        <v>515</v>
      </c>
      <c r="C278" s="106" t="s">
        <v>485</v>
      </c>
      <c r="D278" s="106" t="s">
        <v>327</v>
      </c>
      <c r="E278" s="106" t="s">
        <v>360</v>
      </c>
      <c r="F278" s="104">
        <v>7</v>
      </c>
      <c r="G278" s="105" t="s">
        <v>6</v>
      </c>
      <c r="H278" s="104">
        <v>7</v>
      </c>
      <c r="I278" s="85">
        <v>10.037000000000001</v>
      </c>
      <c r="J278" s="85">
        <f>H278*I278</f>
        <v>70.259</v>
      </c>
      <c r="K278" s="104">
        <v>640</v>
      </c>
      <c r="L278" s="103">
        <f>F278/K278</f>
        <v>1.0937499999999999E-2</v>
      </c>
      <c r="M278" s="102" t="s">
        <v>533</v>
      </c>
    </row>
    <row r="279" spans="1:13" ht="21" customHeight="1" x14ac:dyDescent="0.25">
      <c r="A279" s="107">
        <v>45794</v>
      </c>
      <c r="B279" s="106" t="s">
        <v>515</v>
      </c>
      <c r="C279" s="106" t="s">
        <v>485</v>
      </c>
      <c r="D279" s="106" t="s">
        <v>530</v>
      </c>
      <c r="E279" s="106" t="s">
        <v>529</v>
      </c>
      <c r="F279" s="104">
        <v>7</v>
      </c>
      <c r="G279" s="105" t="s">
        <v>6</v>
      </c>
      <c r="H279" s="105">
        <v>7</v>
      </c>
      <c r="I279" s="85">
        <v>12.8642</v>
      </c>
      <c r="J279" s="85">
        <f>H279*I279</f>
        <v>90.049400000000006</v>
      </c>
      <c r="K279" s="104">
        <v>275</v>
      </c>
      <c r="L279" s="103">
        <f>F279/K279</f>
        <v>2.5454545454545455E-2</v>
      </c>
      <c r="M279" s="102" t="s">
        <v>528</v>
      </c>
    </row>
    <row r="280" spans="1:13" ht="21" customHeight="1" x14ac:dyDescent="0.25">
      <c r="A280" s="107">
        <v>45798</v>
      </c>
      <c r="B280" s="106" t="s">
        <v>393</v>
      </c>
      <c r="C280" s="106" t="s">
        <v>489</v>
      </c>
      <c r="D280" s="106" t="s">
        <v>490</v>
      </c>
      <c r="E280" s="106" t="s">
        <v>15</v>
      </c>
      <c r="F280" s="104">
        <v>7</v>
      </c>
      <c r="G280" s="105" t="s">
        <v>6</v>
      </c>
      <c r="H280" s="105">
        <v>7</v>
      </c>
      <c r="I280" s="85">
        <v>9.64</v>
      </c>
      <c r="J280" s="85">
        <f>H280*I280</f>
        <v>67.48</v>
      </c>
      <c r="K280" s="104">
        <f>2016+96</f>
        <v>2112</v>
      </c>
      <c r="L280" s="103">
        <f>F280/K280</f>
        <v>3.3143939393939395E-3</v>
      </c>
      <c r="M280" s="102" t="s">
        <v>275</v>
      </c>
    </row>
    <row r="281" spans="1:13" ht="21" customHeight="1" x14ac:dyDescent="0.25">
      <c r="A281" s="107">
        <v>45787</v>
      </c>
      <c r="B281" s="106" t="s">
        <v>515</v>
      </c>
      <c r="C281" s="106" t="s">
        <v>488</v>
      </c>
      <c r="D281" s="106" t="s">
        <v>338</v>
      </c>
      <c r="E281" s="106" t="s">
        <v>345</v>
      </c>
      <c r="F281" s="104">
        <v>7</v>
      </c>
      <c r="G281" s="105" t="s">
        <v>6</v>
      </c>
      <c r="H281" s="104">
        <v>7</v>
      </c>
      <c r="I281" s="85">
        <v>23</v>
      </c>
      <c r="J281" s="85">
        <f>H281*I281</f>
        <v>161</v>
      </c>
      <c r="K281" s="104">
        <v>144</v>
      </c>
      <c r="L281" s="103">
        <f>F281/K281</f>
        <v>4.8611111111111112E-2</v>
      </c>
      <c r="M281" s="102" t="s">
        <v>527</v>
      </c>
    </row>
    <row r="282" spans="1:13" ht="21" customHeight="1" x14ac:dyDescent="0.25">
      <c r="A282" s="107">
        <v>45789</v>
      </c>
      <c r="B282" s="106" t="s">
        <v>393</v>
      </c>
      <c r="C282" s="106" t="s">
        <v>488</v>
      </c>
      <c r="D282" s="106" t="s">
        <v>429</v>
      </c>
      <c r="E282" s="106" t="s">
        <v>350</v>
      </c>
      <c r="F282" s="104">
        <v>7</v>
      </c>
      <c r="G282" s="105" t="s">
        <v>6</v>
      </c>
      <c r="H282" s="105">
        <v>7</v>
      </c>
      <c r="I282" s="85">
        <v>10</v>
      </c>
      <c r="J282" s="85">
        <f>H282*I282</f>
        <v>70</v>
      </c>
      <c r="K282" s="104">
        <f>208+208</f>
        <v>416</v>
      </c>
      <c r="L282" s="103">
        <f>F282/K282</f>
        <v>1.6826923076923076E-2</v>
      </c>
      <c r="M282" s="102" t="s">
        <v>500</v>
      </c>
    </row>
    <row r="283" spans="1:13" ht="21" customHeight="1" x14ac:dyDescent="0.25">
      <c r="A283" s="107">
        <v>45790</v>
      </c>
      <c r="B283" s="106" t="s">
        <v>393</v>
      </c>
      <c r="C283" s="106" t="s">
        <v>488</v>
      </c>
      <c r="D283" s="106" t="s">
        <v>429</v>
      </c>
      <c r="E283" s="106" t="s">
        <v>350</v>
      </c>
      <c r="F283" s="104">
        <v>7</v>
      </c>
      <c r="G283" s="105" t="s">
        <v>6</v>
      </c>
      <c r="H283" s="105">
        <v>7</v>
      </c>
      <c r="I283" s="85">
        <v>10</v>
      </c>
      <c r="J283" s="85">
        <f>H283*I283</f>
        <v>70</v>
      </c>
      <c r="K283" s="104">
        <f>208+208</f>
        <v>416</v>
      </c>
      <c r="L283" s="103">
        <f>F283/K283</f>
        <v>1.6826923076923076E-2</v>
      </c>
      <c r="M283" s="102" t="s">
        <v>500</v>
      </c>
    </row>
    <row r="284" spans="1:13" ht="21" customHeight="1" x14ac:dyDescent="0.25">
      <c r="A284" s="107">
        <v>45794</v>
      </c>
      <c r="B284" s="106" t="s">
        <v>393</v>
      </c>
      <c r="C284" s="106" t="s">
        <v>488</v>
      </c>
      <c r="D284" s="106" t="s">
        <v>429</v>
      </c>
      <c r="E284" s="106" t="s">
        <v>350</v>
      </c>
      <c r="F284" s="104">
        <v>7</v>
      </c>
      <c r="G284" s="105" t="s">
        <v>6</v>
      </c>
      <c r="H284" s="105">
        <v>7</v>
      </c>
      <c r="I284" s="85">
        <v>10</v>
      </c>
      <c r="J284" s="85">
        <f>H284*I284</f>
        <v>70</v>
      </c>
      <c r="K284" s="104">
        <v>1040</v>
      </c>
      <c r="L284" s="103">
        <f>F284/K284</f>
        <v>6.7307692307692311E-3</v>
      </c>
      <c r="M284" s="102" t="s">
        <v>500</v>
      </c>
    </row>
    <row r="285" spans="1:13" x14ac:dyDescent="0.25">
      <c r="A285" s="107">
        <v>45800</v>
      </c>
      <c r="B285" s="106" t="s">
        <v>393</v>
      </c>
      <c r="C285" s="106" t="s">
        <v>488</v>
      </c>
      <c r="D285" s="106" t="s">
        <v>429</v>
      </c>
      <c r="E285" s="106" t="s">
        <v>350</v>
      </c>
      <c r="F285" s="104">
        <v>7</v>
      </c>
      <c r="G285" s="105" t="s">
        <v>6</v>
      </c>
      <c r="H285" s="105">
        <v>7</v>
      </c>
      <c r="I285" s="85">
        <v>10</v>
      </c>
      <c r="J285" s="85">
        <f>H285*I285</f>
        <v>70</v>
      </c>
      <c r="K285" s="104">
        <v>1040</v>
      </c>
      <c r="L285" s="103">
        <f>F285/K285</f>
        <v>6.7307692307692311E-3</v>
      </c>
      <c r="M285" s="102" t="s">
        <v>500</v>
      </c>
    </row>
    <row r="286" spans="1:13" x14ac:dyDescent="0.25">
      <c r="A286" s="94">
        <v>45774</v>
      </c>
      <c r="B286" s="87" t="s">
        <v>250</v>
      </c>
      <c r="C286" s="94" t="s">
        <v>486</v>
      </c>
      <c r="D286" s="93" t="s">
        <v>222</v>
      </c>
      <c r="E286" s="92" t="s">
        <v>223</v>
      </c>
      <c r="F286" s="87">
        <v>7</v>
      </c>
      <c r="G286" s="87" t="s">
        <v>6</v>
      </c>
      <c r="H286" s="87">
        <v>7</v>
      </c>
      <c r="I286" s="91">
        <v>43.107700000000001</v>
      </c>
      <c r="J286" s="86">
        <v>301.75389999999999</v>
      </c>
      <c r="K286" s="85"/>
      <c r="L286" s="85"/>
      <c r="M286" s="85"/>
    </row>
    <row r="287" spans="1:13" x14ac:dyDescent="0.25">
      <c r="A287" s="94">
        <v>45774</v>
      </c>
      <c r="B287" s="87" t="s">
        <v>250</v>
      </c>
      <c r="C287" s="94" t="s">
        <v>486</v>
      </c>
      <c r="D287" s="93" t="s">
        <v>215</v>
      </c>
      <c r="E287" s="92" t="s">
        <v>216</v>
      </c>
      <c r="F287" s="87">
        <v>7</v>
      </c>
      <c r="G287" s="87" t="s">
        <v>6</v>
      </c>
      <c r="H287" s="87">
        <v>7</v>
      </c>
      <c r="I287" s="99">
        <v>25.256599999999999</v>
      </c>
      <c r="J287" s="86">
        <v>176.7962</v>
      </c>
      <c r="K287" s="85"/>
      <c r="L287" s="85"/>
      <c r="M287" s="85"/>
    </row>
    <row r="288" spans="1:13" x14ac:dyDescent="0.25">
      <c r="A288" s="94">
        <v>45795</v>
      </c>
      <c r="B288" s="87" t="s">
        <v>250</v>
      </c>
      <c r="C288" s="94" t="s">
        <v>486</v>
      </c>
      <c r="D288" s="93" t="s">
        <v>192</v>
      </c>
      <c r="E288" s="92" t="s">
        <v>193</v>
      </c>
      <c r="F288" s="87">
        <v>7</v>
      </c>
      <c r="G288" s="87" t="s">
        <v>6</v>
      </c>
      <c r="H288" s="87">
        <v>7</v>
      </c>
      <c r="I288" s="91">
        <v>16.1416</v>
      </c>
      <c r="J288" s="86">
        <v>112.99120000000001</v>
      </c>
      <c r="K288" s="85"/>
      <c r="L288" s="85"/>
      <c r="M288" s="85"/>
    </row>
    <row r="289" spans="1:13" x14ac:dyDescent="0.25">
      <c r="A289" s="90">
        <v>45787</v>
      </c>
      <c r="B289" s="87" t="s">
        <v>250</v>
      </c>
      <c r="C289" s="87" t="s">
        <v>485</v>
      </c>
      <c r="D289" s="89" t="s">
        <v>532</v>
      </c>
      <c r="E289" s="87" t="s">
        <v>531</v>
      </c>
      <c r="F289" s="87">
        <v>7</v>
      </c>
      <c r="G289" s="87" t="s">
        <v>6</v>
      </c>
      <c r="H289" s="87">
        <v>7</v>
      </c>
      <c r="I289" s="100">
        <v>8.3518000000000008</v>
      </c>
      <c r="J289" s="86">
        <v>58.462600000000009</v>
      </c>
      <c r="K289" s="85"/>
      <c r="L289" s="85"/>
      <c r="M289" s="85"/>
    </row>
    <row r="290" spans="1:13" x14ac:dyDescent="0.25">
      <c r="A290" s="94">
        <v>45795</v>
      </c>
      <c r="B290" s="87" t="s">
        <v>250</v>
      </c>
      <c r="C290" s="94" t="s">
        <v>486</v>
      </c>
      <c r="D290" s="93" t="s">
        <v>331</v>
      </c>
      <c r="E290" s="92" t="s">
        <v>443</v>
      </c>
      <c r="F290" s="87">
        <v>7</v>
      </c>
      <c r="G290" s="87" t="s">
        <v>6</v>
      </c>
      <c r="H290" s="87">
        <v>7</v>
      </c>
      <c r="I290" s="91">
        <v>5.6056999999999997</v>
      </c>
      <c r="J290" s="86">
        <v>39.239899999999999</v>
      </c>
      <c r="K290" s="85"/>
      <c r="L290" s="85"/>
      <c r="M290" s="85"/>
    </row>
    <row r="291" spans="1:13" x14ac:dyDescent="0.25">
      <c r="A291" s="90">
        <v>45792</v>
      </c>
      <c r="B291" s="87" t="s">
        <v>250</v>
      </c>
      <c r="C291" s="87" t="s">
        <v>489</v>
      </c>
      <c r="D291" s="95" t="s">
        <v>57</v>
      </c>
      <c r="E291" s="109" t="s">
        <v>40</v>
      </c>
      <c r="F291" s="87">
        <v>7</v>
      </c>
      <c r="G291" s="88" t="s">
        <v>6</v>
      </c>
      <c r="H291" s="87">
        <v>7</v>
      </c>
      <c r="I291" s="87">
        <v>2.532</v>
      </c>
      <c r="J291" s="86">
        <v>17.724</v>
      </c>
      <c r="K291" s="85"/>
      <c r="L291" s="85"/>
      <c r="M291" s="85"/>
    </row>
    <row r="292" spans="1:13" x14ac:dyDescent="0.25">
      <c r="A292" s="108" t="s">
        <v>337</v>
      </c>
      <c r="B292" s="87" t="s">
        <v>250</v>
      </c>
      <c r="C292" s="87" t="s">
        <v>488</v>
      </c>
      <c r="D292" s="89" t="s">
        <v>344</v>
      </c>
      <c r="E292" s="87" t="s">
        <v>349</v>
      </c>
      <c r="F292" s="87">
        <v>7</v>
      </c>
      <c r="G292" s="88" t="s">
        <v>6</v>
      </c>
      <c r="H292" s="87">
        <v>7</v>
      </c>
      <c r="I292" s="87">
        <v>57.43656</v>
      </c>
      <c r="J292" s="86">
        <v>402.05592000000001</v>
      </c>
      <c r="K292" s="85"/>
      <c r="L292" s="85"/>
      <c r="M292" s="85"/>
    </row>
    <row r="293" spans="1:13" x14ac:dyDescent="0.25">
      <c r="A293" s="107">
        <v>45791</v>
      </c>
      <c r="B293" s="106" t="s">
        <v>515</v>
      </c>
      <c r="C293" s="106" t="s">
        <v>485</v>
      </c>
      <c r="D293" s="106" t="s">
        <v>530</v>
      </c>
      <c r="E293" s="106" t="s">
        <v>529</v>
      </c>
      <c r="F293" s="104">
        <v>6</v>
      </c>
      <c r="G293" s="105" t="s">
        <v>6</v>
      </c>
      <c r="H293" s="105">
        <v>6</v>
      </c>
      <c r="I293" s="85">
        <v>12.8642</v>
      </c>
      <c r="J293" s="85">
        <f>H293*I293</f>
        <v>77.185200000000009</v>
      </c>
      <c r="K293" s="104">
        <v>1295</v>
      </c>
      <c r="L293" s="103">
        <f>F293/K293</f>
        <v>4.633204633204633E-3</v>
      </c>
      <c r="M293" s="102" t="s">
        <v>528</v>
      </c>
    </row>
    <row r="294" spans="1:13" x14ac:dyDescent="0.25">
      <c r="A294" s="107">
        <v>45802</v>
      </c>
      <c r="B294" s="106" t="s">
        <v>502</v>
      </c>
      <c r="C294" s="106" t="s">
        <v>485</v>
      </c>
      <c r="D294" s="106" t="s">
        <v>501</v>
      </c>
      <c r="E294" s="106" t="s">
        <v>378</v>
      </c>
      <c r="F294" s="104">
        <v>6</v>
      </c>
      <c r="G294" s="105" t="s">
        <v>6</v>
      </c>
      <c r="H294" s="105">
        <v>6</v>
      </c>
      <c r="I294" s="85">
        <v>30.68</v>
      </c>
      <c r="J294" s="85">
        <f>H294*I294</f>
        <v>184.07999999999998</v>
      </c>
      <c r="K294" s="104">
        <v>752</v>
      </c>
      <c r="L294" s="103">
        <f>F294/K294</f>
        <v>7.9787234042553185E-3</v>
      </c>
      <c r="M294" s="102"/>
    </row>
    <row r="295" spans="1:13" x14ac:dyDescent="0.25">
      <c r="A295" s="107">
        <v>45794</v>
      </c>
      <c r="B295" s="106" t="s">
        <v>393</v>
      </c>
      <c r="C295" s="106" t="s">
        <v>486</v>
      </c>
      <c r="D295" s="106" t="s">
        <v>492</v>
      </c>
      <c r="E295" s="106" t="s">
        <v>491</v>
      </c>
      <c r="F295" s="104">
        <v>6</v>
      </c>
      <c r="G295" s="105" t="s">
        <v>6</v>
      </c>
      <c r="H295" s="97">
        <v>6</v>
      </c>
      <c r="I295" s="97">
        <v>10.1416</v>
      </c>
      <c r="J295" s="97">
        <f>H295*I295</f>
        <v>60.849600000000002</v>
      </c>
      <c r="K295" s="104">
        <v>344</v>
      </c>
      <c r="L295" s="103">
        <f>F295/K295</f>
        <v>1.7441860465116279E-2</v>
      </c>
      <c r="M295" s="102"/>
    </row>
    <row r="296" spans="1:13" x14ac:dyDescent="0.25">
      <c r="A296" s="107">
        <v>45782</v>
      </c>
      <c r="B296" s="106" t="s">
        <v>393</v>
      </c>
      <c r="C296" s="106" t="s">
        <v>489</v>
      </c>
      <c r="D296" s="106" t="s">
        <v>509</v>
      </c>
      <c r="E296" s="106" t="s">
        <v>18</v>
      </c>
      <c r="F296" s="104">
        <v>6</v>
      </c>
      <c r="G296" s="105" t="s">
        <v>6</v>
      </c>
      <c r="H296" s="105">
        <f>F296</f>
        <v>6</v>
      </c>
      <c r="I296" s="85">
        <v>14.2</v>
      </c>
      <c r="J296" s="85">
        <f>H296*I296</f>
        <v>85.199999999999989</v>
      </c>
      <c r="K296" s="104">
        <v>896</v>
      </c>
      <c r="L296" s="103">
        <f>F296/K296</f>
        <v>6.6964285714285711E-3</v>
      </c>
      <c r="M296" s="102" t="s">
        <v>288</v>
      </c>
    </row>
    <row r="297" spans="1:13" x14ac:dyDescent="0.25">
      <c r="A297" s="107">
        <v>45788</v>
      </c>
      <c r="B297" s="106" t="s">
        <v>393</v>
      </c>
      <c r="C297" s="106" t="s">
        <v>489</v>
      </c>
      <c r="D297" s="106" t="s">
        <v>509</v>
      </c>
      <c r="E297" s="106" t="s">
        <v>18</v>
      </c>
      <c r="F297" s="104">
        <v>6</v>
      </c>
      <c r="G297" s="105" t="s">
        <v>6</v>
      </c>
      <c r="H297" s="104">
        <v>6</v>
      </c>
      <c r="I297" s="85">
        <v>14.2</v>
      </c>
      <c r="J297" s="85">
        <f>H297*I297</f>
        <v>85.199999999999989</v>
      </c>
      <c r="K297" s="104">
        <v>168</v>
      </c>
      <c r="L297" s="103">
        <f>F297/K297</f>
        <v>3.5714285714285712E-2</v>
      </c>
      <c r="M297" s="102" t="s">
        <v>288</v>
      </c>
    </row>
    <row r="298" spans="1:13" x14ac:dyDescent="0.25">
      <c r="A298" s="107">
        <v>45806</v>
      </c>
      <c r="B298" s="106" t="s">
        <v>515</v>
      </c>
      <c r="C298" s="106" t="s">
        <v>488</v>
      </c>
      <c r="D298" s="106" t="s">
        <v>338</v>
      </c>
      <c r="E298" s="106" t="s">
        <v>350</v>
      </c>
      <c r="F298" s="104">
        <v>6</v>
      </c>
      <c r="G298" s="105" t="s">
        <v>6</v>
      </c>
      <c r="H298" s="105">
        <v>6</v>
      </c>
      <c r="I298" s="85">
        <v>23</v>
      </c>
      <c r="J298" s="85">
        <f>H298*I298</f>
        <v>138</v>
      </c>
      <c r="K298" s="104">
        <v>288</v>
      </c>
      <c r="L298" s="103">
        <f>F298/K298</f>
        <v>2.0833333333333332E-2</v>
      </c>
      <c r="M298" s="102" t="s">
        <v>527</v>
      </c>
    </row>
    <row r="299" spans="1:13" x14ac:dyDescent="0.25">
      <c r="A299" s="107">
        <v>45802</v>
      </c>
      <c r="B299" s="106" t="s">
        <v>515</v>
      </c>
      <c r="C299" s="106" t="s">
        <v>488</v>
      </c>
      <c r="D299" s="106" t="s">
        <v>342</v>
      </c>
      <c r="E299" s="106" t="s">
        <v>348</v>
      </c>
      <c r="F299" s="104">
        <v>6</v>
      </c>
      <c r="G299" s="105" t="s">
        <v>6</v>
      </c>
      <c r="H299" s="105">
        <v>6</v>
      </c>
      <c r="I299" s="85">
        <v>20</v>
      </c>
      <c r="J299" s="85">
        <f>H299*I299</f>
        <v>120</v>
      </c>
      <c r="K299" s="104">
        <v>576</v>
      </c>
      <c r="L299" s="103">
        <f>F299/K299</f>
        <v>1.0416666666666666E-2</v>
      </c>
      <c r="M299" s="102" t="s">
        <v>317</v>
      </c>
    </row>
    <row r="300" spans="1:13" x14ac:dyDescent="0.25">
      <c r="A300" s="90">
        <v>45791</v>
      </c>
      <c r="B300" s="87" t="s">
        <v>250</v>
      </c>
      <c r="C300" s="87" t="s">
        <v>485</v>
      </c>
      <c r="D300" s="89" t="s">
        <v>526</v>
      </c>
      <c r="E300" s="87" t="s">
        <v>525</v>
      </c>
      <c r="F300" s="87">
        <v>6</v>
      </c>
      <c r="G300" s="110" t="s">
        <v>6</v>
      </c>
      <c r="H300" s="87">
        <v>6</v>
      </c>
      <c r="I300" s="100">
        <v>87.462800000000001</v>
      </c>
      <c r="J300" s="86">
        <v>524.77679999999998</v>
      </c>
      <c r="K300" s="85"/>
      <c r="L300" s="85"/>
      <c r="M300" s="85"/>
    </row>
    <row r="301" spans="1:13" x14ac:dyDescent="0.25">
      <c r="A301" s="90">
        <v>45791</v>
      </c>
      <c r="B301" s="87" t="s">
        <v>250</v>
      </c>
      <c r="C301" s="87" t="s">
        <v>485</v>
      </c>
      <c r="D301" s="89" t="s">
        <v>524</v>
      </c>
      <c r="E301" s="87" t="s">
        <v>523</v>
      </c>
      <c r="F301" s="87">
        <v>6</v>
      </c>
      <c r="G301" s="110" t="s">
        <v>6</v>
      </c>
      <c r="H301" s="87">
        <v>6</v>
      </c>
      <c r="I301" s="100">
        <v>68.513800000000003</v>
      </c>
      <c r="J301" s="86">
        <v>411.08280000000002</v>
      </c>
      <c r="K301" s="85"/>
      <c r="L301" s="85"/>
      <c r="M301" s="85"/>
    </row>
    <row r="302" spans="1:13" x14ac:dyDescent="0.25">
      <c r="A302" s="94">
        <v>45795</v>
      </c>
      <c r="B302" s="87" t="s">
        <v>250</v>
      </c>
      <c r="C302" s="94" t="s">
        <v>486</v>
      </c>
      <c r="D302" s="93" t="s">
        <v>189</v>
      </c>
      <c r="E302" s="92" t="s">
        <v>190</v>
      </c>
      <c r="F302" s="87">
        <v>6</v>
      </c>
      <c r="G302" s="87" t="s">
        <v>6</v>
      </c>
      <c r="H302" s="87">
        <v>6</v>
      </c>
      <c r="I302" s="91">
        <v>84.9983</v>
      </c>
      <c r="J302" s="86">
        <v>509.9898</v>
      </c>
      <c r="K302" s="85"/>
      <c r="L302" s="85"/>
      <c r="M302" s="85"/>
    </row>
    <row r="303" spans="1:13" x14ac:dyDescent="0.25">
      <c r="A303" s="94">
        <v>45790</v>
      </c>
      <c r="B303" s="87" t="s">
        <v>250</v>
      </c>
      <c r="C303" s="94" t="s">
        <v>486</v>
      </c>
      <c r="D303" s="93" t="s">
        <v>203</v>
      </c>
      <c r="E303" s="92" t="s">
        <v>204</v>
      </c>
      <c r="F303" s="87">
        <v>6</v>
      </c>
      <c r="G303" s="87" t="s">
        <v>6</v>
      </c>
      <c r="H303" s="87">
        <v>6</v>
      </c>
      <c r="I303" s="91">
        <v>44.4726</v>
      </c>
      <c r="J303" s="86">
        <v>266.8356</v>
      </c>
      <c r="K303" s="85"/>
      <c r="L303" s="85"/>
      <c r="M303" s="85"/>
    </row>
    <row r="304" spans="1:13" x14ac:dyDescent="0.25">
      <c r="A304" s="94">
        <v>45795</v>
      </c>
      <c r="B304" s="87" t="s">
        <v>250</v>
      </c>
      <c r="C304" s="94" t="s">
        <v>486</v>
      </c>
      <c r="D304" s="93" t="s">
        <v>224</v>
      </c>
      <c r="E304" s="92" t="s">
        <v>225</v>
      </c>
      <c r="F304" s="87">
        <v>6</v>
      </c>
      <c r="G304" s="87" t="s">
        <v>6</v>
      </c>
      <c r="H304" s="87">
        <v>6</v>
      </c>
      <c r="I304" s="91">
        <v>43.274299999999997</v>
      </c>
      <c r="J304" s="86">
        <v>259.64580000000001</v>
      </c>
      <c r="K304" s="85"/>
      <c r="L304" s="85"/>
      <c r="M304" s="85"/>
    </row>
    <row r="305" spans="1:13" x14ac:dyDescent="0.25">
      <c r="A305" s="94">
        <v>45790</v>
      </c>
      <c r="B305" s="87" t="s">
        <v>250</v>
      </c>
      <c r="C305" s="94" t="s">
        <v>486</v>
      </c>
      <c r="D305" s="93" t="s">
        <v>197</v>
      </c>
      <c r="E305" s="92" t="s">
        <v>198</v>
      </c>
      <c r="F305" s="87">
        <v>6</v>
      </c>
      <c r="G305" s="87" t="s">
        <v>6</v>
      </c>
      <c r="H305" s="87">
        <v>6</v>
      </c>
      <c r="I305" s="91">
        <v>24.114999999999998</v>
      </c>
      <c r="J305" s="86">
        <v>144.69</v>
      </c>
      <c r="K305" s="85"/>
      <c r="L305" s="85"/>
      <c r="M305" s="85"/>
    </row>
    <row r="306" spans="1:13" x14ac:dyDescent="0.25">
      <c r="A306" s="94">
        <v>45774</v>
      </c>
      <c r="B306" s="87" t="s">
        <v>250</v>
      </c>
      <c r="C306" s="94" t="s">
        <v>486</v>
      </c>
      <c r="D306" s="93" t="s">
        <v>197</v>
      </c>
      <c r="E306" s="92" t="s">
        <v>198</v>
      </c>
      <c r="F306" s="87">
        <v>6</v>
      </c>
      <c r="G306" s="87" t="s">
        <v>6</v>
      </c>
      <c r="H306" s="87">
        <v>6</v>
      </c>
      <c r="I306" s="91">
        <v>24.114999999999998</v>
      </c>
      <c r="J306" s="86">
        <v>144.69</v>
      </c>
      <c r="K306" s="85"/>
      <c r="L306" s="85"/>
      <c r="M306" s="85"/>
    </row>
    <row r="307" spans="1:13" x14ac:dyDescent="0.25">
      <c r="A307" s="94">
        <v>45790</v>
      </c>
      <c r="B307" s="87" t="s">
        <v>250</v>
      </c>
      <c r="C307" s="94" t="s">
        <v>486</v>
      </c>
      <c r="D307" s="93" t="s">
        <v>192</v>
      </c>
      <c r="E307" s="92" t="s">
        <v>193</v>
      </c>
      <c r="F307" s="87">
        <v>6</v>
      </c>
      <c r="G307" s="87" t="s">
        <v>6</v>
      </c>
      <c r="H307" s="87">
        <v>6</v>
      </c>
      <c r="I307" s="91">
        <v>16.1416</v>
      </c>
      <c r="J307" s="86">
        <v>96.849600000000009</v>
      </c>
      <c r="K307" s="85"/>
      <c r="L307" s="85"/>
      <c r="M307" s="85"/>
    </row>
    <row r="308" spans="1:13" x14ac:dyDescent="0.25">
      <c r="A308" s="90">
        <v>45789</v>
      </c>
      <c r="B308" s="87" t="s">
        <v>250</v>
      </c>
      <c r="C308" s="87" t="s">
        <v>485</v>
      </c>
      <c r="D308" s="89" t="s">
        <v>522</v>
      </c>
      <c r="E308" s="87" t="s">
        <v>521</v>
      </c>
      <c r="F308" s="87">
        <v>6</v>
      </c>
      <c r="G308" s="87" t="s">
        <v>6</v>
      </c>
      <c r="H308" s="87">
        <v>6</v>
      </c>
      <c r="I308" s="100">
        <v>3.4586999999999999</v>
      </c>
      <c r="J308" s="86">
        <v>20.752199999999998</v>
      </c>
      <c r="K308" s="85"/>
      <c r="L308" s="85"/>
      <c r="M308" s="85"/>
    </row>
    <row r="309" spans="1:13" x14ac:dyDescent="0.25">
      <c r="A309" s="90">
        <v>45791</v>
      </c>
      <c r="B309" s="87" t="s">
        <v>250</v>
      </c>
      <c r="C309" s="87" t="s">
        <v>485</v>
      </c>
      <c r="D309" s="89" t="s">
        <v>520</v>
      </c>
      <c r="E309" s="87" t="s">
        <v>519</v>
      </c>
      <c r="F309" s="87">
        <v>6</v>
      </c>
      <c r="G309" s="87" t="s">
        <v>6</v>
      </c>
      <c r="H309" s="87">
        <v>6</v>
      </c>
      <c r="I309" s="100">
        <v>2.8033999999999999</v>
      </c>
      <c r="J309" s="86">
        <v>16.820399999999999</v>
      </c>
      <c r="K309" s="85"/>
      <c r="L309" s="85"/>
      <c r="M309" s="85"/>
    </row>
    <row r="310" spans="1:13" x14ac:dyDescent="0.25">
      <c r="A310" s="108" t="s">
        <v>337</v>
      </c>
      <c r="B310" s="87" t="s">
        <v>250</v>
      </c>
      <c r="C310" s="87" t="s">
        <v>488</v>
      </c>
      <c r="D310" s="89" t="s">
        <v>340</v>
      </c>
      <c r="E310" s="87" t="s">
        <v>347</v>
      </c>
      <c r="F310" s="87">
        <v>6</v>
      </c>
      <c r="G310" s="87" t="s">
        <v>6</v>
      </c>
      <c r="H310" s="87">
        <v>6</v>
      </c>
      <c r="I310" s="85">
        <v>3.0802</v>
      </c>
      <c r="J310" s="86">
        <v>18.481200000000001</v>
      </c>
      <c r="K310" s="85"/>
      <c r="L310" s="85"/>
      <c r="M310" s="85"/>
    </row>
    <row r="311" spans="1:13" x14ac:dyDescent="0.25">
      <c r="A311" s="107">
        <v>45799</v>
      </c>
      <c r="B311" s="106" t="s">
        <v>393</v>
      </c>
      <c r="C311" s="106" t="s">
        <v>489</v>
      </c>
      <c r="D311" s="106" t="s">
        <v>490</v>
      </c>
      <c r="E311" s="106" t="s">
        <v>15</v>
      </c>
      <c r="F311" s="104">
        <v>5</v>
      </c>
      <c r="G311" s="105" t="s">
        <v>6</v>
      </c>
      <c r="H311" s="105">
        <v>5</v>
      </c>
      <c r="I311" s="85">
        <v>9.64</v>
      </c>
      <c r="J311" s="85">
        <f>H311*I311</f>
        <v>48.2</v>
      </c>
      <c r="K311" s="104">
        <v>384</v>
      </c>
      <c r="L311" s="103">
        <f>F311/K311</f>
        <v>1.3020833333333334E-2</v>
      </c>
      <c r="M311" s="102" t="s">
        <v>275</v>
      </c>
    </row>
    <row r="312" spans="1:13" x14ac:dyDescent="0.25">
      <c r="A312" s="107">
        <v>45807</v>
      </c>
      <c r="B312" s="106" t="s">
        <v>393</v>
      </c>
      <c r="C312" s="106" t="s">
        <v>489</v>
      </c>
      <c r="D312" s="106" t="s">
        <v>509</v>
      </c>
      <c r="E312" s="106" t="s">
        <v>18</v>
      </c>
      <c r="F312" s="104">
        <v>5</v>
      </c>
      <c r="G312" s="105" t="s">
        <v>6</v>
      </c>
      <c r="H312" s="105">
        <v>5</v>
      </c>
      <c r="I312" s="85">
        <v>14.2</v>
      </c>
      <c r="J312" s="85">
        <f>H312*I312</f>
        <v>71</v>
      </c>
      <c r="K312" s="104">
        <v>840</v>
      </c>
      <c r="L312" s="103">
        <f>F312/K312</f>
        <v>5.9523809523809521E-3</v>
      </c>
      <c r="M312" s="102" t="s">
        <v>288</v>
      </c>
    </row>
    <row r="313" spans="1:13" x14ac:dyDescent="0.25">
      <c r="A313" s="107">
        <v>45796</v>
      </c>
      <c r="B313" s="106" t="s">
        <v>393</v>
      </c>
      <c r="C313" s="106" t="s">
        <v>489</v>
      </c>
      <c r="D313" s="106" t="s">
        <v>508</v>
      </c>
      <c r="E313" s="106" t="s">
        <v>41</v>
      </c>
      <c r="F313" s="104">
        <v>5</v>
      </c>
      <c r="G313" s="105" t="s">
        <v>6</v>
      </c>
      <c r="H313" s="104">
        <v>5</v>
      </c>
      <c r="I313" s="85">
        <v>13.55</v>
      </c>
      <c r="J313" s="85">
        <f>H313*I313</f>
        <v>67.75</v>
      </c>
      <c r="K313" s="104">
        <v>1768</v>
      </c>
      <c r="L313" s="103">
        <f>F313/K313</f>
        <v>2.8280542986425339E-3</v>
      </c>
      <c r="M313" s="102" t="s">
        <v>500</v>
      </c>
    </row>
    <row r="314" spans="1:13" x14ac:dyDescent="0.25">
      <c r="A314" s="107">
        <v>45788</v>
      </c>
      <c r="B314" s="106" t="s">
        <v>393</v>
      </c>
      <c r="C314" s="106" t="s">
        <v>488</v>
      </c>
      <c r="D314" s="106" t="s">
        <v>429</v>
      </c>
      <c r="E314" s="106" t="s">
        <v>350</v>
      </c>
      <c r="F314" s="104">
        <v>5</v>
      </c>
      <c r="G314" s="105" t="s">
        <v>6</v>
      </c>
      <c r="H314" s="105">
        <v>5</v>
      </c>
      <c r="I314" s="85">
        <v>10</v>
      </c>
      <c r="J314" s="85">
        <f>H314*I314</f>
        <v>50</v>
      </c>
      <c r="K314" s="104">
        <v>1040</v>
      </c>
      <c r="L314" s="103">
        <f>F314/K314</f>
        <v>4.807692307692308E-3</v>
      </c>
      <c r="M314" s="102" t="s">
        <v>500</v>
      </c>
    </row>
    <row r="315" spans="1:13" x14ac:dyDescent="0.25">
      <c r="A315" s="94">
        <v>45790</v>
      </c>
      <c r="B315" s="87" t="s">
        <v>250</v>
      </c>
      <c r="C315" s="94" t="s">
        <v>486</v>
      </c>
      <c r="D315" s="93" t="s">
        <v>211</v>
      </c>
      <c r="E315" s="92" t="s">
        <v>212</v>
      </c>
      <c r="F315" s="87">
        <v>5</v>
      </c>
      <c r="G315" s="87" t="s">
        <v>6</v>
      </c>
      <c r="H315" s="87">
        <v>5</v>
      </c>
      <c r="I315" s="99">
        <v>85.637100000000004</v>
      </c>
      <c r="J315" s="86">
        <v>428.18550000000005</v>
      </c>
      <c r="K315" s="85"/>
      <c r="L315" s="85"/>
      <c r="M315" s="85"/>
    </row>
    <row r="316" spans="1:13" x14ac:dyDescent="0.25">
      <c r="A316" s="94">
        <v>45790</v>
      </c>
      <c r="B316" s="87" t="s">
        <v>250</v>
      </c>
      <c r="C316" s="94" t="s">
        <v>486</v>
      </c>
      <c r="D316" s="93" t="s">
        <v>209</v>
      </c>
      <c r="E316" s="92" t="s">
        <v>210</v>
      </c>
      <c r="F316" s="87">
        <v>5</v>
      </c>
      <c r="G316" s="87" t="s">
        <v>6</v>
      </c>
      <c r="H316" s="87">
        <v>5</v>
      </c>
      <c r="I316" s="99">
        <v>85</v>
      </c>
      <c r="J316" s="86">
        <v>425</v>
      </c>
      <c r="K316" s="85"/>
      <c r="L316" s="85"/>
      <c r="M316" s="85"/>
    </row>
    <row r="317" spans="1:13" x14ac:dyDescent="0.25">
      <c r="A317" s="94">
        <v>45795</v>
      </c>
      <c r="B317" s="87" t="s">
        <v>250</v>
      </c>
      <c r="C317" s="94" t="s">
        <v>486</v>
      </c>
      <c r="D317" s="93" t="s">
        <v>222</v>
      </c>
      <c r="E317" s="92" t="s">
        <v>223</v>
      </c>
      <c r="F317" s="87">
        <v>5</v>
      </c>
      <c r="G317" s="87" t="s">
        <v>6</v>
      </c>
      <c r="H317" s="87">
        <v>5</v>
      </c>
      <c r="I317" s="91">
        <v>43.107700000000001</v>
      </c>
      <c r="J317" s="86">
        <v>215.5385</v>
      </c>
      <c r="K317" s="85"/>
      <c r="L317" s="85"/>
      <c r="M317" s="85"/>
    </row>
    <row r="318" spans="1:13" x14ac:dyDescent="0.25">
      <c r="A318" s="94">
        <v>45774</v>
      </c>
      <c r="B318" s="87" t="s">
        <v>250</v>
      </c>
      <c r="C318" s="94" t="s">
        <v>486</v>
      </c>
      <c r="D318" s="93" t="s">
        <v>222</v>
      </c>
      <c r="E318" s="92" t="s">
        <v>223</v>
      </c>
      <c r="F318" s="87">
        <v>5</v>
      </c>
      <c r="G318" s="87" t="s">
        <v>6</v>
      </c>
      <c r="H318" s="87">
        <v>5</v>
      </c>
      <c r="I318" s="91">
        <v>43.107700000000001</v>
      </c>
      <c r="J318" s="86">
        <v>215.5385</v>
      </c>
      <c r="K318" s="85"/>
      <c r="L318" s="85"/>
      <c r="M318" s="85"/>
    </row>
    <row r="319" spans="1:13" x14ac:dyDescent="0.25">
      <c r="A319" s="98">
        <v>45799</v>
      </c>
      <c r="B319" s="87" t="s">
        <v>250</v>
      </c>
      <c r="C319" s="97" t="s">
        <v>489</v>
      </c>
      <c r="D319" s="89" t="s">
        <v>62</v>
      </c>
      <c r="E319" s="87" t="s">
        <v>13</v>
      </c>
      <c r="F319" s="87">
        <v>5</v>
      </c>
      <c r="G319" s="88" t="s">
        <v>6</v>
      </c>
      <c r="H319" s="87">
        <v>5</v>
      </c>
      <c r="I319" s="87">
        <v>19.204000000000001</v>
      </c>
      <c r="J319" s="86">
        <v>96.02000000000001</v>
      </c>
      <c r="K319" s="85"/>
      <c r="L319" s="85"/>
      <c r="M319" s="85"/>
    </row>
    <row r="320" spans="1:13" x14ac:dyDescent="0.25">
      <c r="A320" s="90">
        <v>45796</v>
      </c>
      <c r="B320" s="87" t="s">
        <v>250</v>
      </c>
      <c r="C320" s="87" t="s">
        <v>485</v>
      </c>
      <c r="D320" s="89" t="s">
        <v>518</v>
      </c>
      <c r="E320" s="87" t="s">
        <v>517</v>
      </c>
      <c r="F320" s="87">
        <v>5</v>
      </c>
      <c r="G320" s="110" t="s">
        <v>6</v>
      </c>
      <c r="H320" s="87">
        <v>5</v>
      </c>
      <c r="I320" s="100">
        <v>11.3788</v>
      </c>
      <c r="J320" s="86">
        <v>56.893999999999998</v>
      </c>
      <c r="K320" s="85"/>
      <c r="L320" s="85"/>
      <c r="M320" s="85"/>
    </row>
    <row r="321" spans="1:13" x14ac:dyDescent="0.25">
      <c r="A321" s="90">
        <v>45799</v>
      </c>
      <c r="B321" s="87" t="s">
        <v>250</v>
      </c>
      <c r="C321" s="87" t="s">
        <v>485</v>
      </c>
      <c r="D321" s="89" t="s">
        <v>507</v>
      </c>
      <c r="E321" s="87" t="s">
        <v>516</v>
      </c>
      <c r="F321" s="87">
        <v>5</v>
      </c>
      <c r="G321" s="87" t="s">
        <v>6</v>
      </c>
      <c r="H321" s="87">
        <v>5</v>
      </c>
      <c r="I321" s="100">
        <v>10.037000000000001</v>
      </c>
      <c r="J321" s="86">
        <v>50.185000000000002</v>
      </c>
      <c r="K321" s="85"/>
      <c r="L321" s="85"/>
      <c r="M321" s="85"/>
    </row>
    <row r="322" spans="1:13" x14ac:dyDescent="0.25">
      <c r="A322" s="94">
        <v>45774</v>
      </c>
      <c r="B322" s="87" t="s">
        <v>250</v>
      </c>
      <c r="C322" s="94" t="s">
        <v>486</v>
      </c>
      <c r="D322" s="93" t="s">
        <v>231</v>
      </c>
      <c r="E322" s="92" t="s">
        <v>232</v>
      </c>
      <c r="F322" s="87">
        <v>5</v>
      </c>
      <c r="G322" s="87" t="s">
        <v>6</v>
      </c>
      <c r="H322" s="87">
        <v>5</v>
      </c>
      <c r="I322" s="99">
        <v>5.6056999999999997</v>
      </c>
      <c r="J322" s="86">
        <v>28.028499999999998</v>
      </c>
      <c r="K322" s="85"/>
      <c r="L322" s="85"/>
      <c r="M322" s="85"/>
    </row>
    <row r="323" spans="1:13" x14ac:dyDescent="0.25">
      <c r="A323" s="90">
        <v>45790</v>
      </c>
      <c r="B323" s="87" t="s">
        <v>250</v>
      </c>
      <c r="C323" s="87" t="s">
        <v>489</v>
      </c>
      <c r="D323" s="95" t="s">
        <v>57</v>
      </c>
      <c r="E323" s="109" t="s">
        <v>97</v>
      </c>
      <c r="F323" s="109">
        <v>5</v>
      </c>
      <c r="G323" s="88" t="s">
        <v>6</v>
      </c>
      <c r="H323" s="109">
        <v>5</v>
      </c>
      <c r="I323" s="87">
        <v>2.532</v>
      </c>
      <c r="J323" s="86">
        <v>12.66</v>
      </c>
      <c r="K323" s="85"/>
      <c r="L323" s="85"/>
      <c r="M323" s="85"/>
    </row>
    <row r="324" spans="1:13" x14ac:dyDescent="0.25">
      <c r="A324" s="107">
        <v>45797</v>
      </c>
      <c r="B324" s="106" t="s">
        <v>502</v>
      </c>
      <c r="C324" s="106" t="s">
        <v>485</v>
      </c>
      <c r="D324" s="106" t="s">
        <v>501</v>
      </c>
      <c r="E324" s="106" t="s">
        <v>378</v>
      </c>
      <c r="F324" s="104">
        <v>4</v>
      </c>
      <c r="G324" s="105" t="s">
        <v>6</v>
      </c>
      <c r="H324" s="105">
        <v>4</v>
      </c>
      <c r="I324" s="85">
        <v>30.68</v>
      </c>
      <c r="J324" s="85">
        <f>H324*I324</f>
        <v>122.72</v>
      </c>
      <c r="K324" s="104">
        <v>256</v>
      </c>
      <c r="L324" s="103">
        <f>F324/K324</f>
        <v>1.5625E-2</v>
      </c>
      <c r="M324" s="102"/>
    </row>
    <row r="325" spans="1:13" x14ac:dyDescent="0.25">
      <c r="A325" s="107">
        <v>45793</v>
      </c>
      <c r="B325" s="106" t="s">
        <v>320</v>
      </c>
      <c r="C325" s="106" t="s">
        <v>485</v>
      </c>
      <c r="D325" s="106" t="s">
        <v>493</v>
      </c>
      <c r="E325" s="106" t="s">
        <v>380</v>
      </c>
      <c r="F325" s="104">
        <v>4</v>
      </c>
      <c r="G325" s="105" t="s">
        <v>6</v>
      </c>
      <c r="H325" s="111">
        <v>4</v>
      </c>
      <c r="I325" s="85">
        <v>15</v>
      </c>
      <c r="J325" s="85">
        <f>H325*I325</f>
        <v>60</v>
      </c>
      <c r="K325" s="104">
        <v>288</v>
      </c>
      <c r="L325" s="103">
        <f>F325/K325</f>
        <v>1.3888888888888888E-2</v>
      </c>
      <c r="M325" s="102"/>
    </row>
    <row r="326" spans="1:13" x14ac:dyDescent="0.25">
      <c r="A326" s="107">
        <v>45793</v>
      </c>
      <c r="B326" s="106" t="s">
        <v>515</v>
      </c>
      <c r="C326" s="106" t="s">
        <v>486</v>
      </c>
      <c r="D326" s="106" t="s">
        <v>514</v>
      </c>
      <c r="E326" s="106" t="s">
        <v>513</v>
      </c>
      <c r="F326" s="104">
        <v>4</v>
      </c>
      <c r="G326" s="105" t="s">
        <v>6</v>
      </c>
      <c r="H326" s="97">
        <v>4</v>
      </c>
      <c r="I326" s="91">
        <v>29.6998</v>
      </c>
      <c r="J326" s="85">
        <f>H326*I326</f>
        <v>118.7992</v>
      </c>
      <c r="K326" s="104">
        <v>205</v>
      </c>
      <c r="L326" s="103">
        <f>F326/K326</f>
        <v>1.9512195121951219E-2</v>
      </c>
      <c r="M326" s="102"/>
    </row>
    <row r="327" spans="1:13" x14ac:dyDescent="0.25">
      <c r="A327" s="107">
        <v>45782</v>
      </c>
      <c r="B327" s="106" t="s">
        <v>393</v>
      </c>
      <c r="C327" s="106" t="s">
        <v>489</v>
      </c>
      <c r="D327" s="106" t="s">
        <v>490</v>
      </c>
      <c r="E327" s="106" t="s">
        <v>15</v>
      </c>
      <c r="F327" s="104">
        <v>4</v>
      </c>
      <c r="G327" s="105" t="s">
        <v>6</v>
      </c>
      <c r="H327" s="105">
        <f>F327</f>
        <v>4</v>
      </c>
      <c r="I327" s="85">
        <v>9.64</v>
      </c>
      <c r="J327" s="85">
        <f>H327*I327</f>
        <v>38.56</v>
      </c>
      <c r="K327" s="104">
        <v>512</v>
      </c>
      <c r="L327" s="103">
        <f>F327/K327</f>
        <v>7.8125E-3</v>
      </c>
      <c r="M327" s="102" t="s">
        <v>275</v>
      </c>
    </row>
    <row r="328" spans="1:13" x14ac:dyDescent="0.25">
      <c r="A328" s="107">
        <v>45792</v>
      </c>
      <c r="B328" s="106" t="s">
        <v>393</v>
      </c>
      <c r="C328" s="106" t="s">
        <v>489</v>
      </c>
      <c r="D328" s="106" t="s">
        <v>490</v>
      </c>
      <c r="E328" s="106" t="s">
        <v>15</v>
      </c>
      <c r="F328" s="104">
        <v>4</v>
      </c>
      <c r="G328" s="105" t="s">
        <v>6</v>
      </c>
      <c r="H328" s="105">
        <v>4</v>
      </c>
      <c r="I328" s="85">
        <v>9.64</v>
      </c>
      <c r="J328" s="85">
        <f>H328*I328</f>
        <v>38.56</v>
      </c>
      <c r="K328" s="104">
        <v>2304</v>
      </c>
      <c r="L328" s="103">
        <f>F328/K328</f>
        <v>1.736111111111111E-3</v>
      </c>
      <c r="M328" s="102" t="s">
        <v>275</v>
      </c>
    </row>
    <row r="329" spans="1:13" x14ac:dyDescent="0.25">
      <c r="A329" s="107">
        <v>45802</v>
      </c>
      <c r="B329" s="106" t="s">
        <v>393</v>
      </c>
      <c r="C329" s="106" t="s">
        <v>489</v>
      </c>
      <c r="D329" s="106" t="s">
        <v>490</v>
      </c>
      <c r="E329" s="106" t="s">
        <v>15</v>
      </c>
      <c r="F329" s="104">
        <v>4</v>
      </c>
      <c r="G329" s="105" t="s">
        <v>6</v>
      </c>
      <c r="H329" s="105">
        <v>4</v>
      </c>
      <c r="I329" s="85">
        <v>9.64</v>
      </c>
      <c r="J329" s="85">
        <f>H329*I329</f>
        <v>38.56</v>
      </c>
      <c r="K329" s="104">
        <v>2496</v>
      </c>
      <c r="L329" s="103">
        <f>F329/K329</f>
        <v>1.6025641025641025E-3</v>
      </c>
      <c r="M329" s="102" t="s">
        <v>275</v>
      </c>
    </row>
    <row r="330" spans="1:13" x14ac:dyDescent="0.25">
      <c r="A330" s="107">
        <v>45803</v>
      </c>
      <c r="B330" s="106" t="s">
        <v>393</v>
      </c>
      <c r="C330" s="106" t="s">
        <v>489</v>
      </c>
      <c r="D330" s="106" t="s">
        <v>490</v>
      </c>
      <c r="E330" s="106" t="s">
        <v>15</v>
      </c>
      <c r="F330" s="104">
        <v>4</v>
      </c>
      <c r="G330" s="105" t="s">
        <v>6</v>
      </c>
      <c r="H330" s="105">
        <v>4</v>
      </c>
      <c r="I330" s="85">
        <v>9.64</v>
      </c>
      <c r="J330" s="85">
        <f>H330*I330</f>
        <v>38.56</v>
      </c>
      <c r="K330" s="104">
        <v>1440</v>
      </c>
      <c r="L330" s="103">
        <f>F330/K330</f>
        <v>2.7777777777777779E-3</v>
      </c>
      <c r="M330" s="102" t="s">
        <v>275</v>
      </c>
    </row>
    <row r="331" spans="1:13" x14ac:dyDescent="0.25">
      <c r="A331" s="107">
        <v>45802</v>
      </c>
      <c r="B331" s="106" t="s">
        <v>393</v>
      </c>
      <c r="C331" s="106" t="s">
        <v>489</v>
      </c>
      <c r="D331" s="106" t="s">
        <v>115</v>
      </c>
      <c r="E331" s="106" t="s">
        <v>42</v>
      </c>
      <c r="F331" s="104">
        <v>4</v>
      </c>
      <c r="G331" s="105" t="s">
        <v>6</v>
      </c>
      <c r="H331" s="105">
        <v>4</v>
      </c>
      <c r="I331" s="87">
        <v>8.5</v>
      </c>
      <c r="J331" s="85">
        <f>H331*I331</f>
        <v>34</v>
      </c>
      <c r="K331" s="104">
        <v>1296</v>
      </c>
      <c r="L331" s="103">
        <f>F331/K331</f>
        <v>3.0864197530864196E-3</v>
      </c>
      <c r="M331" s="102" t="s">
        <v>510</v>
      </c>
    </row>
    <row r="332" spans="1:13" x14ac:dyDescent="0.25">
      <c r="A332" s="107">
        <v>45803</v>
      </c>
      <c r="B332" s="106" t="s">
        <v>393</v>
      </c>
      <c r="C332" s="106" t="s">
        <v>489</v>
      </c>
      <c r="D332" s="106" t="s">
        <v>115</v>
      </c>
      <c r="E332" s="106" t="s">
        <v>42</v>
      </c>
      <c r="F332" s="104">
        <v>4</v>
      </c>
      <c r="G332" s="105" t="s">
        <v>6</v>
      </c>
      <c r="H332" s="105">
        <v>4</v>
      </c>
      <c r="I332" s="87">
        <v>8.5</v>
      </c>
      <c r="J332" s="85">
        <f>H332*I332</f>
        <v>34</v>
      </c>
      <c r="K332" s="104">
        <v>648</v>
      </c>
      <c r="L332" s="103">
        <f>F332/K332</f>
        <v>6.1728395061728392E-3</v>
      </c>
      <c r="M332" s="102" t="s">
        <v>510</v>
      </c>
    </row>
    <row r="333" spans="1:13" x14ac:dyDescent="0.25">
      <c r="A333" s="107">
        <v>45791</v>
      </c>
      <c r="B333" s="106" t="s">
        <v>393</v>
      </c>
      <c r="C333" s="106" t="s">
        <v>488</v>
      </c>
      <c r="D333" s="106" t="s">
        <v>343</v>
      </c>
      <c r="E333" s="106" t="s">
        <v>427</v>
      </c>
      <c r="F333" s="104">
        <v>4</v>
      </c>
      <c r="G333" s="105" t="s">
        <v>6</v>
      </c>
      <c r="H333" s="105">
        <v>4</v>
      </c>
      <c r="I333" s="85">
        <v>8.5</v>
      </c>
      <c r="J333" s="85">
        <f>H333*I333</f>
        <v>34</v>
      </c>
      <c r="K333" s="104">
        <v>448</v>
      </c>
      <c r="L333" s="103">
        <f>F333/K333</f>
        <v>8.9285714285714281E-3</v>
      </c>
      <c r="M333" s="102" t="s">
        <v>278</v>
      </c>
    </row>
    <row r="334" spans="1:13" x14ac:dyDescent="0.25">
      <c r="A334" s="107">
        <v>45806</v>
      </c>
      <c r="B334" s="106" t="s">
        <v>393</v>
      </c>
      <c r="C334" s="106" t="s">
        <v>488</v>
      </c>
      <c r="D334" s="106" t="s">
        <v>343</v>
      </c>
      <c r="E334" s="106" t="s">
        <v>430</v>
      </c>
      <c r="F334" s="104">
        <v>4</v>
      </c>
      <c r="G334" s="105" t="s">
        <v>6</v>
      </c>
      <c r="H334" s="105">
        <v>4</v>
      </c>
      <c r="I334" s="85">
        <v>8.5</v>
      </c>
      <c r="J334" s="85">
        <f>H334*I334</f>
        <v>34</v>
      </c>
      <c r="K334" s="104">
        <v>448</v>
      </c>
      <c r="L334" s="103">
        <f>F334/K334</f>
        <v>8.9285714285714281E-3</v>
      </c>
      <c r="M334" s="102" t="s">
        <v>278</v>
      </c>
    </row>
    <row r="335" spans="1:13" x14ac:dyDescent="0.25">
      <c r="A335" s="107">
        <v>45795</v>
      </c>
      <c r="B335" s="106" t="s">
        <v>393</v>
      </c>
      <c r="C335" s="106" t="s">
        <v>488</v>
      </c>
      <c r="D335" s="106" t="s">
        <v>429</v>
      </c>
      <c r="E335" s="106" t="s">
        <v>350</v>
      </c>
      <c r="F335" s="104">
        <v>4</v>
      </c>
      <c r="G335" s="105" t="s">
        <v>6</v>
      </c>
      <c r="H335" s="104">
        <v>4</v>
      </c>
      <c r="I335" s="85">
        <v>10</v>
      </c>
      <c r="J335" s="85">
        <f>H335*I335</f>
        <v>40</v>
      </c>
      <c r="K335" s="104">
        <v>632</v>
      </c>
      <c r="L335" s="103">
        <f>F335/K335</f>
        <v>6.3291139240506328E-3</v>
      </c>
      <c r="M335" s="102" t="s">
        <v>500</v>
      </c>
    </row>
    <row r="336" spans="1:13" x14ac:dyDescent="0.25">
      <c r="A336" s="94">
        <v>45795</v>
      </c>
      <c r="B336" s="87" t="s">
        <v>250</v>
      </c>
      <c r="C336" s="94" t="s">
        <v>486</v>
      </c>
      <c r="D336" s="93" t="s">
        <v>215</v>
      </c>
      <c r="E336" s="92" t="s">
        <v>216</v>
      </c>
      <c r="F336" s="87">
        <v>4</v>
      </c>
      <c r="G336" s="87" t="s">
        <v>6</v>
      </c>
      <c r="H336" s="87">
        <v>4</v>
      </c>
      <c r="I336" s="99">
        <v>25.256599999999999</v>
      </c>
      <c r="J336" s="86">
        <v>101.0264</v>
      </c>
      <c r="K336" s="85"/>
      <c r="L336" s="85"/>
      <c r="M336" s="85"/>
    </row>
    <row r="337" spans="1:13" x14ac:dyDescent="0.25">
      <c r="A337" s="90">
        <v>45791</v>
      </c>
      <c r="B337" s="87" t="s">
        <v>250</v>
      </c>
      <c r="C337" s="87" t="s">
        <v>485</v>
      </c>
      <c r="D337" s="89" t="s">
        <v>512</v>
      </c>
      <c r="E337" s="87" t="s">
        <v>511</v>
      </c>
      <c r="F337" s="87">
        <v>4</v>
      </c>
      <c r="G337" s="110" t="s">
        <v>6</v>
      </c>
      <c r="H337" s="87">
        <v>4</v>
      </c>
      <c r="I337" s="100">
        <v>21.612200000000001</v>
      </c>
      <c r="J337" s="86">
        <v>86.448800000000006</v>
      </c>
      <c r="K337" s="85"/>
      <c r="L337" s="85"/>
      <c r="M337" s="85"/>
    </row>
    <row r="338" spans="1:13" x14ac:dyDescent="0.25">
      <c r="A338" s="90">
        <v>45790</v>
      </c>
      <c r="B338" s="87" t="s">
        <v>250</v>
      </c>
      <c r="C338" s="87" t="s">
        <v>489</v>
      </c>
      <c r="D338" s="89" t="s">
        <v>62</v>
      </c>
      <c r="E338" s="87" t="s">
        <v>13</v>
      </c>
      <c r="F338" s="87">
        <v>4</v>
      </c>
      <c r="G338" s="88" t="s">
        <v>6</v>
      </c>
      <c r="H338" s="87">
        <v>4</v>
      </c>
      <c r="I338" s="87">
        <v>19.204000000000001</v>
      </c>
      <c r="J338" s="86">
        <v>76.816000000000003</v>
      </c>
      <c r="K338" s="85"/>
      <c r="L338" s="85"/>
      <c r="M338" s="85"/>
    </row>
    <row r="339" spans="1:13" x14ac:dyDescent="0.25">
      <c r="A339" s="90">
        <v>45792</v>
      </c>
      <c r="B339" s="87" t="s">
        <v>250</v>
      </c>
      <c r="C339" s="87" t="s">
        <v>489</v>
      </c>
      <c r="D339" s="89" t="s">
        <v>62</v>
      </c>
      <c r="E339" s="87" t="s">
        <v>13</v>
      </c>
      <c r="F339" s="87">
        <v>4</v>
      </c>
      <c r="G339" s="88" t="s">
        <v>6</v>
      </c>
      <c r="H339" s="87">
        <v>4</v>
      </c>
      <c r="I339" s="87">
        <v>19.204000000000001</v>
      </c>
      <c r="J339" s="86">
        <v>76.816000000000003</v>
      </c>
      <c r="K339" s="85"/>
      <c r="L339" s="85"/>
      <c r="M339" s="85"/>
    </row>
    <row r="340" spans="1:13" x14ac:dyDescent="0.25">
      <c r="A340" s="90">
        <v>45790</v>
      </c>
      <c r="B340" s="87" t="s">
        <v>250</v>
      </c>
      <c r="C340" s="87" t="s">
        <v>489</v>
      </c>
      <c r="D340" s="95" t="s">
        <v>9</v>
      </c>
      <c r="E340" s="109" t="s">
        <v>18</v>
      </c>
      <c r="F340" s="101">
        <v>4</v>
      </c>
      <c r="G340" s="88" t="s">
        <v>6</v>
      </c>
      <c r="H340" s="101">
        <v>4</v>
      </c>
      <c r="I340" s="87">
        <v>22.7425</v>
      </c>
      <c r="J340" s="86">
        <v>90.97</v>
      </c>
      <c r="K340" s="85"/>
      <c r="L340" s="85"/>
      <c r="M340" s="85"/>
    </row>
    <row r="341" spans="1:13" x14ac:dyDescent="0.25">
      <c r="A341" s="94">
        <v>45790</v>
      </c>
      <c r="B341" s="87" t="s">
        <v>250</v>
      </c>
      <c r="C341" s="94" t="s">
        <v>486</v>
      </c>
      <c r="D341" s="93" t="s">
        <v>196</v>
      </c>
      <c r="E341" s="92" t="s">
        <v>441</v>
      </c>
      <c r="F341" s="87">
        <v>4</v>
      </c>
      <c r="G341" s="87" t="s">
        <v>6</v>
      </c>
      <c r="H341" s="87">
        <v>4</v>
      </c>
      <c r="I341" s="91">
        <v>11.628299999999999</v>
      </c>
      <c r="J341" s="86">
        <v>46.513199999999998</v>
      </c>
      <c r="K341" s="85"/>
      <c r="L341" s="85"/>
      <c r="M341" s="85"/>
    </row>
    <row r="342" spans="1:13" x14ac:dyDescent="0.25">
      <c r="A342" s="94">
        <v>45774</v>
      </c>
      <c r="B342" s="87" t="s">
        <v>250</v>
      </c>
      <c r="C342" s="94" t="s">
        <v>486</v>
      </c>
      <c r="D342" s="93" t="s">
        <v>229</v>
      </c>
      <c r="E342" s="92" t="s">
        <v>449</v>
      </c>
      <c r="F342" s="87">
        <v>4</v>
      </c>
      <c r="G342" s="87" t="s">
        <v>6</v>
      </c>
      <c r="H342" s="87">
        <v>4</v>
      </c>
      <c r="I342" s="91">
        <v>9.7737999999999996</v>
      </c>
      <c r="J342" s="86">
        <v>39.095199999999998</v>
      </c>
      <c r="K342" s="85"/>
      <c r="L342" s="85"/>
      <c r="M342" s="85"/>
    </row>
    <row r="343" spans="1:13" x14ac:dyDescent="0.25">
      <c r="A343" s="90">
        <v>45790</v>
      </c>
      <c r="B343" s="87" t="s">
        <v>250</v>
      </c>
      <c r="C343" s="87" t="s">
        <v>489</v>
      </c>
      <c r="D343" s="89" t="s">
        <v>55</v>
      </c>
      <c r="E343" s="87" t="s">
        <v>95</v>
      </c>
      <c r="F343" s="96">
        <v>4</v>
      </c>
      <c r="G343" s="88" t="s">
        <v>6</v>
      </c>
      <c r="H343" s="96">
        <v>4</v>
      </c>
      <c r="I343" s="87">
        <v>2.6549999999999998</v>
      </c>
      <c r="J343" s="86">
        <v>10.62</v>
      </c>
      <c r="K343" s="85"/>
      <c r="L343" s="85"/>
      <c r="M343" s="85"/>
    </row>
    <row r="344" spans="1:13" x14ac:dyDescent="0.25">
      <c r="A344" s="107">
        <v>45798</v>
      </c>
      <c r="B344" s="106" t="s">
        <v>502</v>
      </c>
      <c r="C344" s="106" t="s">
        <v>485</v>
      </c>
      <c r="D344" s="106" t="s">
        <v>501</v>
      </c>
      <c r="E344" s="106" t="s">
        <v>378</v>
      </c>
      <c r="F344" s="104">
        <v>3</v>
      </c>
      <c r="G344" s="105" t="s">
        <v>6</v>
      </c>
      <c r="H344" s="105">
        <v>3</v>
      </c>
      <c r="I344" s="85">
        <v>30.68</v>
      </c>
      <c r="J344" s="85">
        <f>H344*I344</f>
        <v>92.039999999999992</v>
      </c>
      <c r="K344" s="104">
        <v>512</v>
      </c>
      <c r="L344" s="103">
        <f>F344/K344</f>
        <v>5.859375E-3</v>
      </c>
      <c r="M344" s="102"/>
    </row>
    <row r="345" spans="1:13" x14ac:dyDescent="0.25">
      <c r="A345" s="107">
        <v>45801</v>
      </c>
      <c r="B345" s="106" t="s">
        <v>502</v>
      </c>
      <c r="C345" s="106" t="s">
        <v>485</v>
      </c>
      <c r="D345" s="106" t="s">
        <v>501</v>
      </c>
      <c r="E345" s="106" t="s">
        <v>378</v>
      </c>
      <c r="F345" s="104">
        <v>3</v>
      </c>
      <c r="G345" s="105" t="s">
        <v>6</v>
      </c>
      <c r="H345" s="105">
        <v>3</v>
      </c>
      <c r="I345" s="85">
        <v>30.68</v>
      </c>
      <c r="J345" s="85">
        <f>H345*I345</f>
        <v>92.039999999999992</v>
      </c>
      <c r="K345" s="104">
        <v>1024</v>
      </c>
      <c r="L345" s="103">
        <f>F345/K345</f>
        <v>2.9296875E-3</v>
      </c>
      <c r="M345" s="102"/>
    </row>
    <row r="346" spans="1:13" x14ac:dyDescent="0.25">
      <c r="A346" s="107">
        <v>45781</v>
      </c>
      <c r="B346" s="106" t="s">
        <v>393</v>
      </c>
      <c r="C346" s="106" t="s">
        <v>489</v>
      </c>
      <c r="D346" s="106" t="s">
        <v>490</v>
      </c>
      <c r="E346" s="106" t="s">
        <v>15</v>
      </c>
      <c r="F346" s="104">
        <v>3</v>
      </c>
      <c r="G346" s="105" t="s">
        <v>6</v>
      </c>
      <c r="H346" s="104">
        <v>3</v>
      </c>
      <c r="I346" s="85">
        <v>9.64</v>
      </c>
      <c r="J346" s="85">
        <f>H346*I346</f>
        <v>28.92</v>
      </c>
      <c r="K346" s="104">
        <f>1888+96</f>
        <v>1984</v>
      </c>
      <c r="L346" s="103">
        <f>F346/K346</f>
        <v>1.5120967741935483E-3</v>
      </c>
      <c r="M346" s="102" t="s">
        <v>275</v>
      </c>
    </row>
    <row r="347" spans="1:13" x14ac:dyDescent="0.25">
      <c r="A347" s="107">
        <v>45806</v>
      </c>
      <c r="B347" s="106" t="s">
        <v>393</v>
      </c>
      <c r="C347" s="106" t="s">
        <v>489</v>
      </c>
      <c r="D347" s="106" t="s">
        <v>490</v>
      </c>
      <c r="E347" s="106" t="s">
        <v>15</v>
      </c>
      <c r="F347" s="104">
        <v>3</v>
      </c>
      <c r="G347" s="105" t="s">
        <v>6</v>
      </c>
      <c r="H347" s="105">
        <v>3</v>
      </c>
      <c r="I347" s="85">
        <v>9.64</v>
      </c>
      <c r="J347" s="85">
        <f>H347*I347</f>
        <v>28.92</v>
      </c>
      <c r="K347" s="104">
        <v>672</v>
      </c>
      <c r="L347" s="103">
        <f>F347/K347</f>
        <v>4.464285714285714E-3</v>
      </c>
      <c r="M347" s="102" t="s">
        <v>275</v>
      </c>
    </row>
    <row r="348" spans="1:13" x14ac:dyDescent="0.25">
      <c r="A348" s="107">
        <v>45791</v>
      </c>
      <c r="B348" s="106" t="s">
        <v>393</v>
      </c>
      <c r="C348" s="106" t="s">
        <v>489</v>
      </c>
      <c r="D348" s="106" t="s">
        <v>115</v>
      </c>
      <c r="E348" s="106" t="s">
        <v>42</v>
      </c>
      <c r="F348" s="104">
        <v>3</v>
      </c>
      <c r="G348" s="105" t="s">
        <v>6</v>
      </c>
      <c r="H348" s="105">
        <v>3</v>
      </c>
      <c r="I348" s="87">
        <v>8.5</v>
      </c>
      <c r="J348" s="85">
        <f>H348*I348</f>
        <v>25.5</v>
      </c>
      <c r="K348" s="104">
        <v>1728</v>
      </c>
      <c r="L348" s="103">
        <f>F348/K348</f>
        <v>1.736111111111111E-3</v>
      </c>
      <c r="M348" s="102" t="s">
        <v>510</v>
      </c>
    </row>
    <row r="349" spans="1:13" x14ac:dyDescent="0.25">
      <c r="A349" s="107">
        <v>45803</v>
      </c>
      <c r="B349" s="106" t="s">
        <v>393</v>
      </c>
      <c r="C349" s="106" t="s">
        <v>489</v>
      </c>
      <c r="D349" s="106" t="s">
        <v>509</v>
      </c>
      <c r="E349" s="106" t="s">
        <v>18</v>
      </c>
      <c r="F349" s="104">
        <v>3</v>
      </c>
      <c r="G349" s="105" t="s">
        <v>6</v>
      </c>
      <c r="H349" s="105">
        <v>3</v>
      </c>
      <c r="I349" s="85">
        <v>14.2</v>
      </c>
      <c r="J349" s="85">
        <f>H349*I349</f>
        <v>42.599999999999994</v>
      </c>
      <c r="K349" s="104">
        <v>784</v>
      </c>
      <c r="L349" s="103">
        <f>F349/K349</f>
        <v>3.8265306122448979E-3</v>
      </c>
      <c r="M349" s="102" t="s">
        <v>288</v>
      </c>
    </row>
    <row r="350" spans="1:13" x14ac:dyDescent="0.25">
      <c r="A350" s="107">
        <v>45806</v>
      </c>
      <c r="B350" s="106" t="s">
        <v>393</v>
      </c>
      <c r="C350" s="106" t="s">
        <v>489</v>
      </c>
      <c r="D350" s="106" t="s">
        <v>508</v>
      </c>
      <c r="E350" s="106" t="s">
        <v>41</v>
      </c>
      <c r="F350" s="104">
        <v>3</v>
      </c>
      <c r="G350" s="105" t="s">
        <v>6</v>
      </c>
      <c r="H350" s="105">
        <v>3</v>
      </c>
      <c r="I350" s="85">
        <v>13.55</v>
      </c>
      <c r="J350" s="85">
        <f>H350*I350</f>
        <v>40.650000000000006</v>
      </c>
      <c r="K350" s="104">
        <v>2184</v>
      </c>
      <c r="L350" s="103">
        <f>F350/K350</f>
        <v>1.3736263736263737E-3</v>
      </c>
      <c r="M350" s="102" t="s">
        <v>500</v>
      </c>
    </row>
    <row r="351" spans="1:13" x14ac:dyDescent="0.25">
      <c r="A351" s="107">
        <v>45785</v>
      </c>
      <c r="B351" s="106" t="s">
        <v>393</v>
      </c>
      <c r="C351" s="106" t="s">
        <v>488</v>
      </c>
      <c r="D351" s="106" t="s">
        <v>429</v>
      </c>
      <c r="E351" s="106" t="s">
        <v>350</v>
      </c>
      <c r="F351" s="104">
        <v>3</v>
      </c>
      <c r="G351" s="105" t="s">
        <v>6</v>
      </c>
      <c r="H351" s="105">
        <v>3</v>
      </c>
      <c r="I351" s="85">
        <v>10</v>
      </c>
      <c r="J351" s="85">
        <f>H351*I351</f>
        <v>30</v>
      </c>
      <c r="K351" s="104">
        <v>1456</v>
      </c>
      <c r="L351" s="103">
        <f>F351/K351</f>
        <v>2.0604395604395605E-3</v>
      </c>
      <c r="M351" s="102" t="s">
        <v>500</v>
      </c>
    </row>
    <row r="352" spans="1:13" x14ac:dyDescent="0.25">
      <c r="A352" s="94">
        <v>45790</v>
      </c>
      <c r="B352" s="87" t="s">
        <v>250</v>
      </c>
      <c r="C352" s="94" t="s">
        <v>486</v>
      </c>
      <c r="D352" s="93" t="s">
        <v>203</v>
      </c>
      <c r="E352" s="92" t="s">
        <v>204</v>
      </c>
      <c r="F352" s="87">
        <v>3</v>
      </c>
      <c r="G352" s="87" t="s">
        <v>6</v>
      </c>
      <c r="H352" s="87">
        <v>3</v>
      </c>
      <c r="I352" s="91">
        <v>44.4726</v>
      </c>
      <c r="J352" s="86">
        <v>133.4178</v>
      </c>
      <c r="K352" s="85"/>
      <c r="L352" s="85"/>
      <c r="M352" s="85"/>
    </row>
    <row r="353" spans="1:13" x14ac:dyDescent="0.25">
      <c r="A353" s="94">
        <v>45774</v>
      </c>
      <c r="B353" s="87" t="s">
        <v>250</v>
      </c>
      <c r="C353" s="94" t="s">
        <v>486</v>
      </c>
      <c r="D353" s="93" t="s">
        <v>224</v>
      </c>
      <c r="E353" s="92" t="s">
        <v>225</v>
      </c>
      <c r="F353" s="87">
        <v>3</v>
      </c>
      <c r="G353" s="87" t="s">
        <v>6</v>
      </c>
      <c r="H353" s="87">
        <v>3</v>
      </c>
      <c r="I353" s="91">
        <v>43.274299999999997</v>
      </c>
      <c r="J353" s="86">
        <v>129.8229</v>
      </c>
      <c r="K353" s="85"/>
      <c r="L353" s="85"/>
      <c r="M353" s="85"/>
    </row>
    <row r="354" spans="1:13" x14ac:dyDescent="0.25">
      <c r="A354" s="94">
        <v>45795</v>
      </c>
      <c r="B354" s="87" t="s">
        <v>250</v>
      </c>
      <c r="C354" s="94" t="s">
        <v>486</v>
      </c>
      <c r="D354" s="93" t="s">
        <v>199</v>
      </c>
      <c r="E354" s="92" t="s">
        <v>200</v>
      </c>
      <c r="F354" s="87">
        <v>3</v>
      </c>
      <c r="G354" s="87" t="s">
        <v>6</v>
      </c>
      <c r="H354" s="87">
        <v>3</v>
      </c>
      <c r="I354" s="99">
        <v>29.6998</v>
      </c>
      <c r="J354" s="86">
        <v>89.099400000000003</v>
      </c>
      <c r="K354" s="85"/>
      <c r="L354" s="85"/>
      <c r="M354" s="85"/>
    </row>
    <row r="355" spans="1:13" x14ac:dyDescent="0.25">
      <c r="A355" s="94">
        <v>45795</v>
      </c>
      <c r="B355" s="87" t="s">
        <v>250</v>
      </c>
      <c r="C355" s="94" t="s">
        <v>486</v>
      </c>
      <c r="D355" s="93" t="s">
        <v>215</v>
      </c>
      <c r="E355" s="92" t="s">
        <v>216</v>
      </c>
      <c r="F355" s="87">
        <v>3</v>
      </c>
      <c r="G355" s="87" t="s">
        <v>6</v>
      </c>
      <c r="H355" s="87">
        <v>3</v>
      </c>
      <c r="I355" s="99">
        <v>25.256599999999999</v>
      </c>
      <c r="J355" s="86">
        <v>75.769800000000004</v>
      </c>
      <c r="K355" s="85"/>
      <c r="L355" s="85"/>
      <c r="M355" s="85"/>
    </row>
    <row r="356" spans="1:13" x14ac:dyDescent="0.25">
      <c r="A356" s="90">
        <v>45805</v>
      </c>
      <c r="B356" s="87" t="s">
        <v>250</v>
      </c>
      <c r="C356" s="97" t="s">
        <v>489</v>
      </c>
      <c r="D356" s="89" t="s">
        <v>62</v>
      </c>
      <c r="E356" s="87" t="s">
        <v>103</v>
      </c>
      <c r="F356" s="87">
        <v>3</v>
      </c>
      <c r="G356" s="88" t="s">
        <v>6</v>
      </c>
      <c r="H356" s="87">
        <v>3</v>
      </c>
      <c r="I356" s="87">
        <v>19.204000000000001</v>
      </c>
      <c r="J356" s="86">
        <v>57.612000000000002</v>
      </c>
      <c r="K356" s="85"/>
      <c r="L356" s="85"/>
      <c r="M356" s="85"/>
    </row>
    <row r="357" spans="1:13" x14ac:dyDescent="0.25">
      <c r="A357" s="98">
        <v>45799</v>
      </c>
      <c r="B357" s="87" t="s">
        <v>250</v>
      </c>
      <c r="C357" s="97" t="s">
        <v>489</v>
      </c>
      <c r="D357" s="95" t="s">
        <v>69</v>
      </c>
      <c r="E357" s="87" t="s">
        <v>42</v>
      </c>
      <c r="F357" s="87">
        <v>3</v>
      </c>
      <c r="G357" s="88" t="s">
        <v>6</v>
      </c>
      <c r="H357" s="87">
        <v>3</v>
      </c>
      <c r="I357" s="87">
        <v>11.773300000000001</v>
      </c>
      <c r="J357" s="86">
        <v>35.319900000000004</v>
      </c>
      <c r="K357" s="85"/>
      <c r="L357" s="85"/>
      <c r="M357" s="85"/>
    </row>
    <row r="358" spans="1:13" x14ac:dyDescent="0.25">
      <c r="A358" s="90">
        <v>45790</v>
      </c>
      <c r="B358" s="87" t="s">
        <v>250</v>
      </c>
      <c r="C358" s="87" t="s">
        <v>489</v>
      </c>
      <c r="D358" s="89" t="s">
        <v>61</v>
      </c>
      <c r="E358" s="87" t="s">
        <v>16</v>
      </c>
      <c r="F358" s="101">
        <v>3</v>
      </c>
      <c r="G358" s="88" t="s">
        <v>6</v>
      </c>
      <c r="H358" s="101">
        <v>3</v>
      </c>
      <c r="I358" s="87">
        <v>11.773300000000001</v>
      </c>
      <c r="J358" s="86">
        <v>35.319900000000004</v>
      </c>
      <c r="K358" s="85"/>
      <c r="L358" s="85"/>
      <c r="M358" s="85"/>
    </row>
    <row r="359" spans="1:13" x14ac:dyDescent="0.25">
      <c r="A359" s="90">
        <v>45805</v>
      </c>
      <c r="B359" s="87" t="s">
        <v>250</v>
      </c>
      <c r="C359" s="97" t="s">
        <v>489</v>
      </c>
      <c r="D359" s="95" t="s">
        <v>251</v>
      </c>
      <c r="E359" s="87" t="s">
        <v>16</v>
      </c>
      <c r="F359" s="87">
        <v>3</v>
      </c>
      <c r="G359" s="88" t="s">
        <v>6</v>
      </c>
      <c r="H359" s="87">
        <v>3</v>
      </c>
      <c r="I359" s="87">
        <v>11.773300000000001</v>
      </c>
      <c r="J359" s="86">
        <v>35.319900000000004</v>
      </c>
      <c r="K359" s="85"/>
      <c r="L359" s="85"/>
      <c r="M359" s="85"/>
    </row>
    <row r="360" spans="1:13" x14ac:dyDescent="0.25">
      <c r="A360" s="90">
        <v>45785</v>
      </c>
      <c r="B360" s="87" t="s">
        <v>250</v>
      </c>
      <c r="C360" s="87" t="s">
        <v>485</v>
      </c>
      <c r="D360" s="89" t="s">
        <v>507</v>
      </c>
      <c r="E360" s="87" t="s">
        <v>506</v>
      </c>
      <c r="F360" s="87">
        <v>3</v>
      </c>
      <c r="G360" s="87" t="s">
        <v>6</v>
      </c>
      <c r="H360" s="87">
        <v>3</v>
      </c>
      <c r="I360" s="100">
        <v>10.037000000000001</v>
      </c>
      <c r="J360" s="86">
        <v>30.111000000000004</v>
      </c>
      <c r="K360" s="85"/>
      <c r="L360" s="85"/>
      <c r="M360" s="85"/>
    </row>
    <row r="361" spans="1:13" x14ac:dyDescent="0.25">
      <c r="A361" s="90">
        <v>45799</v>
      </c>
      <c r="B361" s="87" t="s">
        <v>250</v>
      </c>
      <c r="C361" s="87" t="s">
        <v>485</v>
      </c>
      <c r="D361" s="89" t="s">
        <v>505</v>
      </c>
      <c r="E361" s="87" t="s">
        <v>504</v>
      </c>
      <c r="F361" s="87">
        <v>3</v>
      </c>
      <c r="G361" s="87" t="s">
        <v>6</v>
      </c>
      <c r="H361" s="87">
        <v>3</v>
      </c>
      <c r="I361" s="100">
        <v>8.6704000000000008</v>
      </c>
      <c r="J361" s="86">
        <v>26.011200000000002</v>
      </c>
      <c r="K361" s="85"/>
      <c r="L361" s="85"/>
      <c r="M361" s="85"/>
    </row>
    <row r="362" spans="1:13" x14ac:dyDescent="0.25">
      <c r="A362" s="98">
        <v>45799</v>
      </c>
      <c r="B362" s="87" t="s">
        <v>250</v>
      </c>
      <c r="C362" s="97" t="s">
        <v>489</v>
      </c>
      <c r="D362" s="95" t="s">
        <v>57</v>
      </c>
      <c r="E362" s="87" t="s">
        <v>40</v>
      </c>
      <c r="F362" s="87">
        <v>3</v>
      </c>
      <c r="G362" s="88" t="s">
        <v>6</v>
      </c>
      <c r="H362" s="87">
        <v>3</v>
      </c>
      <c r="I362" s="87">
        <v>2.532</v>
      </c>
      <c r="J362" s="86">
        <v>7.5960000000000001</v>
      </c>
      <c r="K362" s="85"/>
      <c r="L362" s="85"/>
      <c r="M362" s="85"/>
    </row>
    <row r="363" spans="1:13" x14ac:dyDescent="0.25">
      <c r="A363" s="94">
        <v>45795</v>
      </c>
      <c r="B363" s="87" t="s">
        <v>250</v>
      </c>
      <c r="C363" s="94" t="s">
        <v>486</v>
      </c>
      <c r="D363" s="93" t="s">
        <v>226</v>
      </c>
      <c r="E363" s="92" t="s">
        <v>227</v>
      </c>
      <c r="F363" s="87">
        <v>3</v>
      </c>
      <c r="G363" s="87" t="s">
        <v>6</v>
      </c>
      <c r="H363" s="87">
        <v>3</v>
      </c>
      <c r="I363" s="91">
        <v>2.0181</v>
      </c>
      <c r="J363" s="86">
        <v>6.0542999999999996</v>
      </c>
      <c r="K363" s="85"/>
      <c r="L363" s="85"/>
      <c r="M363" s="85"/>
    </row>
    <row r="364" spans="1:13" x14ac:dyDescent="0.25">
      <c r="A364" s="90">
        <v>45790</v>
      </c>
      <c r="B364" s="87" t="s">
        <v>250</v>
      </c>
      <c r="C364" s="87" t="s">
        <v>489</v>
      </c>
      <c r="D364" s="89" t="s">
        <v>55</v>
      </c>
      <c r="E364" s="87" t="s">
        <v>94</v>
      </c>
      <c r="F364" s="87">
        <v>3</v>
      </c>
      <c r="G364" s="88" t="s">
        <v>6</v>
      </c>
      <c r="H364" s="87">
        <v>3</v>
      </c>
      <c r="I364" s="87">
        <v>1.381</v>
      </c>
      <c r="J364" s="86">
        <v>4.1429999999999998</v>
      </c>
      <c r="K364" s="85"/>
      <c r="L364" s="85"/>
      <c r="M364" s="85"/>
    </row>
    <row r="365" spans="1:13" x14ac:dyDescent="0.25">
      <c r="A365" s="108" t="s">
        <v>337</v>
      </c>
      <c r="B365" s="87" t="s">
        <v>250</v>
      </c>
      <c r="C365" s="87" t="s">
        <v>488</v>
      </c>
      <c r="D365" s="89" t="s">
        <v>342</v>
      </c>
      <c r="E365" s="87" t="s">
        <v>348</v>
      </c>
      <c r="F365" s="87">
        <v>3</v>
      </c>
      <c r="G365" s="87" t="s">
        <v>6</v>
      </c>
      <c r="H365" s="87">
        <v>3</v>
      </c>
      <c r="I365" s="87">
        <v>46.180799999999998</v>
      </c>
      <c r="J365" s="86">
        <v>138.54239999999999</v>
      </c>
      <c r="K365" s="85"/>
      <c r="L365" s="85"/>
      <c r="M365" s="85"/>
    </row>
    <row r="366" spans="1:13" x14ac:dyDescent="0.25">
      <c r="A366" s="107">
        <v>45783</v>
      </c>
      <c r="B366" s="106" t="s">
        <v>393</v>
      </c>
      <c r="C366" s="106" t="s">
        <v>485</v>
      </c>
      <c r="D366" s="106" t="s">
        <v>503</v>
      </c>
      <c r="E366" s="106" t="s">
        <v>382</v>
      </c>
      <c r="F366" s="104">
        <f>47+33</f>
        <v>80</v>
      </c>
      <c r="G366" s="105" t="s">
        <v>6</v>
      </c>
      <c r="H366" s="104">
        <v>3</v>
      </c>
      <c r="I366" s="85">
        <v>4.6017999999999999</v>
      </c>
      <c r="J366" s="85">
        <f>H366*I366</f>
        <v>13.805399999999999</v>
      </c>
      <c r="K366" s="104">
        <f>1480+855</f>
        <v>2335</v>
      </c>
      <c r="L366" s="103">
        <f>F366/K366</f>
        <v>3.4261241970021415E-2</v>
      </c>
      <c r="M366" s="102" t="s">
        <v>264</v>
      </c>
    </row>
    <row r="367" spans="1:13" x14ac:dyDescent="0.25">
      <c r="A367" s="107">
        <v>45787</v>
      </c>
      <c r="B367" s="106" t="s">
        <v>502</v>
      </c>
      <c r="C367" s="106" t="s">
        <v>485</v>
      </c>
      <c r="D367" s="106" t="s">
        <v>501</v>
      </c>
      <c r="E367" s="106" t="s">
        <v>378</v>
      </c>
      <c r="F367" s="104">
        <v>2</v>
      </c>
      <c r="G367" s="105" t="s">
        <v>6</v>
      </c>
      <c r="H367" s="105">
        <v>2</v>
      </c>
      <c r="I367" s="85">
        <v>30.68</v>
      </c>
      <c r="J367" s="85">
        <f>H367*I367</f>
        <v>61.36</v>
      </c>
      <c r="K367" s="104">
        <v>598</v>
      </c>
      <c r="L367" s="103">
        <f>F367/K367</f>
        <v>3.3444816053511705E-3</v>
      </c>
      <c r="M367" s="102"/>
    </row>
    <row r="368" spans="1:13" x14ac:dyDescent="0.25">
      <c r="A368" s="107">
        <v>45794</v>
      </c>
      <c r="B368" s="106" t="s">
        <v>393</v>
      </c>
      <c r="C368" s="106" t="s">
        <v>488</v>
      </c>
      <c r="D368" s="106" t="s">
        <v>343</v>
      </c>
      <c r="E368" s="106" t="s">
        <v>427</v>
      </c>
      <c r="F368" s="104">
        <v>2</v>
      </c>
      <c r="G368" s="105" t="s">
        <v>6</v>
      </c>
      <c r="H368" s="105">
        <v>2</v>
      </c>
      <c r="I368" s="85">
        <v>8.5</v>
      </c>
      <c r="J368" s="85">
        <f>H368*I368</f>
        <v>17</v>
      </c>
      <c r="K368" s="104">
        <v>224</v>
      </c>
      <c r="L368" s="103">
        <f>F368/K368</f>
        <v>8.9285714285714281E-3</v>
      </c>
      <c r="M368" s="102" t="s">
        <v>278</v>
      </c>
    </row>
    <row r="369" spans="1:13" x14ac:dyDescent="0.25">
      <c r="A369" s="107">
        <v>45807</v>
      </c>
      <c r="B369" s="106" t="s">
        <v>393</v>
      </c>
      <c r="C369" s="106" t="s">
        <v>488</v>
      </c>
      <c r="D369" s="106" t="s">
        <v>343</v>
      </c>
      <c r="E369" s="106" t="s">
        <v>430</v>
      </c>
      <c r="F369" s="104">
        <v>2</v>
      </c>
      <c r="G369" s="105" t="s">
        <v>6</v>
      </c>
      <c r="H369" s="105">
        <v>2</v>
      </c>
      <c r="I369" s="85">
        <v>8.5</v>
      </c>
      <c r="J369" s="85">
        <f>H369*I369</f>
        <v>17</v>
      </c>
      <c r="K369" s="104">
        <v>416</v>
      </c>
      <c r="L369" s="103">
        <f>F369/K369</f>
        <v>4.807692307692308E-3</v>
      </c>
      <c r="M369" s="102" t="s">
        <v>278</v>
      </c>
    </row>
    <row r="370" spans="1:13" x14ac:dyDescent="0.25">
      <c r="A370" s="107">
        <v>45796</v>
      </c>
      <c r="B370" s="106" t="s">
        <v>393</v>
      </c>
      <c r="C370" s="106" t="s">
        <v>488</v>
      </c>
      <c r="D370" s="106" t="s">
        <v>429</v>
      </c>
      <c r="E370" s="106" t="s">
        <v>350</v>
      </c>
      <c r="F370" s="104">
        <v>2</v>
      </c>
      <c r="G370" s="105" t="s">
        <v>6</v>
      </c>
      <c r="H370" s="105">
        <v>2</v>
      </c>
      <c r="I370" s="85">
        <v>10</v>
      </c>
      <c r="J370" s="85">
        <f>H370*I370</f>
        <v>20</v>
      </c>
      <c r="K370" s="104">
        <v>208</v>
      </c>
      <c r="L370" s="103">
        <f>F370/K370</f>
        <v>9.6153846153846159E-3</v>
      </c>
      <c r="M370" s="102" t="s">
        <v>500</v>
      </c>
    </row>
    <row r="371" spans="1:13" x14ac:dyDescent="0.25">
      <c r="A371" s="107">
        <v>45801</v>
      </c>
      <c r="B371" s="106" t="s">
        <v>393</v>
      </c>
      <c r="C371" s="106" t="s">
        <v>488</v>
      </c>
      <c r="D371" s="106" t="s">
        <v>429</v>
      </c>
      <c r="E371" s="106" t="s">
        <v>350</v>
      </c>
      <c r="F371" s="104">
        <v>2</v>
      </c>
      <c r="G371" s="105" t="s">
        <v>6</v>
      </c>
      <c r="H371" s="105">
        <v>2</v>
      </c>
      <c r="I371" s="85">
        <v>10</v>
      </c>
      <c r="J371" s="85">
        <f>H371*I371</f>
        <v>20</v>
      </c>
      <c r="K371" s="104">
        <v>616</v>
      </c>
      <c r="L371" s="103">
        <f>F371/K371</f>
        <v>3.246753246753247E-3</v>
      </c>
      <c r="M371" s="102" t="s">
        <v>500</v>
      </c>
    </row>
    <row r="372" spans="1:13" x14ac:dyDescent="0.25">
      <c r="A372" s="107">
        <v>45802</v>
      </c>
      <c r="B372" s="106" t="s">
        <v>320</v>
      </c>
      <c r="C372" s="106" t="s">
        <v>488</v>
      </c>
      <c r="D372" s="106" t="s">
        <v>340</v>
      </c>
      <c r="E372" s="106" t="s">
        <v>356</v>
      </c>
      <c r="F372" s="104">
        <v>2</v>
      </c>
      <c r="G372" s="105" t="s">
        <v>6</v>
      </c>
      <c r="H372" s="105">
        <v>2</v>
      </c>
      <c r="I372" s="85">
        <v>0.5</v>
      </c>
      <c r="J372" s="85">
        <f>H372*I372</f>
        <v>1</v>
      </c>
      <c r="K372" s="104">
        <v>2184</v>
      </c>
      <c r="L372" s="103">
        <f>F372/K372</f>
        <v>9.1575091575091575E-4</v>
      </c>
      <c r="M372" s="102" t="s">
        <v>499</v>
      </c>
    </row>
    <row r="373" spans="1:13" x14ac:dyDescent="0.25">
      <c r="A373" s="94">
        <v>45790</v>
      </c>
      <c r="B373" s="87" t="s">
        <v>250</v>
      </c>
      <c r="C373" s="94" t="s">
        <v>486</v>
      </c>
      <c r="D373" s="93" t="s">
        <v>203</v>
      </c>
      <c r="E373" s="92" t="s">
        <v>204</v>
      </c>
      <c r="F373" s="87">
        <v>2</v>
      </c>
      <c r="G373" s="87" t="s">
        <v>6</v>
      </c>
      <c r="H373" s="87">
        <v>2</v>
      </c>
      <c r="I373" s="91">
        <v>44.4726</v>
      </c>
      <c r="J373" s="86">
        <v>88.9452</v>
      </c>
      <c r="K373" s="85"/>
      <c r="L373" s="85"/>
      <c r="M373" s="85"/>
    </row>
    <row r="374" spans="1:13" x14ac:dyDescent="0.25">
      <c r="A374" s="94">
        <v>45790</v>
      </c>
      <c r="B374" s="87" t="s">
        <v>250</v>
      </c>
      <c r="C374" s="94" t="s">
        <v>486</v>
      </c>
      <c r="D374" s="93" t="s">
        <v>203</v>
      </c>
      <c r="E374" s="92" t="s">
        <v>204</v>
      </c>
      <c r="F374" s="87">
        <v>2</v>
      </c>
      <c r="G374" s="87" t="s">
        <v>6</v>
      </c>
      <c r="H374" s="87">
        <v>2</v>
      </c>
      <c r="I374" s="91">
        <v>44.4726</v>
      </c>
      <c r="J374" s="86">
        <v>88.9452</v>
      </c>
      <c r="K374" s="85"/>
      <c r="L374" s="85"/>
      <c r="M374" s="85"/>
    </row>
    <row r="375" spans="1:13" x14ac:dyDescent="0.25">
      <c r="A375" s="94">
        <v>45796</v>
      </c>
      <c r="B375" s="87" t="s">
        <v>250</v>
      </c>
      <c r="C375" s="94" t="s">
        <v>486</v>
      </c>
      <c r="D375" s="93" t="s">
        <v>187</v>
      </c>
      <c r="E375" s="92" t="s">
        <v>188</v>
      </c>
      <c r="F375" s="87">
        <v>2</v>
      </c>
      <c r="G375" s="87" t="s">
        <v>6</v>
      </c>
      <c r="H375" s="87">
        <v>2</v>
      </c>
      <c r="I375" s="99">
        <v>27.2667</v>
      </c>
      <c r="J375" s="86">
        <v>54.5334</v>
      </c>
      <c r="K375" s="85"/>
      <c r="L375" s="85"/>
      <c r="M375" s="85"/>
    </row>
    <row r="376" spans="1:13" x14ac:dyDescent="0.25">
      <c r="A376" s="94">
        <v>45795</v>
      </c>
      <c r="B376" s="87" t="s">
        <v>250</v>
      </c>
      <c r="C376" s="94" t="s">
        <v>486</v>
      </c>
      <c r="D376" s="93" t="s">
        <v>215</v>
      </c>
      <c r="E376" s="92" t="s">
        <v>216</v>
      </c>
      <c r="F376" s="87">
        <v>2</v>
      </c>
      <c r="G376" s="87" t="s">
        <v>6</v>
      </c>
      <c r="H376" s="87">
        <v>2</v>
      </c>
      <c r="I376" s="99">
        <v>25.256599999999999</v>
      </c>
      <c r="J376" s="86">
        <v>50.513199999999998</v>
      </c>
      <c r="K376" s="85"/>
      <c r="L376" s="85"/>
      <c r="M376" s="85"/>
    </row>
    <row r="377" spans="1:13" x14ac:dyDescent="0.25">
      <c r="A377" s="98">
        <v>45799</v>
      </c>
      <c r="B377" s="87" t="s">
        <v>250</v>
      </c>
      <c r="C377" s="97" t="s">
        <v>489</v>
      </c>
      <c r="D377" s="95" t="s">
        <v>59</v>
      </c>
      <c r="E377" s="87" t="s">
        <v>41</v>
      </c>
      <c r="F377" s="87">
        <v>2</v>
      </c>
      <c r="G377" s="101" t="s">
        <v>8</v>
      </c>
      <c r="H377" s="87">
        <v>2</v>
      </c>
      <c r="I377" s="100">
        <v>17.255500000000001</v>
      </c>
      <c r="J377" s="86">
        <v>34.511000000000003</v>
      </c>
      <c r="K377" s="85"/>
      <c r="L377" s="85"/>
      <c r="M377" s="85"/>
    </row>
    <row r="378" spans="1:13" x14ac:dyDescent="0.25">
      <c r="A378" s="90">
        <v>45789</v>
      </c>
      <c r="B378" s="87" t="s">
        <v>250</v>
      </c>
      <c r="C378" s="87" t="s">
        <v>489</v>
      </c>
      <c r="D378" s="89" t="s">
        <v>62</v>
      </c>
      <c r="E378" s="101" t="s">
        <v>101</v>
      </c>
      <c r="F378" s="96">
        <v>2</v>
      </c>
      <c r="G378" s="88" t="s">
        <v>6</v>
      </c>
      <c r="H378" s="96">
        <v>2</v>
      </c>
      <c r="I378" s="87">
        <v>19.204000000000001</v>
      </c>
      <c r="J378" s="86">
        <v>38.408000000000001</v>
      </c>
      <c r="K378" s="85"/>
      <c r="L378" s="85"/>
      <c r="M378" s="85"/>
    </row>
    <row r="379" spans="1:13" x14ac:dyDescent="0.25">
      <c r="A379" s="94">
        <v>45790</v>
      </c>
      <c r="B379" s="87" t="s">
        <v>250</v>
      </c>
      <c r="C379" s="94" t="s">
        <v>486</v>
      </c>
      <c r="D379" s="93" t="s">
        <v>201</v>
      </c>
      <c r="E379" s="92" t="s">
        <v>202</v>
      </c>
      <c r="F379" s="87">
        <v>2</v>
      </c>
      <c r="G379" s="87" t="s">
        <v>6</v>
      </c>
      <c r="H379" s="87">
        <v>2</v>
      </c>
      <c r="I379" s="91">
        <v>15.2744</v>
      </c>
      <c r="J379" s="86">
        <v>30.5488</v>
      </c>
      <c r="K379" s="85"/>
      <c r="L379" s="85"/>
      <c r="M379" s="85"/>
    </row>
    <row r="380" spans="1:13" x14ac:dyDescent="0.25">
      <c r="A380" s="90">
        <v>45805</v>
      </c>
      <c r="B380" s="87" t="s">
        <v>250</v>
      </c>
      <c r="C380" s="97" t="s">
        <v>489</v>
      </c>
      <c r="D380" s="95" t="s">
        <v>69</v>
      </c>
      <c r="E380" s="87" t="s">
        <v>42</v>
      </c>
      <c r="F380" s="87">
        <v>2</v>
      </c>
      <c r="G380" s="88" t="s">
        <v>6</v>
      </c>
      <c r="H380" s="87">
        <v>2</v>
      </c>
      <c r="I380" s="87">
        <v>11.773300000000001</v>
      </c>
      <c r="J380" s="86">
        <v>23.546600000000002</v>
      </c>
      <c r="K380" s="85"/>
      <c r="L380" s="85"/>
      <c r="M380" s="85"/>
    </row>
    <row r="381" spans="1:13" x14ac:dyDescent="0.25">
      <c r="A381" s="98">
        <v>45799</v>
      </c>
      <c r="B381" s="87" t="s">
        <v>250</v>
      </c>
      <c r="C381" s="97" t="s">
        <v>489</v>
      </c>
      <c r="D381" s="95" t="s">
        <v>251</v>
      </c>
      <c r="E381" s="87" t="s">
        <v>16</v>
      </c>
      <c r="F381" s="87">
        <v>2</v>
      </c>
      <c r="G381" s="88" t="s">
        <v>6</v>
      </c>
      <c r="H381" s="87">
        <v>2</v>
      </c>
      <c r="I381" s="87">
        <v>11.773300000000001</v>
      </c>
      <c r="J381" s="86">
        <v>23.546600000000002</v>
      </c>
      <c r="K381" s="85"/>
      <c r="L381" s="85"/>
      <c r="M381" s="85"/>
    </row>
    <row r="382" spans="1:13" x14ac:dyDescent="0.25">
      <c r="A382" s="94">
        <v>45774</v>
      </c>
      <c r="B382" s="87" t="s">
        <v>250</v>
      </c>
      <c r="C382" s="94" t="s">
        <v>486</v>
      </c>
      <c r="D382" s="93" t="s">
        <v>230</v>
      </c>
      <c r="E382" s="92" t="s">
        <v>440</v>
      </c>
      <c r="F382" s="87">
        <v>2</v>
      </c>
      <c r="G382" s="87" t="s">
        <v>6</v>
      </c>
      <c r="H382" s="87">
        <v>2</v>
      </c>
      <c r="I382" s="99">
        <v>12.3451</v>
      </c>
      <c r="J382" s="86">
        <v>24.690200000000001</v>
      </c>
      <c r="K382" s="85"/>
      <c r="L382" s="85"/>
      <c r="M382" s="85"/>
    </row>
    <row r="383" spans="1:13" x14ac:dyDescent="0.25">
      <c r="A383" s="94">
        <v>45774</v>
      </c>
      <c r="B383" s="87" t="s">
        <v>250</v>
      </c>
      <c r="C383" s="94" t="s">
        <v>486</v>
      </c>
      <c r="D383" s="93" t="s">
        <v>228</v>
      </c>
      <c r="E383" s="92" t="s">
        <v>448</v>
      </c>
      <c r="F383" s="87">
        <v>2</v>
      </c>
      <c r="G383" s="87" t="s">
        <v>6</v>
      </c>
      <c r="H383" s="87">
        <v>2</v>
      </c>
      <c r="I383" s="91">
        <v>9.7222000000000008</v>
      </c>
      <c r="J383" s="86">
        <v>19.444400000000002</v>
      </c>
      <c r="K383" s="85"/>
      <c r="L383" s="85"/>
      <c r="M383" s="85"/>
    </row>
    <row r="384" spans="1:13" x14ac:dyDescent="0.25">
      <c r="A384" s="94">
        <v>45795</v>
      </c>
      <c r="B384" s="87" t="s">
        <v>250</v>
      </c>
      <c r="C384" s="94" t="s">
        <v>486</v>
      </c>
      <c r="D384" s="93" t="s">
        <v>329</v>
      </c>
      <c r="E384" s="92" t="s">
        <v>442</v>
      </c>
      <c r="F384" s="87">
        <v>2</v>
      </c>
      <c r="G384" s="87" t="s">
        <v>6</v>
      </c>
      <c r="H384" s="87">
        <v>2</v>
      </c>
      <c r="I384" s="99">
        <v>3.8807</v>
      </c>
      <c r="J384" s="86">
        <v>7.7614000000000001</v>
      </c>
      <c r="K384" s="85"/>
      <c r="L384" s="85"/>
      <c r="M384" s="85"/>
    </row>
    <row r="385" spans="1:13" x14ac:dyDescent="0.25">
      <c r="A385" s="90">
        <v>45795</v>
      </c>
      <c r="B385" s="87" t="s">
        <v>250</v>
      </c>
      <c r="C385" s="87" t="s">
        <v>489</v>
      </c>
      <c r="D385" s="95" t="s">
        <v>57</v>
      </c>
      <c r="E385" s="87" t="s">
        <v>40</v>
      </c>
      <c r="F385" s="87">
        <v>2</v>
      </c>
      <c r="G385" s="88" t="s">
        <v>6</v>
      </c>
      <c r="H385" s="87">
        <v>2</v>
      </c>
      <c r="I385" s="87">
        <v>2.532</v>
      </c>
      <c r="J385" s="86">
        <v>5.0640000000000001</v>
      </c>
      <c r="K385" s="85"/>
      <c r="L385" s="85"/>
      <c r="M385" s="85"/>
    </row>
    <row r="386" spans="1:13" x14ac:dyDescent="0.25">
      <c r="A386" s="90">
        <v>45792</v>
      </c>
      <c r="B386" s="87" t="s">
        <v>250</v>
      </c>
      <c r="C386" s="87" t="s">
        <v>489</v>
      </c>
      <c r="D386" s="89" t="s">
        <v>48</v>
      </c>
      <c r="E386" s="101" t="s">
        <v>17</v>
      </c>
      <c r="F386" s="87">
        <v>2</v>
      </c>
      <c r="G386" s="88" t="s">
        <v>6</v>
      </c>
      <c r="H386" s="87">
        <v>2</v>
      </c>
      <c r="I386" s="87">
        <v>1.85</v>
      </c>
      <c r="J386" s="86">
        <v>3.7</v>
      </c>
      <c r="K386" s="85"/>
      <c r="L386" s="85"/>
      <c r="M386" s="85"/>
    </row>
    <row r="387" spans="1:13" x14ac:dyDescent="0.25">
      <c r="A387" s="90">
        <v>45797</v>
      </c>
      <c r="B387" s="87" t="s">
        <v>250</v>
      </c>
      <c r="C387" s="87" t="s">
        <v>489</v>
      </c>
      <c r="D387" s="89" t="s">
        <v>29</v>
      </c>
      <c r="E387" s="87" t="s">
        <v>72</v>
      </c>
      <c r="F387" s="87">
        <v>2</v>
      </c>
      <c r="G387" s="88" t="s">
        <v>6</v>
      </c>
      <c r="H387" s="87">
        <v>2</v>
      </c>
      <c r="I387" s="87">
        <v>1.5389999999999999</v>
      </c>
      <c r="J387" s="86">
        <v>3.0779999999999998</v>
      </c>
      <c r="K387" s="85"/>
      <c r="L387" s="85"/>
      <c r="M387" s="85"/>
    </row>
    <row r="388" spans="1:13" x14ac:dyDescent="0.25">
      <c r="A388" s="94">
        <v>45790</v>
      </c>
      <c r="B388" s="87" t="s">
        <v>250</v>
      </c>
      <c r="C388" s="94" t="s">
        <v>486</v>
      </c>
      <c r="D388" s="93" t="s">
        <v>213</v>
      </c>
      <c r="E388" s="92" t="s">
        <v>214</v>
      </c>
      <c r="F388" s="87">
        <v>2</v>
      </c>
      <c r="G388" s="87" t="s">
        <v>6</v>
      </c>
      <c r="H388" s="87">
        <v>2</v>
      </c>
      <c r="I388" s="91">
        <v>0.53</v>
      </c>
      <c r="J388" s="86">
        <v>1.06</v>
      </c>
      <c r="K388" s="85"/>
      <c r="L388" s="85"/>
      <c r="M388" s="85"/>
    </row>
    <row r="389" spans="1:13" x14ac:dyDescent="0.25">
      <c r="A389" s="107">
        <v>45806</v>
      </c>
      <c r="B389" s="106" t="s">
        <v>498</v>
      </c>
      <c r="C389" s="106" t="s">
        <v>486</v>
      </c>
      <c r="D389" s="106" t="s">
        <v>497</v>
      </c>
      <c r="E389" s="106" t="s">
        <v>496</v>
      </c>
      <c r="F389" s="104">
        <v>4</v>
      </c>
      <c r="G389" s="105" t="s">
        <v>495</v>
      </c>
      <c r="H389" s="105">
        <v>2</v>
      </c>
      <c r="I389" s="85">
        <v>7</v>
      </c>
      <c r="J389" s="85">
        <f>H389*I389</f>
        <v>14</v>
      </c>
      <c r="K389" s="104">
        <v>206</v>
      </c>
      <c r="L389" s="103">
        <f>F389/K389</f>
        <v>1.9417475728155338E-2</v>
      </c>
      <c r="M389" s="102" t="s">
        <v>494</v>
      </c>
    </row>
    <row r="390" spans="1:13" x14ac:dyDescent="0.25">
      <c r="A390" s="107">
        <v>45794</v>
      </c>
      <c r="B390" s="106" t="s">
        <v>320</v>
      </c>
      <c r="C390" s="106" t="s">
        <v>485</v>
      </c>
      <c r="D390" s="106" t="s">
        <v>493</v>
      </c>
      <c r="E390" s="106" t="s">
        <v>380</v>
      </c>
      <c r="F390" s="104">
        <v>1</v>
      </c>
      <c r="G390" s="105" t="s">
        <v>6</v>
      </c>
      <c r="H390" s="105">
        <v>1</v>
      </c>
      <c r="I390" s="85">
        <v>15</v>
      </c>
      <c r="J390" s="85">
        <f>H390*I390</f>
        <v>15</v>
      </c>
      <c r="K390" s="104">
        <v>240</v>
      </c>
      <c r="L390" s="103">
        <f>F390/K390</f>
        <v>4.1666666666666666E-3</v>
      </c>
      <c r="M390" s="102"/>
    </row>
    <row r="391" spans="1:13" x14ac:dyDescent="0.25">
      <c r="A391" s="107">
        <v>45793</v>
      </c>
      <c r="B391" s="106" t="s">
        <v>393</v>
      </c>
      <c r="C391" s="106" t="s">
        <v>486</v>
      </c>
      <c r="D391" s="106" t="s">
        <v>492</v>
      </c>
      <c r="E391" s="106" t="s">
        <v>491</v>
      </c>
      <c r="F391" s="104">
        <v>1</v>
      </c>
      <c r="G391" s="105" t="s">
        <v>6</v>
      </c>
      <c r="H391" s="105">
        <v>1</v>
      </c>
      <c r="I391" s="97">
        <v>10.1416</v>
      </c>
      <c r="J391" s="97">
        <f>H391*I391</f>
        <v>10.1416</v>
      </c>
      <c r="K391" s="104">
        <v>468</v>
      </c>
      <c r="L391" s="103">
        <f>F391/K391</f>
        <v>2.136752136752137E-3</v>
      </c>
      <c r="M391" s="102"/>
    </row>
    <row r="392" spans="1:13" x14ac:dyDescent="0.25">
      <c r="A392" s="107">
        <v>45791</v>
      </c>
      <c r="B392" s="106" t="s">
        <v>393</v>
      </c>
      <c r="C392" s="106" t="s">
        <v>489</v>
      </c>
      <c r="D392" s="106" t="s">
        <v>490</v>
      </c>
      <c r="E392" s="106" t="s">
        <v>15</v>
      </c>
      <c r="F392" s="104">
        <v>1</v>
      </c>
      <c r="G392" s="105" t="s">
        <v>6</v>
      </c>
      <c r="H392" s="105">
        <v>1</v>
      </c>
      <c r="I392" s="85">
        <v>9.64</v>
      </c>
      <c r="J392" s="85">
        <f>H392*I392</f>
        <v>9.64</v>
      </c>
      <c r="K392" s="104">
        <v>1824</v>
      </c>
      <c r="L392" s="103">
        <f>F392/K392</f>
        <v>5.4824561403508769E-4</v>
      </c>
      <c r="M392" s="102" t="s">
        <v>275</v>
      </c>
    </row>
    <row r="393" spans="1:13" x14ac:dyDescent="0.25">
      <c r="A393" s="107">
        <v>45793</v>
      </c>
      <c r="B393" s="106" t="s">
        <v>393</v>
      </c>
      <c r="C393" s="106" t="s">
        <v>489</v>
      </c>
      <c r="D393" s="106" t="s">
        <v>490</v>
      </c>
      <c r="E393" s="106" t="s">
        <v>15</v>
      </c>
      <c r="F393" s="104">
        <v>1</v>
      </c>
      <c r="G393" s="105" t="s">
        <v>6</v>
      </c>
      <c r="H393" s="105">
        <v>1</v>
      </c>
      <c r="I393" s="85">
        <v>9.64</v>
      </c>
      <c r="J393" s="85">
        <f>H393*I393</f>
        <v>9.64</v>
      </c>
      <c r="K393" s="104">
        <v>192</v>
      </c>
      <c r="L393" s="103">
        <f>F393/K393</f>
        <v>5.208333333333333E-3</v>
      </c>
      <c r="M393" s="102" t="s">
        <v>275</v>
      </c>
    </row>
    <row r="394" spans="1:13" x14ac:dyDescent="0.25">
      <c r="A394" s="94">
        <v>45795</v>
      </c>
      <c r="B394" s="87" t="s">
        <v>250</v>
      </c>
      <c r="C394" s="94" t="s">
        <v>486</v>
      </c>
      <c r="D394" s="93" t="s">
        <v>211</v>
      </c>
      <c r="E394" s="92" t="s">
        <v>212</v>
      </c>
      <c r="F394" s="87">
        <v>1</v>
      </c>
      <c r="G394" s="87" t="s">
        <v>6</v>
      </c>
      <c r="H394" s="87">
        <v>1</v>
      </c>
      <c r="I394" s="91">
        <v>85.637100000000004</v>
      </c>
      <c r="J394" s="86">
        <v>85.637100000000004</v>
      </c>
      <c r="K394" s="85"/>
      <c r="L394" s="85"/>
      <c r="M394" s="85"/>
    </row>
    <row r="395" spans="1:13" x14ac:dyDescent="0.25">
      <c r="A395" s="94">
        <v>45790</v>
      </c>
      <c r="B395" s="87" t="s">
        <v>250</v>
      </c>
      <c r="C395" s="94" t="s">
        <v>486</v>
      </c>
      <c r="D395" s="93" t="s">
        <v>203</v>
      </c>
      <c r="E395" s="92" t="s">
        <v>204</v>
      </c>
      <c r="F395" s="87">
        <v>1</v>
      </c>
      <c r="G395" s="87" t="s">
        <v>6</v>
      </c>
      <c r="H395" s="87">
        <v>1</v>
      </c>
      <c r="I395" s="91">
        <v>44.4726</v>
      </c>
      <c r="J395" s="86">
        <v>44.4726</v>
      </c>
      <c r="K395" s="85"/>
      <c r="L395" s="85"/>
      <c r="M395" s="85"/>
    </row>
    <row r="396" spans="1:13" x14ac:dyDescent="0.25">
      <c r="A396" s="94">
        <v>45790</v>
      </c>
      <c r="B396" s="87" t="s">
        <v>250</v>
      </c>
      <c r="C396" s="94" t="s">
        <v>486</v>
      </c>
      <c r="D396" s="93" t="s">
        <v>203</v>
      </c>
      <c r="E396" s="92" t="s">
        <v>204</v>
      </c>
      <c r="F396" s="87">
        <v>1</v>
      </c>
      <c r="G396" s="87" t="s">
        <v>6</v>
      </c>
      <c r="H396" s="87">
        <v>1</v>
      </c>
      <c r="I396" s="99">
        <v>44.4726</v>
      </c>
      <c r="J396" s="86">
        <v>44.4726</v>
      </c>
      <c r="K396" s="85"/>
      <c r="L396" s="85"/>
      <c r="M396" s="85"/>
    </row>
    <row r="397" spans="1:13" x14ac:dyDescent="0.25">
      <c r="A397" s="94">
        <v>45774</v>
      </c>
      <c r="B397" s="87" t="s">
        <v>250</v>
      </c>
      <c r="C397" s="94" t="s">
        <v>486</v>
      </c>
      <c r="D397" s="93" t="s">
        <v>224</v>
      </c>
      <c r="E397" s="92" t="s">
        <v>225</v>
      </c>
      <c r="F397" s="87">
        <v>1</v>
      </c>
      <c r="G397" s="87" t="s">
        <v>6</v>
      </c>
      <c r="H397" s="87">
        <v>1</v>
      </c>
      <c r="I397" s="91">
        <v>43.274299999999997</v>
      </c>
      <c r="J397" s="86">
        <v>43.274299999999997</v>
      </c>
      <c r="K397" s="85"/>
      <c r="L397" s="85"/>
      <c r="M397" s="85"/>
    </row>
    <row r="398" spans="1:13" x14ac:dyDescent="0.25">
      <c r="A398" s="94">
        <v>45796</v>
      </c>
      <c r="B398" s="87" t="s">
        <v>250</v>
      </c>
      <c r="C398" s="94" t="s">
        <v>486</v>
      </c>
      <c r="D398" s="93" t="s">
        <v>187</v>
      </c>
      <c r="E398" s="92" t="s">
        <v>188</v>
      </c>
      <c r="F398" s="87">
        <v>1</v>
      </c>
      <c r="G398" s="87" t="s">
        <v>6</v>
      </c>
      <c r="H398" s="87">
        <v>1</v>
      </c>
      <c r="I398" s="99">
        <v>27.2667</v>
      </c>
      <c r="J398" s="86">
        <v>27.2667</v>
      </c>
      <c r="K398" s="85"/>
      <c r="L398" s="85"/>
      <c r="M398" s="85"/>
    </row>
    <row r="399" spans="1:13" x14ac:dyDescent="0.25">
      <c r="A399" s="94">
        <v>45796</v>
      </c>
      <c r="B399" s="87" t="s">
        <v>250</v>
      </c>
      <c r="C399" s="94" t="s">
        <v>486</v>
      </c>
      <c r="D399" s="93" t="s">
        <v>187</v>
      </c>
      <c r="E399" s="92" t="s">
        <v>188</v>
      </c>
      <c r="F399" s="87">
        <v>1</v>
      </c>
      <c r="G399" s="87" t="s">
        <v>6</v>
      </c>
      <c r="H399" s="87">
        <v>1</v>
      </c>
      <c r="I399" s="91">
        <v>27.2667</v>
      </c>
      <c r="J399" s="86">
        <v>27.2667</v>
      </c>
      <c r="K399" s="85"/>
      <c r="L399" s="85"/>
      <c r="M399" s="85"/>
    </row>
    <row r="400" spans="1:13" x14ac:dyDescent="0.25">
      <c r="A400" s="90">
        <v>45789</v>
      </c>
      <c r="B400" s="87" t="s">
        <v>250</v>
      </c>
      <c r="C400" s="87" t="s">
        <v>489</v>
      </c>
      <c r="D400" s="89" t="s">
        <v>56</v>
      </c>
      <c r="E400" s="101" t="s">
        <v>123</v>
      </c>
      <c r="F400" s="96">
        <v>1</v>
      </c>
      <c r="G400" s="101" t="s">
        <v>8</v>
      </c>
      <c r="H400" s="96">
        <v>1</v>
      </c>
      <c r="I400" s="100">
        <v>23.690300000000001</v>
      </c>
      <c r="J400" s="86">
        <v>23.690300000000001</v>
      </c>
      <c r="K400" s="85"/>
      <c r="L400" s="85"/>
      <c r="M400" s="85"/>
    </row>
    <row r="401" spans="1:13" x14ac:dyDescent="0.25">
      <c r="A401" s="94">
        <v>45774</v>
      </c>
      <c r="B401" s="87" t="s">
        <v>250</v>
      </c>
      <c r="C401" s="94" t="s">
        <v>486</v>
      </c>
      <c r="D401" s="93" t="s">
        <v>215</v>
      </c>
      <c r="E401" s="92" t="s">
        <v>216</v>
      </c>
      <c r="F401" s="87">
        <v>1</v>
      </c>
      <c r="G401" s="87" t="s">
        <v>6</v>
      </c>
      <c r="H401" s="87">
        <v>1</v>
      </c>
      <c r="I401" s="99">
        <v>25.256599999999999</v>
      </c>
      <c r="J401" s="86">
        <v>25.256599999999999</v>
      </c>
      <c r="K401" s="85"/>
      <c r="L401" s="85"/>
      <c r="M401" s="85"/>
    </row>
    <row r="402" spans="1:13" x14ac:dyDescent="0.25">
      <c r="A402" s="94">
        <v>45774</v>
      </c>
      <c r="B402" s="87" t="s">
        <v>250</v>
      </c>
      <c r="C402" s="94" t="s">
        <v>486</v>
      </c>
      <c r="D402" s="93" t="s">
        <v>215</v>
      </c>
      <c r="E402" s="92" t="s">
        <v>216</v>
      </c>
      <c r="F402" s="87">
        <v>1</v>
      </c>
      <c r="G402" s="87" t="s">
        <v>6</v>
      </c>
      <c r="H402" s="87">
        <v>1</v>
      </c>
      <c r="I402" s="99">
        <v>25.256599999999999</v>
      </c>
      <c r="J402" s="86">
        <v>25.256599999999999</v>
      </c>
      <c r="K402" s="85"/>
      <c r="L402" s="85"/>
      <c r="M402" s="85"/>
    </row>
    <row r="403" spans="1:13" x14ac:dyDescent="0.25">
      <c r="A403" s="94">
        <v>45774</v>
      </c>
      <c r="B403" s="87" t="s">
        <v>250</v>
      </c>
      <c r="C403" s="94" t="s">
        <v>486</v>
      </c>
      <c r="D403" s="93" t="s">
        <v>215</v>
      </c>
      <c r="E403" s="92" t="s">
        <v>216</v>
      </c>
      <c r="F403" s="87">
        <v>1</v>
      </c>
      <c r="G403" s="87" t="s">
        <v>6</v>
      </c>
      <c r="H403" s="87">
        <v>1</v>
      </c>
      <c r="I403" s="99">
        <v>25.256599999999999</v>
      </c>
      <c r="J403" s="86">
        <v>25.256599999999999</v>
      </c>
      <c r="K403" s="85"/>
      <c r="L403" s="85"/>
      <c r="M403" s="85"/>
    </row>
    <row r="404" spans="1:13" x14ac:dyDescent="0.25">
      <c r="A404" s="90">
        <v>45795</v>
      </c>
      <c r="B404" s="87" t="s">
        <v>250</v>
      </c>
      <c r="C404" s="87" t="s">
        <v>489</v>
      </c>
      <c r="D404" s="89" t="s">
        <v>60</v>
      </c>
      <c r="E404" s="87" t="s">
        <v>371</v>
      </c>
      <c r="F404" s="87">
        <v>1</v>
      </c>
      <c r="G404" s="88" t="s">
        <v>6</v>
      </c>
      <c r="H404" s="87">
        <v>1</v>
      </c>
      <c r="I404" s="87">
        <v>16.991</v>
      </c>
      <c r="J404" s="86">
        <v>16.991</v>
      </c>
      <c r="K404" s="85"/>
      <c r="L404" s="85"/>
      <c r="M404" s="85"/>
    </row>
    <row r="405" spans="1:13" x14ac:dyDescent="0.25">
      <c r="A405" s="94">
        <v>45790</v>
      </c>
      <c r="B405" s="87" t="s">
        <v>250</v>
      </c>
      <c r="C405" s="94" t="s">
        <v>486</v>
      </c>
      <c r="D405" s="93" t="s">
        <v>194</v>
      </c>
      <c r="E405" s="92" t="s">
        <v>195</v>
      </c>
      <c r="F405" s="87">
        <v>1</v>
      </c>
      <c r="G405" s="87" t="s">
        <v>6</v>
      </c>
      <c r="H405" s="87">
        <v>1</v>
      </c>
      <c r="I405" s="91">
        <v>16.1416</v>
      </c>
      <c r="J405" s="86">
        <v>16.1416</v>
      </c>
      <c r="K405" s="85"/>
      <c r="L405" s="85"/>
      <c r="M405" s="85"/>
    </row>
    <row r="406" spans="1:13" x14ac:dyDescent="0.25">
      <c r="A406" s="94">
        <v>45790</v>
      </c>
      <c r="B406" s="87" t="s">
        <v>250</v>
      </c>
      <c r="C406" s="94" t="s">
        <v>486</v>
      </c>
      <c r="D406" s="93" t="s">
        <v>201</v>
      </c>
      <c r="E406" s="92" t="s">
        <v>202</v>
      </c>
      <c r="F406" s="87">
        <v>1</v>
      </c>
      <c r="G406" s="87" t="s">
        <v>6</v>
      </c>
      <c r="H406" s="87">
        <v>1</v>
      </c>
      <c r="I406" s="91">
        <v>15.2744</v>
      </c>
      <c r="J406" s="86">
        <v>15.2744</v>
      </c>
      <c r="K406" s="85"/>
      <c r="L406" s="85"/>
      <c r="M406" s="85"/>
    </row>
    <row r="407" spans="1:13" x14ac:dyDescent="0.25">
      <c r="A407" s="98">
        <v>45799</v>
      </c>
      <c r="B407" s="87" t="s">
        <v>250</v>
      </c>
      <c r="C407" s="97" t="s">
        <v>489</v>
      </c>
      <c r="D407" s="95" t="s">
        <v>9</v>
      </c>
      <c r="E407" s="87" t="s">
        <v>18</v>
      </c>
      <c r="F407" s="87">
        <v>1</v>
      </c>
      <c r="G407" s="88" t="s">
        <v>6</v>
      </c>
      <c r="H407" s="87">
        <v>1</v>
      </c>
      <c r="I407" s="87">
        <v>22.7425</v>
      </c>
      <c r="J407" s="86">
        <v>22.7425</v>
      </c>
      <c r="K407" s="85"/>
      <c r="L407" s="85"/>
      <c r="M407" s="85"/>
    </row>
    <row r="408" spans="1:13" x14ac:dyDescent="0.25">
      <c r="A408" s="90">
        <v>45790</v>
      </c>
      <c r="B408" s="87" t="s">
        <v>250</v>
      </c>
      <c r="C408" s="87" t="s">
        <v>489</v>
      </c>
      <c r="D408" s="89" t="s">
        <v>50</v>
      </c>
      <c r="E408" s="87" t="s">
        <v>93</v>
      </c>
      <c r="F408" s="96">
        <v>1</v>
      </c>
      <c r="G408" s="88" t="s">
        <v>6</v>
      </c>
      <c r="H408" s="96">
        <v>1</v>
      </c>
      <c r="I408" s="87">
        <v>13.836</v>
      </c>
      <c r="J408" s="86">
        <v>13.836</v>
      </c>
      <c r="K408" s="85"/>
      <c r="L408" s="85"/>
      <c r="M408" s="85"/>
    </row>
    <row r="409" spans="1:13" x14ac:dyDescent="0.25">
      <c r="A409" s="90">
        <v>45792</v>
      </c>
      <c r="B409" s="87" t="s">
        <v>250</v>
      </c>
      <c r="C409" s="87" t="s">
        <v>489</v>
      </c>
      <c r="D409" s="95" t="s">
        <v>69</v>
      </c>
      <c r="E409" s="87" t="s">
        <v>42</v>
      </c>
      <c r="F409" s="87">
        <v>1</v>
      </c>
      <c r="G409" s="88" t="s">
        <v>6</v>
      </c>
      <c r="H409" s="87">
        <v>1</v>
      </c>
      <c r="I409" s="87">
        <v>11.773300000000001</v>
      </c>
      <c r="J409" s="86">
        <v>11.773300000000001</v>
      </c>
      <c r="K409" s="85"/>
      <c r="L409" s="85"/>
      <c r="M409" s="85"/>
    </row>
    <row r="410" spans="1:13" x14ac:dyDescent="0.25">
      <c r="A410" s="90">
        <v>45795</v>
      </c>
      <c r="B410" s="87" t="s">
        <v>250</v>
      </c>
      <c r="C410" s="87" t="s">
        <v>489</v>
      </c>
      <c r="D410" s="95" t="s">
        <v>69</v>
      </c>
      <c r="E410" s="87" t="s">
        <v>16</v>
      </c>
      <c r="F410" s="87">
        <v>1</v>
      </c>
      <c r="G410" s="88" t="s">
        <v>6</v>
      </c>
      <c r="H410" s="87">
        <v>1</v>
      </c>
      <c r="I410" s="87">
        <v>11.773300000000001</v>
      </c>
      <c r="J410" s="86">
        <v>11.773300000000001</v>
      </c>
      <c r="K410" s="85"/>
      <c r="L410" s="85"/>
      <c r="M410" s="85"/>
    </row>
    <row r="411" spans="1:13" x14ac:dyDescent="0.25">
      <c r="A411" s="94">
        <v>45795</v>
      </c>
      <c r="B411" s="87" t="s">
        <v>250</v>
      </c>
      <c r="C411" s="94" t="s">
        <v>486</v>
      </c>
      <c r="D411" s="93" t="s">
        <v>217</v>
      </c>
      <c r="E411" s="92" t="s">
        <v>218</v>
      </c>
      <c r="F411" s="87">
        <v>1</v>
      </c>
      <c r="G411" s="87" t="s">
        <v>6</v>
      </c>
      <c r="H411" s="87">
        <v>1</v>
      </c>
      <c r="I411" s="91">
        <v>13</v>
      </c>
      <c r="J411" s="86">
        <v>13</v>
      </c>
      <c r="K411" s="85"/>
      <c r="L411" s="85"/>
      <c r="M411" s="85"/>
    </row>
    <row r="412" spans="1:13" x14ac:dyDescent="0.25">
      <c r="A412" s="90">
        <v>45790</v>
      </c>
      <c r="B412" s="87" t="s">
        <v>250</v>
      </c>
      <c r="C412" s="87" t="s">
        <v>489</v>
      </c>
      <c r="D412" s="89" t="s">
        <v>64</v>
      </c>
      <c r="E412" s="87" t="s">
        <v>96</v>
      </c>
      <c r="F412" s="87">
        <v>1</v>
      </c>
      <c r="G412" s="88" t="s">
        <v>6</v>
      </c>
      <c r="H412" s="87">
        <v>1</v>
      </c>
      <c r="I412" s="87">
        <v>0.96399999999999997</v>
      </c>
      <c r="J412" s="86">
        <v>0.96399999999999997</v>
      </c>
      <c r="K412" s="85"/>
      <c r="L412" s="85"/>
      <c r="M412" s="85"/>
    </row>
  </sheetData>
  <autoFilter ref="A1:J412" xr:uid="{00000000-0009-0000-0000-000000000000}">
    <sortState xmlns:xlrd2="http://schemas.microsoft.com/office/spreadsheetml/2017/richdata2" ref="A2:J284">
      <sortCondition ref="G2:G284"/>
    </sortState>
  </autoFilter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厂内不良</vt:lpstr>
      <vt:lpstr>客退</vt:lpstr>
      <vt:lpstr>重工工时</vt:lpstr>
      <vt:lpstr>整合</vt:lpstr>
      <vt:lpstr>报废总表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user180</dc:creator>
  <cp:lastModifiedBy>Moon</cp:lastModifiedBy>
  <dcterms:created xsi:type="dcterms:W3CDTF">2024-10-31T06:17:00Z</dcterms:created>
  <dcterms:modified xsi:type="dcterms:W3CDTF">2025-06-18T10:41:28Z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B2A7B1364F1D4E6C9D7B2A8131325F0A_13</vt:lpwstr>
  </property>
  <property fmtid="{D5CDD505-2E9C-101B-9397-08002B2CF9AE}" pid="3" name="KSOProductBuildVer">
    <vt:lpwstr>2052-12.1.0.17827</vt:lpwstr>
  </property>
</Properties>
</file>