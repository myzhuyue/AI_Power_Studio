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13_NCOPS\03_document\"/>
    </mc:Choice>
  </mc:AlternateContent>
  <xr:revisionPtr revIDLastSave="0" documentId="13_ncr:1_{5110B5A5-A1DB-43BA-90DC-55C881F4A2E9}" xr6:coauthVersionLast="47" xr6:coauthVersionMax="47" xr10:uidLastSave="{00000000-0000-0000-0000-000000000000}"/>
  <bookViews>
    <workbookView xWindow="-110" yWindow="-110" windowWidth="38620" windowHeight="21360" xr2:uid="{6E468DB2-7AAC-45EB-A7F3-D82F66370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1" l="1"/>
  <c r="J50" i="1"/>
  <c r="J53" i="1"/>
  <c r="J51" i="1"/>
</calcChain>
</file>

<file path=xl/sharedStrings.xml><?xml version="1.0" encoding="utf-8"?>
<sst xmlns="http://schemas.openxmlformats.org/spreadsheetml/2006/main" count="59" uniqueCount="53">
  <si>
    <t>CoPLan的值，固定值，不受其它筛选器影响。‌</t>
  </si>
  <si>
    <t>增加CoPLand vs SOP对比, 做出waterfall</t>
  </si>
  <si>
    <t>BC=BA+BB</t>
  </si>
  <si>
    <t>对SOP6-24 ， SOP3-25做详细对比分析。</t>
  </si>
  <si>
    <t>1. filter K列（筛选RAG不等于Canceled，RAG不等于Cancelled）</t>
  </si>
  <si>
    <t>2. filter L列（筛选Stage不等于Cancelled,Removed 和Unidentified Initiatives/Stretch）</t>
  </si>
  <si>
    <t>3.  '2025 Savings' = 'CO 2024 to 2025 Savings' + 'New 2025 Savings'，</t>
  </si>
  <si>
    <t xml:space="preserve"> 'CO 2024 to 2025 Savings'=If('months in 2025'&gt;0, Year(O)=2024, 则 '2025 Per Unit, GBP' * 'Vol 2025 Total'/10^6，</t>
  </si>
  <si>
    <t xml:space="preserve"> 'New 2025 Savings'=If Year(O)=2025, 则'2025 Per Unit, GBP'*'Vol 2025 Total'/10^6，</t>
  </si>
  <si>
    <t>BA</t>
  </si>
  <si>
    <t>BB</t>
  </si>
  <si>
    <t>2. Canceled （D相同，前者BC&gt;0,后者BC=0）</t>
  </si>
  <si>
    <t>1. New added （D相同，前者=0, 后者BC&gt;0）</t>
  </si>
  <si>
    <t>2025 Per Unit, GBP</t>
  </si>
  <si>
    <t>Y</t>
  </si>
  <si>
    <t>Match Volume file</t>
  </si>
  <si>
    <t>2025 Volume</t>
  </si>
  <si>
    <t xml:space="preserve">Price change date </t>
  </si>
  <si>
    <t>N</t>
  </si>
  <si>
    <t>D</t>
  </si>
  <si>
    <t>PSTT ID</t>
  </si>
  <si>
    <t>4. Price change date impact （D相同，Y相同，'2025 Volume'相同，N不同）</t>
  </si>
  <si>
    <t>以上5种计算的值都需要/10^6</t>
  </si>
  <si>
    <t>增加SOP vs SOP对比, 做出waterfall, 下面展开有Top5的list</t>
  </si>
  <si>
    <t>2025 Saving Impacted Volume</t>
  </si>
  <si>
    <t>Volumes mapping</t>
  </si>
  <si>
    <t>AC</t>
  </si>
  <si>
    <t>AP</t>
  </si>
  <si>
    <t>Month start for 2025</t>
  </si>
  <si>
    <t>5. Per Unit change （D相同，N相同，'2025 Saving Impacted Volume'相同，Y不同）</t>
  </si>
  <si>
    <t>Volume</t>
  </si>
  <si>
    <t xml:space="preserve">B </t>
  </si>
  <si>
    <t>Cycle</t>
  </si>
  <si>
    <t>AZ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</si>
  <si>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</si>
  <si>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</si>
  <si>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</si>
  <si>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</si>
  <si>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</si>
  <si>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</si>
  <si>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</si>
  <si>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</si>
  <si>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</si>
  <si>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NC OPS Savings - Vapour Master File 2025(Savings)</t>
  </si>
  <si>
    <t>NC OPS Savings - Vapour Master File 2025(Volumes)</t>
  </si>
  <si>
    <t>A</t>
  </si>
  <si>
    <t>=IFERROR(SUM(OFFSET(INDEX(Volumes!$D$3:$BK$4970,MATCH(AC3971,Volumes!$A$3:$A$4970,0),MATCH(AP3971,Volumes!$D$2:$BK$2,0)),,,,AF3971)),0)</t>
  </si>
  <si>
    <t>Cycle&amp;Product</t>
  </si>
  <si>
    <t>D2-BK2</t>
  </si>
  <si>
    <t>Month of 2025</t>
  </si>
  <si>
    <t>3. Volume impact （D相同，Y相同，N相同，"2025 Saving Impacted Volume"不同）</t>
  </si>
  <si>
    <r>
      <t>从名为</t>
    </r>
    <r>
      <rPr>
        <sz val="8"/>
        <color theme="1"/>
        <rFont val="Consolas"/>
        <family val="3"/>
      </rPr>
      <t>Volumes</t>
    </r>
    <r>
      <rPr>
        <sz val="8"/>
        <color theme="1"/>
        <rFont val="Segoe UI"/>
        <family val="2"/>
      </rPr>
      <t>的工作表中，根据</t>
    </r>
    <r>
      <rPr>
        <b/>
        <sz val="8"/>
        <color rgb="FFFF0000"/>
        <rFont val="Segoe UI"/>
        <family val="2"/>
      </rPr>
      <t>AC和AP</t>
    </r>
    <r>
      <rPr>
        <sz val="8"/>
        <color theme="1"/>
        <rFont val="Segoe UI"/>
        <family val="2"/>
      </rPr>
      <t>单元格的值来定位特定的Project的2025 Saving Impact Volume，并对该单元格（或对应区域 ）求和。</t>
    </r>
  </si>
  <si>
    <r>
      <t>从名为</t>
    </r>
    <r>
      <rPr>
        <sz val="8"/>
        <color theme="1"/>
        <rFont val="Consolas"/>
        <family val="3"/>
      </rPr>
      <t>Volumes</t>
    </r>
    <r>
      <rPr>
        <sz val="8"/>
        <color theme="1"/>
        <rFont val="Segoe UI"/>
        <family val="2"/>
      </rPr>
      <t>的工作表中，根据</t>
    </r>
    <r>
      <rPr>
        <b/>
        <sz val="8"/>
        <color rgb="FFFF0000"/>
        <rFont val="Segoe UI"/>
        <family val="2"/>
      </rPr>
      <t>AC</t>
    </r>
    <r>
      <rPr>
        <sz val="8"/>
        <color theme="1"/>
        <rFont val="Segoe UI"/>
        <family val="2"/>
      </rPr>
      <t>单元格的值来定位特定的Project的2025 Saving Impact Volume，并对该单元格（AZ-BK)求和。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</si>
</sst>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-* #,##0.0_-;\-* #,##0.0_-;_-* &quot;-&quot;??_-;_-@_-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等线"/>
      <family val="2"/>
      <scheme val="minor"/>
    </font>
    <font>
      <sz val="8"/>
      <color theme="1"/>
      <name val="Segoe UI"/>
      <family val="2"/>
    </font>
    <font>
      <sz val="8"/>
      <color theme="1"/>
      <name val="Consolas"/>
      <family val="3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12"/>
      <color rgb="FF000000"/>
      <name val="Calibri"/>
      <family val="2"/>
    </font>
    <font>
      <b/>
      <sz val="10"/>
      <name val="等线"/>
      <family val="2"/>
      <scheme val="minor"/>
    </font>
    <font>
      <b/>
      <sz val="8"/>
      <color rgb="FFFF0000"/>
      <name val="Segoe UI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F19187"/>
        <bgColor rgb="FF000000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" fontId="8" fillId="7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77" fontId="10" fillId="8" borderId="2" xfId="1" applyNumberFormat="1" applyFont="1" applyFill="1" applyBorder="1" applyAlignment="1" applyProtection="1">
      <alignment horizontal="center" vertical="center"/>
    </xf>
    <xf numFmtId="9" fontId="0" fillId="0" borderId="0" xfId="2" applyFont="1" applyAlignme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19051</xdr:rowOff>
    </xdr:from>
    <xdr:to>
      <xdr:col>9</xdr:col>
      <xdr:colOff>1060450</xdr:colOff>
      <xdr:row>22</xdr:row>
      <xdr:rowOff>41723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492178-0DBF-FA96-5489-8E4A89925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651"/>
          <a:ext cx="7004050" cy="3578672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59</xdr:row>
      <xdr:rowOff>76200</xdr:rowOff>
    </xdr:from>
    <xdr:to>
      <xdr:col>9</xdr:col>
      <xdr:colOff>476376</xdr:colOff>
      <xdr:row>60</xdr:row>
      <xdr:rowOff>63509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D2EE08-0F75-E812-0464-CDDC9214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10941050"/>
          <a:ext cx="2457576" cy="171459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469900</xdr:colOff>
      <xdr:row>61</xdr:row>
      <xdr:rowOff>6350</xdr:rowOff>
    </xdr:from>
    <xdr:to>
      <xdr:col>9</xdr:col>
      <xdr:colOff>927249</xdr:colOff>
      <xdr:row>62</xdr:row>
      <xdr:rowOff>50812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5FCBA3-6218-356D-2DCD-6789EB99C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7900" y="11239500"/>
          <a:ext cx="2895749" cy="228612"/>
        </a:xfrm>
        <a:prstGeom prst="rect">
          <a:avLst/>
        </a:prstGeom>
      </xdr:spPr>
    </xdr:pic>
    <xdr:clientData/>
  </xdr:twoCellAnchor>
  <xdr:twoCellAnchor editAs="oneCell">
    <xdr:from>
      <xdr:col>10</xdr:col>
      <xdr:colOff>501650</xdr:colOff>
      <xdr:row>53</xdr:row>
      <xdr:rowOff>6350</xdr:rowOff>
    </xdr:from>
    <xdr:to>
      <xdr:col>14</xdr:col>
      <xdr:colOff>432001</xdr:colOff>
      <xdr:row>54</xdr:row>
      <xdr:rowOff>107965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40B147-50A0-0E33-DB75-F99FE817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7650" y="9766300"/>
          <a:ext cx="3911801" cy="28576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63500</xdr:rowOff>
    </xdr:from>
    <xdr:to>
      <xdr:col>7</xdr:col>
      <xdr:colOff>425529</xdr:colOff>
      <xdr:row>2</xdr:row>
      <xdr:rowOff>57169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782DE5-66E1-6238-BF23-AD030B8A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62300" y="63500"/>
          <a:ext cx="1530429" cy="3619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11</xdr:col>
      <xdr:colOff>228600</xdr:colOff>
      <xdr:row>47</xdr:row>
      <xdr:rowOff>171450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527BA045-EC57-2EEE-28B7-EC7ED860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050"/>
          <a:ext cx="6934200" cy="385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F363-D35A-4F11-B72F-2D7024E28D50}">
  <dimension ref="A2:S83"/>
  <sheetViews>
    <sheetView showGridLines="0" tabSelected="1" topLeftCell="A46" zoomScale="130" zoomScaleNormal="130" workbookViewId="0">
      <selection activeCell="B70" sqref="B70"/>
    </sheetView>
  </sheetViews>
  <sheetFormatPr defaultRowHeight="14" x14ac:dyDescent="0.3"/>
  <cols>
    <col min="10" max="10" width="31.1640625" customWidth="1"/>
    <col min="11" max="11" width="27.33203125" customWidth="1"/>
    <col min="12" max="13" width="5.08203125" customWidth="1"/>
    <col min="14" max="17" width="19.4140625" customWidth="1"/>
    <col min="18" max="19" width="5.08203125" customWidth="1"/>
  </cols>
  <sheetData>
    <row r="2" spans="1:1" x14ac:dyDescent="0.3">
      <c r="A2" t="s">
        <v>0</v>
      </c>
    </row>
    <row r="24" spans="1:1" x14ac:dyDescent="0.3">
      <c r="A24" t="s">
        <v>1</v>
      </c>
    </row>
    <row r="26" spans="1:1" x14ac:dyDescent="0.3">
      <c r="A26" t="s">
        <v>23</v>
      </c>
    </row>
    <row r="50" spans="1:11" x14ac:dyDescent="0.3">
      <c r="J50" s="17">
        <f>(66-55)/55</f>
        <v>0.2</v>
      </c>
    </row>
    <row r="51" spans="1:11" x14ac:dyDescent="0.3">
      <c r="A51" t="s">
        <v>3</v>
      </c>
      <c r="J51" s="17">
        <f>(7-62)/62</f>
        <v>-0.88709677419354838</v>
      </c>
    </row>
    <row r="52" spans="1:11" x14ac:dyDescent="0.3">
      <c r="A52" t="s">
        <v>4</v>
      </c>
    </row>
    <row r="53" spans="1:11" x14ac:dyDescent="0.3">
      <c r="A53" t="s">
        <v>5</v>
      </c>
      <c r="J53" s="17">
        <f>(8-7)/7</f>
        <v>0.14285714285714285</v>
      </c>
    </row>
    <row r="54" spans="1:11" x14ac:dyDescent="0.3">
      <c r="A54" s="1" t="s">
        <v>6</v>
      </c>
      <c r="B54" s="1"/>
      <c r="C54" s="1"/>
      <c r="D54" s="1"/>
      <c r="E54" s="1"/>
      <c r="F54" s="1"/>
    </row>
    <row r="55" spans="1:11" x14ac:dyDescent="0.3">
      <c r="A55" s="1" t="s">
        <v>2</v>
      </c>
      <c r="B55" s="1"/>
      <c r="C55" s="1"/>
      <c r="D55" s="1"/>
      <c r="E55" s="1"/>
      <c r="F55" s="1"/>
    </row>
    <row r="56" spans="1:11" x14ac:dyDescent="0.3">
      <c r="A56" s="2" t="s">
        <v>7</v>
      </c>
      <c r="B56" s="2"/>
      <c r="C56" s="2"/>
      <c r="D56" s="2"/>
      <c r="E56" s="2"/>
      <c r="F56" s="2"/>
      <c r="G56" s="2"/>
      <c r="H56" s="2"/>
      <c r="I56" s="2"/>
    </row>
    <row r="57" spans="1:11" x14ac:dyDescent="0.3">
      <c r="A57" s="2" t="s">
        <v>9</v>
      </c>
      <c r="B57" s="2"/>
      <c r="C57" s="2"/>
      <c r="D57" s="2"/>
      <c r="E57" s="2"/>
      <c r="F57" s="2"/>
      <c r="G57" s="2"/>
      <c r="H57" s="2"/>
      <c r="I57" s="2"/>
    </row>
    <row r="58" spans="1:11" x14ac:dyDescent="0.3">
      <c r="A58" s="3" t="s">
        <v>8</v>
      </c>
      <c r="B58" s="3"/>
      <c r="C58" s="3"/>
      <c r="D58" s="3"/>
      <c r="E58" s="3"/>
      <c r="F58" s="3"/>
      <c r="G58" s="3"/>
      <c r="H58" s="3"/>
    </row>
    <row r="59" spans="1:11" x14ac:dyDescent="0.3">
      <c r="A59" s="3" t="s">
        <v>10</v>
      </c>
      <c r="B59" s="3"/>
      <c r="C59" s="3"/>
      <c r="D59" s="3"/>
      <c r="E59" s="3"/>
      <c r="F59" s="3"/>
      <c r="G59" s="3"/>
      <c r="H59" s="3"/>
    </row>
    <row r="60" spans="1:11" x14ac:dyDescent="0.3">
      <c r="K60" s="17">
        <f>(476-536)/536</f>
        <v>-0.11194029850746269</v>
      </c>
    </row>
    <row r="62" spans="1:11" x14ac:dyDescent="0.3">
      <c r="A62" s="7" t="s">
        <v>12</v>
      </c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3">
      <c r="A63" s="7" t="s">
        <v>11</v>
      </c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8" x14ac:dyDescent="0.3">
      <c r="A65" s="7" t="s">
        <v>21</v>
      </c>
      <c r="B65" s="7"/>
      <c r="C65" s="7"/>
      <c r="D65" s="7"/>
      <c r="E65" s="7"/>
      <c r="F65" s="7"/>
    </row>
    <row r="66" spans="1:18" x14ac:dyDescent="0.3">
      <c r="A66" s="7" t="s">
        <v>29</v>
      </c>
      <c r="B66" s="7"/>
      <c r="C66" s="7"/>
      <c r="D66" s="7"/>
      <c r="E66" s="7"/>
      <c r="F66" s="7"/>
    </row>
    <row r="67" spans="1:18" ht="53.5" customHeight="1" x14ac:dyDescent="0.3">
      <c r="A67" s="7" t="s">
        <v>22</v>
      </c>
    </row>
    <row r="68" spans="1:18" x14ac:dyDescent="0.3">
      <c r="G68" s="7"/>
      <c r="H68" s="7"/>
      <c r="I68" s="7"/>
      <c r="J68" s="7" t="s">
        <v>15</v>
      </c>
      <c r="K68" s="7"/>
    </row>
    <row r="69" spans="1:18" ht="27.5" customHeight="1" thickBot="1" x14ac:dyDescent="0.35">
      <c r="G69" s="8" t="s">
        <v>19</v>
      </c>
      <c r="H69" s="8" t="s">
        <v>14</v>
      </c>
      <c r="I69" s="8" t="s">
        <v>18</v>
      </c>
      <c r="J69" s="9" t="s">
        <v>24</v>
      </c>
      <c r="K69" s="9" t="s">
        <v>16</v>
      </c>
      <c r="N69" s="11" t="s">
        <v>43</v>
      </c>
      <c r="O69" s="11" t="s">
        <v>44</v>
      </c>
      <c r="P69" s="11"/>
      <c r="R69" s="11"/>
    </row>
    <row r="70" spans="1:18" ht="46" customHeight="1" thickTop="1" thickBot="1" x14ac:dyDescent="0.35">
      <c r="G70" s="6" t="s">
        <v>20</v>
      </c>
      <c r="H70" s="5" t="s">
        <v>13</v>
      </c>
      <c r="I70" s="5" t="s">
        <v>17</v>
      </c>
      <c r="J70" s="11" t="s">
        <v>51</v>
      </c>
      <c r="K70" s="11" t="s">
        <v>52</v>
      </c>
      <c r="N70" s="8" t="s">
        <v>26</v>
      </c>
      <c r="O70" s="8" t="s">
        <v>45</v>
      </c>
    </row>
    <row r="71" spans="1:18" ht="16" thickTop="1" x14ac:dyDescent="0.3">
      <c r="F71" s="10"/>
      <c r="N71" s="4" t="s">
        <v>25</v>
      </c>
      <c r="O71" s="15" t="s">
        <v>47</v>
      </c>
    </row>
    <row r="72" spans="1:18" ht="14.5" thickBot="1" x14ac:dyDescent="0.35">
      <c r="G72" s="8" t="s">
        <v>26</v>
      </c>
      <c r="H72" s="8" t="s">
        <v>27</v>
      </c>
    </row>
    <row r="73" spans="1:18" ht="40" thickTop="1" thickBot="1" x14ac:dyDescent="0.35">
      <c r="G73" s="12" t="s">
        <v>25</v>
      </c>
      <c r="H73" s="5" t="s">
        <v>28</v>
      </c>
      <c r="J73" t="s">
        <v>46</v>
      </c>
      <c r="N73" s="8" t="s">
        <v>27</v>
      </c>
      <c r="O73" s="8" t="s">
        <v>48</v>
      </c>
    </row>
    <row r="74" spans="1:18" ht="14.5" thickTop="1" x14ac:dyDescent="0.3">
      <c r="N74" s="16" t="s">
        <v>28</v>
      </c>
      <c r="O74" s="16" t="s">
        <v>49</v>
      </c>
    </row>
    <row r="81" spans="7:19" x14ac:dyDescent="0.3">
      <c r="G81" t="s">
        <v>30</v>
      </c>
    </row>
    <row r="82" spans="7:19" ht="14.5" thickBot="1" x14ac:dyDescent="0.35">
      <c r="G82" s="8" t="s">
        <v>31</v>
      </c>
      <c r="H82" t="s">
        <v>33</v>
      </c>
      <c r="I82" t="s">
        <v>9</v>
      </c>
      <c r="J82" t="s">
        <v>10</v>
      </c>
      <c r="K82" t="s">
        <v>34</v>
      </c>
      <c r="L82" t="s">
        <v>35</v>
      </c>
      <c r="M82" t="s">
        <v>36</v>
      </c>
      <c r="N82" t="s">
        <v>37</v>
      </c>
      <c r="O82" t="s">
        <v>38</v>
      </c>
      <c r="P82" t="s">
        <v>39</v>
      </c>
      <c r="Q82" t="s">
        <v>40</v>
      </c>
      <c r="R82" t="s">
        <v>41</v>
      </c>
      <c r="S82" t="s">
        <v>42</v>
      </c>
    </row>
    <row r="83" spans="7:19" ht="14.5" thickTop="1" x14ac:dyDescent="0.3">
      <c r="G83" s="13" t="s">
        <v>32</v>
      </c>
      <c r="H83" s="14">
        <v>45682</v>
      </c>
      <c r="I83" s="14">
        <v>45713</v>
      </c>
      <c r="J83" s="14">
        <v>45741</v>
      </c>
      <c r="K83" s="14">
        <v>45772</v>
      </c>
      <c r="L83" s="14">
        <v>45802</v>
      </c>
      <c r="M83" s="14">
        <v>45833</v>
      </c>
      <c r="N83" s="14">
        <v>45863</v>
      </c>
      <c r="O83" s="14">
        <v>45894</v>
      </c>
      <c r="P83" s="14">
        <v>45925</v>
      </c>
      <c r="Q83" s="14">
        <v>45955</v>
      </c>
      <c r="R83" s="14">
        <v>45986</v>
      </c>
      <c r="S83" s="14">
        <v>46016</v>
      </c>
    </row>
  </sheetData>
  <phoneticPr fontId="12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Zhu Yue</cp:lastModifiedBy>
  <dcterms:created xsi:type="dcterms:W3CDTF">2025-04-12T00:51:44Z</dcterms:created>
  <dcterms:modified xsi:type="dcterms:W3CDTF">2025-04-13T04:25:00Z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2025-04-12T03:36:20Z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4c09e7d0-28ae-4af7-8643-91d54ec8ea52</vt:lpwstr>
  </property>
  <property fmtid="{D5CDD505-2E9C-101B-9397-08002B2CF9AE}" pid="8" name="MSIP_Label_e9fea72e-161c-48c8-8e82-3fc1e9b3162c_ContentBits">
    <vt:lpwstr>0</vt:lpwstr>
  </property>
</Properties>
</file>