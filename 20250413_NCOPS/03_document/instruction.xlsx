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8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fessional\04_Git\AI_Power_Studio\20250413_NCOPS\03_document\"/>
    </mc:Choice>
  </mc:AlternateContent>
  <xr:revisionPtr revIDLastSave="0" documentId="13_ncr:1_{13813B3A-2E8E-481C-B8BA-91DE1B7DD030}" xr6:coauthVersionLast="47" xr6:coauthVersionMax="47" xr10:uidLastSave="{00000000-0000-0000-0000-000000000000}"/>
  <bookViews>
    <workbookView xWindow="5530" yWindow="930" windowWidth="28300" windowHeight="20370" xr2:uid="{6E468DB2-7AAC-45EB-A7F3-D82F663708E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60" i="1" l="1"/>
  <c r="J50" i="1"/>
  <c r="J53" i="1"/>
  <c r="J51" i="1"/>
</calcChain>
</file>

<file path=xl/sharedStrings.xml><?xml version="1.0" encoding="utf-8"?>
<sst xmlns="http://schemas.openxmlformats.org/spreadsheetml/2006/main" count="59" uniqueCount="53">
  <si>
    <t>CoPLan的值，固定值，不受其它筛选器影响。‌</t>
  </si>
  <si>
    <t>增加CoPLand vs SOP对比, 做出waterfall</t>
  </si>
  <si>
    <t>BC=BA+BB</t>
  </si>
  <si>
    <t>对SOP6-24 ， SOP3-25做详细对比分析。</t>
  </si>
  <si>
    <t>1. filter K列（筛选RAG不等于Canceled，RAG不等于Cancelled）</t>
  </si>
  <si>
    <t>2. filter L列（筛选Stage不等于Cancelled,Removed 和Unidentified Initiatives/Stretch）</t>
  </si>
  <si>
    <t>3.  '2025 Savings' = 'CO 2024 to 2025 Savings' + 'New 2025 Savings'，</t>
  </si>
  <si>
    <t xml:space="preserve"> 'CO 2024 to 2025 Savings'=If('months in 2025'&gt;0, Year(O)=2024, 则 '2025 Per Unit, GBP' * 'Vol 2025 Total'/10^6，</t>
  </si>
  <si>
    <t xml:space="preserve"> 'New 2025 Savings'=If Year(O)=2025, 则'2025 Per Unit, GBP'*'Vol 2025 Total'/10^6，</t>
  </si>
  <si>
    <t>BA</t>
  </si>
  <si>
    <t>BB</t>
  </si>
  <si>
    <t>2. Canceled （D相同，前者BC&gt;0,后者BC=0）</t>
  </si>
  <si>
    <t>1. New added （D相同，前者=0, 后者BC&gt;0）</t>
  </si>
  <si>
    <t>2025 Per Unit, GBP</t>
  </si>
  <si>
    <t>Y</t>
  </si>
  <si>
    <t>Match Volume file</t>
  </si>
  <si>
    <t>2025 Volume</t>
  </si>
  <si>
    <t xml:space="preserve">Price change date </t>
  </si>
  <si>
    <t>N</t>
  </si>
  <si>
    <t>D</t>
  </si>
  <si>
    <t>PSTT ID</t>
  </si>
  <si>
    <t>4. Price change date impact （D相同，Y相同，'2025 Volume'相同，N不同）</t>
  </si>
  <si>
    <t>以上5种计算的值都需要/10^6</t>
  </si>
  <si>
    <t>增加SOP vs SOP对比, 做出waterfall, 下面展开有Top5的list</t>
  </si>
  <si>
    <t>2025 Saving Impacted Volume</t>
  </si>
  <si>
    <t>Volumes mapping</t>
  </si>
  <si>
    <t>AC</t>
  </si>
  <si>
    <t>AP</t>
  </si>
  <si>
    <t>Month start for 2025</t>
  </si>
  <si>
    <t>5. Per Unit change （D相同，N相同，'2025 Saving Impacted Volume'相同，Y不同）</t>
  </si>
  <si>
    <t>Volume</t>
  </si>
  <si>
    <t xml:space="preserve">B </t>
  </si>
  <si>
    <t>Cycle</t>
  </si>
  <si>
    <t>AZ</t>
  </si>
  <si>
    <t>BC</t>
  </si>
  <si>
    <t>BD</t>
  </si>
  <si>
    <t>BE</t>
  </si>
  <si>
    <t>BF</t>
  </si>
  <si>
    <t>BG</t>
  </si>
  <si>
    <t>BH</t>
  </si>
  <si>
    <t>BI</t>
  </si>
  <si>
    <t>BJ</t>
  </si>
  <si>
    <t>BK</t>
  </si>
  <si>
    <t>NC OPS Savings - Vapour Master File 2025(Savings)</t>
  </si>
  <si>
    <t>NC OPS Savings - Vapour Master File 2025(Volumes)</t>
  </si>
  <si>
    <t>A</t>
  </si>
  <si>
    <t>=IFERROR(SUM(OFFSET(INDEX(Volumes!$D$3:$BK$4970,MATCH(AC3971,Volumes!$A$3:$A$4970,0),MATCH(AP3971,Volumes!$D$2:$BK$2,0)),,,,AF3971)),0)</t>
  </si>
  <si>
    <t>Cycle&amp;Product</t>
  </si>
  <si>
    <t>D2-BK2</t>
  </si>
  <si>
    <t>Month of 2025</t>
  </si>
  <si>
    <t>3. Volume impact （D相同，Y相同，N相同，"2025 Saving Impacted Volume"不同）</t>
  </si>
  <si>
    <r>
      <t>从名为</t>
    </r>
    <r>
      <rPr>
        <sz val="8"/>
        <color theme="1"/>
        <rFont val="Consolas"/>
        <family val="3"/>
      </rPr>
      <t>Volumes</t>
    </r>
    <r>
      <rPr>
        <sz val="8"/>
        <color theme="1"/>
        <rFont val="Segoe UI"/>
        <family val="2"/>
      </rPr>
      <t>的工作表中，根据</t>
    </r>
    <r>
      <rPr>
        <b/>
        <sz val="8"/>
        <color rgb="FFFF0000"/>
        <rFont val="Segoe UI"/>
        <family val="2"/>
      </rPr>
      <t>AC和AP</t>
    </r>
    <r>
      <rPr>
        <sz val="8"/>
        <color theme="1"/>
        <rFont val="Segoe UI"/>
        <family val="2"/>
      </rPr>
      <t>单元格的值来定位特定的Project的2025 Saving Impact Volume，并对该单元格（或对应区域 ）求和。</t>
    </r>
  </si>
  <si>
    <r>
      <t>从名为</t>
    </r>
    <r>
      <rPr>
        <sz val="8"/>
        <color theme="1"/>
        <rFont val="Consolas"/>
        <family val="3"/>
      </rPr>
      <t>Volumes</t>
    </r>
    <r>
      <rPr>
        <sz val="8"/>
        <color theme="1"/>
        <rFont val="Segoe UI"/>
        <family val="2"/>
      </rPr>
      <t>的工作表中，根据</t>
    </r>
    <r>
      <rPr>
        <b/>
        <sz val="8"/>
        <color rgb="FFFF0000"/>
        <rFont val="Segoe UI"/>
        <family val="2"/>
      </rPr>
      <t>AC</t>
    </r>
    <r>
      <rPr>
        <sz val="8"/>
        <color theme="1"/>
        <rFont val="Segoe UI"/>
        <family val="2"/>
      </rPr>
      <t>单元格的值来定位特定的Project的2025 Saving Impact Volume，并对该单元格（AZ-BK)求和。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</si>
</sst>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_(* #,##0.00_);_(* \(#,##0.00\);_(* &quot;-&quot;??_);_(@_)"/>
    <numFmt numFmtId="177" formatCode="_-* #,##0.0_-;\-* #,##0.0_-;_-* &quot;-&quot;??_-;_-@_-"/>
  </numFmts>
  <fonts count="12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b/>
      <sz val="10"/>
      <name val="Calibri"/>
      <family val="2"/>
    </font>
    <font>
      <b/>
      <sz val="10"/>
      <color rgb="FFFFFFFF"/>
      <name val="Calibri"/>
      <family val="2"/>
    </font>
    <font>
      <sz val="10"/>
      <color theme="1"/>
      <name val="等线"/>
      <family val="2"/>
      <scheme val="minor"/>
    </font>
    <font>
      <sz val="8"/>
      <color theme="1"/>
      <name val="Segoe UI"/>
      <family val="2"/>
    </font>
    <font>
      <sz val="8"/>
      <color theme="1"/>
      <name val="Consolas"/>
      <family val="3"/>
    </font>
    <font>
      <b/>
      <sz val="8"/>
      <name val="Calibri"/>
      <family val="2"/>
    </font>
    <font>
      <b/>
      <sz val="8"/>
      <color rgb="FF000000"/>
      <name val="Calibri"/>
      <family val="2"/>
    </font>
    <font>
      <b/>
      <sz val="10"/>
      <name val="等线"/>
      <family val="2"/>
      <scheme val="minor"/>
    </font>
    <font>
      <b/>
      <sz val="8"/>
      <color rgb="FFFF0000"/>
      <name val="Segoe UI"/>
      <family val="2"/>
    </font>
    <font>
      <sz val="9"/>
      <name val="等线"/>
      <family val="3"/>
      <charset val="134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A6A6A6"/>
        <bgColor rgb="FF000000"/>
      </patternFill>
    </fill>
    <fill>
      <patternFill patternType="solid">
        <fgColor rgb="FF44546A"/>
        <bgColor rgb="FF000000"/>
      </patternFill>
    </fill>
    <fill>
      <patternFill patternType="solid">
        <fgColor rgb="FFF19187"/>
        <bgColor rgb="FF000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9.9978637043366805E-2"/>
        <bgColor indexed="64"/>
      </patternFill>
    </fill>
  </fills>
  <borders count="13">
    <border>
      <left/>
      <right/>
      <top/>
      <bottom/>
      <diagonal/>
    </border>
    <border>
      <left style="thick">
        <color rgb="FFFFFFFF"/>
      </left>
      <right style="thick">
        <color rgb="FFFFFFFF"/>
      </right>
      <top style="thick">
        <color rgb="FFFFFFFF"/>
      </top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176" fontId="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</cellStyleXfs>
  <cellXfs count="30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/>
    </xf>
    <xf numFmtId="0" fontId="4" fillId="0" borderId="0" xfId="0" applyFont="1"/>
    <xf numFmtId="0" fontId="4" fillId="4" borderId="0" xfId="0" applyFont="1" applyFill="1" applyAlignment="1">
      <alignment horizontal="center"/>
    </xf>
    <xf numFmtId="0" fontId="4" fillId="4" borderId="0" xfId="0" applyFont="1" applyFill="1" applyAlignment="1">
      <alignment horizontal="center" wrapText="1"/>
    </xf>
    <xf numFmtId="0" fontId="5" fillId="0" borderId="0" xfId="0" applyFont="1"/>
    <xf numFmtId="0" fontId="5" fillId="0" borderId="0" xfId="0" applyFont="1" applyAlignment="1">
      <alignment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16" fontId="8" fillId="7" borderId="0" xfId="0" applyNumberFormat="1" applyFont="1" applyFill="1" applyAlignment="1">
      <alignment horizontal="left" vertical="center"/>
    </xf>
    <xf numFmtId="177" fontId="9" fillId="8" borderId="2" xfId="1" applyNumberFormat="1" applyFont="1" applyFill="1" applyBorder="1" applyAlignment="1" applyProtection="1">
      <alignment horizontal="center" vertical="center"/>
    </xf>
    <xf numFmtId="9" fontId="0" fillId="0" borderId="0" xfId="2" applyFont="1" applyAlignment="1"/>
    <xf numFmtId="14" fontId="0" fillId="0" borderId="0" xfId="0" applyNumberFormat="1"/>
    <xf numFmtId="0" fontId="4" fillId="0" borderId="3" xfId="0" applyFont="1" applyBorder="1"/>
    <xf numFmtId="0" fontId="4" fillId="0" borderId="4" xfId="0" applyFont="1" applyBorder="1"/>
    <xf numFmtId="0" fontId="4" fillId="0" borderId="5" xfId="0" applyFont="1" applyBorder="1"/>
    <xf numFmtId="0" fontId="4" fillId="0" borderId="6" xfId="0" applyFont="1" applyBorder="1"/>
    <xf numFmtId="0" fontId="4" fillId="0" borderId="0" xfId="0" applyFont="1" applyBorder="1"/>
    <xf numFmtId="0" fontId="4" fillId="0" borderId="7" xfId="0" applyFont="1" applyBorder="1"/>
    <xf numFmtId="0" fontId="4" fillId="9" borderId="6" xfId="0" applyFont="1" applyFill="1" applyBorder="1"/>
    <xf numFmtId="0" fontId="4" fillId="0" borderId="8" xfId="0" applyFont="1" applyBorder="1"/>
    <xf numFmtId="0" fontId="4" fillId="0" borderId="9" xfId="0" applyFont="1" applyBorder="1"/>
    <xf numFmtId="0" fontId="4" fillId="0" borderId="10" xfId="0" applyFont="1" applyBorder="1"/>
    <xf numFmtId="0" fontId="4" fillId="0" borderId="11" xfId="0" applyFont="1" applyBorder="1" applyAlignment="1">
      <alignment horizontal="center"/>
    </xf>
    <xf numFmtId="0" fontId="4" fillId="0" borderId="12" xfId="0" applyFont="1" applyBorder="1" applyAlignment="1">
      <alignment horizontal="center"/>
    </xf>
  </cellXfs>
  <cellStyles count="3">
    <cellStyle name="百分比" xfId="2" builtinId="5"/>
    <cellStyle name="常规" xfId="0" builtinId="0"/>
    <cellStyle name="千位分隔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19051</xdr:rowOff>
    </xdr:from>
    <xdr:to>
      <xdr:col>9</xdr:col>
      <xdr:colOff>187325</xdr:colOff>
      <xdr:row>22</xdr:row>
      <xdr:rowOff>41723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6492178-0DBF-FA96-5489-8E4A899252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74651"/>
          <a:ext cx="7004050" cy="3578672"/>
        </a:xfrm>
        <a:prstGeom prst="rect">
          <a:avLst/>
        </a:prstGeom>
      </xdr:spPr>
    </xdr:pic>
    <xdr:clientData/>
  </xdr:twoCellAnchor>
  <xdr:twoCellAnchor editAs="oneCell">
    <xdr:from>
      <xdr:col>7</xdr:col>
      <xdr:colOff>183356</xdr:colOff>
      <xdr:row>59</xdr:row>
      <xdr:rowOff>48419</xdr:rowOff>
    </xdr:from>
    <xdr:to>
      <xdr:col>9</xdr:col>
      <xdr:colOff>1520157</xdr:colOff>
      <xdr:row>60</xdr:row>
      <xdr:rowOff>35728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FD2EE08-0F75-E812-0464-CDDC9214D2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426075" y="10585450"/>
          <a:ext cx="2654426" cy="165903"/>
        </a:xfrm>
        <a:prstGeom prst="rect">
          <a:avLst/>
        </a:prstGeom>
      </xdr:spPr>
    </xdr:pic>
    <xdr:clientData/>
  </xdr:twoCellAnchor>
  <xdr:twoCellAnchor editAs="oneCell">
    <xdr:from>
      <xdr:col>7</xdr:col>
      <xdr:colOff>168274</xdr:colOff>
      <xdr:row>60</xdr:row>
      <xdr:rowOff>153195</xdr:rowOff>
    </xdr:from>
    <xdr:to>
      <xdr:col>9</xdr:col>
      <xdr:colOff>1943248</xdr:colOff>
      <xdr:row>62</xdr:row>
      <xdr:rowOff>15095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F5FCBA3-6218-356D-2DCD-6789EB99C7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410993" y="10868820"/>
          <a:ext cx="3092599" cy="223056"/>
        </a:xfrm>
        <a:prstGeom prst="rect">
          <a:avLst/>
        </a:prstGeom>
      </xdr:spPr>
    </xdr:pic>
    <xdr:clientData/>
  </xdr:twoCellAnchor>
  <xdr:twoCellAnchor editAs="oneCell">
    <xdr:from>
      <xdr:col>10</xdr:col>
      <xdr:colOff>501650</xdr:colOff>
      <xdr:row>53</xdr:row>
      <xdr:rowOff>6350</xdr:rowOff>
    </xdr:from>
    <xdr:to>
      <xdr:col>14</xdr:col>
      <xdr:colOff>432001</xdr:colOff>
      <xdr:row>54</xdr:row>
      <xdr:rowOff>107965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F40B147-50A0-0E33-DB75-F99FE817F7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597650" y="9766300"/>
          <a:ext cx="3911801" cy="285765"/>
        </a:xfrm>
        <a:prstGeom prst="rect">
          <a:avLst/>
        </a:prstGeom>
      </xdr:spPr>
    </xdr:pic>
    <xdr:clientData/>
  </xdr:twoCellAnchor>
  <xdr:twoCellAnchor editAs="oneCell">
    <xdr:from>
      <xdr:col>5</xdr:col>
      <xdr:colOff>114300</xdr:colOff>
      <xdr:row>0</xdr:row>
      <xdr:rowOff>63500</xdr:rowOff>
    </xdr:from>
    <xdr:to>
      <xdr:col>7</xdr:col>
      <xdr:colOff>183435</xdr:colOff>
      <xdr:row>2</xdr:row>
      <xdr:rowOff>57169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11782DE5-66E1-6238-BF23-AD030B8ACA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162300" y="63500"/>
          <a:ext cx="1530429" cy="361969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27</xdr:row>
      <xdr:rowOff>0</xdr:rowOff>
    </xdr:from>
    <xdr:to>
      <xdr:col>11</xdr:col>
      <xdr:colOff>228600</xdr:colOff>
      <xdr:row>47</xdr:row>
      <xdr:rowOff>171450</xdr:rowOff>
    </xdr:to>
    <xdr:pic>
      <xdr:nvPicPr>
        <xdr:cNvPr id="8" name="Picture 1">
          <a:extLst>
            <a:ext uri="{FF2B5EF4-FFF2-40B4-BE49-F238E27FC236}">
              <a16:creationId xmlns:a16="http://schemas.microsoft.com/office/drawing/2014/main" id="{527BA045-EC57-2EEE-28B7-EC7ED86062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72050"/>
          <a:ext cx="6934200" cy="38544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6</xdr:col>
      <xdr:colOff>15876</xdr:colOff>
      <xdr:row>64</xdr:row>
      <xdr:rowOff>75405</xdr:rowOff>
    </xdr:from>
    <xdr:to>
      <xdr:col>8</xdr:col>
      <xdr:colOff>154783</xdr:colOff>
      <xdr:row>70</xdr:row>
      <xdr:rowOff>146842</xdr:rowOff>
    </xdr:to>
    <xdr:cxnSp macro="">
      <xdr:nvCxnSpPr>
        <xdr:cNvPr id="9" name="连接符: 曲线 8">
          <a:extLst>
            <a:ext uri="{FF2B5EF4-FFF2-40B4-BE49-F238E27FC236}">
              <a16:creationId xmlns:a16="http://schemas.microsoft.com/office/drawing/2014/main" id="{AAA53FD6-7C7E-7B6C-9982-CB45098EF44B}"/>
            </a:ext>
          </a:extLst>
        </xdr:cNvPr>
        <xdr:cNvCxnSpPr/>
      </xdr:nvCxnSpPr>
      <xdr:spPr>
        <a:xfrm rot="16200000" flipH="1">
          <a:off x="4510485" y="11594702"/>
          <a:ext cx="1635125" cy="1456532"/>
        </a:xfrm>
        <a:prstGeom prst="curvedConnector3">
          <a:avLst>
            <a:gd name="adj1" fmla="val -534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8EF363-D35A-4F11-B72F-2D7024E28D50}">
  <dimension ref="A2:S84"/>
  <sheetViews>
    <sheetView showGridLines="0" tabSelected="1" topLeftCell="A19" zoomScale="160" zoomScaleNormal="160" workbookViewId="0">
      <selection activeCell="C70" sqref="C70"/>
    </sheetView>
  </sheetViews>
  <sheetFormatPr defaultRowHeight="14" x14ac:dyDescent="0.3"/>
  <cols>
    <col min="1" max="1" width="16.9140625" customWidth="1"/>
    <col min="6" max="6" width="11.83203125" customWidth="1"/>
    <col min="10" max="10" width="31.1640625" customWidth="1"/>
    <col min="11" max="11" width="27.33203125" customWidth="1"/>
    <col min="12" max="13" width="5.08203125" customWidth="1"/>
    <col min="14" max="17" width="19.4140625" customWidth="1"/>
    <col min="18" max="19" width="5.08203125" customWidth="1"/>
  </cols>
  <sheetData>
    <row r="2" spans="1:1" x14ac:dyDescent="0.3">
      <c r="A2" t="s">
        <v>0</v>
      </c>
    </row>
    <row r="24" spans="1:1" x14ac:dyDescent="0.3">
      <c r="A24" t="s">
        <v>1</v>
      </c>
    </row>
    <row r="26" spans="1:1" x14ac:dyDescent="0.3">
      <c r="A26" t="s">
        <v>23</v>
      </c>
    </row>
    <row r="50" spans="1:11" x14ac:dyDescent="0.3">
      <c r="J50" s="16">
        <f>(66-55)/55</f>
        <v>0.2</v>
      </c>
    </row>
    <row r="51" spans="1:11" x14ac:dyDescent="0.3">
      <c r="A51" t="s">
        <v>3</v>
      </c>
      <c r="J51" s="16">
        <f>(7-62)/62</f>
        <v>-0.88709677419354838</v>
      </c>
    </row>
    <row r="52" spans="1:11" x14ac:dyDescent="0.3">
      <c r="A52" t="s">
        <v>4</v>
      </c>
    </row>
    <row r="53" spans="1:11" x14ac:dyDescent="0.3">
      <c r="A53" t="s">
        <v>5</v>
      </c>
      <c r="J53" s="16">
        <f>(8-7)/7</f>
        <v>0.14285714285714285</v>
      </c>
    </row>
    <row r="54" spans="1:11" x14ac:dyDescent="0.3">
      <c r="A54" s="1" t="s">
        <v>6</v>
      </c>
      <c r="B54" s="1"/>
      <c r="C54" s="1"/>
      <c r="D54" s="1"/>
      <c r="E54" s="1"/>
      <c r="F54" s="1"/>
    </row>
    <row r="55" spans="1:11" x14ac:dyDescent="0.3">
      <c r="A55" s="1" t="s">
        <v>2</v>
      </c>
      <c r="B55" s="1"/>
      <c r="C55" s="1"/>
      <c r="D55" s="1"/>
      <c r="E55" s="1"/>
      <c r="F55" s="1"/>
    </row>
    <row r="56" spans="1:11" x14ac:dyDescent="0.3">
      <c r="A56" s="2" t="s">
        <v>7</v>
      </c>
      <c r="B56" s="2"/>
      <c r="C56" s="2"/>
      <c r="D56" s="2"/>
      <c r="E56" s="2"/>
      <c r="F56" s="2"/>
      <c r="G56" s="2"/>
      <c r="H56" s="2"/>
      <c r="I56" s="2"/>
    </row>
    <row r="57" spans="1:11" x14ac:dyDescent="0.3">
      <c r="A57" s="2" t="s">
        <v>9</v>
      </c>
      <c r="B57" s="2"/>
      <c r="C57" s="2"/>
      <c r="D57" s="2"/>
      <c r="E57" s="2"/>
      <c r="F57" s="2"/>
      <c r="G57" s="2"/>
      <c r="H57" s="2"/>
      <c r="I57" s="2"/>
    </row>
    <row r="58" spans="1:11" x14ac:dyDescent="0.3">
      <c r="A58" s="3" t="s">
        <v>8</v>
      </c>
      <c r="B58" s="3"/>
      <c r="C58" s="3"/>
      <c r="D58" s="3"/>
      <c r="E58" s="3"/>
      <c r="F58" s="3"/>
      <c r="G58" s="3"/>
      <c r="H58" s="3"/>
    </row>
    <row r="59" spans="1:11" x14ac:dyDescent="0.3">
      <c r="A59" s="3" t="s">
        <v>10</v>
      </c>
      <c r="B59" s="3"/>
      <c r="C59" s="3"/>
      <c r="D59" s="3"/>
      <c r="E59" s="3"/>
      <c r="F59" s="3"/>
      <c r="G59" s="3"/>
      <c r="H59" s="3"/>
    </row>
    <row r="60" spans="1:11" x14ac:dyDescent="0.3">
      <c r="K60" s="16">
        <f>(476-536)/536</f>
        <v>-0.11194029850746269</v>
      </c>
    </row>
    <row r="61" spans="1:11" ht="14.5" thickBot="1" x14ac:dyDescent="0.35"/>
    <row r="62" spans="1:11" x14ac:dyDescent="0.3">
      <c r="A62" s="18" t="s">
        <v>12</v>
      </c>
      <c r="B62" s="19"/>
      <c r="C62" s="19"/>
      <c r="D62" s="19"/>
      <c r="E62" s="19"/>
      <c r="F62" s="20"/>
      <c r="G62" s="7"/>
      <c r="H62" s="7"/>
      <c r="I62" s="7"/>
      <c r="J62" s="7"/>
      <c r="K62" s="7"/>
    </row>
    <row r="63" spans="1:11" x14ac:dyDescent="0.3">
      <c r="A63" s="21" t="s">
        <v>11</v>
      </c>
      <c r="B63" s="22"/>
      <c r="C63" s="22"/>
      <c r="D63" s="22"/>
      <c r="E63" s="22"/>
      <c r="F63" s="23"/>
      <c r="G63" s="7"/>
      <c r="H63" s="7"/>
      <c r="I63" s="7"/>
      <c r="J63" s="7"/>
      <c r="K63" s="7"/>
    </row>
    <row r="64" spans="1:11" x14ac:dyDescent="0.3">
      <c r="A64" s="21" t="s">
        <v>50</v>
      </c>
      <c r="B64" s="22"/>
      <c r="C64" s="22"/>
      <c r="D64" s="22"/>
      <c r="E64" s="22"/>
      <c r="F64" s="23"/>
      <c r="G64" s="7"/>
      <c r="H64" s="7"/>
      <c r="I64" s="7"/>
      <c r="J64" s="7"/>
      <c r="K64" s="7"/>
    </row>
    <row r="65" spans="1:18" x14ac:dyDescent="0.3">
      <c r="A65" s="24" t="s">
        <v>21</v>
      </c>
      <c r="B65" s="22"/>
      <c r="C65" s="22"/>
      <c r="D65" s="22"/>
      <c r="E65" s="22"/>
      <c r="F65" s="23"/>
    </row>
    <row r="66" spans="1:18" ht="14.5" thickBot="1" x14ac:dyDescent="0.35">
      <c r="A66" s="25" t="s">
        <v>29</v>
      </c>
      <c r="B66" s="26"/>
      <c r="C66" s="26"/>
      <c r="D66" s="26"/>
      <c r="E66" s="26"/>
      <c r="F66" s="27"/>
    </row>
    <row r="67" spans="1:18" ht="14.5" thickBot="1" x14ac:dyDescent="0.35">
      <c r="A67" s="25"/>
      <c r="B67" s="26"/>
      <c r="C67" s="22"/>
      <c r="D67" s="22"/>
      <c r="E67" s="22"/>
      <c r="F67" s="22"/>
    </row>
    <row r="68" spans="1:18" ht="53.5" customHeight="1" thickBot="1" x14ac:dyDescent="0.35">
      <c r="A68" s="28" t="s">
        <v>22</v>
      </c>
      <c r="B68" s="29"/>
    </row>
    <row r="69" spans="1:18" x14ac:dyDescent="0.3">
      <c r="G69" s="7"/>
      <c r="H69" s="7"/>
      <c r="I69" s="7"/>
      <c r="J69" s="7" t="s">
        <v>15</v>
      </c>
      <c r="K69" s="7"/>
    </row>
    <row r="70" spans="1:18" ht="27.5" customHeight="1" thickBot="1" x14ac:dyDescent="0.35">
      <c r="G70" s="8" t="s">
        <v>19</v>
      </c>
      <c r="H70" s="8" t="s">
        <v>14</v>
      </c>
      <c r="I70" s="8" t="s">
        <v>18</v>
      </c>
      <c r="J70" s="9" t="s">
        <v>24</v>
      </c>
      <c r="K70" s="9" t="s">
        <v>16</v>
      </c>
      <c r="N70" s="11" t="s">
        <v>43</v>
      </c>
      <c r="O70" s="11" t="s">
        <v>44</v>
      </c>
      <c r="P70" s="11"/>
      <c r="R70" s="11"/>
    </row>
    <row r="71" spans="1:18" ht="46" customHeight="1" thickTop="1" thickBot="1" x14ac:dyDescent="0.35">
      <c r="G71" s="6" t="s">
        <v>20</v>
      </c>
      <c r="H71" s="5" t="s">
        <v>13</v>
      </c>
      <c r="I71" s="5" t="s">
        <v>17</v>
      </c>
      <c r="J71" s="11" t="s">
        <v>51</v>
      </c>
      <c r="K71" s="11" t="s">
        <v>52</v>
      </c>
      <c r="N71" s="8" t="s">
        <v>26</v>
      </c>
      <c r="O71" s="8" t="s">
        <v>45</v>
      </c>
    </row>
    <row r="72" spans="1:18" ht="14.5" thickTop="1" x14ac:dyDescent="0.3">
      <c r="F72" s="10"/>
      <c r="I72" s="17">
        <v>45748</v>
      </c>
      <c r="N72" s="4" t="s">
        <v>25</v>
      </c>
      <c r="O72" s="4" t="s">
        <v>47</v>
      </c>
    </row>
    <row r="73" spans="1:18" ht="14.5" thickBot="1" x14ac:dyDescent="0.35">
      <c r="G73" s="8" t="s">
        <v>26</v>
      </c>
      <c r="H73" s="8" t="s">
        <v>27</v>
      </c>
    </row>
    <row r="74" spans="1:18" ht="40" thickTop="1" thickBot="1" x14ac:dyDescent="0.35">
      <c r="G74" s="12" t="s">
        <v>25</v>
      </c>
      <c r="H74" s="5" t="s">
        <v>28</v>
      </c>
      <c r="J74" t="s">
        <v>46</v>
      </c>
      <c r="N74" s="8" t="s">
        <v>27</v>
      </c>
      <c r="O74" s="8" t="s">
        <v>48</v>
      </c>
    </row>
    <row r="75" spans="1:18" ht="14.5" thickTop="1" x14ac:dyDescent="0.3">
      <c r="N75" s="15" t="s">
        <v>28</v>
      </c>
      <c r="O75" s="15" t="s">
        <v>49</v>
      </c>
    </row>
    <row r="82" spans="7:19" x14ac:dyDescent="0.3">
      <c r="G82" t="s">
        <v>30</v>
      </c>
    </row>
    <row r="83" spans="7:19" ht="14.5" thickBot="1" x14ac:dyDescent="0.35">
      <c r="G83" s="8" t="s">
        <v>31</v>
      </c>
      <c r="H83" t="s">
        <v>33</v>
      </c>
      <c r="I83" t="s">
        <v>9</v>
      </c>
      <c r="J83" t="s">
        <v>10</v>
      </c>
      <c r="K83" t="s">
        <v>34</v>
      </c>
      <c r="L83" t="s">
        <v>35</v>
      </c>
      <c r="M83" t="s">
        <v>36</v>
      </c>
      <c r="N83" t="s">
        <v>37</v>
      </c>
      <c r="O83" t="s">
        <v>38</v>
      </c>
      <c r="P83" t="s">
        <v>39</v>
      </c>
      <c r="Q83" t="s">
        <v>40</v>
      </c>
      <c r="R83" t="s">
        <v>41</v>
      </c>
      <c r="S83" t="s">
        <v>42</v>
      </c>
    </row>
    <row r="84" spans="7:19" ht="14.5" thickTop="1" x14ac:dyDescent="0.3">
      <c r="G84" s="13" t="s">
        <v>32</v>
      </c>
      <c r="H84" s="14">
        <v>45682</v>
      </c>
      <c r="I84" s="14">
        <v>45713</v>
      </c>
      <c r="J84" s="14">
        <v>45741</v>
      </c>
      <c r="K84" s="14">
        <v>45772</v>
      </c>
      <c r="L84" s="14">
        <v>45802</v>
      </c>
      <c r="M84" s="14">
        <v>45833</v>
      </c>
      <c r="N84" s="14">
        <v>45863</v>
      </c>
      <c r="O84" s="14">
        <v>45894</v>
      </c>
      <c r="P84" s="14">
        <v>45925</v>
      </c>
      <c r="Q84" s="14">
        <v>45955</v>
      </c>
      <c r="R84" s="14">
        <v>45986</v>
      </c>
      <c r="S84" s="14">
        <v>46016</v>
      </c>
    </row>
  </sheetData>
  <mergeCells count="1">
    <mergeCell ref="A68:B68"/>
  </mergeCells>
  <phoneticPr fontId="11" type="noConversion"/>
  <pageMargins left="0.7" right="0.7" top="0.75" bottom="0.75" header="0.3" footer="0.3"/>
  <pageSetup paperSize="9" orientation="portrait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Daisy Cai</dc:creator>
  <cp:lastModifiedBy>Zhu Yue</cp:lastModifiedBy>
  <dcterms:created xsi:type="dcterms:W3CDTF">2025-04-12T00:51:44Z</dcterms:created>
  <dcterms:modified xsi:type="dcterms:W3CDTF">2025-04-13T12:58:14Z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9fea72e-161c-48c8-8e82-3fc1e9b3162c_Enabled">
    <vt:lpwstr>true</vt:lpwstr>
  </property>
  <property fmtid="{D5CDD505-2E9C-101B-9397-08002B2CF9AE}" pid="3" name="MSIP_Label_e9fea72e-161c-48c8-8e82-3fc1e9b3162c_SetDate">
    <vt:lpwstr>2025-04-12T03:36:20Z</vt:lpwstr>
  </property>
  <property fmtid="{D5CDD505-2E9C-101B-9397-08002B2CF9AE}" pid="4" name="MSIP_Label_e9fea72e-161c-48c8-8e82-3fc1e9b3162c_Method">
    <vt:lpwstr>Standard</vt:lpwstr>
  </property>
  <property fmtid="{D5CDD505-2E9C-101B-9397-08002B2CF9AE}" pid="5" name="MSIP_Label_e9fea72e-161c-48c8-8e82-3fc1e9b3162c_Name">
    <vt:lpwstr>Normal sensitivity label</vt:lpwstr>
  </property>
  <property fmtid="{D5CDD505-2E9C-101B-9397-08002B2CF9AE}" pid="6" name="MSIP_Label_e9fea72e-161c-48c8-8e82-3fc1e9b3162c_SiteId">
    <vt:lpwstr>ff9c7474-421d-4957-8d47-c4b64dec87b5</vt:lpwstr>
  </property>
  <property fmtid="{D5CDD505-2E9C-101B-9397-08002B2CF9AE}" pid="7" name="MSIP_Label_e9fea72e-161c-48c8-8e82-3fc1e9b3162c_ActionId">
    <vt:lpwstr>4c09e7d0-28ae-4af7-8643-91d54ec8ea52</vt:lpwstr>
  </property>
  <property fmtid="{D5CDD505-2E9C-101B-9397-08002B2CF9AE}" pid="8" name="MSIP_Label_e9fea72e-161c-48c8-8e82-3fc1e9b3162c_ContentBits">
    <vt:lpwstr>0</vt:lpwstr>
  </property>
</Properties>
</file>