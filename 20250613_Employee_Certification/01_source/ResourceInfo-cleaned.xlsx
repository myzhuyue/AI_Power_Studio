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Git\AI_Power_Studio\20250613_Employee_Certification\01_source\"/>
    </mc:Choice>
  </mc:AlternateContent>
  <xr:revisionPtr revIDLastSave="0" documentId="13_ncr:1_{5A9E7F3E-1EAE-4041-B24D-D4000BF04B22}" xr6:coauthVersionLast="47" xr6:coauthVersionMax="47" xr10:uidLastSave="{00000000-0000-0000-0000-000000000000}"/>
  <bookViews>
    <workbookView xWindow="4290" yWindow="3430" windowWidth="28800" windowHeight="18370" xr2:uid="{9F013D59-A43B-4B83-826F-0804FA4002DA}"/>
  </bookViews>
  <sheets>
    <sheet name="Chart" sheetId="1" r:id="rId1"/>
    <sheet name="Pivot" sheetId="7" r:id="rId2"/>
    <sheet name="Version" sheetId="6" r:id="rId3"/>
    <sheet name="CL" sheetId="4" r:id="rId4"/>
    <sheet name="CertTracker" sheetId="3" r:id="rId5"/>
    <sheet name="CertDifficulty" sheetId="2" r:id="rId6"/>
    <sheet name="ResourceInfo-Test" sheetId="5" r:id="rId7"/>
  </sheets>
  <definedNames>
    <definedName name="ExternalData_1" localSheetId="5" hidden="1">'CertDifficulty'!$A$1:$D$16</definedName>
    <definedName name="ExternalData_2" localSheetId="4" hidden="1">'CertTracker'!$A$1:$G$71</definedName>
    <definedName name="ExternalData_3" localSheetId="3" hidden="1">'CL'!$A$1:$B$136</definedName>
    <definedName name="ExternalData_4" localSheetId="6" hidden="1">'ResourceInfo-Test'!$A$1:$R$136</definedName>
    <definedName name="ExternalData_5" localSheetId="2" hidden="1">Version!$A$1:$E$33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1" l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7" i="1"/>
  <c r="I7" i="1"/>
  <c r="J8" i="1"/>
  <c r="J9" i="1"/>
  <c r="J10" i="1"/>
  <c r="J7" i="1"/>
  <c r="I8" i="1"/>
  <c r="I9" i="1"/>
  <c r="I10" i="1"/>
  <c r="F8" i="1"/>
  <c r="F9" i="1"/>
  <c r="F10" i="1"/>
  <c r="F11" i="1"/>
  <c r="F12" i="1"/>
  <c r="F7" i="1"/>
  <c r="B8" i="1"/>
  <c r="B9" i="1"/>
  <c r="B10" i="1"/>
  <c r="B7" i="1"/>
  <c r="J11" i="1" l="1"/>
  <c r="N22" i="1"/>
  <c r="F13" i="1"/>
  <c r="I11" i="1"/>
  <c r="B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8DA304-64AC-4F2D-BE80-DAA71F1E479E}" keepAlive="1" name="Query - CertDifficulty" description="Connection to the 'CertDifficulty' query in the workbook." type="5" refreshedVersion="8" background="1" saveData="1">
    <dbPr connection="Provider=Microsoft.Mashup.OleDb.1;Data Source=$Workbook$;Location=CertDifficulty;Extended Properties=&quot;&quot;" command="SELECT * FROM [CertDifficulty]"/>
  </connection>
  <connection id="2" xr16:uid="{870558C0-7DF2-4428-A033-870BCF22B7A0}" keepAlive="1" name="Query - CertTracker" description="Connection to the 'CertTracker' query in the workbook." type="5" refreshedVersion="8" background="1" saveData="1">
    <dbPr connection="Provider=Microsoft.Mashup.OleDb.1;Data Source=$Workbook$;Location=CertTracker;Extended Properties=&quot;&quot;" command="SELECT * FROM [CertTracker]"/>
  </connection>
  <connection id="3" xr16:uid="{3F310532-A4FB-488B-B298-8591D29C4421}" keepAlive="1" name="Query - CL" description="Connection to the 'CL' query in the workbook." type="5" refreshedVersion="8" background="1" saveData="1">
    <dbPr connection="Provider=Microsoft.Mashup.OleDb.1;Data Source=$Workbook$;Location=CL;Extended Properties=&quot;&quot;" command="SELECT * FROM [CL]"/>
  </connection>
  <connection id="4" xr16:uid="{6C3C4993-7109-4D0E-B75E-70D966EA2C62}" keepAlive="1" name="Query - ResourceInfo-Consolidated" description="Connection to the 'ResourceInfo-Consolidated' query in the workbook." type="5" refreshedVersion="8" background="1" saveData="1">
    <dbPr connection="Provider=Microsoft.Mashup.OleDb.1;Data Source=$Workbook$;Location=ResourceInfo-Consolidated;Extended Properties=&quot;&quot;" command="SELECT * FROM [ResourceInfo-Consolidated]"/>
  </connection>
  <connection id="5" xr16:uid="{434B10C1-1C27-49EE-9812-E188D15FD17F}" keepAlive="1" name="Query - Version" description="Connection to the 'Version' query in the workbook." type="5" refreshedVersion="8" background="1" saveData="1">
    <dbPr connection="Provider=Microsoft.Mashup.OleDb.1;Data Source=$Workbook$;Location=Version;Extended Properties=&quot;&quot;" command="SELECT * FROM [Version]"/>
  </connection>
</connections>
</file>

<file path=xl/sharedStrings.xml><?xml version="1.0" encoding="utf-8"?>
<sst xmlns="http://schemas.openxmlformats.org/spreadsheetml/2006/main" count="2248" uniqueCount="279">
  <si>
    <t>Technology</t>
  </si>
  <si>
    <t>Difficulty</t>
  </si>
  <si>
    <t>Points</t>
  </si>
  <si>
    <t>AA</t>
  </si>
  <si>
    <t>Advanced</t>
  </si>
  <si>
    <t>Medium</t>
  </si>
  <si>
    <t>Master</t>
  </si>
  <si>
    <t>BP</t>
  </si>
  <si>
    <t>UiPath</t>
  </si>
  <si>
    <t>Azure</t>
  </si>
  <si>
    <t>Certification Name</t>
  </si>
  <si>
    <t>Version</t>
  </si>
  <si>
    <t>Certified Date</t>
  </si>
  <si>
    <t>EID</t>
  </si>
  <si>
    <t>CertUpload</t>
  </si>
  <si>
    <t>CertValidation</t>
  </si>
  <si>
    <t>A360 Advanced</t>
  </si>
  <si>
    <t>X1</t>
  </si>
  <si>
    <t>Yes</t>
  </si>
  <si>
    <t>Valid</t>
  </si>
  <si>
    <t>A360 Master</t>
  </si>
  <si>
    <t>X10</t>
  </si>
  <si>
    <t>ASD01</t>
  </si>
  <si>
    <t>X4</t>
  </si>
  <si>
    <t>X13</t>
  </si>
  <si>
    <t>X15</t>
  </si>
  <si>
    <t>X27</t>
  </si>
  <si>
    <t>Invalid</t>
  </si>
  <si>
    <t>X31</t>
  </si>
  <si>
    <t>ASDEV01</t>
  </si>
  <si>
    <t>X8</t>
  </si>
  <si>
    <t>X34</t>
  </si>
  <si>
    <t>X36</t>
  </si>
  <si>
    <t>X44</t>
  </si>
  <si>
    <t>X46</t>
  </si>
  <si>
    <t>PowerApp</t>
  </si>
  <si>
    <t>PL-100</t>
  </si>
  <si>
    <t>X6</t>
  </si>
  <si>
    <t>X110</t>
  </si>
  <si>
    <t>X111</t>
  </si>
  <si>
    <t>X112</t>
  </si>
  <si>
    <t>X113</t>
  </si>
  <si>
    <t>X114</t>
  </si>
  <si>
    <t>PL-400</t>
  </si>
  <si>
    <t>X115</t>
  </si>
  <si>
    <t>X23</t>
  </si>
  <si>
    <t>X24</t>
  </si>
  <si>
    <t>X25</t>
  </si>
  <si>
    <t>X29</t>
  </si>
  <si>
    <t>X38</t>
  </si>
  <si>
    <t>X39</t>
  </si>
  <si>
    <t>X40</t>
  </si>
  <si>
    <t>X41</t>
  </si>
  <si>
    <t>X42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</si>
  <si>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</si>
  <si>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</si>
  <si>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</si>
  <si>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</si>
  <si>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</si>
  <si>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</si>
  <si>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</si>
  <si>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</si>
  <si>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</si>
  <si>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</si>
  <si>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</si>
  <si>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</si>
  <si>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PowerBI</t>
  </si>
  <si>
    <t>PL-300</t>
  </si>
  <si>
    <t>X3</t>
  </si>
  <si>
    <t>Pl-300</t>
  </si>
  <si>
    <t>X7</t>
  </si>
  <si>
    <t>X12</t>
  </si>
  <si>
    <t>X26</t>
  </si>
  <si>
    <t>PL-600</t>
  </si>
  <si>
    <t>X30</t>
  </si>
  <si>
    <t>PL-700</t>
  </si>
  <si>
    <t>X33</t>
  </si>
  <si>
    <t>PL-800</t>
  </si>
  <si>
    <t>X43</t>
  </si>
  <si>
    <t>PowerAuto</t>
  </si>
  <si>
    <t>PL-900</t>
  </si>
  <si>
    <t>X5</t>
  </si>
  <si>
    <t>X9</t>
  </si>
  <si>
    <t>X14</t>
  </si>
  <si>
    <t>X16</t>
  </si>
  <si>
    <t>X28</t>
  </si>
  <si>
    <t>X35</t>
  </si>
  <si>
    <t>PL-500</t>
  </si>
  <si>
    <t>X37</t>
  </si>
  <si>
    <t>X45</t>
  </si>
  <si>
    <t>X47</t>
  </si>
  <si>
    <t>Uipath</t>
  </si>
  <si>
    <t>UiARD</t>
  </si>
  <si>
    <t>X11</t>
  </si>
  <si>
    <t>UiRPA</t>
  </si>
  <si>
    <t>X2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</si>
  <si>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</si>
  <si>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</si>
  <si>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</si>
  <si>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</si>
  <si>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</si>
  <si>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</si>
  <si>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</si>
  <si>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</si>
  <si>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</si>
  <si>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</si>
  <si>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</si>
  <si>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</si>
  <si>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</si>
  <si>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</si>
  <si>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</si>
  <si>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</si>
  <si>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</si>
  <si>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Career Level</t>
  </si>
  <si>
    <t>X17</t>
  </si>
  <si>
    <t>X18</t>
  </si>
  <si>
    <t>X19</t>
  </si>
  <si>
    <t>X20</t>
  </si>
  <si>
    <t>X21</t>
  </si>
  <si>
    <t>X22</t>
  </si>
  <si>
    <t>X32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</si>
  <si>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</si>
  <si>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</si>
  <si>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</si>
  <si>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</si>
  <si>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</si>
  <si>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</si>
  <si>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</si>
  <si>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</si>
  <si>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</si>
  <si>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</si>
  <si>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</si>
  <si>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</si>
  <si>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</si>
  <si>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</si>
  <si>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</si>
  <si>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</si>
  <si>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</si>
  <si>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</si>
  <si>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</si>
  <si>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</si>
  <si>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</si>
  <si>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</si>
  <si>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</si>
  <si>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</si>
  <si>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</si>
  <si>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</si>
  <si>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</si>
  <si>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</si>
  <si>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</si>
  <si>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</si>
  <si>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</si>
  <si>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</si>
  <si>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</si>
  <si>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</si>
  <si>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</si>
  <si>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</si>
  <si>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</si>
  <si>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</si>
  <si>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</si>
  <si>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</si>
  <si>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</si>
  <si>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</si>
  <si>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</si>
  <si>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</si>
  <si>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</si>
  <si>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</si>
  <si>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</si>
  <si>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</si>
  <si>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</si>
  <si>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</si>
  <si>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X116</t>
  </si>
  <si>
    <t>X117</t>
  </si>
  <si>
    <t>X118</t>
  </si>
  <si>
    <t>Group</t>
  </si>
  <si>
    <t>SubTeam</t>
  </si>
  <si>
    <t>Group&amp;SubTeam</t>
  </si>
  <si>
    <t>Employment Type</t>
  </si>
  <si>
    <t>Utilization Status</t>
  </si>
  <si>
    <t>Leave Start</t>
  </si>
  <si>
    <t>Leave End</t>
  </si>
  <si>
    <t>Join Date</t>
  </si>
  <si>
    <t>Is Active</t>
  </si>
  <si>
    <t>Roll Off Date</t>
  </si>
  <si>
    <t>Roll Off Reason</t>
  </si>
  <si>
    <t>Finance</t>
  </si>
  <si>
    <t>Finance1</t>
  </si>
  <si>
    <t>FinanceFinance1</t>
  </si>
  <si>
    <t>Regular</t>
  </si>
  <si>
    <t>In Project (Digi)</t>
  </si>
  <si>
    <t>No</t>
  </si>
  <si>
    <t>Transfer</t>
  </si>
  <si>
    <t>Finance2</t>
  </si>
  <si>
    <t>FinanceFinance2</t>
  </si>
  <si>
    <t>On Maternity Leave</t>
  </si>
  <si>
    <t>Resign</t>
  </si>
  <si>
    <t>HR</t>
  </si>
  <si>
    <t>Contractor</t>
  </si>
  <si>
    <t>Tech</t>
  </si>
  <si>
    <t>AI</t>
  </si>
  <si>
    <t>TechAI</t>
  </si>
  <si>
    <t>Non-AI</t>
  </si>
  <si>
    <t>TechNon-AI</t>
  </si>
  <si>
    <t>Deployed to Account/Client site</t>
  </si>
  <si>
    <t>Sales</t>
  </si>
  <si>
    <t>TECHNOLOGY</t>
  </si>
  <si>
    <t>Cetification Version</t>
  </si>
  <si>
    <t>AD01</t>
  </si>
  <si>
    <t>APD01</t>
  </si>
  <si>
    <t>PowerPlatform</t>
  </si>
  <si>
    <t>PL-200</t>
  </si>
  <si>
    <t>PMP</t>
  </si>
  <si>
    <t>AZ-104</t>
  </si>
  <si>
    <t>AZ-204</t>
  </si>
  <si>
    <t>AZ-303</t>
  </si>
  <si>
    <t>AZ-304</t>
  </si>
  <si>
    <t>AZ-305</t>
  </si>
  <si>
    <t>AZ-400</t>
  </si>
  <si>
    <t>AZ-500</t>
  </si>
  <si>
    <t>AZ-600</t>
  </si>
  <si>
    <t>AZ-700</t>
  </si>
  <si>
    <t>AZ-900</t>
  </si>
  <si>
    <t>AI-102</t>
  </si>
  <si>
    <t>AI-109</t>
  </si>
  <si>
    <t>DP-100</t>
  </si>
  <si>
    <t>DP-203</t>
  </si>
  <si>
    <t>DP-900</t>
  </si>
  <si>
    <t>DA-100</t>
  </si>
  <si>
    <t>A360 Advanced=A360A;A360 Master=A360M;PL-200=PL200</t>
  </si>
  <si>
    <t>Condition</t>
  </si>
  <si>
    <t>1.Range:Certified in 2022</t>
  </si>
  <si>
    <t>1.Range:Roll in 2023</t>
  </si>
  <si>
    <t>1.Range: Roll Off in 2022,2023</t>
  </si>
  <si>
    <t>1.Range: Certified in 2022,2023</t>
  </si>
  <si>
    <t>2.Active members</t>
  </si>
  <si>
    <t>2.Roll off reason</t>
  </si>
  <si>
    <t>Total Points</t>
  </si>
  <si>
    <t>Resource Number</t>
  </si>
  <si>
    <t>CertVersion</t>
  </si>
  <si>
    <t>Valid Certification Number</t>
  </si>
  <si>
    <t>Pl-200</t>
  </si>
  <si>
    <t>Pl-400</t>
  </si>
  <si>
    <t>Total</t>
  </si>
  <si>
    <t>Totoal</t>
  </si>
  <si>
    <t>Merged</t>
  </si>
  <si>
    <t>AAAdvanced</t>
  </si>
  <si>
    <t>AAMedium</t>
  </si>
  <si>
    <t>AAMaster</t>
  </si>
  <si>
    <t>BPAdvanced</t>
  </si>
  <si>
    <t>BPMedium</t>
  </si>
  <si>
    <t>BPMaster</t>
  </si>
  <si>
    <t>UiPathAdvanced</t>
  </si>
  <si>
    <t>UiPathMedium</t>
  </si>
  <si>
    <t>UiPathMaster</t>
  </si>
  <si>
    <t>AzureAdvanced</t>
  </si>
  <si>
    <t>AzureMedium</t>
  </si>
  <si>
    <t>AzureMaster</t>
  </si>
  <si>
    <t>Merge</t>
  </si>
  <si>
    <t>PowerPlatformMedium</t>
  </si>
  <si>
    <t>PMPMaster</t>
  </si>
  <si>
    <t>Sum of Points</t>
  </si>
  <si>
    <t>Count of EID</t>
  </si>
  <si>
    <t>PowerPlatformAdvanced</t>
  </si>
  <si>
    <t>PowerPlatformMaster</t>
  </si>
  <si>
    <t>8</t>
  </si>
  <si>
    <t>10</t>
  </si>
  <si>
    <t>13</t>
  </si>
  <si>
    <t>12</t>
  </si>
  <si>
    <t>11</t>
  </si>
  <si>
    <t>7</t>
  </si>
  <si>
    <t>6</t>
  </si>
  <si>
    <t>9</t>
  </si>
  <si>
    <t>5</t>
  </si>
  <si>
    <t>4</t>
  </si>
  <si>
    <t>UiADA</t>
  </si>
  <si>
    <t>列标签</t>
  </si>
  <si>
    <t>行标签</t>
  </si>
  <si>
    <t>总计</t>
  </si>
  <si>
    <t>(多项)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</si>
</sst>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0" xfId="0" pivotButton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常规" xfId="0" builtinId="0"/>
  </cellStyles>
  <dxfs count="29"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rek Zhu" refreshedDate="45825.303430208332" createdVersion="8" refreshedVersion="8" minRefreshableVersion="3" recordCount="136" xr:uid="{8C6662AA-878D-474D-9971-4B570CBD56AF}">
  <cacheSource type="worksheet">
    <worksheetSource ref="A1:R1048576" sheet="ResourceInfo-Test"/>
  </cacheSource>
  <cacheFields count="21">
    <cacheField name="Group" numFmtId="0">
      <sharedItems containsBlank="1" count="5">
        <s v="Finance"/>
        <s v="Tech"/>
        <s v="Sales"/>
        <s v="HR"/>
        <m/>
      </sharedItems>
    </cacheField>
    <cacheField name="SubTeam" numFmtId="0">
      <sharedItems containsBlank="1"/>
    </cacheField>
    <cacheField name="Group&amp;SubTeam" numFmtId="0">
      <sharedItems containsBlank="1" count="7">
        <s v="FinanceFinance1"/>
        <s v="TechAI"/>
        <s v="FinanceFinance2"/>
        <s v="TechNon-AI"/>
        <s v="Sales"/>
        <s v="HR"/>
        <m/>
      </sharedItems>
    </cacheField>
    <cacheField name="EID" numFmtId="0">
      <sharedItems containsBlank="1"/>
    </cacheField>
    <cacheField name="Employment Type" numFmtId="0">
      <sharedItems containsBlank="1"/>
    </cacheField>
    <cacheField name="Utilization Status" numFmtId="0">
      <sharedItems containsBlank="1"/>
    </cacheField>
    <cacheField name="Leave Start" numFmtId="0">
      <sharedItems containsString="0" containsBlank="1" containsNumber="1" containsInteger="1" minValue="44811" maxValue="44811"/>
    </cacheField>
    <cacheField name="Leave End" numFmtId="0">
      <sharedItems containsString="0" containsBlank="1" containsNumber="1" containsInteger="1" minValue="44837" maxValue="44837"/>
    </cacheField>
    <cacheField name="Join Date" numFmtId="0">
      <sharedItems containsNonDate="0" containsDate="1" containsString="0" containsBlank="1" minDate="2015-01-01T00:00:00" maxDate="2023-01-13T00:00:00" count="10">
        <d v="2019-07-12T00:00:00"/>
        <d v="2015-11-23T00:00:00"/>
        <d v="2022-05-24T00:00:00"/>
        <d v="2023-01-12T00:00:00"/>
        <d v="2015-01-01T00:00:00"/>
        <d v="2021-04-22T00:00:00"/>
        <d v="2021-07-01T00:00:00"/>
        <d v="2021-09-15T00:00:00"/>
        <d v="2020-09-01T00:00:00"/>
        <m/>
      </sharedItems>
      <fieldGroup par="20"/>
    </cacheField>
    <cacheField name="Is Active" numFmtId="0">
      <sharedItems containsBlank="1" count="3">
        <s v="Yes"/>
        <s v="No"/>
        <m/>
      </sharedItems>
    </cacheField>
    <cacheField name="Roll Off Date" numFmtId="0">
      <sharedItems containsNonDate="0" containsDate="1" containsString="0" containsBlank="1" minDate="2017-12-31T00:00:00" maxDate="2023-03-02T00:00:00" count="22">
        <m/>
        <d v="2023-03-01T00:00:00"/>
        <d v="2022-06-09T00:00:00"/>
        <d v="2022-11-01T00:00:00"/>
        <d v="2021-07-06T00:00:00"/>
        <d v="2022-09-29T00:00:00"/>
        <d v="2022-04-14T00:00:00"/>
        <d v="2020-06-11T00:00:00"/>
        <d v="2022-11-28T00:00:00"/>
        <d v="2021-10-08T00:00:00"/>
        <d v="2019-07-12T00:00:00"/>
        <d v="2021-03-12T00:00:00"/>
        <d v="2017-12-31T00:00:00"/>
        <d v="2023-01-01T00:00:00"/>
        <d v="2022-05-24T00:00:00"/>
        <d v="2023-02-01T00:00:00"/>
        <d v="2019-01-01T00:00:00"/>
        <d v="2020-03-26T00:00:00"/>
        <d v="2021-04-30T00:00:00"/>
        <d v="2021-06-09T00:00:00" u="1"/>
        <d v="2019-08-30T00:00:00" u="1"/>
        <d v="2020-09-04T00:00:00" u="1"/>
      </sharedItems>
    </cacheField>
    <cacheField name="Roll Off Reason" numFmtId="0">
      <sharedItems containsBlank="1" count="3">
        <m/>
        <s v="Resign"/>
        <s v="Transfer"/>
      </sharedItems>
    </cacheField>
    <cacheField name="Career Level" numFmtId="0">
      <sharedItems containsBlank="1"/>
    </cacheField>
    <cacheField name="Certification Name" numFmtId="0">
      <sharedItems containsBlank="1"/>
    </cacheField>
    <cacheField name="Version" numFmtId="0">
      <sharedItems containsBlank="1" count="17">
        <s v="A360 Advanced"/>
        <s v="PL-200"/>
        <s v="A360 Master"/>
        <s v="UiRPA"/>
        <s v="ASD01"/>
        <s v="PL-100"/>
        <s v="PL-300"/>
        <s v="PL-400"/>
        <s v="ASDEV01"/>
        <s v="PL-900"/>
        <m/>
        <s v="PL-600"/>
        <s v="UiARD"/>
        <s v="PL-700"/>
        <s v="PL-500"/>
        <s v="PL-800"/>
        <s v="PL200" u="1"/>
      </sharedItems>
    </cacheField>
    <cacheField name="Certified Date" numFmtId="0">
      <sharedItems containsNonDate="0" containsDate="1" containsString="0" containsBlank="1" minDate="2021-11-30T00:00:00" maxDate="2023-02-02T00:00:00" count="13">
        <d v="2022-04-21T00:00:00"/>
        <d v="2023-01-23T00:00:00"/>
        <d v="2022-12-02T00:00:00"/>
        <d v="2022-04-30T00:00:00"/>
        <d v="2022-02-17T00:00:00"/>
        <d v="2022-05-27T00:00:00"/>
        <d v="2023-02-01T00:00:00"/>
        <d v="2021-11-30T00:00:00"/>
        <d v="2021-12-29T00:00:00"/>
        <d v="2022-05-30T00:00:00"/>
        <m/>
        <d v="2022-01-01T00:00:00"/>
        <d v="2022-02-03T00:00:00"/>
      </sharedItems>
    </cacheField>
    <cacheField name="CertValidation" numFmtId="0">
      <sharedItems containsBlank="1" count="3">
        <s v="Valid"/>
        <s v="Invalid"/>
        <m/>
      </sharedItems>
    </cacheField>
    <cacheField name="Points" numFmtId="0">
      <sharedItems containsString="0" containsBlank="1" containsNumber="1" containsInteger="1" minValue="500" maxValue="30000"/>
    </cacheField>
    <cacheField name="Months (Join Date)" numFmtId="0" databaseField="0">
      <fieldGroup base="8">
        <rangePr groupBy="months" startDate="2015-01-01T00:00:00" endDate="2023-01-13T00:00:00"/>
        <groupItems count="14">
          <s v="&lt;2015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3/1/13"/>
        </groupItems>
      </fieldGroup>
    </cacheField>
    <cacheField name="Quarters (Join Date)" numFmtId="0" databaseField="0">
      <fieldGroup base="8">
        <rangePr groupBy="quarters" startDate="2015-01-01T00:00:00" endDate="2023-01-13T00:00:00"/>
        <groupItems count="6">
          <s v="&lt;2015/1/1"/>
          <s v="第一季"/>
          <s v="第二季"/>
          <s v="第三季"/>
          <s v="第四季"/>
          <s v="&gt;2023/1/13"/>
        </groupItems>
      </fieldGroup>
    </cacheField>
    <cacheField name="Years (Join Date)" numFmtId="0" databaseField="0">
      <fieldGroup base="8">
        <rangePr groupBy="years" startDate="2015-01-01T00:00:00" endDate="2023-01-13T00:00:00"/>
        <groupItems count="11">
          <s v="&lt;2015/1/1"/>
          <s v="2015年"/>
          <s v="2016年"/>
          <s v="2017年"/>
          <s v="2018年"/>
          <s v="2019年"/>
          <s v="2020年"/>
          <s v="2021年"/>
          <s v="2022年"/>
          <s v="2023年"/>
          <s v="&gt;2023/1/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x v="0"/>
    <s v="Finance1"/>
    <x v="0"/>
    <s v="X1"/>
    <s v="Regular"/>
    <s v="In Project (Digi)"/>
    <m/>
    <m/>
    <x v="0"/>
    <x v="0"/>
    <x v="0"/>
    <x v="0"/>
    <s v="8"/>
    <s v="AA"/>
    <x v="0"/>
    <x v="0"/>
    <x v="0"/>
    <n v="500"/>
  </r>
  <r>
    <x v="1"/>
    <s v="AI"/>
    <x v="1"/>
    <s v="X25"/>
    <s v="Regular"/>
    <s v="In Project (Digi)"/>
    <m/>
    <m/>
    <x v="1"/>
    <x v="1"/>
    <x v="1"/>
    <x v="1"/>
    <s v="5"/>
    <s v="PowerApp"/>
    <x v="1"/>
    <x v="1"/>
    <x v="1"/>
    <m/>
  </r>
  <r>
    <x v="0"/>
    <s v="Finance2"/>
    <x v="2"/>
    <s v="X10"/>
    <s v="Regular"/>
    <s v="In Project (Digi)"/>
    <m/>
    <m/>
    <x v="2"/>
    <x v="0"/>
    <x v="0"/>
    <x v="0"/>
    <s v="10"/>
    <s v="AA"/>
    <x v="2"/>
    <x v="2"/>
    <x v="0"/>
    <n v="10000"/>
  </r>
  <r>
    <x v="0"/>
    <s v="Finance1"/>
    <x v="0"/>
    <s v="X2"/>
    <s v="Regular"/>
    <s v="In Project (Digi)"/>
    <m/>
    <m/>
    <x v="0"/>
    <x v="0"/>
    <x v="0"/>
    <x v="0"/>
    <s v="9"/>
    <s v="Uipath"/>
    <x v="3"/>
    <x v="3"/>
    <x v="0"/>
    <m/>
  </r>
  <r>
    <x v="0"/>
    <s v="Finance1"/>
    <x v="0"/>
    <s v="X4"/>
    <s v="Regular"/>
    <s v="In Project (Digi)"/>
    <m/>
    <m/>
    <x v="0"/>
    <x v="0"/>
    <x v="0"/>
    <x v="0"/>
    <s v="6"/>
    <s v="BP"/>
    <x v="4"/>
    <x v="4"/>
    <x v="0"/>
    <n v="500"/>
  </r>
  <r>
    <x v="0"/>
    <s v="Finance1"/>
    <x v="0"/>
    <s v="X6"/>
    <s v="Regular"/>
    <s v="In Project (Digi)"/>
    <m/>
    <m/>
    <x v="0"/>
    <x v="0"/>
    <x v="0"/>
    <x v="0"/>
    <s v="4"/>
    <s v="PowerApp"/>
    <x v="5"/>
    <x v="5"/>
    <x v="0"/>
    <n v="30000"/>
  </r>
  <r>
    <x v="0"/>
    <s v="Finance2"/>
    <x v="2"/>
    <s v="X13"/>
    <s v="Regular"/>
    <s v="In Project (Digi)"/>
    <m/>
    <m/>
    <x v="3"/>
    <x v="1"/>
    <x v="1"/>
    <x v="1"/>
    <s v="6"/>
    <s v="BP"/>
    <x v="4"/>
    <x v="4"/>
    <x v="0"/>
    <n v="500"/>
  </r>
  <r>
    <x v="0"/>
    <s v="Finance1"/>
    <x v="0"/>
    <s v="X3"/>
    <s v="Regular"/>
    <s v="In Project (Digi)"/>
    <m/>
    <m/>
    <x v="0"/>
    <x v="0"/>
    <x v="0"/>
    <x v="0"/>
    <s v="6"/>
    <s v="PowerBI"/>
    <x v="6"/>
    <x v="1"/>
    <x v="0"/>
    <n v="30000"/>
  </r>
  <r>
    <x v="0"/>
    <s v="Finance2"/>
    <x v="2"/>
    <s v="X15"/>
    <s v="Regular"/>
    <s v="In Project (Digi)"/>
    <m/>
    <m/>
    <x v="3"/>
    <x v="1"/>
    <x v="1"/>
    <x v="1"/>
    <s v="10"/>
    <s v="BP"/>
    <x v="4"/>
    <x v="4"/>
    <x v="0"/>
    <n v="500"/>
  </r>
  <r>
    <x v="1"/>
    <s v="AI"/>
    <x v="1"/>
    <s v="X26"/>
    <s v="Regular"/>
    <s v="In Project (Digi)"/>
    <m/>
    <m/>
    <x v="1"/>
    <x v="1"/>
    <x v="1"/>
    <x v="1"/>
    <s v="7"/>
    <s v="PowerBI"/>
    <x v="6"/>
    <x v="4"/>
    <x v="1"/>
    <m/>
  </r>
  <r>
    <x v="1"/>
    <s v="AI"/>
    <x v="1"/>
    <s v="X27"/>
    <s v="Regular"/>
    <s v="In Project (Digi)"/>
    <m/>
    <m/>
    <x v="1"/>
    <x v="1"/>
    <x v="2"/>
    <x v="1"/>
    <s v="9"/>
    <s v="BP"/>
    <x v="4"/>
    <x v="4"/>
    <x v="0"/>
    <n v="500"/>
  </r>
  <r>
    <x v="1"/>
    <s v="AI"/>
    <x v="1"/>
    <s v="X31"/>
    <s v="Contractor"/>
    <s v="In Project (Digi)"/>
    <m/>
    <m/>
    <x v="1"/>
    <x v="1"/>
    <x v="1"/>
    <x v="1"/>
    <s v="6"/>
    <s v="BP"/>
    <x v="4"/>
    <x v="4"/>
    <x v="0"/>
    <n v="500"/>
  </r>
  <r>
    <x v="1"/>
    <s v="AI"/>
    <x v="1"/>
    <s v="X29"/>
    <s v="Regular"/>
    <s v="In Project (Digi)"/>
    <m/>
    <m/>
    <x v="1"/>
    <x v="1"/>
    <x v="1"/>
    <x v="1"/>
    <s v="7"/>
    <s v="PowerApp"/>
    <x v="7"/>
    <x v="6"/>
    <x v="1"/>
    <n v="30000"/>
  </r>
  <r>
    <x v="0"/>
    <s v="Finance1"/>
    <x v="0"/>
    <s v="X8"/>
    <s v="Regular"/>
    <s v="In Project (Digi)"/>
    <m/>
    <m/>
    <x v="0"/>
    <x v="0"/>
    <x v="0"/>
    <x v="0"/>
    <s v="6"/>
    <s v="BP"/>
    <x v="8"/>
    <x v="7"/>
    <x v="0"/>
    <n v="500"/>
  </r>
  <r>
    <x v="0"/>
    <s v="Finance1"/>
    <x v="0"/>
    <s v="X5"/>
    <s v="Regular"/>
    <s v="In Project (Digi)"/>
    <m/>
    <m/>
    <x v="0"/>
    <x v="0"/>
    <x v="0"/>
    <x v="0"/>
    <s v="9"/>
    <s v="PowerAuto"/>
    <x v="9"/>
    <x v="8"/>
    <x v="0"/>
    <n v="5000"/>
  </r>
  <r>
    <x v="1"/>
    <s v="Non-AI"/>
    <x v="3"/>
    <s v="X34"/>
    <s v="Regular"/>
    <s v="In Project (Digi)"/>
    <m/>
    <m/>
    <x v="1"/>
    <x v="1"/>
    <x v="1"/>
    <x v="1"/>
    <s v="13"/>
    <s v="BP"/>
    <x v="8"/>
    <x v="7"/>
    <x v="0"/>
    <n v="500"/>
  </r>
  <r>
    <x v="0"/>
    <s v="Finance1"/>
    <x v="0"/>
    <s v="X7"/>
    <s v="Regular"/>
    <s v="In Project (Digi)"/>
    <m/>
    <m/>
    <x v="0"/>
    <x v="0"/>
    <x v="0"/>
    <x v="0"/>
    <s v="7"/>
    <s v="PowerBI"/>
    <x v="6"/>
    <x v="9"/>
    <x v="0"/>
    <m/>
  </r>
  <r>
    <x v="1"/>
    <s v="Non-AI"/>
    <x v="3"/>
    <s v="X36"/>
    <s v="Regular"/>
    <s v="In Project (Digi)"/>
    <m/>
    <m/>
    <x v="4"/>
    <x v="1"/>
    <x v="3"/>
    <x v="2"/>
    <s v="13"/>
    <s v="BP"/>
    <x v="8"/>
    <x v="7"/>
    <x v="0"/>
    <n v="500"/>
  </r>
  <r>
    <x v="0"/>
    <s v="Finance2"/>
    <x v="2"/>
    <s v="X12"/>
    <s v="Regular"/>
    <s v="In Project (Digi)"/>
    <m/>
    <m/>
    <x v="5"/>
    <x v="1"/>
    <x v="3"/>
    <x v="2"/>
    <s v="7"/>
    <s v="PowerBI"/>
    <x v="6"/>
    <x v="2"/>
    <x v="0"/>
    <m/>
  </r>
  <r>
    <x v="2"/>
    <m/>
    <x v="4"/>
    <s v="X44"/>
    <s v="Regular"/>
    <s v="In Project (Digi)"/>
    <m/>
    <m/>
    <x v="4"/>
    <x v="0"/>
    <x v="0"/>
    <x v="0"/>
    <s v="13"/>
    <s v="BP"/>
    <x v="8"/>
    <x v="7"/>
    <x v="0"/>
    <n v="500"/>
  </r>
  <r>
    <x v="3"/>
    <m/>
    <x v="5"/>
    <s v="X19"/>
    <s v="Regular"/>
    <s v="In Project (Digi)"/>
    <m/>
    <m/>
    <x v="3"/>
    <x v="1"/>
    <x v="1"/>
    <x v="1"/>
    <s v="7"/>
    <m/>
    <x v="10"/>
    <x v="10"/>
    <x v="2"/>
    <m/>
  </r>
  <r>
    <x v="2"/>
    <m/>
    <x v="4"/>
    <s v="X46"/>
    <s v="Regular"/>
    <s v="In Project (Digi)"/>
    <m/>
    <m/>
    <x v="4"/>
    <x v="1"/>
    <x v="4"/>
    <x v="1"/>
    <s v="13"/>
    <s v="BP"/>
    <x v="8"/>
    <x v="7"/>
    <x v="0"/>
    <n v="500"/>
  </r>
  <r>
    <x v="3"/>
    <m/>
    <x v="5"/>
    <s v="X23"/>
    <s v="Regular"/>
    <s v="In Project (Digi)"/>
    <n v="44811"/>
    <n v="44837"/>
    <x v="6"/>
    <x v="1"/>
    <x v="5"/>
    <x v="2"/>
    <s v="7"/>
    <s v="PowerApp"/>
    <x v="7"/>
    <x v="4"/>
    <x v="0"/>
    <n v="30000"/>
  </r>
  <r>
    <x v="0"/>
    <s v="Finance2"/>
    <x v="2"/>
    <s v="X9"/>
    <s v="Regular"/>
    <s v="In Project (Digi)"/>
    <m/>
    <m/>
    <x v="7"/>
    <x v="0"/>
    <x v="0"/>
    <x v="0"/>
    <s v="8"/>
    <s v="PowerAuto"/>
    <x v="9"/>
    <x v="2"/>
    <x v="0"/>
    <n v="5000"/>
  </r>
  <r>
    <x v="1"/>
    <s v="AI"/>
    <x v="1"/>
    <s v="X30"/>
    <s v="Regular"/>
    <s v="In Project (Digi)"/>
    <m/>
    <m/>
    <x v="1"/>
    <x v="1"/>
    <x v="2"/>
    <x v="2"/>
    <s v="5"/>
    <s v="PowerBI"/>
    <x v="11"/>
    <x v="6"/>
    <x v="1"/>
    <n v="30000"/>
  </r>
  <r>
    <x v="1"/>
    <s v="Non-AI"/>
    <x v="3"/>
    <s v="X38"/>
    <s v="Regular"/>
    <s v="In Project (Digi)"/>
    <m/>
    <m/>
    <x v="4"/>
    <x v="1"/>
    <x v="1"/>
    <x v="1"/>
    <s v="13"/>
    <s v="PowerApp"/>
    <x v="7"/>
    <x v="11"/>
    <x v="0"/>
    <n v="30000"/>
  </r>
  <r>
    <x v="0"/>
    <s v="Finance2"/>
    <x v="2"/>
    <s v="X11"/>
    <s v="Regular"/>
    <s v="In Project (Digi)"/>
    <m/>
    <m/>
    <x v="3"/>
    <x v="1"/>
    <x v="1"/>
    <x v="1"/>
    <s v="11"/>
    <s v="Uipath"/>
    <x v="12"/>
    <x v="2"/>
    <x v="0"/>
    <n v="500"/>
  </r>
  <r>
    <x v="0"/>
    <s v="Finance2"/>
    <x v="2"/>
    <s v="X14"/>
    <s v="Regular"/>
    <s v="On Maternity Leave"/>
    <m/>
    <m/>
    <x v="3"/>
    <x v="1"/>
    <x v="2"/>
    <x v="2"/>
    <s v="8"/>
    <s v="PowerAuto"/>
    <x v="9"/>
    <x v="4"/>
    <x v="0"/>
    <n v="5000"/>
  </r>
  <r>
    <x v="3"/>
    <m/>
    <x v="5"/>
    <s v="X17"/>
    <s v="Contractor"/>
    <s v="In Project (Digi)"/>
    <m/>
    <m/>
    <x v="3"/>
    <x v="1"/>
    <x v="6"/>
    <x v="1"/>
    <s v="6"/>
    <m/>
    <x v="10"/>
    <x v="10"/>
    <x v="2"/>
    <m/>
  </r>
  <r>
    <x v="1"/>
    <s v="Non-AI"/>
    <x v="3"/>
    <s v="X39"/>
    <s v="Regular"/>
    <s v="Deployed to Account/Client site"/>
    <m/>
    <m/>
    <x v="4"/>
    <x v="1"/>
    <x v="7"/>
    <x v="1"/>
    <s v="13"/>
    <s v="PowerApp"/>
    <x v="5"/>
    <x v="12"/>
    <x v="0"/>
    <n v="30000"/>
  </r>
  <r>
    <x v="1"/>
    <s v="AI"/>
    <x v="1"/>
    <s v="X28"/>
    <s v="Regular"/>
    <s v="In Project (Digi)"/>
    <m/>
    <m/>
    <x v="1"/>
    <x v="1"/>
    <x v="2"/>
    <x v="2"/>
    <s v="6"/>
    <s v="PowerAuto"/>
    <x v="9"/>
    <x v="11"/>
    <x v="1"/>
    <n v="5000"/>
  </r>
  <r>
    <x v="1"/>
    <s v="Non-AI"/>
    <x v="3"/>
    <s v="X40"/>
    <s v="Regular"/>
    <s v="In Project (Digi)"/>
    <m/>
    <m/>
    <x v="4"/>
    <x v="1"/>
    <x v="1"/>
    <x v="1"/>
    <s v="13"/>
    <s v="PowerApp"/>
    <x v="5"/>
    <x v="7"/>
    <x v="0"/>
    <n v="30000"/>
  </r>
  <r>
    <x v="0"/>
    <s v="Finance2"/>
    <x v="2"/>
    <s v="X16"/>
    <s v="Regular"/>
    <s v="In Project (Digi)"/>
    <m/>
    <m/>
    <x v="3"/>
    <x v="1"/>
    <x v="8"/>
    <x v="1"/>
    <s v="11"/>
    <s v="PowerAuto"/>
    <x v="9"/>
    <x v="4"/>
    <x v="0"/>
    <n v="5000"/>
  </r>
  <r>
    <x v="2"/>
    <m/>
    <x v="4"/>
    <s v="X41"/>
    <s v="Regular"/>
    <s v="In Project (Digi)"/>
    <m/>
    <m/>
    <x v="4"/>
    <x v="1"/>
    <x v="1"/>
    <x v="1"/>
    <s v="13"/>
    <s v="PowerApp"/>
    <x v="5"/>
    <x v="7"/>
    <x v="0"/>
    <n v="30000"/>
  </r>
  <r>
    <x v="2"/>
    <m/>
    <x v="4"/>
    <s v="X42"/>
    <s v="Regular"/>
    <s v="In Project (Digi)"/>
    <m/>
    <m/>
    <x v="4"/>
    <x v="0"/>
    <x v="0"/>
    <x v="0"/>
    <s v="13"/>
    <s v="PowerApp"/>
    <x v="5"/>
    <x v="7"/>
    <x v="0"/>
    <n v="30000"/>
  </r>
  <r>
    <x v="3"/>
    <m/>
    <x v="5"/>
    <s v="X18"/>
    <s v="Regular"/>
    <s v="In Project (Digi)"/>
    <m/>
    <m/>
    <x v="3"/>
    <x v="1"/>
    <x v="1"/>
    <x v="1"/>
    <s v="9"/>
    <m/>
    <x v="10"/>
    <x v="10"/>
    <x v="2"/>
    <m/>
  </r>
  <r>
    <x v="2"/>
    <m/>
    <x v="4"/>
    <s v="X48"/>
    <s v="Regular"/>
    <s v="In Project (Digi)"/>
    <m/>
    <m/>
    <x v="4"/>
    <x v="1"/>
    <x v="3"/>
    <x v="1"/>
    <s v="13"/>
    <s v="PowerApp"/>
    <x v="5"/>
    <x v="11"/>
    <x v="0"/>
    <n v="30000"/>
  </r>
  <r>
    <x v="3"/>
    <m/>
    <x v="5"/>
    <s v="X20"/>
    <s v="Regular"/>
    <s v="In Project (Digi)"/>
    <m/>
    <m/>
    <x v="3"/>
    <x v="1"/>
    <x v="9"/>
    <x v="2"/>
    <s v="9"/>
    <m/>
    <x v="10"/>
    <x v="10"/>
    <x v="2"/>
    <m/>
  </r>
  <r>
    <x v="0"/>
    <s v="Finance1"/>
    <x v="0"/>
    <s v="X49"/>
    <s v="Regular"/>
    <s v="In Project (Digi)"/>
    <m/>
    <m/>
    <x v="0"/>
    <x v="1"/>
    <x v="10"/>
    <x v="1"/>
    <s v="13"/>
    <s v="PowerApp"/>
    <x v="5"/>
    <x v="12"/>
    <x v="0"/>
    <n v="30000"/>
  </r>
  <r>
    <x v="3"/>
    <m/>
    <x v="5"/>
    <s v="X22"/>
    <s v="Regular"/>
    <s v="In Project (Digi)"/>
    <m/>
    <m/>
    <x v="8"/>
    <x v="1"/>
    <x v="11"/>
    <x v="2"/>
    <s v="8"/>
    <m/>
    <x v="10"/>
    <x v="10"/>
    <x v="2"/>
    <m/>
  </r>
  <r>
    <x v="0"/>
    <s v="Finance1"/>
    <x v="0"/>
    <s v="X50"/>
    <s v="Regular"/>
    <s v="In Project (Digi)"/>
    <m/>
    <m/>
    <x v="0"/>
    <x v="0"/>
    <x v="0"/>
    <x v="0"/>
    <s v="13"/>
    <s v="PowerApp"/>
    <x v="5"/>
    <x v="7"/>
    <x v="0"/>
    <n v="30000"/>
  </r>
  <r>
    <x v="3"/>
    <m/>
    <x v="5"/>
    <s v="X21"/>
    <s v="Regular"/>
    <s v="In Project (Digi)"/>
    <m/>
    <m/>
    <x v="3"/>
    <x v="1"/>
    <x v="1"/>
    <x v="1"/>
    <s v="11"/>
    <m/>
    <x v="10"/>
    <x v="10"/>
    <x v="2"/>
    <m/>
  </r>
  <r>
    <x v="0"/>
    <s v="Finance1"/>
    <x v="0"/>
    <s v="X51"/>
    <s v="Regular"/>
    <s v="In Project (Digi)"/>
    <m/>
    <m/>
    <x v="0"/>
    <x v="0"/>
    <x v="0"/>
    <x v="0"/>
    <s v="13"/>
    <s v="PowerApp"/>
    <x v="5"/>
    <x v="7"/>
    <x v="0"/>
    <n v="30000"/>
  </r>
  <r>
    <x v="3"/>
    <m/>
    <x v="5"/>
    <s v="X24"/>
    <s v="Regular"/>
    <s v="In Project (Digi)"/>
    <m/>
    <m/>
    <x v="1"/>
    <x v="1"/>
    <x v="12"/>
    <x v="2"/>
    <s v="9"/>
    <s v="PowerApp"/>
    <x v="1"/>
    <x v="8"/>
    <x v="0"/>
    <m/>
  </r>
  <r>
    <x v="0"/>
    <s v="Finance1"/>
    <x v="0"/>
    <s v="X117"/>
    <s v="Regular"/>
    <s v="In Project (Digi)"/>
    <m/>
    <m/>
    <x v="0"/>
    <x v="0"/>
    <x v="0"/>
    <x v="0"/>
    <s v="10"/>
    <m/>
    <x v="10"/>
    <x v="10"/>
    <x v="2"/>
    <m/>
  </r>
  <r>
    <x v="0"/>
    <s v="Finance1"/>
    <x v="0"/>
    <s v="X118"/>
    <s v="Regular"/>
    <s v="In Project (Digi)"/>
    <m/>
    <m/>
    <x v="0"/>
    <x v="0"/>
    <x v="0"/>
    <x v="0"/>
    <s v="10"/>
    <m/>
    <x v="10"/>
    <x v="10"/>
    <x v="2"/>
    <m/>
  </r>
  <r>
    <x v="0"/>
    <s v="Finance1"/>
    <x v="0"/>
    <s v="X119"/>
    <s v="Regular"/>
    <s v="In Project (Digi)"/>
    <m/>
    <m/>
    <x v="0"/>
    <x v="1"/>
    <x v="13"/>
    <x v="1"/>
    <s v="10"/>
    <s v="AA"/>
    <x v="0"/>
    <x v="6"/>
    <x v="0"/>
    <n v="500"/>
  </r>
  <r>
    <x v="1"/>
    <s v="AI"/>
    <x v="1"/>
    <s v="X32"/>
    <s v="Contractor"/>
    <s v="In Project (Digi)"/>
    <m/>
    <m/>
    <x v="1"/>
    <x v="1"/>
    <x v="14"/>
    <x v="1"/>
    <s v="13"/>
    <m/>
    <x v="10"/>
    <x v="10"/>
    <x v="2"/>
    <m/>
  </r>
  <r>
    <x v="0"/>
    <s v="Finance1"/>
    <x v="0"/>
    <s v="X120"/>
    <s v="Regular"/>
    <s v="In Project (Digi)"/>
    <m/>
    <m/>
    <x v="0"/>
    <x v="1"/>
    <x v="15"/>
    <x v="1"/>
    <s v="10"/>
    <s v="AA"/>
    <x v="2"/>
    <x v="6"/>
    <x v="0"/>
    <n v="10000"/>
  </r>
  <r>
    <x v="1"/>
    <s v="Non-AI"/>
    <x v="3"/>
    <s v="X33"/>
    <s v="Regular"/>
    <s v="In Project (Digi)"/>
    <m/>
    <m/>
    <x v="1"/>
    <x v="1"/>
    <x v="16"/>
    <x v="1"/>
    <s v="13"/>
    <s v="PowerBI"/>
    <x v="13"/>
    <x v="6"/>
    <x v="0"/>
    <m/>
  </r>
  <r>
    <x v="0"/>
    <s v="Finance1"/>
    <x v="0"/>
    <s v="X121"/>
    <s v="Regular"/>
    <s v="In Project (Digi)"/>
    <m/>
    <m/>
    <x v="0"/>
    <x v="1"/>
    <x v="1"/>
    <x v="1"/>
    <s v="10"/>
    <s v="AA"/>
    <x v="2"/>
    <x v="6"/>
    <x v="0"/>
    <n v="10000"/>
  </r>
  <r>
    <x v="0"/>
    <s v="Finance1"/>
    <x v="0"/>
    <s v="X122"/>
    <s v="Regular"/>
    <s v="In Project (Digi)"/>
    <m/>
    <m/>
    <x v="0"/>
    <x v="1"/>
    <x v="13"/>
    <x v="1"/>
    <s v="10"/>
    <s v="AA"/>
    <x v="2"/>
    <x v="6"/>
    <x v="0"/>
    <n v="10000"/>
  </r>
  <r>
    <x v="1"/>
    <s v="Non-AI"/>
    <x v="3"/>
    <s v="X35"/>
    <s v="Regular"/>
    <s v="In Project (Digi)"/>
    <m/>
    <m/>
    <x v="1"/>
    <x v="1"/>
    <x v="1"/>
    <x v="1"/>
    <s v="13"/>
    <s v="PowerAuto"/>
    <x v="9"/>
    <x v="6"/>
    <x v="0"/>
    <n v="5000"/>
  </r>
  <r>
    <x v="0"/>
    <s v="Finance1"/>
    <x v="0"/>
    <s v="X123"/>
    <s v="Regular"/>
    <s v="In Project (Digi)"/>
    <m/>
    <m/>
    <x v="0"/>
    <x v="1"/>
    <x v="13"/>
    <x v="1"/>
    <s v="10"/>
    <s v="AA"/>
    <x v="2"/>
    <x v="6"/>
    <x v="0"/>
    <n v="10000"/>
  </r>
  <r>
    <x v="0"/>
    <s v="Finance1"/>
    <x v="0"/>
    <s v="X124"/>
    <s v="Regular"/>
    <s v="In Project (Digi)"/>
    <m/>
    <m/>
    <x v="0"/>
    <x v="1"/>
    <x v="13"/>
    <x v="2"/>
    <s v="10"/>
    <s v="AA"/>
    <x v="2"/>
    <x v="6"/>
    <x v="0"/>
    <n v="10000"/>
  </r>
  <r>
    <x v="1"/>
    <s v="Non-AI"/>
    <x v="3"/>
    <s v="X37"/>
    <s v="Regular"/>
    <s v="In Project (Digi)"/>
    <m/>
    <m/>
    <x v="4"/>
    <x v="1"/>
    <x v="1"/>
    <x v="1"/>
    <s v="13"/>
    <s v="PowerAuto"/>
    <x v="14"/>
    <x v="11"/>
    <x v="0"/>
    <n v="30000"/>
  </r>
  <r>
    <x v="0"/>
    <s v="Finance1"/>
    <x v="0"/>
    <s v="X125"/>
    <s v="Regular"/>
    <s v="In Project (Digi)"/>
    <m/>
    <m/>
    <x v="0"/>
    <x v="1"/>
    <x v="1"/>
    <x v="2"/>
    <s v="10"/>
    <s v="AA"/>
    <x v="2"/>
    <x v="6"/>
    <x v="0"/>
    <n v="10000"/>
  </r>
  <r>
    <x v="2"/>
    <m/>
    <x v="4"/>
    <s v="X43"/>
    <s v="Regular"/>
    <s v="In Project (Digi)"/>
    <m/>
    <m/>
    <x v="4"/>
    <x v="0"/>
    <x v="0"/>
    <x v="0"/>
    <s v="13"/>
    <s v="PowerBI"/>
    <x v="15"/>
    <x v="6"/>
    <x v="0"/>
    <m/>
  </r>
  <r>
    <x v="0"/>
    <s v="Finance1"/>
    <x v="0"/>
    <s v="X126"/>
    <s v="Regular"/>
    <s v="In Project (Digi)"/>
    <m/>
    <m/>
    <x v="0"/>
    <x v="1"/>
    <x v="1"/>
    <x v="2"/>
    <s v="10"/>
    <s v="AA"/>
    <x v="2"/>
    <x v="6"/>
    <x v="0"/>
    <n v="10000"/>
  </r>
  <r>
    <x v="0"/>
    <s v="Finance1"/>
    <x v="0"/>
    <s v="X127"/>
    <s v="Regular"/>
    <s v="In Project (Digi)"/>
    <m/>
    <m/>
    <x v="0"/>
    <x v="1"/>
    <x v="1"/>
    <x v="2"/>
    <s v="10"/>
    <s v="AA"/>
    <x v="2"/>
    <x v="6"/>
    <x v="0"/>
    <n v="10000"/>
  </r>
  <r>
    <x v="0"/>
    <s v="Finance1"/>
    <x v="0"/>
    <s v="X128"/>
    <s v="Regular"/>
    <s v="In Project (Digi)"/>
    <m/>
    <m/>
    <x v="0"/>
    <x v="0"/>
    <x v="0"/>
    <x v="0"/>
    <s v="11"/>
    <s v="AA"/>
    <x v="2"/>
    <x v="6"/>
    <x v="0"/>
    <n v="10000"/>
  </r>
  <r>
    <x v="2"/>
    <m/>
    <x v="4"/>
    <s v="X45"/>
    <s v="Regular"/>
    <s v="In Project (Digi)"/>
    <m/>
    <m/>
    <x v="4"/>
    <x v="1"/>
    <x v="17"/>
    <x v="1"/>
    <s v="13"/>
    <s v="PowerAuto"/>
    <x v="14"/>
    <x v="6"/>
    <x v="0"/>
    <n v="30000"/>
  </r>
  <r>
    <x v="2"/>
    <m/>
    <x v="4"/>
    <s v="X47"/>
    <s v="Contractor"/>
    <s v="In Project (Digi)"/>
    <m/>
    <m/>
    <x v="4"/>
    <x v="1"/>
    <x v="4"/>
    <x v="1"/>
    <s v="13"/>
    <s v="PowerAuto"/>
    <x v="14"/>
    <x v="11"/>
    <x v="0"/>
    <n v="30000"/>
  </r>
  <r>
    <x v="0"/>
    <s v="Finance1"/>
    <x v="0"/>
    <s v="X129"/>
    <s v="Regular"/>
    <s v="In Project (Digi)"/>
    <m/>
    <m/>
    <x v="0"/>
    <x v="0"/>
    <x v="0"/>
    <x v="0"/>
    <s v="11"/>
    <s v="AA"/>
    <x v="2"/>
    <x v="6"/>
    <x v="0"/>
    <n v="10000"/>
  </r>
  <r>
    <x v="3"/>
    <m/>
    <x v="5"/>
    <s v="X130"/>
    <s v="Regular"/>
    <s v="In Project (Digi)"/>
    <m/>
    <m/>
    <x v="0"/>
    <x v="0"/>
    <x v="0"/>
    <x v="0"/>
    <s v="11"/>
    <s v="AA"/>
    <x v="2"/>
    <x v="6"/>
    <x v="0"/>
    <n v="10000"/>
  </r>
  <r>
    <x v="3"/>
    <m/>
    <x v="5"/>
    <s v="X131"/>
    <s v="Regular"/>
    <s v="In Project (Digi)"/>
    <m/>
    <m/>
    <x v="0"/>
    <x v="0"/>
    <x v="0"/>
    <x v="0"/>
    <s v="11"/>
    <m/>
    <x v="10"/>
    <x v="10"/>
    <x v="2"/>
    <m/>
  </r>
  <r>
    <x v="3"/>
    <m/>
    <x v="5"/>
    <s v="X132"/>
    <s v="Regular"/>
    <s v="In Project (Digi)"/>
    <m/>
    <m/>
    <x v="0"/>
    <x v="0"/>
    <x v="0"/>
    <x v="0"/>
    <s v="11"/>
    <m/>
    <x v="10"/>
    <x v="10"/>
    <x v="2"/>
    <m/>
  </r>
  <r>
    <x v="3"/>
    <m/>
    <x v="5"/>
    <s v="X133"/>
    <s v="Regular"/>
    <s v="In Project (Digi)"/>
    <m/>
    <m/>
    <x v="0"/>
    <x v="0"/>
    <x v="0"/>
    <x v="0"/>
    <s v="11"/>
    <m/>
    <x v="10"/>
    <x v="10"/>
    <x v="2"/>
    <m/>
  </r>
  <r>
    <x v="3"/>
    <m/>
    <x v="5"/>
    <s v="X134"/>
    <s v="Regular"/>
    <s v="In Project (Digi)"/>
    <m/>
    <m/>
    <x v="0"/>
    <x v="0"/>
    <x v="0"/>
    <x v="0"/>
    <s v="11"/>
    <m/>
    <x v="10"/>
    <x v="10"/>
    <x v="2"/>
    <m/>
  </r>
  <r>
    <x v="3"/>
    <m/>
    <x v="5"/>
    <s v="X135"/>
    <s v="Regular"/>
    <s v="In Project (Digi)"/>
    <m/>
    <m/>
    <x v="0"/>
    <x v="0"/>
    <x v="0"/>
    <x v="0"/>
    <s v="11"/>
    <m/>
    <x v="10"/>
    <x v="10"/>
    <x v="2"/>
    <m/>
  </r>
  <r>
    <x v="0"/>
    <s v="Finance1"/>
    <x v="0"/>
    <s v="X106"/>
    <s v="Regular"/>
    <s v="In Project (Digi)"/>
    <m/>
    <m/>
    <x v="0"/>
    <x v="0"/>
    <x v="0"/>
    <x v="0"/>
    <s v="12"/>
    <m/>
    <x v="10"/>
    <x v="10"/>
    <x v="2"/>
    <m/>
  </r>
  <r>
    <x v="0"/>
    <s v="Finance1"/>
    <x v="0"/>
    <s v="X52"/>
    <s v="Regular"/>
    <s v="In Project (Digi)"/>
    <m/>
    <m/>
    <x v="0"/>
    <x v="0"/>
    <x v="0"/>
    <x v="0"/>
    <s v="13"/>
    <s v="PowerApp"/>
    <x v="5"/>
    <x v="7"/>
    <x v="0"/>
    <n v="30000"/>
  </r>
  <r>
    <x v="0"/>
    <s v="Finance1"/>
    <x v="0"/>
    <s v="X107"/>
    <s v="Regular"/>
    <s v="In Project (Digi)"/>
    <m/>
    <m/>
    <x v="0"/>
    <x v="0"/>
    <x v="0"/>
    <x v="0"/>
    <s v="12"/>
    <m/>
    <x v="10"/>
    <x v="10"/>
    <x v="2"/>
    <m/>
  </r>
  <r>
    <x v="0"/>
    <s v="Finance1"/>
    <x v="0"/>
    <s v="X53"/>
    <s v="Regular"/>
    <s v="In Project (Digi)"/>
    <m/>
    <m/>
    <x v="0"/>
    <x v="0"/>
    <x v="0"/>
    <x v="0"/>
    <s v="13"/>
    <s v="PowerApp"/>
    <x v="5"/>
    <x v="7"/>
    <x v="0"/>
    <n v="30000"/>
  </r>
  <r>
    <x v="0"/>
    <s v="Finance1"/>
    <x v="0"/>
    <s v="X108"/>
    <s v="Regular"/>
    <s v="In Project (Digi)"/>
    <m/>
    <m/>
    <x v="0"/>
    <x v="1"/>
    <x v="13"/>
    <x v="1"/>
    <s v="12"/>
    <m/>
    <x v="10"/>
    <x v="10"/>
    <x v="2"/>
    <m/>
  </r>
  <r>
    <x v="0"/>
    <s v="Finance1"/>
    <x v="0"/>
    <s v="X54"/>
    <s v="Regular"/>
    <s v="In Project (Digi)"/>
    <m/>
    <m/>
    <x v="0"/>
    <x v="1"/>
    <x v="18"/>
    <x v="1"/>
    <s v="13"/>
    <s v="PowerApp"/>
    <x v="5"/>
    <x v="7"/>
    <x v="0"/>
    <n v="30000"/>
  </r>
  <r>
    <x v="0"/>
    <s v="Finance1"/>
    <x v="0"/>
    <s v="X109"/>
    <s v="Regular"/>
    <s v="In Project (Digi)"/>
    <m/>
    <m/>
    <x v="0"/>
    <x v="0"/>
    <x v="0"/>
    <x v="0"/>
    <s v="12"/>
    <m/>
    <x v="10"/>
    <x v="10"/>
    <x v="2"/>
    <m/>
  </r>
  <r>
    <x v="0"/>
    <s v="Finance1"/>
    <x v="0"/>
    <s v="X55"/>
    <s v="Regular"/>
    <s v="In Project (Digi)"/>
    <m/>
    <m/>
    <x v="0"/>
    <x v="0"/>
    <x v="0"/>
    <x v="0"/>
    <s v="13"/>
    <s v="PowerApp"/>
    <x v="5"/>
    <x v="7"/>
    <x v="0"/>
    <n v="30000"/>
  </r>
  <r>
    <x v="0"/>
    <s v="Finance1"/>
    <x v="0"/>
    <s v="X110"/>
    <s v="Regular"/>
    <s v="In Project (Digi)"/>
    <m/>
    <m/>
    <x v="0"/>
    <x v="0"/>
    <x v="0"/>
    <x v="0"/>
    <s v="12"/>
    <s v="PowerApp"/>
    <x v="5"/>
    <x v="4"/>
    <x v="0"/>
    <n v="30000"/>
  </r>
  <r>
    <x v="0"/>
    <s v="Finance1"/>
    <x v="0"/>
    <s v="X56"/>
    <s v="Regular"/>
    <s v="In Project (Digi)"/>
    <m/>
    <m/>
    <x v="0"/>
    <x v="0"/>
    <x v="0"/>
    <x v="0"/>
    <s v="13"/>
    <s v="PowerApp"/>
    <x v="5"/>
    <x v="7"/>
    <x v="0"/>
    <n v="30000"/>
  </r>
  <r>
    <x v="0"/>
    <s v="Finance1"/>
    <x v="0"/>
    <s v="X111"/>
    <s v="Regular"/>
    <s v="In Project (Digi)"/>
    <m/>
    <m/>
    <x v="0"/>
    <x v="0"/>
    <x v="0"/>
    <x v="0"/>
    <s v="12"/>
    <s v="PowerApp"/>
    <x v="1"/>
    <x v="4"/>
    <x v="0"/>
    <m/>
  </r>
  <r>
    <x v="0"/>
    <s v="Finance1"/>
    <x v="0"/>
    <s v="X57"/>
    <s v="Regular"/>
    <s v="In Project (Digi)"/>
    <m/>
    <m/>
    <x v="0"/>
    <x v="0"/>
    <x v="0"/>
    <x v="0"/>
    <s v="13"/>
    <s v="PowerApp"/>
    <x v="5"/>
    <x v="7"/>
    <x v="0"/>
    <n v="30000"/>
  </r>
  <r>
    <x v="0"/>
    <s v="Finance1"/>
    <x v="0"/>
    <s v="X112"/>
    <s v="Regular"/>
    <s v="In Project (Digi)"/>
    <m/>
    <m/>
    <x v="0"/>
    <x v="0"/>
    <x v="0"/>
    <x v="0"/>
    <s v="12"/>
    <s v="PowerApp"/>
    <x v="5"/>
    <x v="4"/>
    <x v="0"/>
    <n v="30000"/>
  </r>
  <r>
    <x v="0"/>
    <s v="Finance1"/>
    <x v="0"/>
    <s v="X58"/>
    <s v="Regular"/>
    <s v="In Project (Digi)"/>
    <m/>
    <m/>
    <x v="0"/>
    <x v="0"/>
    <x v="0"/>
    <x v="0"/>
    <s v="13"/>
    <s v="PowerApp"/>
    <x v="5"/>
    <x v="7"/>
    <x v="0"/>
    <n v="30000"/>
  </r>
  <r>
    <x v="0"/>
    <s v="Finance1"/>
    <x v="0"/>
    <s v="X113"/>
    <s v="Regular"/>
    <s v="In Project (Digi)"/>
    <m/>
    <m/>
    <x v="0"/>
    <x v="1"/>
    <x v="13"/>
    <x v="1"/>
    <s v="12"/>
    <s v="PowerApp"/>
    <x v="5"/>
    <x v="2"/>
    <x v="0"/>
    <n v="30000"/>
  </r>
  <r>
    <x v="0"/>
    <s v="Finance1"/>
    <x v="0"/>
    <s v="X59"/>
    <s v="Regular"/>
    <s v="In Project (Digi)"/>
    <m/>
    <m/>
    <x v="0"/>
    <x v="0"/>
    <x v="0"/>
    <x v="0"/>
    <s v="13"/>
    <s v="PowerApp"/>
    <x v="5"/>
    <x v="7"/>
    <x v="0"/>
    <n v="30000"/>
  </r>
  <r>
    <x v="0"/>
    <s v="Finance1"/>
    <x v="0"/>
    <s v="X114"/>
    <s v="Regular"/>
    <s v="In Project (Digi)"/>
    <m/>
    <m/>
    <x v="0"/>
    <x v="0"/>
    <x v="0"/>
    <x v="0"/>
    <s v="12"/>
    <s v="PowerApp"/>
    <x v="5"/>
    <x v="2"/>
    <x v="0"/>
    <n v="30000"/>
  </r>
  <r>
    <x v="0"/>
    <s v="Finance1"/>
    <x v="0"/>
    <s v="X60"/>
    <s v="Regular"/>
    <s v="In Project (Digi)"/>
    <m/>
    <m/>
    <x v="0"/>
    <x v="0"/>
    <x v="0"/>
    <x v="0"/>
    <s v="13"/>
    <m/>
    <x v="10"/>
    <x v="10"/>
    <x v="2"/>
    <m/>
  </r>
  <r>
    <x v="0"/>
    <s v="Finance1"/>
    <x v="0"/>
    <s v="X115"/>
    <s v="Regular"/>
    <s v="In Project (Digi)"/>
    <m/>
    <m/>
    <x v="0"/>
    <x v="0"/>
    <x v="0"/>
    <x v="0"/>
    <s v="12"/>
    <s v="PowerApp"/>
    <x v="7"/>
    <x v="1"/>
    <x v="0"/>
    <n v="30000"/>
  </r>
  <r>
    <x v="0"/>
    <s v="Finance1"/>
    <x v="0"/>
    <s v="X61"/>
    <s v="Regular"/>
    <s v="In Project (Digi)"/>
    <m/>
    <m/>
    <x v="0"/>
    <x v="0"/>
    <x v="0"/>
    <x v="0"/>
    <s v="13"/>
    <m/>
    <x v="10"/>
    <x v="10"/>
    <x v="2"/>
    <m/>
  </r>
  <r>
    <x v="0"/>
    <s v="Finance1"/>
    <x v="0"/>
    <s v="X116"/>
    <s v="Regular"/>
    <s v="In Project (Digi)"/>
    <m/>
    <m/>
    <x v="0"/>
    <x v="0"/>
    <x v="0"/>
    <x v="0"/>
    <s v="12"/>
    <m/>
    <x v="10"/>
    <x v="10"/>
    <x v="2"/>
    <m/>
  </r>
  <r>
    <x v="0"/>
    <s v="Finance1"/>
    <x v="0"/>
    <s v="X62"/>
    <s v="Regular"/>
    <s v="In Project (Digi)"/>
    <m/>
    <m/>
    <x v="0"/>
    <x v="0"/>
    <x v="0"/>
    <x v="0"/>
    <s v="13"/>
    <m/>
    <x v="10"/>
    <x v="10"/>
    <x v="2"/>
    <m/>
  </r>
  <r>
    <x v="0"/>
    <s v="Finance1"/>
    <x v="0"/>
    <s v="X63"/>
    <s v="Regular"/>
    <s v="In Project (Digi)"/>
    <m/>
    <m/>
    <x v="0"/>
    <x v="0"/>
    <x v="0"/>
    <x v="0"/>
    <s v="13"/>
    <m/>
    <x v="10"/>
    <x v="10"/>
    <x v="2"/>
    <m/>
  </r>
  <r>
    <x v="0"/>
    <s v="Finance2"/>
    <x v="2"/>
    <s v="X64"/>
    <s v="Regular"/>
    <s v="In Project (Digi)"/>
    <m/>
    <m/>
    <x v="7"/>
    <x v="0"/>
    <x v="0"/>
    <x v="0"/>
    <s v="13"/>
    <m/>
    <x v="10"/>
    <x v="10"/>
    <x v="2"/>
    <m/>
  </r>
  <r>
    <x v="0"/>
    <s v="Finance2"/>
    <x v="2"/>
    <s v="X65"/>
    <s v="Regular"/>
    <s v="In Project (Digi)"/>
    <m/>
    <m/>
    <x v="2"/>
    <x v="0"/>
    <x v="0"/>
    <x v="0"/>
    <s v="13"/>
    <m/>
    <x v="10"/>
    <x v="10"/>
    <x v="2"/>
    <m/>
  </r>
  <r>
    <x v="0"/>
    <s v="Finance2"/>
    <x v="2"/>
    <s v="X66"/>
    <s v="Regular"/>
    <s v="In Project (Digi)"/>
    <m/>
    <m/>
    <x v="3"/>
    <x v="0"/>
    <x v="0"/>
    <x v="0"/>
    <s v="13"/>
    <m/>
    <x v="10"/>
    <x v="10"/>
    <x v="2"/>
    <m/>
  </r>
  <r>
    <x v="0"/>
    <s v="Finance2"/>
    <x v="2"/>
    <s v="X67"/>
    <s v="Regular"/>
    <s v="In Project (Digi)"/>
    <m/>
    <m/>
    <x v="5"/>
    <x v="0"/>
    <x v="0"/>
    <x v="0"/>
    <s v="13"/>
    <m/>
    <x v="10"/>
    <x v="10"/>
    <x v="2"/>
    <m/>
  </r>
  <r>
    <x v="0"/>
    <s v="Finance2"/>
    <x v="2"/>
    <s v="X68"/>
    <s v="Regular"/>
    <s v="In Project (Digi)"/>
    <m/>
    <m/>
    <x v="3"/>
    <x v="0"/>
    <x v="0"/>
    <x v="0"/>
    <s v="13"/>
    <m/>
    <x v="10"/>
    <x v="10"/>
    <x v="2"/>
    <m/>
  </r>
  <r>
    <x v="0"/>
    <s v="Finance2"/>
    <x v="2"/>
    <s v="X69"/>
    <s v="Regular"/>
    <s v="On Maternity Leave"/>
    <m/>
    <m/>
    <x v="3"/>
    <x v="0"/>
    <x v="0"/>
    <x v="0"/>
    <s v="13"/>
    <m/>
    <x v="10"/>
    <x v="10"/>
    <x v="2"/>
    <m/>
  </r>
  <r>
    <x v="0"/>
    <s v="Finance2"/>
    <x v="2"/>
    <s v="X70"/>
    <s v="Regular"/>
    <s v="In Project (Digi)"/>
    <m/>
    <m/>
    <x v="3"/>
    <x v="0"/>
    <x v="0"/>
    <x v="0"/>
    <s v="13"/>
    <m/>
    <x v="10"/>
    <x v="10"/>
    <x v="2"/>
    <m/>
  </r>
  <r>
    <x v="0"/>
    <s v="Finance2"/>
    <x v="2"/>
    <s v="X71"/>
    <s v="Regular"/>
    <s v="In Project (Digi)"/>
    <m/>
    <m/>
    <x v="3"/>
    <x v="0"/>
    <x v="0"/>
    <x v="0"/>
    <s v="13"/>
    <m/>
    <x v="10"/>
    <x v="10"/>
    <x v="2"/>
    <m/>
  </r>
  <r>
    <x v="3"/>
    <m/>
    <x v="5"/>
    <s v="X72"/>
    <s v="Contractor"/>
    <s v="In Project (Digi)"/>
    <m/>
    <m/>
    <x v="3"/>
    <x v="0"/>
    <x v="0"/>
    <x v="0"/>
    <s v="13"/>
    <m/>
    <x v="10"/>
    <x v="10"/>
    <x v="2"/>
    <m/>
  </r>
  <r>
    <x v="3"/>
    <m/>
    <x v="5"/>
    <s v="X73"/>
    <s v="Regular"/>
    <s v="In Project (Digi)"/>
    <m/>
    <m/>
    <x v="3"/>
    <x v="0"/>
    <x v="0"/>
    <x v="0"/>
    <s v="13"/>
    <m/>
    <x v="10"/>
    <x v="10"/>
    <x v="2"/>
    <m/>
  </r>
  <r>
    <x v="3"/>
    <m/>
    <x v="5"/>
    <s v="X74"/>
    <s v="Regular"/>
    <s v="In Project (Digi)"/>
    <m/>
    <m/>
    <x v="3"/>
    <x v="0"/>
    <x v="0"/>
    <x v="0"/>
    <s v="13"/>
    <m/>
    <x v="10"/>
    <x v="10"/>
    <x v="2"/>
    <m/>
  </r>
  <r>
    <x v="3"/>
    <m/>
    <x v="5"/>
    <s v="X75"/>
    <s v="Regular"/>
    <s v="In Project (Digi)"/>
    <m/>
    <m/>
    <x v="3"/>
    <x v="0"/>
    <x v="0"/>
    <x v="0"/>
    <s v="13"/>
    <m/>
    <x v="10"/>
    <x v="10"/>
    <x v="2"/>
    <m/>
  </r>
  <r>
    <x v="3"/>
    <m/>
    <x v="5"/>
    <s v="X76"/>
    <s v="Regular"/>
    <s v="In Project (Digi)"/>
    <m/>
    <m/>
    <x v="3"/>
    <x v="0"/>
    <x v="0"/>
    <x v="0"/>
    <s v="13"/>
    <m/>
    <x v="10"/>
    <x v="10"/>
    <x v="2"/>
    <m/>
  </r>
  <r>
    <x v="3"/>
    <m/>
    <x v="5"/>
    <s v="X77"/>
    <s v="Regular"/>
    <s v="In Project (Digi)"/>
    <m/>
    <m/>
    <x v="8"/>
    <x v="0"/>
    <x v="0"/>
    <x v="0"/>
    <s v="13"/>
    <m/>
    <x v="10"/>
    <x v="10"/>
    <x v="2"/>
    <m/>
  </r>
  <r>
    <x v="3"/>
    <m/>
    <x v="5"/>
    <s v="X78"/>
    <s v="Regular"/>
    <s v="In Project (Digi)"/>
    <n v="44811"/>
    <n v="44837"/>
    <x v="6"/>
    <x v="0"/>
    <x v="0"/>
    <x v="0"/>
    <s v="13"/>
    <m/>
    <x v="10"/>
    <x v="10"/>
    <x v="2"/>
    <m/>
  </r>
  <r>
    <x v="3"/>
    <m/>
    <x v="5"/>
    <s v="X79"/>
    <s v="Regular"/>
    <s v="In Project (Digi)"/>
    <m/>
    <m/>
    <x v="1"/>
    <x v="0"/>
    <x v="0"/>
    <x v="0"/>
    <s v="13"/>
    <m/>
    <x v="10"/>
    <x v="10"/>
    <x v="2"/>
    <m/>
  </r>
  <r>
    <x v="1"/>
    <s v="AI"/>
    <x v="1"/>
    <s v="X80"/>
    <s v="Regular"/>
    <s v="In Project (Digi)"/>
    <m/>
    <m/>
    <x v="1"/>
    <x v="0"/>
    <x v="0"/>
    <x v="0"/>
    <s v="13"/>
    <m/>
    <x v="10"/>
    <x v="10"/>
    <x v="2"/>
    <m/>
  </r>
  <r>
    <x v="1"/>
    <s v="AI"/>
    <x v="1"/>
    <s v="X81"/>
    <s v="Regular"/>
    <s v="In Project (Digi)"/>
    <m/>
    <m/>
    <x v="1"/>
    <x v="0"/>
    <x v="0"/>
    <x v="0"/>
    <s v="13"/>
    <m/>
    <x v="10"/>
    <x v="10"/>
    <x v="2"/>
    <m/>
  </r>
  <r>
    <x v="1"/>
    <s v="AI"/>
    <x v="1"/>
    <s v="X82"/>
    <s v="Regular"/>
    <s v="In Project (Digi)"/>
    <m/>
    <m/>
    <x v="1"/>
    <x v="0"/>
    <x v="0"/>
    <x v="0"/>
    <s v="13"/>
    <m/>
    <x v="10"/>
    <x v="10"/>
    <x v="2"/>
    <m/>
  </r>
  <r>
    <x v="1"/>
    <s v="AI"/>
    <x v="1"/>
    <s v="X83"/>
    <s v="Regular"/>
    <s v="In Project (Digi)"/>
    <m/>
    <m/>
    <x v="1"/>
    <x v="0"/>
    <x v="0"/>
    <x v="0"/>
    <s v="13"/>
    <m/>
    <x v="10"/>
    <x v="10"/>
    <x v="2"/>
    <m/>
  </r>
  <r>
    <x v="1"/>
    <s v="AI"/>
    <x v="1"/>
    <s v="X84"/>
    <s v="Regular"/>
    <s v="In Project (Digi)"/>
    <m/>
    <m/>
    <x v="1"/>
    <x v="0"/>
    <x v="0"/>
    <x v="0"/>
    <s v="13"/>
    <m/>
    <x v="10"/>
    <x v="10"/>
    <x v="2"/>
    <m/>
  </r>
  <r>
    <x v="1"/>
    <s v="AI"/>
    <x v="1"/>
    <s v="X85"/>
    <s v="Regular"/>
    <s v="In Project (Digi)"/>
    <m/>
    <m/>
    <x v="1"/>
    <x v="0"/>
    <x v="0"/>
    <x v="0"/>
    <s v="13"/>
    <m/>
    <x v="10"/>
    <x v="10"/>
    <x v="2"/>
    <m/>
  </r>
  <r>
    <x v="1"/>
    <s v="AI"/>
    <x v="1"/>
    <s v="X86"/>
    <s v="Contractor"/>
    <s v="In Project (Digi)"/>
    <m/>
    <m/>
    <x v="1"/>
    <x v="0"/>
    <x v="0"/>
    <x v="0"/>
    <s v="13"/>
    <m/>
    <x v="10"/>
    <x v="10"/>
    <x v="2"/>
    <m/>
  </r>
  <r>
    <x v="1"/>
    <s v="AI"/>
    <x v="1"/>
    <s v="X87"/>
    <s v="Contractor"/>
    <s v="In Project (Digi)"/>
    <m/>
    <m/>
    <x v="1"/>
    <x v="0"/>
    <x v="0"/>
    <x v="0"/>
    <s v="13"/>
    <m/>
    <x v="10"/>
    <x v="10"/>
    <x v="2"/>
    <m/>
  </r>
  <r>
    <x v="1"/>
    <s v="Non-AI"/>
    <x v="3"/>
    <s v="X88"/>
    <s v="Regular"/>
    <s v="In Project (Digi)"/>
    <m/>
    <m/>
    <x v="1"/>
    <x v="0"/>
    <x v="0"/>
    <x v="0"/>
    <s v="13"/>
    <m/>
    <x v="10"/>
    <x v="10"/>
    <x v="2"/>
    <m/>
  </r>
  <r>
    <x v="1"/>
    <s v="Non-AI"/>
    <x v="3"/>
    <s v="X89"/>
    <s v="Regular"/>
    <s v="In Project (Digi)"/>
    <m/>
    <m/>
    <x v="1"/>
    <x v="0"/>
    <x v="0"/>
    <x v="0"/>
    <s v="13"/>
    <m/>
    <x v="10"/>
    <x v="10"/>
    <x v="2"/>
    <m/>
  </r>
  <r>
    <x v="1"/>
    <s v="Non-AI"/>
    <x v="3"/>
    <s v="X90"/>
    <s v="Regular"/>
    <s v="In Project (Digi)"/>
    <m/>
    <m/>
    <x v="1"/>
    <x v="1"/>
    <x v="13"/>
    <x v="2"/>
    <s v="13"/>
    <m/>
    <x v="10"/>
    <x v="10"/>
    <x v="2"/>
    <m/>
  </r>
  <r>
    <x v="1"/>
    <s v="Non-AI"/>
    <x v="3"/>
    <s v="X91"/>
    <s v="Regular"/>
    <s v="In Project (Digi)"/>
    <m/>
    <m/>
    <x v="4"/>
    <x v="1"/>
    <x v="13"/>
    <x v="2"/>
    <s v="13"/>
    <m/>
    <x v="10"/>
    <x v="10"/>
    <x v="2"/>
    <m/>
  </r>
  <r>
    <x v="1"/>
    <s v="Non-AI"/>
    <x v="3"/>
    <s v="X92"/>
    <s v="Regular"/>
    <s v="In Project (Digi)"/>
    <m/>
    <m/>
    <x v="4"/>
    <x v="1"/>
    <x v="13"/>
    <x v="2"/>
    <s v="13"/>
    <m/>
    <x v="10"/>
    <x v="10"/>
    <x v="2"/>
    <m/>
  </r>
  <r>
    <x v="1"/>
    <s v="Non-AI"/>
    <x v="3"/>
    <s v="X93"/>
    <s v="Regular"/>
    <s v="In Project (Digi)"/>
    <m/>
    <m/>
    <x v="4"/>
    <x v="0"/>
    <x v="0"/>
    <x v="0"/>
    <s v="13"/>
    <m/>
    <x v="10"/>
    <x v="10"/>
    <x v="2"/>
    <m/>
  </r>
  <r>
    <x v="1"/>
    <s v="Non-AI"/>
    <x v="3"/>
    <s v="X94"/>
    <s v="Regular"/>
    <s v="Deployed to Account/Client site"/>
    <m/>
    <m/>
    <x v="4"/>
    <x v="0"/>
    <x v="0"/>
    <x v="0"/>
    <s v="13"/>
    <m/>
    <x v="10"/>
    <x v="10"/>
    <x v="2"/>
    <m/>
  </r>
  <r>
    <x v="1"/>
    <s v="Non-AI"/>
    <x v="3"/>
    <s v="X95"/>
    <s v="Regular"/>
    <s v="In Project (Digi)"/>
    <m/>
    <m/>
    <x v="4"/>
    <x v="0"/>
    <x v="0"/>
    <x v="0"/>
    <s v="13"/>
    <m/>
    <x v="10"/>
    <x v="10"/>
    <x v="2"/>
    <m/>
  </r>
  <r>
    <x v="2"/>
    <m/>
    <x v="4"/>
    <s v="X96"/>
    <s v="Regular"/>
    <s v="In Project (Digi)"/>
    <m/>
    <m/>
    <x v="4"/>
    <x v="0"/>
    <x v="0"/>
    <x v="0"/>
    <s v="13"/>
    <m/>
    <x v="10"/>
    <x v="10"/>
    <x v="2"/>
    <m/>
  </r>
  <r>
    <x v="2"/>
    <m/>
    <x v="4"/>
    <s v="X97"/>
    <s v="Regular"/>
    <s v="In Project (Digi)"/>
    <m/>
    <m/>
    <x v="4"/>
    <x v="0"/>
    <x v="0"/>
    <x v="0"/>
    <s v="13"/>
    <m/>
    <x v="10"/>
    <x v="10"/>
    <x v="2"/>
    <m/>
  </r>
  <r>
    <x v="2"/>
    <m/>
    <x v="4"/>
    <s v="X98"/>
    <s v="Regular"/>
    <s v="In Project (Digi)"/>
    <m/>
    <m/>
    <x v="4"/>
    <x v="0"/>
    <x v="0"/>
    <x v="0"/>
    <s v="13"/>
    <m/>
    <x v="10"/>
    <x v="10"/>
    <x v="2"/>
    <m/>
  </r>
  <r>
    <x v="2"/>
    <m/>
    <x v="4"/>
    <s v="X99"/>
    <s v="Regular"/>
    <s v="In Project (Digi)"/>
    <m/>
    <m/>
    <x v="4"/>
    <x v="0"/>
    <x v="0"/>
    <x v="0"/>
    <s v="13"/>
    <m/>
    <x v="10"/>
    <x v="10"/>
    <x v="2"/>
    <m/>
  </r>
  <r>
    <x v="2"/>
    <m/>
    <x v="4"/>
    <s v="X100"/>
    <s v="Regular"/>
    <s v="In Project (Digi)"/>
    <m/>
    <m/>
    <x v="4"/>
    <x v="0"/>
    <x v="0"/>
    <x v="0"/>
    <s v="13"/>
    <m/>
    <x v="10"/>
    <x v="10"/>
    <x v="2"/>
    <m/>
  </r>
  <r>
    <x v="2"/>
    <m/>
    <x v="4"/>
    <s v="X101"/>
    <s v="Regular"/>
    <s v="In Project (Digi)"/>
    <m/>
    <m/>
    <x v="4"/>
    <x v="0"/>
    <x v="0"/>
    <x v="0"/>
    <s v="13"/>
    <m/>
    <x v="10"/>
    <x v="10"/>
    <x v="2"/>
    <m/>
  </r>
  <r>
    <x v="2"/>
    <m/>
    <x v="4"/>
    <s v="X102"/>
    <s v="Contractor"/>
    <s v="In Project (Digi)"/>
    <m/>
    <m/>
    <x v="4"/>
    <x v="1"/>
    <x v="13"/>
    <x v="2"/>
    <s v="13"/>
    <m/>
    <x v="10"/>
    <x v="10"/>
    <x v="2"/>
    <m/>
  </r>
  <r>
    <x v="2"/>
    <m/>
    <x v="4"/>
    <s v="X103"/>
    <s v="Regular"/>
    <s v="In Project (Digi)"/>
    <m/>
    <m/>
    <x v="4"/>
    <x v="0"/>
    <x v="0"/>
    <x v="0"/>
    <s v="13"/>
    <m/>
    <x v="10"/>
    <x v="10"/>
    <x v="2"/>
    <m/>
  </r>
  <r>
    <x v="0"/>
    <s v="Finance1"/>
    <x v="0"/>
    <s v="X104"/>
    <s v="Regular"/>
    <s v="In Project (Digi)"/>
    <m/>
    <m/>
    <x v="0"/>
    <x v="0"/>
    <x v="0"/>
    <x v="0"/>
    <s v="13"/>
    <m/>
    <x v="10"/>
    <x v="10"/>
    <x v="2"/>
    <m/>
  </r>
  <r>
    <x v="0"/>
    <s v="Finance1"/>
    <x v="0"/>
    <s v="X105"/>
    <s v="Regular"/>
    <s v="In Project (Digi)"/>
    <m/>
    <m/>
    <x v="0"/>
    <x v="0"/>
    <x v="0"/>
    <x v="0"/>
    <s v="13"/>
    <m/>
    <x v="10"/>
    <x v="10"/>
    <x v="2"/>
    <m/>
  </r>
  <r>
    <x v="4"/>
    <m/>
    <x v="6"/>
    <m/>
    <m/>
    <m/>
    <m/>
    <m/>
    <x v="9"/>
    <x v="2"/>
    <x v="0"/>
    <x v="0"/>
    <m/>
    <m/>
    <x v="10"/>
    <x v="10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E60E1-7F53-4771-9FCB-36EA02BC9B7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7:O19" firstHeaderRow="1" firstDataRow="1" firstDataCol="1" rowPageCount="3" colPageCount="1"/>
  <pivotFields count="21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1">
        <item x="4"/>
        <item x="1"/>
        <item x="0"/>
        <item x="8"/>
        <item x="5"/>
        <item x="6"/>
        <item x="7"/>
        <item x="2"/>
        <item x="3"/>
        <item x="9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axis="axisRow" showAll="0">
      <items count="18">
        <item x="0"/>
        <item x="2"/>
        <item x="4"/>
        <item x="8"/>
        <item x="5"/>
        <item m="1" x="16"/>
        <item x="6"/>
        <item x="7"/>
        <item x="14"/>
        <item x="11"/>
        <item x="13"/>
        <item x="15"/>
        <item x="9"/>
        <item x="12"/>
        <item x="3"/>
        <item x="10"/>
        <item x="1"/>
        <item t="default"/>
      </items>
    </pivotField>
    <pivotField axis="axisPage" multipleItemSelectionAllowed="1" showAll="0">
      <items count="14">
        <item x="7"/>
        <item x="8"/>
        <item x="11"/>
        <item x="12"/>
        <item x="4"/>
        <item x="0"/>
        <item x="3"/>
        <item x="5"/>
        <item x="9"/>
        <item x="2"/>
        <item x="1"/>
        <item x="6"/>
        <item h="1" x="1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4"/>
  </rowFields>
  <rowItems count="12">
    <i>
      <x/>
    </i>
    <i>
      <x v="1"/>
    </i>
    <i>
      <x v="2"/>
    </i>
    <i>
      <x v="3"/>
    </i>
    <i>
      <x v="4"/>
    </i>
    <i>
      <x v="6"/>
    </i>
    <i>
      <x v="7"/>
    </i>
    <i>
      <x v="11"/>
    </i>
    <i>
      <x v="12"/>
    </i>
    <i>
      <x v="14"/>
    </i>
    <i>
      <x v="16"/>
    </i>
    <i t="grand">
      <x/>
    </i>
  </rowItems>
  <colItems count="1">
    <i/>
  </colItems>
  <pageFields count="3">
    <pageField fld="15" hier="-1"/>
    <pageField fld="9" item="1" hier="-1"/>
    <pageField fld="16" item="1" hier="-1"/>
  </pageFields>
  <dataFields count="1">
    <dataField name="Count of E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E50C9-B701-473F-B21D-236382BD4C8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6:L12" firstHeaderRow="1" firstDataRow="2" firstDataCol="1" rowPageCount="1" colPageCount="1"/>
  <pivotFields count="21">
    <pivotField axis="axisRow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multipleItemSelectionAllowed="1" showAll="0">
      <items count="11">
        <item x="4"/>
        <item x="1"/>
        <item x="0"/>
        <item x="8"/>
        <item x="5"/>
        <item x="6"/>
        <item x="7"/>
        <item x="2"/>
        <item x="3"/>
        <item x="9"/>
        <item t="default"/>
      </items>
    </pivotField>
    <pivotField showAll="0"/>
    <pivotField axis="axisPage" multipleItemSelectionAllowed="1" showAll="0">
      <items count="23">
        <item x="12"/>
        <item x="16"/>
        <item x="10"/>
        <item h="1" m="1" x="20"/>
        <item x="17"/>
        <item x="7"/>
        <item h="1" m="1" x="21"/>
        <item x="11"/>
        <item x="18"/>
        <item h="1" m="1" x="19"/>
        <item x="4"/>
        <item x="9"/>
        <item x="6"/>
        <item x="14"/>
        <item x="5"/>
        <item x="3"/>
        <item x="8"/>
        <item x="13"/>
        <item x="15"/>
        <item x="1"/>
        <item h="1" x="0"/>
        <item h="1" x="2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multipleItemSelectionAllowe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pageFields count="1">
    <pageField fld="10" hier="-1"/>
  </pageFields>
  <dataFields count="1">
    <dataField name="Count of E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E5F5E-26C4-442F-B97B-F5D1D4B99CC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6:F13" firstHeaderRow="1" firstDataRow="1" firstDataCol="1" rowPageCount="1" colPageCount="1"/>
  <pivotFields count="21">
    <pivotField showAll="0"/>
    <pivotField showAll="0"/>
    <pivotField axis="axisRow" showAll="0">
      <items count="8">
        <item x="0"/>
        <item x="2"/>
        <item x="5"/>
        <item x="4"/>
        <item x="1"/>
        <item x="3"/>
        <item x="6"/>
        <item t="default"/>
      </items>
    </pivotField>
    <pivotField dataField="1" showAll="0"/>
    <pivotField showAll="0"/>
    <pivotField showAll="0"/>
    <pivotField showAll="0"/>
    <pivotField showAll="0"/>
    <pivotField axis="axisPage" multipleItemSelectionAllowed="1" showAll="0">
      <items count="11">
        <item x="4"/>
        <item x="1"/>
        <item x="0"/>
        <item x="8"/>
        <item h="1" x="5"/>
        <item x="6"/>
        <item x="7"/>
        <item x="2"/>
        <item x="3"/>
        <item h="1" x="9"/>
        <item t="default"/>
      </items>
    </pivotField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8" hier="-1"/>
  </pageFields>
  <dataFields count="1">
    <dataField name="Count of E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074E8-BCA3-43EA-B4E3-EFC6FE8C8F4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0" firstHeaderRow="1" firstDataRow="1" firstDataCol="1" rowPageCount="3" colPageCount="1"/>
  <pivotFields count="21">
    <pivotField axis="axisRow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4"/>
        <item x="1"/>
        <item x="0"/>
        <item x="8"/>
        <item x="5"/>
        <item x="6"/>
        <item x="7"/>
        <item x="2"/>
        <item x="3"/>
        <item x="9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14">
        <item x="7"/>
        <item x="8"/>
        <item x="11"/>
        <item x="12"/>
        <item x="4"/>
        <item x="0"/>
        <item x="3"/>
        <item x="5"/>
        <item x="9"/>
        <item x="2"/>
        <item x="1"/>
        <item x="6"/>
        <item h="1" x="10"/>
        <item t="default"/>
      </items>
    </pivotField>
    <pivotField axis="axisPage" showAll="0">
      <items count="4">
        <item x="1"/>
        <item x="0"/>
        <item x="2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3">
    <pageField fld="15" hier="-1"/>
    <pageField fld="9" item="1" hier="-1"/>
    <pageField fld="16" item="1" hier="-1"/>
  </pageFields>
  <dataFields count="1">
    <dataField name="Sum of Point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D08541A9-C3C9-4C17-9B26-7C40FEEA6460}" autoFormatId="16" applyNumberFormats="0" applyBorderFormats="0" applyFontFormats="0" applyPatternFormats="0" applyAlignmentFormats="0" applyWidthHeightFormats="0">
  <queryTableRefresh nextId="9">
    <queryTableFields count="5">
      <queryTableField id="4" name="TECHNOLOGY" tableColumnId="4"/>
      <queryTableField id="5" name="Cetification Version" tableColumnId="5"/>
      <queryTableField id="6" name="Difficulty" tableColumnId="6"/>
      <queryTableField id="7" name="Merge" tableColumnId="7"/>
      <queryTableField id="8" name="Points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8073CB2-B58A-4120-854C-619EC0ACADBF}" autoFormatId="16" applyNumberFormats="0" applyBorderFormats="0" applyFontFormats="0" applyPatternFormats="0" applyAlignmentFormats="0" applyWidthHeightFormats="0">
  <queryTableRefresh nextId="5">
    <queryTableFields count="2">
      <queryTableField id="3" name="EID" tableColumnId="1"/>
      <queryTableField id="2" name="Career Level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F6CFD1E-689F-4F3E-B678-CA0B1C68E60C}" autoFormatId="16" applyNumberFormats="0" applyBorderFormats="0" applyFontFormats="0" applyPatternFormats="0" applyAlignmentFormats="0" applyWidthHeightFormats="0">
  <queryTableRefresh nextId="8">
    <queryTableFields count="7">
      <queryTableField id="1" name="Certification Name" tableColumnId="1"/>
      <queryTableField id="2" name="Version" tableColumnId="2"/>
      <queryTableField id="3" name="Certified Date" tableColumnId="3"/>
      <queryTableField id="4" name="EID" tableColumnId="4"/>
      <queryTableField id="5" name="CertUpload" tableColumnId="5"/>
      <queryTableField id="6" name="CertValidation" tableColumnId="6"/>
      <queryTableField id="7" name="Points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43F717-60C5-411A-B8B3-E1DF7FAEEC13}" autoFormatId="16" applyNumberFormats="0" applyBorderFormats="0" applyFontFormats="0" applyPatternFormats="0" applyAlignmentFormats="0" applyWidthHeightFormats="0">
  <queryTableRefresh nextId="5">
    <queryTableFields count="4">
      <queryTableField id="1" name="Technology" tableColumnId="1"/>
      <queryTableField id="2" name="Difficulty" tableColumnId="2"/>
      <queryTableField id="3" name="Points" tableColumnId="3"/>
      <queryTableField id="4" name="Merged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EFA22FC6-F774-4B3F-A3E6-8D62C7FE3B6A}" autoFormatId="16" applyNumberFormats="0" applyBorderFormats="0" applyFontFormats="0" applyPatternFormats="0" applyAlignmentFormats="0" applyWidthHeightFormats="0">
  <queryTableRefresh nextId="19">
    <queryTableFields count="18">
      <queryTableField id="1" name="Group" tableColumnId="1"/>
      <queryTableField id="2" name="SubTeam" tableColumnId="2"/>
      <queryTableField id="3" name="Group&amp;SubTeam" tableColumnId="3"/>
      <queryTableField id="4" name="EID" tableColumnId="4"/>
      <queryTableField id="5" name="Employment Type" tableColumnId="5"/>
      <queryTableField id="6" name="Utilization Status" tableColumnId="6"/>
      <queryTableField id="7" name="Leave Start" tableColumnId="7"/>
      <queryTableField id="8" name="Leave End" tableColumnId="8"/>
      <queryTableField id="9" name="Join Date" tableColumnId="9"/>
      <queryTableField id="10" name="Is Active" tableColumnId="10"/>
      <queryTableField id="11" name="Roll Off Date" tableColumnId="11"/>
      <queryTableField id="12" name="Roll Off Reason" tableColumnId="12"/>
      <queryTableField id="13" name="Career Level" tableColumnId="13"/>
      <queryTableField id="14" name="Certification Name" tableColumnId="14"/>
      <queryTableField id="15" name="Version" tableColumnId="15"/>
      <queryTableField id="16" name="Certified Date" tableColumnId="16"/>
      <queryTableField id="17" name="CertValidation" tableColumnId="17"/>
      <queryTableField id="18" name="Point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2630C9-36AD-4F88-952E-5CF4B5E553B3}" name="Version" displayName="Version" ref="A1:E33" tableType="queryTable" totalsRowShown="0">
  <autoFilter ref="A1:E33" xr:uid="{3B2630C9-36AD-4F88-952E-5CF4B5E553B3}"/>
  <tableColumns count="5">
    <tableColumn id="4" xr3:uid="{E4B6C14B-938A-42D0-87BD-F658AB93D66B}" uniqueName="4" name="TECHNOLOGY" queryTableFieldId="4" dataDxfId="28"/>
    <tableColumn id="5" xr3:uid="{7F51F962-988D-4736-824A-418F6CD38DD2}" uniqueName="5" name="Cetification Version" queryTableFieldId="5" dataDxfId="27"/>
    <tableColumn id="6" xr3:uid="{8ECEF901-20FA-4C70-B7AF-BD24B6D2D187}" uniqueName="6" name="Difficulty" queryTableFieldId="6" dataDxfId="26"/>
    <tableColumn id="7" xr3:uid="{07A8956C-765C-4724-8FF7-4F98CB16F898}" uniqueName="7" name="Merge" queryTableFieldId="7"/>
    <tableColumn id="8" xr3:uid="{3EF7AD61-E088-4EF5-8DC8-5076B1608619}" uniqueName="8" name="Points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055DD7-D728-4909-A12C-78750B9B8C44}" name="CL" displayName="CL" ref="A1:B136" tableType="queryTable" totalsRowShown="0">
  <autoFilter ref="A1:B136" xr:uid="{52055DD7-D728-4909-A12C-78750B9B8C44}"/>
  <tableColumns count="2">
    <tableColumn id="1" xr3:uid="{7DC5BB7B-4C24-4801-99B2-6018329E710F}" uniqueName="1" name="EID" queryTableFieldId="3" dataDxfId="25"/>
    <tableColumn id="2" xr3:uid="{A61A7277-F3B4-442F-AA87-221CA5ABD79E}" uniqueName="2" name="Career Level" queryTableFieldId="2" dataDxf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4088D3-ADA6-456D-9337-596A32FE4F2C}" name="CertTracker" displayName="CertTracker" ref="A1:G71" tableType="queryTable" totalsRowShown="0">
  <autoFilter ref="A1:G71" xr:uid="{384088D3-ADA6-456D-9337-596A32FE4F2C}"/>
  <tableColumns count="7">
    <tableColumn id="1" xr3:uid="{F60CC2FC-4D52-41D1-B5E3-2EBB755E89A6}" uniqueName="1" name="Certification Name" queryTableFieldId="1" dataDxfId="23"/>
    <tableColumn id="2" xr3:uid="{B4717F0D-C391-4FFE-A495-B0ED4FC819C3}" uniqueName="2" name="Version" queryTableFieldId="2" dataDxfId="22"/>
    <tableColumn id="3" xr3:uid="{76A8E282-91DE-40A8-AADA-31C6AA621744}" uniqueName="3" name="Certified Date" queryTableFieldId="3" dataDxfId="21"/>
    <tableColumn id="4" xr3:uid="{A9CB2752-3178-4586-931C-540B5CDEEB6D}" uniqueName="4" name="EID" queryTableFieldId="4" dataDxfId="20"/>
    <tableColumn id="5" xr3:uid="{25A96B18-79B2-4DB7-B541-2DEBEB2B452D}" uniqueName="5" name="CertUpload" queryTableFieldId="5" dataDxfId="19"/>
    <tableColumn id="6" xr3:uid="{22B58907-2B5F-4CE4-8690-CE915974BCEE}" uniqueName="6" name="CertValidation" queryTableFieldId="6" dataDxfId="18"/>
    <tableColumn id="7" xr3:uid="{539030DE-3EE7-4AE0-BF57-CC3AD60C2878}" uniqueName="7" name="Points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8BC6E0-B1E3-42FF-9B92-35D434BBCF0C}" name="CertDifficulty" displayName="CertDifficulty" ref="A1:D16" tableType="queryTable" totalsRowShown="0">
  <autoFilter ref="A1:D16" xr:uid="{AC8BC6E0-B1E3-42FF-9B92-35D434BBCF0C}"/>
  <tableColumns count="4">
    <tableColumn id="1" xr3:uid="{1B4EA32F-B1E7-4CAE-BDF7-D6B530493338}" uniqueName="1" name="Technology" queryTableFieldId="1" dataDxfId="17"/>
    <tableColumn id="2" xr3:uid="{98101A97-A1F7-4D33-B723-16AEBA4EFF1B}" uniqueName="2" name="Difficulty" queryTableFieldId="2" dataDxfId="16"/>
    <tableColumn id="3" xr3:uid="{4867A01A-C637-4934-B03B-B52B2F592C77}" uniqueName="3" name="Points" queryTableFieldId="3"/>
    <tableColumn id="4" xr3:uid="{DB9FA85B-5F85-47D2-B92B-8822885D06EC}" uniqueName="4" name="Merged" queryTableFieldId="4" dataDxf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E1C4D8-1329-4C42-B1F5-9914487FB4D1}" name="ResourceInfo_Consolidated" displayName="ResourceInfo_Consolidated" ref="A1:R136" tableType="queryTable" totalsRowShown="0">
  <autoFilter ref="A1:R136" xr:uid="{4DE1C4D8-1329-4C42-B1F5-9914487FB4D1}"/>
  <tableColumns count="18">
    <tableColumn id="1" xr3:uid="{C37CD699-7A87-4261-A4C5-5B5D55EE3666}" uniqueName="1" name="Group" queryTableFieldId="1" dataDxfId="14"/>
    <tableColumn id="2" xr3:uid="{2776141A-6BBD-45C2-9596-E1CF068E9E23}" uniqueName="2" name="SubTeam" queryTableFieldId="2" dataDxfId="13"/>
    <tableColumn id="3" xr3:uid="{2AF45BDF-D036-49F6-B0FB-6F35B3DA5FA7}" uniqueName="3" name="Group&amp;SubTeam" queryTableFieldId="3" dataDxfId="12"/>
    <tableColumn id="4" xr3:uid="{3EDD950A-78C1-4567-8800-E4BE81EE6BE6}" uniqueName="4" name="EID" queryTableFieldId="4" dataDxfId="11"/>
    <tableColumn id="5" xr3:uid="{65414081-80A7-4856-AB8F-0FB4827FEEB1}" uniqueName="5" name="Employment Type" queryTableFieldId="5" dataDxfId="10"/>
    <tableColumn id="6" xr3:uid="{58ACFE0F-455F-4001-87EE-02CE54853651}" uniqueName="6" name="Utilization Status" queryTableFieldId="6" dataDxfId="9"/>
    <tableColumn id="7" xr3:uid="{730F5E3D-9D30-4170-9988-1178149F5488}" uniqueName="7" name="Leave Start" queryTableFieldId="7"/>
    <tableColumn id="8" xr3:uid="{311FF3F1-7AA5-4CAD-A0F7-B1296D131129}" uniqueName="8" name="Leave End" queryTableFieldId="8"/>
    <tableColumn id="9" xr3:uid="{CB1D9D02-07CE-4EB3-819F-1748C3A6ECA9}" uniqueName="9" name="Join Date" queryTableFieldId="9" dataDxfId="8"/>
    <tableColumn id="10" xr3:uid="{AF47ED22-F99E-4743-830F-6060CD7B26DD}" uniqueName="10" name="Is Active" queryTableFieldId="10" dataDxfId="7"/>
    <tableColumn id="11" xr3:uid="{3B8C9871-4FBE-452C-8C8C-E8F70237FCD6}" uniqueName="11" name="Roll Off Date" queryTableFieldId="11" dataDxfId="6"/>
    <tableColumn id="12" xr3:uid="{A6048344-9994-41F3-A143-7A3FF07F931C}" uniqueName="12" name="Roll Off Reason" queryTableFieldId="12" dataDxfId="5"/>
    <tableColumn id="13" xr3:uid="{2595BE51-EC76-479C-9D57-DBEBE123FF76}" uniqueName="13" name="Career Level" queryTableFieldId="13" dataDxfId="4"/>
    <tableColumn id="14" xr3:uid="{DC050586-3C41-4745-8F59-AAD1E0EFABA0}" uniqueName="14" name="Certification Name" queryTableFieldId="14" dataDxfId="3"/>
    <tableColumn id="15" xr3:uid="{9D8C5764-1CB2-443C-9A22-2B955DA32704}" uniqueName="15" name="Version" queryTableFieldId="15" dataDxfId="2"/>
    <tableColumn id="16" xr3:uid="{54EDC20C-CEE5-446D-888A-8143BAB80691}" uniqueName="16" name="Certified Date" queryTableFieldId="16" dataDxfId="1"/>
    <tableColumn id="17" xr3:uid="{95462144-5148-4D3F-B0EC-DD5ADD3DB1D2}" uniqueName="17" name="CertValidation" queryTableFieldId="17" dataDxfId="0"/>
    <tableColumn id="18" xr3:uid="{52ED28FA-3DA0-4D00-B30B-9C47E3FA9E65}" uniqueName="18" name="Points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266F4-4DCF-409D-A697-F0DAF5CE7102}">
  <dimension ref="A1:N22"/>
  <sheetViews>
    <sheetView tabSelected="1" workbookViewId="0">
      <selection activeCell="N25" sqref="N25"/>
    </sheetView>
  </sheetViews>
  <sheetFormatPr defaultRowHeight="14" x14ac:dyDescent="0.3"/>
  <cols>
    <col min="2" max="2" width="12.33203125" customWidth="1"/>
    <col min="6" max="6" width="18.9140625" customWidth="1"/>
    <col min="13" max="13" width="13.6640625" customWidth="1"/>
    <col min="14" max="14" width="32.25" customWidth="1"/>
  </cols>
  <sheetData>
    <row r="1" spans="1:14" x14ac:dyDescent="0.3">
      <c r="A1" t="s">
        <v>228</v>
      </c>
    </row>
    <row r="2" spans="1:14" x14ac:dyDescent="0.3">
      <c r="A2" s="2">
        <v>1</v>
      </c>
      <c r="B2" s="2"/>
      <c r="C2" s="2"/>
      <c r="D2" s="2">
        <v>2</v>
      </c>
      <c r="E2" s="2"/>
      <c r="F2" s="2"/>
      <c r="G2" s="2"/>
      <c r="H2" s="2">
        <v>3</v>
      </c>
      <c r="I2" s="2"/>
      <c r="J2" s="2"/>
      <c r="K2" s="2"/>
      <c r="L2" s="2"/>
      <c r="M2" s="2">
        <v>4</v>
      </c>
      <c r="N2" s="2"/>
    </row>
    <row r="3" spans="1:14" x14ac:dyDescent="0.3">
      <c r="A3" t="s">
        <v>229</v>
      </c>
      <c r="D3" t="s">
        <v>229</v>
      </c>
      <c r="H3" t="s">
        <v>229</v>
      </c>
      <c r="M3" t="s">
        <v>229</v>
      </c>
    </row>
    <row r="4" spans="1:14" x14ac:dyDescent="0.3">
      <c r="A4" t="s">
        <v>230</v>
      </c>
      <c r="D4" t="s">
        <v>231</v>
      </c>
      <c r="H4" t="s">
        <v>232</v>
      </c>
      <c r="M4" t="s">
        <v>233</v>
      </c>
    </row>
    <row r="5" spans="1:14" x14ac:dyDescent="0.3">
      <c r="A5" t="s">
        <v>234</v>
      </c>
      <c r="H5" t="s">
        <v>235</v>
      </c>
      <c r="M5" t="s">
        <v>234</v>
      </c>
    </row>
    <row r="6" spans="1:14" x14ac:dyDescent="0.3">
      <c r="A6" s="3" t="s">
        <v>174</v>
      </c>
      <c r="B6" s="3" t="s">
        <v>236</v>
      </c>
      <c r="D6" s="3" t="s">
        <v>174</v>
      </c>
      <c r="E6" s="3" t="s">
        <v>175</v>
      </c>
      <c r="F6" s="3" t="s">
        <v>237</v>
      </c>
      <c r="H6" s="3" t="s">
        <v>174</v>
      </c>
      <c r="I6" s="3" t="s">
        <v>191</v>
      </c>
      <c r="J6" s="3" t="s">
        <v>195</v>
      </c>
      <c r="M6" s="3" t="s">
        <v>238</v>
      </c>
      <c r="N6" s="3" t="s">
        <v>239</v>
      </c>
    </row>
    <row r="7" spans="1:14" x14ac:dyDescent="0.3">
      <c r="A7" s="4" t="s">
        <v>185</v>
      </c>
      <c r="B7" s="5">
        <f>IF(_xlfn.IFNA(VLOOKUP(A7,Pivot!A:B,2,0),"")=0,"",_xlfn.IFNA(VLOOKUP(A7,Pivot!A:B,2,0),""))</f>
        <v>491500</v>
      </c>
      <c r="D7" s="6" t="s">
        <v>185</v>
      </c>
      <c r="E7" s="5" t="s">
        <v>186</v>
      </c>
      <c r="F7" s="5">
        <f>IF(_xlfn.IFNA(VLOOKUP(D7&amp;E7,Pivot!E:F,2,0),"")=0,"",_xlfn.IFNA(VLOOKUP(D7&amp;E7,Pivot!E:F,2,0),""))</f>
        <v>49</v>
      </c>
      <c r="H7" s="4" t="s">
        <v>185</v>
      </c>
      <c r="I7" s="5">
        <f>IF(_xlfn.IFNA(VLOOKUP(H7,Pivot!I:L,2,0),"")=0,"",_xlfn.IFNA(VLOOKUP(H7,Pivot!I:L,2,0),""))</f>
        <v>5</v>
      </c>
      <c r="J7" s="5">
        <f>IF(_xlfn.IFNA(VLOOKUP(H7,Pivot!I:K,3,0),"")=0,"",_xlfn.IFNA(VLOOKUP(H7,Pivot!I:K,3,0),""))</f>
        <v>13</v>
      </c>
      <c r="M7" s="5" t="s">
        <v>36</v>
      </c>
      <c r="N7" s="5">
        <f>IF(_xlfn.IFNA(VLOOKUP(M7,Pivot!N:O,2,0),"")=0,"",_xlfn.IFNA(VLOOKUP(M7,Pivot!N:O,2,0),""))</f>
        <v>14</v>
      </c>
    </row>
    <row r="8" spans="1:14" x14ac:dyDescent="0.3">
      <c r="A8" s="4" t="s">
        <v>198</v>
      </c>
      <c r="B8" s="5" t="str">
        <f>IF(_xlfn.IFNA(VLOOKUP(A8,Pivot!A:B,2,0),"")=0,"",_xlfn.IFNA(VLOOKUP(A8,Pivot!A:B,2,0),""))</f>
        <v/>
      </c>
      <c r="D8" s="6" t="s">
        <v>185</v>
      </c>
      <c r="E8" s="5" t="s">
        <v>192</v>
      </c>
      <c r="F8" s="5">
        <f>IF(_xlfn.IFNA(VLOOKUP(D8&amp;E8,Pivot!E:F,2,0),"")=0,"",_xlfn.IFNA(VLOOKUP(D8&amp;E8,Pivot!E:F,2,0),""))</f>
        <v>14</v>
      </c>
      <c r="H8" s="4" t="s">
        <v>198</v>
      </c>
      <c r="I8" s="5">
        <f>IF(_xlfn.IFNA(VLOOKUP(H8,Pivot!I:L,2,0),"")=0,"",_xlfn.IFNA(VLOOKUP(H8,Pivot!I:L,2,0),""))</f>
        <v>4</v>
      </c>
      <c r="J8" s="5">
        <f>IF(_xlfn.IFNA(VLOOKUP(H8,Pivot!I:K,3,0),"")=0,"",_xlfn.IFNA(VLOOKUP(H8,Pivot!I:K,3,0),""))</f>
        <v>12</v>
      </c>
      <c r="M8" s="5" t="s">
        <v>240</v>
      </c>
      <c r="N8" s="5">
        <f>IF(_xlfn.IFNA(VLOOKUP(M8,Pivot!N:O,2,0),"")=0,"",_xlfn.IFNA(VLOOKUP(M8,Pivot!N:O,2,0),""))</f>
        <v>1</v>
      </c>
    </row>
    <row r="9" spans="1:14" x14ac:dyDescent="0.3">
      <c r="A9" s="4" t="s">
        <v>204</v>
      </c>
      <c r="B9" s="5">
        <f>IF(_xlfn.IFNA(VLOOKUP(A9,Pivot!A:B,2,0),"")=0,"",_xlfn.IFNA(VLOOKUP(A9,Pivot!A:B,2,0),""))</f>
        <v>30500</v>
      </c>
      <c r="D9" s="6" t="s">
        <v>196</v>
      </c>
      <c r="E9" s="5"/>
      <c r="F9" s="5">
        <f>IF(_xlfn.IFNA(VLOOKUP(D9&amp;E9,Pivot!E:F,2,0),"")=0,"",_xlfn.IFNA(VLOOKUP(D9&amp;E9,Pivot!E:F,2,0),""))</f>
        <v>22</v>
      </c>
      <c r="H9" s="4" t="s">
        <v>204</v>
      </c>
      <c r="I9" s="5">
        <f>IF(_xlfn.IFNA(VLOOKUP(H9,Pivot!I:L,2,0),"")=0,"",_xlfn.IFNA(VLOOKUP(H9,Pivot!I:L,2,0),""))</f>
        <v>1</v>
      </c>
      <c r="J9" s="5">
        <f>IF(_xlfn.IFNA(VLOOKUP(H9,Pivot!I:K,3,0),"")=0,"",_xlfn.IFNA(VLOOKUP(H9,Pivot!I:K,3,0),""))</f>
        <v>5</v>
      </c>
      <c r="M9" s="5" t="s">
        <v>67</v>
      </c>
      <c r="N9" s="5">
        <f>IF(_xlfn.IFNA(VLOOKUP(M9,Pivot!N:O,2,0),"")=0,"",_xlfn.IFNA(VLOOKUP(M9,Pivot!N:O,2,0),""))</f>
        <v>2</v>
      </c>
    </row>
    <row r="10" spans="1:14" x14ac:dyDescent="0.3">
      <c r="A10" s="4" t="s">
        <v>196</v>
      </c>
      <c r="B10" s="5">
        <f>IF(_xlfn.IFNA(VLOOKUP(A10,Pivot!A:B,2,0),"")=0,"",_xlfn.IFNA(VLOOKUP(A10,Pivot!A:B,2,0),""))</f>
        <v>10000</v>
      </c>
      <c r="D10" s="6" t="s">
        <v>204</v>
      </c>
      <c r="E10" s="5"/>
      <c r="F10" s="5">
        <f>IF(_xlfn.IFNA(VLOOKUP(D10&amp;E10,Pivot!E:F,2,0),"")=0,"",_xlfn.IFNA(VLOOKUP(D10&amp;E10,Pivot!E:F,2,0),""))</f>
        <v>16</v>
      </c>
      <c r="H10" s="4" t="s">
        <v>196</v>
      </c>
      <c r="I10" s="5">
        <f>IF(_xlfn.IFNA(VLOOKUP(H10,Pivot!I:L,2,0),"")=0,"",_xlfn.IFNA(VLOOKUP(H10,Pivot!I:L,2,0),""))</f>
        <v>4</v>
      </c>
      <c r="J10" s="5">
        <f>IF(_xlfn.IFNA(VLOOKUP(H10,Pivot!I:K,3,0),"")=0,"",_xlfn.IFNA(VLOOKUP(H10,Pivot!I:K,3,0),""))</f>
        <v>4</v>
      </c>
      <c r="M10" s="5" t="s">
        <v>241</v>
      </c>
      <c r="N10" s="5">
        <f>IF(_xlfn.IFNA(VLOOKUP(M10,Pivot!N:O,2,0),"")=0,"",_xlfn.IFNA(VLOOKUP(M10,Pivot!N:O,2,0),""))</f>
        <v>1</v>
      </c>
    </row>
    <row r="11" spans="1:14" x14ac:dyDescent="0.3">
      <c r="A11" s="7" t="s">
        <v>242</v>
      </c>
      <c r="B11" s="6">
        <f>SUM(B7:B10)</f>
        <v>532000</v>
      </c>
      <c r="D11" s="6" t="s">
        <v>198</v>
      </c>
      <c r="E11" s="5" t="s">
        <v>199</v>
      </c>
      <c r="F11" s="5">
        <f>IF(_xlfn.IFNA(VLOOKUP(D11&amp;E11,Pivot!E:F,2,0),"")=0,"",_xlfn.IFNA(VLOOKUP(D11&amp;E11,Pivot!E:F,2,0),""))</f>
        <v>16</v>
      </c>
      <c r="H11" s="7" t="s">
        <v>242</v>
      </c>
      <c r="I11" s="6">
        <f>SUM(I7:I10)</f>
        <v>14</v>
      </c>
      <c r="J11" s="6">
        <f>SUM(J7:J10)</f>
        <v>34</v>
      </c>
      <c r="M11" s="5" t="s">
        <v>87</v>
      </c>
      <c r="N11" s="5" t="str">
        <f>IF(_xlfn.IFNA(VLOOKUP(M11,Pivot!N:O,2,0),"")=0,"",_xlfn.IFNA(VLOOKUP(M11,Pivot!N:O,2,0),""))</f>
        <v/>
      </c>
    </row>
    <row r="12" spans="1:14" x14ac:dyDescent="0.3">
      <c r="D12" s="6" t="s">
        <v>198</v>
      </c>
      <c r="E12" s="5" t="s">
        <v>201</v>
      </c>
      <c r="F12" s="5">
        <f>IF(_xlfn.IFNA(VLOOKUP(D12&amp;E12,Pivot!E:F,2,0),"")=0,"",_xlfn.IFNA(VLOOKUP(D12&amp;E12,Pivot!E:F,2,0),""))</f>
        <v>16</v>
      </c>
      <c r="M12" s="5" t="s">
        <v>73</v>
      </c>
      <c r="N12" s="5" t="str">
        <f>IF(_xlfn.IFNA(VLOOKUP(M12,Pivot!N:O,2,0),"")=0,"",_xlfn.IFNA(VLOOKUP(M12,Pivot!N:O,2,0),""))</f>
        <v/>
      </c>
    </row>
    <row r="13" spans="1:14" x14ac:dyDescent="0.3">
      <c r="D13" s="9" t="s">
        <v>243</v>
      </c>
      <c r="E13" s="10"/>
      <c r="F13" s="5">
        <f>SUM(F7:F12)</f>
        <v>133</v>
      </c>
      <c r="M13" s="5" t="s">
        <v>75</v>
      </c>
      <c r="N13" s="5" t="str">
        <f>IF(_xlfn.IFNA(VLOOKUP(M13,Pivot!N:O,2,0),"")=0,"",_xlfn.IFNA(VLOOKUP(M13,Pivot!N:O,2,0),""))</f>
        <v/>
      </c>
    </row>
    <row r="14" spans="1:14" x14ac:dyDescent="0.3">
      <c r="M14" s="5" t="s">
        <v>77</v>
      </c>
      <c r="N14" s="5">
        <f>IF(_xlfn.IFNA(VLOOKUP(M14,Pivot!N:O,2,0),"")=0,"",_xlfn.IFNA(VLOOKUP(M14,Pivot!N:O,2,0),""))</f>
        <v>1</v>
      </c>
    </row>
    <row r="15" spans="1:14" x14ac:dyDescent="0.3">
      <c r="M15" s="5" t="s">
        <v>80</v>
      </c>
      <c r="N15" s="5">
        <f>IF(_xlfn.IFNA(VLOOKUP(M15,Pivot!N:O,2,0),"")=0,"",_xlfn.IFNA(VLOOKUP(M15,Pivot!N:O,2,0),""))</f>
        <v>2</v>
      </c>
    </row>
    <row r="16" spans="1:14" x14ac:dyDescent="0.3">
      <c r="M16" s="5" t="s">
        <v>16</v>
      </c>
      <c r="N16" s="5">
        <f>IF(_xlfn.IFNA(VLOOKUP(M16,Pivot!N:O,2,0),"")=0,"",_xlfn.IFNA(VLOOKUP(M16,Pivot!N:O,2,0),""))</f>
        <v>1</v>
      </c>
    </row>
    <row r="17" spans="13:14" x14ac:dyDescent="0.3">
      <c r="M17" s="5" t="s">
        <v>20</v>
      </c>
      <c r="N17" s="5">
        <f>IF(_xlfn.IFNA(VLOOKUP(M17,Pivot!N:O,2,0),"")=0,"",_xlfn.IFNA(VLOOKUP(M17,Pivot!N:O,2,0),""))</f>
        <v>4</v>
      </c>
    </row>
    <row r="18" spans="13:14" x14ac:dyDescent="0.3">
      <c r="M18" s="5" t="s">
        <v>22</v>
      </c>
      <c r="N18" s="5">
        <f>IF(_xlfn.IFNA(VLOOKUP(M18,Pivot!N:O,2,0),"")=0,"",_xlfn.IFNA(VLOOKUP(M18,Pivot!N:O,2,0),""))</f>
        <v>1</v>
      </c>
    </row>
    <row r="19" spans="13:14" x14ac:dyDescent="0.3">
      <c r="M19" s="5" t="s">
        <v>29</v>
      </c>
      <c r="N19" s="5">
        <f>IF(_xlfn.IFNA(VLOOKUP(M19,Pivot!N:O,2,0),"")=0,"",_xlfn.IFNA(VLOOKUP(M19,Pivot!N:O,2,0),""))</f>
        <v>2</v>
      </c>
    </row>
    <row r="20" spans="13:14" x14ac:dyDescent="0.3">
      <c r="M20" s="5" t="s">
        <v>92</v>
      </c>
      <c r="N20" s="5" t="str">
        <f>IF(_xlfn.IFNA(VLOOKUP(M20,Pivot!N:O,2,0),"")=0,"",_xlfn.IFNA(VLOOKUP(M20,Pivot!N:O,2,0),""))</f>
        <v/>
      </c>
    </row>
    <row r="21" spans="13:14" x14ac:dyDescent="0.3">
      <c r="M21" s="5" t="s">
        <v>94</v>
      </c>
      <c r="N21" s="5">
        <f>IF(_xlfn.IFNA(VLOOKUP(M21,Pivot!N:O,2,0),"")=0,"",_xlfn.IFNA(VLOOKUP(M21,Pivot!N:O,2,0),""))</f>
        <v>1</v>
      </c>
    </row>
    <row r="22" spans="13:14" x14ac:dyDescent="0.3">
      <c r="M22" s="6" t="s">
        <v>242</v>
      </c>
      <c r="N22" s="6">
        <f>SUM(N7:N21)</f>
        <v>30</v>
      </c>
    </row>
  </sheetData>
  <mergeCells count="1">
    <mergeCell ref="D13:E1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B931D-55FB-423D-BC87-8BAA0BB9C671}">
  <dimension ref="A1:O19"/>
  <sheetViews>
    <sheetView workbookViewId="0">
      <selection activeCell="C21" sqref="C21"/>
    </sheetView>
  </sheetViews>
  <sheetFormatPr defaultRowHeight="14" x14ac:dyDescent="0.3"/>
  <cols>
    <col min="1" max="1" width="12.5" bestFit="1" customWidth="1"/>
    <col min="2" max="2" width="13" bestFit="1" customWidth="1"/>
    <col min="5" max="5" width="14.33203125" bestFit="1" customWidth="1"/>
    <col min="6" max="6" width="11.9140625" bestFit="1" customWidth="1"/>
    <col min="9" max="9" width="11.9140625" bestFit="1" customWidth="1"/>
    <col min="10" max="10" width="8.75" bestFit="1" customWidth="1"/>
    <col min="11" max="11" width="6.75" bestFit="1" customWidth="1"/>
    <col min="12" max="12" width="4.83203125" bestFit="1" customWidth="1"/>
    <col min="13" max="13" width="10.75" bestFit="1" customWidth="1"/>
    <col min="14" max="14" width="13.9140625" bestFit="1" customWidth="1"/>
    <col min="15" max="15" width="11.9140625" bestFit="1" customWidth="1"/>
  </cols>
  <sheetData>
    <row r="1" spans="1:15" x14ac:dyDescent="0.3">
      <c r="A1">
        <v>1</v>
      </c>
      <c r="E1">
        <v>2</v>
      </c>
      <c r="I1">
        <v>3</v>
      </c>
      <c r="N1">
        <v>4</v>
      </c>
    </row>
    <row r="2" spans="1:15" x14ac:dyDescent="0.3">
      <c r="A2" s="8" t="s">
        <v>12</v>
      </c>
      <c r="B2" t="s">
        <v>278</v>
      </c>
    </row>
    <row r="3" spans="1:15" x14ac:dyDescent="0.3">
      <c r="A3" s="8" t="s">
        <v>182</v>
      </c>
      <c r="B3" t="s">
        <v>18</v>
      </c>
      <c r="N3" s="8" t="s">
        <v>12</v>
      </c>
      <c r="O3" t="s">
        <v>278</v>
      </c>
    </row>
    <row r="4" spans="1:15" x14ac:dyDescent="0.3">
      <c r="A4" s="8" t="s">
        <v>15</v>
      </c>
      <c r="B4" t="s">
        <v>19</v>
      </c>
      <c r="E4" s="8" t="s">
        <v>181</v>
      </c>
      <c r="F4" t="s">
        <v>278</v>
      </c>
      <c r="I4" s="8" t="s">
        <v>183</v>
      </c>
      <c r="J4" t="s">
        <v>278</v>
      </c>
      <c r="N4" s="8" t="s">
        <v>182</v>
      </c>
      <c r="O4" t="s">
        <v>18</v>
      </c>
    </row>
    <row r="5" spans="1:15" x14ac:dyDescent="0.3">
      <c r="N5" s="8" t="s">
        <v>15</v>
      </c>
      <c r="O5" t="s">
        <v>19</v>
      </c>
    </row>
    <row r="6" spans="1:15" x14ac:dyDescent="0.3">
      <c r="A6" s="8" t="s">
        <v>276</v>
      </c>
      <c r="B6" t="s">
        <v>260</v>
      </c>
      <c r="E6" s="8" t="s">
        <v>276</v>
      </c>
      <c r="F6" t="s">
        <v>261</v>
      </c>
      <c r="I6" s="8" t="s">
        <v>261</v>
      </c>
      <c r="J6" s="8" t="s">
        <v>275</v>
      </c>
    </row>
    <row r="7" spans="1:15" x14ac:dyDescent="0.3">
      <c r="A7" s="2" t="s">
        <v>185</v>
      </c>
      <c r="B7">
        <v>491500</v>
      </c>
      <c r="E7" s="2" t="s">
        <v>187</v>
      </c>
      <c r="F7">
        <v>49</v>
      </c>
      <c r="I7" s="8" t="s">
        <v>276</v>
      </c>
      <c r="J7" t="s">
        <v>191</v>
      </c>
      <c r="K7" t="s">
        <v>195</v>
      </c>
      <c r="L7" t="s">
        <v>277</v>
      </c>
      <c r="N7" s="8" t="s">
        <v>276</v>
      </c>
      <c r="O7" t="s">
        <v>261</v>
      </c>
    </row>
    <row r="8" spans="1:15" x14ac:dyDescent="0.3">
      <c r="A8" s="2" t="s">
        <v>196</v>
      </c>
      <c r="B8">
        <v>10000</v>
      </c>
      <c r="E8" s="2" t="s">
        <v>193</v>
      </c>
      <c r="F8">
        <v>14</v>
      </c>
      <c r="I8" s="2" t="s">
        <v>185</v>
      </c>
      <c r="J8">
        <v>5</v>
      </c>
      <c r="K8">
        <v>13</v>
      </c>
      <c r="L8">
        <v>18</v>
      </c>
      <c r="N8" s="2" t="s">
        <v>16</v>
      </c>
      <c r="O8">
        <v>1</v>
      </c>
    </row>
    <row r="9" spans="1:15" x14ac:dyDescent="0.3">
      <c r="A9" s="2" t="s">
        <v>204</v>
      </c>
      <c r="B9">
        <v>30500</v>
      </c>
      <c r="E9" s="2" t="s">
        <v>196</v>
      </c>
      <c r="F9">
        <v>22</v>
      </c>
      <c r="I9" s="2" t="s">
        <v>196</v>
      </c>
      <c r="J9">
        <v>4</v>
      </c>
      <c r="K9">
        <v>4</v>
      </c>
      <c r="L9">
        <v>8</v>
      </c>
      <c r="N9" s="2" t="s">
        <v>20</v>
      </c>
      <c r="O9">
        <v>4</v>
      </c>
    </row>
    <row r="10" spans="1:15" x14ac:dyDescent="0.3">
      <c r="A10" s="2" t="s">
        <v>277</v>
      </c>
      <c r="B10">
        <v>532000</v>
      </c>
      <c r="E10" s="2" t="s">
        <v>204</v>
      </c>
      <c r="F10">
        <v>16</v>
      </c>
      <c r="I10" s="2" t="s">
        <v>204</v>
      </c>
      <c r="J10">
        <v>1</v>
      </c>
      <c r="K10">
        <v>5</v>
      </c>
      <c r="L10">
        <v>6</v>
      </c>
      <c r="N10" s="2" t="s">
        <v>22</v>
      </c>
      <c r="O10">
        <v>1</v>
      </c>
    </row>
    <row r="11" spans="1:15" x14ac:dyDescent="0.3">
      <c r="E11" s="2" t="s">
        <v>200</v>
      </c>
      <c r="F11">
        <v>16</v>
      </c>
      <c r="I11" s="2" t="s">
        <v>198</v>
      </c>
      <c r="J11">
        <v>4</v>
      </c>
      <c r="K11">
        <v>12</v>
      </c>
      <c r="L11">
        <v>16</v>
      </c>
      <c r="N11" s="2" t="s">
        <v>29</v>
      </c>
      <c r="O11">
        <v>2</v>
      </c>
    </row>
    <row r="12" spans="1:15" x14ac:dyDescent="0.3">
      <c r="E12" s="2" t="s">
        <v>202</v>
      </c>
      <c r="F12">
        <v>16</v>
      </c>
      <c r="I12" s="2" t="s">
        <v>277</v>
      </c>
      <c r="J12">
        <v>14</v>
      </c>
      <c r="K12">
        <v>34</v>
      </c>
      <c r="L12">
        <v>48</v>
      </c>
      <c r="N12" s="2" t="s">
        <v>36</v>
      </c>
      <c r="O12">
        <v>14</v>
      </c>
    </row>
    <row r="13" spans="1:15" x14ac:dyDescent="0.3">
      <c r="E13" s="2" t="s">
        <v>277</v>
      </c>
      <c r="F13">
        <v>133</v>
      </c>
      <c r="N13" s="2" t="s">
        <v>67</v>
      </c>
      <c r="O13">
        <v>2</v>
      </c>
    </row>
    <row r="14" spans="1:15" x14ac:dyDescent="0.3">
      <c r="N14" s="2" t="s">
        <v>43</v>
      </c>
      <c r="O14">
        <v>1</v>
      </c>
    </row>
    <row r="15" spans="1:15" x14ac:dyDescent="0.3">
      <c r="N15" s="2" t="s">
        <v>77</v>
      </c>
      <c r="O15">
        <v>1</v>
      </c>
    </row>
    <row r="16" spans="1:15" x14ac:dyDescent="0.3">
      <c r="N16" s="2" t="s">
        <v>80</v>
      </c>
      <c r="O16">
        <v>2</v>
      </c>
    </row>
    <row r="17" spans="14:15" x14ac:dyDescent="0.3">
      <c r="N17" s="2" t="s">
        <v>94</v>
      </c>
      <c r="O17">
        <v>1</v>
      </c>
    </row>
    <row r="18" spans="14:15" x14ac:dyDescent="0.3">
      <c r="N18" s="2" t="s">
        <v>210</v>
      </c>
      <c r="O18">
        <v>1</v>
      </c>
    </row>
    <row r="19" spans="14:15" x14ac:dyDescent="0.3">
      <c r="N19" s="2" t="s">
        <v>277</v>
      </c>
      <c r="O19">
        <v>30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3E736-75DF-48E4-BB6A-F7DDBD396CE9}">
  <dimension ref="A1:E33"/>
  <sheetViews>
    <sheetView workbookViewId="0">
      <selection activeCell="E8" sqref="E8"/>
    </sheetView>
  </sheetViews>
  <sheetFormatPr defaultRowHeight="14" x14ac:dyDescent="0.3"/>
  <cols>
    <col min="1" max="1" width="15.4140625" bestFit="1" customWidth="1"/>
    <col min="2" max="2" width="20.1640625" bestFit="1" customWidth="1"/>
    <col min="3" max="3" width="10.9140625" bestFit="1" customWidth="1"/>
    <col min="4" max="4" width="21.25" bestFit="1" customWidth="1"/>
    <col min="5" max="5" width="8.4140625" bestFit="1" customWidth="1"/>
    <col min="6" max="6" width="13.4140625" bestFit="1" customWidth="1"/>
    <col min="7" max="7" width="17.25" bestFit="1" customWidth="1"/>
    <col min="8" max="8" width="10.75" bestFit="1" customWidth="1"/>
  </cols>
  <sheetData>
    <row r="1" spans="1:5" x14ac:dyDescent="0.3">
      <c r="A1" t="s">
        <v>205</v>
      </c>
      <c r="B1" t="s">
        <v>206</v>
      </c>
      <c r="C1" t="s">
        <v>1</v>
      </c>
      <c r="D1" t="s">
        <v>257</v>
      </c>
      <c r="E1" t="s">
        <v>2</v>
      </c>
    </row>
    <row r="2" spans="1:5" x14ac:dyDescent="0.3">
      <c r="A2" t="s">
        <v>3</v>
      </c>
      <c r="B2" t="s">
        <v>16</v>
      </c>
      <c r="C2" t="s">
        <v>4</v>
      </c>
      <c r="D2" t="s">
        <v>245</v>
      </c>
      <c r="E2">
        <v>500</v>
      </c>
    </row>
    <row r="3" spans="1:5" x14ac:dyDescent="0.3">
      <c r="A3" t="s">
        <v>3</v>
      </c>
      <c r="B3" t="s">
        <v>20</v>
      </c>
      <c r="C3" t="s">
        <v>6</v>
      </c>
      <c r="D3" t="s">
        <v>247</v>
      </c>
      <c r="E3">
        <v>10000</v>
      </c>
    </row>
    <row r="4" spans="1:5" x14ac:dyDescent="0.3">
      <c r="A4" t="s">
        <v>7</v>
      </c>
      <c r="B4" t="s">
        <v>29</v>
      </c>
      <c r="C4" t="s">
        <v>5</v>
      </c>
      <c r="D4" t="s">
        <v>249</v>
      </c>
      <c r="E4">
        <v>500</v>
      </c>
    </row>
    <row r="5" spans="1:5" x14ac:dyDescent="0.3">
      <c r="A5" t="s">
        <v>7</v>
      </c>
      <c r="B5" t="s">
        <v>22</v>
      </c>
      <c r="C5" t="s">
        <v>5</v>
      </c>
      <c r="D5" t="s">
        <v>249</v>
      </c>
      <c r="E5">
        <v>500</v>
      </c>
    </row>
    <row r="6" spans="1:5" x14ac:dyDescent="0.3">
      <c r="A6" t="s">
        <v>7</v>
      </c>
      <c r="B6" t="s">
        <v>207</v>
      </c>
      <c r="C6" t="s">
        <v>4</v>
      </c>
      <c r="D6" t="s">
        <v>248</v>
      </c>
      <c r="E6">
        <v>300</v>
      </c>
    </row>
    <row r="7" spans="1:5" x14ac:dyDescent="0.3">
      <c r="A7" t="s">
        <v>7</v>
      </c>
      <c r="B7" t="s">
        <v>208</v>
      </c>
      <c r="C7" t="s">
        <v>6</v>
      </c>
      <c r="D7" t="s">
        <v>250</v>
      </c>
      <c r="E7">
        <v>5000</v>
      </c>
    </row>
    <row r="8" spans="1:5" x14ac:dyDescent="0.3">
      <c r="A8" t="s">
        <v>8</v>
      </c>
      <c r="B8" t="s">
        <v>274</v>
      </c>
      <c r="C8" t="s">
        <v>5</v>
      </c>
      <c r="D8" t="s">
        <v>252</v>
      </c>
      <c r="E8">
        <v>500</v>
      </c>
    </row>
    <row r="9" spans="1:5" x14ac:dyDescent="0.3">
      <c r="A9" t="s">
        <v>8</v>
      </c>
      <c r="B9" t="s">
        <v>92</v>
      </c>
      <c r="C9" t="s">
        <v>5</v>
      </c>
      <c r="D9" t="s">
        <v>252</v>
      </c>
      <c r="E9">
        <v>500</v>
      </c>
    </row>
    <row r="10" spans="1:5" x14ac:dyDescent="0.3">
      <c r="A10" t="s">
        <v>209</v>
      </c>
      <c r="B10" t="s">
        <v>210</v>
      </c>
      <c r="C10" t="s">
        <v>6</v>
      </c>
      <c r="D10" t="s">
        <v>263</v>
      </c>
      <c r="E10">
        <v>30000</v>
      </c>
    </row>
    <row r="11" spans="1:5" x14ac:dyDescent="0.3">
      <c r="A11" t="s">
        <v>209</v>
      </c>
      <c r="B11" t="s">
        <v>67</v>
      </c>
      <c r="C11" t="s">
        <v>6</v>
      </c>
      <c r="D11" t="s">
        <v>263</v>
      </c>
      <c r="E11">
        <v>30000</v>
      </c>
    </row>
    <row r="12" spans="1:5" x14ac:dyDescent="0.3">
      <c r="A12" t="s">
        <v>209</v>
      </c>
      <c r="B12" t="s">
        <v>43</v>
      </c>
      <c r="C12" t="s">
        <v>6</v>
      </c>
      <c r="D12" t="s">
        <v>263</v>
      </c>
      <c r="E12">
        <v>30000</v>
      </c>
    </row>
    <row r="13" spans="1:5" x14ac:dyDescent="0.3">
      <c r="A13" t="s">
        <v>209</v>
      </c>
      <c r="B13" t="s">
        <v>87</v>
      </c>
      <c r="C13" t="s">
        <v>6</v>
      </c>
      <c r="D13" t="s">
        <v>263</v>
      </c>
      <c r="E13">
        <v>30000</v>
      </c>
    </row>
    <row r="14" spans="1:5" x14ac:dyDescent="0.3">
      <c r="A14" t="s">
        <v>209</v>
      </c>
      <c r="B14" t="s">
        <v>73</v>
      </c>
      <c r="C14" t="s">
        <v>6</v>
      </c>
      <c r="D14" t="s">
        <v>263</v>
      </c>
      <c r="E14">
        <v>30000</v>
      </c>
    </row>
    <row r="15" spans="1:5" x14ac:dyDescent="0.3">
      <c r="A15" t="s">
        <v>209</v>
      </c>
      <c r="B15" t="s">
        <v>36</v>
      </c>
      <c r="C15" t="s">
        <v>6</v>
      </c>
      <c r="D15" t="s">
        <v>263</v>
      </c>
      <c r="E15">
        <v>30000</v>
      </c>
    </row>
    <row r="16" spans="1:5" x14ac:dyDescent="0.3">
      <c r="A16" t="s">
        <v>209</v>
      </c>
      <c r="B16" t="s">
        <v>80</v>
      </c>
      <c r="C16" t="s">
        <v>4</v>
      </c>
      <c r="D16" t="s">
        <v>262</v>
      </c>
      <c r="E16">
        <v>5000</v>
      </c>
    </row>
    <row r="17" spans="1:5" x14ac:dyDescent="0.3">
      <c r="A17" t="s">
        <v>211</v>
      </c>
      <c r="B17" t="s">
        <v>211</v>
      </c>
      <c r="C17" t="s">
        <v>6</v>
      </c>
      <c r="D17" t="s">
        <v>259</v>
      </c>
    </row>
    <row r="18" spans="1:5" x14ac:dyDescent="0.3">
      <c r="A18" t="s">
        <v>9</v>
      </c>
      <c r="B18" t="s">
        <v>212</v>
      </c>
      <c r="C18" t="s">
        <v>6</v>
      </c>
      <c r="D18" t="s">
        <v>256</v>
      </c>
      <c r="E18">
        <v>3000</v>
      </c>
    </row>
    <row r="19" spans="1:5" x14ac:dyDescent="0.3">
      <c r="A19" t="s">
        <v>9</v>
      </c>
      <c r="B19" t="s">
        <v>213</v>
      </c>
      <c r="C19" t="s">
        <v>6</v>
      </c>
      <c r="D19" t="s">
        <v>256</v>
      </c>
      <c r="E19">
        <v>3000</v>
      </c>
    </row>
    <row r="20" spans="1:5" x14ac:dyDescent="0.3">
      <c r="A20" t="s">
        <v>9</v>
      </c>
      <c r="B20" t="s">
        <v>214</v>
      </c>
      <c r="C20" t="s">
        <v>6</v>
      </c>
      <c r="D20" t="s">
        <v>256</v>
      </c>
      <c r="E20">
        <v>3000</v>
      </c>
    </row>
    <row r="21" spans="1:5" x14ac:dyDescent="0.3">
      <c r="A21" t="s">
        <v>9</v>
      </c>
      <c r="B21" t="s">
        <v>215</v>
      </c>
      <c r="C21" t="s">
        <v>6</v>
      </c>
      <c r="D21" t="s">
        <v>256</v>
      </c>
      <c r="E21">
        <v>3000</v>
      </c>
    </row>
    <row r="22" spans="1:5" x14ac:dyDescent="0.3">
      <c r="A22" t="s">
        <v>9</v>
      </c>
      <c r="B22" t="s">
        <v>216</v>
      </c>
      <c r="C22" t="s">
        <v>6</v>
      </c>
      <c r="D22" t="s">
        <v>256</v>
      </c>
      <c r="E22">
        <v>3000</v>
      </c>
    </row>
    <row r="23" spans="1:5" x14ac:dyDescent="0.3">
      <c r="A23" t="s">
        <v>9</v>
      </c>
      <c r="B23" t="s">
        <v>217</v>
      </c>
      <c r="C23" t="s">
        <v>6</v>
      </c>
      <c r="D23" t="s">
        <v>256</v>
      </c>
      <c r="E23">
        <v>3000</v>
      </c>
    </row>
    <row r="24" spans="1:5" x14ac:dyDescent="0.3">
      <c r="A24" t="s">
        <v>9</v>
      </c>
      <c r="B24" t="s">
        <v>218</v>
      </c>
      <c r="C24" t="s">
        <v>6</v>
      </c>
      <c r="D24" t="s">
        <v>256</v>
      </c>
      <c r="E24">
        <v>3000</v>
      </c>
    </row>
    <row r="25" spans="1:5" x14ac:dyDescent="0.3">
      <c r="A25" t="s">
        <v>9</v>
      </c>
      <c r="B25" t="s">
        <v>219</v>
      </c>
      <c r="C25" t="s">
        <v>6</v>
      </c>
      <c r="D25" t="s">
        <v>256</v>
      </c>
      <c r="E25">
        <v>3000</v>
      </c>
    </row>
    <row r="26" spans="1:5" x14ac:dyDescent="0.3">
      <c r="A26" t="s">
        <v>9</v>
      </c>
      <c r="B26" t="s">
        <v>220</v>
      </c>
      <c r="C26" t="s">
        <v>6</v>
      </c>
      <c r="D26" t="s">
        <v>256</v>
      </c>
      <c r="E26">
        <v>3000</v>
      </c>
    </row>
    <row r="27" spans="1:5" x14ac:dyDescent="0.3">
      <c r="A27" t="s">
        <v>9</v>
      </c>
      <c r="B27" t="s">
        <v>221</v>
      </c>
      <c r="C27" t="s">
        <v>6</v>
      </c>
      <c r="D27" t="s">
        <v>256</v>
      </c>
      <c r="E27">
        <v>3000</v>
      </c>
    </row>
    <row r="28" spans="1:5" x14ac:dyDescent="0.3">
      <c r="A28" t="s">
        <v>9</v>
      </c>
      <c r="B28" t="s">
        <v>222</v>
      </c>
      <c r="C28" t="s">
        <v>6</v>
      </c>
      <c r="D28" t="s">
        <v>256</v>
      </c>
      <c r="E28">
        <v>3000</v>
      </c>
    </row>
    <row r="29" spans="1:5" x14ac:dyDescent="0.3">
      <c r="A29" t="s">
        <v>9</v>
      </c>
      <c r="B29" t="s">
        <v>223</v>
      </c>
      <c r="C29" t="s">
        <v>6</v>
      </c>
      <c r="D29" t="s">
        <v>256</v>
      </c>
      <c r="E29">
        <v>3000</v>
      </c>
    </row>
    <row r="30" spans="1:5" x14ac:dyDescent="0.3">
      <c r="A30" t="s">
        <v>9</v>
      </c>
      <c r="B30" t="s">
        <v>224</v>
      </c>
      <c r="C30" t="s">
        <v>6</v>
      </c>
      <c r="D30" t="s">
        <v>256</v>
      </c>
      <c r="E30">
        <v>3000</v>
      </c>
    </row>
    <row r="31" spans="1:5" x14ac:dyDescent="0.3">
      <c r="A31" t="s">
        <v>9</v>
      </c>
      <c r="B31" t="s">
        <v>225</v>
      </c>
      <c r="C31" t="s">
        <v>6</v>
      </c>
      <c r="D31" t="s">
        <v>256</v>
      </c>
      <c r="E31">
        <v>3000</v>
      </c>
    </row>
    <row r="32" spans="1:5" x14ac:dyDescent="0.3">
      <c r="A32" t="s">
        <v>9</v>
      </c>
      <c r="B32" t="s">
        <v>226</v>
      </c>
      <c r="C32" t="s">
        <v>6</v>
      </c>
      <c r="D32" t="s">
        <v>256</v>
      </c>
      <c r="E32">
        <v>3000</v>
      </c>
    </row>
    <row r="33" spans="1:5" x14ac:dyDescent="0.3">
      <c r="A33" t="s">
        <v>9</v>
      </c>
      <c r="B33" t="s">
        <v>227</v>
      </c>
      <c r="C33" t="s">
        <v>6</v>
      </c>
      <c r="D33" t="s">
        <v>256</v>
      </c>
      <c r="E33">
        <v>3000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7AC6-D7AD-4ADF-A7D7-C63DD90DAD74}">
  <dimension ref="A1:B136"/>
  <sheetViews>
    <sheetView workbookViewId="0"/>
  </sheetViews>
  <sheetFormatPr defaultRowHeight="14" x14ac:dyDescent="0.3"/>
  <cols>
    <col min="1" max="1" width="6" bestFit="1" customWidth="1"/>
    <col min="2" max="2" width="13.58203125" bestFit="1" customWidth="1"/>
    <col min="3" max="3" width="13.4140625" bestFit="1" customWidth="1"/>
  </cols>
  <sheetData>
    <row r="1" spans="1:2" x14ac:dyDescent="0.3">
      <c r="A1" t="s">
        <v>13</v>
      </c>
      <c r="B1" t="s">
        <v>113</v>
      </c>
    </row>
    <row r="2" spans="1:2" x14ac:dyDescent="0.3">
      <c r="A2" t="s">
        <v>17</v>
      </c>
      <c r="B2" t="s">
        <v>264</v>
      </c>
    </row>
    <row r="3" spans="1:2" x14ac:dyDescent="0.3">
      <c r="A3" t="s">
        <v>21</v>
      </c>
      <c r="B3" t="s">
        <v>265</v>
      </c>
    </row>
    <row r="4" spans="1:2" x14ac:dyDescent="0.3">
      <c r="A4" t="s">
        <v>161</v>
      </c>
      <c r="B4" t="s">
        <v>266</v>
      </c>
    </row>
    <row r="5" spans="1:2" x14ac:dyDescent="0.3">
      <c r="A5" t="s">
        <v>162</v>
      </c>
      <c r="B5" t="s">
        <v>266</v>
      </c>
    </row>
    <row r="6" spans="1:2" x14ac:dyDescent="0.3">
      <c r="A6" t="s">
        <v>163</v>
      </c>
      <c r="B6" t="s">
        <v>266</v>
      </c>
    </row>
    <row r="7" spans="1:2" x14ac:dyDescent="0.3">
      <c r="A7" t="s">
        <v>164</v>
      </c>
      <c r="B7" t="s">
        <v>266</v>
      </c>
    </row>
    <row r="8" spans="1:2" x14ac:dyDescent="0.3">
      <c r="A8" t="s">
        <v>165</v>
      </c>
      <c r="B8" t="s">
        <v>266</v>
      </c>
    </row>
    <row r="9" spans="1:2" x14ac:dyDescent="0.3">
      <c r="A9" t="s">
        <v>166</v>
      </c>
      <c r="B9" t="s">
        <v>266</v>
      </c>
    </row>
    <row r="10" spans="1:2" x14ac:dyDescent="0.3">
      <c r="A10" t="s">
        <v>167</v>
      </c>
      <c r="B10" t="s">
        <v>267</v>
      </c>
    </row>
    <row r="11" spans="1:2" x14ac:dyDescent="0.3">
      <c r="A11" t="s">
        <v>168</v>
      </c>
      <c r="B11" t="s">
        <v>267</v>
      </c>
    </row>
    <row r="12" spans="1:2" x14ac:dyDescent="0.3">
      <c r="A12" t="s">
        <v>169</v>
      </c>
      <c r="B12" t="s">
        <v>267</v>
      </c>
    </row>
    <row r="13" spans="1:2" x14ac:dyDescent="0.3">
      <c r="A13" t="s">
        <v>170</v>
      </c>
      <c r="B13" t="s">
        <v>267</v>
      </c>
    </row>
    <row r="14" spans="1:2" x14ac:dyDescent="0.3">
      <c r="A14" t="s">
        <v>93</v>
      </c>
      <c r="B14" t="s">
        <v>268</v>
      </c>
    </row>
    <row r="15" spans="1:2" x14ac:dyDescent="0.3">
      <c r="A15" t="s">
        <v>38</v>
      </c>
      <c r="B15" t="s">
        <v>267</v>
      </c>
    </row>
    <row r="16" spans="1:2" x14ac:dyDescent="0.3">
      <c r="A16" t="s">
        <v>39</v>
      </c>
      <c r="B16" t="s">
        <v>267</v>
      </c>
    </row>
    <row r="17" spans="1:2" x14ac:dyDescent="0.3">
      <c r="A17" t="s">
        <v>40</v>
      </c>
      <c r="B17" t="s">
        <v>267</v>
      </c>
    </row>
    <row r="18" spans="1:2" x14ac:dyDescent="0.3">
      <c r="A18" t="s">
        <v>41</v>
      </c>
      <c r="B18" t="s">
        <v>267</v>
      </c>
    </row>
    <row r="19" spans="1:2" x14ac:dyDescent="0.3">
      <c r="A19" t="s">
        <v>42</v>
      </c>
      <c r="B19" t="s">
        <v>267</v>
      </c>
    </row>
    <row r="20" spans="1:2" x14ac:dyDescent="0.3">
      <c r="A20" t="s">
        <v>44</v>
      </c>
      <c r="B20" t="s">
        <v>267</v>
      </c>
    </row>
    <row r="21" spans="1:2" x14ac:dyDescent="0.3">
      <c r="A21" t="s">
        <v>171</v>
      </c>
      <c r="B21" t="s">
        <v>267</v>
      </c>
    </row>
    <row r="22" spans="1:2" x14ac:dyDescent="0.3">
      <c r="A22" t="s">
        <v>172</v>
      </c>
      <c r="B22" t="s">
        <v>265</v>
      </c>
    </row>
    <row r="23" spans="1:2" x14ac:dyDescent="0.3">
      <c r="A23" t="s">
        <v>173</v>
      </c>
      <c r="B23" t="s">
        <v>265</v>
      </c>
    </row>
    <row r="24" spans="1:2" x14ac:dyDescent="0.3">
      <c r="A24" t="s">
        <v>96</v>
      </c>
      <c r="B24" t="s">
        <v>265</v>
      </c>
    </row>
    <row r="25" spans="1:2" x14ac:dyDescent="0.3">
      <c r="A25" t="s">
        <v>71</v>
      </c>
      <c r="B25" t="s">
        <v>269</v>
      </c>
    </row>
    <row r="26" spans="1:2" x14ac:dyDescent="0.3">
      <c r="A26" t="s">
        <v>97</v>
      </c>
      <c r="B26" t="s">
        <v>265</v>
      </c>
    </row>
    <row r="27" spans="1:2" x14ac:dyDescent="0.3">
      <c r="A27" t="s">
        <v>98</v>
      </c>
      <c r="B27" t="s">
        <v>265</v>
      </c>
    </row>
    <row r="28" spans="1:2" x14ac:dyDescent="0.3">
      <c r="A28" t="s">
        <v>99</v>
      </c>
      <c r="B28" t="s">
        <v>265</v>
      </c>
    </row>
    <row r="29" spans="1:2" x14ac:dyDescent="0.3">
      <c r="A29" t="s">
        <v>100</v>
      </c>
      <c r="B29" t="s">
        <v>265</v>
      </c>
    </row>
    <row r="30" spans="1:2" x14ac:dyDescent="0.3">
      <c r="A30" t="s">
        <v>101</v>
      </c>
      <c r="B30" t="s">
        <v>265</v>
      </c>
    </row>
    <row r="31" spans="1:2" x14ac:dyDescent="0.3">
      <c r="A31" t="s">
        <v>102</v>
      </c>
      <c r="B31" t="s">
        <v>265</v>
      </c>
    </row>
    <row r="32" spans="1:2" x14ac:dyDescent="0.3">
      <c r="A32" t="s">
        <v>103</v>
      </c>
      <c r="B32" t="s">
        <v>265</v>
      </c>
    </row>
    <row r="33" spans="1:2" x14ac:dyDescent="0.3">
      <c r="A33" t="s">
        <v>104</v>
      </c>
      <c r="B33" t="s">
        <v>265</v>
      </c>
    </row>
    <row r="34" spans="1:2" x14ac:dyDescent="0.3">
      <c r="A34" t="s">
        <v>105</v>
      </c>
      <c r="B34" t="s">
        <v>268</v>
      </c>
    </row>
    <row r="35" spans="1:2" x14ac:dyDescent="0.3">
      <c r="A35" t="s">
        <v>106</v>
      </c>
      <c r="B35" t="s">
        <v>268</v>
      </c>
    </row>
    <row r="36" spans="1:2" x14ac:dyDescent="0.3">
      <c r="A36" t="s">
        <v>24</v>
      </c>
      <c r="B36" t="s">
        <v>270</v>
      </c>
    </row>
    <row r="37" spans="1:2" x14ac:dyDescent="0.3">
      <c r="A37" t="s">
        <v>107</v>
      </c>
      <c r="B37" t="s">
        <v>268</v>
      </c>
    </row>
    <row r="38" spans="1:2" x14ac:dyDescent="0.3">
      <c r="A38" t="s">
        <v>108</v>
      </c>
      <c r="B38" t="s">
        <v>268</v>
      </c>
    </row>
    <row r="39" spans="1:2" x14ac:dyDescent="0.3">
      <c r="A39" t="s">
        <v>109</v>
      </c>
      <c r="B39" t="s">
        <v>268</v>
      </c>
    </row>
    <row r="40" spans="1:2" x14ac:dyDescent="0.3">
      <c r="A40" t="s">
        <v>110</v>
      </c>
      <c r="B40" t="s">
        <v>268</v>
      </c>
    </row>
    <row r="41" spans="1:2" x14ac:dyDescent="0.3">
      <c r="A41" t="s">
        <v>111</v>
      </c>
      <c r="B41" t="s">
        <v>268</v>
      </c>
    </row>
    <row r="42" spans="1:2" x14ac:dyDescent="0.3">
      <c r="A42" t="s">
        <v>112</v>
      </c>
      <c r="B42" t="s">
        <v>268</v>
      </c>
    </row>
    <row r="43" spans="1:2" x14ac:dyDescent="0.3">
      <c r="A43" t="s">
        <v>83</v>
      </c>
      <c r="B43" t="s">
        <v>264</v>
      </c>
    </row>
    <row r="44" spans="1:2" x14ac:dyDescent="0.3">
      <c r="A44" t="s">
        <v>25</v>
      </c>
      <c r="B44" t="s">
        <v>265</v>
      </c>
    </row>
    <row r="45" spans="1:2" x14ac:dyDescent="0.3">
      <c r="A45" t="s">
        <v>84</v>
      </c>
      <c r="B45" t="s">
        <v>268</v>
      </c>
    </row>
    <row r="46" spans="1:2" x14ac:dyDescent="0.3">
      <c r="A46" t="s">
        <v>114</v>
      </c>
      <c r="B46" t="s">
        <v>270</v>
      </c>
    </row>
    <row r="47" spans="1:2" x14ac:dyDescent="0.3">
      <c r="A47" t="s">
        <v>115</v>
      </c>
      <c r="B47" t="s">
        <v>271</v>
      </c>
    </row>
    <row r="48" spans="1:2" x14ac:dyDescent="0.3">
      <c r="A48" t="s">
        <v>116</v>
      </c>
      <c r="B48" t="s">
        <v>269</v>
      </c>
    </row>
    <row r="49" spans="1:2" x14ac:dyDescent="0.3">
      <c r="A49" t="s">
        <v>95</v>
      </c>
      <c r="B49" t="s">
        <v>271</v>
      </c>
    </row>
    <row r="50" spans="1:2" x14ac:dyDescent="0.3">
      <c r="A50" t="s">
        <v>117</v>
      </c>
      <c r="B50" t="s">
        <v>271</v>
      </c>
    </row>
    <row r="51" spans="1:2" x14ac:dyDescent="0.3">
      <c r="A51" t="s">
        <v>118</v>
      </c>
      <c r="B51" t="s">
        <v>268</v>
      </c>
    </row>
    <row r="52" spans="1:2" x14ac:dyDescent="0.3">
      <c r="A52" t="s">
        <v>119</v>
      </c>
      <c r="B52" t="s">
        <v>264</v>
      </c>
    </row>
    <row r="53" spans="1:2" x14ac:dyDescent="0.3">
      <c r="A53" t="s">
        <v>45</v>
      </c>
      <c r="B53" t="s">
        <v>269</v>
      </c>
    </row>
    <row r="54" spans="1:2" x14ac:dyDescent="0.3">
      <c r="A54" t="s">
        <v>46</v>
      </c>
      <c r="B54" t="s">
        <v>271</v>
      </c>
    </row>
    <row r="55" spans="1:2" x14ac:dyDescent="0.3">
      <c r="A55" t="s">
        <v>47</v>
      </c>
      <c r="B55" t="s">
        <v>272</v>
      </c>
    </row>
    <row r="56" spans="1:2" x14ac:dyDescent="0.3">
      <c r="A56" t="s">
        <v>72</v>
      </c>
      <c r="B56" t="s">
        <v>269</v>
      </c>
    </row>
    <row r="57" spans="1:2" x14ac:dyDescent="0.3">
      <c r="A57" t="s">
        <v>26</v>
      </c>
      <c r="B57" t="s">
        <v>271</v>
      </c>
    </row>
    <row r="58" spans="1:2" x14ac:dyDescent="0.3">
      <c r="A58" t="s">
        <v>85</v>
      </c>
      <c r="B58" t="s">
        <v>270</v>
      </c>
    </row>
    <row r="59" spans="1:2" x14ac:dyDescent="0.3">
      <c r="A59" t="s">
        <v>48</v>
      </c>
      <c r="B59" t="s">
        <v>269</v>
      </c>
    </row>
    <row r="60" spans="1:2" x14ac:dyDescent="0.3">
      <c r="A60" t="s">
        <v>68</v>
      </c>
      <c r="B60" t="s">
        <v>270</v>
      </c>
    </row>
    <row r="61" spans="1:2" x14ac:dyDescent="0.3">
      <c r="A61" t="s">
        <v>74</v>
      </c>
      <c r="B61" t="s">
        <v>272</v>
      </c>
    </row>
    <row r="62" spans="1:2" x14ac:dyDescent="0.3">
      <c r="A62" t="s">
        <v>28</v>
      </c>
      <c r="B62" t="s">
        <v>270</v>
      </c>
    </row>
    <row r="63" spans="1:2" x14ac:dyDescent="0.3">
      <c r="A63" t="s">
        <v>120</v>
      </c>
      <c r="B63" t="s">
        <v>266</v>
      </c>
    </row>
    <row r="64" spans="1:2" x14ac:dyDescent="0.3">
      <c r="A64" t="s">
        <v>76</v>
      </c>
      <c r="B64" t="s">
        <v>266</v>
      </c>
    </row>
    <row r="65" spans="1:2" x14ac:dyDescent="0.3">
      <c r="A65" t="s">
        <v>31</v>
      </c>
      <c r="B65" t="s">
        <v>266</v>
      </c>
    </row>
    <row r="66" spans="1:2" x14ac:dyDescent="0.3">
      <c r="A66" t="s">
        <v>86</v>
      </c>
      <c r="B66" t="s">
        <v>266</v>
      </c>
    </row>
    <row r="67" spans="1:2" x14ac:dyDescent="0.3">
      <c r="A67" t="s">
        <v>32</v>
      </c>
      <c r="B67" t="s">
        <v>266</v>
      </c>
    </row>
    <row r="68" spans="1:2" x14ac:dyDescent="0.3">
      <c r="A68" t="s">
        <v>88</v>
      </c>
      <c r="B68" t="s">
        <v>266</v>
      </c>
    </row>
    <row r="69" spans="1:2" x14ac:dyDescent="0.3">
      <c r="A69" t="s">
        <v>49</v>
      </c>
      <c r="B69" t="s">
        <v>266</v>
      </c>
    </row>
    <row r="70" spans="1:2" x14ac:dyDescent="0.3">
      <c r="A70" t="s">
        <v>50</v>
      </c>
      <c r="B70" t="s">
        <v>266</v>
      </c>
    </row>
    <row r="71" spans="1:2" x14ac:dyDescent="0.3">
      <c r="A71" t="s">
        <v>23</v>
      </c>
      <c r="B71" t="s">
        <v>270</v>
      </c>
    </row>
    <row r="72" spans="1:2" x14ac:dyDescent="0.3">
      <c r="A72" t="s">
        <v>51</v>
      </c>
      <c r="B72" t="s">
        <v>266</v>
      </c>
    </row>
    <row r="73" spans="1:2" x14ac:dyDescent="0.3">
      <c r="A73" t="s">
        <v>52</v>
      </c>
      <c r="B73" t="s">
        <v>266</v>
      </c>
    </row>
    <row r="74" spans="1:2" x14ac:dyDescent="0.3">
      <c r="A74" t="s">
        <v>53</v>
      </c>
      <c r="B74" t="s">
        <v>266</v>
      </c>
    </row>
    <row r="75" spans="1:2" x14ac:dyDescent="0.3">
      <c r="A75" t="s">
        <v>78</v>
      </c>
      <c r="B75" t="s">
        <v>266</v>
      </c>
    </row>
    <row r="76" spans="1:2" x14ac:dyDescent="0.3">
      <c r="A76" t="s">
        <v>33</v>
      </c>
      <c r="B76" t="s">
        <v>266</v>
      </c>
    </row>
    <row r="77" spans="1:2" x14ac:dyDescent="0.3">
      <c r="A77" t="s">
        <v>89</v>
      </c>
      <c r="B77" t="s">
        <v>266</v>
      </c>
    </row>
    <row r="78" spans="1:2" x14ac:dyDescent="0.3">
      <c r="A78" t="s">
        <v>34</v>
      </c>
      <c r="B78" t="s">
        <v>266</v>
      </c>
    </row>
    <row r="79" spans="1:2" x14ac:dyDescent="0.3">
      <c r="A79" t="s">
        <v>90</v>
      </c>
      <c r="B79" t="s">
        <v>266</v>
      </c>
    </row>
    <row r="80" spans="1:2" x14ac:dyDescent="0.3">
      <c r="A80" t="s">
        <v>54</v>
      </c>
      <c r="B80" t="s">
        <v>266</v>
      </c>
    </row>
    <row r="81" spans="1:2" x14ac:dyDescent="0.3">
      <c r="A81" t="s">
        <v>55</v>
      </c>
      <c r="B81" t="s">
        <v>266</v>
      </c>
    </row>
    <row r="82" spans="1:2" x14ac:dyDescent="0.3">
      <c r="A82" t="s">
        <v>81</v>
      </c>
      <c r="B82" t="s">
        <v>271</v>
      </c>
    </row>
    <row r="83" spans="1:2" x14ac:dyDescent="0.3">
      <c r="A83" t="s">
        <v>56</v>
      </c>
      <c r="B83" t="s">
        <v>266</v>
      </c>
    </row>
    <row r="84" spans="1:2" x14ac:dyDescent="0.3">
      <c r="A84" t="s">
        <v>57</v>
      </c>
      <c r="B84" t="s">
        <v>266</v>
      </c>
    </row>
    <row r="85" spans="1:2" x14ac:dyDescent="0.3">
      <c r="A85" t="s">
        <v>58</v>
      </c>
      <c r="B85" t="s">
        <v>266</v>
      </c>
    </row>
    <row r="86" spans="1:2" x14ac:dyDescent="0.3">
      <c r="A86" t="s">
        <v>59</v>
      </c>
      <c r="B86" t="s">
        <v>266</v>
      </c>
    </row>
    <row r="87" spans="1:2" x14ac:dyDescent="0.3">
      <c r="A87" t="s">
        <v>60</v>
      </c>
      <c r="B87" t="s">
        <v>266</v>
      </c>
    </row>
    <row r="88" spans="1:2" x14ac:dyDescent="0.3">
      <c r="A88" t="s">
        <v>61</v>
      </c>
      <c r="B88" t="s">
        <v>266</v>
      </c>
    </row>
    <row r="89" spans="1:2" x14ac:dyDescent="0.3">
      <c r="A89" t="s">
        <v>62</v>
      </c>
      <c r="B89" t="s">
        <v>266</v>
      </c>
    </row>
    <row r="90" spans="1:2" x14ac:dyDescent="0.3">
      <c r="A90" t="s">
        <v>63</v>
      </c>
      <c r="B90" t="s">
        <v>266</v>
      </c>
    </row>
    <row r="91" spans="1:2" x14ac:dyDescent="0.3">
      <c r="A91" t="s">
        <v>64</v>
      </c>
      <c r="B91" t="s">
        <v>266</v>
      </c>
    </row>
    <row r="92" spans="1:2" x14ac:dyDescent="0.3">
      <c r="A92" t="s">
        <v>65</v>
      </c>
      <c r="B92" t="s">
        <v>266</v>
      </c>
    </row>
    <row r="93" spans="1:2" x14ac:dyDescent="0.3">
      <c r="A93" t="s">
        <v>37</v>
      </c>
      <c r="B93" t="s">
        <v>273</v>
      </c>
    </row>
    <row r="94" spans="1:2" x14ac:dyDescent="0.3">
      <c r="A94" t="s">
        <v>121</v>
      </c>
      <c r="B94" t="s">
        <v>266</v>
      </c>
    </row>
    <row r="95" spans="1:2" x14ac:dyDescent="0.3">
      <c r="A95" t="s">
        <v>122</v>
      </c>
      <c r="B95" t="s">
        <v>266</v>
      </c>
    </row>
    <row r="96" spans="1:2" x14ac:dyDescent="0.3">
      <c r="A96" t="s">
        <v>123</v>
      </c>
      <c r="B96" t="s">
        <v>266</v>
      </c>
    </row>
    <row r="97" spans="1:2" x14ac:dyDescent="0.3">
      <c r="A97" t="s">
        <v>124</v>
      </c>
      <c r="B97" t="s">
        <v>266</v>
      </c>
    </row>
    <row r="98" spans="1:2" x14ac:dyDescent="0.3">
      <c r="A98" t="s">
        <v>125</v>
      </c>
      <c r="B98" t="s">
        <v>266</v>
      </c>
    </row>
    <row r="99" spans="1:2" x14ac:dyDescent="0.3">
      <c r="A99" t="s">
        <v>126</v>
      </c>
      <c r="B99" t="s">
        <v>266</v>
      </c>
    </row>
    <row r="100" spans="1:2" x14ac:dyDescent="0.3">
      <c r="A100" t="s">
        <v>127</v>
      </c>
      <c r="B100" t="s">
        <v>266</v>
      </c>
    </row>
    <row r="101" spans="1:2" x14ac:dyDescent="0.3">
      <c r="A101" t="s">
        <v>128</v>
      </c>
      <c r="B101" t="s">
        <v>266</v>
      </c>
    </row>
    <row r="102" spans="1:2" x14ac:dyDescent="0.3">
      <c r="A102" t="s">
        <v>129</v>
      </c>
      <c r="B102" t="s">
        <v>266</v>
      </c>
    </row>
    <row r="103" spans="1:2" x14ac:dyDescent="0.3">
      <c r="A103" t="s">
        <v>130</v>
      </c>
      <c r="B103" t="s">
        <v>266</v>
      </c>
    </row>
    <row r="104" spans="1:2" x14ac:dyDescent="0.3">
      <c r="A104" t="s">
        <v>70</v>
      </c>
      <c r="B104" t="s">
        <v>269</v>
      </c>
    </row>
    <row r="105" spans="1:2" x14ac:dyDescent="0.3">
      <c r="A105" t="s">
        <v>131</v>
      </c>
      <c r="B105" t="s">
        <v>266</v>
      </c>
    </row>
    <row r="106" spans="1:2" x14ac:dyDescent="0.3">
      <c r="A106" t="s">
        <v>132</v>
      </c>
      <c r="B106" t="s">
        <v>266</v>
      </c>
    </row>
    <row r="107" spans="1:2" x14ac:dyDescent="0.3">
      <c r="A107" t="s">
        <v>133</v>
      </c>
      <c r="B107" t="s">
        <v>266</v>
      </c>
    </row>
    <row r="108" spans="1:2" x14ac:dyDescent="0.3">
      <c r="A108" t="s">
        <v>134</v>
      </c>
      <c r="B108" t="s">
        <v>266</v>
      </c>
    </row>
    <row r="109" spans="1:2" x14ac:dyDescent="0.3">
      <c r="A109" t="s">
        <v>135</v>
      </c>
      <c r="B109" t="s">
        <v>266</v>
      </c>
    </row>
    <row r="110" spans="1:2" x14ac:dyDescent="0.3">
      <c r="A110" t="s">
        <v>136</v>
      </c>
      <c r="B110" t="s">
        <v>266</v>
      </c>
    </row>
    <row r="111" spans="1:2" x14ac:dyDescent="0.3">
      <c r="A111" t="s">
        <v>137</v>
      </c>
      <c r="B111" t="s">
        <v>266</v>
      </c>
    </row>
    <row r="112" spans="1:2" x14ac:dyDescent="0.3">
      <c r="A112" t="s">
        <v>138</v>
      </c>
      <c r="B112" t="s">
        <v>266</v>
      </c>
    </row>
    <row r="113" spans="1:2" x14ac:dyDescent="0.3">
      <c r="A113" t="s">
        <v>139</v>
      </c>
      <c r="B113" t="s">
        <v>266</v>
      </c>
    </row>
    <row r="114" spans="1:2" x14ac:dyDescent="0.3">
      <c r="A114" t="s">
        <v>140</v>
      </c>
      <c r="B114" t="s">
        <v>266</v>
      </c>
    </row>
    <row r="115" spans="1:2" x14ac:dyDescent="0.3">
      <c r="A115" t="s">
        <v>30</v>
      </c>
      <c r="B115" t="s">
        <v>270</v>
      </c>
    </row>
    <row r="116" spans="1:2" x14ac:dyDescent="0.3">
      <c r="A116" t="s">
        <v>141</v>
      </c>
      <c r="B116" t="s">
        <v>266</v>
      </c>
    </row>
    <row r="117" spans="1:2" x14ac:dyDescent="0.3">
      <c r="A117" t="s">
        <v>142</v>
      </c>
      <c r="B117" t="s">
        <v>266</v>
      </c>
    </row>
    <row r="118" spans="1:2" x14ac:dyDescent="0.3">
      <c r="A118" t="s">
        <v>143</v>
      </c>
      <c r="B118" t="s">
        <v>266</v>
      </c>
    </row>
    <row r="119" spans="1:2" x14ac:dyDescent="0.3">
      <c r="A119" t="s">
        <v>144</v>
      </c>
      <c r="B119" t="s">
        <v>266</v>
      </c>
    </row>
    <row r="120" spans="1:2" x14ac:dyDescent="0.3">
      <c r="A120" t="s">
        <v>145</v>
      </c>
      <c r="B120" t="s">
        <v>266</v>
      </c>
    </row>
    <row r="121" spans="1:2" x14ac:dyDescent="0.3">
      <c r="A121" t="s">
        <v>146</v>
      </c>
      <c r="B121" t="s">
        <v>266</v>
      </c>
    </row>
    <row r="122" spans="1:2" x14ac:dyDescent="0.3">
      <c r="A122" t="s">
        <v>147</v>
      </c>
      <c r="B122" t="s">
        <v>266</v>
      </c>
    </row>
    <row r="123" spans="1:2" x14ac:dyDescent="0.3">
      <c r="A123" t="s">
        <v>148</v>
      </c>
      <c r="B123" t="s">
        <v>266</v>
      </c>
    </row>
    <row r="124" spans="1:2" x14ac:dyDescent="0.3">
      <c r="A124" t="s">
        <v>149</v>
      </c>
      <c r="B124" t="s">
        <v>266</v>
      </c>
    </row>
    <row r="125" spans="1:2" x14ac:dyDescent="0.3">
      <c r="A125" t="s">
        <v>150</v>
      </c>
      <c r="B125" t="s">
        <v>266</v>
      </c>
    </row>
    <row r="126" spans="1:2" x14ac:dyDescent="0.3">
      <c r="A126" t="s">
        <v>82</v>
      </c>
      <c r="B126" t="s">
        <v>264</v>
      </c>
    </row>
    <row r="127" spans="1:2" x14ac:dyDescent="0.3">
      <c r="A127" t="s">
        <v>151</v>
      </c>
      <c r="B127" t="s">
        <v>266</v>
      </c>
    </row>
    <row r="128" spans="1:2" x14ac:dyDescent="0.3">
      <c r="A128" t="s">
        <v>152</v>
      </c>
      <c r="B128" t="s">
        <v>266</v>
      </c>
    </row>
    <row r="129" spans="1:2" x14ac:dyDescent="0.3">
      <c r="A129" t="s">
        <v>153</v>
      </c>
      <c r="B129" t="s">
        <v>266</v>
      </c>
    </row>
    <row r="130" spans="1:2" x14ac:dyDescent="0.3">
      <c r="A130" t="s">
        <v>154</v>
      </c>
      <c r="B130" t="s">
        <v>266</v>
      </c>
    </row>
    <row r="131" spans="1:2" x14ac:dyDescent="0.3">
      <c r="A131" t="s">
        <v>155</v>
      </c>
      <c r="B131" t="s">
        <v>266</v>
      </c>
    </row>
    <row r="132" spans="1:2" x14ac:dyDescent="0.3">
      <c r="A132" t="s">
        <v>156</v>
      </c>
      <c r="B132" t="s">
        <v>266</v>
      </c>
    </row>
    <row r="133" spans="1:2" x14ac:dyDescent="0.3">
      <c r="A133" t="s">
        <v>157</v>
      </c>
      <c r="B133" t="s">
        <v>266</v>
      </c>
    </row>
    <row r="134" spans="1:2" x14ac:dyDescent="0.3">
      <c r="A134" t="s">
        <v>158</v>
      </c>
      <c r="B134" t="s">
        <v>266</v>
      </c>
    </row>
    <row r="135" spans="1:2" x14ac:dyDescent="0.3">
      <c r="A135" t="s">
        <v>159</v>
      </c>
      <c r="B135" t="s">
        <v>266</v>
      </c>
    </row>
    <row r="136" spans="1:2" x14ac:dyDescent="0.3">
      <c r="A136" t="s">
        <v>160</v>
      </c>
      <c r="B136" t="s">
        <v>266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724A4-4F5F-49B5-9831-2982CA28DE51}">
  <dimension ref="A1:G71"/>
  <sheetViews>
    <sheetView workbookViewId="0">
      <selection activeCell="R10" sqref="R10"/>
    </sheetView>
  </sheetViews>
  <sheetFormatPr defaultRowHeight="14" x14ac:dyDescent="0.3"/>
  <cols>
    <col min="1" max="1" width="19.4140625" bestFit="1" customWidth="1"/>
    <col min="2" max="2" width="13.9140625" bestFit="1" customWidth="1"/>
    <col min="3" max="3" width="15.1640625" bestFit="1" customWidth="1"/>
    <col min="4" max="4" width="6" bestFit="1" customWidth="1"/>
    <col min="5" max="5" width="12.75" bestFit="1" customWidth="1"/>
    <col min="6" max="6" width="15.4140625" bestFit="1" customWidth="1"/>
    <col min="7" max="7" width="8.4140625" bestFit="1" customWidth="1"/>
  </cols>
  <sheetData>
    <row r="1" spans="1:7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2</v>
      </c>
    </row>
    <row r="2" spans="1:7" x14ac:dyDescent="0.3">
      <c r="A2" t="s">
        <v>3</v>
      </c>
      <c r="B2" t="s">
        <v>16</v>
      </c>
      <c r="C2" s="1">
        <v>44672</v>
      </c>
      <c r="D2" t="s">
        <v>17</v>
      </c>
      <c r="E2" t="s">
        <v>18</v>
      </c>
      <c r="F2" t="s">
        <v>19</v>
      </c>
      <c r="G2">
        <v>500</v>
      </c>
    </row>
    <row r="3" spans="1:7" x14ac:dyDescent="0.3">
      <c r="A3" t="s">
        <v>3</v>
      </c>
      <c r="B3" t="s">
        <v>20</v>
      </c>
      <c r="C3" s="1">
        <v>44897</v>
      </c>
      <c r="D3" t="s">
        <v>21</v>
      </c>
      <c r="E3" t="s">
        <v>18</v>
      </c>
      <c r="F3" t="s">
        <v>19</v>
      </c>
      <c r="G3">
        <v>10000</v>
      </c>
    </row>
    <row r="4" spans="1:7" x14ac:dyDescent="0.3">
      <c r="A4" t="s">
        <v>7</v>
      </c>
      <c r="B4" t="s">
        <v>22</v>
      </c>
      <c r="C4" s="1">
        <v>44609</v>
      </c>
      <c r="D4" t="s">
        <v>23</v>
      </c>
      <c r="E4" t="s">
        <v>18</v>
      </c>
      <c r="F4" t="s">
        <v>19</v>
      </c>
      <c r="G4">
        <v>500</v>
      </c>
    </row>
    <row r="5" spans="1:7" x14ac:dyDescent="0.3">
      <c r="A5" t="s">
        <v>7</v>
      </c>
      <c r="B5" t="s">
        <v>22</v>
      </c>
      <c r="C5" s="1">
        <v>44609</v>
      </c>
      <c r="D5" t="s">
        <v>24</v>
      </c>
      <c r="E5" t="s">
        <v>18</v>
      </c>
      <c r="F5" t="s">
        <v>19</v>
      </c>
      <c r="G5">
        <v>500</v>
      </c>
    </row>
    <row r="6" spans="1:7" x14ac:dyDescent="0.3">
      <c r="A6" t="s">
        <v>7</v>
      </c>
      <c r="B6" t="s">
        <v>22</v>
      </c>
      <c r="C6" s="1">
        <v>44609</v>
      </c>
      <c r="D6" t="s">
        <v>25</v>
      </c>
      <c r="E6" t="s">
        <v>18</v>
      </c>
      <c r="F6" t="s">
        <v>19</v>
      </c>
      <c r="G6">
        <v>500</v>
      </c>
    </row>
    <row r="7" spans="1:7" x14ac:dyDescent="0.3">
      <c r="A7" t="s">
        <v>7</v>
      </c>
      <c r="B7" t="s">
        <v>22</v>
      </c>
      <c r="C7" s="1">
        <v>44609</v>
      </c>
      <c r="D7" t="s">
        <v>26</v>
      </c>
      <c r="E7" t="s">
        <v>18</v>
      </c>
      <c r="F7" t="s">
        <v>19</v>
      </c>
      <c r="G7">
        <v>500</v>
      </c>
    </row>
    <row r="8" spans="1:7" x14ac:dyDescent="0.3">
      <c r="A8" t="s">
        <v>7</v>
      </c>
      <c r="B8" t="s">
        <v>22</v>
      </c>
      <c r="C8" s="1">
        <v>44609</v>
      </c>
      <c r="D8" t="s">
        <v>28</v>
      </c>
      <c r="E8" t="s">
        <v>18</v>
      </c>
      <c r="F8" t="s">
        <v>19</v>
      </c>
      <c r="G8">
        <v>500</v>
      </c>
    </row>
    <row r="9" spans="1:7" x14ac:dyDescent="0.3">
      <c r="A9" t="s">
        <v>7</v>
      </c>
      <c r="B9" t="s">
        <v>29</v>
      </c>
      <c r="C9" s="1">
        <v>44530</v>
      </c>
      <c r="D9" t="s">
        <v>30</v>
      </c>
      <c r="E9" t="s">
        <v>18</v>
      </c>
      <c r="F9" t="s">
        <v>19</v>
      </c>
      <c r="G9">
        <v>500</v>
      </c>
    </row>
    <row r="10" spans="1:7" x14ac:dyDescent="0.3">
      <c r="A10" t="s">
        <v>7</v>
      </c>
      <c r="B10" t="s">
        <v>29</v>
      </c>
      <c r="C10" s="1">
        <v>44530</v>
      </c>
      <c r="D10" t="s">
        <v>31</v>
      </c>
      <c r="E10" t="s">
        <v>18</v>
      </c>
      <c r="F10" t="s">
        <v>19</v>
      </c>
      <c r="G10">
        <v>500</v>
      </c>
    </row>
    <row r="11" spans="1:7" x14ac:dyDescent="0.3">
      <c r="A11" t="s">
        <v>7</v>
      </c>
      <c r="B11" t="s">
        <v>29</v>
      </c>
      <c r="C11" s="1">
        <v>44530</v>
      </c>
      <c r="D11" t="s">
        <v>32</v>
      </c>
      <c r="E11" t="s">
        <v>18</v>
      </c>
      <c r="F11" t="s">
        <v>19</v>
      </c>
      <c r="G11">
        <v>500</v>
      </c>
    </row>
    <row r="12" spans="1:7" x14ac:dyDescent="0.3">
      <c r="A12" t="s">
        <v>7</v>
      </c>
      <c r="B12" t="s">
        <v>29</v>
      </c>
      <c r="C12" s="1">
        <v>44530</v>
      </c>
      <c r="D12" t="s">
        <v>33</v>
      </c>
      <c r="E12" t="s">
        <v>18</v>
      </c>
      <c r="F12" t="s">
        <v>19</v>
      </c>
      <c r="G12">
        <v>500</v>
      </c>
    </row>
    <row r="13" spans="1:7" x14ac:dyDescent="0.3">
      <c r="A13" t="s">
        <v>7</v>
      </c>
      <c r="B13" t="s">
        <v>29</v>
      </c>
      <c r="C13" s="1">
        <v>44530</v>
      </c>
      <c r="D13" t="s">
        <v>34</v>
      </c>
      <c r="E13" t="s">
        <v>18</v>
      </c>
      <c r="F13" t="s">
        <v>19</v>
      </c>
      <c r="G13">
        <v>500</v>
      </c>
    </row>
    <row r="14" spans="1:7" x14ac:dyDescent="0.3">
      <c r="A14" t="s">
        <v>35</v>
      </c>
      <c r="B14" t="s">
        <v>43</v>
      </c>
      <c r="C14" s="1">
        <v>44949</v>
      </c>
      <c r="D14" t="s">
        <v>44</v>
      </c>
      <c r="E14" t="s">
        <v>18</v>
      </c>
      <c r="F14" t="s">
        <v>19</v>
      </c>
      <c r="G14">
        <v>30000</v>
      </c>
    </row>
    <row r="15" spans="1:7" x14ac:dyDescent="0.3">
      <c r="A15" t="s">
        <v>35</v>
      </c>
      <c r="B15" t="s">
        <v>43</v>
      </c>
      <c r="C15" s="1">
        <v>44609</v>
      </c>
      <c r="D15" t="s">
        <v>45</v>
      </c>
      <c r="E15" t="s">
        <v>18</v>
      </c>
      <c r="F15" t="s">
        <v>19</v>
      </c>
      <c r="G15">
        <v>30000</v>
      </c>
    </row>
    <row r="16" spans="1:7" x14ac:dyDescent="0.3">
      <c r="A16" t="s">
        <v>35</v>
      </c>
      <c r="B16" t="s">
        <v>43</v>
      </c>
      <c r="C16" s="1">
        <v>44958</v>
      </c>
      <c r="D16" t="s">
        <v>48</v>
      </c>
      <c r="E16" t="s">
        <v>18</v>
      </c>
      <c r="F16" t="s">
        <v>27</v>
      </c>
      <c r="G16">
        <v>30000</v>
      </c>
    </row>
    <row r="17" spans="1:7" x14ac:dyDescent="0.3">
      <c r="A17" t="s">
        <v>35</v>
      </c>
      <c r="B17" t="s">
        <v>43</v>
      </c>
      <c r="C17" s="1">
        <v>44562</v>
      </c>
      <c r="D17" t="s">
        <v>49</v>
      </c>
      <c r="E17" t="s">
        <v>18</v>
      </c>
      <c r="F17" t="s">
        <v>19</v>
      </c>
      <c r="G17">
        <v>30000</v>
      </c>
    </row>
    <row r="18" spans="1:7" x14ac:dyDescent="0.3">
      <c r="A18" t="s">
        <v>35</v>
      </c>
      <c r="B18" t="s">
        <v>36</v>
      </c>
      <c r="C18" s="1">
        <v>44708</v>
      </c>
      <c r="D18" t="s">
        <v>37</v>
      </c>
      <c r="E18" t="s">
        <v>18</v>
      </c>
      <c r="F18" t="s">
        <v>19</v>
      </c>
      <c r="G18">
        <v>30000</v>
      </c>
    </row>
    <row r="19" spans="1:7" x14ac:dyDescent="0.3">
      <c r="A19" t="s">
        <v>35</v>
      </c>
      <c r="B19" t="s">
        <v>36</v>
      </c>
      <c r="C19" s="1">
        <v>44609</v>
      </c>
      <c r="D19" t="s">
        <v>38</v>
      </c>
      <c r="E19" t="s">
        <v>18</v>
      </c>
      <c r="F19" t="s">
        <v>19</v>
      </c>
      <c r="G19">
        <v>30000</v>
      </c>
    </row>
    <row r="20" spans="1:7" x14ac:dyDescent="0.3">
      <c r="A20" t="s">
        <v>35</v>
      </c>
      <c r="B20" t="s">
        <v>36</v>
      </c>
      <c r="C20" s="1">
        <v>44609</v>
      </c>
      <c r="D20" t="s">
        <v>40</v>
      </c>
      <c r="E20" t="s">
        <v>18</v>
      </c>
      <c r="F20" t="s">
        <v>19</v>
      </c>
      <c r="G20">
        <v>30000</v>
      </c>
    </row>
    <row r="21" spans="1:7" x14ac:dyDescent="0.3">
      <c r="A21" t="s">
        <v>35</v>
      </c>
      <c r="B21" t="s">
        <v>36</v>
      </c>
      <c r="C21" s="1">
        <v>44897</v>
      </c>
      <c r="D21" t="s">
        <v>41</v>
      </c>
      <c r="E21" t="s">
        <v>18</v>
      </c>
      <c r="F21" t="s">
        <v>19</v>
      </c>
      <c r="G21">
        <v>30000</v>
      </c>
    </row>
    <row r="22" spans="1:7" x14ac:dyDescent="0.3">
      <c r="A22" t="s">
        <v>35</v>
      </c>
      <c r="B22" t="s">
        <v>36</v>
      </c>
      <c r="C22" s="1">
        <v>44897</v>
      </c>
      <c r="D22" t="s">
        <v>42</v>
      </c>
      <c r="E22" t="s">
        <v>18</v>
      </c>
      <c r="F22" t="s">
        <v>19</v>
      </c>
      <c r="G22">
        <v>30000</v>
      </c>
    </row>
    <row r="23" spans="1:7" x14ac:dyDescent="0.3">
      <c r="A23" t="s">
        <v>35</v>
      </c>
      <c r="B23" t="s">
        <v>36</v>
      </c>
      <c r="C23" s="1">
        <v>44595</v>
      </c>
      <c r="D23" t="s">
        <v>50</v>
      </c>
      <c r="E23" t="s">
        <v>18</v>
      </c>
      <c r="F23" t="s">
        <v>19</v>
      </c>
      <c r="G23">
        <v>30000</v>
      </c>
    </row>
    <row r="24" spans="1:7" x14ac:dyDescent="0.3">
      <c r="A24" t="s">
        <v>35</v>
      </c>
      <c r="B24" t="s">
        <v>36</v>
      </c>
      <c r="C24" s="1">
        <v>44530</v>
      </c>
      <c r="D24" t="s">
        <v>51</v>
      </c>
      <c r="E24" t="s">
        <v>18</v>
      </c>
      <c r="F24" t="s">
        <v>19</v>
      </c>
      <c r="G24">
        <v>30000</v>
      </c>
    </row>
    <row r="25" spans="1:7" x14ac:dyDescent="0.3">
      <c r="A25" t="s">
        <v>35</v>
      </c>
      <c r="B25" t="s">
        <v>36</v>
      </c>
      <c r="C25" s="1">
        <v>44530</v>
      </c>
      <c r="D25" t="s">
        <v>52</v>
      </c>
      <c r="E25" t="s">
        <v>18</v>
      </c>
      <c r="F25" t="s">
        <v>19</v>
      </c>
      <c r="G25">
        <v>30000</v>
      </c>
    </row>
    <row r="26" spans="1:7" x14ac:dyDescent="0.3">
      <c r="A26" t="s">
        <v>35</v>
      </c>
      <c r="B26" t="s">
        <v>36</v>
      </c>
      <c r="C26" s="1">
        <v>44530</v>
      </c>
      <c r="D26" t="s">
        <v>53</v>
      </c>
      <c r="E26" t="s">
        <v>18</v>
      </c>
      <c r="F26" t="s">
        <v>19</v>
      </c>
      <c r="G26">
        <v>30000</v>
      </c>
    </row>
    <row r="27" spans="1:7" x14ac:dyDescent="0.3">
      <c r="A27" t="s">
        <v>35</v>
      </c>
      <c r="B27" t="s">
        <v>36</v>
      </c>
      <c r="C27" s="1">
        <v>44562</v>
      </c>
      <c r="D27" t="s">
        <v>54</v>
      </c>
      <c r="E27" t="s">
        <v>18</v>
      </c>
      <c r="F27" t="s">
        <v>19</v>
      </c>
      <c r="G27">
        <v>30000</v>
      </c>
    </row>
    <row r="28" spans="1:7" x14ac:dyDescent="0.3">
      <c r="A28" t="s">
        <v>35</v>
      </c>
      <c r="B28" t="s">
        <v>36</v>
      </c>
      <c r="C28" s="1">
        <v>44595</v>
      </c>
      <c r="D28" t="s">
        <v>55</v>
      </c>
      <c r="E28" t="s">
        <v>18</v>
      </c>
      <c r="F28" t="s">
        <v>19</v>
      </c>
      <c r="G28">
        <v>30000</v>
      </c>
    </row>
    <row r="29" spans="1:7" x14ac:dyDescent="0.3">
      <c r="A29" t="s">
        <v>35</v>
      </c>
      <c r="B29" t="s">
        <v>36</v>
      </c>
      <c r="C29" s="1">
        <v>44530</v>
      </c>
      <c r="D29" t="s">
        <v>56</v>
      </c>
      <c r="E29" t="s">
        <v>18</v>
      </c>
      <c r="F29" t="s">
        <v>19</v>
      </c>
      <c r="G29">
        <v>30000</v>
      </c>
    </row>
    <row r="30" spans="1:7" x14ac:dyDescent="0.3">
      <c r="A30" t="s">
        <v>35</v>
      </c>
      <c r="B30" t="s">
        <v>36</v>
      </c>
      <c r="C30" s="1">
        <v>44530</v>
      </c>
      <c r="D30" t="s">
        <v>57</v>
      </c>
      <c r="E30" t="s">
        <v>18</v>
      </c>
      <c r="F30" t="s">
        <v>19</v>
      </c>
      <c r="G30">
        <v>30000</v>
      </c>
    </row>
    <row r="31" spans="1:7" x14ac:dyDescent="0.3">
      <c r="A31" t="s">
        <v>35</v>
      </c>
      <c r="B31" t="s">
        <v>36</v>
      </c>
      <c r="C31" s="1">
        <v>44530</v>
      </c>
      <c r="D31" t="s">
        <v>58</v>
      </c>
      <c r="E31" t="s">
        <v>18</v>
      </c>
      <c r="F31" t="s">
        <v>19</v>
      </c>
      <c r="G31">
        <v>30000</v>
      </c>
    </row>
    <row r="32" spans="1:7" x14ac:dyDescent="0.3">
      <c r="A32" t="s">
        <v>35</v>
      </c>
      <c r="B32" t="s">
        <v>210</v>
      </c>
      <c r="C32" s="1">
        <v>44609</v>
      </c>
      <c r="D32" t="s">
        <v>39</v>
      </c>
      <c r="E32" t="s">
        <v>18</v>
      </c>
      <c r="F32" t="s">
        <v>19</v>
      </c>
    </row>
    <row r="33" spans="1:7" x14ac:dyDescent="0.3">
      <c r="A33" t="s">
        <v>35</v>
      </c>
      <c r="B33" t="s">
        <v>210</v>
      </c>
      <c r="C33" s="1">
        <v>44559</v>
      </c>
      <c r="D33" t="s">
        <v>46</v>
      </c>
      <c r="E33" t="s">
        <v>18</v>
      </c>
      <c r="F33" t="s">
        <v>19</v>
      </c>
    </row>
    <row r="34" spans="1:7" x14ac:dyDescent="0.3">
      <c r="A34" t="s">
        <v>35</v>
      </c>
      <c r="B34" t="s">
        <v>210</v>
      </c>
      <c r="C34" s="1">
        <v>44949</v>
      </c>
      <c r="D34" t="s">
        <v>47</v>
      </c>
      <c r="E34" t="s">
        <v>18</v>
      </c>
      <c r="F34" t="s">
        <v>27</v>
      </c>
    </row>
    <row r="35" spans="1:7" x14ac:dyDescent="0.3">
      <c r="A35" t="s">
        <v>35</v>
      </c>
      <c r="B35" t="s">
        <v>36</v>
      </c>
      <c r="C35" s="1">
        <v>44530</v>
      </c>
      <c r="D35" t="s">
        <v>59</v>
      </c>
      <c r="E35" t="s">
        <v>18</v>
      </c>
      <c r="F35" t="s">
        <v>19</v>
      </c>
      <c r="G35">
        <v>30000</v>
      </c>
    </row>
    <row r="36" spans="1:7" x14ac:dyDescent="0.3">
      <c r="A36" t="s">
        <v>35</v>
      </c>
      <c r="B36" t="s">
        <v>36</v>
      </c>
      <c r="C36" s="1">
        <v>44530</v>
      </c>
      <c r="D36" t="s">
        <v>60</v>
      </c>
      <c r="E36" t="s">
        <v>18</v>
      </c>
      <c r="F36" t="s">
        <v>19</v>
      </c>
      <c r="G36">
        <v>30000</v>
      </c>
    </row>
    <row r="37" spans="1:7" x14ac:dyDescent="0.3">
      <c r="A37" t="s">
        <v>35</v>
      </c>
      <c r="B37" t="s">
        <v>36</v>
      </c>
      <c r="C37" s="1">
        <v>44530</v>
      </c>
      <c r="D37" t="s">
        <v>61</v>
      </c>
      <c r="E37" t="s">
        <v>18</v>
      </c>
      <c r="F37" t="s">
        <v>19</v>
      </c>
      <c r="G37">
        <v>30000</v>
      </c>
    </row>
    <row r="38" spans="1:7" x14ac:dyDescent="0.3">
      <c r="A38" t="s">
        <v>35</v>
      </c>
      <c r="B38" t="s">
        <v>36</v>
      </c>
      <c r="C38" s="1">
        <v>44530</v>
      </c>
      <c r="D38" t="s">
        <v>62</v>
      </c>
      <c r="E38" t="s">
        <v>18</v>
      </c>
      <c r="F38" t="s">
        <v>19</v>
      </c>
      <c r="G38">
        <v>30000</v>
      </c>
    </row>
    <row r="39" spans="1:7" x14ac:dyDescent="0.3">
      <c r="A39" t="s">
        <v>35</v>
      </c>
      <c r="B39" t="s">
        <v>36</v>
      </c>
      <c r="C39" s="1">
        <v>44530</v>
      </c>
      <c r="D39" t="s">
        <v>63</v>
      </c>
      <c r="E39" t="s">
        <v>18</v>
      </c>
      <c r="F39" t="s">
        <v>19</v>
      </c>
      <c r="G39">
        <v>30000</v>
      </c>
    </row>
    <row r="40" spans="1:7" x14ac:dyDescent="0.3">
      <c r="A40" t="s">
        <v>35</v>
      </c>
      <c r="B40" t="s">
        <v>36</v>
      </c>
      <c r="C40" s="1">
        <v>44530</v>
      </c>
      <c r="D40" t="s">
        <v>64</v>
      </c>
      <c r="E40" t="s">
        <v>18</v>
      </c>
      <c r="F40" t="s">
        <v>19</v>
      </c>
      <c r="G40">
        <v>30000</v>
      </c>
    </row>
    <row r="41" spans="1:7" x14ac:dyDescent="0.3">
      <c r="A41" t="s">
        <v>35</v>
      </c>
      <c r="B41" t="s">
        <v>36</v>
      </c>
      <c r="C41" s="1">
        <v>44530</v>
      </c>
      <c r="D41" t="s">
        <v>65</v>
      </c>
      <c r="E41" t="s">
        <v>18</v>
      </c>
      <c r="F41" t="s">
        <v>19</v>
      </c>
      <c r="G41">
        <v>30000</v>
      </c>
    </row>
    <row r="42" spans="1:7" x14ac:dyDescent="0.3">
      <c r="A42" t="s">
        <v>66</v>
      </c>
      <c r="B42" t="s">
        <v>67</v>
      </c>
      <c r="C42" s="1">
        <v>44949</v>
      </c>
      <c r="D42" t="s">
        <v>68</v>
      </c>
      <c r="E42" t="s">
        <v>18</v>
      </c>
      <c r="F42" t="s">
        <v>19</v>
      </c>
      <c r="G42">
        <v>30000</v>
      </c>
    </row>
    <row r="43" spans="1:7" x14ac:dyDescent="0.3">
      <c r="A43" t="s">
        <v>66</v>
      </c>
      <c r="B43" t="s">
        <v>69</v>
      </c>
      <c r="C43" s="1">
        <v>44711</v>
      </c>
      <c r="D43" t="s">
        <v>70</v>
      </c>
      <c r="E43" t="s">
        <v>18</v>
      </c>
      <c r="F43" t="s">
        <v>19</v>
      </c>
    </row>
    <row r="44" spans="1:7" x14ac:dyDescent="0.3">
      <c r="A44" t="s">
        <v>66</v>
      </c>
      <c r="B44" t="s">
        <v>69</v>
      </c>
      <c r="C44" s="1">
        <v>44897</v>
      </c>
      <c r="D44" t="s">
        <v>71</v>
      </c>
      <c r="E44" t="s">
        <v>18</v>
      </c>
      <c r="F44" t="s">
        <v>19</v>
      </c>
    </row>
    <row r="45" spans="1:7" x14ac:dyDescent="0.3">
      <c r="A45" t="s">
        <v>66</v>
      </c>
      <c r="B45" t="s">
        <v>69</v>
      </c>
      <c r="C45" s="1">
        <v>44609</v>
      </c>
      <c r="D45" t="s">
        <v>72</v>
      </c>
      <c r="E45" t="s">
        <v>18</v>
      </c>
      <c r="F45" t="s">
        <v>27</v>
      </c>
    </row>
    <row r="46" spans="1:7" x14ac:dyDescent="0.3">
      <c r="A46" t="s">
        <v>66</v>
      </c>
      <c r="B46" t="s">
        <v>73</v>
      </c>
      <c r="C46" s="1">
        <v>44958</v>
      </c>
      <c r="D46" t="s">
        <v>74</v>
      </c>
      <c r="E46" t="s">
        <v>18</v>
      </c>
      <c r="F46" t="s">
        <v>27</v>
      </c>
      <c r="G46">
        <v>30000</v>
      </c>
    </row>
    <row r="47" spans="1:7" x14ac:dyDescent="0.3">
      <c r="A47" t="s">
        <v>66</v>
      </c>
      <c r="B47" t="s">
        <v>75</v>
      </c>
      <c r="C47" s="1">
        <v>44958</v>
      </c>
      <c r="D47" t="s">
        <v>76</v>
      </c>
      <c r="E47" t="s">
        <v>18</v>
      </c>
      <c r="F47" t="s">
        <v>19</v>
      </c>
    </row>
    <row r="48" spans="1:7" x14ac:dyDescent="0.3">
      <c r="A48" t="s">
        <v>66</v>
      </c>
      <c r="B48" t="s">
        <v>77</v>
      </c>
      <c r="C48" s="1">
        <v>44958</v>
      </c>
      <c r="D48" t="s">
        <v>78</v>
      </c>
      <c r="E48" t="s">
        <v>18</v>
      </c>
      <c r="F48" t="s">
        <v>19</v>
      </c>
    </row>
    <row r="49" spans="1:7" x14ac:dyDescent="0.3">
      <c r="A49" t="s">
        <v>79</v>
      </c>
      <c r="B49" t="s">
        <v>80</v>
      </c>
      <c r="C49" s="1">
        <v>44559</v>
      </c>
      <c r="D49" t="s">
        <v>81</v>
      </c>
      <c r="E49" t="s">
        <v>18</v>
      </c>
      <c r="F49" t="s">
        <v>19</v>
      </c>
      <c r="G49">
        <v>5000</v>
      </c>
    </row>
    <row r="50" spans="1:7" x14ac:dyDescent="0.3">
      <c r="A50" t="s">
        <v>79</v>
      </c>
      <c r="B50" t="s">
        <v>80</v>
      </c>
      <c r="C50" s="1">
        <v>44897</v>
      </c>
      <c r="D50" t="s">
        <v>82</v>
      </c>
      <c r="E50" t="s">
        <v>18</v>
      </c>
      <c r="F50" t="s">
        <v>19</v>
      </c>
      <c r="G50">
        <v>5000</v>
      </c>
    </row>
    <row r="51" spans="1:7" x14ac:dyDescent="0.3">
      <c r="A51" t="s">
        <v>79</v>
      </c>
      <c r="B51" t="s">
        <v>80</v>
      </c>
      <c r="C51" s="1">
        <v>44609</v>
      </c>
      <c r="D51" t="s">
        <v>83</v>
      </c>
      <c r="E51" t="s">
        <v>18</v>
      </c>
      <c r="F51" t="s">
        <v>19</v>
      </c>
      <c r="G51">
        <v>5000</v>
      </c>
    </row>
    <row r="52" spans="1:7" x14ac:dyDescent="0.3">
      <c r="A52" t="s">
        <v>79</v>
      </c>
      <c r="B52" t="s">
        <v>80</v>
      </c>
      <c r="C52" s="1">
        <v>44609</v>
      </c>
      <c r="D52" t="s">
        <v>84</v>
      </c>
      <c r="E52" t="s">
        <v>18</v>
      </c>
      <c r="F52" t="s">
        <v>19</v>
      </c>
      <c r="G52">
        <v>5000</v>
      </c>
    </row>
    <row r="53" spans="1:7" x14ac:dyDescent="0.3">
      <c r="A53" t="s">
        <v>79</v>
      </c>
      <c r="B53" t="s">
        <v>80</v>
      </c>
      <c r="C53" s="1">
        <v>44562</v>
      </c>
      <c r="D53" t="s">
        <v>85</v>
      </c>
      <c r="E53" t="s">
        <v>18</v>
      </c>
      <c r="F53" t="s">
        <v>27</v>
      </c>
      <c r="G53">
        <v>5000</v>
      </c>
    </row>
    <row r="54" spans="1:7" x14ac:dyDescent="0.3">
      <c r="A54" t="s">
        <v>79</v>
      </c>
      <c r="B54" t="s">
        <v>80</v>
      </c>
      <c r="C54" s="1">
        <v>44958</v>
      </c>
      <c r="D54" t="s">
        <v>86</v>
      </c>
      <c r="E54" t="s">
        <v>18</v>
      </c>
      <c r="F54" t="s">
        <v>19</v>
      </c>
      <c r="G54">
        <v>5000</v>
      </c>
    </row>
    <row r="55" spans="1:7" x14ac:dyDescent="0.3">
      <c r="A55" t="s">
        <v>79</v>
      </c>
      <c r="B55" t="s">
        <v>87</v>
      </c>
      <c r="C55" s="1">
        <v>44562</v>
      </c>
      <c r="D55" t="s">
        <v>88</v>
      </c>
      <c r="E55" t="s">
        <v>18</v>
      </c>
      <c r="F55" t="s">
        <v>19</v>
      </c>
      <c r="G55">
        <v>30000</v>
      </c>
    </row>
    <row r="56" spans="1:7" x14ac:dyDescent="0.3">
      <c r="A56" t="s">
        <v>79</v>
      </c>
      <c r="B56" t="s">
        <v>87</v>
      </c>
      <c r="C56" s="1">
        <v>44958</v>
      </c>
      <c r="D56" t="s">
        <v>89</v>
      </c>
      <c r="E56" t="s">
        <v>18</v>
      </c>
      <c r="F56" t="s">
        <v>19</v>
      </c>
      <c r="G56">
        <v>30000</v>
      </c>
    </row>
    <row r="57" spans="1:7" x14ac:dyDescent="0.3">
      <c r="A57" t="s">
        <v>79</v>
      </c>
      <c r="B57" t="s">
        <v>87</v>
      </c>
      <c r="C57" s="1">
        <v>44562</v>
      </c>
      <c r="D57" t="s">
        <v>90</v>
      </c>
      <c r="E57" t="s">
        <v>18</v>
      </c>
      <c r="F57" t="s">
        <v>19</v>
      </c>
      <c r="G57">
        <v>30000</v>
      </c>
    </row>
    <row r="58" spans="1:7" x14ac:dyDescent="0.3">
      <c r="A58" t="s">
        <v>91</v>
      </c>
      <c r="B58" t="s">
        <v>92</v>
      </c>
      <c r="C58" s="1">
        <v>44897</v>
      </c>
      <c r="D58" t="s">
        <v>93</v>
      </c>
      <c r="E58" t="s">
        <v>18</v>
      </c>
      <c r="F58" t="s">
        <v>19</v>
      </c>
      <c r="G58">
        <v>500</v>
      </c>
    </row>
    <row r="59" spans="1:7" x14ac:dyDescent="0.3">
      <c r="A59" t="s">
        <v>91</v>
      </c>
      <c r="B59" t="s">
        <v>94</v>
      </c>
      <c r="C59" s="1">
        <v>44681</v>
      </c>
      <c r="D59" t="s">
        <v>95</v>
      </c>
      <c r="E59" t="s">
        <v>18</v>
      </c>
      <c r="F59" t="s">
        <v>19</v>
      </c>
    </row>
    <row r="60" spans="1:7" x14ac:dyDescent="0.3">
      <c r="A60" t="s">
        <v>3</v>
      </c>
      <c r="B60" t="s">
        <v>16</v>
      </c>
      <c r="C60" s="1">
        <v>44958</v>
      </c>
      <c r="D60" t="s">
        <v>96</v>
      </c>
      <c r="E60" t="s">
        <v>18</v>
      </c>
      <c r="F60" t="s">
        <v>19</v>
      </c>
      <c r="G60">
        <v>500</v>
      </c>
    </row>
    <row r="61" spans="1:7" x14ac:dyDescent="0.3">
      <c r="A61" t="s">
        <v>3</v>
      </c>
      <c r="B61" t="s">
        <v>20</v>
      </c>
      <c r="C61" s="1">
        <v>44958</v>
      </c>
      <c r="D61" t="s">
        <v>97</v>
      </c>
      <c r="E61" t="s">
        <v>18</v>
      </c>
      <c r="F61" t="s">
        <v>19</v>
      </c>
      <c r="G61">
        <v>10000</v>
      </c>
    </row>
    <row r="62" spans="1:7" x14ac:dyDescent="0.3">
      <c r="A62" t="s">
        <v>3</v>
      </c>
      <c r="B62" t="s">
        <v>20</v>
      </c>
      <c r="C62" s="1">
        <v>44958</v>
      </c>
      <c r="D62" t="s">
        <v>98</v>
      </c>
      <c r="E62" t="s">
        <v>18</v>
      </c>
      <c r="F62" t="s">
        <v>19</v>
      </c>
      <c r="G62">
        <v>10000</v>
      </c>
    </row>
    <row r="63" spans="1:7" x14ac:dyDescent="0.3">
      <c r="A63" t="s">
        <v>3</v>
      </c>
      <c r="B63" t="s">
        <v>20</v>
      </c>
      <c r="C63" s="1">
        <v>44958</v>
      </c>
      <c r="D63" t="s">
        <v>99</v>
      </c>
      <c r="E63" t="s">
        <v>18</v>
      </c>
      <c r="F63" t="s">
        <v>19</v>
      </c>
      <c r="G63">
        <v>10000</v>
      </c>
    </row>
    <row r="64" spans="1:7" x14ac:dyDescent="0.3">
      <c r="A64" t="s">
        <v>3</v>
      </c>
      <c r="B64" t="s">
        <v>20</v>
      </c>
      <c r="C64" s="1">
        <v>44958</v>
      </c>
      <c r="D64" t="s">
        <v>100</v>
      </c>
      <c r="E64" t="s">
        <v>18</v>
      </c>
      <c r="F64" t="s">
        <v>19</v>
      </c>
      <c r="G64">
        <v>10000</v>
      </c>
    </row>
    <row r="65" spans="1:7" x14ac:dyDescent="0.3">
      <c r="A65" t="s">
        <v>3</v>
      </c>
      <c r="B65" t="s">
        <v>20</v>
      </c>
      <c r="C65" s="1">
        <v>44958</v>
      </c>
      <c r="D65" t="s">
        <v>101</v>
      </c>
      <c r="E65" t="s">
        <v>18</v>
      </c>
      <c r="F65" t="s">
        <v>19</v>
      </c>
      <c r="G65">
        <v>10000</v>
      </c>
    </row>
    <row r="66" spans="1:7" x14ac:dyDescent="0.3">
      <c r="A66" t="s">
        <v>3</v>
      </c>
      <c r="B66" t="s">
        <v>20</v>
      </c>
      <c r="C66" s="1">
        <v>44958</v>
      </c>
      <c r="D66" t="s">
        <v>102</v>
      </c>
      <c r="E66" t="s">
        <v>18</v>
      </c>
      <c r="F66" t="s">
        <v>19</v>
      </c>
      <c r="G66">
        <v>10000</v>
      </c>
    </row>
    <row r="67" spans="1:7" x14ac:dyDescent="0.3">
      <c r="A67" t="s">
        <v>3</v>
      </c>
      <c r="B67" t="s">
        <v>20</v>
      </c>
      <c r="C67" s="1">
        <v>44958</v>
      </c>
      <c r="D67" t="s">
        <v>103</v>
      </c>
      <c r="E67" t="s">
        <v>18</v>
      </c>
      <c r="F67" t="s">
        <v>19</v>
      </c>
      <c r="G67">
        <v>10000</v>
      </c>
    </row>
    <row r="68" spans="1:7" x14ac:dyDescent="0.3">
      <c r="A68" t="s">
        <v>3</v>
      </c>
      <c r="B68" t="s">
        <v>20</v>
      </c>
      <c r="C68" s="1">
        <v>44958</v>
      </c>
      <c r="D68" t="s">
        <v>104</v>
      </c>
      <c r="E68" t="s">
        <v>18</v>
      </c>
      <c r="F68" t="s">
        <v>19</v>
      </c>
      <c r="G68">
        <v>10000</v>
      </c>
    </row>
    <row r="69" spans="1:7" x14ac:dyDescent="0.3">
      <c r="A69" t="s">
        <v>3</v>
      </c>
      <c r="B69" t="s">
        <v>20</v>
      </c>
      <c r="C69" s="1">
        <v>44958</v>
      </c>
      <c r="D69" t="s">
        <v>105</v>
      </c>
      <c r="E69" t="s">
        <v>18</v>
      </c>
      <c r="F69" t="s">
        <v>19</v>
      </c>
      <c r="G69">
        <v>10000</v>
      </c>
    </row>
    <row r="70" spans="1:7" x14ac:dyDescent="0.3">
      <c r="A70" t="s">
        <v>3</v>
      </c>
      <c r="B70" t="s">
        <v>20</v>
      </c>
      <c r="C70" s="1">
        <v>44958</v>
      </c>
      <c r="D70" t="s">
        <v>106</v>
      </c>
      <c r="E70" t="s">
        <v>18</v>
      </c>
      <c r="F70" t="s">
        <v>19</v>
      </c>
      <c r="G70">
        <v>10000</v>
      </c>
    </row>
    <row r="71" spans="1:7" x14ac:dyDescent="0.3">
      <c r="A71" t="s">
        <v>3</v>
      </c>
      <c r="B71" t="s">
        <v>20</v>
      </c>
      <c r="C71" s="1">
        <v>44958</v>
      </c>
      <c r="D71" t="s">
        <v>107</v>
      </c>
      <c r="E71" t="s">
        <v>18</v>
      </c>
      <c r="F71" t="s">
        <v>19</v>
      </c>
      <c r="G71">
        <v>10000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FD-EBD5-414F-A72B-17637545FC35}">
  <dimension ref="A1:D16"/>
  <sheetViews>
    <sheetView workbookViewId="0"/>
  </sheetViews>
  <sheetFormatPr defaultRowHeight="14" x14ac:dyDescent="0.3"/>
  <cols>
    <col min="1" max="1" width="13" bestFit="1" customWidth="1"/>
    <col min="2" max="2" width="10.9140625" bestFit="1" customWidth="1"/>
    <col min="3" max="3" width="8.4140625" bestFit="1" customWidth="1"/>
    <col min="4" max="4" width="21.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244</v>
      </c>
    </row>
    <row r="2" spans="1:4" x14ac:dyDescent="0.3">
      <c r="A2" t="s">
        <v>3</v>
      </c>
      <c r="B2" t="s">
        <v>4</v>
      </c>
      <c r="C2">
        <v>500</v>
      </c>
      <c r="D2" t="s">
        <v>245</v>
      </c>
    </row>
    <row r="3" spans="1:4" x14ac:dyDescent="0.3">
      <c r="A3" t="s">
        <v>3</v>
      </c>
      <c r="B3" t="s">
        <v>5</v>
      </c>
      <c r="C3">
        <v>1000</v>
      </c>
      <c r="D3" t="s">
        <v>246</v>
      </c>
    </row>
    <row r="4" spans="1:4" x14ac:dyDescent="0.3">
      <c r="A4" t="s">
        <v>3</v>
      </c>
      <c r="B4" t="s">
        <v>6</v>
      </c>
      <c r="C4">
        <v>10000</v>
      </c>
      <c r="D4" t="s">
        <v>247</v>
      </c>
    </row>
    <row r="5" spans="1:4" x14ac:dyDescent="0.3">
      <c r="A5" t="s">
        <v>7</v>
      </c>
      <c r="B5" t="s">
        <v>4</v>
      </c>
      <c r="C5">
        <v>300</v>
      </c>
      <c r="D5" t="s">
        <v>248</v>
      </c>
    </row>
    <row r="6" spans="1:4" x14ac:dyDescent="0.3">
      <c r="A6" t="s">
        <v>7</v>
      </c>
      <c r="B6" t="s">
        <v>5</v>
      </c>
      <c r="C6">
        <v>500</v>
      </c>
      <c r="D6" t="s">
        <v>249</v>
      </c>
    </row>
    <row r="7" spans="1:4" x14ac:dyDescent="0.3">
      <c r="A7" t="s">
        <v>7</v>
      </c>
      <c r="B7" t="s">
        <v>6</v>
      </c>
      <c r="C7">
        <v>5000</v>
      </c>
      <c r="D7" t="s">
        <v>250</v>
      </c>
    </row>
    <row r="8" spans="1:4" x14ac:dyDescent="0.3">
      <c r="A8" t="s">
        <v>8</v>
      </c>
      <c r="B8" t="s">
        <v>4</v>
      </c>
      <c r="C8">
        <v>200</v>
      </c>
      <c r="D8" t="s">
        <v>251</v>
      </c>
    </row>
    <row r="9" spans="1:4" x14ac:dyDescent="0.3">
      <c r="A9" t="s">
        <v>8</v>
      </c>
      <c r="B9" t="s">
        <v>5</v>
      </c>
      <c r="C9">
        <v>500</v>
      </c>
      <c r="D9" t="s">
        <v>252</v>
      </c>
    </row>
    <row r="10" spans="1:4" x14ac:dyDescent="0.3">
      <c r="A10" t="s">
        <v>8</v>
      </c>
      <c r="B10" t="s">
        <v>6</v>
      </c>
      <c r="C10">
        <v>4000</v>
      </c>
      <c r="D10" t="s">
        <v>253</v>
      </c>
    </row>
    <row r="11" spans="1:4" x14ac:dyDescent="0.3">
      <c r="A11" t="s">
        <v>9</v>
      </c>
      <c r="B11" t="s">
        <v>4</v>
      </c>
      <c r="C11">
        <v>100</v>
      </c>
      <c r="D11" t="s">
        <v>254</v>
      </c>
    </row>
    <row r="12" spans="1:4" x14ac:dyDescent="0.3">
      <c r="A12" t="s">
        <v>9</v>
      </c>
      <c r="B12" t="s">
        <v>5</v>
      </c>
      <c r="C12">
        <v>200</v>
      </c>
      <c r="D12" t="s">
        <v>255</v>
      </c>
    </row>
    <row r="13" spans="1:4" x14ac:dyDescent="0.3">
      <c r="A13" t="s">
        <v>9</v>
      </c>
      <c r="B13" t="s">
        <v>6</v>
      </c>
      <c r="C13">
        <v>3000</v>
      </c>
      <c r="D13" t="s">
        <v>256</v>
      </c>
    </row>
    <row r="14" spans="1:4" x14ac:dyDescent="0.3">
      <c r="A14" t="s">
        <v>209</v>
      </c>
      <c r="B14" t="s">
        <v>4</v>
      </c>
      <c r="C14">
        <v>5000</v>
      </c>
      <c r="D14" t="s">
        <v>262</v>
      </c>
    </row>
    <row r="15" spans="1:4" x14ac:dyDescent="0.3">
      <c r="A15" t="s">
        <v>209</v>
      </c>
      <c r="B15" t="s">
        <v>5</v>
      </c>
      <c r="C15">
        <v>10000</v>
      </c>
      <c r="D15" t="s">
        <v>258</v>
      </c>
    </row>
    <row r="16" spans="1:4" x14ac:dyDescent="0.3">
      <c r="A16" t="s">
        <v>209</v>
      </c>
      <c r="B16" t="s">
        <v>6</v>
      </c>
      <c r="C16">
        <v>30000</v>
      </c>
      <c r="D16" t="s">
        <v>263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3CE4-2DED-4E4D-ABA5-7F2411C0AA63}">
  <sheetPr>
    <tabColor rgb="FF92D050"/>
  </sheetPr>
  <dimension ref="A1:R136"/>
  <sheetViews>
    <sheetView workbookViewId="0">
      <selection activeCell="G13" sqref="G13"/>
    </sheetView>
  </sheetViews>
  <sheetFormatPr defaultRowHeight="14" x14ac:dyDescent="0.3"/>
  <cols>
    <col min="1" max="1" width="8.4140625" bestFit="1" customWidth="1"/>
    <col min="2" max="2" width="10.9140625" bestFit="1" customWidth="1"/>
    <col min="3" max="3" width="18" bestFit="1" customWidth="1"/>
    <col min="4" max="4" width="6" bestFit="1" customWidth="1"/>
    <col min="5" max="5" width="18.6640625" bestFit="1" customWidth="1"/>
    <col min="6" max="6" width="27.4140625" bestFit="1" customWidth="1"/>
    <col min="7" max="7" width="12.5" bestFit="1" customWidth="1"/>
    <col min="8" max="8" width="11.58203125" bestFit="1" customWidth="1"/>
    <col min="9" max="9" width="11.08203125" bestFit="1" customWidth="1"/>
    <col min="10" max="10" width="10.1640625" bestFit="1" customWidth="1"/>
    <col min="11" max="11" width="14.33203125" bestFit="1" customWidth="1"/>
    <col min="12" max="12" width="16.58203125" bestFit="1" customWidth="1"/>
    <col min="13" max="13" width="13.58203125" bestFit="1" customWidth="1"/>
    <col min="14" max="14" width="19.4140625" bestFit="1" customWidth="1"/>
    <col min="15" max="15" width="13.9140625" bestFit="1" customWidth="1"/>
    <col min="16" max="16" width="15.1640625" bestFit="1" customWidth="1"/>
    <col min="17" max="17" width="15.4140625" bestFit="1" customWidth="1"/>
    <col min="18" max="18" width="8.4140625" bestFit="1" customWidth="1"/>
  </cols>
  <sheetData>
    <row r="1" spans="1:18" x14ac:dyDescent="0.3">
      <c r="A1" t="s">
        <v>174</v>
      </c>
      <c r="B1" t="s">
        <v>175</v>
      </c>
      <c r="C1" t="s">
        <v>176</v>
      </c>
      <c r="D1" t="s">
        <v>13</v>
      </c>
      <c r="E1" t="s">
        <v>177</v>
      </c>
      <c r="F1" t="s">
        <v>178</v>
      </c>
      <c r="G1" t="s">
        <v>179</v>
      </c>
      <c r="H1" t="s">
        <v>180</v>
      </c>
      <c r="I1" t="s">
        <v>181</v>
      </c>
      <c r="J1" t="s">
        <v>182</v>
      </c>
      <c r="K1" t="s">
        <v>183</v>
      </c>
      <c r="L1" t="s">
        <v>184</v>
      </c>
      <c r="M1" t="s">
        <v>113</v>
      </c>
      <c r="N1" t="s">
        <v>10</v>
      </c>
      <c r="O1" t="s">
        <v>11</v>
      </c>
      <c r="P1" t="s">
        <v>12</v>
      </c>
      <c r="Q1" t="s">
        <v>15</v>
      </c>
      <c r="R1" t="s">
        <v>2</v>
      </c>
    </row>
    <row r="2" spans="1:18" x14ac:dyDescent="0.3">
      <c r="A2" t="s">
        <v>185</v>
      </c>
      <c r="B2" t="s">
        <v>186</v>
      </c>
      <c r="C2" t="s">
        <v>187</v>
      </c>
      <c r="D2" t="s">
        <v>17</v>
      </c>
      <c r="E2" t="s">
        <v>188</v>
      </c>
      <c r="F2" t="s">
        <v>189</v>
      </c>
      <c r="I2" s="1">
        <v>43658</v>
      </c>
      <c r="J2" t="s">
        <v>18</v>
      </c>
      <c r="K2" s="1"/>
      <c r="M2" t="s">
        <v>264</v>
      </c>
      <c r="N2" t="s">
        <v>3</v>
      </c>
      <c r="O2" t="s">
        <v>16</v>
      </c>
      <c r="P2" s="1">
        <v>44672</v>
      </c>
      <c r="Q2" t="s">
        <v>19</v>
      </c>
      <c r="R2">
        <v>500</v>
      </c>
    </row>
    <row r="3" spans="1:18" x14ac:dyDescent="0.3">
      <c r="A3" t="s">
        <v>198</v>
      </c>
      <c r="B3" t="s">
        <v>199</v>
      </c>
      <c r="C3" t="s">
        <v>200</v>
      </c>
      <c r="D3" t="s">
        <v>47</v>
      </c>
      <c r="E3" t="s">
        <v>188</v>
      </c>
      <c r="F3" t="s">
        <v>189</v>
      </c>
      <c r="I3" s="1">
        <v>42331</v>
      </c>
      <c r="J3" t="s">
        <v>190</v>
      </c>
      <c r="K3" s="1">
        <v>44986</v>
      </c>
      <c r="L3" t="s">
        <v>195</v>
      </c>
      <c r="M3" t="s">
        <v>272</v>
      </c>
      <c r="N3" t="s">
        <v>35</v>
      </c>
      <c r="O3" t="s">
        <v>210</v>
      </c>
      <c r="P3" s="1">
        <v>44949</v>
      </c>
      <c r="Q3" t="s">
        <v>27</v>
      </c>
    </row>
    <row r="4" spans="1:18" x14ac:dyDescent="0.3">
      <c r="A4" t="s">
        <v>185</v>
      </c>
      <c r="B4" t="s">
        <v>192</v>
      </c>
      <c r="C4" t="s">
        <v>193</v>
      </c>
      <c r="D4" t="s">
        <v>21</v>
      </c>
      <c r="E4" t="s">
        <v>188</v>
      </c>
      <c r="F4" t="s">
        <v>189</v>
      </c>
      <c r="I4" s="1">
        <v>44705</v>
      </c>
      <c r="J4" t="s">
        <v>18</v>
      </c>
      <c r="K4" s="1"/>
      <c r="M4" t="s">
        <v>265</v>
      </c>
      <c r="N4" t="s">
        <v>3</v>
      </c>
      <c r="O4" t="s">
        <v>20</v>
      </c>
      <c r="P4" s="1">
        <v>44897</v>
      </c>
      <c r="Q4" t="s">
        <v>19</v>
      </c>
      <c r="R4">
        <v>10000</v>
      </c>
    </row>
    <row r="5" spans="1:18" x14ac:dyDescent="0.3">
      <c r="A5" t="s">
        <v>185</v>
      </c>
      <c r="B5" t="s">
        <v>186</v>
      </c>
      <c r="C5" t="s">
        <v>187</v>
      </c>
      <c r="D5" t="s">
        <v>95</v>
      </c>
      <c r="E5" t="s">
        <v>188</v>
      </c>
      <c r="F5" t="s">
        <v>189</v>
      </c>
      <c r="I5" s="1">
        <v>43658</v>
      </c>
      <c r="J5" t="s">
        <v>18</v>
      </c>
      <c r="K5" s="1"/>
      <c r="M5" t="s">
        <v>271</v>
      </c>
      <c r="N5" t="s">
        <v>91</v>
      </c>
      <c r="O5" t="s">
        <v>94</v>
      </c>
      <c r="P5" s="1">
        <v>44681</v>
      </c>
      <c r="Q5" t="s">
        <v>19</v>
      </c>
    </row>
    <row r="6" spans="1:18" x14ac:dyDescent="0.3">
      <c r="A6" t="s">
        <v>185</v>
      </c>
      <c r="B6" t="s">
        <v>186</v>
      </c>
      <c r="C6" t="s">
        <v>187</v>
      </c>
      <c r="D6" t="s">
        <v>23</v>
      </c>
      <c r="E6" t="s">
        <v>188</v>
      </c>
      <c r="F6" t="s">
        <v>189</v>
      </c>
      <c r="I6" s="1">
        <v>43658</v>
      </c>
      <c r="J6" t="s">
        <v>18</v>
      </c>
      <c r="K6" s="1"/>
      <c r="M6" t="s">
        <v>270</v>
      </c>
      <c r="N6" t="s">
        <v>7</v>
      </c>
      <c r="O6" t="s">
        <v>22</v>
      </c>
      <c r="P6" s="1">
        <v>44609</v>
      </c>
      <c r="Q6" t="s">
        <v>19</v>
      </c>
      <c r="R6">
        <v>500</v>
      </c>
    </row>
    <row r="7" spans="1:18" x14ac:dyDescent="0.3">
      <c r="A7" t="s">
        <v>185</v>
      </c>
      <c r="B7" t="s">
        <v>186</v>
      </c>
      <c r="C7" t="s">
        <v>187</v>
      </c>
      <c r="D7" t="s">
        <v>37</v>
      </c>
      <c r="E7" t="s">
        <v>188</v>
      </c>
      <c r="F7" t="s">
        <v>189</v>
      </c>
      <c r="I7" s="1">
        <v>43658</v>
      </c>
      <c r="J7" t="s">
        <v>18</v>
      </c>
      <c r="K7" s="1"/>
      <c r="M7" t="s">
        <v>273</v>
      </c>
      <c r="N7" t="s">
        <v>35</v>
      </c>
      <c r="O7" t="s">
        <v>36</v>
      </c>
      <c r="P7" s="1">
        <v>44708</v>
      </c>
      <c r="Q7" t="s">
        <v>19</v>
      </c>
      <c r="R7">
        <v>30000</v>
      </c>
    </row>
    <row r="8" spans="1:18" x14ac:dyDescent="0.3">
      <c r="A8" t="s">
        <v>185</v>
      </c>
      <c r="B8" t="s">
        <v>192</v>
      </c>
      <c r="C8" t="s">
        <v>193</v>
      </c>
      <c r="D8" t="s">
        <v>24</v>
      </c>
      <c r="E8" t="s">
        <v>188</v>
      </c>
      <c r="F8" t="s">
        <v>189</v>
      </c>
      <c r="I8" s="1">
        <v>44938</v>
      </c>
      <c r="J8" t="s">
        <v>190</v>
      </c>
      <c r="K8" s="1">
        <v>44986</v>
      </c>
      <c r="L8" t="s">
        <v>195</v>
      </c>
      <c r="M8" t="s">
        <v>270</v>
      </c>
      <c r="N8" t="s">
        <v>7</v>
      </c>
      <c r="O8" t="s">
        <v>22</v>
      </c>
      <c r="P8" s="1">
        <v>44609</v>
      </c>
      <c r="Q8" t="s">
        <v>19</v>
      </c>
      <c r="R8">
        <v>500</v>
      </c>
    </row>
    <row r="9" spans="1:18" x14ac:dyDescent="0.3">
      <c r="A9" t="s">
        <v>185</v>
      </c>
      <c r="B9" t="s">
        <v>186</v>
      </c>
      <c r="C9" t="s">
        <v>187</v>
      </c>
      <c r="D9" t="s">
        <v>68</v>
      </c>
      <c r="E9" t="s">
        <v>188</v>
      </c>
      <c r="F9" t="s">
        <v>189</v>
      </c>
      <c r="I9" s="1">
        <v>43658</v>
      </c>
      <c r="J9" t="s">
        <v>18</v>
      </c>
      <c r="K9" s="1"/>
      <c r="M9" t="s">
        <v>270</v>
      </c>
      <c r="N9" t="s">
        <v>66</v>
      </c>
      <c r="O9" t="s">
        <v>67</v>
      </c>
      <c r="P9" s="1">
        <v>44949</v>
      </c>
      <c r="Q9" t="s">
        <v>19</v>
      </c>
      <c r="R9">
        <v>30000</v>
      </c>
    </row>
    <row r="10" spans="1:18" x14ac:dyDescent="0.3">
      <c r="A10" t="s">
        <v>185</v>
      </c>
      <c r="B10" t="s">
        <v>192</v>
      </c>
      <c r="C10" t="s">
        <v>193</v>
      </c>
      <c r="D10" t="s">
        <v>25</v>
      </c>
      <c r="E10" t="s">
        <v>188</v>
      </c>
      <c r="F10" t="s">
        <v>189</v>
      </c>
      <c r="I10" s="1">
        <v>44938</v>
      </c>
      <c r="J10" t="s">
        <v>190</v>
      </c>
      <c r="K10" s="1">
        <v>44986</v>
      </c>
      <c r="L10" t="s">
        <v>195</v>
      </c>
      <c r="M10" t="s">
        <v>265</v>
      </c>
      <c r="N10" t="s">
        <v>7</v>
      </c>
      <c r="O10" t="s">
        <v>22</v>
      </c>
      <c r="P10" s="1">
        <v>44609</v>
      </c>
      <c r="Q10" t="s">
        <v>19</v>
      </c>
      <c r="R10">
        <v>500</v>
      </c>
    </row>
    <row r="11" spans="1:18" x14ac:dyDescent="0.3">
      <c r="A11" t="s">
        <v>198</v>
      </c>
      <c r="B11" t="s">
        <v>199</v>
      </c>
      <c r="C11" t="s">
        <v>200</v>
      </c>
      <c r="D11" t="s">
        <v>72</v>
      </c>
      <c r="E11" t="s">
        <v>188</v>
      </c>
      <c r="F11" t="s">
        <v>189</v>
      </c>
      <c r="I11" s="1">
        <v>42331</v>
      </c>
      <c r="J11" t="s">
        <v>190</v>
      </c>
      <c r="K11" s="1">
        <v>44986</v>
      </c>
      <c r="L11" t="s">
        <v>195</v>
      </c>
      <c r="M11" t="s">
        <v>269</v>
      </c>
      <c r="N11" t="s">
        <v>66</v>
      </c>
      <c r="O11" t="s">
        <v>69</v>
      </c>
      <c r="P11" s="1">
        <v>44609</v>
      </c>
      <c r="Q11" t="s">
        <v>27</v>
      </c>
    </row>
    <row r="12" spans="1:18" x14ac:dyDescent="0.3">
      <c r="A12" t="s">
        <v>198</v>
      </c>
      <c r="B12" t="s">
        <v>199</v>
      </c>
      <c r="C12" t="s">
        <v>200</v>
      </c>
      <c r="D12" t="s">
        <v>26</v>
      </c>
      <c r="E12" t="s">
        <v>188</v>
      </c>
      <c r="F12" t="s">
        <v>189</v>
      </c>
      <c r="I12" s="1">
        <v>42331</v>
      </c>
      <c r="J12" t="s">
        <v>190</v>
      </c>
      <c r="K12" s="1">
        <v>44721</v>
      </c>
      <c r="L12" t="s">
        <v>195</v>
      </c>
      <c r="M12" t="s">
        <v>271</v>
      </c>
      <c r="N12" t="s">
        <v>7</v>
      </c>
      <c r="O12" t="s">
        <v>22</v>
      </c>
      <c r="P12" s="1">
        <v>44609</v>
      </c>
      <c r="Q12" t="s">
        <v>19</v>
      </c>
      <c r="R12">
        <v>500</v>
      </c>
    </row>
    <row r="13" spans="1:18" x14ac:dyDescent="0.3">
      <c r="A13" t="s">
        <v>198</v>
      </c>
      <c r="B13" t="s">
        <v>199</v>
      </c>
      <c r="C13" t="s">
        <v>200</v>
      </c>
      <c r="D13" t="s">
        <v>28</v>
      </c>
      <c r="E13" t="s">
        <v>197</v>
      </c>
      <c r="F13" t="s">
        <v>189</v>
      </c>
      <c r="I13" s="1">
        <v>42331</v>
      </c>
      <c r="J13" t="s">
        <v>190</v>
      </c>
      <c r="K13" s="1">
        <v>44986</v>
      </c>
      <c r="L13" t="s">
        <v>195</v>
      </c>
      <c r="M13" t="s">
        <v>270</v>
      </c>
      <c r="N13" t="s">
        <v>7</v>
      </c>
      <c r="O13" t="s">
        <v>22</v>
      </c>
      <c r="P13" s="1">
        <v>44609</v>
      </c>
      <c r="Q13" t="s">
        <v>19</v>
      </c>
      <c r="R13">
        <v>500</v>
      </c>
    </row>
    <row r="14" spans="1:18" x14ac:dyDescent="0.3">
      <c r="A14" t="s">
        <v>198</v>
      </c>
      <c r="B14" t="s">
        <v>199</v>
      </c>
      <c r="C14" t="s">
        <v>200</v>
      </c>
      <c r="D14" t="s">
        <v>48</v>
      </c>
      <c r="E14" t="s">
        <v>188</v>
      </c>
      <c r="F14" t="s">
        <v>189</v>
      </c>
      <c r="I14" s="1">
        <v>42331</v>
      </c>
      <c r="J14" t="s">
        <v>190</v>
      </c>
      <c r="K14" s="1">
        <v>44986</v>
      </c>
      <c r="L14" t="s">
        <v>195</v>
      </c>
      <c r="M14" t="s">
        <v>269</v>
      </c>
      <c r="N14" t="s">
        <v>35</v>
      </c>
      <c r="O14" t="s">
        <v>43</v>
      </c>
      <c r="P14" s="1">
        <v>44958</v>
      </c>
      <c r="Q14" t="s">
        <v>27</v>
      </c>
      <c r="R14">
        <v>30000</v>
      </c>
    </row>
    <row r="15" spans="1:18" x14ac:dyDescent="0.3">
      <c r="A15" t="s">
        <v>185</v>
      </c>
      <c r="B15" t="s">
        <v>186</v>
      </c>
      <c r="C15" t="s">
        <v>187</v>
      </c>
      <c r="D15" t="s">
        <v>30</v>
      </c>
      <c r="E15" t="s">
        <v>188</v>
      </c>
      <c r="F15" t="s">
        <v>189</v>
      </c>
      <c r="I15" s="1">
        <v>43658</v>
      </c>
      <c r="J15" t="s">
        <v>18</v>
      </c>
      <c r="K15" s="1"/>
      <c r="M15" t="s">
        <v>270</v>
      </c>
      <c r="N15" t="s">
        <v>7</v>
      </c>
      <c r="O15" t="s">
        <v>29</v>
      </c>
      <c r="P15" s="1">
        <v>44530</v>
      </c>
      <c r="Q15" t="s">
        <v>19</v>
      </c>
      <c r="R15">
        <v>500</v>
      </c>
    </row>
    <row r="16" spans="1:18" x14ac:dyDescent="0.3">
      <c r="A16" t="s">
        <v>185</v>
      </c>
      <c r="B16" t="s">
        <v>186</v>
      </c>
      <c r="C16" t="s">
        <v>187</v>
      </c>
      <c r="D16" t="s">
        <v>81</v>
      </c>
      <c r="E16" t="s">
        <v>188</v>
      </c>
      <c r="F16" t="s">
        <v>189</v>
      </c>
      <c r="I16" s="1">
        <v>43658</v>
      </c>
      <c r="J16" t="s">
        <v>18</v>
      </c>
      <c r="K16" s="1"/>
      <c r="M16" t="s">
        <v>271</v>
      </c>
      <c r="N16" t="s">
        <v>79</v>
      </c>
      <c r="O16" t="s">
        <v>80</v>
      </c>
      <c r="P16" s="1">
        <v>44559</v>
      </c>
      <c r="Q16" t="s">
        <v>19</v>
      </c>
      <c r="R16">
        <v>5000</v>
      </c>
    </row>
    <row r="17" spans="1:18" x14ac:dyDescent="0.3">
      <c r="A17" t="s">
        <v>198</v>
      </c>
      <c r="B17" t="s">
        <v>201</v>
      </c>
      <c r="C17" t="s">
        <v>202</v>
      </c>
      <c r="D17" t="s">
        <v>31</v>
      </c>
      <c r="E17" t="s">
        <v>188</v>
      </c>
      <c r="F17" t="s">
        <v>189</v>
      </c>
      <c r="I17" s="1">
        <v>42331</v>
      </c>
      <c r="J17" t="s">
        <v>190</v>
      </c>
      <c r="K17" s="1">
        <v>44986</v>
      </c>
      <c r="L17" t="s">
        <v>195</v>
      </c>
      <c r="M17" t="s">
        <v>266</v>
      </c>
      <c r="N17" t="s">
        <v>7</v>
      </c>
      <c r="O17" t="s">
        <v>29</v>
      </c>
      <c r="P17" s="1">
        <v>44530</v>
      </c>
      <c r="Q17" t="s">
        <v>19</v>
      </c>
      <c r="R17">
        <v>500</v>
      </c>
    </row>
    <row r="18" spans="1:18" x14ac:dyDescent="0.3">
      <c r="A18" t="s">
        <v>185</v>
      </c>
      <c r="B18" t="s">
        <v>186</v>
      </c>
      <c r="C18" t="s">
        <v>187</v>
      </c>
      <c r="D18" t="s">
        <v>70</v>
      </c>
      <c r="E18" t="s">
        <v>188</v>
      </c>
      <c r="F18" t="s">
        <v>189</v>
      </c>
      <c r="I18" s="1">
        <v>43658</v>
      </c>
      <c r="J18" t="s">
        <v>18</v>
      </c>
      <c r="K18" s="1"/>
      <c r="M18" t="s">
        <v>269</v>
      </c>
      <c r="N18" t="s">
        <v>66</v>
      </c>
      <c r="O18" t="s">
        <v>69</v>
      </c>
      <c r="P18" s="1">
        <v>44711</v>
      </c>
      <c r="Q18" t="s">
        <v>19</v>
      </c>
    </row>
    <row r="19" spans="1:18" x14ac:dyDescent="0.3">
      <c r="A19" t="s">
        <v>198</v>
      </c>
      <c r="B19" t="s">
        <v>201</v>
      </c>
      <c r="C19" t="s">
        <v>202</v>
      </c>
      <c r="D19" t="s">
        <v>32</v>
      </c>
      <c r="E19" t="s">
        <v>188</v>
      </c>
      <c r="F19" t="s">
        <v>189</v>
      </c>
      <c r="I19" s="1">
        <v>42005</v>
      </c>
      <c r="J19" t="s">
        <v>190</v>
      </c>
      <c r="K19" s="1">
        <v>44866</v>
      </c>
      <c r="L19" t="s">
        <v>191</v>
      </c>
      <c r="M19" t="s">
        <v>266</v>
      </c>
      <c r="N19" t="s">
        <v>7</v>
      </c>
      <c r="O19" t="s">
        <v>29</v>
      </c>
      <c r="P19" s="1">
        <v>44530</v>
      </c>
      <c r="Q19" t="s">
        <v>19</v>
      </c>
      <c r="R19">
        <v>500</v>
      </c>
    </row>
    <row r="20" spans="1:18" x14ac:dyDescent="0.3">
      <c r="A20" t="s">
        <v>185</v>
      </c>
      <c r="B20" t="s">
        <v>192</v>
      </c>
      <c r="C20" t="s">
        <v>193</v>
      </c>
      <c r="D20" t="s">
        <v>71</v>
      </c>
      <c r="E20" t="s">
        <v>188</v>
      </c>
      <c r="F20" t="s">
        <v>189</v>
      </c>
      <c r="I20" s="1">
        <v>44308</v>
      </c>
      <c r="J20" t="s">
        <v>190</v>
      </c>
      <c r="K20" s="1">
        <v>44866</v>
      </c>
      <c r="L20" t="s">
        <v>191</v>
      </c>
      <c r="M20" t="s">
        <v>269</v>
      </c>
      <c r="N20" t="s">
        <v>66</v>
      </c>
      <c r="O20" t="s">
        <v>69</v>
      </c>
      <c r="P20" s="1">
        <v>44897</v>
      </c>
      <c r="Q20" t="s">
        <v>19</v>
      </c>
    </row>
    <row r="21" spans="1:18" x14ac:dyDescent="0.3">
      <c r="A21" t="s">
        <v>204</v>
      </c>
      <c r="C21" t="s">
        <v>204</v>
      </c>
      <c r="D21" t="s">
        <v>33</v>
      </c>
      <c r="E21" t="s">
        <v>188</v>
      </c>
      <c r="F21" t="s">
        <v>189</v>
      </c>
      <c r="I21" s="1">
        <v>42005</v>
      </c>
      <c r="J21" t="s">
        <v>18</v>
      </c>
      <c r="K21" s="1"/>
      <c r="M21" t="s">
        <v>266</v>
      </c>
      <c r="N21" t="s">
        <v>7</v>
      </c>
      <c r="O21" t="s">
        <v>29</v>
      </c>
      <c r="P21" s="1">
        <v>44530</v>
      </c>
      <c r="Q21" t="s">
        <v>19</v>
      </c>
      <c r="R21">
        <v>500</v>
      </c>
    </row>
    <row r="22" spans="1:18" x14ac:dyDescent="0.3">
      <c r="A22" t="s">
        <v>196</v>
      </c>
      <c r="C22" t="s">
        <v>196</v>
      </c>
      <c r="D22" t="s">
        <v>116</v>
      </c>
      <c r="E22" t="s">
        <v>188</v>
      </c>
      <c r="F22" t="s">
        <v>189</v>
      </c>
      <c r="I22" s="1">
        <v>44938</v>
      </c>
      <c r="J22" t="s">
        <v>190</v>
      </c>
      <c r="K22" s="1">
        <v>44986</v>
      </c>
      <c r="L22" t="s">
        <v>195</v>
      </c>
      <c r="M22" t="s">
        <v>269</v>
      </c>
      <c r="P22" s="1"/>
    </row>
    <row r="23" spans="1:18" x14ac:dyDescent="0.3">
      <c r="A23" t="s">
        <v>204</v>
      </c>
      <c r="C23" t="s">
        <v>204</v>
      </c>
      <c r="D23" t="s">
        <v>34</v>
      </c>
      <c r="E23" t="s">
        <v>188</v>
      </c>
      <c r="F23" t="s">
        <v>189</v>
      </c>
      <c r="I23" s="1">
        <v>42005</v>
      </c>
      <c r="J23" t="s">
        <v>190</v>
      </c>
      <c r="K23" s="1">
        <v>44383</v>
      </c>
      <c r="L23" t="s">
        <v>195</v>
      </c>
      <c r="M23" t="s">
        <v>266</v>
      </c>
      <c r="N23" t="s">
        <v>7</v>
      </c>
      <c r="O23" t="s">
        <v>29</v>
      </c>
      <c r="P23" s="1">
        <v>44530</v>
      </c>
      <c r="Q23" t="s">
        <v>19</v>
      </c>
      <c r="R23">
        <v>500</v>
      </c>
    </row>
    <row r="24" spans="1:18" x14ac:dyDescent="0.3">
      <c r="A24" t="s">
        <v>196</v>
      </c>
      <c r="C24" t="s">
        <v>196</v>
      </c>
      <c r="D24" t="s">
        <v>45</v>
      </c>
      <c r="E24" t="s">
        <v>188</v>
      </c>
      <c r="F24" t="s">
        <v>189</v>
      </c>
      <c r="G24">
        <v>44811</v>
      </c>
      <c r="H24">
        <v>44837</v>
      </c>
      <c r="I24" s="1">
        <v>44378</v>
      </c>
      <c r="J24" t="s">
        <v>190</v>
      </c>
      <c r="K24" s="1">
        <v>44833</v>
      </c>
      <c r="L24" t="s">
        <v>191</v>
      </c>
      <c r="M24" t="s">
        <v>269</v>
      </c>
      <c r="N24" t="s">
        <v>35</v>
      </c>
      <c r="O24" t="s">
        <v>43</v>
      </c>
      <c r="P24" s="1">
        <v>44609</v>
      </c>
      <c r="Q24" t="s">
        <v>19</v>
      </c>
      <c r="R24">
        <v>30000</v>
      </c>
    </row>
    <row r="25" spans="1:18" x14ac:dyDescent="0.3">
      <c r="A25" t="s">
        <v>185</v>
      </c>
      <c r="B25" t="s">
        <v>192</v>
      </c>
      <c r="C25" t="s">
        <v>193</v>
      </c>
      <c r="D25" t="s">
        <v>82</v>
      </c>
      <c r="E25" t="s">
        <v>188</v>
      </c>
      <c r="F25" t="s">
        <v>189</v>
      </c>
      <c r="I25" s="1">
        <v>44454</v>
      </c>
      <c r="J25" t="s">
        <v>18</v>
      </c>
      <c r="K25" s="1"/>
      <c r="M25" t="s">
        <v>264</v>
      </c>
      <c r="N25" t="s">
        <v>79</v>
      </c>
      <c r="O25" t="s">
        <v>80</v>
      </c>
      <c r="P25" s="1">
        <v>44897</v>
      </c>
      <c r="Q25" t="s">
        <v>19</v>
      </c>
      <c r="R25">
        <v>5000</v>
      </c>
    </row>
    <row r="26" spans="1:18" x14ac:dyDescent="0.3">
      <c r="A26" t="s">
        <v>198</v>
      </c>
      <c r="B26" t="s">
        <v>199</v>
      </c>
      <c r="C26" t="s">
        <v>200</v>
      </c>
      <c r="D26" t="s">
        <v>74</v>
      </c>
      <c r="E26" t="s">
        <v>188</v>
      </c>
      <c r="F26" t="s">
        <v>189</v>
      </c>
      <c r="I26" s="1">
        <v>42331</v>
      </c>
      <c r="J26" t="s">
        <v>190</v>
      </c>
      <c r="K26" s="1">
        <v>44721</v>
      </c>
      <c r="L26" t="s">
        <v>191</v>
      </c>
      <c r="M26" t="s">
        <v>272</v>
      </c>
      <c r="N26" t="s">
        <v>66</v>
      </c>
      <c r="O26" t="s">
        <v>73</v>
      </c>
      <c r="P26" s="1">
        <v>44958</v>
      </c>
      <c r="Q26" t="s">
        <v>27</v>
      </c>
      <c r="R26">
        <v>30000</v>
      </c>
    </row>
    <row r="27" spans="1:18" x14ac:dyDescent="0.3">
      <c r="A27" t="s">
        <v>198</v>
      </c>
      <c r="B27" t="s">
        <v>201</v>
      </c>
      <c r="C27" t="s">
        <v>202</v>
      </c>
      <c r="D27" t="s">
        <v>49</v>
      </c>
      <c r="E27" t="s">
        <v>188</v>
      </c>
      <c r="F27" t="s">
        <v>189</v>
      </c>
      <c r="I27" s="1">
        <v>42005</v>
      </c>
      <c r="J27" t="s">
        <v>190</v>
      </c>
      <c r="K27" s="1">
        <v>44986</v>
      </c>
      <c r="L27" t="s">
        <v>195</v>
      </c>
      <c r="M27" t="s">
        <v>266</v>
      </c>
      <c r="N27" t="s">
        <v>35</v>
      </c>
      <c r="O27" t="s">
        <v>43</v>
      </c>
      <c r="P27" s="1">
        <v>44562</v>
      </c>
      <c r="Q27" t="s">
        <v>19</v>
      </c>
      <c r="R27">
        <v>30000</v>
      </c>
    </row>
    <row r="28" spans="1:18" x14ac:dyDescent="0.3">
      <c r="A28" t="s">
        <v>185</v>
      </c>
      <c r="B28" t="s">
        <v>192</v>
      </c>
      <c r="C28" t="s">
        <v>193</v>
      </c>
      <c r="D28" t="s">
        <v>93</v>
      </c>
      <c r="E28" t="s">
        <v>188</v>
      </c>
      <c r="F28" t="s">
        <v>189</v>
      </c>
      <c r="I28" s="1">
        <v>44938</v>
      </c>
      <c r="J28" t="s">
        <v>190</v>
      </c>
      <c r="K28" s="1">
        <v>44986</v>
      </c>
      <c r="L28" t="s">
        <v>195</v>
      </c>
      <c r="M28" t="s">
        <v>268</v>
      </c>
      <c r="N28" t="s">
        <v>91</v>
      </c>
      <c r="O28" t="s">
        <v>92</v>
      </c>
      <c r="P28" s="1">
        <v>44897</v>
      </c>
      <c r="Q28" t="s">
        <v>19</v>
      </c>
      <c r="R28">
        <v>500</v>
      </c>
    </row>
    <row r="29" spans="1:18" x14ac:dyDescent="0.3">
      <c r="A29" t="s">
        <v>185</v>
      </c>
      <c r="B29" t="s">
        <v>192</v>
      </c>
      <c r="C29" t="s">
        <v>193</v>
      </c>
      <c r="D29" t="s">
        <v>83</v>
      </c>
      <c r="E29" t="s">
        <v>188</v>
      </c>
      <c r="F29" t="s">
        <v>194</v>
      </c>
      <c r="I29" s="1">
        <v>44938</v>
      </c>
      <c r="J29" t="s">
        <v>190</v>
      </c>
      <c r="K29" s="1">
        <v>44721</v>
      </c>
      <c r="L29" t="s">
        <v>191</v>
      </c>
      <c r="M29" t="s">
        <v>264</v>
      </c>
      <c r="N29" t="s">
        <v>79</v>
      </c>
      <c r="O29" t="s">
        <v>80</v>
      </c>
      <c r="P29" s="1">
        <v>44609</v>
      </c>
      <c r="Q29" t="s">
        <v>19</v>
      </c>
      <c r="R29">
        <v>5000</v>
      </c>
    </row>
    <row r="30" spans="1:18" x14ac:dyDescent="0.3">
      <c r="A30" t="s">
        <v>196</v>
      </c>
      <c r="C30" t="s">
        <v>196</v>
      </c>
      <c r="D30" t="s">
        <v>114</v>
      </c>
      <c r="E30" t="s">
        <v>197</v>
      </c>
      <c r="F30" t="s">
        <v>189</v>
      </c>
      <c r="I30" s="1">
        <v>44938</v>
      </c>
      <c r="J30" t="s">
        <v>190</v>
      </c>
      <c r="K30" s="1">
        <v>44665</v>
      </c>
      <c r="L30" t="s">
        <v>195</v>
      </c>
      <c r="M30" t="s">
        <v>270</v>
      </c>
      <c r="P30" s="1"/>
    </row>
    <row r="31" spans="1:18" x14ac:dyDescent="0.3">
      <c r="A31" t="s">
        <v>198</v>
      </c>
      <c r="B31" t="s">
        <v>201</v>
      </c>
      <c r="C31" t="s">
        <v>202</v>
      </c>
      <c r="D31" t="s">
        <v>50</v>
      </c>
      <c r="E31" t="s">
        <v>188</v>
      </c>
      <c r="F31" t="s">
        <v>203</v>
      </c>
      <c r="I31" s="1">
        <v>42005</v>
      </c>
      <c r="J31" t="s">
        <v>190</v>
      </c>
      <c r="K31" s="1">
        <v>43993</v>
      </c>
      <c r="L31" t="s">
        <v>195</v>
      </c>
      <c r="M31" t="s">
        <v>266</v>
      </c>
      <c r="N31" t="s">
        <v>35</v>
      </c>
      <c r="O31" t="s">
        <v>36</v>
      </c>
      <c r="P31" s="1">
        <v>44595</v>
      </c>
      <c r="Q31" t="s">
        <v>19</v>
      </c>
      <c r="R31">
        <v>30000</v>
      </c>
    </row>
    <row r="32" spans="1:18" x14ac:dyDescent="0.3">
      <c r="A32" t="s">
        <v>198</v>
      </c>
      <c r="B32" t="s">
        <v>199</v>
      </c>
      <c r="C32" t="s">
        <v>200</v>
      </c>
      <c r="D32" t="s">
        <v>85</v>
      </c>
      <c r="E32" t="s">
        <v>188</v>
      </c>
      <c r="F32" t="s">
        <v>189</v>
      </c>
      <c r="I32" s="1">
        <v>42331</v>
      </c>
      <c r="J32" t="s">
        <v>190</v>
      </c>
      <c r="K32" s="1">
        <v>44721</v>
      </c>
      <c r="L32" t="s">
        <v>191</v>
      </c>
      <c r="M32" t="s">
        <v>270</v>
      </c>
      <c r="N32" t="s">
        <v>79</v>
      </c>
      <c r="O32" t="s">
        <v>80</v>
      </c>
      <c r="P32" s="1">
        <v>44562</v>
      </c>
      <c r="Q32" t="s">
        <v>27</v>
      </c>
      <c r="R32">
        <v>5000</v>
      </c>
    </row>
    <row r="33" spans="1:18" x14ac:dyDescent="0.3">
      <c r="A33" t="s">
        <v>198</v>
      </c>
      <c r="B33" t="s">
        <v>201</v>
      </c>
      <c r="C33" t="s">
        <v>202</v>
      </c>
      <c r="D33" t="s">
        <v>51</v>
      </c>
      <c r="E33" t="s">
        <v>188</v>
      </c>
      <c r="F33" t="s">
        <v>189</v>
      </c>
      <c r="I33" s="1">
        <v>42005</v>
      </c>
      <c r="J33" t="s">
        <v>190</v>
      </c>
      <c r="K33" s="1">
        <v>44986</v>
      </c>
      <c r="L33" t="s">
        <v>195</v>
      </c>
      <c r="M33" t="s">
        <v>266</v>
      </c>
      <c r="N33" t="s">
        <v>35</v>
      </c>
      <c r="O33" t="s">
        <v>36</v>
      </c>
      <c r="P33" s="1">
        <v>44530</v>
      </c>
      <c r="Q33" t="s">
        <v>19</v>
      </c>
      <c r="R33">
        <v>30000</v>
      </c>
    </row>
    <row r="34" spans="1:18" x14ac:dyDescent="0.3">
      <c r="A34" t="s">
        <v>185</v>
      </c>
      <c r="B34" t="s">
        <v>192</v>
      </c>
      <c r="C34" t="s">
        <v>193</v>
      </c>
      <c r="D34" t="s">
        <v>84</v>
      </c>
      <c r="E34" t="s">
        <v>188</v>
      </c>
      <c r="F34" t="s">
        <v>189</v>
      </c>
      <c r="I34" s="1">
        <v>44938</v>
      </c>
      <c r="J34" t="s">
        <v>190</v>
      </c>
      <c r="K34" s="1">
        <v>44893</v>
      </c>
      <c r="L34" t="s">
        <v>195</v>
      </c>
      <c r="M34" t="s">
        <v>268</v>
      </c>
      <c r="N34" t="s">
        <v>79</v>
      </c>
      <c r="O34" t="s">
        <v>80</v>
      </c>
      <c r="P34" s="1">
        <v>44609</v>
      </c>
      <c r="Q34" t="s">
        <v>19</v>
      </c>
      <c r="R34">
        <v>5000</v>
      </c>
    </row>
    <row r="35" spans="1:18" x14ac:dyDescent="0.3">
      <c r="A35" t="s">
        <v>204</v>
      </c>
      <c r="C35" t="s">
        <v>204</v>
      </c>
      <c r="D35" t="s">
        <v>52</v>
      </c>
      <c r="E35" t="s">
        <v>188</v>
      </c>
      <c r="F35" t="s">
        <v>189</v>
      </c>
      <c r="I35" s="1">
        <v>42005</v>
      </c>
      <c r="J35" t="s">
        <v>190</v>
      </c>
      <c r="K35" s="1">
        <v>44986</v>
      </c>
      <c r="L35" t="s">
        <v>195</v>
      </c>
      <c r="M35" t="s">
        <v>266</v>
      </c>
      <c r="N35" t="s">
        <v>35</v>
      </c>
      <c r="O35" t="s">
        <v>36</v>
      </c>
      <c r="P35" s="1">
        <v>44530</v>
      </c>
      <c r="Q35" t="s">
        <v>19</v>
      </c>
      <c r="R35">
        <v>30000</v>
      </c>
    </row>
    <row r="36" spans="1:18" x14ac:dyDescent="0.3">
      <c r="A36" t="s">
        <v>204</v>
      </c>
      <c r="C36" t="s">
        <v>204</v>
      </c>
      <c r="D36" t="s">
        <v>53</v>
      </c>
      <c r="E36" t="s">
        <v>188</v>
      </c>
      <c r="F36" t="s">
        <v>189</v>
      </c>
      <c r="I36" s="1">
        <v>42005</v>
      </c>
      <c r="J36" t="s">
        <v>18</v>
      </c>
      <c r="K36" s="1"/>
      <c r="M36" t="s">
        <v>266</v>
      </c>
      <c r="N36" t="s">
        <v>35</v>
      </c>
      <c r="O36" t="s">
        <v>36</v>
      </c>
      <c r="P36" s="1">
        <v>44530</v>
      </c>
      <c r="Q36" t="s">
        <v>19</v>
      </c>
      <c r="R36">
        <v>30000</v>
      </c>
    </row>
    <row r="37" spans="1:18" x14ac:dyDescent="0.3">
      <c r="A37" t="s">
        <v>196</v>
      </c>
      <c r="C37" t="s">
        <v>196</v>
      </c>
      <c r="D37" t="s">
        <v>115</v>
      </c>
      <c r="E37" t="s">
        <v>188</v>
      </c>
      <c r="F37" t="s">
        <v>189</v>
      </c>
      <c r="I37" s="1">
        <v>44938</v>
      </c>
      <c r="J37" t="s">
        <v>190</v>
      </c>
      <c r="K37" s="1">
        <v>44986</v>
      </c>
      <c r="L37" t="s">
        <v>195</v>
      </c>
      <c r="M37" t="s">
        <v>271</v>
      </c>
      <c r="P37" s="1"/>
    </row>
    <row r="38" spans="1:18" x14ac:dyDescent="0.3">
      <c r="A38" t="s">
        <v>204</v>
      </c>
      <c r="C38" t="s">
        <v>204</v>
      </c>
      <c r="D38" t="s">
        <v>54</v>
      </c>
      <c r="E38" t="s">
        <v>188</v>
      </c>
      <c r="F38" t="s">
        <v>189</v>
      </c>
      <c r="I38" s="1">
        <v>42005</v>
      </c>
      <c r="J38" t="s">
        <v>190</v>
      </c>
      <c r="K38" s="1">
        <v>44866</v>
      </c>
      <c r="L38" t="s">
        <v>195</v>
      </c>
      <c r="M38" t="s">
        <v>266</v>
      </c>
      <c r="N38" t="s">
        <v>35</v>
      </c>
      <c r="O38" t="s">
        <v>36</v>
      </c>
      <c r="P38" s="1">
        <v>44562</v>
      </c>
      <c r="Q38" t="s">
        <v>19</v>
      </c>
      <c r="R38">
        <v>30000</v>
      </c>
    </row>
    <row r="39" spans="1:18" x14ac:dyDescent="0.3">
      <c r="A39" t="s">
        <v>196</v>
      </c>
      <c r="C39" t="s">
        <v>196</v>
      </c>
      <c r="D39" t="s">
        <v>117</v>
      </c>
      <c r="E39" t="s">
        <v>188</v>
      </c>
      <c r="F39" t="s">
        <v>189</v>
      </c>
      <c r="I39" s="1">
        <v>44938</v>
      </c>
      <c r="J39" t="s">
        <v>190</v>
      </c>
      <c r="K39" s="1">
        <v>44477</v>
      </c>
      <c r="L39" t="s">
        <v>191</v>
      </c>
      <c r="M39" t="s">
        <v>271</v>
      </c>
      <c r="P39" s="1"/>
    </row>
    <row r="40" spans="1:18" x14ac:dyDescent="0.3">
      <c r="A40" t="s">
        <v>185</v>
      </c>
      <c r="B40" t="s">
        <v>186</v>
      </c>
      <c r="C40" t="s">
        <v>187</v>
      </c>
      <c r="D40" t="s">
        <v>55</v>
      </c>
      <c r="E40" t="s">
        <v>188</v>
      </c>
      <c r="F40" t="s">
        <v>189</v>
      </c>
      <c r="I40" s="1">
        <v>43658</v>
      </c>
      <c r="J40" t="s">
        <v>190</v>
      </c>
      <c r="K40" s="1">
        <v>43658</v>
      </c>
      <c r="L40" t="s">
        <v>195</v>
      </c>
      <c r="M40" t="s">
        <v>266</v>
      </c>
      <c r="N40" t="s">
        <v>35</v>
      </c>
      <c r="O40" t="s">
        <v>36</v>
      </c>
      <c r="P40" s="1">
        <v>44595</v>
      </c>
      <c r="Q40" t="s">
        <v>19</v>
      </c>
      <c r="R40">
        <v>30000</v>
      </c>
    </row>
    <row r="41" spans="1:18" x14ac:dyDescent="0.3">
      <c r="A41" t="s">
        <v>196</v>
      </c>
      <c r="C41" t="s">
        <v>196</v>
      </c>
      <c r="D41" t="s">
        <v>119</v>
      </c>
      <c r="E41" t="s">
        <v>188</v>
      </c>
      <c r="F41" t="s">
        <v>189</v>
      </c>
      <c r="I41" s="1">
        <v>44075</v>
      </c>
      <c r="J41" t="s">
        <v>190</v>
      </c>
      <c r="K41" s="1">
        <v>44267</v>
      </c>
      <c r="L41" t="s">
        <v>191</v>
      </c>
      <c r="M41" t="s">
        <v>264</v>
      </c>
      <c r="P41" s="1"/>
    </row>
    <row r="42" spans="1:18" x14ac:dyDescent="0.3">
      <c r="A42" t="s">
        <v>185</v>
      </c>
      <c r="B42" t="s">
        <v>186</v>
      </c>
      <c r="C42" t="s">
        <v>187</v>
      </c>
      <c r="D42" t="s">
        <v>56</v>
      </c>
      <c r="E42" t="s">
        <v>188</v>
      </c>
      <c r="F42" t="s">
        <v>189</v>
      </c>
      <c r="I42" s="1">
        <v>43658</v>
      </c>
      <c r="J42" t="s">
        <v>18</v>
      </c>
      <c r="K42" s="1"/>
      <c r="M42" t="s">
        <v>266</v>
      </c>
      <c r="N42" t="s">
        <v>35</v>
      </c>
      <c r="O42" t="s">
        <v>36</v>
      </c>
      <c r="P42" s="1">
        <v>44530</v>
      </c>
      <c r="Q42" t="s">
        <v>19</v>
      </c>
      <c r="R42">
        <v>30000</v>
      </c>
    </row>
    <row r="43" spans="1:18" x14ac:dyDescent="0.3">
      <c r="A43" t="s">
        <v>196</v>
      </c>
      <c r="C43" t="s">
        <v>196</v>
      </c>
      <c r="D43" t="s">
        <v>118</v>
      </c>
      <c r="E43" t="s">
        <v>188</v>
      </c>
      <c r="F43" t="s">
        <v>189</v>
      </c>
      <c r="I43" s="1">
        <v>44938</v>
      </c>
      <c r="J43" t="s">
        <v>190</v>
      </c>
      <c r="K43" s="1">
        <v>44986</v>
      </c>
      <c r="L43" t="s">
        <v>195</v>
      </c>
      <c r="M43" t="s">
        <v>268</v>
      </c>
      <c r="P43" s="1"/>
    </row>
    <row r="44" spans="1:18" x14ac:dyDescent="0.3">
      <c r="A44" t="s">
        <v>185</v>
      </c>
      <c r="B44" t="s">
        <v>186</v>
      </c>
      <c r="C44" t="s">
        <v>187</v>
      </c>
      <c r="D44" t="s">
        <v>57</v>
      </c>
      <c r="E44" t="s">
        <v>188</v>
      </c>
      <c r="F44" t="s">
        <v>189</v>
      </c>
      <c r="I44" s="1">
        <v>43658</v>
      </c>
      <c r="J44" t="s">
        <v>18</v>
      </c>
      <c r="K44" s="1"/>
      <c r="M44" t="s">
        <v>266</v>
      </c>
      <c r="N44" t="s">
        <v>35</v>
      </c>
      <c r="O44" t="s">
        <v>36</v>
      </c>
      <c r="P44" s="1">
        <v>44530</v>
      </c>
      <c r="Q44" t="s">
        <v>19</v>
      </c>
      <c r="R44">
        <v>30000</v>
      </c>
    </row>
    <row r="45" spans="1:18" x14ac:dyDescent="0.3">
      <c r="A45" t="s">
        <v>196</v>
      </c>
      <c r="C45" t="s">
        <v>196</v>
      </c>
      <c r="D45" t="s">
        <v>46</v>
      </c>
      <c r="E45" t="s">
        <v>188</v>
      </c>
      <c r="F45" t="s">
        <v>189</v>
      </c>
      <c r="I45" s="1">
        <v>42331</v>
      </c>
      <c r="J45" t="s">
        <v>190</v>
      </c>
      <c r="K45" s="1">
        <v>43100</v>
      </c>
      <c r="L45" t="s">
        <v>191</v>
      </c>
      <c r="M45" t="s">
        <v>271</v>
      </c>
      <c r="N45" t="s">
        <v>35</v>
      </c>
      <c r="O45" t="s">
        <v>210</v>
      </c>
      <c r="P45" s="1">
        <v>44559</v>
      </c>
      <c r="Q45" t="s">
        <v>19</v>
      </c>
    </row>
    <row r="46" spans="1:18" x14ac:dyDescent="0.3">
      <c r="A46" t="s">
        <v>185</v>
      </c>
      <c r="B46" t="s">
        <v>186</v>
      </c>
      <c r="C46" t="s">
        <v>187</v>
      </c>
      <c r="D46" t="s">
        <v>172</v>
      </c>
      <c r="E46" t="s">
        <v>188</v>
      </c>
      <c r="F46" t="s">
        <v>189</v>
      </c>
      <c r="I46" s="1">
        <v>43658</v>
      </c>
      <c r="J46" t="s">
        <v>18</v>
      </c>
      <c r="K46" s="1"/>
      <c r="M46" t="s">
        <v>265</v>
      </c>
      <c r="P46" s="1"/>
    </row>
    <row r="47" spans="1:18" x14ac:dyDescent="0.3">
      <c r="A47" t="s">
        <v>185</v>
      </c>
      <c r="B47" t="s">
        <v>186</v>
      </c>
      <c r="C47" t="s">
        <v>187</v>
      </c>
      <c r="D47" t="s">
        <v>173</v>
      </c>
      <c r="E47" t="s">
        <v>188</v>
      </c>
      <c r="F47" t="s">
        <v>189</v>
      </c>
      <c r="I47" s="1">
        <v>43658</v>
      </c>
      <c r="J47" t="s">
        <v>18</v>
      </c>
      <c r="K47" s="1"/>
      <c r="M47" t="s">
        <v>265</v>
      </c>
      <c r="P47" s="1"/>
    </row>
    <row r="48" spans="1:18" x14ac:dyDescent="0.3">
      <c r="A48" t="s">
        <v>185</v>
      </c>
      <c r="B48" t="s">
        <v>186</v>
      </c>
      <c r="C48" t="s">
        <v>187</v>
      </c>
      <c r="D48" t="s">
        <v>96</v>
      </c>
      <c r="E48" t="s">
        <v>188</v>
      </c>
      <c r="F48" t="s">
        <v>189</v>
      </c>
      <c r="I48" s="1">
        <v>43658</v>
      </c>
      <c r="J48" t="s">
        <v>190</v>
      </c>
      <c r="K48" s="1">
        <v>44927</v>
      </c>
      <c r="L48" t="s">
        <v>195</v>
      </c>
      <c r="M48" t="s">
        <v>265</v>
      </c>
      <c r="N48" t="s">
        <v>3</v>
      </c>
      <c r="O48" t="s">
        <v>16</v>
      </c>
      <c r="P48" s="1">
        <v>44958</v>
      </c>
      <c r="Q48" t="s">
        <v>19</v>
      </c>
      <c r="R48">
        <v>500</v>
      </c>
    </row>
    <row r="49" spans="1:18" x14ac:dyDescent="0.3">
      <c r="A49" t="s">
        <v>198</v>
      </c>
      <c r="B49" t="s">
        <v>199</v>
      </c>
      <c r="C49" t="s">
        <v>200</v>
      </c>
      <c r="D49" t="s">
        <v>120</v>
      </c>
      <c r="E49" t="s">
        <v>197</v>
      </c>
      <c r="F49" t="s">
        <v>189</v>
      </c>
      <c r="I49" s="1">
        <v>42331</v>
      </c>
      <c r="J49" t="s">
        <v>190</v>
      </c>
      <c r="K49" s="1">
        <v>44705</v>
      </c>
      <c r="L49" t="s">
        <v>195</v>
      </c>
      <c r="M49" t="s">
        <v>266</v>
      </c>
      <c r="P49" s="1"/>
    </row>
    <row r="50" spans="1:18" x14ac:dyDescent="0.3">
      <c r="A50" t="s">
        <v>185</v>
      </c>
      <c r="B50" t="s">
        <v>186</v>
      </c>
      <c r="C50" t="s">
        <v>187</v>
      </c>
      <c r="D50" t="s">
        <v>97</v>
      </c>
      <c r="E50" t="s">
        <v>188</v>
      </c>
      <c r="F50" t="s">
        <v>189</v>
      </c>
      <c r="I50" s="1">
        <v>43658</v>
      </c>
      <c r="J50" t="s">
        <v>190</v>
      </c>
      <c r="K50" s="1">
        <v>44958</v>
      </c>
      <c r="L50" t="s">
        <v>195</v>
      </c>
      <c r="M50" t="s">
        <v>265</v>
      </c>
      <c r="N50" t="s">
        <v>3</v>
      </c>
      <c r="O50" t="s">
        <v>20</v>
      </c>
      <c r="P50" s="1">
        <v>44958</v>
      </c>
      <c r="Q50" t="s">
        <v>19</v>
      </c>
      <c r="R50">
        <v>10000</v>
      </c>
    </row>
    <row r="51" spans="1:18" x14ac:dyDescent="0.3">
      <c r="A51" t="s">
        <v>198</v>
      </c>
      <c r="B51" t="s">
        <v>201</v>
      </c>
      <c r="C51" t="s">
        <v>202</v>
      </c>
      <c r="D51" t="s">
        <v>76</v>
      </c>
      <c r="E51" t="s">
        <v>188</v>
      </c>
      <c r="F51" t="s">
        <v>189</v>
      </c>
      <c r="I51" s="1">
        <v>42331</v>
      </c>
      <c r="J51" t="s">
        <v>190</v>
      </c>
      <c r="K51" s="1">
        <v>43466</v>
      </c>
      <c r="L51" t="s">
        <v>195</v>
      </c>
      <c r="M51" t="s">
        <v>266</v>
      </c>
      <c r="N51" t="s">
        <v>66</v>
      </c>
      <c r="O51" t="s">
        <v>75</v>
      </c>
      <c r="P51" s="1">
        <v>44958</v>
      </c>
      <c r="Q51" t="s">
        <v>19</v>
      </c>
    </row>
    <row r="52" spans="1:18" x14ac:dyDescent="0.3">
      <c r="A52" t="s">
        <v>185</v>
      </c>
      <c r="B52" t="s">
        <v>186</v>
      </c>
      <c r="C52" t="s">
        <v>187</v>
      </c>
      <c r="D52" t="s">
        <v>98</v>
      </c>
      <c r="E52" t="s">
        <v>188</v>
      </c>
      <c r="F52" t="s">
        <v>189</v>
      </c>
      <c r="I52" s="1">
        <v>43658</v>
      </c>
      <c r="J52" t="s">
        <v>190</v>
      </c>
      <c r="K52" s="1">
        <v>44986</v>
      </c>
      <c r="L52" t="s">
        <v>195</v>
      </c>
      <c r="M52" t="s">
        <v>265</v>
      </c>
      <c r="N52" t="s">
        <v>3</v>
      </c>
      <c r="O52" t="s">
        <v>20</v>
      </c>
      <c r="P52" s="1">
        <v>44958</v>
      </c>
      <c r="Q52" t="s">
        <v>19</v>
      </c>
      <c r="R52">
        <v>10000</v>
      </c>
    </row>
    <row r="53" spans="1:18" x14ac:dyDescent="0.3">
      <c r="A53" t="s">
        <v>185</v>
      </c>
      <c r="B53" t="s">
        <v>186</v>
      </c>
      <c r="C53" t="s">
        <v>187</v>
      </c>
      <c r="D53" t="s">
        <v>99</v>
      </c>
      <c r="E53" t="s">
        <v>188</v>
      </c>
      <c r="F53" t="s">
        <v>189</v>
      </c>
      <c r="I53" s="1">
        <v>43658</v>
      </c>
      <c r="J53" t="s">
        <v>190</v>
      </c>
      <c r="K53" s="1">
        <v>44927</v>
      </c>
      <c r="L53" t="s">
        <v>195</v>
      </c>
      <c r="M53" t="s">
        <v>265</v>
      </c>
      <c r="N53" t="s">
        <v>3</v>
      </c>
      <c r="O53" t="s">
        <v>20</v>
      </c>
      <c r="P53" s="1">
        <v>44958</v>
      </c>
      <c r="Q53" t="s">
        <v>19</v>
      </c>
      <c r="R53">
        <v>10000</v>
      </c>
    </row>
    <row r="54" spans="1:18" x14ac:dyDescent="0.3">
      <c r="A54" t="s">
        <v>198</v>
      </c>
      <c r="B54" t="s">
        <v>201</v>
      </c>
      <c r="C54" t="s">
        <v>202</v>
      </c>
      <c r="D54" t="s">
        <v>86</v>
      </c>
      <c r="E54" t="s">
        <v>188</v>
      </c>
      <c r="F54" t="s">
        <v>189</v>
      </c>
      <c r="I54" s="1">
        <v>42331</v>
      </c>
      <c r="J54" t="s">
        <v>190</v>
      </c>
      <c r="K54" s="1">
        <v>44986</v>
      </c>
      <c r="L54" t="s">
        <v>195</v>
      </c>
      <c r="M54" t="s">
        <v>266</v>
      </c>
      <c r="N54" t="s">
        <v>79</v>
      </c>
      <c r="O54" t="s">
        <v>80</v>
      </c>
      <c r="P54" s="1">
        <v>44958</v>
      </c>
      <c r="Q54" t="s">
        <v>19</v>
      </c>
      <c r="R54">
        <v>5000</v>
      </c>
    </row>
    <row r="55" spans="1:18" x14ac:dyDescent="0.3">
      <c r="A55" t="s">
        <v>185</v>
      </c>
      <c r="B55" t="s">
        <v>186</v>
      </c>
      <c r="C55" t="s">
        <v>187</v>
      </c>
      <c r="D55" t="s">
        <v>100</v>
      </c>
      <c r="E55" t="s">
        <v>188</v>
      </c>
      <c r="F55" t="s">
        <v>189</v>
      </c>
      <c r="I55" s="1">
        <v>43658</v>
      </c>
      <c r="J55" t="s">
        <v>190</v>
      </c>
      <c r="K55" s="1">
        <v>44927</v>
      </c>
      <c r="L55" t="s">
        <v>195</v>
      </c>
      <c r="M55" t="s">
        <v>265</v>
      </c>
      <c r="N55" t="s">
        <v>3</v>
      </c>
      <c r="O55" t="s">
        <v>20</v>
      </c>
      <c r="P55" s="1">
        <v>44958</v>
      </c>
      <c r="Q55" t="s">
        <v>19</v>
      </c>
      <c r="R55">
        <v>10000</v>
      </c>
    </row>
    <row r="56" spans="1:18" x14ac:dyDescent="0.3">
      <c r="A56" t="s">
        <v>185</v>
      </c>
      <c r="B56" t="s">
        <v>186</v>
      </c>
      <c r="C56" t="s">
        <v>187</v>
      </c>
      <c r="D56" t="s">
        <v>101</v>
      </c>
      <c r="E56" t="s">
        <v>188</v>
      </c>
      <c r="F56" t="s">
        <v>189</v>
      </c>
      <c r="I56" s="1">
        <v>43658</v>
      </c>
      <c r="J56" t="s">
        <v>190</v>
      </c>
      <c r="K56" s="1">
        <v>44927</v>
      </c>
      <c r="L56" t="s">
        <v>191</v>
      </c>
      <c r="M56" t="s">
        <v>265</v>
      </c>
      <c r="N56" t="s">
        <v>3</v>
      </c>
      <c r="O56" t="s">
        <v>20</v>
      </c>
      <c r="P56" s="1">
        <v>44958</v>
      </c>
      <c r="Q56" t="s">
        <v>19</v>
      </c>
      <c r="R56">
        <v>10000</v>
      </c>
    </row>
    <row r="57" spans="1:18" x14ac:dyDescent="0.3">
      <c r="A57" t="s">
        <v>198</v>
      </c>
      <c r="B57" t="s">
        <v>201</v>
      </c>
      <c r="C57" t="s">
        <v>202</v>
      </c>
      <c r="D57" t="s">
        <v>88</v>
      </c>
      <c r="E57" t="s">
        <v>188</v>
      </c>
      <c r="F57" t="s">
        <v>189</v>
      </c>
      <c r="I57" s="1">
        <v>42005</v>
      </c>
      <c r="J57" t="s">
        <v>190</v>
      </c>
      <c r="K57" s="1">
        <v>44986</v>
      </c>
      <c r="L57" t="s">
        <v>195</v>
      </c>
      <c r="M57" t="s">
        <v>266</v>
      </c>
      <c r="N57" t="s">
        <v>79</v>
      </c>
      <c r="O57" t="s">
        <v>87</v>
      </c>
      <c r="P57" s="1">
        <v>44562</v>
      </c>
      <c r="Q57" t="s">
        <v>19</v>
      </c>
      <c r="R57">
        <v>30000</v>
      </c>
    </row>
    <row r="58" spans="1:18" x14ac:dyDescent="0.3">
      <c r="A58" t="s">
        <v>185</v>
      </c>
      <c r="B58" t="s">
        <v>186</v>
      </c>
      <c r="C58" t="s">
        <v>187</v>
      </c>
      <c r="D58" t="s">
        <v>102</v>
      </c>
      <c r="E58" t="s">
        <v>188</v>
      </c>
      <c r="F58" t="s">
        <v>189</v>
      </c>
      <c r="I58" s="1">
        <v>43658</v>
      </c>
      <c r="J58" t="s">
        <v>190</v>
      </c>
      <c r="K58" s="1">
        <v>44986</v>
      </c>
      <c r="L58" t="s">
        <v>191</v>
      </c>
      <c r="M58" t="s">
        <v>265</v>
      </c>
      <c r="N58" t="s">
        <v>3</v>
      </c>
      <c r="O58" t="s">
        <v>20</v>
      </c>
      <c r="P58" s="1">
        <v>44958</v>
      </c>
      <c r="Q58" t="s">
        <v>19</v>
      </c>
      <c r="R58">
        <v>10000</v>
      </c>
    </row>
    <row r="59" spans="1:18" x14ac:dyDescent="0.3">
      <c r="A59" t="s">
        <v>204</v>
      </c>
      <c r="C59" t="s">
        <v>204</v>
      </c>
      <c r="D59" t="s">
        <v>78</v>
      </c>
      <c r="E59" t="s">
        <v>188</v>
      </c>
      <c r="F59" t="s">
        <v>189</v>
      </c>
      <c r="I59" s="1">
        <v>42005</v>
      </c>
      <c r="J59" t="s">
        <v>18</v>
      </c>
      <c r="K59" s="1"/>
      <c r="M59" t="s">
        <v>266</v>
      </c>
      <c r="N59" t="s">
        <v>66</v>
      </c>
      <c r="O59" t="s">
        <v>77</v>
      </c>
      <c r="P59" s="1">
        <v>44958</v>
      </c>
      <c r="Q59" t="s">
        <v>19</v>
      </c>
    </row>
    <row r="60" spans="1:18" x14ac:dyDescent="0.3">
      <c r="A60" t="s">
        <v>185</v>
      </c>
      <c r="B60" t="s">
        <v>186</v>
      </c>
      <c r="C60" t="s">
        <v>187</v>
      </c>
      <c r="D60" t="s">
        <v>103</v>
      </c>
      <c r="E60" t="s">
        <v>188</v>
      </c>
      <c r="F60" t="s">
        <v>189</v>
      </c>
      <c r="I60" s="1">
        <v>43658</v>
      </c>
      <c r="J60" t="s">
        <v>190</v>
      </c>
      <c r="K60" s="1">
        <v>44986</v>
      </c>
      <c r="L60" t="s">
        <v>191</v>
      </c>
      <c r="M60" t="s">
        <v>265</v>
      </c>
      <c r="N60" t="s">
        <v>3</v>
      </c>
      <c r="O60" t="s">
        <v>20</v>
      </c>
      <c r="P60" s="1">
        <v>44958</v>
      </c>
      <c r="Q60" t="s">
        <v>19</v>
      </c>
      <c r="R60">
        <v>10000</v>
      </c>
    </row>
    <row r="61" spans="1:18" x14ac:dyDescent="0.3">
      <c r="A61" t="s">
        <v>185</v>
      </c>
      <c r="B61" t="s">
        <v>186</v>
      </c>
      <c r="C61" t="s">
        <v>187</v>
      </c>
      <c r="D61" t="s">
        <v>104</v>
      </c>
      <c r="E61" t="s">
        <v>188</v>
      </c>
      <c r="F61" t="s">
        <v>189</v>
      </c>
      <c r="I61" s="1">
        <v>43658</v>
      </c>
      <c r="J61" t="s">
        <v>190</v>
      </c>
      <c r="K61" s="1">
        <v>44986</v>
      </c>
      <c r="L61" t="s">
        <v>191</v>
      </c>
      <c r="M61" t="s">
        <v>265</v>
      </c>
      <c r="N61" t="s">
        <v>3</v>
      </c>
      <c r="O61" t="s">
        <v>20</v>
      </c>
      <c r="P61" s="1">
        <v>44958</v>
      </c>
      <c r="Q61" t="s">
        <v>19</v>
      </c>
      <c r="R61">
        <v>10000</v>
      </c>
    </row>
    <row r="62" spans="1:18" x14ac:dyDescent="0.3">
      <c r="A62" t="s">
        <v>185</v>
      </c>
      <c r="B62" t="s">
        <v>186</v>
      </c>
      <c r="C62" t="s">
        <v>187</v>
      </c>
      <c r="D62" t="s">
        <v>105</v>
      </c>
      <c r="E62" t="s">
        <v>188</v>
      </c>
      <c r="F62" t="s">
        <v>189</v>
      </c>
      <c r="I62" s="1">
        <v>43658</v>
      </c>
      <c r="J62" t="s">
        <v>18</v>
      </c>
      <c r="K62" s="1"/>
      <c r="M62" t="s">
        <v>268</v>
      </c>
      <c r="N62" t="s">
        <v>3</v>
      </c>
      <c r="O62" t="s">
        <v>20</v>
      </c>
      <c r="P62" s="1">
        <v>44958</v>
      </c>
      <c r="Q62" t="s">
        <v>19</v>
      </c>
      <c r="R62">
        <v>10000</v>
      </c>
    </row>
    <row r="63" spans="1:18" x14ac:dyDescent="0.3">
      <c r="A63" t="s">
        <v>204</v>
      </c>
      <c r="C63" t="s">
        <v>204</v>
      </c>
      <c r="D63" t="s">
        <v>89</v>
      </c>
      <c r="E63" t="s">
        <v>188</v>
      </c>
      <c r="F63" t="s">
        <v>189</v>
      </c>
      <c r="I63" s="1">
        <v>42005</v>
      </c>
      <c r="J63" t="s">
        <v>190</v>
      </c>
      <c r="K63" s="1">
        <v>43916</v>
      </c>
      <c r="L63" t="s">
        <v>195</v>
      </c>
      <c r="M63" t="s">
        <v>266</v>
      </c>
      <c r="N63" t="s">
        <v>79</v>
      </c>
      <c r="O63" t="s">
        <v>87</v>
      </c>
      <c r="P63" s="1">
        <v>44958</v>
      </c>
      <c r="Q63" t="s">
        <v>19</v>
      </c>
      <c r="R63">
        <v>30000</v>
      </c>
    </row>
    <row r="64" spans="1:18" x14ac:dyDescent="0.3">
      <c r="A64" t="s">
        <v>204</v>
      </c>
      <c r="C64" t="s">
        <v>204</v>
      </c>
      <c r="D64" t="s">
        <v>90</v>
      </c>
      <c r="E64" t="s">
        <v>197</v>
      </c>
      <c r="F64" t="s">
        <v>189</v>
      </c>
      <c r="I64" s="1">
        <v>42005</v>
      </c>
      <c r="J64" t="s">
        <v>190</v>
      </c>
      <c r="K64" s="1">
        <v>44383</v>
      </c>
      <c r="L64" t="s">
        <v>195</v>
      </c>
      <c r="M64" t="s">
        <v>266</v>
      </c>
      <c r="N64" t="s">
        <v>79</v>
      </c>
      <c r="O64" t="s">
        <v>87</v>
      </c>
      <c r="P64" s="1">
        <v>44562</v>
      </c>
      <c r="Q64" t="s">
        <v>19</v>
      </c>
      <c r="R64">
        <v>30000</v>
      </c>
    </row>
    <row r="65" spans="1:18" x14ac:dyDescent="0.3">
      <c r="A65" t="s">
        <v>185</v>
      </c>
      <c r="B65" t="s">
        <v>186</v>
      </c>
      <c r="C65" t="s">
        <v>187</v>
      </c>
      <c r="D65" t="s">
        <v>106</v>
      </c>
      <c r="E65" t="s">
        <v>188</v>
      </c>
      <c r="F65" t="s">
        <v>189</v>
      </c>
      <c r="I65" s="1">
        <v>43658</v>
      </c>
      <c r="J65" t="s">
        <v>18</v>
      </c>
      <c r="K65" s="1"/>
      <c r="M65" t="s">
        <v>268</v>
      </c>
      <c r="N65" t="s">
        <v>3</v>
      </c>
      <c r="O65" t="s">
        <v>20</v>
      </c>
      <c r="P65" s="1">
        <v>44958</v>
      </c>
      <c r="Q65" t="s">
        <v>19</v>
      </c>
      <c r="R65">
        <v>10000</v>
      </c>
    </row>
    <row r="66" spans="1:18" x14ac:dyDescent="0.3">
      <c r="A66" t="s">
        <v>196</v>
      </c>
      <c r="C66" t="s">
        <v>196</v>
      </c>
      <c r="D66" t="s">
        <v>107</v>
      </c>
      <c r="E66" t="s">
        <v>188</v>
      </c>
      <c r="F66" t="s">
        <v>189</v>
      </c>
      <c r="I66" s="1">
        <v>43658</v>
      </c>
      <c r="J66" t="s">
        <v>18</v>
      </c>
      <c r="K66" s="1"/>
      <c r="M66" t="s">
        <v>268</v>
      </c>
      <c r="N66" t="s">
        <v>3</v>
      </c>
      <c r="O66" t="s">
        <v>20</v>
      </c>
      <c r="P66" s="1">
        <v>44958</v>
      </c>
      <c r="Q66" t="s">
        <v>19</v>
      </c>
      <c r="R66">
        <v>10000</v>
      </c>
    </row>
    <row r="67" spans="1:18" x14ac:dyDescent="0.3">
      <c r="A67" t="s">
        <v>196</v>
      </c>
      <c r="C67" t="s">
        <v>196</v>
      </c>
      <c r="D67" t="s">
        <v>108</v>
      </c>
      <c r="E67" t="s">
        <v>188</v>
      </c>
      <c r="F67" t="s">
        <v>189</v>
      </c>
      <c r="I67" s="1">
        <v>43658</v>
      </c>
      <c r="J67" t="s">
        <v>18</v>
      </c>
      <c r="K67" s="1"/>
      <c r="M67" t="s">
        <v>268</v>
      </c>
      <c r="P67" s="1"/>
    </row>
    <row r="68" spans="1:18" x14ac:dyDescent="0.3">
      <c r="A68" t="s">
        <v>196</v>
      </c>
      <c r="C68" t="s">
        <v>196</v>
      </c>
      <c r="D68" t="s">
        <v>109</v>
      </c>
      <c r="E68" t="s">
        <v>188</v>
      </c>
      <c r="F68" t="s">
        <v>189</v>
      </c>
      <c r="I68" s="1">
        <v>43658</v>
      </c>
      <c r="J68" t="s">
        <v>18</v>
      </c>
      <c r="K68" s="1"/>
      <c r="M68" t="s">
        <v>268</v>
      </c>
      <c r="P68" s="1"/>
    </row>
    <row r="69" spans="1:18" x14ac:dyDescent="0.3">
      <c r="A69" t="s">
        <v>196</v>
      </c>
      <c r="C69" t="s">
        <v>196</v>
      </c>
      <c r="D69" t="s">
        <v>110</v>
      </c>
      <c r="E69" t="s">
        <v>188</v>
      </c>
      <c r="F69" t="s">
        <v>189</v>
      </c>
      <c r="I69" s="1">
        <v>43658</v>
      </c>
      <c r="J69" t="s">
        <v>18</v>
      </c>
      <c r="K69" s="1"/>
      <c r="M69" t="s">
        <v>268</v>
      </c>
      <c r="P69" s="1"/>
    </row>
    <row r="70" spans="1:18" x14ac:dyDescent="0.3">
      <c r="A70" t="s">
        <v>196</v>
      </c>
      <c r="C70" t="s">
        <v>196</v>
      </c>
      <c r="D70" t="s">
        <v>111</v>
      </c>
      <c r="E70" t="s">
        <v>188</v>
      </c>
      <c r="F70" t="s">
        <v>189</v>
      </c>
      <c r="I70" s="1">
        <v>43658</v>
      </c>
      <c r="J70" t="s">
        <v>18</v>
      </c>
      <c r="K70" s="1"/>
      <c r="M70" t="s">
        <v>268</v>
      </c>
      <c r="P70" s="1"/>
    </row>
    <row r="71" spans="1:18" x14ac:dyDescent="0.3">
      <c r="A71" t="s">
        <v>196</v>
      </c>
      <c r="C71" t="s">
        <v>196</v>
      </c>
      <c r="D71" t="s">
        <v>112</v>
      </c>
      <c r="E71" t="s">
        <v>188</v>
      </c>
      <c r="F71" t="s">
        <v>189</v>
      </c>
      <c r="I71" s="1">
        <v>43658</v>
      </c>
      <c r="J71" t="s">
        <v>18</v>
      </c>
      <c r="K71" s="1"/>
      <c r="M71" t="s">
        <v>268</v>
      </c>
      <c r="P71" s="1"/>
    </row>
    <row r="72" spans="1:18" x14ac:dyDescent="0.3">
      <c r="A72" t="s">
        <v>185</v>
      </c>
      <c r="B72" t="s">
        <v>186</v>
      </c>
      <c r="C72" t="s">
        <v>187</v>
      </c>
      <c r="D72" t="s">
        <v>167</v>
      </c>
      <c r="E72" t="s">
        <v>188</v>
      </c>
      <c r="F72" t="s">
        <v>189</v>
      </c>
      <c r="I72" s="1">
        <v>43658</v>
      </c>
      <c r="J72" t="s">
        <v>18</v>
      </c>
      <c r="K72" s="1"/>
      <c r="M72" t="s">
        <v>267</v>
      </c>
      <c r="P72" s="1"/>
    </row>
    <row r="73" spans="1:18" x14ac:dyDescent="0.3">
      <c r="A73" t="s">
        <v>185</v>
      </c>
      <c r="B73" t="s">
        <v>186</v>
      </c>
      <c r="C73" t="s">
        <v>187</v>
      </c>
      <c r="D73" t="s">
        <v>58</v>
      </c>
      <c r="E73" t="s">
        <v>188</v>
      </c>
      <c r="F73" t="s">
        <v>189</v>
      </c>
      <c r="I73" s="1">
        <v>43658</v>
      </c>
      <c r="J73" t="s">
        <v>18</v>
      </c>
      <c r="K73" s="1"/>
      <c r="M73" t="s">
        <v>266</v>
      </c>
      <c r="N73" t="s">
        <v>35</v>
      </c>
      <c r="O73" t="s">
        <v>36</v>
      </c>
      <c r="P73" s="1">
        <v>44530</v>
      </c>
      <c r="Q73" t="s">
        <v>19</v>
      </c>
      <c r="R73">
        <v>30000</v>
      </c>
    </row>
    <row r="74" spans="1:18" x14ac:dyDescent="0.3">
      <c r="A74" t="s">
        <v>185</v>
      </c>
      <c r="B74" t="s">
        <v>186</v>
      </c>
      <c r="C74" t="s">
        <v>187</v>
      </c>
      <c r="D74" t="s">
        <v>168</v>
      </c>
      <c r="E74" t="s">
        <v>188</v>
      </c>
      <c r="F74" t="s">
        <v>189</v>
      </c>
      <c r="I74" s="1">
        <v>43658</v>
      </c>
      <c r="J74" t="s">
        <v>18</v>
      </c>
      <c r="K74" s="1"/>
      <c r="M74" t="s">
        <v>267</v>
      </c>
      <c r="P74" s="1"/>
    </row>
    <row r="75" spans="1:18" x14ac:dyDescent="0.3">
      <c r="A75" t="s">
        <v>185</v>
      </c>
      <c r="B75" t="s">
        <v>186</v>
      </c>
      <c r="C75" t="s">
        <v>187</v>
      </c>
      <c r="D75" t="s">
        <v>59</v>
      </c>
      <c r="E75" t="s">
        <v>188</v>
      </c>
      <c r="F75" t="s">
        <v>189</v>
      </c>
      <c r="I75" s="1">
        <v>43658</v>
      </c>
      <c r="J75" t="s">
        <v>18</v>
      </c>
      <c r="K75" s="1"/>
      <c r="M75" t="s">
        <v>266</v>
      </c>
      <c r="N75" t="s">
        <v>35</v>
      </c>
      <c r="O75" t="s">
        <v>36</v>
      </c>
      <c r="P75" s="1">
        <v>44530</v>
      </c>
      <c r="Q75" t="s">
        <v>19</v>
      </c>
      <c r="R75">
        <v>30000</v>
      </c>
    </row>
    <row r="76" spans="1:18" x14ac:dyDescent="0.3">
      <c r="A76" t="s">
        <v>185</v>
      </c>
      <c r="B76" t="s">
        <v>186</v>
      </c>
      <c r="C76" t="s">
        <v>187</v>
      </c>
      <c r="D76" t="s">
        <v>169</v>
      </c>
      <c r="E76" t="s">
        <v>188</v>
      </c>
      <c r="F76" t="s">
        <v>189</v>
      </c>
      <c r="I76" s="1">
        <v>43658</v>
      </c>
      <c r="J76" t="s">
        <v>190</v>
      </c>
      <c r="K76" s="1">
        <v>44927</v>
      </c>
      <c r="L76" t="s">
        <v>195</v>
      </c>
      <c r="M76" t="s">
        <v>267</v>
      </c>
      <c r="P76" s="1"/>
    </row>
    <row r="77" spans="1:18" x14ac:dyDescent="0.3">
      <c r="A77" t="s">
        <v>185</v>
      </c>
      <c r="B77" t="s">
        <v>186</v>
      </c>
      <c r="C77" t="s">
        <v>187</v>
      </c>
      <c r="D77" t="s">
        <v>60</v>
      </c>
      <c r="E77" t="s">
        <v>188</v>
      </c>
      <c r="F77" t="s">
        <v>189</v>
      </c>
      <c r="I77" s="1">
        <v>43658</v>
      </c>
      <c r="J77" t="s">
        <v>190</v>
      </c>
      <c r="K77" s="1">
        <v>44316</v>
      </c>
      <c r="L77" t="s">
        <v>195</v>
      </c>
      <c r="M77" t="s">
        <v>266</v>
      </c>
      <c r="N77" t="s">
        <v>35</v>
      </c>
      <c r="O77" t="s">
        <v>36</v>
      </c>
      <c r="P77" s="1">
        <v>44530</v>
      </c>
      <c r="Q77" t="s">
        <v>19</v>
      </c>
      <c r="R77">
        <v>30000</v>
      </c>
    </row>
    <row r="78" spans="1:18" x14ac:dyDescent="0.3">
      <c r="A78" t="s">
        <v>185</v>
      </c>
      <c r="B78" t="s">
        <v>186</v>
      </c>
      <c r="C78" t="s">
        <v>187</v>
      </c>
      <c r="D78" t="s">
        <v>170</v>
      </c>
      <c r="E78" t="s">
        <v>188</v>
      </c>
      <c r="F78" t="s">
        <v>189</v>
      </c>
      <c r="I78" s="1">
        <v>43658</v>
      </c>
      <c r="J78" t="s">
        <v>18</v>
      </c>
      <c r="K78" s="1"/>
      <c r="M78" t="s">
        <v>267</v>
      </c>
      <c r="P78" s="1"/>
    </row>
    <row r="79" spans="1:18" x14ac:dyDescent="0.3">
      <c r="A79" t="s">
        <v>185</v>
      </c>
      <c r="B79" t="s">
        <v>186</v>
      </c>
      <c r="C79" t="s">
        <v>187</v>
      </c>
      <c r="D79" t="s">
        <v>61</v>
      </c>
      <c r="E79" t="s">
        <v>188</v>
      </c>
      <c r="F79" t="s">
        <v>189</v>
      </c>
      <c r="I79" s="1">
        <v>43658</v>
      </c>
      <c r="J79" t="s">
        <v>18</v>
      </c>
      <c r="K79" s="1"/>
      <c r="M79" t="s">
        <v>266</v>
      </c>
      <c r="N79" t="s">
        <v>35</v>
      </c>
      <c r="O79" t="s">
        <v>36</v>
      </c>
      <c r="P79" s="1">
        <v>44530</v>
      </c>
      <c r="Q79" t="s">
        <v>19</v>
      </c>
      <c r="R79">
        <v>30000</v>
      </c>
    </row>
    <row r="80" spans="1:18" x14ac:dyDescent="0.3">
      <c r="A80" t="s">
        <v>185</v>
      </c>
      <c r="B80" t="s">
        <v>186</v>
      </c>
      <c r="C80" t="s">
        <v>187</v>
      </c>
      <c r="D80" t="s">
        <v>38</v>
      </c>
      <c r="E80" t="s">
        <v>188</v>
      </c>
      <c r="F80" t="s">
        <v>189</v>
      </c>
      <c r="I80" s="1">
        <v>43658</v>
      </c>
      <c r="J80" t="s">
        <v>18</v>
      </c>
      <c r="K80" s="1"/>
      <c r="M80" t="s">
        <v>267</v>
      </c>
      <c r="N80" t="s">
        <v>35</v>
      </c>
      <c r="O80" t="s">
        <v>36</v>
      </c>
      <c r="P80" s="1">
        <v>44609</v>
      </c>
      <c r="Q80" t="s">
        <v>19</v>
      </c>
      <c r="R80">
        <v>30000</v>
      </c>
    </row>
    <row r="81" spans="1:18" x14ac:dyDescent="0.3">
      <c r="A81" t="s">
        <v>185</v>
      </c>
      <c r="B81" t="s">
        <v>186</v>
      </c>
      <c r="C81" t="s">
        <v>187</v>
      </c>
      <c r="D81" t="s">
        <v>62</v>
      </c>
      <c r="E81" t="s">
        <v>188</v>
      </c>
      <c r="F81" t="s">
        <v>189</v>
      </c>
      <c r="I81" s="1">
        <v>43658</v>
      </c>
      <c r="J81" t="s">
        <v>18</v>
      </c>
      <c r="K81" s="1"/>
      <c r="M81" t="s">
        <v>266</v>
      </c>
      <c r="N81" t="s">
        <v>35</v>
      </c>
      <c r="O81" t="s">
        <v>36</v>
      </c>
      <c r="P81" s="1">
        <v>44530</v>
      </c>
      <c r="Q81" t="s">
        <v>19</v>
      </c>
      <c r="R81">
        <v>30000</v>
      </c>
    </row>
    <row r="82" spans="1:18" x14ac:dyDescent="0.3">
      <c r="A82" t="s">
        <v>185</v>
      </c>
      <c r="B82" t="s">
        <v>186</v>
      </c>
      <c r="C82" t="s">
        <v>187</v>
      </c>
      <c r="D82" t="s">
        <v>39</v>
      </c>
      <c r="E82" t="s">
        <v>188</v>
      </c>
      <c r="F82" t="s">
        <v>189</v>
      </c>
      <c r="I82" s="1">
        <v>43658</v>
      </c>
      <c r="J82" t="s">
        <v>18</v>
      </c>
      <c r="K82" s="1"/>
      <c r="M82" t="s">
        <v>267</v>
      </c>
      <c r="N82" t="s">
        <v>35</v>
      </c>
      <c r="O82" t="s">
        <v>210</v>
      </c>
      <c r="P82" s="1">
        <v>44609</v>
      </c>
      <c r="Q82" t="s">
        <v>19</v>
      </c>
    </row>
    <row r="83" spans="1:18" x14ac:dyDescent="0.3">
      <c r="A83" t="s">
        <v>185</v>
      </c>
      <c r="B83" t="s">
        <v>186</v>
      </c>
      <c r="C83" t="s">
        <v>187</v>
      </c>
      <c r="D83" t="s">
        <v>63</v>
      </c>
      <c r="E83" t="s">
        <v>188</v>
      </c>
      <c r="F83" t="s">
        <v>189</v>
      </c>
      <c r="I83" s="1">
        <v>43658</v>
      </c>
      <c r="J83" t="s">
        <v>18</v>
      </c>
      <c r="K83" s="1"/>
      <c r="M83" t="s">
        <v>266</v>
      </c>
      <c r="N83" t="s">
        <v>35</v>
      </c>
      <c r="O83" t="s">
        <v>36</v>
      </c>
      <c r="P83" s="1">
        <v>44530</v>
      </c>
      <c r="Q83" t="s">
        <v>19</v>
      </c>
      <c r="R83">
        <v>30000</v>
      </c>
    </row>
    <row r="84" spans="1:18" x14ac:dyDescent="0.3">
      <c r="A84" t="s">
        <v>185</v>
      </c>
      <c r="B84" t="s">
        <v>186</v>
      </c>
      <c r="C84" t="s">
        <v>187</v>
      </c>
      <c r="D84" t="s">
        <v>40</v>
      </c>
      <c r="E84" t="s">
        <v>188</v>
      </c>
      <c r="F84" t="s">
        <v>189</v>
      </c>
      <c r="I84" s="1">
        <v>43658</v>
      </c>
      <c r="J84" t="s">
        <v>18</v>
      </c>
      <c r="K84" s="1"/>
      <c r="M84" t="s">
        <v>267</v>
      </c>
      <c r="N84" t="s">
        <v>35</v>
      </c>
      <c r="O84" t="s">
        <v>36</v>
      </c>
      <c r="P84" s="1">
        <v>44609</v>
      </c>
      <c r="Q84" t="s">
        <v>19</v>
      </c>
      <c r="R84">
        <v>30000</v>
      </c>
    </row>
    <row r="85" spans="1:18" x14ac:dyDescent="0.3">
      <c r="A85" t="s">
        <v>185</v>
      </c>
      <c r="B85" t="s">
        <v>186</v>
      </c>
      <c r="C85" t="s">
        <v>187</v>
      </c>
      <c r="D85" t="s">
        <v>64</v>
      </c>
      <c r="E85" t="s">
        <v>188</v>
      </c>
      <c r="F85" t="s">
        <v>189</v>
      </c>
      <c r="I85" s="1">
        <v>43658</v>
      </c>
      <c r="J85" t="s">
        <v>18</v>
      </c>
      <c r="K85" s="1"/>
      <c r="M85" t="s">
        <v>266</v>
      </c>
      <c r="N85" t="s">
        <v>35</v>
      </c>
      <c r="O85" t="s">
        <v>36</v>
      </c>
      <c r="P85" s="1">
        <v>44530</v>
      </c>
      <c r="Q85" t="s">
        <v>19</v>
      </c>
      <c r="R85">
        <v>30000</v>
      </c>
    </row>
    <row r="86" spans="1:18" x14ac:dyDescent="0.3">
      <c r="A86" t="s">
        <v>185</v>
      </c>
      <c r="B86" t="s">
        <v>186</v>
      </c>
      <c r="C86" t="s">
        <v>187</v>
      </c>
      <c r="D86" t="s">
        <v>41</v>
      </c>
      <c r="E86" t="s">
        <v>188</v>
      </c>
      <c r="F86" t="s">
        <v>189</v>
      </c>
      <c r="I86" s="1">
        <v>43658</v>
      </c>
      <c r="J86" t="s">
        <v>190</v>
      </c>
      <c r="K86" s="1">
        <v>44927</v>
      </c>
      <c r="L86" t="s">
        <v>195</v>
      </c>
      <c r="M86" t="s">
        <v>267</v>
      </c>
      <c r="N86" t="s">
        <v>35</v>
      </c>
      <c r="O86" t="s">
        <v>36</v>
      </c>
      <c r="P86" s="1">
        <v>44897</v>
      </c>
      <c r="Q86" t="s">
        <v>19</v>
      </c>
      <c r="R86">
        <v>30000</v>
      </c>
    </row>
    <row r="87" spans="1:18" x14ac:dyDescent="0.3">
      <c r="A87" t="s">
        <v>185</v>
      </c>
      <c r="B87" t="s">
        <v>186</v>
      </c>
      <c r="C87" t="s">
        <v>187</v>
      </c>
      <c r="D87" t="s">
        <v>65</v>
      </c>
      <c r="E87" t="s">
        <v>188</v>
      </c>
      <c r="F87" t="s">
        <v>189</v>
      </c>
      <c r="I87" s="1">
        <v>43658</v>
      </c>
      <c r="J87" t="s">
        <v>18</v>
      </c>
      <c r="K87" s="1"/>
      <c r="M87" t="s">
        <v>266</v>
      </c>
      <c r="N87" t="s">
        <v>35</v>
      </c>
      <c r="O87" t="s">
        <v>36</v>
      </c>
      <c r="P87" s="1">
        <v>44530</v>
      </c>
      <c r="Q87" t="s">
        <v>19</v>
      </c>
      <c r="R87">
        <v>30000</v>
      </c>
    </row>
    <row r="88" spans="1:18" x14ac:dyDescent="0.3">
      <c r="A88" t="s">
        <v>185</v>
      </c>
      <c r="B88" t="s">
        <v>186</v>
      </c>
      <c r="C88" t="s">
        <v>187</v>
      </c>
      <c r="D88" t="s">
        <v>42</v>
      </c>
      <c r="E88" t="s">
        <v>188</v>
      </c>
      <c r="F88" t="s">
        <v>189</v>
      </c>
      <c r="I88" s="1">
        <v>43658</v>
      </c>
      <c r="J88" t="s">
        <v>18</v>
      </c>
      <c r="K88" s="1"/>
      <c r="M88" t="s">
        <v>267</v>
      </c>
      <c r="N88" t="s">
        <v>35</v>
      </c>
      <c r="O88" t="s">
        <v>36</v>
      </c>
      <c r="P88" s="1">
        <v>44897</v>
      </c>
      <c r="Q88" t="s">
        <v>19</v>
      </c>
      <c r="R88">
        <v>30000</v>
      </c>
    </row>
    <row r="89" spans="1:18" x14ac:dyDescent="0.3">
      <c r="A89" t="s">
        <v>185</v>
      </c>
      <c r="B89" t="s">
        <v>186</v>
      </c>
      <c r="C89" t="s">
        <v>187</v>
      </c>
      <c r="D89" t="s">
        <v>121</v>
      </c>
      <c r="E89" t="s">
        <v>188</v>
      </c>
      <c r="F89" t="s">
        <v>189</v>
      </c>
      <c r="I89" s="1">
        <v>43658</v>
      </c>
      <c r="J89" t="s">
        <v>18</v>
      </c>
      <c r="K89" s="1"/>
      <c r="M89" t="s">
        <v>266</v>
      </c>
      <c r="P89" s="1"/>
    </row>
    <row r="90" spans="1:18" x14ac:dyDescent="0.3">
      <c r="A90" t="s">
        <v>185</v>
      </c>
      <c r="B90" t="s">
        <v>186</v>
      </c>
      <c r="C90" t="s">
        <v>187</v>
      </c>
      <c r="D90" t="s">
        <v>44</v>
      </c>
      <c r="E90" t="s">
        <v>188</v>
      </c>
      <c r="F90" t="s">
        <v>189</v>
      </c>
      <c r="I90" s="1">
        <v>43658</v>
      </c>
      <c r="J90" t="s">
        <v>18</v>
      </c>
      <c r="K90" s="1"/>
      <c r="M90" t="s">
        <v>267</v>
      </c>
      <c r="N90" t="s">
        <v>35</v>
      </c>
      <c r="O90" t="s">
        <v>43</v>
      </c>
      <c r="P90" s="1">
        <v>44949</v>
      </c>
      <c r="Q90" t="s">
        <v>19</v>
      </c>
      <c r="R90">
        <v>30000</v>
      </c>
    </row>
    <row r="91" spans="1:18" x14ac:dyDescent="0.3">
      <c r="A91" t="s">
        <v>185</v>
      </c>
      <c r="B91" t="s">
        <v>186</v>
      </c>
      <c r="C91" t="s">
        <v>187</v>
      </c>
      <c r="D91" t="s">
        <v>122</v>
      </c>
      <c r="E91" t="s">
        <v>188</v>
      </c>
      <c r="F91" t="s">
        <v>189</v>
      </c>
      <c r="I91" s="1">
        <v>43658</v>
      </c>
      <c r="J91" t="s">
        <v>18</v>
      </c>
      <c r="K91" s="1"/>
      <c r="M91" t="s">
        <v>266</v>
      </c>
      <c r="P91" s="1"/>
    </row>
    <row r="92" spans="1:18" x14ac:dyDescent="0.3">
      <c r="A92" t="s">
        <v>185</v>
      </c>
      <c r="B92" t="s">
        <v>186</v>
      </c>
      <c r="C92" t="s">
        <v>187</v>
      </c>
      <c r="D92" t="s">
        <v>171</v>
      </c>
      <c r="E92" t="s">
        <v>188</v>
      </c>
      <c r="F92" t="s">
        <v>189</v>
      </c>
      <c r="I92" s="1">
        <v>43658</v>
      </c>
      <c r="J92" t="s">
        <v>18</v>
      </c>
      <c r="K92" s="1"/>
      <c r="M92" t="s">
        <v>267</v>
      </c>
      <c r="P92" s="1"/>
    </row>
    <row r="93" spans="1:18" x14ac:dyDescent="0.3">
      <c r="A93" t="s">
        <v>185</v>
      </c>
      <c r="B93" t="s">
        <v>186</v>
      </c>
      <c r="C93" t="s">
        <v>187</v>
      </c>
      <c r="D93" t="s">
        <v>123</v>
      </c>
      <c r="E93" t="s">
        <v>188</v>
      </c>
      <c r="F93" t="s">
        <v>189</v>
      </c>
      <c r="I93" s="1">
        <v>43658</v>
      </c>
      <c r="J93" t="s">
        <v>18</v>
      </c>
      <c r="K93" s="1"/>
      <c r="M93" t="s">
        <v>266</v>
      </c>
      <c r="P93" s="1"/>
    </row>
    <row r="94" spans="1:18" x14ac:dyDescent="0.3">
      <c r="A94" t="s">
        <v>185</v>
      </c>
      <c r="B94" t="s">
        <v>186</v>
      </c>
      <c r="C94" t="s">
        <v>187</v>
      </c>
      <c r="D94" t="s">
        <v>124</v>
      </c>
      <c r="E94" t="s">
        <v>188</v>
      </c>
      <c r="F94" t="s">
        <v>189</v>
      </c>
      <c r="I94" s="1">
        <v>43658</v>
      </c>
      <c r="J94" t="s">
        <v>18</v>
      </c>
      <c r="K94" s="1"/>
      <c r="M94" t="s">
        <v>266</v>
      </c>
      <c r="P94" s="1"/>
    </row>
    <row r="95" spans="1:18" x14ac:dyDescent="0.3">
      <c r="A95" t="s">
        <v>185</v>
      </c>
      <c r="B95" t="s">
        <v>192</v>
      </c>
      <c r="C95" t="s">
        <v>193</v>
      </c>
      <c r="D95" t="s">
        <v>125</v>
      </c>
      <c r="E95" t="s">
        <v>188</v>
      </c>
      <c r="F95" t="s">
        <v>189</v>
      </c>
      <c r="I95" s="1">
        <v>44454</v>
      </c>
      <c r="J95" t="s">
        <v>18</v>
      </c>
      <c r="K95" s="1"/>
      <c r="M95" t="s">
        <v>266</v>
      </c>
      <c r="P95" s="1"/>
    </row>
    <row r="96" spans="1:18" x14ac:dyDescent="0.3">
      <c r="A96" t="s">
        <v>185</v>
      </c>
      <c r="B96" t="s">
        <v>192</v>
      </c>
      <c r="C96" t="s">
        <v>193</v>
      </c>
      <c r="D96" t="s">
        <v>126</v>
      </c>
      <c r="E96" t="s">
        <v>188</v>
      </c>
      <c r="F96" t="s">
        <v>189</v>
      </c>
      <c r="I96" s="1">
        <v>44705</v>
      </c>
      <c r="J96" t="s">
        <v>18</v>
      </c>
      <c r="K96" s="1"/>
      <c r="M96" t="s">
        <v>266</v>
      </c>
      <c r="P96" s="1"/>
    </row>
    <row r="97" spans="1:16" x14ac:dyDescent="0.3">
      <c r="A97" t="s">
        <v>185</v>
      </c>
      <c r="B97" t="s">
        <v>192</v>
      </c>
      <c r="C97" t="s">
        <v>193</v>
      </c>
      <c r="D97" t="s">
        <v>127</v>
      </c>
      <c r="E97" t="s">
        <v>188</v>
      </c>
      <c r="F97" t="s">
        <v>189</v>
      </c>
      <c r="I97" s="1">
        <v>44938</v>
      </c>
      <c r="J97" t="s">
        <v>18</v>
      </c>
      <c r="K97" s="1"/>
      <c r="M97" t="s">
        <v>266</v>
      </c>
      <c r="P97" s="1"/>
    </row>
    <row r="98" spans="1:16" x14ac:dyDescent="0.3">
      <c r="A98" t="s">
        <v>185</v>
      </c>
      <c r="B98" t="s">
        <v>192</v>
      </c>
      <c r="C98" t="s">
        <v>193</v>
      </c>
      <c r="D98" t="s">
        <v>128</v>
      </c>
      <c r="E98" t="s">
        <v>188</v>
      </c>
      <c r="F98" t="s">
        <v>189</v>
      </c>
      <c r="I98" s="1">
        <v>44308</v>
      </c>
      <c r="J98" t="s">
        <v>18</v>
      </c>
      <c r="K98" s="1"/>
      <c r="M98" t="s">
        <v>266</v>
      </c>
      <c r="P98" s="1"/>
    </row>
    <row r="99" spans="1:16" x14ac:dyDescent="0.3">
      <c r="A99" t="s">
        <v>185</v>
      </c>
      <c r="B99" t="s">
        <v>192</v>
      </c>
      <c r="C99" t="s">
        <v>193</v>
      </c>
      <c r="D99" t="s">
        <v>129</v>
      </c>
      <c r="E99" t="s">
        <v>188</v>
      </c>
      <c r="F99" t="s">
        <v>189</v>
      </c>
      <c r="I99" s="1">
        <v>44938</v>
      </c>
      <c r="J99" t="s">
        <v>18</v>
      </c>
      <c r="K99" s="1"/>
      <c r="M99" t="s">
        <v>266</v>
      </c>
      <c r="P99" s="1"/>
    </row>
    <row r="100" spans="1:16" x14ac:dyDescent="0.3">
      <c r="A100" t="s">
        <v>185</v>
      </c>
      <c r="B100" t="s">
        <v>192</v>
      </c>
      <c r="C100" t="s">
        <v>193</v>
      </c>
      <c r="D100" t="s">
        <v>130</v>
      </c>
      <c r="E100" t="s">
        <v>188</v>
      </c>
      <c r="F100" t="s">
        <v>194</v>
      </c>
      <c r="I100" s="1">
        <v>44938</v>
      </c>
      <c r="J100" t="s">
        <v>18</v>
      </c>
      <c r="K100" s="1"/>
      <c r="M100" t="s">
        <v>266</v>
      </c>
      <c r="P100" s="1"/>
    </row>
    <row r="101" spans="1:16" x14ac:dyDescent="0.3">
      <c r="A101" t="s">
        <v>185</v>
      </c>
      <c r="B101" t="s">
        <v>192</v>
      </c>
      <c r="C101" t="s">
        <v>193</v>
      </c>
      <c r="D101" t="s">
        <v>131</v>
      </c>
      <c r="E101" t="s">
        <v>188</v>
      </c>
      <c r="F101" t="s">
        <v>189</v>
      </c>
      <c r="I101" s="1">
        <v>44938</v>
      </c>
      <c r="J101" t="s">
        <v>18</v>
      </c>
      <c r="K101" s="1"/>
      <c r="M101" t="s">
        <v>266</v>
      </c>
      <c r="P101" s="1"/>
    </row>
    <row r="102" spans="1:16" x14ac:dyDescent="0.3">
      <c r="A102" t="s">
        <v>185</v>
      </c>
      <c r="B102" t="s">
        <v>192</v>
      </c>
      <c r="C102" t="s">
        <v>193</v>
      </c>
      <c r="D102" t="s">
        <v>132</v>
      </c>
      <c r="E102" t="s">
        <v>188</v>
      </c>
      <c r="F102" t="s">
        <v>189</v>
      </c>
      <c r="I102" s="1">
        <v>44938</v>
      </c>
      <c r="J102" t="s">
        <v>18</v>
      </c>
      <c r="K102" s="1"/>
      <c r="M102" t="s">
        <v>266</v>
      </c>
      <c r="P102" s="1"/>
    </row>
    <row r="103" spans="1:16" x14ac:dyDescent="0.3">
      <c r="A103" t="s">
        <v>196</v>
      </c>
      <c r="C103" t="s">
        <v>196</v>
      </c>
      <c r="D103" t="s">
        <v>133</v>
      </c>
      <c r="E103" t="s">
        <v>197</v>
      </c>
      <c r="F103" t="s">
        <v>189</v>
      </c>
      <c r="I103" s="1">
        <v>44938</v>
      </c>
      <c r="J103" t="s">
        <v>18</v>
      </c>
      <c r="K103" s="1"/>
      <c r="M103" t="s">
        <v>266</v>
      </c>
      <c r="P103" s="1"/>
    </row>
    <row r="104" spans="1:16" x14ac:dyDescent="0.3">
      <c r="A104" t="s">
        <v>196</v>
      </c>
      <c r="C104" t="s">
        <v>196</v>
      </c>
      <c r="D104" t="s">
        <v>134</v>
      </c>
      <c r="E104" t="s">
        <v>188</v>
      </c>
      <c r="F104" t="s">
        <v>189</v>
      </c>
      <c r="I104" s="1">
        <v>44938</v>
      </c>
      <c r="J104" t="s">
        <v>18</v>
      </c>
      <c r="K104" s="1"/>
      <c r="M104" t="s">
        <v>266</v>
      </c>
      <c r="P104" s="1"/>
    </row>
    <row r="105" spans="1:16" x14ac:dyDescent="0.3">
      <c r="A105" t="s">
        <v>196</v>
      </c>
      <c r="C105" t="s">
        <v>196</v>
      </c>
      <c r="D105" t="s">
        <v>135</v>
      </c>
      <c r="E105" t="s">
        <v>188</v>
      </c>
      <c r="F105" t="s">
        <v>189</v>
      </c>
      <c r="I105" s="1">
        <v>44938</v>
      </c>
      <c r="J105" t="s">
        <v>18</v>
      </c>
      <c r="K105" s="1"/>
      <c r="M105" t="s">
        <v>266</v>
      </c>
      <c r="P105" s="1"/>
    </row>
    <row r="106" spans="1:16" x14ac:dyDescent="0.3">
      <c r="A106" t="s">
        <v>196</v>
      </c>
      <c r="C106" t="s">
        <v>196</v>
      </c>
      <c r="D106" t="s">
        <v>136</v>
      </c>
      <c r="E106" t="s">
        <v>188</v>
      </c>
      <c r="F106" t="s">
        <v>189</v>
      </c>
      <c r="I106" s="1">
        <v>44938</v>
      </c>
      <c r="J106" t="s">
        <v>18</v>
      </c>
      <c r="K106" s="1"/>
      <c r="M106" t="s">
        <v>266</v>
      </c>
      <c r="P106" s="1"/>
    </row>
    <row r="107" spans="1:16" x14ac:dyDescent="0.3">
      <c r="A107" t="s">
        <v>196</v>
      </c>
      <c r="C107" t="s">
        <v>196</v>
      </c>
      <c r="D107" t="s">
        <v>137</v>
      </c>
      <c r="E107" t="s">
        <v>188</v>
      </c>
      <c r="F107" t="s">
        <v>189</v>
      </c>
      <c r="I107" s="1">
        <v>44938</v>
      </c>
      <c r="J107" t="s">
        <v>18</v>
      </c>
      <c r="K107" s="1"/>
      <c r="M107" t="s">
        <v>266</v>
      </c>
      <c r="P107" s="1"/>
    </row>
    <row r="108" spans="1:16" x14ac:dyDescent="0.3">
      <c r="A108" t="s">
        <v>196</v>
      </c>
      <c r="C108" t="s">
        <v>196</v>
      </c>
      <c r="D108" t="s">
        <v>138</v>
      </c>
      <c r="E108" t="s">
        <v>188</v>
      </c>
      <c r="F108" t="s">
        <v>189</v>
      </c>
      <c r="I108" s="1">
        <v>44075</v>
      </c>
      <c r="J108" t="s">
        <v>18</v>
      </c>
      <c r="K108" s="1"/>
      <c r="M108" t="s">
        <v>266</v>
      </c>
      <c r="P108" s="1"/>
    </row>
    <row r="109" spans="1:16" x14ac:dyDescent="0.3">
      <c r="A109" t="s">
        <v>196</v>
      </c>
      <c r="C109" t="s">
        <v>196</v>
      </c>
      <c r="D109" t="s">
        <v>139</v>
      </c>
      <c r="E109" t="s">
        <v>188</v>
      </c>
      <c r="F109" t="s">
        <v>189</v>
      </c>
      <c r="G109">
        <v>44811</v>
      </c>
      <c r="H109">
        <v>44837</v>
      </c>
      <c r="I109" s="1">
        <v>44378</v>
      </c>
      <c r="J109" t="s">
        <v>18</v>
      </c>
      <c r="K109" s="1"/>
      <c r="M109" t="s">
        <v>266</v>
      </c>
      <c r="P109" s="1"/>
    </row>
    <row r="110" spans="1:16" x14ac:dyDescent="0.3">
      <c r="A110" t="s">
        <v>196</v>
      </c>
      <c r="C110" t="s">
        <v>196</v>
      </c>
      <c r="D110" t="s">
        <v>140</v>
      </c>
      <c r="E110" t="s">
        <v>188</v>
      </c>
      <c r="F110" t="s">
        <v>189</v>
      </c>
      <c r="I110" s="1">
        <v>42331</v>
      </c>
      <c r="J110" t="s">
        <v>18</v>
      </c>
      <c r="K110" s="1"/>
      <c r="M110" t="s">
        <v>266</v>
      </c>
      <c r="P110" s="1"/>
    </row>
    <row r="111" spans="1:16" x14ac:dyDescent="0.3">
      <c r="A111" t="s">
        <v>198</v>
      </c>
      <c r="B111" t="s">
        <v>199</v>
      </c>
      <c r="C111" t="s">
        <v>200</v>
      </c>
      <c r="D111" t="s">
        <v>141</v>
      </c>
      <c r="E111" t="s">
        <v>188</v>
      </c>
      <c r="F111" t="s">
        <v>189</v>
      </c>
      <c r="I111" s="1">
        <v>42331</v>
      </c>
      <c r="J111" t="s">
        <v>18</v>
      </c>
      <c r="K111" s="1"/>
      <c r="M111" t="s">
        <v>266</v>
      </c>
      <c r="P111" s="1"/>
    </row>
    <row r="112" spans="1:16" x14ac:dyDescent="0.3">
      <c r="A112" t="s">
        <v>198</v>
      </c>
      <c r="B112" t="s">
        <v>199</v>
      </c>
      <c r="C112" t="s">
        <v>200</v>
      </c>
      <c r="D112" t="s">
        <v>142</v>
      </c>
      <c r="E112" t="s">
        <v>188</v>
      </c>
      <c r="F112" t="s">
        <v>189</v>
      </c>
      <c r="I112" s="1">
        <v>42331</v>
      </c>
      <c r="J112" t="s">
        <v>18</v>
      </c>
      <c r="K112" s="1"/>
      <c r="M112" t="s">
        <v>266</v>
      </c>
      <c r="P112" s="1"/>
    </row>
    <row r="113" spans="1:16" x14ac:dyDescent="0.3">
      <c r="A113" t="s">
        <v>198</v>
      </c>
      <c r="B113" t="s">
        <v>199</v>
      </c>
      <c r="C113" t="s">
        <v>200</v>
      </c>
      <c r="D113" t="s">
        <v>143</v>
      </c>
      <c r="E113" t="s">
        <v>188</v>
      </c>
      <c r="F113" t="s">
        <v>189</v>
      </c>
      <c r="I113" s="1">
        <v>42331</v>
      </c>
      <c r="J113" t="s">
        <v>18</v>
      </c>
      <c r="K113" s="1"/>
      <c r="M113" t="s">
        <v>266</v>
      </c>
      <c r="P113" s="1"/>
    </row>
    <row r="114" spans="1:16" x14ac:dyDescent="0.3">
      <c r="A114" t="s">
        <v>198</v>
      </c>
      <c r="B114" t="s">
        <v>199</v>
      </c>
      <c r="C114" t="s">
        <v>200</v>
      </c>
      <c r="D114" t="s">
        <v>144</v>
      </c>
      <c r="E114" t="s">
        <v>188</v>
      </c>
      <c r="F114" t="s">
        <v>189</v>
      </c>
      <c r="I114" s="1">
        <v>42331</v>
      </c>
      <c r="J114" t="s">
        <v>18</v>
      </c>
      <c r="K114" s="1"/>
      <c r="M114" t="s">
        <v>266</v>
      </c>
      <c r="P114" s="1"/>
    </row>
    <row r="115" spans="1:16" x14ac:dyDescent="0.3">
      <c r="A115" t="s">
        <v>198</v>
      </c>
      <c r="B115" t="s">
        <v>199</v>
      </c>
      <c r="C115" t="s">
        <v>200</v>
      </c>
      <c r="D115" t="s">
        <v>145</v>
      </c>
      <c r="E115" t="s">
        <v>188</v>
      </c>
      <c r="F115" t="s">
        <v>189</v>
      </c>
      <c r="I115" s="1">
        <v>42331</v>
      </c>
      <c r="J115" t="s">
        <v>18</v>
      </c>
      <c r="K115" s="1"/>
      <c r="M115" t="s">
        <v>266</v>
      </c>
      <c r="P115" s="1"/>
    </row>
    <row r="116" spans="1:16" x14ac:dyDescent="0.3">
      <c r="A116" t="s">
        <v>198</v>
      </c>
      <c r="B116" t="s">
        <v>199</v>
      </c>
      <c r="C116" t="s">
        <v>200</v>
      </c>
      <c r="D116" t="s">
        <v>146</v>
      </c>
      <c r="E116" t="s">
        <v>188</v>
      </c>
      <c r="F116" t="s">
        <v>189</v>
      </c>
      <c r="I116" s="1">
        <v>42331</v>
      </c>
      <c r="J116" t="s">
        <v>18</v>
      </c>
      <c r="K116" s="1"/>
      <c r="M116" t="s">
        <v>266</v>
      </c>
      <c r="P116" s="1"/>
    </row>
    <row r="117" spans="1:16" x14ac:dyDescent="0.3">
      <c r="A117" t="s">
        <v>198</v>
      </c>
      <c r="B117" t="s">
        <v>199</v>
      </c>
      <c r="C117" t="s">
        <v>200</v>
      </c>
      <c r="D117" t="s">
        <v>147</v>
      </c>
      <c r="E117" t="s">
        <v>197</v>
      </c>
      <c r="F117" t="s">
        <v>189</v>
      </c>
      <c r="I117" s="1">
        <v>42331</v>
      </c>
      <c r="J117" t="s">
        <v>18</v>
      </c>
      <c r="K117" s="1"/>
      <c r="M117" t="s">
        <v>266</v>
      </c>
      <c r="P117" s="1"/>
    </row>
    <row r="118" spans="1:16" x14ac:dyDescent="0.3">
      <c r="A118" t="s">
        <v>198</v>
      </c>
      <c r="B118" t="s">
        <v>199</v>
      </c>
      <c r="C118" t="s">
        <v>200</v>
      </c>
      <c r="D118" t="s">
        <v>148</v>
      </c>
      <c r="E118" t="s">
        <v>197</v>
      </c>
      <c r="F118" t="s">
        <v>189</v>
      </c>
      <c r="I118" s="1">
        <v>42331</v>
      </c>
      <c r="J118" t="s">
        <v>18</v>
      </c>
      <c r="K118" s="1"/>
      <c r="M118" t="s">
        <v>266</v>
      </c>
      <c r="P118" s="1"/>
    </row>
    <row r="119" spans="1:16" x14ac:dyDescent="0.3">
      <c r="A119" t="s">
        <v>198</v>
      </c>
      <c r="B119" t="s">
        <v>201</v>
      </c>
      <c r="C119" t="s">
        <v>202</v>
      </c>
      <c r="D119" t="s">
        <v>149</v>
      </c>
      <c r="E119" t="s">
        <v>188</v>
      </c>
      <c r="F119" t="s">
        <v>189</v>
      </c>
      <c r="I119" s="1">
        <v>42331</v>
      </c>
      <c r="J119" t="s">
        <v>18</v>
      </c>
      <c r="K119" s="1"/>
      <c r="M119" t="s">
        <v>266</v>
      </c>
      <c r="P119" s="1"/>
    </row>
    <row r="120" spans="1:16" x14ac:dyDescent="0.3">
      <c r="A120" t="s">
        <v>198</v>
      </c>
      <c r="B120" t="s">
        <v>201</v>
      </c>
      <c r="C120" t="s">
        <v>202</v>
      </c>
      <c r="D120" t="s">
        <v>150</v>
      </c>
      <c r="E120" t="s">
        <v>188</v>
      </c>
      <c r="F120" t="s">
        <v>189</v>
      </c>
      <c r="I120" s="1">
        <v>42331</v>
      </c>
      <c r="J120" t="s">
        <v>18</v>
      </c>
      <c r="K120" s="1"/>
      <c r="M120" t="s">
        <v>266</v>
      </c>
      <c r="P120" s="1"/>
    </row>
    <row r="121" spans="1:16" x14ac:dyDescent="0.3">
      <c r="A121" t="s">
        <v>198</v>
      </c>
      <c r="B121" t="s">
        <v>201</v>
      </c>
      <c r="C121" t="s">
        <v>202</v>
      </c>
      <c r="D121" t="s">
        <v>151</v>
      </c>
      <c r="E121" t="s">
        <v>188</v>
      </c>
      <c r="F121" t="s">
        <v>189</v>
      </c>
      <c r="I121" s="1">
        <v>42331</v>
      </c>
      <c r="J121" t="s">
        <v>190</v>
      </c>
      <c r="K121" s="1">
        <v>44927</v>
      </c>
      <c r="L121" t="s">
        <v>191</v>
      </c>
      <c r="M121" t="s">
        <v>266</v>
      </c>
      <c r="P121" s="1"/>
    </row>
    <row r="122" spans="1:16" x14ac:dyDescent="0.3">
      <c r="A122" t="s">
        <v>198</v>
      </c>
      <c r="B122" t="s">
        <v>201</v>
      </c>
      <c r="C122" t="s">
        <v>202</v>
      </c>
      <c r="D122" t="s">
        <v>152</v>
      </c>
      <c r="E122" t="s">
        <v>188</v>
      </c>
      <c r="F122" t="s">
        <v>189</v>
      </c>
      <c r="I122" s="1">
        <v>42005</v>
      </c>
      <c r="J122" t="s">
        <v>190</v>
      </c>
      <c r="K122" s="1">
        <v>44927</v>
      </c>
      <c r="L122" t="s">
        <v>191</v>
      </c>
      <c r="M122" t="s">
        <v>266</v>
      </c>
      <c r="P122" s="1"/>
    </row>
    <row r="123" spans="1:16" x14ac:dyDescent="0.3">
      <c r="A123" t="s">
        <v>198</v>
      </c>
      <c r="B123" t="s">
        <v>201</v>
      </c>
      <c r="C123" t="s">
        <v>202</v>
      </c>
      <c r="D123" t="s">
        <v>153</v>
      </c>
      <c r="E123" t="s">
        <v>188</v>
      </c>
      <c r="F123" t="s">
        <v>189</v>
      </c>
      <c r="I123" s="1">
        <v>42005</v>
      </c>
      <c r="J123" t="s">
        <v>190</v>
      </c>
      <c r="K123" s="1">
        <v>44927</v>
      </c>
      <c r="L123" t="s">
        <v>191</v>
      </c>
      <c r="M123" t="s">
        <v>266</v>
      </c>
      <c r="P123" s="1"/>
    </row>
    <row r="124" spans="1:16" x14ac:dyDescent="0.3">
      <c r="A124" t="s">
        <v>198</v>
      </c>
      <c r="B124" t="s">
        <v>201</v>
      </c>
      <c r="C124" t="s">
        <v>202</v>
      </c>
      <c r="D124" t="s">
        <v>154</v>
      </c>
      <c r="E124" t="s">
        <v>188</v>
      </c>
      <c r="F124" t="s">
        <v>189</v>
      </c>
      <c r="I124" s="1">
        <v>42005</v>
      </c>
      <c r="J124" t="s">
        <v>18</v>
      </c>
      <c r="K124" s="1"/>
      <c r="M124" t="s">
        <v>266</v>
      </c>
      <c r="P124" s="1"/>
    </row>
    <row r="125" spans="1:16" x14ac:dyDescent="0.3">
      <c r="A125" t="s">
        <v>198</v>
      </c>
      <c r="B125" t="s">
        <v>201</v>
      </c>
      <c r="C125" t="s">
        <v>202</v>
      </c>
      <c r="D125" t="s">
        <v>155</v>
      </c>
      <c r="E125" t="s">
        <v>188</v>
      </c>
      <c r="F125" t="s">
        <v>203</v>
      </c>
      <c r="I125" s="1">
        <v>42005</v>
      </c>
      <c r="J125" t="s">
        <v>18</v>
      </c>
      <c r="K125" s="1"/>
      <c r="M125" t="s">
        <v>266</v>
      </c>
      <c r="P125" s="1"/>
    </row>
    <row r="126" spans="1:16" x14ac:dyDescent="0.3">
      <c r="A126" t="s">
        <v>198</v>
      </c>
      <c r="B126" t="s">
        <v>201</v>
      </c>
      <c r="C126" t="s">
        <v>202</v>
      </c>
      <c r="D126" t="s">
        <v>156</v>
      </c>
      <c r="E126" t="s">
        <v>188</v>
      </c>
      <c r="F126" t="s">
        <v>189</v>
      </c>
      <c r="I126" s="1">
        <v>42005</v>
      </c>
      <c r="J126" t="s">
        <v>18</v>
      </c>
      <c r="K126" s="1"/>
      <c r="M126" t="s">
        <v>266</v>
      </c>
      <c r="P126" s="1"/>
    </row>
    <row r="127" spans="1:16" x14ac:dyDescent="0.3">
      <c r="A127" t="s">
        <v>204</v>
      </c>
      <c r="C127" t="s">
        <v>204</v>
      </c>
      <c r="D127" t="s">
        <v>157</v>
      </c>
      <c r="E127" t="s">
        <v>188</v>
      </c>
      <c r="F127" t="s">
        <v>189</v>
      </c>
      <c r="I127" s="1">
        <v>42005</v>
      </c>
      <c r="J127" t="s">
        <v>18</v>
      </c>
      <c r="K127" s="1"/>
      <c r="M127" t="s">
        <v>266</v>
      </c>
      <c r="P127" s="1"/>
    </row>
    <row r="128" spans="1:16" x14ac:dyDescent="0.3">
      <c r="A128" t="s">
        <v>204</v>
      </c>
      <c r="C128" t="s">
        <v>204</v>
      </c>
      <c r="D128" t="s">
        <v>158</v>
      </c>
      <c r="E128" t="s">
        <v>188</v>
      </c>
      <c r="F128" t="s">
        <v>189</v>
      </c>
      <c r="I128" s="1">
        <v>42005</v>
      </c>
      <c r="J128" t="s">
        <v>18</v>
      </c>
      <c r="K128" s="1"/>
      <c r="M128" t="s">
        <v>266</v>
      </c>
      <c r="P128" s="1"/>
    </row>
    <row r="129" spans="1:16" x14ac:dyDescent="0.3">
      <c r="A129" t="s">
        <v>204</v>
      </c>
      <c r="C129" t="s">
        <v>204</v>
      </c>
      <c r="D129" t="s">
        <v>159</v>
      </c>
      <c r="E129" t="s">
        <v>188</v>
      </c>
      <c r="F129" t="s">
        <v>189</v>
      </c>
      <c r="I129" s="1">
        <v>42005</v>
      </c>
      <c r="J129" t="s">
        <v>18</v>
      </c>
      <c r="K129" s="1"/>
      <c r="M129" t="s">
        <v>266</v>
      </c>
      <c r="P129" s="1"/>
    </row>
    <row r="130" spans="1:16" x14ac:dyDescent="0.3">
      <c r="A130" t="s">
        <v>204</v>
      </c>
      <c r="C130" t="s">
        <v>204</v>
      </c>
      <c r="D130" t="s">
        <v>160</v>
      </c>
      <c r="E130" t="s">
        <v>188</v>
      </c>
      <c r="F130" t="s">
        <v>189</v>
      </c>
      <c r="I130" s="1">
        <v>42005</v>
      </c>
      <c r="J130" t="s">
        <v>18</v>
      </c>
      <c r="K130" s="1"/>
      <c r="M130" t="s">
        <v>266</v>
      </c>
      <c r="P130" s="1"/>
    </row>
    <row r="131" spans="1:16" x14ac:dyDescent="0.3">
      <c r="A131" t="s">
        <v>204</v>
      </c>
      <c r="C131" t="s">
        <v>204</v>
      </c>
      <c r="D131" t="s">
        <v>161</v>
      </c>
      <c r="E131" t="s">
        <v>188</v>
      </c>
      <c r="F131" t="s">
        <v>189</v>
      </c>
      <c r="I131" s="1">
        <v>42005</v>
      </c>
      <c r="J131" t="s">
        <v>18</v>
      </c>
      <c r="K131" s="1"/>
      <c r="M131" t="s">
        <v>266</v>
      </c>
      <c r="P131" s="1"/>
    </row>
    <row r="132" spans="1:16" x14ac:dyDescent="0.3">
      <c r="A132" t="s">
        <v>204</v>
      </c>
      <c r="C132" t="s">
        <v>204</v>
      </c>
      <c r="D132" t="s">
        <v>162</v>
      </c>
      <c r="E132" t="s">
        <v>188</v>
      </c>
      <c r="F132" t="s">
        <v>189</v>
      </c>
      <c r="I132" s="1">
        <v>42005</v>
      </c>
      <c r="J132" t="s">
        <v>18</v>
      </c>
      <c r="K132" s="1"/>
      <c r="M132" t="s">
        <v>266</v>
      </c>
      <c r="P132" s="1"/>
    </row>
    <row r="133" spans="1:16" x14ac:dyDescent="0.3">
      <c r="A133" t="s">
        <v>204</v>
      </c>
      <c r="C133" t="s">
        <v>204</v>
      </c>
      <c r="D133" t="s">
        <v>163</v>
      </c>
      <c r="E133" t="s">
        <v>197</v>
      </c>
      <c r="F133" t="s">
        <v>189</v>
      </c>
      <c r="I133" s="1">
        <v>42005</v>
      </c>
      <c r="J133" t="s">
        <v>190</v>
      </c>
      <c r="K133" s="1">
        <v>44927</v>
      </c>
      <c r="L133" t="s">
        <v>191</v>
      </c>
      <c r="M133" t="s">
        <v>266</v>
      </c>
      <c r="P133" s="1"/>
    </row>
    <row r="134" spans="1:16" x14ac:dyDescent="0.3">
      <c r="A134" t="s">
        <v>204</v>
      </c>
      <c r="C134" t="s">
        <v>204</v>
      </c>
      <c r="D134" t="s">
        <v>164</v>
      </c>
      <c r="E134" t="s">
        <v>188</v>
      </c>
      <c r="F134" t="s">
        <v>189</v>
      </c>
      <c r="I134" s="1">
        <v>42005</v>
      </c>
      <c r="J134" t="s">
        <v>18</v>
      </c>
      <c r="K134" s="1"/>
      <c r="M134" t="s">
        <v>266</v>
      </c>
      <c r="P134" s="1"/>
    </row>
    <row r="135" spans="1:16" x14ac:dyDescent="0.3">
      <c r="A135" t="s">
        <v>185</v>
      </c>
      <c r="B135" t="s">
        <v>186</v>
      </c>
      <c r="C135" t="s">
        <v>187</v>
      </c>
      <c r="D135" t="s">
        <v>165</v>
      </c>
      <c r="E135" t="s">
        <v>188</v>
      </c>
      <c r="F135" t="s">
        <v>189</v>
      </c>
      <c r="I135" s="1">
        <v>43658</v>
      </c>
      <c r="J135" t="s">
        <v>18</v>
      </c>
      <c r="K135" s="1"/>
      <c r="M135" t="s">
        <v>266</v>
      </c>
      <c r="P135" s="1"/>
    </row>
    <row r="136" spans="1:16" x14ac:dyDescent="0.3">
      <c r="A136" t="s">
        <v>185</v>
      </c>
      <c r="B136" t="s">
        <v>186</v>
      </c>
      <c r="C136" t="s">
        <v>187</v>
      </c>
      <c r="D136" t="s">
        <v>166</v>
      </c>
      <c r="E136" t="s">
        <v>188</v>
      </c>
      <c r="F136" t="s">
        <v>189</v>
      </c>
      <c r="I136" s="1">
        <v>43658</v>
      </c>
      <c r="J136" t="s">
        <v>18</v>
      </c>
      <c r="K136" s="1"/>
      <c r="M136" t="s">
        <v>266</v>
      </c>
      <c r="P136" s="1"/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22DF13-A65B-4855-AC06-A90B4DEDDC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Chart</vt:lpstr>
      <vt:lpstr>Pivot</vt:lpstr>
      <vt:lpstr>Version</vt:lpstr>
      <vt:lpstr>CL</vt:lpstr>
      <vt:lpstr>CertTracker</vt:lpstr>
      <vt:lpstr>CertDifficulty</vt:lpstr>
      <vt:lpstr>ResourceInfo-Test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jinki</dc:creator>
  <cp:lastModifiedBy>Derek Zhu</cp:lastModifiedBy>
  <dcterms:created xsi:type="dcterms:W3CDTF">2023-05-07T02:24:37Z</dcterms:created>
  <dcterms:modified xsi:type="dcterms:W3CDTF">2025-06-16T23:31:43Z</dcterms:modified>
</cp:coreProperties>
</file>