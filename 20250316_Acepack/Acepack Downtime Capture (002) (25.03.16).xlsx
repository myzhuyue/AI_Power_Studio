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3"/>
  <workbookPr/>
  <mc:AlternateContent xmlns:mc="http://schemas.openxmlformats.org/markup-compatibility/2006">
    <mc:Choice Requires="x15">
      <x15ac:absPath xmlns:x15ac="http://schemas.microsoft.com/office/spreadsheetml/2010/11/ac" url="C:\Users\35790\Desktop\"/>
    </mc:Choice>
  </mc:AlternateContent>
  <xr:revisionPtr revIDLastSave="0" documentId="13_ncr:1_{0F177239-0AEC-43E9-803B-78C1E92BE8A9}" xr6:coauthVersionLast="47" xr6:coauthVersionMax="47" xr10:uidLastSave="{00000000-0000-0000-0000-000000000000}"/>
  <bookViews>
    <workbookView xWindow="-120" yWindow="-120" windowWidth="29040" windowHeight="15720" tabRatio="602" xr2:uid="{00000000-000D-0000-FFFF-FFFF00000000}"/>
  </bookViews>
  <sheets>
    <sheet name="欧塑OEE数据收集表(优化) (2024.02.29)" sheetId="8" r:id="rId1"/>
    <sheet name="Sheet2" sheetId="11" r:id="rId2"/>
  </sheets>
  <externalReferences>
    <externalReference r:id="rId3"/>
  </externalReferences>
  <definedNames>
    <definedName name="format">'[1]Base de données'!$BN$6:$BN$106</definedName>
    <definedName name="Liste">'[1]Base de données'!#REF!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8" l="1"/>
  <c r="R8" i="8"/>
  <c r="R4" i="8"/>
  <c r="R3" i="8"/>
  <c r="I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tc={3161F7EB-A7EA-4E26-9F7D-41214A586A5A}</author>
  </authors>
  <commentList>
    <comment ref="Q1" authorId="0" shapeId="0" xr:uid="{AB41627C-8928-420B-9968-7A0FA5CE10EE}">
      <text>
        <r>
          <rPr>
            <sz val="10"/>
            <rFont val="Arial"/>
          </rPr>
          <t>[线程批注]
你的Excel版本可读取此线程批注; 但如果在更新版本的Excel中打开文件，则对批注所作的任何改动都将被删除。了解详细信息: https://go.microsoft.com/fwlink/?linkid=870924
注释:
    3280*2(总理论产量)/420（总计划时间）</t>
        </r>
      </text>
    </comment>
  </commentList>
</comments>
</file>

<file path=xl/sharedStrings.xml><?xml version="1.0" encoding="utf-8"?>
<sst xmlns="http://schemas.openxmlformats.org/spreadsheetml/2006/main" count="654" uniqueCount="285">
  <si>
    <t>日期（date）</t>
    <phoneticPr fontId="2" type="noConversion"/>
  </si>
  <si>
    <t>班次（shift）</t>
    <phoneticPr fontId="2" type="noConversion"/>
  </si>
  <si>
    <t>设备停止/故障
（Breakdown）</t>
  </si>
  <si>
    <t>工艺问题/产线调整（Process issues）</t>
  </si>
  <si>
    <t>手动检查                       （Manual inspction）</t>
  </si>
  <si>
    <t>等待批准
（Wating for approvals）</t>
  </si>
  <si>
    <t>等待（Waiting）</t>
  </si>
  <si>
    <t>人员短缺                  （Missing people）</t>
  </si>
  <si>
    <t>物料短缺                      （Missing materials）</t>
  </si>
  <si>
    <t>项目停工
（Project downtime）</t>
  </si>
  <si>
    <t>其他（Others）</t>
  </si>
  <si>
    <t>2023.11.24</t>
    <phoneticPr fontId="4" type="noConversion"/>
  </si>
  <si>
    <t>早</t>
    <phoneticPr fontId="4" type="noConversion"/>
  </si>
  <si>
    <r>
      <rPr>
        <b/>
        <sz val="10"/>
        <rFont val="Microsoft YaHei"/>
        <family val="2"/>
        <charset val="134"/>
      </rPr>
      <t>报废（</t>
    </r>
    <r>
      <rPr>
        <b/>
        <sz val="10"/>
        <rFont val="Arial"/>
        <family val="2"/>
      </rPr>
      <t>EA</t>
    </r>
    <r>
      <rPr>
        <b/>
        <sz val="10"/>
        <rFont val="Microsoft YaHei"/>
        <family val="2"/>
        <charset val="134"/>
      </rPr>
      <t>）</t>
    </r>
    <r>
      <rPr>
        <b/>
        <sz val="10"/>
        <rFont val="Arial"/>
        <family val="2"/>
      </rPr>
      <t xml:space="preserve">      </t>
    </r>
    <r>
      <rPr>
        <b/>
        <sz val="10"/>
        <rFont val="Microsoft YaHei"/>
        <family val="2"/>
        <charset val="134"/>
      </rPr>
      <t>（</t>
    </r>
    <r>
      <rPr>
        <b/>
        <sz val="10"/>
        <rFont val="Arial"/>
        <family val="2"/>
      </rPr>
      <t>Reject</t>
    </r>
    <r>
      <rPr>
        <b/>
        <sz val="10"/>
        <rFont val="Microsoft YaHei"/>
        <family val="2"/>
        <charset val="134"/>
      </rPr>
      <t>）</t>
    </r>
    <phoneticPr fontId="4" type="noConversion"/>
  </si>
  <si>
    <r>
      <rPr>
        <b/>
        <sz val="10"/>
        <rFont val="Microsoft YaHei"/>
        <family val="2"/>
        <charset val="134"/>
      </rPr>
      <t>返工</t>
    </r>
    <r>
      <rPr>
        <b/>
        <sz val="10"/>
        <rFont val="Arial"/>
        <family val="2"/>
      </rPr>
      <t xml:space="preserve">(EA)    </t>
    </r>
    <r>
      <rPr>
        <b/>
        <sz val="10"/>
        <rFont val="Microsoft YaHei"/>
        <family val="2"/>
        <charset val="134"/>
      </rPr>
      <t>（</t>
    </r>
    <r>
      <rPr>
        <b/>
        <sz val="10"/>
        <rFont val="Arial"/>
        <family val="2"/>
      </rPr>
      <t>Rework</t>
    </r>
    <r>
      <rPr>
        <b/>
        <sz val="10"/>
        <rFont val="Microsoft YaHei"/>
        <family val="2"/>
        <charset val="134"/>
      </rPr>
      <t>）</t>
    </r>
    <phoneticPr fontId="4" type="noConversion"/>
  </si>
  <si>
    <t>理想运行速度(pieces/min)
（Ideal Run Rate）</t>
    <phoneticPr fontId="4" type="noConversion"/>
  </si>
  <si>
    <t>中</t>
    <phoneticPr fontId="4" type="noConversion"/>
  </si>
  <si>
    <t>2023.11.27</t>
    <phoneticPr fontId="4" type="noConversion"/>
  </si>
  <si>
    <t>日</t>
    <phoneticPr fontId="4" type="noConversion"/>
  </si>
  <si>
    <t>2023.11.28</t>
    <phoneticPr fontId="4" type="noConversion"/>
  </si>
  <si>
    <t>2023.11.29</t>
    <phoneticPr fontId="4" type="noConversion"/>
  </si>
  <si>
    <t>2023.11.30</t>
    <phoneticPr fontId="4" type="noConversion"/>
  </si>
  <si>
    <t>2023.12.01</t>
    <phoneticPr fontId="4" type="noConversion"/>
  </si>
  <si>
    <t>2023.12.02</t>
    <phoneticPr fontId="4" type="noConversion"/>
  </si>
  <si>
    <t>2023.12.04</t>
    <phoneticPr fontId="4" type="noConversion"/>
  </si>
  <si>
    <t>2023.12.05</t>
    <phoneticPr fontId="4" type="noConversion"/>
  </si>
  <si>
    <t>2023.12.08</t>
    <phoneticPr fontId="4" type="noConversion"/>
  </si>
  <si>
    <t>2023.12.09</t>
    <phoneticPr fontId="4" type="noConversion"/>
  </si>
  <si>
    <t>2023.12.06</t>
    <phoneticPr fontId="4" type="noConversion"/>
  </si>
  <si>
    <t>2023.12.07</t>
    <phoneticPr fontId="4" type="noConversion"/>
  </si>
  <si>
    <t>2023.12.11</t>
    <phoneticPr fontId="4" type="noConversion"/>
  </si>
  <si>
    <t>2023.12.12</t>
    <phoneticPr fontId="4" type="noConversion"/>
  </si>
  <si>
    <t>2024.01.08</t>
    <phoneticPr fontId="4" type="noConversion"/>
  </si>
  <si>
    <t>2024.01.02</t>
    <phoneticPr fontId="4" type="noConversion"/>
  </si>
  <si>
    <t>2024.01.03</t>
    <phoneticPr fontId="4" type="noConversion"/>
  </si>
  <si>
    <t>2024.01.04</t>
    <phoneticPr fontId="4" type="noConversion"/>
  </si>
  <si>
    <t>2024.01.05</t>
  </si>
  <si>
    <t>2024.01.10</t>
    <phoneticPr fontId="4" type="noConversion"/>
  </si>
  <si>
    <t>2024.01.17</t>
    <phoneticPr fontId="4" type="noConversion"/>
  </si>
  <si>
    <t>2024.01.18</t>
    <phoneticPr fontId="4" type="noConversion"/>
  </si>
  <si>
    <t>2024.01.22</t>
    <phoneticPr fontId="4" type="noConversion"/>
  </si>
  <si>
    <t>2024.01.09</t>
    <phoneticPr fontId="4" type="noConversion"/>
  </si>
  <si>
    <t>2024.01.11</t>
    <phoneticPr fontId="4" type="noConversion"/>
  </si>
  <si>
    <t>2024.01.12</t>
    <phoneticPr fontId="4" type="noConversion"/>
  </si>
  <si>
    <t>2024.01.15</t>
    <phoneticPr fontId="4" type="noConversion"/>
  </si>
  <si>
    <t>2024.01.16</t>
    <phoneticPr fontId="4" type="noConversion"/>
  </si>
  <si>
    <t>2024.01.23</t>
    <phoneticPr fontId="4" type="noConversion"/>
  </si>
  <si>
    <t>2024.01.24</t>
    <phoneticPr fontId="4" type="noConversion"/>
  </si>
  <si>
    <t>2024.01.25</t>
    <phoneticPr fontId="4" type="noConversion"/>
  </si>
  <si>
    <t>2024.01.26</t>
    <phoneticPr fontId="4" type="noConversion"/>
  </si>
  <si>
    <t>2024.01.29</t>
    <phoneticPr fontId="4" type="noConversion"/>
  </si>
  <si>
    <t>2024.01.30</t>
    <phoneticPr fontId="4" type="noConversion"/>
  </si>
  <si>
    <t>2024.01.31</t>
    <phoneticPr fontId="4" type="noConversion"/>
  </si>
  <si>
    <t>2024.02.01</t>
    <phoneticPr fontId="4" type="noConversion"/>
  </si>
  <si>
    <t>2024.02.04</t>
    <phoneticPr fontId="4" type="noConversion"/>
  </si>
  <si>
    <t>2024.02.05</t>
    <phoneticPr fontId="4" type="noConversion"/>
  </si>
  <si>
    <t>2024.02.21</t>
    <phoneticPr fontId="4" type="noConversion"/>
  </si>
  <si>
    <t>日</t>
    <phoneticPr fontId="4" type="noConversion"/>
  </si>
  <si>
    <t>2024.02.22</t>
    <phoneticPr fontId="4" type="noConversion"/>
  </si>
  <si>
    <t>2024.02.23</t>
    <phoneticPr fontId="4" type="noConversion"/>
  </si>
  <si>
    <t>2024.02.26</t>
    <phoneticPr fontId="4" type="noConversion"/>
  </si>
  <si>
    <t>2024.02.27</t>
    <phoneticPr fontId="4" type="noConversion"/>
  </si>
  <si>
    <t>2024.02.28</t>
  </si>
  <si>
    <t>2024.02.29</t>
  </si>
  <si>
    <t>2024.03.01</t>
    <phoneticPr fontId="4" type="noConversion"/>
  </si>
  <si>
    <t>合格产品（Good Pieces）（入库量+取样量）</t>
    <phoneticPr fontId="4" type="noConversion"/>
  </si>
  <si>
    <t>产品</t>
    <phoneticPr fontId="4" type="noConversion"/>
  </si>
  <si>
    <r>
      <t>TPM(</t>
    </r>
    <r>
      <rPr>
        <b/>
        <sz val="10"/>
        <rFont val="DengXian"/>
        <family val="2"/>
        <charset val="134"/>
      </rPr>
      <t>点检</t>
    </r>
    <r>
      <rPr>
        <b/>
        <sz val="10"/>
        <rFont val="Arial"/>
        <family val="2"/>
      </rPr>
      <t>)</t>
    </r>
    <phoneticPr fontId="4" type="noConversion"/>
  </si>
  <si>
    <t>周期切换（清场或装设备）（Cleaning）</t>
    <phoneticPr fontId="4" type="noConversion"/>
  </si>
  <si>
    <t>批切换时间（changeover）</t>
    <phoneticPr fontId="4" type="noConversion"/>
  </si>
  <si>
    <t>吃饭+休息时间（meal break+short break）</t>
    <phoneticPr fontId="4" type="noConversion"/>
  </si>
  <si>
    <t>2024.03.04</t>
    <phoneticPr fontId="4" type="noConversion"/>
  </si>
  <si>
    <t>2024.03.05</t>
    <phoneticPr fontId="4" type="noConversion"/>
  </si>
  <si>
    <t>2024.03.06</t>
  </si>
  <si>
    <t>2024.03.07</t>
  </si>
  <si>
    <t>2024.03.08</t>
  </si>
  <si>
    <t>2024.03.11</t>
    <phoneticPr fontId="4" type="noConversion"/>
  </si>
  <si>
    <t>2024.03.12</t>
    <phoneticPr fontId="4" type="noConversion"/>
  </si>
  <si>
    <t>2024.03.13</t>
  </si>
  <si>
    <t>2024.03.14</t>
  </si>
  <si>
    <t>2024.03.15</t>
  </si>
  <si>
    <t>2024.03.18</t>
    <phoneticPr fontId="4" type="noConversion"/>
  </si>
  <si>
    <t>2024.03.19</t>
  </si>
  <si>
    <t>2024.04.09</t>
    <phoneticPr fontId="4" type="noConversion"/>
  </si>
  <si>
    <r>
      <t>1.</t>
    </r>
    <r>
      <rPr>
        <sz val="10"/>
        <rFont val="DengXian"/>
        <family val="2"/>
        <charset val="134"/>
      </rPr>
      <t>箱子变形，长边为</t>
    </r>
    <r>
      <rPr>
        <sz val="10"/>
        <rFont val="Arial"/>
        <family val="2"/>
      </rPr>
      <t>C</t>
    </r>
    <r>
      <rPr>
        <sz val="10"/>
        <rFont val="DengXian"/>
        <family val="2"/>
        <charset val="134"/>
      </rPr>
      <t>字形
2.检重称的长度调节，初始长度为300左右，调整至400.
3.填充量的参数设置需要固化
4.下面挡杆问题</t>
    </r>
    <phoneticPr fontId="4" type="noConversion"/>
  </si>
  <si>
    <t>2024.04.10</t>
    <phoneticPr fontId="4" type="noConversion"/>
  </si>
  <si>
    <t>中</t>
    <phoneticPr fontId="4" type="noConversion"/>
  </si>
  <si>
    <t>2024.04.11</t>
    <phoneticPr fontId="4" type="noConversion"/>
  </si>
  <si>
    <t>2024.04.12</t>
    <phoneticPr fontId="4" type="noConversion"/>
  </si>
  <si>
    <t>早</t>
    <phoneticPr fontId="4" type="noConversion"/>
  </si>
  <si>
    <t>中</t>
    <phoneticPr fontId="4" type="noConversion"/>
  </si>
  <si>
    <t>2024.04.18</t>
    <phoneticPr fontId="4" type="noConversion"/>
  </si>
  <si>
    <t>2024.04.19</t>
    <phoneticPr fontId="4" type="noConversion"/>
  </si>
  <si>
    <t>2024.04.22</t>
    <phoneticPr fontId="4" type="noConversion"/>
  </si>
  <si>
    <t>2024.04.23</t>
    <phoneticPr fontId="4" type="noConversion"/>
  </si>
  <si>
    <t>2024.04.24</t>
    <phoneticPr fontId="4" type="noConversion"/>
  </si>
  <si>
    <t>2024.04.25</t>
    <phoneticPr fontId="4" type="noConversion"/>
  </si>
  <si>
    <t>2024.05.15</t>
    <phoneticPr fontId="4" type="noConversion"/>
  </si>
  <si>
    <t>2024.05.16</t>
    <phoneticPr fontId="4" type="noConversion"/>
  </si>
  <si>
    <t>2024.05.17</t>
    <phoneticPr fontId="4" type="noConversion"/>
  </si>
  <si>
    <t>忠</t>
    <phoneticPr fontId="4" type="noConversion"/>
  </si>
  <si>
    <t>2024.04.26</t>
    <phoneticPr fontId="4" type="noConversion"/>
  </si>
  <si>
    <t>2024.05.20</t>
    <phoneticPr fontId="4" type="noConversion"/>
  </si>
  <si>
    <t>2024.05.21</t>
    <phoneticPr fontId="4" type="noConversion"/>
  </si>
  <si>
    <t>2024.05.22</t>
    <phoneticPr fontId="4" type="noConversion"/>
  </si>
  <si>
    <t>2024.05.23</t>
    <phoneticPr fontId="4" type="noConversion"/>
  </si>
  <si>
    <t>2024.05.24</t>
    <phoneticPr fontId="4" type="noConversion"/>
  </si>
  <si>
    <t>2024.06.03</t>
    <phoneticPr fontId="4" type="noConversion"/>
  </si>
  <si>
    <t>2024.06.04</t>
    <phoneticPr fontId="4" type="noConversion"/>
  </si>
  <si>
    <t>2024.06.05</t>
    <phoneticPr fontId="4" type="noConversion"/>
  </si>
  <si>
    <t>2024.06.06</t>
    <phoneticPr fontId="4" type="noConversion"/>
  </si>
  <si>
    <t>2024.06.07</t>
    <phoneticPr fontId="4" type="noConversion"/>
  </si>
  <si>
    <t>日</t>
    <phoneticPr fontId="4" type="noConversion"/>
  </si>
  <si>
    <t>早</t>
    <phoneticPr fontId="4" type="noConversion"/>
  </si>
  <si>
    <t>2024.06.13</t>
    <phoneticPr fontId="4" type="noConversion"/>
  </si>
  <si>
    <t>日</t>
    <phoneticPr fontId="4" type="noConversion"/>
  </si>
  <si>
    <t>2024.06.14</t>
    <phoneticPr fontId="4" type="noConversion"/>
  </si>
  <si>
    <t>早</t>
    <phoneticPr fontId="4" type="noConversion"/>
  </si>
  <si>
    <t>中</t>
    <phoneticPr fontId="4" type="noConversion"/>
  </si>
  <si>
    <t>2024.06.17</t>
    <phoneticPr fontId="4" type="noConversion"/>
  </si>
  <si>
    <t>日</t>
    <phoneticPr fontId="4" type="noConversion"/>
  </si>
  <si>
    <t>2024.06.18</t>
    <phoneticPr fontId="4" type="noConversion"/>
  </si>
  <si>
    <t>2024.06.19</t>
    <phoneticPr fontId="4" type="noConversion"/>
  </si>
  <si>
    <t>日</t>
    <phoneticPr fontId="4" type="noConversion"/>
  </si>
  <si>
    <t>2024.06.20</t>
    <phoneticPr fontId="4" type="noConversion"/>
  </si>
  <si>
    <t>早</t>
    <phoneticPr fontId="4" type="noConversion"/>
  </si>
  <si>
    <t>中</t>
    <phoneticPr fontId="4" type="noConversion"/>
  </si>
  <si>
    <t>2024.06.21</t>
    <phoneticPr fontId="4" type="noConversion"/>
  </si>
  <si>
    <t>2024.06.24</t>
    <phoneticPr fontId="4" type="noConversion"/>
  </si>
  <si>
    <t>早</t>
    <phoneticPr fontId="4" type="noConversion"/>
  </si>
  <si>
    <t>中</t>
    <phoneticPr fontId="4" type="noConversion"/>
  </si>
  <si>
    <t>2024.06.25</t>
    <phoneticPr fontId="4" type="noConversion"/>
  </si>
  <si>
    <t>早</t>
    <phoneticPr fontId="4" type="noConversion"/>
  </si>
  <si>
    <t>中</t>
    <phoneticPr fontId="4" type="noConversion"/>
  </si>
  <si>
    <t>2024.06.26</t>
    <phoneticPr fontId="4" type="noConversion"/>
  </si>
  <si>
    <t>2024.06.27</t>
    <phoneticPr fontId="4" type="noConversion"/>
  </si>
  <si>
    <t>2024.06.28</t>
    <phoneticPr fontId="4" type="noConversion"/>
  </si>
  <si>
    <t>2024.07.01</t>
    <phoneticPr fontId="4" type="noConversion"/>
  </si>
  <si>
    <t>2024.07.02</t>
    <phoneticPr fontId="4" type="noConversion"/>
  </si>
  <si>
    <t>2024.07.03</t>
    <phoneticPr fontId="4" type="noConversion"/>
  </si>
  <si>
    <t>2024.07.04</t>
    <phoneticPr fontId="4" type="noConversion"/>
  </si>
  <si>
    <t>2024.07.05</t>
    <phoneticPr fontId="4" type="noConversion"/>
  </si>
  <si>
    <t>2024.07.22</t>
    <phoneticPr fontId="4" type="noConversion"/>
  </si>
  <si>
    <t>早</t>
    <phoneticPr fontId="4" type="noConversion"/>
  </si>
  <si>
    <t>2024.07.23</t>
    <phoneticPr fontId="4" type="noConversion"/>
  </si>
  <si>
    <t>2024.07.24</t>
    <phoneticPr fontId="4" type="noConversion"/>
  </si>
  <si>
    <t>2024.07.25</t>
    <phoneticPr fontId="4" type="noConversion"/>
  </si>
  <si>
    <t>2024.07.26</t>
    <phoneticPr fontId="4" type="noConversion"/>
  </si>
  <si>
    <t>2024.07.27</t>
    <phoneticPr fontId="4" type="noConversion"/>
  </si>
  <si>
    <t>2024.07.29</t>
    <phoneticPr fontId="4" type="noConversion"/>
  </si>
  <si>
    <t>早</t>
    <phoneticPr fontId="4" type="noConversion"/>
  </si>
  <si>
    <t>2024.07.30</t>
    <phoneticPr fontId="4" type="noConversion"/>
  </si>
  <si>
    <t>2024.07.31</t>
    <phoneticPr fontId="4" type="noConversion"/>
  </si>
  <si>
    <t>2024.08.01</t>
    <phoneticPr fontId="4" type="noConversion"/>
  </si>
  <si>
    <t>2024.08.02</t>
    <phoneticPr fontId="4" type="noConversion"/>
  </si>
  <si>
    <t>早</t>
    <phoneticPr fontId="4" type="noConversion"/>
  </si>
  <si>
    <t>2024.08.26</t>
    <phoneticPr fontId="4" type="noConversion"/>
  </si>
  <si>
    <t>2024.08.27</t>
    <phoneticPr fontId="4" type="noConversion"/>
  </si>
  <si>
    <t>2024.08.28</t>
    <phoneticPr fontId="4" type="noConversion"/>
  </si>
  <si>
    <t>2024.08.29</t>
    <phoneticPr fontId="4" type="noConversion"/>
  </si>
  <si>
    <t>2024.08.30</t>
    <phoneticPr fontId="4" type="noConversion"/>
  </si>
  <si>
    <t>2024.08.31</t>
    <phoneticPr fontId="4" type="noConversion"/>
  </si>
  <si>
    <t>2024.09.02</t>
    <phoneticPr fontId="4" type="noConversion"/>
  </si>
  <si>
    <t>2024.09.03</t>
    <phoneticPr fontId="4" type="noConversion"/>
  </si>
  <si>
    <t>2024.09.04</t>
    <phoneticPr fontId="4" type="noConversion"/>
  </si>
  <si>
    <t>2024.09.05</t>
    <phoneticPr fontId="4" type="noConversion"/>
  </si>
  <si>
    <t>2024.09.06</t>
    <phoneticPr fontId="4" type="noConversion"/>
  </si>
  <si>
    <t>2024.09.07</t>
    <phoneticPr fontId="4" type="noConversion"/>
  </si>
  <si>
    <t>2024.09.10</t>
    <phoneticPr fontId="4" type="noConversion"/>
  </si>
  <si>
    <t>2024.09.11</t>
    <phoneticPr fontId="4" type="noConversion"/>
  </si>
  <si>
    <t>2024.09.09</t>
    <phoneticPr fontId="4" type="noConversion"/>
  </si>
  <si>
    <t>2024.09.13</t>
    <phoneticPr fontId="4" type="noConversion"/>
  </si>
  <si>
    <t>日</t>
    <phoneticPr fontId="4" type="noConversion"/>
  </si>
  <si>
    <t>2024.09.14</t>
    <phoneticPr fontId="4" type="noConversion"/>
  </si>
  <si>
    <t>2024.09.18</t>
    <phoneticPr fontId="4" type="noConversion"/>
  </si>
  <si>
    <t>2024.09.19</t>
    <phoneticPr fontId="4" type="noConversion"/>
  </si>
  <si>
    <t>2024.09.20</t>
    <phoneticPr fontId="4" type="noConversion"/>
  </si>
  <si>
    <t>早</t>
    <phoneticPr fontId="4" type="noConversion"/>
  </si>
  <si>
    <t>中</t>
    <phoneticPr fontId="4" type="noConversion"/>
  </si>
  <si>
    <t>2024.09.23</t>
    <phoneticPr fontId="4" type="noConversion"/>
  </si>
  <si>
    <t>2024.09.24</t>
    <phoneticPr fontId="4" type="noConversion"/>
  </si>
  <si>
    <t>2024.09.25</t>
    <phoneticPr fontId="4" type="noConversion"/>
  </si>
  <si>
    <t>2024.09.26</t>
    <phoneticPr fontId="4" type="noConversion"/>
  </si>
  <si>
    <t>2024.09.27</t>
    <phoneticPr fontId="4" type="noConversion"/>
  </si>
  <si>
    <t>2024.09.28</t>
    <phoneticPr fontId="4" type="noConversion"/>
  </si>
  <si>
    <t>2024.10.07</t>
    <phoneticPr fontId="4" type="noConversion"/>
  </si>
  <si>
    <t>2024.10.08</t>
    <phoneticPr fontId="4" type="noConversion"/>
  </si>
  <si>
    <t>2024.10.09</t>
    <phoneticPr fontId="4" type="noConversion"/>
  </si>
  <si>
    <t>2024.10.10</t>
    <phoneticPr fontId="4" type="noConversion"/>
  </si>
  <si>
    <t>2024.10.11</t>
    <phoneticPr fontId="4" type="noConversion"/>
  </si>
  <si>
    <t>2024.10.12</t>
    <phoneticPr fontId="4" type="noConversion"/>
  </si>
  <si>
    <t>2024.10.14</t>
    <phoneticPr fontId="4" type="noConversion"/>
  </si>
  <si>
    <t>2024.10.15</t>
    <phoneticPr fontId="4" type="noConversion"/>
  </si>
  <si>
    <t>中</t>
    <phoneticPr fontId="4" type="noConversion"/>
  </si>
  <si>
    <t>2024.11.01</t>
    <phoneticPr fontId="4" type="noConversion"/>
  </si>
  <si>
    <t>早</t>
    <phoneticPr fontId="4" type="noConversion"/>
  </si>
  <si>
    <t>2024.11.02</t>
    <phoneticPr fontId="4" type="noConversion"/>
  </si>
  <si>
    <t>中</t>
    <phoneticPr fontId="4" type="noConversion"/>
  </si>
  <si>
    <t>2024.11.04</t>
    <phoneticPr fontId="4" type="noConversion"/>
  </si>
  <si>
    <t>日</t>
    <phoneticPr fontId="4" type="noConversion"/>
  </si>
  <si>
    <t>2024.11.05</t>
    <phoneticPr fontId="4" type="noConversion"/>
  </si>
  <si>
    <t>2024.11.06</t>
    <phoneticPr fontId="4" type="noConversion"/>
  </si>
  <si>
    <t>早</t>
    <phoneticPr fontId="4" type="noConversion"/>
  </si>
  <si>
    <t>中</t>
    <phoneticPr fontId="4" type="noConversion"/>
  </si>
  <si>
    <t>2024.11.07</t>
    <phoneticPr fontId="4" type="noConversion"/>
  </si>
  <si>
    <t>2024.11.08</t>
    <phoneticPr fontId="4" type="noConversion"/>
  </si>
  <si>
    <t>2024.11.09</t>
    <phoneticPr fontId="4" type="noConversion"/>
  </si>
  <si>
    <t>2024.11.11</t>
    <phoneticPr fontId="4" type="noConversion"/>
  </si>
  <si>
    <t>日</t>
    <phoneticPr fontId="4" type="noConversion"/>
  </si>
  <si>
    <t>2024.11.12</t>
    <phoneticPr fontId="4" type="noConversion"/>
  </si>
  <si>
    <t>2024.11.13</t>
    <phoneticPr fontId="4" type="noConversion"/>
  </si>
  <si>
    <t>2024.11.14</t>
    <phoneticPr fontId="4" type="noConversion"/>
  </si>
  <si>
    <t>日</t>
    <phoneticPr fontId="4" type="noConversion"/>
  </si>
  <si>
    <t>2024.11.15</t>
    <phoneticPr fontId="4" type="noConversion"/>
  </si>
  <si>
    <t>早</t>
    <phoneticPr fontId="4" type="noConversion"/>
  </si>
  <si>
    <t>中</t>
    <phoneticPr fontId="4" type="noConversion"/>
  </si>
  <si>
    <t>2024.11.16</t>
    <phoneticPr fontId="4" type="noConversion"/>
  </si>
  <si>
    <t>2024.11.18</t>
    <phoneticPr fontId="4" type="noConversion"/>
  </si>
  <si>
    <t>2024.11.19</t>
    <phoneticPr fontId="4" type="noConversion"/>
  </si>
  <si>
    <t>2024.11.20</t>
    <phoneticPr fontId="4" type="noConversion"/>
  </si>
  <si>
    <t>2024.11.21</t>
    <phoneticPr fontId="4" type="noConversion"/>
  </si>
  <si>
    <t>2024.11.22</t>
    <phoneticPr fontId="4" type="noConversion"/>
  </si>
  <si>
    <t>2024.11.23</t>
    <phoneticPr fontId="4" type="noConversion"/>
  </si>
  <si>
    <t>日</t>
    <phoneticPr fontId="4" type="noConversion"/>
  </si>
  <si>
    <t>中</t>
    <phoneticPr fontId="4" type="noConversion"/>
  </si>
  <si>
    <t>2024.11.25</t>
    <phoneticPr fontId="4" type="noConversion"/>
  </si>
  <si>
    <t>2024.11.26</t>
    <phoneticPr fontId="4" type="noConversion"/>
  </si>
  <si>
    <t>2024.12.19</t>
    <phoneticPr fontId="4" type="noConversion"/>
  </si>
  <si>
    <t>日</t>
    <phoneticPr fontId="4" type="noConversion"/>
  </si>
  <si>
    <t>2024.12.20</t>
    <phoneticPr fontId="4" type="noConversion"/>
  </si>
  <si>
    <t>2024.12.21</t>
    <phoneticPr fontId="4" type="noConversion"/>
  </si>
  <si>
    <t>2024.12.23</t>
    <phoneticPr fontId="4" type="noConversion"/>
  </si>
  <si>
    <t>2024.12.24</t>
    <phoneticPr fontId="4" type="noConversion"/>
  </si>
  <si>
    <t>2025.01.08</t>
    <phoneticPr fontId="4" type="noConversion"/>
  </si>
  <si>
    <t>日</t>
    <phoneticPr fontId="4" type="noConversion"/>
  </si>
  <si>
    <t>2025.01.09</t>
    <phoneticPr fontId="4" type="noConversion"/>
  </si>
  <si>
    <t>2025.01.10</t>
    <phoneticPr fontId="4" type="noConversion"/>
  </si>
  <si>
    <t>2025.01.11</t>
    <phoneticPr fontId="4" type="noConversion"/>
  </si>
  <si>
    <t>2025.01.13</t>
    <phoneticPr fontId="4" type="noConversion"/>
  </si>
  <si>
    <t>2025.01.14</t>
    <phoneticPr fontId="4" type="noConversion"/>
  </si>
  <si>
    <t>2025.01.15</t>
    <phoneticPr fontId="4" type="noConversion"/>
  </si>
  <si>
    <t>2025.01.16</t>
    <phoneticPr fontId="4" type="noConversion"/>
  </si>
  <si>
    <t>2025.01.17</t>
    <phoneticPr fontId="4" type="noConversion"/>
  </si>
  <si>
    <t>2025.01.18</t>
    <phoneticPr fontId="4" type="noConversion"/>
  </si>
  <si>
    <t>早</t>
    <phoneticPr fontId="4" type="noConversion"/>
  </si>
  <si>
    <t>2025.01.20</t>
    <phoneticPr fontId="4" type="noConversion"/>
  </si>
  <si>
    <t>2025.01.21</t>
    <phoneticPr fontId="4" type="noConversion"/>
  </si>
  <si>
    <t>2025.01.22</t>
    <phoneticPr fontId="4" type="noConversion"/>
  </si>
  <si>
    <t>2025.01.23</t>
    <phoneticPr fontId="4" type="noConversion"/>
  </si>
  <si>
    <t>日</t>
    <phoneticPr fontId="4" type="noConversion"/>
  </si>
  <si>
    <t>早</t>
    <phoneticPr fontId="4" type="noConversion"/>
  </si>
  <si>
    <t>中</t>
    <phoneticPr fontId="4" type="noConversion"/>
  </si>
  <si>
    <t>2025.01.24</t>
    <phoneticPr fontId="4" type="noConversion"/>
  </si>
  <si>
    <t>2025.02.14</t>
    <phoneticPr fontId="4" type="noConversion"/>
  </si>
  <si>
    <t>日</t>
    <phoneticPr fontId="4" type="noConversion"/>
  </si>
  <si>
    <t>2025.02.15</t>
    <phoneticPr fontId="4" type="noConversion"/>
  </si>
  <si>
    <t>早</t>
    <phoneticPr fontId="4" type="noConversion"/>
  </si>
  <si>
    <t>中</t>
    <phoneticPr fontId="4" type="noConversion"/>
  </si>
  <si>
    <t>2025.02.17</t>
    <phoneticPr fontId="4" type="noConversion"/>
  </si>
  <si>
    <t>日</t>
    <phoneticPr fontId="4" type="noConversion"/>
  </si>
  <si>
    <t>2025.02.18</t>
  </si>
  <si>
    <t>2025.02.19</t>
  </si>
  <si>
    <t>2025.02.20</t>
  </si>
  <si>
    <t>2025.02.21</t>
  </si>
  <si>
    <t>2025.02.22</t>
  </si>
  <si>
    <t>2025.02.24</t>
  </si>
  <si>
    <t>早</t>
  </si>
  <si>
    <t>2025.02.25</t>
    <phoneticPr fontId="4" type="noConversion"/>
  </si>
  <si>
    <t>2025.02.26</t>
    <phoneticPr fontId="4" type="noConversion"/>
  </si>
  <si>
    <t>2025.02.27</t>
    <phoneticPr fontId="4" type="noConversion"/>
  </si>
  <si>
    <t>2025.02.28</t>
    <phoneticPr fontId="4" type="noConversion"/>
  </si>
  <si>
    <t>2025.03.01</t>
    <phoneticPr fontId="4" type="noConversion"/>
  </si>
  <si>
    <t>中</t>
    <phoneticPr fontId="4" type="noConversion"/>
  </si>
  <si>
    <t>2025.03.03</t>
  </si>
  <si>
    <t>2025.03.04</t>
  </si>
  <si>
    <t>2025.03.05</t>
  </si>
  <si>
    <t>2025.03.06</t>
  </si>
  <si>
    <t>2025.03.07</t>
  </si>
  <si>
    <t>2025.03.08</t>
  </si>
  <si>
    <t>2025.03.10</t>
  </si>
  <si>
    <t>2025.03.11</t>
  </si>
  <si>
    <t>2025.03.12</t>
  </si>
  <si>
    <t>2025.03.13</t>
  </si>
  <si>
    <t>2025.03.14</t>
  </si>
  <si>
    <t>2025.03.15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</si>
</sst>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_);[Red]\(0\)"/>
    <numFmt numFmtId="179" formatCode="0.0_ "/>
  </numFmts>
  <fonts count="10">
    <font>
      <sz val="10"/>
      <name val="Arial"/>
    </font>
    <font>
      <sz val="11"/>
      <color theme="1"/>
      <name val="等线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DengXian"/>
      <family val="3"/>
      <charset val="134"/>
    </font>
    <font>
      <sz val="10"/>
      <name val="DengXian"/>
      <family val="2"/>
      <charset val="134"/>
    </font>
    <font>
      <b/>
      <sz val="10"/>
      <name val="Microsoft YaHei"/>
      <family val="2"/>
      <charset val="134"/>
    </font>
    <font>
      <b/>
      <sz val="10"/>
      <name val="Arial"/>
      <family val="2"/>
      <charset val="134"/>
    </font>
    <font>
      <b/>
      <sz val="10"/>
      <name val="DengXian"/>
      <family val="2"/>
      <charset val="134"/>
    </font>
    <font>
      <sz val="10"/>
      <name val="Arial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79" fontId="2" fillId="0" borderId="1" xfId="0" applyNumberFormat="1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178" fontId="8" fillId="6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</cellXfs>
  <cellStyles count="3">
    <cellStyle name="Normal 2" xfId="2" xr:uid="{00000000-0005-0000-0000-000001000000}"/>
    <cellStyle name="Normal_RS vierge Laques A (à prendre à chaque début de mois)" xfId="1" xr:uid="{00000000-0005-0000-0000-000002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5" Type="http://schemas.microsoft.com/office/2017/10/relationships/person" Target="persons/person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OEE</a:t>
            </a:r>
          </a:p>
        </c:rich>
      </c:tx>
      <c:layout>
        <c:manualLayout>
          <c:xMode val="edge"/>
          <c:yMode val="edge"/>
          <c:x val="0.44307130358705149"/>
          <c:y val="6.4739848695383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Date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'欧塑OEE数据收集表(优化) (2024.02.29)'!$A$2:$A$76</c:f>
              <c:strCache>
                <c:ptCount val="75"/>
                <c:pt idx="0">
                  <c:v>2023.11.24</c:v>
                </c:pt>
                <c:pt idx="1">
                  <c:v>2023.11.24</c:v>
                </c:pt>
                <c:pt idx="2">
                  <c:v>2023.11.27</c:v>
                </c:pt>
                <c:pt idx="3">
                  <c:v>2023.11.28</c:v>
                </c:pt>
                <c:pt idx="4">
                  <c:v>2023.11.29</c:v>
                </c:pt>
                <c:pt idx="5">
                  <c:v>2023.11.29</c:v>
                </c:pt>
                <c:pt idx="6">
                  <c:v>2023.11.30</c:v>
                </c:pt>
                <c:pt idx="7">
                  <c:v>2023.11.30</c:v>
                </c:pt>
                <c:pt idx="8">
                  <c:v>2023.12.01</c:v>
                </c:pt>
                <c:pt idx="9">
                  <c:v>2023.12.01</c:v>
                </c:pt>
                <c:pt idx="10">
                  <c:v>2023.12.02</c:v>
                </c:pt>
                <c:pt idx="11">
                  <c:v>2023.12.02</c:v>
                </c:pt>
                <c:pt idx="12">
                  <c:v>2023.12.04</c:v>
                </c:pt>
                <c:pt idx="13">
                  <c:v>2023.12.04</c:v>
                </c:pt>
                <c:pt idx="14">
                  <c:v>2023.12.05</c:v>
                </c:pt>
                <c:pt idx="15">
                  <c:v>2023.12.05</c:v>
                </c:pt>
                <c:pt idx="16">
                  <c:v>2023.12.06</c:v>
                </c:pt>
                <c:pt idx="17">
                  <c:v>2023.12.07</c:v>
                </c:pt>
                <c:pt idx="18">
                  <c:v>2023.12.07</c:v>
                </c:pt>
                <c:pt idx="19">
                  <c:v>2023.12.08</c:v>
                </c:pt>
                <c:pt idx="20">
                  <c:v>2023.12.08</c:v>
                </c:pt>
                <c:pt idx="21">
                  <c:v>2023.12.09</c:v>
                </c:pt>
                <c:pt idx="22">
                  <c:v>2023.12.09</c:v>
                </c:pt>
                <c:pt idx="23">
                  <c:v>2023.12.11</c:v>
                </c:pt>
                <c:pt idx="24">
                  <c:v>2023.12.11</c:v>
                </c:pt>
                <c:pt idx="25">
                  <c:v>2023.12.12</c:v>
                </c:pt>
                <c:pt idx="26">
                  <c:v>2024.01.02</c:v>
                </c:pt>
                <c:pt idx="27">
                  <c:v>2024.01.03</c:v>
                </c:pt>
                <c:pt idx="28">
                  <c:v>2024.01.04</c:v>
                </c:pt>
                <c:pt idx="29">
                  <c:v>2024.01.05</c:v>
                </c:pt>
                <c:pt idx="30">
                  <c:v>2024.01.08</c:v>
                </c:pt>
                <c:pt idx="31">
                  <c:v>2024.01.09</c:v>
                </c:pt>
                <c:pt idx="32">
                  <c:v>2024.01.10</c:v>
                </c:pt>
                <c:pt idx="33">
                  <c:v>2024.01.11</c:v>
                </c:pt>
                <c:pt idx="34">
                  <c:v>2024.01.12</c:v>
                </c:pt>
                <c:pt idx="35">
                  <c:v>2024.01.15</c:v>
                </c:pt>
                <c:pt idx="36">
                  <c:v>2024.01.16</c:v>
                </c:pt>
                <c:pt idx="37">
                  <c:v>2024.01.17</c:v>
                </c:pt>
                <c:pt idx="38">
                  <c:v>2024.01.18</c:v>
                </c:pt>
                <c:pt idx="39">
                  <c:v>2024.01.22</c:v>
                </c:pt>
                <c:pt idx="40">
                  <c:v>2024.01.23</c:v>
                </c:pt>
                <c:pt idx="41">
                  <c:v>2024.01.24</c:v>
                </c:pt>
                <c:pt idx="42">
                  <c:v>2024.01.25</c:v>
                </c:pt>
                <c:pt idx="43">
                  <c:v>2024.01.26</c:v>
                </c:pt>
                <c:pt idx="44">
                  <c:v>2024.01.29</c:v>
                </c:pt>
                <c:pt idx="45">
                  <c:v>2024.01.30</c:v>
                </c:pt>
                <c:pt idx="46">
                  <c:v>2024.01.31</c:v>
                </c:pt>
                <c:pt idx="47">
                  <c:v>2024.02.01</c:v>
                </c:pt>
                <c:pt idx="48">
                  <c:v>2024.02.04</c:v>
                </c:pt>
                <c:pt idx="49">
                  <c:v>2024.02.05</c:v>
                </c:pt>
                <c:pt idx="50">
                  <c:v>2024.02.21</c:v>
                </c:pt>
                <c:pt idx="51">
                  <c:v>2024.02.22</c:v>
                </c:pt>
                <c:pt idx="52">
                  <c:v>2024.02.23</c:v>
                </c:pt>
                <c:pt idx="53">
                  <c:v>2024.02.26</c:v>
                </c:pt>
                <c:pt idx="54">
                  <c:v>2024.02.27</c:v>
                </c:pt>
                <c:pt idx="55">
                  <c:v>2024.02.28</c:v>
                </c:pt>
                <c:pt idx="56">
                  <c:v>2024.02.29</c:v>
                </c:pt>
                <c:pt idx="57">
                  <c:v>2024.03.01</c:v>
                </c:pt>
                <c:pt idx="58">
                  <c:v>2024.03.04</c:v>
                </c:pt>
                <c:pt idx="59">
                  <c:v>2024.03.05</c:v>
                </c:pt>
                <c:pt idx="60">
                  <c:v>2024.03.06</c:v>
                </c:pt>
                <c:pt idx="61">
                  <c:v>2024.03.07</c:v>
                </c:pt>
                <c:pt idx="62">
                  <c:v>2024.03.08</c:v>
                </c:pt>
                <c:pt idx="63">
                  <c:v>2024.03.11</c:v>
                </c:pt>
                <c:pt idx="64">
                  <c:v>2024.03.12</c:v>
                </c:pt>
                <c:pt idx="65">
                  <c:v>2024.03.13</c:v>
                </c:pt>
                <c:pt idx="66">
                  <c:v>2024.03.14</c:v>
                </c:pt>
                <c:pt idx="67">
                  <c:v>2024.03.15</c:v>
                </c:pt>
                <c:pt idx="68">
                  <c:v>2024.03.18</c:v>
                </c:pt>
                <c:pt idx="69">
                  <c:v>2024.03.19</c:v>
                </c:pt>
                <c:pt idx="70">
                  <c:v>2024.04.09</c:v>
                </c:pt>
                <c:pt idx="71">
                  <c:v>2024.04.10</c:v>
                </c:pt>
                <c:pt idx="72">
                  <c:v>2024.04.10</c:v>
                </c:pt>
                <c:pt idx="73">
                  <c:v>2024.04.11</c:v>
                </c:pt>
                <c:pt idx="74">
                  <c:v>2024.04.11</c:v>
                </c:pt>
              </c:strCache>
            </c:strRef>
          </c:cat>
          <c:val>
            <c:numRef>
              <c:f>'欧塑OEE数据收集表(优化) (2024.02.29)'!$A$2:$A$27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C-42F3-8B8D-81DF6786A61B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'欧塑OEE数据收集表(优化) (2024.02.29)'!$A$2:$A$76</c:f>
              <c:strCache>
                <c:ptCount val="75"/>
                <c:pt idx="0">
                  <c:v>2023.11.24</c:v>
                </c:pt>
                <c:pt idx="1">
                  <c:v>2023.11.24</c:v>
                </c:pt>
                <c:pt idx="2">
                  <c:v>2023.11.27</c:v>
                </c:pt>
                <c:pt idx="3">
                  <c:v>2023.11.28</c:v>
                </c:pt>
                <c:pt idx="4">
                  <c:v>2023.11.29</c:v>
                </c:pt>
                <c:pt idx="5">
                  <c:v>2023.11.29</c:v>
                </c:pt>
                <c:pt idx="6">
                  <c:v>2023.11.30</c:v>
                </c:pt>
                <c:pt idx="7">
                  <c:v>2023.11.30</c:v>
                </c:pt>
                <c:pt idx="8">
                  <c:v>2023.12.01</c:v>
                </c:pt>
                <c:pt idx="9">
                  <c:v>2023.12.01</c:v>
                </c:pt>
                <c:pt idx="10">
                  <c:v>2023.12.02</c:v>
                </c:pt>
                <c:pt idx="11">
                  <c:v>2023.12.02</c:v>
                </c:pt>
                <c:pt idx="12">
                  <c:v>2023.12.04</c:v>
                </c:pt>
                <c:pt idx="13">
                  <c:v>2023.12.04</c:v>
                </c:pt>
                <c:pt idx="14">
                  <c:v>2023.12.05</c:v>
                </c:pt>
                <c:pt idx="15">
                  <c:v>2023.12.05</c:v>
                </c:pt>
                <c:pt idx="16">
                  <c:v>2023.12.06</c:v>
                </c:pt>
                <c:pt idx="17">
                  <c:v>2023.12.07</c:v>
                </c:pt>
                <c:pt idx="18">
                  <c:v>2023.12.07</c:v>
                </c:pt>
                <c:pt idx="19">
                  <c:v>2023.12.08</c:v>
                </c:pt>
                <c:pt idx="20">
                  <c:v>2023.12.08</c:v>
                </c:pt>
                <c:pt idx="21">
                  <c:v>2023.12.09</c:v>
                </c:pt>
                <c:pt idx="22">
                  <c:v>2023.12.09</c:v>
                </c:pt>
                <c:pt idx="23">
                  <c:v>2023.12.11</c:v>
                </c:pt>
                <c:pt idx="24">
                  <c:v>2023.12.11</c:v>
                </c:pt>
                <c:pt idx="25">
                  <c:v>2023.12.12</c:v>
                </c:pt>
                <c:pt idx="26">
                  <c:v>2024.01.02</c:v>
                </c:pt>
                <c:pt idx="27">
                  <c:v>2024.01.03</c:v>
                </c:pt>
                <c:pt idx="28">
                  <c:v>2024.01.04</c:v>
                </c:pt>
                <c:pt idx="29">
                  <c:v>2024.01.05</c:v>
                </c:pt>
                <c:pt idx="30">
                  <c:v>2024.01.08</c:v>
                </c:pt>
                <c:pt idx="31">
                  <c:v>2024.01.09</c:v>
                </c:pt>
                <c:pt idx="32">
                  <c:v>2024.01.10</c:v>
                </c:pt>
                <c:pt idx="33">
                  <c:v>2024.01.11</c:v>
                </c:pt>
                <c:pt idx="34">
                  <c:v>2024.01.12</c:v>
                </c:pt>
                <c:pt idx="35">
                  <c:v>2024.01.15</c:v>
                </c:pt>
                <c:pt idx="36">
                  <c:v>2024.01.16</c:v>
                </c:pt>
                <c:pt idx="37">
                  <c:v>2024.01.17</c:v>
                </c:pt>
                <c:pt idx="38">
                  <c:v>2024.01.18</c:v>
                </c:pt>
                <c:pt idx="39">
                  <c:v>2024.01.22</c:v>
                </c:pt>
                <c:pt idx="40">
                  <c:v>2024.01.23</c:v>
                </c:pt>
                <c:pt idx="41">
                  <c:v>2024.01.24</c:v>
                </c:pt>
                <c:pt idx="42">
                  <c:v>2024.01.25</c:v>
                </c:pt>
                <c:pt idx="43">
                  <c:v>2024.01.26</c:v>
                </c:pt>
                <c:pt idx="44">
                  <c:v>2024.01.29</c:v>
                </c:pt>
                <c:pt idx="45">
                  <c:v>2024.01.30</c:v>
                </c:pt>
                <c:pt idx="46">
                  <c:v>2024.01.31</c:v>
                </c:pt>
                <c:pt idx="47">
                  <c:v>2024.02.01</c:v>
                </c:pt>
                <c:pt idx="48">
                  <c:v>2024.02.04</c:v>
                </c:pt>
                <c:pt idx="49">
                  <c:v>2024.02.05</c:v>
                </c:pt>
                <c:pt idx="50">
                  <c:v>2024.02.21</c:v>
                </c:pt>
                <c:pt idx="51">
                  <c:v>2024.02.22</c:v>
                </c:pt>
                <c:pt idx="52">
                  <c:v>2024.02.23</c:v>
                </c:pt>
                <c:pt idx="53">
                  <c:v>2024.02.26</c:v>
                </c:pt>
                <c:pt idx="54">
                  <c:v>2024.02.27</c:v>
                </c:pt>
                <c:pt idx="55">
                  <c:v>2024.02.28</c:v>
                </c:pt>
                <c:pt idx="56">
                  <c:v>2024.02.29</c:v>
                </c:pt>
                <c:pt idx="57">
                  <c:v>2024.03.01</c:v>
                </c:pt>
                <c:pt idx="58">
                  <c:v>2024.03.04</c:v>
                </c:pt>
                <c:pt idx="59">
                  <c:v>2024.03.05</c:v>
                </c:pt>
                <c:pt idx="60">
                  <c:v>2024.03.06</c:v>
                </c:pt>
                <c:pt idx="61">
                  <c:v>2024.03.07</c:v>
                </c:pt>
                <c:pt idx="62">
                  <c:v>2024.03.08</c:v>
                </c:pt>
                <c:pt idx="63">
                  <c:v>2024.03.11</c:v>
                </c:pt>
                <c:pt idx="64">
                  <c:v>2024.03.12</c:v>
                </c:pt>
                <c:pt idx="65">
                  <c:v>2024.03.13</c:v>
                </c:pt>
                <c:pt idx="66">
                  <c:v>2024.03.14</c:v>
                </c:pt>
                <c:pt idx="67">
                  <c:v>2024.03.15</c:v>
                </c:pt>
                <c:pt idx="68">
                  <c:v>2024.03.18</c:v>
                </c:pt>
                <c:pt idx="69">
                  <c:v>2024.03.19</c:v>
                </c:pt>
                <c:pt idx="70">
                  <c:v>2024.04.09</c:v>
                </c:pt>
                <c:pt idx="71">
                  <c:v>2024.04.10</c:v>
                </c:pt>
                <c:pt idx="72">
                  <c:v>2024.04.10</c:v>
                </c:pt>
                <c:pt idx="73">
                  <c:v>2024.04.11</c:v>
                </c:pt>
                <c:pt idx="74">
                  <c:v>2024.04.11</c:v>
                </c:pt>
              </c:strCache>
            </c:strRef>
          </c:cat>
          <c:val>
            <c:numRef>
              <c:f>'欧塑OEE数据收集表(优化) (2024.02.29)'!#REF!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EC-42F3-8B8D-81DF6786A61B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'欧塑OEE数据收集表(优化) (2024.02.29)'!$A$2:$A$76</c:f>
              <c:strCache>
                <c:ptCount val="75"/>
                <c:pt idx="0">
                  <c:v>2023.11.24</c:v>
                </c:pt>
                <c:pt idx="1">
                  <c:v>2023.11.24</c:v>
                </c:pt>
                <c:pt idx="2">
                  <c:v>2023.11.27</c:v>
                </c:pt>
                <c:pt idx="3">
                  <c:v>2023.11.28</c:v>
                </c:pt>
                <c:pt idx="4">
                  <c:v>2023.11.29</c:v>
                </c:pt>
                <c:pt idx="5">
                  <c:v>2023.11.29</c:v>
                </c:pt>
                <c:pt idx="6">
                  <c:v>2023.11.30</c:v>
                </c:pt>
                <c:pt idx="7">
                  <c:v>2023.11.30</c:v>
                </c:pt>
                <c:pt idx="8">
                  <c:v>2023.12.01</c:v>
                </c:pt>
                <c:pt idx="9">
                  <c:v>2023.12.01</c:v>
                </c:pt>
                <c:pt idx="10">
                  <c:v>2023.12.02</c:v>
                </c:pt>
                <c:pt idx="11">
                  <c:v>2023.12.02</c:v>
                </c:pt>
                <c:pt idx="12">
                  <c:v>2023.12.04</c:v>
                </c:pt>
                <c:pt idx="13">
                  <c:v>2023.12.04</c:v>
                </c:pt>
                <c:pt idx="14">
                  <c:v>2023.12.05</c:v>
                </c:pt>
                <c:pt idx="15">
                  <c:v>2023.12.05</c:v>
                </c:pt>
                <c:pt idx="16">
                  <c:v>2023.12.06</c:v>
                </c:pt>
                <c:pt idx="17">
                  <c:v>2023.12.07</c:v>
                </c:pt>
                <c:pt idx="18">
                  <c:v>2023.12.07</c:v>
                </c:pt>
                <c:pt idx="19">
                  <c:v>2023.12.08</c:v>
                </c:pt>
                <c:pt idx="20">
                  <c:v>2023.12.08</c:v>
                </c:pt>
                <c:pt idx="21">
                  <c:v>2023.12.09</c:v>
                </c:pt>
                <c:pt idx="22">
                  <c:v>2023.12.09</c:v>
                </c:pt>
                <c:pt idx="23">
                  <c:v>2023.12.11</c:v>
                </c:pt>
                <c:pt idx="24">
                  <c:v>2023.12.11</c:v>
                </c:pt>
                <c:pt idx="25">
                  <c:v>2023.12.12</c:v>
                </c:pt>
                <c:pt idx="26">
                  <c:v>2024.01.02</c:v>
                </c:pt>
                <c:pt idx="27">
                  <c:v>2024.01.03</c:v>
                </c:pt>
                <c:pt idx="28">
                  <c:v>2024.01.04</c:v>
                </c:pt>
                <c:pt idx="29">
                  <c:v>2024.01.05</c:v>
                </c:pt>
                <c:pt idx="30">
                  <c:v>2024.01.08</c:v>
                </c:pt>
                <c:pt idx="31">
                  <c:v>2024.01.09</c:v>
                </c:pt>
                <c:pt idx="32">
                  <c:v>2024.01.10</c:v>
                </c:pt>
                <c:pt idx="33">
                  <c:v>2024.01.11</c:v>
                </c:pt>
                <c:pt idx="34">
                  <c:v>2024.01.12</c:v>
                </c:pt>
                <c:pt idx="35">
                  <c:v>2024.01.15</c:v>
                </c:pt>
                <c:pt idx="36">
                  <c:v>2024.01.16</c:v>
                </c:pt>
                <c:pt idx="37">
                  <c:v>2024.01.17</c:v>
                </c:pt>
                <c:pt idx="38">
                  <c:v>2024.01.18</c:v>
                </c:pt>
                <c:pt idx="39">
                  <c:v>2024.01.22</c:v>
                </c:pt>
                <c:pt idx="40">
                  <c:v>2024.01.23</c:v>
                </c:pt>
                <c:pt idx="41">
                  <c:v>2024.01.24</c:v>
                </c:pt>
                <c:pt idx="42">
                  <c:v>2024.01.25</c:v>
                </c:pt>
                <c:pt idx="43">
                  <c:v>2024.01.26</c:v>
                </c:pt>
                <c:pt idx="44">
                  <c:v>2024.01.29</c:v>
                </c:pt>
                <c:pt idx="45">
                  <c:v>2024.01.30</c:v>
                </c:pt>
                <c:pt idx="46">
                  <c:v>2024.01.31</c:v>
                </c:pt>
                <c:pt idx="47">
                  <c:v>2024.02.01</c:v>
                </c:pt>
                <c:pt idx="48">
                  <c:v>2024.02.04</c:v>
                </c:pt>
                <c:pt idx="49">
                  <c:v>2024.02.05</c:v>
                </c:pt>
                <c:pt idx="50">
                  <c:v>2024.02.21</c:v>
                </c:pt>
                <c:pt idx="51">
                  <c:v>2024.02.22</c:v>
                </c:pt>
                <c:pt idx="52">
                  <c:v>2024.02.23</c:v>
                </c:pt>
                <c:pt idx="53">
                  <c:v>2024.02.26</c:v>
                </c:pt>
                <c:pt idx="54">
                  <c:v>2024.02.27</c:v>
                </c:pt>
                <c:pt idx="55">
                  <c:v>2024.02.28</c:v>
                </c:pt>
                <c:pt idx="56">
                  <c:v>2024.02.29</c:v>
                </c:pt>
                <c:pt idx="57">
                  <c:v>2024.03.01</c:v>
                </c:pt>
                <c:pt idx="58">
                  <c:v>2024.03.04</c:v>
                </c:pt>
                <c:pt idx="59">
                  <c:v>2024.03.05</c:v>
                </c:pt>
                <c:pt idx="60">
                  <c:v>2024.03.06</c:v>
                </c:pt>
                <c:pt idx="61">
                  <c:v>2024.03.07</c:v>
                </c:pt>
                <c:pt idx="62">
                  <c:v>2024.03.08</c:v>
                </c:pt>
                <c:pt idx="63">
                  <c:v>2024.03.11</c:v>
                </c:pt>
                <c:pt idx="64">
                  <c:v>2024.03.12</c:v>
                </c:pt>
                <c:pt idx="65">
                  <c:v>2024.03.13</c:v>
                </c:pt>
                <c:pt idx="66">
                  <c:v>2024.03.14</c:v>
                </c:pt>
                <c:pt idx="67">
                  <c:v>2024.03.15</c:v>
                </c:pt>
                <c:pt idx="68">
                  <c:v>2024.03.18</c:v>
                </c:pt>
                <c:pt idx="69">
                  <c:v>2024.03.19</c:v>
                </c:pt>
                <c:pt idx="70">
                  <c:v>2024.04.09</c:v>
                </c:pt>
                <c:pt idx="71">
                  <c:v>2024.04.10</c:v>
                </c:pt>
                <c:pt idx="72">
                  <c:v>2024.04.10</c:v>
                </c:pt>
                <c:pt idx="73">
                  <c:v>2024.04.11</c:v>
                </c:pt>
                <c:pt idx="74">
                  <c:v>2024.04.11</c:v>
                </c:pt>
              </c:strCache>
            </c:strRef>
          </c:cat>
          <c:val>
            <c:numRef>
              <c:f>'欧塑OEE数据收集表(优化) (2024.02.29)'!#REF!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EC-42F3-8B8D-81DF6786A61B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'欧塑OEE数据收集表(优化) (2024.02.29)'!$A$2:$A$76</c:f>
              <c:strCache>
                <c:ptCount val="75"/>
                <c:pt idx="0">
                  <c:v>2023.11.24</c:v>
                </c:pt>
                <c:pt idx="1">
                  <c:v>2023.11.24</c:v>
                </c:pt>
                <c:pt idx="2">
                  <c:v>2023.11.27</c:v>
                </c:pt>
                <c:pt idx="3">
                  <c:v>2023.11.28</c:v>
                </c:pt>
                <c:pt idx="4">
                  <c:v>2023.11.29</c:v>
                </c:pt>
                <c:pt idx="5">
                  <c:v>2023.11.29</c:v>
                </c:pt>
                <c:pt idx="6">
                  <c:v>2023.11.30</c:v>
                </c:pt>
                <c:pt idx="7">
                  <c:v>2023.11.30</c:v>
                </c:pt>
                <c:pt idx="8">
                  <c:v>2023.12.01</c:v>
                </c:pt>
                <c:pt idx="9">
                  <c:v>2023.12.01</c:v>
                </c:pt>
                <c:pt idx="10">
                  <c:v>2023.12.02</c:v>
                </c:pt>
                <c:pt idx="11">
                  <c:v>2023.12.02</c:v>
                </c:pt>
                <c:pt idx="12">
                  <c:v>2023.12.04</c:v>
                </c:pt>
                <c:pt idx="13">
                  <c:v>2023.12.04</c:v>
                </c:pt>
                <c:pt idx="14">
                  <c:v>2023.12.05</c:v>
                </c:pt>
                <c:pt idx="15">
                  <c:v>2023.12.05</c:v>
                </c:pt>
                <c:pt idx="16">
                  <c:v>2023.12.06</c:v>
                </c:pt>
                <c:pt idx="17">
                  <c:v>2023.12.07</c:v>
                </c:pt>
                <c:pt idx="18">
                  <c:v>2023.12.07</c:v>
                </c:pt>
                <c:pt idx="19">
                  <c:v>2023.12.08</c:v>
                </c:pt>
                <c:pt idx="20">
                  <c:v>2023.12.08</c:v>
                </c:pt>
                <c:pt idx="21">
                  <c:v>2023.12.09</c:v>
                </c:pt>
                <c:pt idx="22">
                  <c:v>2023.12.09</c:v>
                </c:pt>
                <c:pt idx="23">
                  <c:v>2023.12.11</c:v>
                </c:pt>
                <c:pt idx="24">
                  <c:v>2023.12.11</c:v>
                </c:pt>
                <c:pt idx="25">
                  <c:v>2023.12.12</c:v>
                </c:pt>
                <c:pt idx="26">
                  <c:v>2024.01.02</c:v>
                </c:pt>
                <c:pt idx="27">
                  <c:v>2024.01.03</c:v>
                </c:pt>
                <c:pt idx="28">
                  <c:v>2024.01.04</c:v>
                </c:pt>
                <c:pt idx="29">
                  <c:v>2024.01.05</c:v>
                </c:pt>
                <c:pt idx="30">
                  <c:v>2024.01.08</c:v>
                </c:pt>
                <c:pt idx="31">
                  <c:v>2024.01.09</c:v>
                </c:pt>
                <c:pt idx="32">
                  <c:v>2024.01.10</c:v>
                </c:pt>
                <c:pt idx="33">
                  <c:v>2024.01.11</c:v>
                </c:pt>
                <c:pt idx="34">
                  <c:v>2024.01.12</c:v>
                </c:pt>
                <c:pt idx="35">
                  <c:v>2024.01.15</c:v>
                </c:pt>
                <c:pt idx="36">
                  <c:v>2024.01.16</c:v>
                </c:pt>
                <c:pt idx="37">
                  <c:v>2024.01.17</c:v>
                </c:pt>
                <c:pt idx="38">
                  <c:v>2024.01.18</c:v>
                </c:pt>
                <c:pt idx="39">
                  <c:v>2024.01.22</c:v>
                </c:pt>
                <c:pt idx="40">
                  <c:v>2024.01.23</c:v>
                </c:pt>
                <c:pt idx="41">
                  <c:v>2024.01.24</c:v>
                </c:pt>
                <c:pt idx="42">
                  <c:v>2024.01.25</c:v>
                </c:pt>
                <c:pt idx="43">
                  <c:v>2024.01.26</c:v>
                </c:pt>
                <c:pt idx="44">
                  <c:v>2024.01.29</c:v>
                </c:pt>
                <c:pt idx="45">
                  <c:v>2024.01.30</c:v>
                </c:pt>
                <c:pt idx="46">
                  <c:v>2024.01.31</c:v>
                </c:pt>
                <c:pt idx="47">
                  <c:v>2024.02.01</c:v>
                </c:pt>
                <c:pt idx="48">
                  <c:v>2024.02.04</c:v>
                </c:pt>
                <c:pt idx="49">
                  <c:v>2024.02.05</c:v>
                </c:pt>
                <c:pt idx="50">
                  <c:v>2024.02.21</c:v>
                </c:pt>
                <c:pt idx="51">
                  <c:v>2024.02.22</c:v>
                </c:pt>
                <c:pt idx="52">
                  <c:v>2024.02.23</c:v>
                </c:pt>
                <c:pt idx="53">
                  <c:v>2024.02.26</c:v>
                </c:pt>
                <c:pt idx="54">
                  <c:v>2024.02.27</c:v>
                </c:pt>
                <c:pt idx="55">
                  <c:v>2024.02.28</c:v>
                </c:pt>
                <c:pt idx="56">
                  <c:v>2024.02.29</c:v>
                </c:pt>
                <c:pt idx="57">
                  <c:v>2024.03.01</c:v>
                </c:pt>
                <c:pt idx="58">
                  <c:v>2024.03.04</c:v>
                </c:pt>
                <c:pt idx="59">
                  <c:v>2024.03.05</c:v>
                </c:pt>
                <c:pt idx="60">
                  <c:v>2024.03.06</c:v>
                </c:pt>
                <c:pt idx="61">
                  <c:v>2024.03.07</c:v>
                </c:pt>
                <c:pt idx="62">
                  <c:v>2024.03.08</c:v>
                </c:pt>
                <c:pt idx="63">
                  <c:v>2024.03.11</c:v>
                </c:pt>
                <c:pt idx="64">
                  <c:v>2024.03.12</c:v>
                </c:pt>
                <c:pt idx="65">
                  <c:v>2024.03.13</c:v>
                </c:pt>
                <c:pt idx="66">
                  <c:v>2024.03.14</c:v>
                </c:pt>
                <c:pt idx="67">
                  <c:v>2024.03.15</c:v>
                </c:pt>
                <c:pt idx="68">
                  <c:v>2024.03.18</c:v>
                </c:pt>
                <c:pt idx="69">
                  <c:v>2024.03.19</c:v>
                </c:pt>
                <c:pt idx="70">
                  <c:v>2024.04.09</c:v>
                </c:pt>
                <c:pt idx="71">
                  <c:v>2024.04.10</c:v>
                </c:pt>
                <c:pt idx="72">
                  <c:v>2024.04.10</c:v>
                </c:pt>
                <c:pt idx="73">
                  <c:v>2024.04.11</c:v>
                </c:pt>
                <c:pt idx="74">
                  <c:v>2024.04.11</c:v>
                </c:pt>
              </c:strCache>
            </c:strRef>
          </c:cat>
          <c:val>
            <c:numRef>
              <c:f>'欧塑OEE数据收集表(优化) (2024.02.29)'!#REF!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EC-42F3-8B8D-81DF6786A61B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'欧塑OEE数据收集表(优化) (2024.02.29)'!$A$2:$A$76</c:f>
              <c:strCache>
                <c:ptCount val="75"/>
                <c:pt idx="0">
                  <c:v>2023.11.24</c:v>
                </c:pt>
                <c:pt idx="1">
                  <c:v>2023.11.24</c:v>
                </c:pt>
                <c:pt idx="2">
                  <c:v>2023.11.27</c:v>
                </c:pt>
                <c:pt idx="3">
                  <c:v>2023.11.28</c:v>
                </c:pt>
                <c:pt idx="4">
                  <c:v>2023.11.29</c:v>
                </c:pt>
                <c:pt idx="5">
                  <c:v>2023.11.29</c:v>
                </c:pt>
                <c:pt idx="6">
                  <c:v>2023.11.30</c:v>
                </c:pt>
                <c:pt idx="7">
                  <c:v>2023.11.30</c:v>
                </c:pt>
                <c:pt idx="8">
                  <c:v>2023.12.01</c:v>
                </c:pt>
                <c:pt idx="9">
                  <c:v>2023.12.01</c:v>
                </c:pt>
                <c:pt idx="10">
                  <c:v>2023.12.02</c:v>
                </c:pt>
                <c:pt idx="11">
                  <c:v>2023.12.02</c:v>
                </c:pt>
                <c:pt idx="12">
                  <c:v>2023.12.04</c:v>
                </c:pt>
                <c:pt idx="13">
                  <c:v>2023.12.04</c:v>
                </c:pt>
                <c:pt idx="14">
                  <c:v>2023.12.05</c:v>
                </c:pt>
                <c:pt idx="15">
                  <c:v>2023.12.05</c:v>
                </c:pt>
                <c:pt idx="16">
                  <c:v>2023.12.06</c:v>
                </c:pt>
                <c:pt idx="17">
                  <c:v>2023.12.07</c:v>
                </c:pt>
                <c:pt idx="18">
                  <c:v>2023.12.07</c:v>
                </c:pt>
                <c:pt idx="19">
                  <c:v>2023.12.08</c:v>
                </c:pt>
                <c:pt idx="20">
                  <c:v>2023.12.08</c:v>
                </c:pt>
                <c:pt idx="21">
                  <c:v>2023.12.09</c:v>
                </c:pt>
                <c:pt idx="22">
                  <c:v>2023.12.09</c:v>
                </c:pt>
                <c:pt idx="23">
                  <c:v>2023.12.11</c:v>
                </c:pt>
                <c:pt idx="24">
                  <c:v>2023.12.11</c:v>
                </c:pt>
                <c:pt idx="25">
                  <c:v>2023.12.12</c:v>
                </c:pt>
                <c:pt idx="26">
                  <c:v>2024.01.02</c:v>
                </c:pt>
                <c:pt idx="27">
                  <c:v>2024.01.03</c:v>
                </c:pt>
                <c:pt idx="28">
                  <c:v>2024.01.04</c:v>
                </c:pt>
                <c:pt idx="29">
                  <c:v>2024.01.05</c:v>
                </c:pt>
                <c:pt idx="30">
                  <c:v>2024.01.08</c:v>
                </c:pt>
                <c:pt idx="31">
                  <c:v>2024.01.09</c:v>
                </c:pt>
                <c:pt idx="32">
                  <c:v>2024.01.10</c:v>
                </c:pt>
                <c:pt idx="33">
                  <c:v>2024.01.11</c:v>
                </c:pt>
                <c:pt idx="34">
                  <c:v>2024.01.12</c:v>
                </c:pt>
                <c:pt idx="35">
                  <c:v>2024.01.15</c:v>
                </c:pt>
                <c:pt idx="36">
                  <c:v>2024.01.16</c:v>
                </c:pt>
                <c:pt idx="37">
                  <c:v>2024.01.17</c:v>
                </c:pt>
                <c:pt idx="38">
                  <c:v>2024.01.18</c:v>
                </c:pt>
                <c:pt idx="39">
                  <c:v>2024.01.22</c:v>
                </c:pt>
                <c:pt idx="40">
                  <c:v>2024.01.23</c:v>
                </c:pt>
                <c:pt idx="41">
                  <c:v>2024.01.24</c:v>
                </c:pt>
                <c:pt idx="42">
                  <c:v>2024.01.25</c:v>
                </c:pt>
                <c:pt idx="43">
                  <c:v>2024.01.26</c:v>
                </c:pt>
                <c:pt idx="44">
                  <c:v>2024.01.29</c:v>
                </c:pt>
                <c:pt idx="45">
                  <c:v>2024.01.30</c:v>
                </c:pt>
                <c:pt idx="46">
                  <c:v>2024.01.31</c:v>
                </c:pt>
                <c:pt idx="47">
                  <c:v>2024.02.01</c:v>
                </c:pt>
                <c:pt idx="48">
                  <c:v>2024.02.04</c:v>
                </c:pt>
                <c:pt idx="49">
                  <c:v>2024.02.05</c:v>
                </c:pt>
                <c:pt idx="50">
                  <c:v>2024.02.21</c:v>
                </c:pt>
                <c:pt idx="51">
                  <c:v>2024.02.22</c:v>
                </c:pt>
                <c:pt idx="52">
                  <c:v>2024.02.23</c:v>
                </c:pt>
                <c:pt idx="53">
                  <c:v>2024.02.26</c:v>
                </c:pt>
                <c:pt idx="54">
                  <c:v>2024.02.27</c:v>
                </c:pt>
                <c:pt idx="55">
                  <c:v>2024.02.28</c:v>
                </c:pt>
                <c:pt idx="56">
                  <c:v>2024.02.29</c:v>
                </c:pt>
                <c:pt idx="57">
                  <c:v>2024.03.01</c:v>
                </c:pt>
                <c:pt idx="58">
                  <c:v>2024.03.04</c:v>
                </c:pt>
                <c:pt idx="59">
                  <c:v>2024.03.05</c:v>
                </c:pt>
                <c:pt idx="60">
                  <c:v>2024.03.06</c:v>
                </c:pt>
                <c:pt idx="61">
                  <c:v>2024.03.07</c:v>
                </c:pt>
                <c:pt idx="62">
                  <c:v>2024.03.08</c:v>
                </c:pt>
                <c:pt idx="63">
                  <c:v>2024.03.11</c:v>
                </c:pt>
                <c:pt idx="64">
                  <c:v>2024.03.12</c:v>
                </c:pt>
                <c:pt idx="65">
                  <c:v>2024.03.13</c:v>
                </c:pt>
                <c:pt idx="66">
                  <c:v>2024.03.14</c:v>
                </c:pt>
                <c:pt idx="67">
                  <c:v>2024.03.15</c:v>
                </c:pt>
                <c:pt idx="68">
                  <c:v>2024.03.18</c:v>
                </c:pt>
                <c:pt idx="69">
                  <c:v>2024.03.19</c:v>
                </c:pt>
                <c:pt idx="70">
                  <c:v>2024.04.09</c:v>
                </c:pt>
                <c:pt idx="71">
                  <c:v>2024.04.10</c:v>
                </c:pt>
                <c:pt idx="72">
                  <c:v>2024.04.10</c:v>
                </c:pt>
                <c:pt idx="73">
                  <c:v>2024.04.11</c:v>
                </c:pt>
                <c:pt idx="74">
                  <c:v>2024.04.11</c:v>
                </c:pt>
              </c:strCache>
            </c:strRef>
          </c:cat>
          <c:val>
            <c:numRef>
              <c:f>'欧塑OEE数据收集表(优化) (2024.02.29)'!#REF!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EC-42F3-8B8D-81DF6786A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2693416"/>
        <c:axId val="1012687656"/>
      </c:lineChart>
      <c:catAx>
        <c:axId val="1012693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2687656"/>
        <c:crosses val="autoZero"/>
        <c:auto val="1"/>
        <c:lblAlgn val="ctr"/>
        <c:lblOffset val="100"/>
        <c:noMultiLvlLbl val="0"/>
      </c:catAx>
      <c:valAx>
        <c:axId val="1012687656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2693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</a:t>
            </a:r>
            <a:r>
              <a:rPr lang="en-US" altLang="zh-CN"/>
              <a:t>own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'欧塑OEE数据收集表(优化) (2024.02.29)'!$A$2:$A$76</c:f>
              <c:strCache>
                <c:ptCount val="75"/>
                <c:pt idx="0">
                  <c:v>2023.11.24</c:v>
                </c:pt>
                <c:pt idx="1">
                  <c:v>2023.11.24</c:v>
                </c:pt>
                <c:pt idx="2">
                  <c:v>2023.11.27</c:v>
                </c:pt>
                <c:pt idx="3">
                  <c:v>2023.11.28</c:v>
                </c:pt>
                <c:pt idx="4">
                  <c:v>2023.11.29</c:v>
                </c:pt>
                <c:pt idx="5">
                  <c:v>2023.11.29</c:v>
                </c:pt>
                <c:pt idx="6">
                  <c:v>2023.11.30</c:v>
                </c:pt>
                <c:pt idx="7">
                  <c:v>2023.11.30</c:v>
                </c:pt>
                <c:pt idx="8">
                  <c:v>2023.12.01</c:v>
                </c:pt>
                <c:pt idx="9">
                  <c:v>2023.12.01</c:v>
                </c:pt>
                <c:pt idx="10">
                  <c:v>2023.12.02</c:v>
                </c:pt>
                <c:pt idx="11">
                  <c:v>2023.12.02</c:v>
                </c:pt>
                <c:pt idx="12">
                  <c:v>2023.12.04</c:v>
                </c:pt>
                <c:pt idx="13">
                  <c:v>2023.12.04</c:v>
                </c:pt>
                <c:pt idx="14">
                  <c:v>2023.12.05</c:v>
                </c:pt>
                <c:pt idx="15">
                  <c:v>2023.12.05</c:v>
                </c:pt>
                <c:pt idx="16">
                  <c:v>2023.12.06</c:v>
                </c:pt>
                <c:pt idx="17">
                  <c:v>2023.12.07</c:v>
                </c:pt>
                <c:pt idx="18">
                  <c:v>2023.12.07</c:v>
                </c:pt>
                <c:pt idx="19">
                  <c:v>2023.12.08</c:v>
                </c:pt>
                <c:pt idx="20">
                  <c:v>2023.12.08</c:v>
                </c:pt>
                <c:pt idx="21">
                  <c:v>2023.12.09</c:v>
                </c:pt>
                <c:pt idx="22">
                  <c:v>2023.12.09</c:v>
                </c:pt>
                <c:pt idx="23">
                  <c:v>2023.12.11</c:v>
                </c:pt>
                <c:pt idx="24">
                  <c:v>2023.12.11</c:v>
                </c:pt>
                <c:pt idx="25">
                  <c:v>2023.12.12</c:v>
                </c:pt>
                <c:pt idx="26">
                  <c:v>2024.01.02</c:v>
                </c:pt>
                <c:pt idx="27">
                  <c:v>2024.01.03</c:v>
                </c:pt>
                <c:pt idx="28">
                  <c:v>2024.01.04</c:v>
                </c:pt>
                <c:pt idx="29">
                  <c:v>2024.01.05</c:v>
                </c:pt>
                <c:pt idx="30">
                  <c:v>2024.01.08</c:v>
                </c:pt>
                <c:pt idx="31">
                  <c:v>2024.01.09</c:v>
                </c:pt>
                <c:pt idx="32">
                  <c:v>2024.01.10</c:v>
                </c:pt>
                <c:pt idx="33">
                  <c:v>2024.01.11</c:v>
                </c:pt>
                <c:pt idx="34">
                  <c:v>2024.01.12</c:v>
                </c:pt>
                <c:pt idx="35">
                  <c:v>2024.01.15</c:v>
                </c:pt>
                <c:pt idx="36">
                  <c:v>2024.01.16</c:v>
                </c:pt>
                <c:pt idx="37">
                  <c:v>2024.01.17</c:v>
                </c:pt>
                <c:pt idx="38">
                  <c:v>2024.01.18</c:v>
                </c:pt>
                <c:pt idx="39">
                  <c:v>2024.01.22</c:v>
                </c:pt>
                <c:pt idx="40">
                  <c:v>2024.01.23</c:v>
                </c:pt>
                <c:pt idx="41">
                  <c:v>2024.01.24</c:v>
                </c:pt>
                <c:pt idx="42">
                  <c:v>2024.01.25</c:v>
                </c:pt>
                <c:pt idx="43">
                  <c:v>2024.01.26</c:v>
                </c:pt>
                <c:pt idx="44">
                  <c:v>2024.01.29</c:v>
                </c:pt>
                <c:pt idx="45">
                  <c:v>2024.01.30</c:v>
                </c:pt>
                <c:pt idx="46">
                  <c:v>2024.01.31</c:v>
                </c:pt>
                <c:pt idx="47">
                  <c:v>2024.02.01</c:v>
                </c:pt>
                <c:pt idx="48">
                  <c:v>2024.02.04</c:v>
                </c:pt>
                <c:pt idx="49">
                  <c:v>2024.02.05</c:v>
                </c:pt>
                <c:pt idx="50">
                  <c:v>2024.02.21</c:v>
                </c:pt>
                <c:pt idx="51">
                  <c:v>2024.02.22</c:v>
                </c:pt>
                <c:pt idx="52">
                  <c:v>2024.02.23</c:v>
                </c:pt>
                <c:pt idx="53">
                  <c:v>2024.02.26</c:v>
                </c:pt>
                <c:pt idx="54">
                  <c:v>2024.02.27</c:v>
                </c:pt>
                <c:pt idx="55">
                  <c:v>2024.02.28</c:v>
                </c:pt>
                <c:pt idx="56">
                  <c:v>2024.02.29</c:v>
                </c:pt>
                <c:pt idx="57">
                  <c:v>2024.03.01</c:v>
                </c:pt>
                <c:pt idx="58">
                  <c:v>2024.03.04</c:v>
                </c:pt>
                <c:pt idx="59">
                  <c:v>2024.03.05</c:v>
                </c:pt>
                <c:pt idx="60">
                  <c:v>2024.03.06</c:v>
                </c:pt>
                <c:pt idx="61">
                  <c:v>2024.03.07</c:v>
                </c:pt>
                <c:pt idx="62">
                  <c:v>2024.03.08</c:v>
                </c:pt>
                <c:pt idx="63">
                  <c:v>2024.03.11</c:v>
                </c:pt>
                <c:pt idx="64">
                  <c:v>2024.03.12</c:v>
                </c:pt>
                <c:pt idx="65">
                  <c:v>2024.03.13</c:v>
                </c:pt>
                <c:pt idx="66">
                  <c:v>2024.03.14</c:v>
                </c:pt>
                <c:pt idx="67">
                  <c:v>2024.03.15</c:v>
                </c:pt>
                <c:pt idx="68">
                  <c:v>2024.03.18</c:v>
                </c:pt>
                <c:pt idx="69">
                  <c:v>2024.03.19</c:v>
                </c:pt>
                <c:pt idx="70">
                  <c:v>2024.04.09</c:v>
                </c:pt>
                <c:pt idx="71">
                  <c:v>2024.04.10</c:v>
                </c:pt>
                <c:pt idx="72">
                  <c:v>2024.04.10</c:v>
                </c:pt>
                <c:pt idx="73">
                  <c:v>2024.04.11</c:v>
                </c:pt>
                <c:pt idx="74">
                  <c:v>2024.04.11</c:v>
                </c:pt>
              </c:strCache>
            </c:strRef>
          </c:cat>
          <c:val>
            <c:numRef>
              <c:f>'欧塑OEE数据收集表(优化) (2024.02.29)'!#REF!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C-42AD-8E9D-4607A4FA3A3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'欧塑OEE数据收集表(优化) (2024.02.29)'!$A$2:$A$76</c:f>
              <c:strCache>
                <c:ptCount val="75"/>
                <c:pt idx="0">
                  <c:v>2023.11.24</c:v>
                </c:pt>
                <c:pt idx="1">
                  <c:v>2023.11.24</c:v>
                </c:pt>
                <c:pt idx="2">
                  <c:v>2023.11.27</c:v>
                </c:pt>
                <c:pt idx="3">
                  <c:v>2023.11.28</c:v>
                </c:pt>
                <c:pt idx="4">
                  <c:v>2023.11.29</c:v>
                </c:pt>
                <c:pt idx="5">
                  <c:v>2023.11.29</c:v>
                </c:pt>
                <c:pt idx="6">
                  <c:v>2023.11.30</c:v>
                </c:pt>
                <c:pt idx="7">
                  <c:v>2023.11.30</c:v>
                </c:pt>
                <c:pt idx="8">
                  <c:v>2023.12.01</c:v>
                </c:pt>
                <c:pt idx="9">
                  <c:v>2023.12.01</c:v>
                </c:pt>
                <c:pt idx="10">
                  <c:v>2023.12.02</c:v>
                </c:pt>
                <c:pt idx="11">
                  <c:v>2023.12.02</c:v>
                </c:pt>
                <c:pt idx="12">
                  <c:v>2023.12.04</c:v>
                </c:pt>
                <c:pt idx="13">
                  <c:v>2023.12.04</c:v>
                </c:pt>
                <c:pt idx="14">
                  <c:v>2023.12.05</c:v>
                </c:pt>
                <c:pt idx="15">
                  <c:v>2023.12.05</c:v>
                </c:pt>
                <c:pt idx="16">
                  <c:v>2023.12.06</c:v>
                </c:pt>
                <c:pt idx="17">
                  <c:v>2023.12.07</c:v>
                </c:pt>
                <c:pt idx="18">
                  <c:v>2023.12.07</c:v>
                </c:pt>
                <c:pt idx="19">
                  <c:v>2023.12.08</c:v>
                </c:pt>
                <c:pt idx="20">
                  <c:v>2023.12.08</c:v>
                </c:pt>
                <c:pt idx="21">
                  <c:v>2023.12.09</c:v>
                </c:pt>
                <c:pt idx="22">
                  <c:v>2023.12.09</c:v>
                </c:pt>
                <c:pt idx="23">
                  <c:v>2023.12.11</c:v>
                </c:pt>
                <c:pt idx="24">
                  <c:v>2023.12.11</c:v>
                </c:pt>
                <c:pt idx="25">
                  <c:v>2023.12.12</c:v>
                </c:pt>
                <c:pt idx="26">
                  <c:v>2024.01.02</c:v>
                </c:pt>
                <c:pt idx="27">
                  <c:v>2024.01.03</c:v>
                </c:pt>
                <c:pt idx="28">
                  <c:v>2024.01.04</c:v>
                </c:pt>
                <c:pt idx="29">
                  <c:v>2024.01.05</c:v>
                </c:pt>
                <c:pt idx="30">
                  <c:v>2024.01.08</c:v>
                </c:pt>
                <c:pt idx="31">
                  <c:v>2024.01.09</c:v>
                </c:pt>
                <c:pt idx="32">
                  <c:v>2024.01.10</c:v>
                </c:pt>
                <c:pt idx="33">
                  <c:v>2024.01.11</c:v>
                </c:pt>
                <c:pt idx="34">
                  <c:v>2024.01.12</c:v>
                </c:pt>
                <c:pt idx="35">
                  <c:v>2024.01.15</c:v>
                </c:pt>
                <c:pt idx="36">
                  <c:v>2024.01.16</c:v>
                </c:pt>
                <c:pt idx="37">
                  <c:v>2024.01.17</c:v>
                </c:pt>
                <c:pt idx="38">
                  <c:v>2024.01.18</c:v>
                </c:pt>
                <c:pt idx="39">
                  <c:v>2024.01.22</c:v>
                </c:pt>
                <c:pt idx="40">
                  <c:v>2024.01.23</c:v>
                </c:pt>
                <c:pt idx="41">
                  <c:v>2024.01.24</c:v>
                </c:pt>
                <c:pt idx="42">
                  <c:v>2024.01.25</c:v>
                </c:pt>
                <c:pt idx="43">
                  <c:v>2024.01.26</c:v>
                </c:pt>
                <c:pt idx="44">
                  <c:v>2024.01.29</c:v>
                </c:pt>
                <c:pt idx="45">
                  <c:v>2024.01.30</c:v>
                </c:pt>
                <c:pt idx="46">
                  <c:v>2024.01.31</c:v>
                </c:pt>
                <c:pt idx="47">
                  <c:v>2024.02.01</c:v>
                </c:pt>
                <c:pt idx="48">
                  <c:v>2024.02.04</c:v>
                </c:pt>
                <c:pt idx="49">
                  <c:v>2024.02.05</c:v>
                </c:pt>
                <c:pt idx="50">
                  <c:v>2024.02.21</c:v>
                </c:pt>
                <c:pt idx="51">
                  <c:v>2024.02.22</c:v>
                </c:pt>
                <c:pt idx="52">
                  <c:v>2024.02.23</c:v>
                </c:pt>
                <c:pt idx="53">
                  <c:v>2024.02.26</c:v>
                </c:pt>
                <c:pt idx="54">
                  <c:v>2024.02.27</c:v>
                </c:pt>
                <c:pt idx="55">
                  <c:v>2024.02.28</c:v>
                </c:pt>
                <c:pt idx="56">
                  <c:v>2024.02.29</c:v>
                </c:pt>
                <c:pt idx="57">
                  <c:v>2024.03.01</c:v>
                </c:pt>
                <c:pt idx="58">
                  <c:v>2024.03.04</c:v>
                </c:pt>
                <c:pt idx="59">
                  <c:v>2024.03.05</c:v>
                </c:pt>
                <c:pt idx="60">
                  <c:v>2024.03.06</c:v>
                </c:pt>
                <c:pt idx="61">
                  <c:v>2024.03.07</c:v>
                </c:pt>
                <c:pt idx="62">
                  <c:v>2024.03.08</c:v>
                </c:pt>
                <c:pt idx="63">
                  <c:v>2024.03.11</c:v>
                </c:pt>
                <c:pt idx="64">
                  <c:v>2024.03.12</c:v>
                </c:pt>
                <c:pt idx="65">
                  <c:v>2024.03.13</c:v>
                </c:pt>
                <c:pt idx="66">
                  <c:v>2024.03.14</c:v>
                </c:pt>
                <c:pt idx="67">
                  <c:v>2024.03.15</c:v>
                </c:pt>
                <c:pt idx="68">
                  <c:v>2024.03.18</c:v>
                </c:pt>
                <c:pt idx="69">
                  <c:v>2024.03.19</c:v>
                </c:pt>
                <c:pt idx="70">
                  <c:v>2024.04.09</c:v>
                </c:pt>
                <c:pt idx="71">
                  <c:v>2024.04.10</c:v>
                </c:pt>
                <c:pt idx="72">
                  <c:v>2024.04.10</c:v>
                </c:pt>
                <c:pt idx="73">
                  <c:v>2024.04.11</c:v>
                </c:pt>
                <c:pt idx="74">
                  <c:v>2024.04.11</c:v>
                </c:pt>
              </c:strCache>
            </c:strRef>
          </c:cat>
          <c:val>
            <c:numRef>
              <c:f>'欧塑OEE数据收集表(优化) (2024.02.29)'!#REF!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4C-42AD-8E9D-4607A4FA3A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820219464"/>
        <c:axId val="820222344"/>
      </c:barChart>
      <c:catAx>
        <c:axId val="820219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0222344"/>
        <c:crosses val="autoZero"/>
        <c:auto val="1"/>
        <c:lblAlgn val="ctr"/>
        <c:lblOffset val="100"/>
        <c:noMultiLvlLbl val="0"/>
      </c:catAx>
      <c:valAx>
        <c:axId val="82022234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82021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'欧塑OEE数据收集表(优化) (2024.02.29)'!$A$2:$A$76</c:f>
              <c:strCache>
                <c:ptCount val="75"/>
                <c:pt idx="0">
                  <c:v>2023.11.24</c:v>
                </c:pt>
                <c:pt idx="1">
                  <c:v>2023.11.24</c:v>
                </c:pt>
                <c:pt idx="2">
                  <c:v>2023.11.27</c:v>
                </c:pt>
                <c:pt idx="3">
                  <c:v>2023.11.28</c:v>
                </c:pt>
                <c:pt idx="4">
                  <c:v>2023.11.29</c:v>
                </c:pt>
                <c:pt idx="5">
                  <c:v>2023.11.29</c:v>
                </c:pt>
                <c:pt idx="6">
                  <c:v>2023.11.30</c:v>
                </c:pt>
                <c:pt idx="7">
                  <c:v>2023.11.30</c:v>
                </c:pt>
                <c:pt idx="8">
                  <c:v>2023.12.01</c:v>
                </c:pt>
                <c:pt idx="9">
                  <c:v>2023.12.01</c:v>
                </c:pt>
                <c:pt idx="10">
                  <c:v>2023.12.02</c:v>
                </c:pt>
                <c:pt idx="11">
                  <c:v>2023.12.02</c:v>
                </c:pt>
                <c:pt idx="12">
                  <c:v>2023.12.04</c:v>
                </c:pt>
                <c:pt idx="13">
                  <c:v>2023.12.04</c:v>
                </c:pt>
                <c:pt idx="14">
                  <c:v>2023.12.05</c:v>
                </c:pt>
                <c:pt idx="15">
                  <c:v>2023.12.05</c:v>
                </c:pt>
                <c:pt idx="16">
                  <c:v>2023.12.06</c:v>
                </c:pt>
                <c:pt idx="17">
                  <c:v>2023.12.07</c:v>
                </c:pt>
                <c:pt idx="18">
                  <c:v>2023.12.07</c:v>
                </c:pt>
                <c:pt idx="19">
                  <c:v>2023.12.08</c:v>
                </c:pt>
                <c:pt idx="20">
                  <c:v>2023.12.08</c:v>
                </c:pt>
                <c:pt idx="21">
                  <c:v>2023.12.09</c:v>
                </c:pt>
                <c:pt idx="22">
                  <c:v>2023.12.09</c:v>
                </c:pt>
                <c:pt idx="23">
                  <c:v>2023.12.11</c:v>
                </c:pt>
                <c:pt idx="24">
                  <c:v>2023.12.11</c:v>
                </c:pt>
                <c:pt idx="25">
                  <c:v>2023.12.12</c:v>
                </c:pt>
                <c:pt idx="26">
                  <c:v>2024.01.02</c:v>
                </c:pt>
                <c:pt idx="27">
                  <c:v>2024.01.03</c:v>
                </c:pt>
                <c:pt idx="28">
                  <c:v>2024.01.04</c:v>
                </c:pt>
                <c:pt idx="29">
                  <c:v>2024.01.05</c:v>
                </c:pt>
                <c:pt idx="30">
                  <c:v>2024.01.08</c:v>
                </c:pt>
                <c:pt idx="31">
                  <c:v>2024.01.09</c:v>
                </c:pt>
                <c:pt idx="32">
                  <c:v>2024.01.10</c:v>
                </c:pt>
                <c:pt idx="33">
                  <c:v>2024.01.11</c:v>
                </c:pt>
                <c:pt idx="34">
                  <c:v>2024.01.12</c:v>
                </c:pt>
                <c:pt idx="35">
                  <c:v>2024.01.15</c:v>
                </c:pt>
                <c:pt idx="36">
                  <c:v>2024.01.16</c:v>
                </c:pt>
                <c:pt idx="37">
                  <c:v>2024.01.17</c:v>
                </c:pt>
                <c:pt idx="38">
                  <c:v>2024.01.18</c:v>
                </c:pt>
                <c:pt idx="39">
                  <c:v>2024.01.22</c:v>
                </c:pt>
                <c:pt idx="40">
                  <c:v>2024.01.23</c:v>
                </c:pt>
                <c:pt idx="41">
                  <c:v>2024.01.24</c:v>
                </c:pt>
                <c:pt idx="42">
                  <c:v>2024.01.25</c:v>
                </c:pt>
                <c:pt idx="43">
                  <c:v>2024.01.26</c:v>
                </c:pt>
                <c:pt idx="44">
                  <c:v>2024.01.29</c:v>
                </c:pt>
                <c:pt idx="45">
                  <c:v>2024.01.30</c:v>
                </c:pt>
                <c:pt idx="46">
                  <c:v>2024.01.31</c:v>
                </c:pt>
                <c:pt idx="47">
                  <c:v>2024.02.01</c:v>
                </c:pt>
                <c:pt idx="48">
                  <c:v>2024.02.04</c:v>
                </c:pt>
                <c:pt idx="49">
                  <c:v>2024.02.05</c:v>
                </c:pt>
                <c:pt idx="50">
                  <c:v>2024.02.21</c:v>
                </c:pt>
                <c:pt idx="51">
                  <c:v>2024.02.22</c:v>
                </c:pt>
                <c:pt idx="52">
                  <c:v>2024.02.23</c:v>
                </c:pt>
                <c:pt idx="53">
                  <c:v>2024.02.26</c:v>
                </c:pt>
                <c:pt idx="54">
                  <c:v>2024.02.27</c:v>
                </c:pt>
                <c:pt idx="55">
                  <c:v>2024.02.28</c:v>
                </c:pt>
                <c:pt idx="56">
                  <c:v>2024.02.29</c:v>
                </c:pt>
                <c:pt idx="57">
                  <c:v>2024.03.01</c:v>
                </c:pt>
                <c:pt idx="58">
                  <c:v>2024.03.04</c:v>
                </c:pt>
                <c:pt idx="59">
                  <c:v>2024.03.05</c:v>
                </c:pt>
                <c:pt idx="60">
                  <c:v>2024.03.06</c:v>
                </c:pt>
                <c:pt idx="61">
                  <c:v>2024.03.07</c:v>
                </c:pt>
                <c:pt idx="62">
                  <c:v>2024.03.08</c:v>
                </c:pt>
                <c:pt idx="63">
                  <c:v>2024.03.11</c:v>
                </c:pt>
                <c:pt idx="64">
                  <c:v>2024.03.12</c:v>
                </c:pt>
                <c:pt idx="65">
                  <c:v>2024.03.13</c:v>
                </c:pt>
                <c:pt idx="66">
                  <c:v>2024.03.14</c:v>
                </c:pt>
                <c:pt idx="67">
                  <c:v>2024.03.15</c:v>
                </c:pt>
                <c:pt idx="68">
                  <c:v>2024.03.18</c:v>
                </c:pt>
                <c:pt idx="69">
                  <c:v>2024.03.19</c:v>
                </c:pt>
                <c:pt idx="70">
                  <c:v>2024.04.09</c:v>
                </c:pt>
                <c:pt idx="71">
                  <c:v>2024.04.10</c:v>
                </c:pt>
                <c:pt idx="72">
                  <c:v>2024.04.10</c:v>
                </c:pt>
                <c:pt idx="73">
                  <c:v>2024.04.11</c:v>
                </c:pt>
                <c:pt idx="74">
                  <c:v>2024.04.11</c:v>
                </c:pt>
              </c:strCache>
            </c:strRef>
          </c:cat>
          <c:val>
            <c:numRef>
              <c:f>'欧塑OEE数据收集表(优化) (2024.02.29)'!$T$2:$T$76</c:f>
              <c:numCache>
                <c:formatCode>General</c:formatCode>
                <c:ptCount val="75"/>
                <c:pt idx="0">
                  <c:v>50</c:v>
                </c:pt>
                <c:pt idx="1">
                  <c:v>16</c:v>
                </c:pt>
                <c:pt idx="2">
                  <c:v>105</c:v>
                </c:pt>
                <c:pt idx="3">
                  <c:v>24</c:v>
                </c:pt>
                <c:pt idx="4">
                  <c:v>94</c:v>
                </c:pt>
                <c:pt idx="5">
                  <c:v>26</c:v>
                </c:pt>
                <c:pt idx="6">
                  <c:v>35</c:v>
                </c:pt>
                <c:pt idx="7">
                  <c:v>45</c:v>
                </c:pt>
                <c:pt idx="8">
                  <c:v>97</c:v>
                </c:pt>
                <c:pt idx="9">
                  <c:v>23</c:v>
                </c:pt>
                <c:pt idx="10">
                  <c:v>64</c:v>
                </c:pt>
                <c:pt idx="11">
                  <c:v>17</c:v>
                </c:pt>
                <c:pt idx="12">
                  <c:v>112</c:v>
                </c:pt>
                <c:pt idx="13">
                  <c:v>28</c:v>
                </c:pt>
                <c:pt idx="14">
                  <c:v>67</c:v>
                </c:pt>
                <c:pt idx="15">
                  <c:v>74</c:v>
                </c:pt>
                <c:pt idx="16">
                  <c:v>56</c:v>
                </c:pt>
                <c:pt idx="17">
                  <c:v>83</c:v>
                </c:pt>
                <c:pt idx="18">
                  <c:v>37</c:v>
                </c:pt>
                <c:pt idx="19">
                  <c:v>60</c:v>
                </c:pt>
                <c:pt idx="20">
                  <c:v>58</c:v>
                </c:pt>
                <c:pt idx="21">
                  <c:v>101</c:v>
                </c:pt>
                <c:pt idx="22">
                  <c:v>125</c:v>
                </c:pt>
                <c:pt idx="23">
                  <c:v>104</c:v>
                </c:pt>
                <c:pt idx="24">
                  <c:v>127</c:v>
                </c:pt>
                <c:pt idx="25">
                  <c:v>39</c:v>
                </c:pt>
                <c:pt idx="26">
                  <c:v>153</c:v>
                </c:pt>
                <c:pt idx="27">
                  <c:v>44</c:v>
                </c:pt>
                <c:pt idx="28">
                  <c:v>174</c:v>
                </c:pt>
                <c:pt idx="29">
                  <c:v>68</c:v>
                </c:pt>
                <c:pt idx="30">
                  <c:v>80</c:v>
                </c:pt>
                <c:pt idx="31">
                  <c:v>105</c:v>
                </c:pt>
                <c:pt idx="32">
                  <c:v>100</c:v>
                </c:pt>
                <c:pt idx="33">
                  <c:v>20</c:v>
                </c:pt>
                <c:pt idx="34">
                  <c:v>39</c:v>
                </c:pt>
                <c:pt idx="35">
                  <c:v>53</c:v>
                </c:pt>
                <c:pt idx="36">
                  <c:v>65</c:v>
                </c:pt>
                <c:pt idx="37">
                  <c:v>65</c:v>
                </c:pt>
                <c:pt idx="38">
                  <c:v>33</c:v>
                </c:pt>
                <c:pt idx="39">
                  <c:v>132</c:v>
                </c:pt>
                <c:pt idx="40">
                  <c:v>28</c:v>
                </c:pt>
                <c:pt idx="41">
                  <c:v>10</c:v>
                </c:pt>
                <c:pt idx="42">
                  <c:v>200</c:v>
                </c:pt>
                <c:pt idx="43">
                  <c:v>20</c:v>
                </c:pt>
                <c:pt idx="44">
                  <c:v>67</c:v>
                </c:pt>
                <c:pt idx="45">
                  <c:v>17</c:v>
                </c:pt>
                <c:pt idx="46">
                  <c:v>60</c:v>
                </c:pt>
                <c:pt idx="47">
                  <c:v>33</c:v>
                </c:pt>
                <c:pt idx="48">
                  <c:v>25</c:v>
                </c:pt>
                <c:pt idx="49">
                  <c:v>10</c:v>
                </c:pt>
                <c:pt idx="50">
                  <c:v>29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30</c:v>
                </c:pt>
                <c:pt idx="55">
                  <c:v>35</c:v>
                </c:pt>
                <c:pt idx="56">
                  <c:v>20</c:v>
                </c:pt>
                <c:pt idx="57">
                  <c:v>20</c:v>
                </c:pt>
                <c:pt idx="58">
                  <c:v>16</c:v>
                </c:pt>
                <c:pt idx="59">
                  <c:v>24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15</c:v>
                </c:pt>
                <c:pt idx="69">
                  <c:v>20</c:v>
                </c:pt>
                <c:pt idx="70">
                  <c:v>55</c:v>
                </c:pt>
                <c:pt idx="71">
                  <c:v>39</c:v>
                </c:pt>
                <c:pt idx="72">
                  <c:v>36</c:v>
                </c:pt>
                <c:pt idx="73">
                  <c:v>25</c:v>
                </c:pt>
                <c:pt idx="7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E5-4005-A045-53DBA5B28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0310648"/>
        <c:axId val="1010303808"/>
      </c:lineChart>
      <c:catAx>
        <c:axId val="1010310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0303808"/>
        <c:crosses val="autoZero"/>
        <c:auto val="1"/>
        <c:lblAlgn val="ctr"/>
        <c:lblOffset val="100"/>
        <c:noMultiLvlLbl val="0"/>
      </c:catAx>
      <c:valAx>
        <c:axId val="101030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0310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683558</xdr:colOff>
      <xdr:row>0</xdr:row>
      <xdr:rowOff>0</xdr:rowOff>
    </xdr:from>
    <xdr:to>
      <xdr:col>35</xdr:col>
      <xdr:colOff>691588</xdr:colOff>
      <xdr:row>15</xdr:row>
      <xdr:rowOff>81616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6E479-FE00-46EC-A711-3FCB99B7E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418941</xdr:colOff>
      <xdr:row>16</xdr:row>
      <xdr:rowOff>35109</xdr:rowOff>
    </xdr:from>
    <xdr:to>
      <xdr:col>33</xdr:col>
      <xdr:colOff>305734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A165E2-BC70-43B2-A3D6-E15618FDB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50922</xdr:colOff>
      <xdr:row>31</xdr:row>
      <xdr:rowOff>0</xdr:rowOff>
    </xdr:from>
    <xdr:to>
      <xdr:col>33</xdr:col>
      <xdr:colOff>22411</xdr:colOff>
      <xdr:row>54</xdr:row>
      <xdr:rowOff>95994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0D6649-93E9-45BA-857D-6B4BA8587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usUnits\AH\PROD_ProcessTeam_Condi\8.%20Performance\TRS\OAE%20-%20OEE%20Packaging%20NSA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onnées"/>
      <sheetName val="SOG-BEM"/>
      <sheetName val="Qté produite"/>
      <sheetName val="OEE"/>
      <sheetName val="Tps chgt"/>
      <sheetName val="Taille de lot"/>
      <sheetName val="New Fiche Relevés Terrain"/>
      <sheetName val="Guide opérateur"/>
      <sheetName val="Définitions"/>
      <sheetName val="FDA20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Wanlu Zhang" id="{93F7D9F1-99A7-434E-AFC2-0147ED8FACA0}" userId="S::wanlu.zhang@elancoah.com::b55c9c9f-0057-468a-bf21-fedae3d4d58e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B2" dT="2023-11-27T05:14:30.86" personId="{93F7D9F1-99A7-434E-AFC2-0147ED8FACA0}" id="{3161F7EB-A7EA-4E26-9F7D-41214A586A5A}">
    <text>3280*2(总理论产量)/420（总计划时间）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F6647-0D4F-4633-8BA0-DFD57897E52B}">
  <dimension ref="A1:U1403"/>
  <sheetViews>
    <sheetView tabSelected="1" zoomScale="70" zoomScaleNormal="70" workbookViewId="0">
      <pane xSplit="3" ySplit="1" topLeftCell="D2" activePane="bottomRight" state="frozen"/>
      <selection pane="topRight" activeCell="D1" sqref="D1"/>
      <selection pane="bottomLeft" activeCell="A4" sqref="A4"/>
      <selection pane="bottomRight" activeCell="D1" sqref="D1:D1048576"/>
    </sheetView>
  </sheetViews>
  <sheetFormatPr defaultColWidth="10.140625" defaultRowHeight="12.75"/>
  <cols>
    <col min="1" max="1" width="12.140625" style="2" customWidth="1"/>
    <col min="2" max="3" width="12" style="2" customWidth="1"/>
    <col min="4" max="7" width="19.85546875" style="2" customWidth="1"/>
    <col min="8" max="8" width="14.5703125" style="2" customWidth="1"/>
    <col min="9" max="9" width="17.5703125" style="2" customWidth="1"/>
    <col min="10" max="10" width="19.140625" style="2" customWidth="1"/>
    <col min="11" max="11" width="22.42578125" style="2" customWidth="1"/>
    <col min="12" max="12" width="14.85546875" style="2" customWidth="1"/>
    <col min="13" max="13" width="18" style="2" customWidth="1"/>
    <col min="14" max="15" width="19.5703125" style="2" customWidth="1"/>
    <col min="16" max="16" width="16.140625" style="2" customWidth="1"/>
    <col min="17" max="17" width="42" style="2" customWidth="1"/>
    <col min="18" max="18" width="15.5703125" style="2" customWidth="1"/>
    <col min="19" max="19" width="10.42578125" style="2" customWidth="1"/>
    <col min="20" max="20" width="11.140625" style="2" customWidth="1"/>
    <col min="21" max="21" width="20.28515625" style="2" customWidth="1"/>
    <col min="22" max="16384" width="10.140625" style="2"/>
  </cols>
  <sheetData>
    <row r="1" spans="1:20" s="3" customFormat="1" ht="49.5" customHeight="1">
      <c r="A1" s="14" t="s">
        <v>0</v>
      </c>
      <c r="B1" s="15" t="s">
        <v>1</v>
      </c>
      <c r="C1" s="16" t="s">
        <v>66</v>
      </c>
      <c r="D1" s="10" t="s">
        <v>67</v>
      </c>
      <c r="E1" s="7" t="s">
        <v>69</v>
      </c>
      <c r="F1" s="7" t="s">
        <v>68</v>
      </c>
      <c r="G1" s="7" t="s">
        <v>70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13" t="s">
        <v>15</v>
      </c>
      <c r="R1" s="12" t="s">
        <v>65</v>
      </c>
      <c r="S1" s="11" t="s">
        <v>13</v>
      </c>
      <c r="T1" s="11" t="s">
        <v>14</v>
      </c>
    </row>
    <row r="2" spans="1:20" ht="25.5" customHeight="1">
      <c r="A2" s="1" t="s">
        <v>11</v>
      </c>
      <c r="B2" s="5" t="s">
        <v>12</v>
      </c>
      <c r="C2" s="5">
        <v>2</v>
      </c>
      <c r="D2" s="6">
        <v>15</v>
      </c>
      <c r="E2" s="6">
        <v>30</v>
      </c>
      <c r="F2" s="6">
        <v>0</v>
      </c>
      <c r="G2" s="1">
        <v>60</v>
      </c>
      <c r="H2" s="1">
        <v>0</v>
      </c>
      <c r="I2" s="1">
        <f>110+2+13</f>
        <v>125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30</v>
      </c>
      <c r="R2" s="1">
        <v>6340</v>
      </c>
      <c r="S2" s="1">
        <v>10</v>
      </c>
      <c r="T2" s="1">
        <v>50</v>
      </c>
    </row>
    <row r="3" spans="1:20" ht="18.600000000000001" customHeight="1">
      <c r="A3" s="1" t="s">
        <v>11</v>
      </c>
      <c r="B3" s="5" t="s">
        <v>16</v>
      </c>
      <c r="C3" s="5">
        <v>2</v>
      </c>
      <c r="D3" s="6">
        <v>15</v>
      </c>
      <c r="E3" s="6">
        <v>30</v>
      </c>
      <c r="F3" s="6">
        <v>0</v>
      </c>
      <c r="G3" s="1">
        <v>60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30</v>
      </c>
      <c r="R3" s="1">
        <f>3260+3220</f>
        <v>6480</v>
      </c>
      <c r="S3" s="1">
        <v>32</v>
      </c>
      <c r="T3" s="1">
        <v>16</v>
      </c>
    </row>
    <row r="4" spans="1:20" ht="18.600000000000001" customHeight="1">
      <c r="A4" s="1" t="s">
        <v>17</v>
      </c>
      <c r="B4" s="5" t="s">
        <v>18</v>
      </c>
      <c r="C4" s="5">
        <v>2</v>
      </c>
      <c r="D4" s="6">
        <v>15</v>
      </c>
      <c r="E4" s="6">
        <v>30</v>
      </c>
      <c r="F4" s="6">
        <v>0</v>
      </c>
      <c r="G4" s="1">
        <v>60</v>
      </c>
      <c r="H4" s="1">
        <v>0</v>
      </c>
      <c r="I4" s="1">
        <v>30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30</v>
      </c>
      <c r="R4" s="1">
        <f>3240+3280</f>
        <v>6520</v>
      </c>
      <c r="S4" s="1">
        <v>16</v>
      </c>
      <c r="T4" s="1">
        <v>105</v>
      </c>
    </row>
    <row r="5" spans="1:20" ht="18.600000000000001" customHeight="1">
      <c r="A5" s="1" t="s">
        <v>19</v>
      </c>
      <c r="B5" s="5" t="s">
        <v>18</v>
      </c>
      <c r="C5" s="5">
        <v>2</v>
      </c>
      <c r="D5" s="6">
        <v>15</v>
      </c>
      <c r="E5" s="6">
        <v>30</v>
      </c>
      <c r="F5" s="6">
        <v>0</v>
      </c>
      <c r="G5" s="1">
        <v>60</v>
      </c>
      <c r="H5" s="1">
        <v>0</v>
      </c>
      <c r="I5" s="1">
        <v>10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30</v>
      </c>
      <c r="R5" s="1">
        <v>6480</v>
      </c>
      <c r="S5" s="1">
        <v>14</v>
      </c>
      <c r="T5" s="1">
        <v>24</v>
      </c>
    </row>
    <row r="6" spans="1:20" ht="18.600000000000001" customHeight="1">
      <c r="A6" s="1" t="s">
        <v>20</v>
      </c>
      <c r="B6" s="5" t="s">
        <v>12</v>
      </c>
      <c r="C6" s="5">
        <v>2</v>
      </c>
      <c r="D6" s="6">
        <v>15</v>
      </c>
      <c r="E6" s="6">
        <v>30</v>
      </c>
      <c r="F6" s="6">
        <v>0</v>
      </c>
      <c r="G6" s="1">
        <v>60</v>
      </c>
      <c r="H6" s="1">
        <v>70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30</v>
      </c>
      <c r="R6" s="1">
        <v>6520</v>
      </c>
      <c r="S6" s="1">
        <v>14</v>
      </c>
      <c r="T6" s="1">
        <v>94</v>
      </c>
    </row>
    <row r="7" spans="1:20" ht="18.600000000000001" customHeight="1">
      <c r="A7" s="1" t="s">
        <v>20</v>
      </c>
      <c r="B7" s="5" t="s">
        <v>16</v>
      </c>
      <c r="C7" s="5">
        <v>2</v>
      </c>
      <c r="D7" s="6">
        <v>15</v>
      </c>
      <c r="E7" s="6">
        <v>0</v>
      </c>
      <c r="F7" s="6">
        <v>210</v>
      </c>
      <c r="G7" s="1">
        <v>60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30</v>
      </c>
      <c r="R7" s="1">
        <v>3260</v>
      </c>
      <c r="S7" s="1">
        <v>10</v>
      </c>
      <c r="T7" s="1">
        <v>26</v>
      </c>
    </row>
    <row r="8" spans="1:20" ht="18.600000000000001" customHeight="1">
      <c r="A8" s="1" t="s">
        <v>21</v>
      </c>
      <c r="B8" s="5" t="s">
        <v>12</v>
      </c>
      <c r="C8" s="5">
        <v>2</v>
      </c>
      <c r="D8" s="6">
        <v>15</v>
      </c>
      <c r="E8" s="6">
        <v>30</v>
      </c>
      <c r="F8" s="6">
        <v>0</v>
      </c>
      <c r="G8" s="1">
        <v>60</v>
      </c>
      <c r="H8" s="1">
        <v>0</v>
      </c>
      <c r="I8" s="1">
        <v>30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30</v>
      </c>
      <c r="R8" s="1">
        <f>3220+3240</f>
        <v>6460</v>
      </c>
      <c r="S8" s="1">
        <v>18</v>
      </c>
      <c r="T8" s="1">
        <v>35</v>
      </c>
    </row>
    <row r="9" spans="1:20" ht="18.600000000000001" customHeight="1">
      <c r="A9" s="1" t="s">
        <v>21</v>
      </c>
      <c r="B9" s="5" t="s">
        <v>16</v>
      </c>
      <c r="C9" s="5">
        <v>2</v>
      </c>
      <c r="D9" s="6">
        <v>15</v>
      </c>
      <c r="E9" s="6">
        <v>30</v>
      </c>
      <c r="F9" s="6">
        <v>0</v>
      </c>
      <c r="G9" s="1">
        <v>60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30</v>
      </c>
      <c r="R9" s="1">
        <f>3260*2</f>
        <v>6520</v>
      </c>
      <c r="S9" s="1">
        <v>54</v>
      </c>
      <c r="T9" s="1">
        <v>45</v>
      </c>
    </row>
    <row r="10" spans="1:20" ht="18.600000000000001" customHeight="1">
      <c r="A10" s="1" t="s">
        <v>22</v>
      </c>
      <c r="B10" s="5" t="s">
        <v>12</v>
      </c>
      <c r="C10" s="5">
        <v>2</v>
      </c>
      <c r="D10" s="6">
        <v>15</v>
      </c>
      <c r="E10" s="6">
        <v>30</v>
      </c>
      <c r="F10" s="6">
        <v>0</v>
      </c>
      <c r="G10" s="1">
        <v>60</v>
      </c>
      <c r="H10" s="1">
        <v>0</v>
      </c>
      <c r="I10" s="1">
        <v>105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30</v>
      </c>
      <c r="R10" s="1">
        <v>6500</v>
      </c>
      <c r="S10" s="1">
        <v>9</v>
      </c>
      <c r="T10" s="1">
        <v>97</v>
      </c>
    </row>
    <row r="11" spans="1:20" ht="18.600000000000001" customHeight="1">
      <c r="A11" s="1" t="s">
        <v>22</v>
      </c>
      <c r="B11" s="5" t="s">
        <v>16</v>
      </c>
      <c r="C11" s="5">
        <v>2</v>
      </c>
      <c r="D11" s="6">
        <v>15</v>
      </c>
      <c r="E11" s="6">
        <v>30</v>
      </c>
      <c r="F11" s="6">
        <v>0</v>
      </c>
      <c r="G11" s="1">
        <v>60</v>
      </c>
      <c r="H11" s="1">
        <v>0</v>
      </c>
      <c r="I11" s="1">
        <v>60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30</v>
      </c>
      <c r="R11" s="1">
        <v>6480</v>
      </c>
      <c r="S11" s="1">
        <v>26</v>
      </c>
      <c r="T11" s="1">
        <v>23</v>
      </c>
    </row>
    <row r="12" spans="1:20" ht="18.600000000000001" customHeight="1">
      <c r="A12" s="1" t="s">
        <v>23</v>
      </c>
      <c r="B12" s="5" t="s">
        <v>12</v>
      </c>
      <c r="C12" s="5">
        <v>2</v>
      </c>
      <c r="D12" s="6">
        <v>15</v>
      </c>
      <c r="E12" s="6">
        <v>30</v>
      </c>
      <c r="F12" s="6">
        <v>0</v>
      </c>
      <c r="G12" s="1">
        <v>60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30</v>
      </c>
      <c r="R12" s="1">
        <v>6520</v>
      </c>
      <c r="S12" s="1">
        <v>3</v>
      </c>
      <c r="T12" s="1">
        <v>64</v>
      </c>
    </row>
    <row r="13" spans="1:20" ht="18.600000000000001" customHeight="1">
      <c r="A13" s="1" t="s">
        <v>23</v>
      </c>
      <c r="B13" s="5" t="s">
        <v>16</v>
      </c>
      <c r="C13" s="5">
        <v>2</v>
      </c>
      <c r="D13" s="6">
        <v>15</v>
      </c>
      <c r="E13" s="6">
        <v>30</v>
      </c>
      <c r="F13" s="6">
        <v>0</v>
      </c>
      <c r="G13" s="1">
        <v>60</v>
      </c>
      <c r="H13" s="1">
        <v>0</v>
      </c>
      <c r="I13" s="1">
        <v>30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30</v>
      </c>
      <c r="R13" s="1">
        <v>6520</v>
      </c>
      <c r="S13" s="1">
        <v>0</v>
      </c>
      <c r="T13" s="1">
        <v>17</v>
      </c>
    </row>
    <row r="14" spans="1:20" ht="18.600000000000001" customHeight="1">
      <c r="A14" s="1" t="s">
        <v>24</v>
      </c>
      <c r="B14" s="5" t="s">
        <v>12</v>
      </c>
      <c r="C14" s="5">
        <v>2</v>
      </c>
      <c r="D14" s="6">
        <v>15</v>
      </c>
      <c r="E14" s="6">
        <v>30</v>
      </c>
      <c r="F14" s="6">
        <v>0</v>
      </c>
      <c r="G14" s="1">
        <v>60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30</v>
      </c>
      <c r="R14" s="1">
        <v>6540</v>
      </c>
      <c r="S14" s="1">
        <v>16</v>
      </c>
      <c r="T14" s="1">
        <v>112</v>
      </c>
    </row>
    <row r="15" spans="1:20">
      <c r="A15" s="1" t="s">
        <v>24</v>
      </c>
      <c r="B15" s="5" t="s">
        <v>16</v>
      </c>
      <c r="C15" s="5">
        <v>2</v>
      </c>
      <c r="D15" s="6">
        <v>15</v>
      </c>
      <c r="E15" s="6">
        <v>30</v>
      </c>
      <c r="F15" s="6">
        <v>0</v>
      </c>
      <c r="G15" s="1">
        <v>60</v>
      </c>
      <c r="H15" s="1">
        <v>0</v>
      </c>
      <c r="I15" s="1">
        <v>0</v>
      </c>
      <c r="J15" s="1">
        <v>10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30</v>
      </c>
      <c r="R15" s="1">
        <v>6480</v>
      </c>
      <c r="S15" s="1">
        <v>8</v>
      </c>
      <c r="T15" s="1">
        <v>28</v>
      </c>
    </row>
    <row r="16" spans="1:20" ht="18.600000000000001" customHeight="1">
      <c r="A16" s="1" t="s">
        <v>25</v>
      </c>
      <c r="B16" s="5" t="s">
        <v>12</v>
      </c>
      <c r="C16" s="5">
        <v>2</v>
      </c>
      <c r="D16" s="6">
        <v>15</v>
      </c>
      <c r="E16" s="6">
        <v>30</v>
      </c>
      <c r="F16" s="6">
        <v>0</v>
      </c>
      <c r="G16" s="1">
        <v>60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30</v>
      </c>
      <c r="R16" s="1">
        <v>6480</v>
      </c>
      <c r="S16" s="1">
        <v>18</v>
      </c>
      <c r="T16" s="1">
        <v>67</v>
      </c>
    </row>
    <row r="17" spans="1:20" ht="18.600000000000001" customHeight="1">
      <c r="A17" s="1" t="s">
        <v>25</v>
      </c>
      <c r="B17" s="5" t="s">
        <v>16</v>
      </c>
      <c r="C17" s="5">
        <v>2</v>
      </c>
      <c r="D17" s="6">
        <v>15</v>
      </c>
      <c r="E17" s="6">
        <v>30</v>
      </c>
      <c r="F17" s="6">
        <v>0</v>
      </c>
      <c r="G17" s="1">
        <v>60</v>
      </c>
      <c r="H17" s="1">
        <v>0</v>
      </c>
      <c r="I17" s="1">
        <v>20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30</v>
      </c>
      <c r="R17" s="1">
        <v>6520</v>
      </c>
      <c r="S17" s="1">
        <v>8</v>
      </c>
      <c r="T17" s="1">
        <v>74</v>
      </c>
    </row>
    <row r="18" spans="1:20">
      <c r="A18" s="1" t="s">
        <v>28</v>
      </c>
      <c r="B18" s="5" t="s">
        <v>16</v>
      </c>
      <c r="C18" s="5">
        <v>2</v>
      </c>
      <c r="D18" s="6">
        <v>15</v>
      </c>
      <c r="E18" s="6">
        <v>30</v>
      </c>
      <c r="F18" s="6">
        <v>0</v>
      </c>
      <c r="G18" s="1">
        <v>60</v>
      </c>
      <c r="H18" s="1">
        <v>0</v>
      </c>
      <c r="I18" s="1">
        <v>10</v>
      </c>
      <c r="J18" s="1">
        <v>20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30</v>
      </c>
      <c r="R18" s="1">
        <v>6520</v>
      </c>
      <c r="S18" s="1">
        <v>10</v>
      </c>
      <c r="T18" s="1">
        <v>56</v>
      </c>
    </row>
    <row r="19" spans="1:20" ht="18.600000000000001" customHeight="1">
      <c r="A19" s="1" t="s">
        <v>29</v>
      </c>
      <c r="B19" s="5" t="s">
        <v>12</v>
      </c>
      <c r="C19" s="5">
        <v>2</v>
      </c>
      <c r="D19" s="6">
        <v>15</v>
      </c>
      <c r="E19" s="6">
        <v>30</v>
      </c>
      <c r="F19" s="6">
        <v>0</v>
      </c>
      <c r="G19" s="1">
        <v>60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30</v>
      </c>
      <c r="R19" s="1">
        <v>6520</v>
      </c>
      <c r="S19" s="1">
        <v>0</v>
      </c>
      <c r="T19" s="1">
        <v>83</v>
      </c>
    </row>
    <row r="20" spans="1:20" ht="18.600000000000001" customHeight="1">
      <c r="A20" s="1" t="s">
        <v>29</v>
      </c>
      <c r="B20" s="5" t="s">
        <v>16</v>
      </c>
      <c r="C20" s="5">
        <v>2</v>
      </c>
      <c r="D20" s="6">
        <v>15</v>
      </c>
      <c r="E20" s="6">
        <v>30</v>
      </c>
      <c r="F20" s="6">
        <v>0</v>
      </c>
      <c r="G20" s="1">
        <v>60</v>
      </c>
      <c r="H20" s="1">
        <v>0</v>
      </c>
      <c r="I20" s="1">
        <v>20</v>
      </c>
      <c r="J20" s="1">
        <v>10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30</v>
      </c>
      <c r="R20" s="1">
        <v>6500</v>
      </c>
      <c r="S20" s="1">
        <v>0</v>
      </c>
      <c r="T20" s="1">
        <v>37</v>
      </c>
    </row>
    <row r="21" spans="1:20" ht="18.600000000000001" customHeight="1">
      <c r="A21" s="1" t="s">
        <v>26</v>
      </c>
      <c r="B21" s="5" t="s">
        <v>12</v>
      </c>
      <c r="C21" s="5">
        <v>2</v>
      </c>
      <c r="D21" s="6">
        <v>15</v>
      </c>
      <c r="E21" s="6">
        <v>30</v>
      </c>
      <c r="F21" s="6">
        <v>0</v>
      </c>
      <c r="G21" s="1">
        <v>60</v>
      </c>
      <c r="H21" s="1">
        <v>0</v>
      </c>
      <c r="I21" s="1">
        <v>20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30</v>
      </c>
      <c r="R21" s="1">
        <v>6520</v>
      </c>
      <c r="S21" s="1">
        <v>18</v>
      </c>
      <c r="T21" s="1">
        <v>60</v>
      </c>
    </row>
    <row r="22" spans="1:20" ht="28.5" customHeight="1">
      <c r="A22" s="1" t="s">
        <v>26</v>
      </c>
      <c r="B22" s="5" t="s">
        <v>16</v>
      </c>
      <c r="C22" s="5">
        <v>2</v>
      </c>
      <c r="D22" s="6">
        <v>15</v>
      </c>
      <c r="E22" s="6">
        <v>30</v>
      </c>
      <c r="F22" s="6">
        <v>0</v>
      </c>
      <c r="G22" s="1">
        <v>60</v>
      </c>
      <c r="H22" s="1">
        <v>10</v>
      </c>
      <c r="I22" s="1">
        <v>25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30</v>
      </c>
      <c r="R22" s="1">
        <v>6560</v>
      </c>
      <c r="S22" s="1">
        <v>0</v>
      </c>
      <c r="T22" s="1">
        <v>58</v>
      </c>
    </row>
    <row r="23" spans="1:20" ht="18.600000000000001" customHeight="1">
      <c r="A23" s="1" t="s">
        <v>27</v>
      </c>
      <c r="B23" s="5" t="s">
        <v>12</v>
      </c>
      <c r="C23" s="5">
        <v>2</v>
      </c>
      <c r="D23" s="6">
        <v>15</v>
      </c>
      <c r="E23" s="6">
        <v>30</v>
      </c>
      <c r="F23" s="6">
        <v>0</v>
      </c>
      <c r="G23" s="1">
        <v>60</v>
      </c>
      <c r="H23" s="1">
        <v>0</v>
      </c>
      <c r="I23" s="1">
        <v>20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30</v>
      </c>
      <c r="R23" s="1">
        <v>6520</v>
      </c>
      <c r="S23" s="1">
        <v>12</v>
      </c>
      <c r="T23" s="1">
        <v>101</v>
      </c>
    </row>
    <row r="24" spans="1:20" ht="18.600000000000001" customHeight="1">
      <c r="A24" s="1" t="s">
        <v>27</v>
      </c>
      <c r="B24" s="5" t="s">
        <v>16</v>
      </c>
      <c r="C24" s="5">
        <v>2</v>
      </c>
      <c r="D24" s="6">
        <v>15</v>
      </c>
      <c r="E24" s="6">
        <v>30</v>
      </c>
      <c r="F24" s="6">
        <v>0</v>
      </c>
      <c r="G24" s="1">
        <v>60</v>
      </c>
      <c r="H24" s="1">
        <v>10</v>
      </c>
      <c r="I24" s="1">
        <v>20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30</v>
      </c>
      <c r="R24" s="1">
        <v>6540</v>
      </c>
      <c r="S24" s="1">
        <v>36</v>
      </c>
      <c r="T24" s="1">
        <v>125</v>
      </c>
    </row>
    <row r="25" spans="1:20" ht="18.600000000000001" customHeight="1">
      <c r="A25" s="1" t="s">
        <v>30</v>
      </c>
      <c r="B25" s="5" t="s">
        <v>12</v>
      </c>
      <c r="C25" s="5">
        <v>2</v>
      </c>
      <c r="D25" s="6">
        <v>15</v>
      </c>
      <c r="E25" s="6">
        <v>30</v>
      </c>
      <c r="F25" s="6">
        <v>0</v>
      </c>
      <c r="G25" s="1">
        <v>60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30</v>
      </c>
      <c r="R25" s="1">
        <v>6540</v>
      </c>
      <c r="S25" s="1">
        <v>34</v>
      </c>
      <c r="T25" s="1">
        <v>104</v>
      </c>
    </row>
    <row r="26" spans="1:20" ht="18.600000000000001" customHeight="1">
      <c r="A26" s="1" t="s">
        <v>30</v>
      </c>
      <c r="B26" s="5" t="s">
        <v>16</v>
      </c>
      <c r="C26" s="5">
        <v>2</v>
      </c>
      <c r="D26" s="6">
        <v>15</v>
      </c>
      <c r="E26" s="6">
        <v>30</v>
      </c>
      <c r="F26" s="6">
        <v>0</v>
      </c>
      <c r="G26" s="1">
        <v>60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30</v>
      </c>
      <c r="R26" s="1">
        <v>6560</v>
      </c>
      <c r="S26" s="1">
        <v>58</v>
      </c>
      <c r="T26" s="1">
        <v>127</v>
      </c>
    </row>
    <row r="27" spans="1:20" ht="18.600000000000001" customHeight="1">
      <c r="A27" s="1" t="s">
        <v>31</v>
      </c>
      <c r="B27" s="5" t="s">
        <v>18</v>
      </c>
      <c r="C27" s="5">
        <v>2</v>
      </c>
      <c r="D27" s="6">
        <v>15</v>
      </c>
      <c r="E27" s="6">
        <v>0</v>
      </c>
      <c r="F27" s="6">
        <v>210</v>
      </c>
      <c r="G27" s="1">
        <v>60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30</v>
      </c>
      <c r="R27" s="1">
        <v>3280</v>
      </c>
      <c r="S27" s="1">
        <v>34</v>
      </c>
      <c r="T27" s="1">
        <v>39</v>
      </c>
    </row>
    <row r="28" spans="1:20" ht="39.6" customHeight="1">
      <c r="A28" s="1" t="s">
        <v>33</v>
      </c>
      <c r="B28" s="5" t="s">
        <v>18</v>
      </c>
      <c r="C28" s="5">
        <v>2</v>
      </c>
      <c r="D28" s="6">
        <v>15</v>
      </c>
      <c r="E28" s="6">
        <v>0</v>
      </c>
      <c r="F28" s="6">
        <v>210</v>
      </c>
      <c r="G28" s="1">
        <v>60</v>
      </c>
      <c r="H28" s="1">
        <v>80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30</v>
      </c>
      <c r="R28" s="1">
        <v>2900</v>
      </c>
      <c r="S28" s="1">
        <v>6</v>
      </c>
      <c r="T28" s="1">
        <v>153</v>
      </c>
    </row>
    <row r="29" spans="1:20" ht="18.600000000000001" customHeight="1">
      <c r="A29" s="1" t="s">
        <v>34</v>
      </c>
      <c r="B29" s="5" t="s">
        <v>18</v>
      </c>
      <c r="C29" s="5">
        <v>2</v>
      </c>
      <c r="D29" s="6">
        <v>15</v>
      </c>
      <c r="E29" s="6">
        <v>30</v>
      </c>
      <c r="F29" s="6">
        <v>0</v>
      </c>
      <c r="G29" s="1">
        <v>60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30</v>
      </c>
      <c r="R29" s="1">
        <v>6460</v>
      </c>
      <c r="S29" s="1">
        <v>8</v>
      </c>
      <c r="T29" s="1">
        <v>44</v>
      </c>
    </row>
    <row r="30" spans="1:20" ht="18.600000000000001" customHeight="1">
      <c r="A30" s="1" t="s">
        <v>35</v>
      </c>
      <c r="B30" s="5" t="s">
        <v>16</v>
      </c>
      <c r="C30" s="5">
        <v>2</v>
      </c>
      <c r="D30" s="6">
        <v>15</v>
      </c>
      <c r="E30" s="6">
        <v>30</v>
      </c>
      <c r="F30" s="6">
        <v>0</v>
      </c>
      <c r="G30" s="1">
        <v>60</v>
      </c>
      <c r="H30" s="1">
        <v>90</v>
      </c>
      <c r="I30" s="1">
        <v>0</v>
      </c>
      <c r="J30" s="1">
        <v>10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30</v>
      </c>
      <c r="R30" s="1">
        <v>6540</v>
      </c>
      <c r="S30" s="1">
        <v>8</v>
      </c>
      <c r="T30" s="1">
        <v>174</v>
      </c>
    </row>
    <row r="31" spans="1:20" ht="18.600000000000001" customHeight="1">
      <c r="A31" s="1" t="s">
        <v>36</v>
      </c>
      <c r="B31" s="5" t="s">
        <v>18</v>
      </c>
      <c r="C31" s="5">
        <v>2</v>
      </c>
      <c r="D31" s="6">
        <v>15</v>
      </c>
      <c r="E31" s="6">
        <v>30</v>
      </c>
      <c r="F31" s="6">
        <v>0</v>
      </c>
      <c r="G31" s="1">
        <v>60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30</v>
      </c>
      <c r="R31" s="1">
        <v>6520</v>
      </c>
      <c r="S31" s="1">
        <v>6</v>
      </c>
      <c r="T31" s="1">
        <v>68</v>
      </c>
    </row>
    <row r="32" spans="1:20" ht="18.600000000000001" customHeight="1">
      <c r="A32" s="1" t="s">
        <v>32</v>
      </c>
      <c r="B32" s="5" t="s">
        <v>18</v>
      </c>
      <c r="C32" s="5">
        <v>2</v>
      </c>
      <c r="D32" s="6">
        <v>15</v>
      </c>
      <c r="E32" s="6">
        <v>30</v>
      </c>
      <c r="F32" s="6">
        <v>0</v>
      </c>
      <c r="G32" s="1">
        <v>60</v>
      </c>
      <c r="H32" s="1">
        <v>10</v>
      </c>
      <c r="I32" s="1">
        <v>20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30</v>
      </c>
      <c r="R32" s="1">
        <v>6560</v>
      </c>
      <c r="S32" s="1">
        <v>8</v>
      </c>
      <c r="T32" s="1">
        <v>80</v>
      </c>
    </row>
    <row r="33" spans="1:20" ht="18.600000000000001" customHeight="1">
      <c r="A33" s="1" t="s">
        <v>41</v>
      </c>
      <c r="B33" s="5" t="s">
        <v>18</v>
      </c>
      <c r="C33" s="5">
        <v>2</v>
      </c>
      <c r="D33" s="6">
        <v>15</v>
      </c>
      <c r="E33" s="6">
        <v>30</v>
      </c>
      <c r="F33" s="6">
        <v>0</v>
      </c>
      <c r="G33" s="1">
        <v>60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30</v>
      </c>
      <c r="R33" s="1">
        <v>6560</v>
      </c>
      <c r="S33" s="1">
        <v>4</v>
      </c>
      <c r="T33" s="1">
        <v>105</v>
      </c>
    </row>
    <row r="34" spans="1:20" ht="18.600000000000001" customHeight="1">
      <c r="A34" s="1" t="s">
        <v>37</v>
      </c>
      <c r="B34" s="5" t="s">
        <v>18</v>
      </c>
      <c r="C34" s="5">
        <v>2</v>
      </c>
      <c r="D34" s="6">
        <v>15</v>
      </c>
      <c r="E34" s="6">
        <v>30</v>
      </c>
      <c r="F34" s="6">
        <v>0</v>
      </c>
      <c r="G34" s="1">
        <v>60</v>
      </c>
      <c r="H34" s="1">
        <v>30</v>
      </c>
      <c r="I34" s="1">
        <v>0</v>
      </c>
      <c r="J34" s="1">
        <v>20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30</v>
      </c>
      <c r="R34" s="1">
        <v>6560</v>
      </c>
      <c r="S34" s="1">
        <v>12</v>
      </c>
      <c r="T34" s="1">
        <v>100</v>
      </c>
    </row>
    <row r="35" spans="1:20" ht="18.600000000000001" customHeight="1">
      <c r="A35" s="1" t="s">
        <v>42</v>
      </c>
      <c r="B35" s="5" t="s">
        <v>18</v>
      </c>
      <c r="C35" s="5">
        <v>2</v>
      </c>
      <c r="D35" s="6">
        <v>15</v>
      </c>
      <c r="E35" s="6">
        <v>30</v>
      </c>
      <c r="F35" s="6">
        <v>0</v>
      </c>
      <c r="G35" s="1">
        <v>60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30</v>
      </c>
      <c r="R35" s="1">
        <v>6560</v>
      </c>
      <c r="S35" s="1">
        <v>2</v>
      </c>
      <c r="T35" s="1">
        <v>20</v>
      </c>
    </row>
    <row r="36" spans="1:20" ht="18.600000000000001" customHeight="1">
      <c r="A36" s="1" t="s">
        <v>43</v>
      </c>
      <c r="B36" s="5" t="s">
        <v>18</v>
      </c>
      <c r="C36" s="5">
        <v>2</v>
      </c>
      <c r="D36" s="6">
        <v>15</v>
      </c>
      <c r="E36" s="6">
        <v>30</v>
      </c>
      <c r="F36" s="6">
        <v>0</v>
      </c>
      <c r="G36" s="1">
        <v>60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30</v>
      </c>
      <c r="R36" s="1">
        <v>6560</v>
      </c>
      <c r="S36" s="1">
        <v>2</v>
      </c>
      <c r="T36" s="1">
        <v>39</v>
      </c>
    </row>
    <row r="37" spans="1:20" ht="18.600000000000001" customHeight="1">
      <c r="A37" s="1" t="s">
        <v>44</v>
      </c>
      <c r="B37" s="5" t="s">
        <v>18</v>
      </c>
      <c r="C37" s="5">
        <v>2</v>
      </c>
      <c r="D37" s="6">
        <v>15</v>
      </c>
      <c r="E37" s="6">
        <v>30</v>
      </c>
      <c r="F37" s="6">
        <v>0</v>
      </c>
      <c r="G37" s="1">
        <v>60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30</v>
      </c>
      <c r="R37" s="1">
        <v>6560</v>
      </c>
      <c r="S37" s="1">
        <v>0</v>
      </c>
      <c r="T37" s="1">
        <v>53</v>
      </c>
    </row>
    <row r="38" spans="1:20" ht="18.600000000000001" customHeight="1">
      <c r="A38" s="1" t="s">
        <v>45</v>
      </c>
      <c r="B38" s="5" t="s">
        <v>18</v>
      </c>
      <c r="C38" s="5">
        <v>2</v>
      </c>
      <c r="D38" s="6">
        <v>15</v>
      </c>
      <c r="E38" s="6">
        <v>30</v>
      </c>
      <c r="F38" s="6">
        <v>0</v>
      </c>
      <c r="G38" s="1">
        <v>60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30</v>
      </c>
      <c r="R38" s="1">
        <v>6560</v>
      </c>
      <c r="S38" s="1">
        <v>0</v>
      </c>
      <c r="T38" s="1">
        <v>65</v>
      </c>
    </row>
    <row r="39" spans="1:20" ht="18.600000000000001" customHeight="1">
      <c r="A39" s="1" t="s">
        <v>38</v>
      </c>
      <c r="B39" s="5" t="s">
        <v>18</v>
      </c>
      <c r="C39" s="5">
        <v>2</v>
      </c>
      <c r="D39" s="6">
        <v>15</v>
      </c>
      <c r="E39" s="6">
        <v>30</v>
      </c>
      <c r="F39" s="6">
        <v>0</v>
      </c>
      <c r="G39" s="1">
        <v>60</v>
      </c>
      <c r="H39" s="1">
        <v>15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30</v>
      </c>
      <c r="R39" s="1">
        <v>6560</v>
      </c>
      <c r="S39" s="1">
        <v>0</v>
      </c>
      <c r="T39" s="1">
        <v>65</v>
      </c>
    </row>
    <row r="40" spans="1:20" ht="18.600000000000001" customHeight="1">
      <c r="A40" s="1" t="s">
        <v>39</v>
      </c>
      <c r="B40" s="5" t="s">
        <v>18</v>
      </c>
      <c r="C40" s="5">
        <v>2</v>
      </c>
      <c r="D40" s="6">
        <v>15</v>
      </c>
      <c r="E40" s="6">
        <v>30</v>
      </c>
      <c r="F40" s="6">
        <v>0</v>
      </c>
      <c r="G40" s="1">
        <v>60</v>
      </c>
      <c r="H40" s="1">
        <v>10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30</v>
      </c>
      <c r="R40" s="1">
        <v>6560</v>
      </c>
      <c r="S40" s="1">
        <v>0</v>
      </c>
      <c r="T40" s="1">
        <v>33</v>
      </c>
    </row>
    <row r="41" spans="1:20" ht="18.600000000000001" customHeight="1">
      <c r="A41" s="1" t="s">
        <v>40</v>
      </c>
      <c r="B41" s="5" t="s">
        <v>18</v>
      </c>
      <c r="C41" s="5">
        <v>2</v>
      </c>
      <c r="D41" s="6">
        <v>15</v>
      </c>
      <c r="E41" s="6">
        <v>30</v>
      </c>
      <c r="F41" s="6">
        <v>0</v>
      </c>
      <c r="G41" s="1">
        <v>60</v>
      </c>
      <c r="H41" s="1">
        <v>60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30</v>
      </c>
      <c r="R41" s="1">
        <v>6560</v>
      </c>
      <c r="S41" s="1">
        <v>28</v>
      </c>
      <c r="T41" s="1">
        <v>132</v>
      </c>
    </row>
    <row r="42" spans="1:20" ht="18.600000000000001" customHeight="1">
      <c r="A42" s="1" t="s">
        <v>46</v>
      </c>
      <c r="B42" s="5" t="s">
        <v>18</v>
      </c>
      <c r="C42" s="5">
        <v>2</v>
      </c>
      <c r="D42" s="6">
        <v>15</v>
      </c>
      <c r="E42" s="6">
        <v>30</v>
      </c>
      <c r="F42" s="6">
        <v>0</v>
      </c>
      <c r="G42" s="1">
        <v>60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30</v>
      </c>
      <c r="R42" s="1">
        <v>6520</v>
      </c>
      <c r="S42" s="1">
        <v>50</v>
      </c>
      <c r="T42" s="1">
        <v>28</v>
      </c>
    </row>
    <row r="43" spans="1:20" ht="18.600000000000001" customHeight="1">
      <c r="A43" s="1" t="s">
        <v>47</v>
      </c>
      <c r="B43" s="5" t="s">
        <v>18</v>
      </c>
      <c r="C43" s="5">
        <v>2</v>
      </c>
      <c r="D43" s="6">
        <v>15</v>
      </c>
      <c r="E43" s="6">
        <v>0</v>
      </c>
      <c r="F43" s="6">
        <v>210</v>
      </c>
      <c r="G43" s="1">
        <v>60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30</v>
      </c>
      <c r="R43" s="1">
        <v>3330</v>
      </c>
      <c r="S43" s="1">
        <v>20</v>
      </c>
      <c r="T43" s="1">
        <v>10</v>
      </c>
    </row>
    <row r="44" spans="1:20" ht="68.099999999999994" customHeight="1">
      <c r="A44" s="1" t="s">
        <v>48</v>
      </c>
      <c r="B44" s="5" t="s">
        <v>18</v>
      </c>
      <c r="C44" s="5">
        <v>1</v>
      </c>
      <c r="D44" s="6">
        <v>15</v>
      </c>
      <c r="E44" s="6">
        <v>0</v>
      </c>
      <c r="F44" s="6">
        <v>210</v>
      </c>
      <c r="G44" s="1">
        <v>60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25</v>
      </c>
      <c r="R44" s="1">
        <v>1580</v>
      </c>
      <c r="S44" s="1">
        <v>0</v>
      </c>
      <c r="T44" s="1">
        <v>200</v>
      </c>
    </row>
    <row r="45" spans="1:20" ht="18.600000000000001" customHeight="1">
      <c r="A45" s="1" t="s">
        <v>49</v>
      </c>
      <c r="B45" s="5" t="s">
        <v>18</v>
      </c>
      <c r="C45" s="5">
        <v>1</v>
      </c>
      <c r="D45" s="6">
        <v>15</v>
      </c>
      <c r="E45" s="6">
        <v>30</v>
      </c>
      <c r="F45" s="6">
        <v>0</v>
      </c>
      <c r="G45" s="1">
        <v>60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25</v>
      </c>
      <c r="R45" s="1">
        <v>3160</v>
      </c>
      <c r="S45" s="1">
        <v>1</v>
      </c>
      <c r="T45" s="1">
        <v>20</v>
      </c>
    </row>
    <row r="46" spans="1:20" ht="18.600000000000001" customHeight="1">
      <c r="A46" s="1" t="s">
        <v>50</v>
      </c>
      <c r="B46" s="5" t="s">
        <v>18</v>
      </c>
      <c r="C46" s="5">
        <v>1</v>
      </c>
      <c r="D46" s="6">
        <v>15</v>
      </c>
      <c r="E46" s="6">
        <v>30</v>
      </c>
      <c r="F46" s="6">
        <v>0</v>
      </c>
      <c r="G46" s="1">
        <v>60</v>
      </c>
      <c r="H46" s="1">
        <v>20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25</v>
      </c>
      <c r="R46" s="1">
        <v>3160</v>
      </c>
      <c r="S46" s="1">
        <v>1</v>
      </c>
      <c r="T46" s="1">
        <v>67</v>
      </c>
    </row>
    <row r="47" spans="1:20" ht="18.600000000000001" customHeight="1">
      <c r="A47" s="1" t="s">
        <v>51</v>
      </c>
      <c r="B47" s="5" t="s">
        <v>18</v>
      </c>
      <c r="C47" s="5">
        <v>1</v>
      </c>
      <c r="D47" s="6">
        <v>15</v>
      </c>
      <c r="E47" s="6">
        <v>30</v>
      </c>
      <c r="F47" s="6">
        <v>0</v>
      </c>
      <c r="G47" s="1">
        <v>60</v>
      </c>
      <c r="H47" s="1">
        <v>20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25</v>
      </c>
      <c r="R47" s="1">
        <v>3975</v>
      </c>
      <c r="S47" s="1">
        <v>2</v>
      </c>
      <c r="T47" s="1">
        <v>17</v>
      </c>
    </row>
    <row r="48" spans="1:20" ht="18.600000000000001" customHeight="1">
      <c r="A48" s="1" t="s">
        <v>52</v>
      </c>
      <c r="B48" s="5" t="s">
        <v>18</v>
      </c>
      <c r="C48" s="5">
        <v>1</v>
      </c>
      <c r="D48" s="6">
        <v>15</v>
      </c>
      <c r="E48" s="6">
        <v>30</v>
      </c>
      <c r="F48" s="6">
        <v>0</v>
      </c>
      <c r="G48" s="1">
        <v>60</v>
      </c>
      <c r="H48" s="1">
        <v>60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25</v>
      </c>
      <c r="R48" s="1">
        <v>3975</v>
      </c>
      <c r="S48" s="1">
        <v>38.799999999999997</v>
      </c>
      <c r="T48" s="1">
        <v>60</v>
      </c>
    </row>
    <row r="49" spans="1:20" ht="18.600000000000001" customHeight="1">
      <c r="A49" s="1" t="s">
        <v>53</v>
      </c>
      <c r="B49" s="5" t="s">
        <v>18</v>
      </c>
      <c r="C49" s="5">
        <v>1</v>
      </c>
      <c r="D49" s="6">
        <v>15</v>
      </c>
      <c r="E49" s="6">
        <v>30</v>
      </c>
      <c r="F49" s="6">
        <v>0</v>
      </c>
      <c r="G49" s="1">
        <v>60</v>
      </c>
      <c r="H49" s="1">
        <v>50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25</v>
      </c>
      <c r="R49" s="1">
        <v>3990</v>
      </c>
      <c r="S49" s="1">
        <v>35</v>
      </c>
      <c r="T49" s="1">
        <v>33</v>
      </c>
    </row>
    <row r="50" spans="1:20" ht="18.600000000000001" customHeight="1">
      <c r="A50" s="1" t="s">
        <v>54</v>
      </c>
      <c r="B50" s="5" t="s">
        <v>18</v>
      </c>
      <c r="C50" s="5">
        <v>1</v>
      </c>
      <c r="D50" s="6">
        <v>15</v>
      </c>
      <c r="E50" s="6">
        <v>30</v>
      </c>
      <c r="F50" s="6">
        <v>0</v>
      </c>
      <c r="G50" s="1">
        <v>60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25</v>
      </c>
      <c r="R50" s="1">
        <v>3970</v>
      </c>
      <c r="S50" s="1">
        <v>25</v>
      </c>
      <c r="T50" s="1">
        <v>25</v>
      </c>
    </row>
    <row r="51" spans="1:20" ht="18.600000000000001" customHeight="1">
      <c r="A51" s="1" t="s">
        <v>55</v>
      </c>
      <c r="B51" s="5" t="s">
        <v>18</v>
      </c>
      <c r="C51" s="5">
        <v>1</v>
      </c>
      <c r="D51" s="6">
        <v>15</v>
      </c>
      <c r="E51" s="6">
        <v>30</v>
      </c>
      <c r="F51" s="6">
        <v>210</v>
      </c>
      <c r="G51" s="1">
        <v>60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25</v>
      </c>
      <c r="R51" s="1">
        <v>1602</v>
      </c>
      <c r="S51" s="1">
        <v>22</v>
      </c>
      <c r="T51" s="1">
        <v>10</v>
      </c>
    </row>
    <row r="52" spans="1:20" ht="18.600000000000001" customHeight="1">
      <c r="A52" s="1" t="s">
        <v>56</v>
      </c>
      <c r="B52" s="5" t="s">
        <v>57</v>
      </c>
      <c r="C52" s="5">
        <v>2</v>
      </c>
      <c r="D52" s="6">
        <v>15</v>
      </c>
      <c r="E52" s="6">
        <v>30</v>
      </c>
      <c r="F52" s="6">
        <v>210</v>
      </c>
      <c r="G52" s="1">
        <v>60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30</v>
      </c>
      <c r="R52" s="1">
        <v>3182</v>
      </c>
      <c r="S52" s="1">
        <v>4</v>
      </c>
      <c r="T52" s="1">
        <v>29</v>
      </c>
    </row>
    <row r="53" spans="1:20" ht="18.600000000000001" customHeight="1">
      <c r="A53" s="1" t="s">
        <v>58</v>
      </c>
      <c r="B53" s="5" t="s">
        <v>57</v>
      </c>
      <c r="C53" s="5">
        <v>2</v>
      </c>
      <c r="D53" s="6">
        <v>15</v>
      </c>
      <c r="E53" s="6">
        <v>30</v>
      </c>
      <c r="F53" s="6">
        <v>0</v>
      </c>
      <c r="G53" s="1">
        <v>60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30</v>
      </c>
      <c r="R53" s="1">
        <v>6484</v>
      </c>
      <c r="S53" s="1">
        <v>8</v>
      </c>
      <c r="T53" s="1">
        <v>20</v>
      </c>
    </row>
    <row r="54" spans="1:20" ht="18.600000000000001" customHeight="1">
      <c r="A54" s="1" t="s">
        <v>59</v>
      </c>
      <c r="B54" s="5" t="s">
        <v>57</v>
      </c>
      <c r="C54" s="5">
        <v>2</v>
      </c>
      <c r="D54" s="6">
        <v>15</v>
      </c>
      <c r="E54" s="6">
        <v>30</v>
      </c>
      <c r="F54" s="6">
        <v>0</v>
      </c>
      <c r="G54" s="1">
        <v>60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30</v>
      </c>
      <c r="R54" s="1">
        <v>6524</v>
      </c>
      <c r="S54" s="1">
        <v>8</v>
      </c>
      <c r="T54" s="1">
        <v>20</v>
      </c>
    </row>
    <row r="55" spans="1:20" ht="18.600000000000001" customHeight="1">
      <c r="A55" s="1" t="s">
        <v>60</v>
      </c>
      <c r="B55" s="5" t="s">
        <v>57</v>
      </c>
      <c r="C55" s="5">
        <v>2</v>
      </c>
      <c r="D55" s="6">
        <v>15</v>
      </c>
      <c r="E55" s="6">
        <v>30</v>
      </c>
      <c r="F55" s="6">
        <v>0</v>
      </c>
      <c r="G55" s="1">
        <v>60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30</v>
      </c>
      <c r="R55" s="1">
        <v>6364</v>
      </c>
      <c r="S55" s="1">
        <v>4</v>
      </c>
      <c r="T55" s="1">
        <v>20</v>
      </c>
    </row>
    <row r="56" spans="1:20" ht="18.600000000000001" customHeight="1">
      <c r="A56" s="1" t="s">
        <v>61</v>
      </c>
      <c r="B56" s="5" t="s">
        <v>57</v>
      </c>
      <c r="C56" s="5">
        <v>2</v>
      </c>
      <c r="D56" s="6">
        <v>15</v>
      </c>
      <c r="E56" s="6">
        <v>30</v>
      </c>
      <c r="F56" s="6">
        <v>0</v>
      </c>
      <c r="G56" s="1">
        <v>60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30</v>
      </c>
      <c r="R56" s="1">
        <v>6364</v>
      </c>
      <c r="S56" s="1">
        <v>4</v>
      </c>
      <c r="T56" s="1">
        <v>30</v>
      </c>
    </row>
    <row r="57" spans="1:20" ht="18.600000000000001" customHeight="1">
      <c r="A57" s="1" t="s">
        <v>62</v>
      </c>
      <c r="B57" s="5" t="s">
        <v>57</v>
      </c>
      <c r="C57" s="5">
        <v>2</v>
      </c>
      <c r="D57" s="6">
        <v>15</v>
      </c>
      <c r="E57" s="6">
        <v>30</v>
      </c>
      <c r="F57" s="6">
        <v>0</v>
      </c>
      <c r="G57" s="1">
        <v>60</v>
      </c>
      <c r="H57" s="1">
        <v>0</v>
      </c>
      <c r="I57" s="1">
        <v>0</v>
      </c>
      <c r="J57" s="1">
        <v>30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30</v>
      </c>
      <c r="R57" s="1">
        <v>6524</v>
      </c>
      <c r="S57" s="1">
        <v>8</v>
      </c>
      <c r="T57" s="1">
        <v>35</v>
      </c>
    </row>
    <row r="58" spans="1:20">
      <c r="A58" s="1" t="s">
        <v>63</v>
      </c>
      <c r="B58" s="5" t="s">
        <v>57</v>
      </c>
      <c r="C58" s="5">
        <v>2</v>
      </c>
      <c r="D58" s="6">
        <v>15</v>
      </c>
      <c r="E58" s="6">
        <v>30</v>
      </c>
      <c r="F58" s="6">
        <v>0</v>
      </c>
      <c r="G58" s="1">
        <v>60</v>
      </c>
      <c r="H58" s="1">
        <v>50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30</v>
      </c>
      <c r="R58" s="1">
        <v>6540</v>
      </c>
      <c r="S58" s="1">
        <v>52</v>
      </c>
      <c r="T58" s="1">
        <v>20</v>
      </c>
    </row>
    <row r="59" spans="1:20">
      <c r="A59" s="1" t="s">
        <v>64</v>
      </c>
      <c r="B59" s="5" t="s">
        <v>57</v>
      </c>
      <c r="C59" s="5">
        <v>2</v>
      </c>
      <c r="D59" s="6">
        <v>15</v>
      </c>
      <c r="E59" s="6">
        <v>30</v>
      </c>
      <c r="F59" s="6">
        <v>0</v>
      </c>
      <c r="G59" s="1">
        <v>60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30</v>
      </c>
      <c r="R59" s="1">
        <v>6480</v>
      </c>
      <c r="S59" s="1">
        <v>36</v>
      </c>
      <c r="T59" s="1">
        <v>20</v>
      </c>
    </row>
    <row r="60" spans="1:20" ht="18.600000000000001" customHeight="1">
      <c r="A60" s="1" t="s">
        <v>71</v>
      </c>
      <c r="B60" s="5" t="s">
        <v>18</v>
      </c>
      <c r="C60" s="5">
        <v>2</v>
      </c>
      <c r="D60" s="6">
        <v>15</v>
      </c>
      <c r="E60" s="6">
        <v>30</v>
      </c>
      <c r="F60" s="6">
        <v>0</v>
      </c>
      <c r="G60" s="1">
        <v>60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30</v>
      </c>
      <c r="R60" s="1">
        <v>6520</v>
      </c>
      <c r="S60" s="1">
        <v>0</v>
      </c>
      <c r="T60" s="1">
        <v>16</v>
      </c>
    </row>
    <row r="61" spans="1:20" ht="18.600000000000001" customHeight="1">
      <c r="A61" s="1" t="s">
        <v>72</v>
      </c>
      <c r="B61" s="5" t="s">
        <v>18</v>
      </c>
      <c r="C61" s="5">
        <v>2</v>
      </c>
      <c r="D61" s="6">
        <v>15</v>
      </c>
      <c r="E61" s="6">
        <v>30</v>
      </c>
      <c r="F61" s="6">
        <v>0</v>
      </c>
      <c r="G61" s="1">
        <v>60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30</v>
      </c>
      <c r="R61" s="1">
        <v>6560</v>
      </c>
      <c r="S61" s="1">
        <v>0</v>
      </c>
      <c r="T61" s="1">
        <v>24</v>
      </c>
    </row>
    <row r="62" spans="1:20" ht="18.600000000000001" customHeight="1">
      <c r="A62" s="1" t="s">
        <v>73</v>
      </c>
      <c r="B62" s="5" t="s">
        <v>18</v>
      </c>
      <c r="C62" s="5">
        <v>2</v>
      </c>
      <c r="D62" s="6">
        <v>15</v>
      </c>
      <c r="E62" s="6">
        <v>30</v>
      </c>
      <c r="F62" s="6">
        <v>0</v>
      </c>
      <c r="G62" s="1">
        <v>60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30</v>
      </c>
      <c r="R62" s="1">
        <v>6560</v>
      </c>
      <c r="S62" s="1">
        <v>6</v>
      </c>
      <c r="T62" s="1">
        <v>20</v>
      </c>
    </row>
    <row r="63" spans="1:20" ht="18.600000000000001" customHeight="1">
      <c r="A63" s="1" t="s">
        <v>74</v>
      </c>
      <c r="B63" s="5" t="s">
        <v>18</v>
      </c>
      <c r="C63" s="5">
        <v>2</v>
      </c>
      <c r="D63" s="6">
        <v>15</v>
      </c>
      <c r="E63" s="6">
        <v>30</v>
      </c>
      <c r="F63" s="6">
        <v>0</v>
      </c>
      <c r="G63" s="1">
        <v>60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30</v>
      </c>
      <c r="R63" s="1">
        <v>6560</v>
      </c>
      <c r="S63" s="1">
        <v>6</v>
      </c>
      <c r="T63" s="1">
        <v>20</v>
      </c>
    </row>
    <row r="64" spans="1:20" ht="18.600000000000001" customHeight="1">
      <c r="A64" s="1" t="s">
        <v>75</v>
      </c>
      <c r="B64" s="5" t="s">
        <v>18</v>
      </c>
      <c r="C64" s="5">
        <v>2</v>
      </c>
      <c r="D64" s="6">
        <v>15</v>
      </c>
      <c r="E64" s="6">
        <v>30</v>
      </c>
      <c r="F64" s="6">
        <v>0</v>
      </c>
      <c r="G64" s="1">
        <v>60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30</v>
      </c>
      <c r="R64" s="1">
        <v>6560</v>
      </c>
      <c r="S64" s="1">
        <v>6</v>
      </c>
      <c r="T64" s="1">
        <v>20</v>
      </c>
    </row>
    <row r="65" spans="1:21" ht="18.600000000000001" customHeight="1">
      <c r="A65" s="1" t="s">
        <v>76</v>
      </c>
      <c r="B65" s="5" t="s">
        <v>18</v>
      </c>
      <c r="C65" s="5">
        <v>2</v>
      </c>
      <c r="D65" s="6">
        <v>15</v>
      </c>
      <c r="E65" s="6">
        <v>30</v>
      </c>
      <c r="F65" s="6">
        <v>0</v>
      </c>
      <c r="G65" s="1">
        <v>60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120</v>
      </c>
      <c r="Q65" s="1">
        <v>30</v>
      </c>
      <c r="R65" s="1">
        <v>4900</v>
      </c>
      <c r="S65" s="1">
        <v>3</v>
      </c>
      <c r="T65" s="1">
        <v>20</v>
      </c>
    </row>
    <row r="66" spans="1:21" ht="18.600000000000001" customHeight="1">
      <c r="A66" s="1" t="s">
        <v>77</v>
      </c>
      <c r="B66" s="5" t="s">
        <v>18</v>
      </c>
      <c r="C66" s="5">
        <v>2</v>
      </c>
      <c r="D66" s="6">
        <v>15</v>
      </c>
      <c r="E66" s="6">
        <v>30</v>
      </c>
      <c r="F66" s="6">
        <v>0</v>
      </c>
      <c r="G66" s="1">
        <v>60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120</v>
      </c>
      <c r="Q66" s="1">
        <v>30</v>
      </c>
      <c r="R66" s="1">
        <v>4900</v>
      </c>
      <c r="S66" s="1">
        <v>3</v>
      </c>
      <c r="T66" s="1">
        <v>20</v>
      </c>
    </row>
    <row r="67" spans="1:21" ht="18.600000000000001" customHeight="1">
      <c r="A67" s="1" t="s">
        <v>78</v>
      </c>
      <c r="B67" s="5" t="s">
        <v>18</v>
      </c>
      <c r="C67" s="5">
        <v>2</v>
      </c>
      <c r="D67" s="6">
        <v>15</v>
      </c>
      <c r="E67" s="6">
        <v>30</v>
      </c>
      <c r="F67" s="6">
        <v>0</v>
      </c>
      <c r="G67" s="1">
        <v>60</v>
      </c>
      <c r="H67" s="1">
        <v>0</v>
      </c>
      <c r="I67" s="1">
        <v>0</v>
      </c>
      <c r="J67" s="1">
        <v>10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30</v>
      </c>
      <c r="R67" s="1">
        <v>6520</v>
      </c>
      <c r="S67" s="1">
        <v>4</v>
      </c>
      <c r="T67" s="1">
        <v>20</v>
      </c>
    </row>
    <row r="68" spans="1:21" ht="18.600000000000001" customHeight="1">
      <c r="A68" s="1" t="s">
        <v>79</v>
      </c>
      <c r="B68" s="5" t="s">
        <v>18</v>
      </c>
      <c r="C68" s="5">
        <v>2</v>
      </c>
      <c r="D68" s="6">
        <v>15</v>
      </c>
      <c r="E68" s="6">
        <v>30</v>
      </c>
      <c r="F68" s="6">
        <v>0</v>
      </c>
      <c r="G68" s="1">
        <v>60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30</v>
      </c>
      <c r="R68" s="1">
        <v>6520</v>
      </c>
      <c r="S68" s="1">
        <v>4</v>
      </c>
      <c r="T68" s="1">
        <v>20</v>
      </c>
    </row>
    <row r="69" spans="1:21" ht="18.600000000000001" customHeight="1">
      <c r="A69" s="1" t="s">
        <v>80</v>
      </c>
      <c r="B69" s="5" t="s">
        <v>18</v>
      </c>
      <c r="C69" s="5">
        <v>2</v>
      </c>
      <c r="D69" s="6">
        <v>15</v>
      </c>
      <c r="E69" s="6">
        <v>30</v>
      </c>
      <c r="F69" s="6">
        <v>0</v>
      </c>
      <c r="G69" s="1">
        <v>60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30</v>
      </c>
      <c r="R69" s="1">
        <v>6560</v>
      </c>
      <c r="S69" s="1">
        <v>4</v>
      </c>
      <c r="T69" s="1">
        <v>20</v>
      </c>
    </row>
    <row r="70" spans="1:21" ht="18.600000000000001" customHeight="1">
      <c r="A70" s="1" t="s">
        <v>81</v>
      </c>
      <c r="B70" s="5" t="s">
        <v>18</v>
      </c>
      <c r="C70" s="5">
        <v>2</v>
      </c>
      <c r="D70" s="6">
        <v>15</v>
      </c>
      <c r="E70" s="6">
        <v>30</v>
      </c>
      <c r="F70" s="6">
        <v>0</v>
      </c>
      <c r="G70" s="1">
        <v>60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30</v>
      </c>
      <c r="R70" s="1">
        <v>6560</v>
      </c>
      <c r="S70" s="1">
        <v>24</v>
      </c>
      <c r="T70" s="1">
        <v>15</v>
      </c>
    </row>
    <row r="71" spans="1:21" ht="18.600000000000001" customHeight="1">
      <c r="A71" s="1" t="s">
        <v>82</v>
      </c>
      <c r="B71" s="5" t="s">
        <v>18</v>
      </c>
      <c r="C71" s="5">
        <v>2</v>
      </c>
      <c r="D71" s="6">
        <v>15</v>
      </c>
      <c r="E71" s="6">
        <v>30</v>
      </c>
      <c r="F71" s="6">
        <v>0</v>
      </c>
      <c r="G71" s="1">
        <v>60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30</v>
      </c>
      <c r="R71" s="1">
        <v>6560</v>
      </c>
      <c r="S71" s="1">
        <v>50</v>
      </c>
      <c r="T71" s="1">
        <v>20</v>
      </c>
    </row>
    <row r="72" spans="1:21" ht="26.65" customHeight="1">
      <c r="A72" s="1" t="s">
        <v>83</v>
      </c>
      <c r="B72" s="5" t="s">
        <v>18</v>
      </c>
      <c r="C72" s="5">
        <v>1</v>
      </c>
      <c r="D72" s="6">
        <v>15</v>
      </c>
      <c r="E72" s="6">
        <v>30</v>
      </c>
      <c r="F72" s="6">
        <v>60</v>
      </c>
      <c r="G72" s="1">
        <v>60</v>
      </c>
      <c r="H72" s="1">
        <v>120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25</v>
      </c>
      <c r="R72" s="1">
        <v>3140</v>
      </c>
      <c r="S72" s="1">
        <v>13</v>
      </c>
      <c r="T72" s="1">
        <v>55</v>
      </c>
      <c r="U72" s="9" t="s">
        <v>84</v>
      </c>
    </row>
    <row r="73" spans="1:21" ht="18.600000000000001" customHeight="1">
      <c r="A73" s="1" t="s">
        <v>85</v>
      </c>
      <c r="B73" s="5" t="s">
        <v>12</v>
      </c>
      <c r="C73" s="5">
        <v>1</v>
      </c>
      <c r="D73" s="6">
        <v>15</v>
      </c>
      <c r="E73" s="6">
        <v>45</v>
      </c>
      <c r="F73" s="6">
        <v>0</v>
      </c>
      <c r="G73" s="1">
        <v>60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25</v>
      </c>
      <c r="R73" s="1">
        <v>3970</v>
      </c>
      <c r="S73" s="1">
        <v>7</v>
      </c>
      <c r="T73" s="1">
        <v>39</v>
      </c>
    </row>
    <row r="74" spans="1:21" ht="18.600000000000001" customHeight="1">
      <c r="A74" s="1" t="s">
        <v>85</v>
      </c>
      <c r="B74" s="5" t="s">
        <v>86</v>
      </c>
      <c r="C74" s="5">
        <v>1</v>
      </c>
      <c r="D74" s="6">
        <v>15</v>
      </c>
      <c r="E74" s="6">
        <v>45</v>
      </c>
      <c r="F74" s="6">
        <v>0</v>
      </c>
      <c r="G74" s="1">
        <v>60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25</v>
      </c>
      <c r="R74" s="1">
        <v>3980</v>
      </c>
      <c r="S74" s="1">
        <v>3</v>
      </c>
      <c r="T74" s="1">
        <v>36</v>
      </c>
    </row>
    <row r="75" spans="1:21" ht="18.600000000000001" customHeight="1">
      <c r="A75" s="1" t="s">
        <v>87</v>
      </c>
      <c r="B75" s="5" t="s">
        <v>12</v>
      </c>
      <c r="C75" s="5">
        <v>1</v>
      </c>
      <c r="D75" s="6">
        <v>15</v>
      </c>
      <c r="E75" s="6">
        <v>45</v>
      </c>
      <c r="F75" s="6">
        <v>0</v>
      </c>
      <c r="G75" s="1">
        <v>60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45</v>
      </c>
      <c r="Q75" s="1">
        <v>25</v>
      </c>
      <c r="R75" s="1">
        <v>3200</v>
      </c>
      <c r="S75" s="1">
        <v>4</v>
      </c>
      <c r="T75" s="1">
        <v>25</v>
      </c>
    </row>
    <row r="76" spans="1:21" ht="18.600000000000001" customHeight="1">
      <c r="A76" s="1" t="s">
        <v>87</v>
      </c>
      <c r="B76" s="5" t="s">
        <v>86</v>
      </c>
      <c r="C76" s="5">
        <v>1</v>
      </c>
      <c r="D76" s="6">
        <v>15</v>
      </c>
      <c r="E76" s="6">
        <v>45</v>
      </c>
      <c r="F76" s="6">
        <v>0</v>
      </c>
      <c r="G76" s="1">
        <v>60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45</v>
      </c>
      <c r="Q76" s="1">
        <v>25</v>
      </c>
      <c r="R76" s="1">
        <v>3200</v>
      </c>
      <c r="S76" s="1">
        <v>2</v>
      </c>
      <c r="T76" s="1">
        <v>21</v>
      </c>
    </row>
    <row r="77" spans="1:21" ht="18.600000000000001" customHeight="1">
      <c r="A77" s="1" t="s">
        <v>88</v>
      </c>
      <c r="B77" s="5" t="s">
        <v>89</v>
      </c>
      <c r="C77" s="8">
        <v>1</v>
      </c>
      <c r="D77" s="6">
        <v>15</v>
      </c>
      <c r="E77" s="6">
        <v>45</v>
      </c>
      <c r="F77" s="6">
        <v>0</v>
      </c>
      <c r="G77" s="1">
        <v>60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25</v>
      </c>
      <c r="R77" s="1">
        <v>3200</v>
      </c>
      <c r="S77" s="1">
        <v>14</v>
      </c>
      <c r="T77" s="1">
        <v>16</v>
      </c>
    </row>
    <row r="78" spans="1:21" ht="18.600000000000001" customHeight="1">
      <c r="A78" s="1" t="s">
        <v>88</v>
      </c>
      <c r="B78" s="5" t="s">
        <v>90</v>
      </c>
      <c r="C78" s="8">
        <v>1</v>
      </c>
      <c r="D78" s="6">
        <v>15</v>
      </c>
      <c r="E78" s="6">
        <v>45</v>
      </c>
      <c r="F78" s="6">
        <v>0</v>
      </c>
      <c r="G78" s="1">
        <v>60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25</v>
      </c>
      <c r="R78" s="1">
        <v>3200</v>
      </c>
      <c r="S78" s="1">
        <v>30</v>
      </c>
      <c r="T78" s="1">
        <v>35</v>
      </c>
    </row>
    <row r="79" spans="1:21" ht="18.600000000000001" customHeight="1">
      <c r="A79" s="1" t="s">
        <v>91</v>
      </c>
      <c r="B79" s="5" t="s">
        <v>12</v>
      </c>
      <c r="C79" s="5">
        <v>2</v>
      </c>
      <c r="D79" s="6">
        <v>15</v>
      </c>
      <c r="E79" s="6">
        <v>30</v>
      </c>
      <c r="F79" s="6">
        <v>210</v>
      </c>
      <c r="G79" s="1">
        <v>60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30</v>
      </c>
      <c r="R79" s="1">
        <v>3160</v>
      </c>
      <c r="S79" s="1">
        <v>12</v>
      </c>
      <c r="T79" s="1">
        <v>20</v>
      </c>
    </row>
    <row r="80" spans="1:21" ht="18.600000000000001" customHeight="1">
      <c r="A80" s="1" t="s">
        <v>91</v>
      </c>
      <c r="B80" s="5" t="s">
        <v>16</v>
      </c>
      <c r="C80" s="5">
        <v>2</v>
      </c>
      <c r="D80" s="6">
        <v>15</v>
      </c>
      <c r="E80" s="6">
        <v>30</v>
      </c>
      <c r="F80" s="6">
        <v>0</v>
      </c>
      <c r="G80" s="1">
        <v>60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30</v>
      </c>
      <c r="R80" s="1">
        <v>6460</v>
      </c>
      <c r="S80" s="1">
        <v>20</v>
      </c>
      <c r="T80" s="1">
        <v>46</v>
      </c>
    </row>
    <row r="81" spans="1:20" ht="18.600000000000001" customHeight="1">
      <c r="A81" s="1" t="s">
        <v>92</v>
      </c>
      <c r="B81" s="5" t="s">
        <v>12</v>
      </c>
      <c r="C81" s="5">
        <v>2</v>
      </c>
      <c r="D81" s="6">
        <v>15</v>
      </c>
      <c r="E81" s="6">
        <v>30</v>
      </c>
      <c r="F81" s="6">
        <v>0</v>
      </c>
      <c r="G81" s="1">
        <v>60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30</v>
      </c>
      <c r="R81" s="1">
        <v>6540</v>
      </c>
      <c r="S81" s="1">
        <v>16</v>
      </c>
      <c r="T81" s="1">
        <v>48</v>
      </c>
    </row>
    <row r="82" spans="1:20" ht="18.600000000000001" customHeight="1">
      <c r="A82" s="1" t="s">
        <v>92</v>
      </c>
      <c r="B82" s="5" t="s">
        <v>16</v>
      </c>
      <c r="C82" s="5">
        <v>2</v>
      </c>
      <c r="D82" s="6">
        <v>15</v>
      </c>
      <c r="E82" s="6">
        <v>30</v>
      </c>
      <c r="F82" s="6">
        <v>0</v>
      </c>
      <c r="G82" s="1">
        <v>60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30</v>
      </c>
      <c r="R82" s="1">
        <v>6520</v>
      </c>
      <c r="S82" s="1">
        <v>20</v>
      </c>
      <c r="T82" s="1">
        <v>40</v>
      </c>
    </row>
    <row r="83" spans="1:20" ht="18.600000000000001" customHeight="1">
      <c r="A83" s="1" t="s">
        <v>93</v>
      </c>
      <c r="B83" s="5" t="s">
        <v>12</v>
      </c>
      <c r="C83" s="5">
        <v>2</v>
      </c>
      <c r="D83" s="6">
        <v>15</v>
      </c>
      <c r="E83" s="6">
        <v>30</v>
      </c>
      <c r="F83" s="6">
        <v>0</v>
      </c>
      <c r="G83" s="1">
        <v>60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30</v>
      </c>
      <c r="R83" s="1">
        <v>6540</v>
      </c>
      <c r="S83" s="1">
        <v>20</v>
      </c>
      <c r="T83" s="1">
        <v>40</v>
      </c>
    </row>
    <row r="84" spans="1:20" ht="18.600000000000001" customHeight="1">
      <c r="A84" s="1" t="s">
        <v>93</v>
      </c>
      <c r="B84" s="5" t="s">
        <v>16</v>
      </c>
      <c r="C84" s="5">
        <v>2</v>
      </c>
      <c r="D84" s="6">
        <v>15</v>
      </c>
      <c r="E84" s="6">
        <v>30</v>
      </c>
      <c r="F84" s="6">
        <v>0</v>
      </c>
      <c r="G84" s="1">
        <v>60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30</v>
      </c>
      <c r="R84" s="1">
        <v>6540</v>
      </c>
      <c r="S84" s="1">
        <v>14</v>
      </c>
      <c r="T84" s="1">
        <v>28</v>
      </c>
    </row>
    <row r="85" spans="1:20" ht="18.600000000000001" customHeight="1">
      <c r="A85" s="1" t="s">
        <v>94</v>
      </c>
      <c r="B85" s="5" t="s">
        <v>12</v>
      </c>
      <c r="C85" s="5">
        <v>2</v>
      </c>
      <c r="D85" s="6">
        <v>15</v>
      </c>
      <c r="E85" s="6">
        <v>30</v>
      </c>
      <c r="F85" s="6">
        <v>0</v>
      </c>
      <c r="G85" s="1">
        <v>60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30</v>
      </c>
      <c r="R85" s="1">
        <v>6540</v>
      </c>
      <c r="S85" s="1">
        <v>16</v>
      </c>
      <c r="T85" s="1">
        <v>30</v>
      </c>
    </row>
    <row r="86" spans="1:20" ht="18.600000000000001" customHeight="1">
      <c r="A86" s="1" t="s">
        <v>94</v>
      </c>
      <c r="B86" s="5" t="s">
        <v>16</v>
      </c>
      <c r="C86" s="5">
        <v>2</v>
      </c>
      <c r="D86" s="6">
        <v>15</v>
      </c>
      <c r="E86" s="6">
        <v>30</v>
      </c>
      <c r="F86" s="6">
        <v>0</v>
      </c>
      <c r="G86" s="1">
        <v>60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30</v>
      </c>
      <c r="R86" s="1">
        <v>6560</v>
      </c>
      <c r="S86" s="1">
        <v>8</v>
      </c>
      <c r="T86" s="1">
        <v>28</v>
      </c>
    </row>
    <row r="87" spans="1:20" ht="18.600000000000001" customHeight="1">
      <c r="A87" s="1" t="s">
        <v>95</v>
      </c>
      <c r="B87" s="5" t="s">
        <v>12</v>
      </c>
      <c r="C87" s="5">
        <v>2</v>
      </c>
      <c r="D87" s="6">
        <v>15</v>
      </c>
      <c r="E87" s="6">
        <v>30</v>
      </c>
      <c r="F87" s="6">
        <v>0</v>
      </c>
      <c r="G87" s="1">
        <v>60</v>
      </c>
      <c r="H87" s="1">
        <v>0</v>
      </c>
      <c r="I87" s="1">
        <v>20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30</v>
      </c>
      <c r="R87" s="1">
        <v>6560</v>
      </c>
      <c r="S87" s="1">
        <v>8</v>
      </c>
      <c r="T87" s="1">
        <v>30</v>
      </c>
    </row>
    <row r="88" spans="1:20" ht="18.600000000000001" customHeight="1">
      <c r="A88" s="1" t="s">
        <v>95</v>
      </c>
      <c r="B88" s="5" t="s">
        <v>16</v>
      </c>
      <c r="C88" s="5">
        <v>2</v>
      </c>
      <c r="D88" s="6">
        <v>15</v>
      </c>
      <c r="E88" s="6">
        <v>30</v>
      </c>
      <c r="F88" s="6">
        <v>0</v>
      </c>
      <c r="G88" s="1">
        <v>60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30</v>
      </c>
      <c r="R88" s="1">
        <v>6560</v>
      </c>
      <c r="S88" s="1">
        <v>8</v>
      </c>
      <c r="T88" s="1">
        <v>35</v>
      </c>
    </row>
    <row r="89" spans="1:20" ht="18.600000000000001" customHeight="1">
      <c r="A89" s="1" t="s">
        <v>96</v>
      </c>
      <c r="B89" s="5" t="s">
        <v>12</v>
      </c>
      <c r="C89" s="5">
        <v>2</v>
      </c>
      <c r="D89" s="6">
        <v>15</v>
      </c>
      <c r="E89" s="6">
        <v>30</v>
      </c>
      <c r="F89" s="6">
        <v>0</v>
      </c>
      <c r="G89" s="1">
        <v>60</v>
      </c>
      <c r="H89" s="1">
        <v>0</v>
      </c>
      <c r="I89" s="1">
        <v>20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30</v>
      </c>
      <c r="R89" s="1">
        <v>6560</v>
      </c>
      <c r="S89" s="1">
        <v>8</v>
      </c>
      <c r="T89" s="1">
        <v>20</v>
      </c>
    </row>
    <row r="90" spans="1:20" ht="18.600000000000001" customHeight="1">
      <c r="A90" s="1" t="s">
        <v>96</v>
      </c>
      <c r="B90" s="5" t="s">
        <v>16</v>
      </c>
      <c r="C90" s="5">
        <v>2</v>
      </c>
      <c r="D90" s="6">
        <v>15</v>
      </c>
      <c r="E90" s="6">
        <v>30</v>
      </c>
      <c r="F90" s="6">
        <v>0</v>
      </c>
      <c r="G90" s="1">
        <v>60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30</v>
      </c>
      <c r="R90" s="1">
        <v>6520</v>
      </c>
      <c r="S90" s="1">
        <v>8</v>
      </c>
      <c r="T90" s="1">
        <v>60</v>
      </c>
    </row>
    <row r="91" spans="1:20" ht="18.600000000000001" customHeight="1">
      <c r="A91" s="1" t="s">
        <v>101</v>
      </c>
      <c r="B91" s="5" t="s">
        <v>12</v>
      </c>
      <c r="C91" s="5">
        <v>2</v>
      </c>
      <c r="D91" s="6">
        <v>15</v>
      </c>
      <c r="E91" s="6">
        <v>30</v>
      </c>
      <c r="F91" s="6">
        <v>0</v>
      </c>
      <c r="G91" s="1">
        <v>60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30</v>
      </c>
      <c r="R91" s="1">
        <v>6560</v>
      </c>
      <c r="S91" s="1">
        <v>42</v>
      </c>
      <c r="T91" s="1">
        <v>20</v>
      </c>
    </row>
    <row r="92" spans="1:20" ht="18.600000000000001" customHeight="1">
      <c r="A92" s="1" t="s">
        <v>101</v>
      </c>
      <c r="B92" s="5" t="s">
        <v>100</v>
      </c>
      <c r="C92" s="5">
        <v>2</v>
      </c>
      <c r="D92" s="6">
        <v>15</v>
      </c>
      <c r="E92" s="6">
        <v>30</v>
      </c>
      <c r="F92" s="6">
        <v>0</v>
      </c>
      <c r="G92" s="1">
        <v>60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30</v>
      </c>
      <c r="R92" s="1">
        <v>3260</v>
      </c>
      <c r="S92" s="1">
        <v>40</v>
      </c>
      <c r="T92" s="1">
        <v>10</v>
      </c>
    </row>
    <row r="93" spans="1:20" ht="18.600000000000001" customHeight="1">
      <c r="A93" s="1" t="s">
        <v>97</v>
      </c>
      <c r="B93" s="5" t="s">
        <v>18</v>
      </c>
      <c r="C93" s="5">
        <v>2</v>
      </c>
      <c r="D93" s="6">
        <v>15</v>
      </c>
      <c r="E93" s="6">
        <v>30</v>
      </c>
      <c r="F93" s="6">
        <v>0</v>
      </c>
      <c r="G93" s="1">
        <v>60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30</v>
      </c>
      <c r="R93" s="1">
        <v>6420</v>
      </c>
      <c r="S93" s="1">
        <v>14</v>
      </c>
      <c r="T93" s="1">
        <v>50</v>
      </c>
    </row>
    <row r="94" spans="1:20" ht="18.600000000000001" customHeight="1">
      <c r="A94" s="1" t="s">
        <v>98</v>
      </c>
      <c r="B94" s="5" t="s">
        <v>18</v>
      </c>
      <c r="C94" s="5">
        <v>2</v>
      </c>
      <c r="D94" s="6">
        <v>15</v>
      </c>
      <c r="E94" s="6">
        <v>30</v>
      </c>
      <c r="F94" s="6">
        <v>0</v>
      </c>
      <c r="G94" s="1">
        <v>60</v>
      </c>
      <c r="H94" s="1">
        <v>0</v>
      </c>
      <c r="I94" s="1">
        <v>10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30</v>
      </c>
      <c r="R94" s="1">
        <v>6500</v>
      </c>
      <c r="S94" s="1">
        <v>12</v>
      </c>
      <c r="T94" s="1">
        <v>30</v>
      </c>
    </row>
    <row r="95" spans="1:20" ht="18.600000000000001" customHeight="1">
      <c r="A95" s="1" t="s">
        <v>99</v>
      </c>
      <c r="B95" s="5" t="s">
        <v>12</v>
      </c>
      <c r="C95" s="5">
        <v>2</v>
      </c>
      <c r="D95" s="6">
        <v>15</v>
      </c>
      <c r="E95" s="6">
        <v>30</v>
      </c>
      <c r="F95" s="6">
        <v>0</v>
      </c>
      <c r="G95" s="1">
        <v>60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30</v>
      </c>
      <c r="R95" s="1">
        <v>6520</v>
      </c>
      <c r="S95" s="1">
        <v>16</v>
      </c>
      <c r="T95" s="1">
        <v>25</v>
      </c>
    </row>
    <row r="96" spans="1:20" ht="18.600000000000001" customHeight="1">
      <c r="A96" s="1" t="s">
        <v>102</v>
      </c>
      <c r="B96" s="5" t="s">
        <v>12</v>
      </c>
      <c r="C96" s="5">
        <v>2</v>
      </c>
      <c r="D96" s="6">
        <v>15</v>
      </c>
      <c r="E96" s="6">
        <v>30</v>
      </c>
      <c r="F96" s="6">
        <v>0</v>
      </c>
      <c r="G96" s="1">
        <v>60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30</v>
      </c>
      <c r="R96" s="1">
        <v>6520</v>
      </c>
      <c r="S96" s="1">
        <v>10</v>
      </c>
      <c r="T96" s="1">
        <v>31</v>
      </c>
    </row>
    <row r="97" spans="1:20" ht="18.600000000000001" customHeight="1">
      <c r="A97" s="1" t="s">
        <v>102</v>
      </c>
      <c r="B97" s="5" t="s">
        <v>16</v>
      </c>
      <c r="C97" s="5">
        <v>2</v>
      </c>
      <c r="D97" s="6">
        <v>15</v>
      </c>
      <c r="E97" s="6">
        <v>30</v>
      </c>
      <c r="F97" s="6">
        <v>0</v>
      </c>
      <c r="G97" s="1">
        <v>60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30</v>
      </c>
      <c r="R97" s="1">
        <v>6520</v>
      </c>
      <c r="S97" s="1">
        <v>14</v>
      </c>
      <c r="T97" s="1">
        <v>21</v>
      </c>
    </row>
    <row r="98" spans="1:20" ht="18.600000000000001" customHeight="1">
      <c r="A98" s="1" t="s">
        <v>103</v>
      </c>
      <c r="B98" s="5" t="s">
        <v>18</v>
      </c>
      <c r="C98" s="5">
        <v>2</v>
      </c>
      <c r="D98" s="6">
        <v>15</v>
      </c>
      <c r="E98" s="6">
        <v>30</v>
      </c>
      <c r="F98" s="6">
        <v>0</v>
      </c>
      <c r="G98" s="1">
        <v>60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10</v>
      </c>
      <c r="Q98" s="1">
        <v>30</v>
      </c>
      <c r="R98" s="1">
        <v>6560</v>
      </c>
      <c r="S98" s="1">
        <v>2</v>
      </c>
      <c r="T98" s="1">
        <v>34</v>
      </c>
    </row>
    <row r="99" spans="1:20" ht="18.600000000000001" customHeight="1">
      <c r="A99" s="1" t="s">
        <v>104</v>
      </c>
      <c r="B99" s="5" t="s">
        <v>18</v>
      </c>
      <c r="C99" s="5">
        <v>2</v>
      </c>
      <c r="D99" s="6">
        <v>15</v>
      </c>
      <c r="E99" s="6">
        <v>30</v>
      </c>
      <c r="F99" s="6">
        <v>0</v>
      </c>
      <c r="G99" s="1">
        <v>60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10</v>
      </c>
      <c r="Q99" s="1">
        <v>30</v>
      </c>
      <c r="R99" s="1">
        <v>6560</v>
      </c>
      <c r="S99" s="1">
        <v>34</v>
      </c>
      <c r="T99" s="1">
        <v>29</v>
      </c>
    </row>
    <row r="100" spans="1:20" ht="18.600000000000001" customHeight="1">
      <c r="A100" s="1" t="s">
        <v>105</v>
      </c>
      <c r="B100" s="5" t="s">
        <v>18</v>
      </c>
      <c r="C100" s="5">
        <v>2</v>
      </c>
      <c r="D100" s="6">
        <v>15</v>
      </c>
      <c r="E100" s="6">
        <v>30</v>
      </c>
      <c r="F100" s="6">
        <v>0</v>
      </c>
      <c r="G100" s="1">
        <v>60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10</v>
      </c>
      <c r="Q100" s="1">
        <v>30</v>
      </c>
      <c r="R100" s="1">
        <v>6560</v>
      </c>
      <c r="S100" s="1">
        <v>54</v>
      </c>
      <c r="T100" s="1">
        <v>23</v>
      </c>
    </row>
    <row r="101" spans="1:20" ht="18.600000000000001" customHeight="1">
      <c r="A101" s="1" t="s">
        <v>106</v>
      </c>
      <c r="B101" s="5" t="s">
        <v>12</v>
      </c>
      <c r="C101" s="5">
        <v>2</v>
      </c>
      <c r="D101" s="6">
        <v>15</v>
      </c>
      <c r="E101" s="6">
        <v>30</v>
      </c>
      <c r="F101" s="6">
        <v>0</v>
      </c>
      <c r="G101" s="1">
        <v>60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10</v>
      </c>
      <c r="Q101" s="1">
        <v>30</v>
      </c>
      <c r="R101" s="1">
        <v>6560</v>
      </c>
      <c r="S101" s="1">
        <v>56</v>
      </c>
      <c r="T101" s="1">
        <v>21</v>
      </c>
    </row>
    <row r="102" spans="1:20" ht="18.600000000000001" customHeight="1">
      <c r="A102" s="1" t="s">
        <v>107</v>
      </c>
      <c r="B102" s="5" t="s">
        <v>112</v>
      </c>
      <c r="C102" s="5">
        <v>2</v>
      </c>
      <c r="D102" s="6">
        <v>15</v>
      </c>
      <c r="E102" s="6">
        <v>30</v>
      </c>
      <c r="F102" s="6">
        <v>0</v>
      </c>
      <c r="G102" s="1">
        <v>60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30</v>
      </c>
      <c r="R102" s="1">
        <v>6440</v>
      </c>
      <c r="S102" s="1">
        <v>74</v>
      </c>
      <c r="T102" s="1">
        <v>20</v>
      </c>
    </row>
    <row r="103" spans="1:20" ht="18.600000000000001" customHeight="1">
      <c r="A103" s="1" t="s">
        <v>108</v>
      </c>
      <c r="B103" s="5" t="s">
        <v>112</v>
      </c>
      <c r="C103" s="5">
        <v>2</v>
      </c>
      <c r="D103" s="6">
        <v>15</v>
      </c>
      <c r="E103" s="6">
        <v>30</v>
      </c>
      <c r="F103" s="6">
        <v>0</v>
      </c>
      <c r="G103" s="1">
        <v>60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10</v>
      </c>
      <c r="Q103" s="1">
        <v>30</v>
      </c>
      <c r="R103" s="1">
        <v>6480</v>
      </c>
      <c r="S103" s="1">
        <v>18</v>
      </c>
      <c r="T103" s="1">
        <v>20</v>
      </c>
    </row>
    <row r="104" spans="1:20" ht="18.600000000000001" customHeight="1">
      <c r="A104" s="1" t="s">
        <v>109</v>
      </c>
      <c r="B104" s="5" t="s">
        <v>112</v>
      </c>
      <c r="C104" s="5">
        <v>2</v>
      </c>
      <c r="D104" s="6">
        <v>15</v>
      </c>
      <c r="E104" s="6">
        <v>30</v>
      </c>
      <c r="F104" s="6">
        <v>0</v>
      </c>
      <c r="G104" s="1">
        <v>60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10</v>
      </c>
      <c r="Q104" s="1">
        <v>30</v>
      </c>
      <c r="R104" s="1">
        <v>6520</v>
      </c>
      <c r="S104" s="1">
        <v>10</v>
      </c>
      <c r="T104" s="1">
        <v>20</v>
      </c>
    </row>
    <row r="105" spans="1:20" ht="18.600000000000001" customHeight="1">
      <c r="A105" s="1" t="s">
        <v>110</v>
      </c>
      <c r="B105" s="5" t="s">
        <v>112</v>
      </c>
      <c r="C105" s="5">
        <v>2</v>
      </c>
      <c r="D105" s="6">
        <v>15</v>
      </c>
      <c r="E105" s="6">
        <v>30</v>
      </c>
      <c r="F105" s="6">
        <v>0</v>
      </c>
      <c r="G105" s="1">
        <v>60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10</v>
      </c>
      <c r="Q105" s="1">
        <v>30</v>
      </c>
      <c r="R105" s="1">
        <v>6560</v>
      </c>
      <c r="S105" s="1">
        <v>38</v>
      </c>
      <c r="T105" s="1">
        <v>20</v>
      </c>
    </row>
    <row r="106" spans="1:20" ht="18.600000000000001" customHeight="1">
      <c r="A106" s="1" t="s">
        <v>111</v>
      </c>
      <c r="B106" s="5" t="s">
        <v>113</v>
      </c>
      <c r="C106" s="5">
        <v>2</v>
      </c>
      <c r="D106" s="6">
        <v>15</v>
      </c>
      <c r="E106" s="6">
        <v>30</v>
      </c>
      <c r="F106" s="6">
        <v>0</v>
      </c>
      <c r="G106" s="1">
        <v>60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10</v>
      </c>
      <c r="Q106" s="1">
        <v>30</v>
      </c>
      <c r="R106" s="1">
        <v>6560</v>
      </c>
      <c r="S106" s="1">
        <v>60</v>
      </c>
      <c r="T106" s="1">
        <v>20</v>
      </c>
    </row>
    <row r="107" spans="1:20" ht="18.600000000000001" customHeight="1">
      <c r="A107" s="1" t="s">
        <v>114</v>
      </c>
      <c r="B107" s="5" t="s">
        <v>115</v>
      </c>
      <c r="C107" s="8">
        <v>1</v>
      </c>
      <c r="D107" s="6">
        <v>15</v>
      </c>
      <c r="E107" s="6">
        <v>30</v>
      </c>
      <c r="F107" s="6">
        <v>0</v>
      </c>
      <c r="G107" s="1">
        <v>60</v>
      </c>
      <c r="H107" s="1">
        <v>60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10</v>
      </c>
      <c r="Q107" s="1">
        <v>25</v>
      </c>
      <c r="R107" s="1">
        <v>1570</v>
      </c>
      <c r="S107" s="1">
        <v>1</v>
      </c>
      <c r="T107" s="1">
        <v>30</v>
      </c>
    </row>
    <row r="108" spans="1:20" ht="18.600000000000001" customHeight="1">
      <c r="A108" s="1" t="s">
        <v>116</v>
      </c>
      <c r="B108" s="5" t="s">
        <v>117</v>
      </c>
      <c r="C108" s="8">
        <v>1</v>
      </c>
      <c r="D108" s="6">
        <v>15</v>
      </c>
      <c r="E108" s="6">
        <v>30</v>
      </c>
      <c r="F108" s="6">
        <v>0</v>
      </c>
      <c r="G108" s="1">
        <v>60</v>
      </c>
      <c r="H108" s="1">
        <v>40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10</v>
      </c>
      <c r="Q108" s="1">
        <v>25</v>
      </c>
      <c r="R108" s="1">
        <v>3960</v>
      </c>
      <c r="S108" s="1">
        <v>13</v>
      </c>
      <c r="T108" s="1">
        <v>46</v>
      </c>
    </row>
    <row r="109" spans="1:20" ht="18.600000000000001" customHeight="1">
      <c r="A109" s="1" t="s">
        <v>116</v>
      </c>
      <c r="B109" s="5" t="s">
        <v>118</v>
      </c>
      <c r="C109" s="8">
        <v>1</v>
      </c>
      <c r="D109" s="6">
        <v>15</v>
      </c>
      <c r="E109" s="6">
        <v>30</v>
      </c>
      <c r="F109" s="6">
        <v>0</v>
      </c>
      <c r="G109" s="1">
        <v>60</v>
      </c>
      <c r="H109" s="1">
        <v>10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25</v>
      </c>
      <c r="R109" s="1">
        <v>3970</v>
      </c>
      <c r="S109" s="1">
        <v>7</v>
      </c>
      <c r="T109" s="1">
        <v>18</v>
      </c>
    </row>
    <row r="110" spans="1:20" ht="18.600000000000001" customHeight="1">
      <c r="A110" s="1" t="s">
        <v>119</v>
      </c>
      <c r="B110" s="5" t="s">
        <v>120</v>
      </c>
      <c r="C110" s="8">
        <v>1</v>
      </c>
      <c r="D110" s="6">
        <v>15</v>
      </c>
      <c r="E110" s="6">
        <v>30</v>
      </c>
      <c r="F110" s="6">
        <v>0</v>
      </c>
      <c r="G110" s="1">
        <v>60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10</v>
      </c>
      <c r="Q110" s="1">
        <v>25</v>
      </c>
      <c r="R110" s="1">
        <v>4010</v>
      </c>
      <c r="S110" s="1">
        <v>32</v>
      </c>
      <c r="T110" s="1">
        <v>35</v>
      </c>
    </row>
    <row r="111" spans="1:20" ht="18.600000000000001" customHeight="1">
      <c r="A111" s="1" t="s">
        <v>121</v>
      </c>
      <c r="B111" s="5" t="s">
        <v>120</v>
      </c>
      <c r="C111" s="8">
        <v>1</v>
      </c>
      <c r="D111" s="6">
        <v>15</v>
      </c>
      <c r="E111" s="6">
        <v>30</v>
      </c>
      <c r="F111" s="6">
        <v>0</v>
      </c>
      <c r="G111" s="1">
        <v>60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25</v>
      </c>
      <c r="R111" s="1">
        <v>2410</v>
      </c>
      <c r="S111" s="1">
        <v>13</v>
      </c>
      <c r="T111" s="1">
        <v>61</v>
      </c>
    </row>
    <row r="112" spans="1:20" ht="18.600000000000001" customHeight="1">
      <c r="A112" s="1" t="s">
        <v>122</v>
      </c>
      <c r="B112" s="5" t="s">
        <v>123</v>
      </c>
      <c r="C112" s="5">
        <v>2</v>
      </c>
      <c r="D112" s="6">
        <v>15</v>
      </c>
      <c r="E112" s="6">
        <v>30</v>
      </c>
      <c r="F112" s="6">
        <v>210</v>
      </c>
      <c r="G112" s="1">
        <v>60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30</v>
      </c>
      <c r="R112" s="1">
        <v>3200</v>
      </c>
      <c r="S112" s="1">
        <v>6</v>
      </c>
      <c r="T112" s="1">
        <v>22</v>
      </c>
    </row>
    <row r="113" spans="1:20" ht="18.600000000000001" customHeight="1">
      <c r="A113" s="1" t="s">
        <v>124</v>
      </c>
      <c r="B113" s="5" t="s">
        <v>125</v>
      </c>
      <c r="C113" s="5">
        <v>2</v>
      </c>
      <c r="D113" s="6">
        <v>15</v>
      </c>
      <c r="E113" s="6">
        <v>30</v>
      </c>
      <c r="F113" s="6">
        <v>0</v>
      </c>
      <c r="G113" s="1">
        <v>60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30</v>
      </c>
      <c r="R113" s="1">
        <v>6520</v>
      </c>
      <c r="S113" s="1">
        <v>6</v>
      </c>
      <c r="T113" s="1">
        <v>30</v>
      </c>
    </row>
    <row r="114" spans="1:20" ht="18.600000000000001" customHeight="1">
      <c r="A114" s="1" t="s">
        <v>124</v>
      </c>
      <c r="B114" s="5" t="s">
        <v>126</v>
      </c>
      <c r="C114" s="5">
        <v>2</v>
      </c>
      <c r="D114" s="6">
        <v>15</v>
      </c>
      <c r="E114" s="6">
        <v>30</v>
      </c>
      <c r="F114" s="6">
        <v>0</v>
      </c>
      <c r="G114" s="1">
        <v>60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30</v>
      </c>
      <c r="R114" s="1">
        <v>6560</v>
      </c>
      <c r="S114" s="1">
        <v>0</v>
      </c>
      <c r="T114" s="1">
        <v>30</v>
      </c>
    </row>
    <row r="115" spans="1:20" ht="18.600000000000001" customHeight="1">
      <c r="A115" s="1" t="s">
        <v>127</v>
      </c>
      <c r="B115" s="5" t="s">
        <v>125</v>
      </c>
      <c r="C115" s="5">
        <v>2</v>
      </c>
      <c r="D115" s="6">
        <v>15</v>
      </c>
      <c r="E115" s="6">
        <v>30</v>
      </c>
      <c r="F115" s="6">
        <v>0</v>
      </c>
      <c r="G115" s="1">
        <v>60</v>
      </c>
      <c r="H115" s="1">
        <v>10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30</v>
      </c>
      <c r="R115" s="1">
        <v>6540</v>
      </c>
      <c r="S115" s="1">
        <v>18</v>
      </c>
      <c r="T115" s="1">
        <v>20</v>
      </c>
    </row>
    <row r="116" spans="1:20" ht="18.600000000000001" customHeight="1">
      <c r="A116" s="1" t="s">
        <v>128</v>
      </c>
      <c r="B116" s="5" t="s">
        <v>129</v>
      </c>
      <c r="C116" s="5">
        <v>2</v>
      </c>
      <c r="D116" s="6">
        <v>15</v>
      </c>
      <c r="E116" s="6">
        <v>30</v>
      </c>
      <c r="F116" s="1">
        <v>0</v>
      </c>
      <c r="G116" s="1">
        <v>60</v>
      </c>
      <c r="H116" s="1">
        <v>10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30</v>
      </c>
      <c r="R116" s="1">
        <v>6560</v>
      </c>
      <c r="S116" s="1">
        <v>0</v>
      </c>
      <c r="T116" s="1">
        <v>30</v>
      </c>
    </row>
    <row r="117" spans="1:20" ht="18.600000000000001" customHeight="1">
      <c r="A117" s="1" t="s">
        <v>128</v>
      </c>
      <c r="B117" s="5" t="s">
        <v>130</v>
      </c>
      <c r="C117" s="5">
        <v>2</v>
      </c>
      <c r="D117" s="6">
        <v>15</v>
      </c>
      <c r="E117" s="6">
        <v>30</v>
      </c>
      <c r="F117" s="1">
        <v>0</v>
      </c>
      <c r="G117" s="1">
        <v>60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30</v>
      </c>
      <c r="R117" s="1">
        <v>6480</v>
      </c>
      <c r="S117" s="1">
        <v>18</v>
      </c>
      <c r="T117" s="1">
        <v>30</v>
      </c>
    </row>
    <row r="118" spans="1:20" ht="18.600000000000001" customHeight="1">
      <c r="A118" s="1" t="s">
        <v>131</v>
      </c>
      <c r="B118" s="5" t="s">
        <v>132</v>
      </c>
      <c r="C118" s="5">
        <v>2</v>
      </c>
      <c r="D118" s="6">
        <v>15</v>
      </c>
      <c r="E118" s="6">
        <v>30</v>
      </c>
      <c r="F118" s="1">
        <v>0</v>
      </c>
      <c r="G118" s="1">
        <v>60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30</v>
      </c>
      <c r="R118" s="1">
        <v>6540</v>
      </c>
      <c r="S118" s="1">
        <v>0</v>
      </c>
      <c r="T118" s="1">
        <v>40</v>
      </c>
    </row>
    <row r="119" spans="1:20" ht="18.600000000000001" customHeight="1">
      <c r="A119" s="1" t="s">
        <v>131</v>
      </c>
      <c r="B119" s="5" t="s">
        <v>133</v>
      </c>
      <c r="C119" s="5">
        <v>2</v>
      </c>
      <c r="D119" s="6">
        <v>15</v>
      </c>
      <c r="E119" s="6">
        <v>30</v>
      </c>
      <c r="F119" s="1">
        <v>0</v>
      </c>
      <c r="G119" s="1">
        <v>60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30</v>
      </c>
      <c r="R119" s="1">
        <v>6560</v>
      </c>
      <c r="S119" s="1">
        <v>10</v>
      </c>
      <c r="T119" s="1">
        <v>25</v>
      </c>
    </row>
    <row r="120" spans="1:20" ht="18.600000000000001" customHeight="1">
      <c r="A120" s="1" t="s">
        <v>134</v>
      </c>
      <c r="B120" s="5" t="s">
        <v>12</v>
      </c>
      <c r="C120" s="5">
        <v>2</v>
      </c>
      <c r="D120" s="6">
        <v>15</v>
      </c>
      <c r="E120" s="6">
        <v>30</v>
      </c>
      <c r="F120" s="1">
        <v>0</v>
      </c>
      <c r="G120" s="1">
        <v>60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30</v>
      </c>
      <c r="R120" s="1">
        <v>6540</v>
      </c>
      <c r="S120" s="1">
        <v>0</v>
      </c>
      <c r="T120" s="1">
        <v>50</v>
      </c>
    </row>
    <row r="121" spans="1:20" ht="18.600000000000001" customHeight="1">
      <c r="A121" s="1" t="s">
        <v>134</v>
      </c>
      <c r="B121" s="5" t="s">
        <v>16</v>
      </c>
      <c r="C121" s="5">
        <v>2</v>
      </c>
      <c r="D121" s="6">
        <v>15</v>
      </c>
      <c r="E121" s="6">
        <v>30</v>
      </c>
      <c r="F121" s="1">
        <v>0</v>
      </c>
      <c r="G121" s="1">
        <v>60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30</v>
      </c>
      <c r="R121" s="1">
        <v>6560</v>
      </c>
      <c r="S121" s="1">
        <v>10</v>
      </c>
      <c r="T121" s="1">
        <v>50</v>
      </c>
    </row>
    <row r="122" spans="1:20" ht="18.600000000000001" customHeight="1">
      <c r="A122" s="1" t="s">
        <v>135</v>
      </c>
      <c r="B122" s="5" t="s">
        <v>12</v>
      </c>
      <c r="C122" s="5">
        <v>2</v>
      </c>
      <c r="D122" s="6">
        <v>15</v>
      </c>
      <c r="E122" s="6">
        <v>30</v>
      </c>
      <c r="F122" s="1">
        <v>0</v>
      </c>
      <c r="G122" s="1">
        <v>60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30</v>
      </c>
      <c r="R122" s="1">
        <v>6560</v>
      </c>
      <c r="S122" s="1">
        <v>12</v>
      </c>
      <c r="T122" s="1">
        <v>20</v>
      </c>
    </row>
    <row r="123" spans="1:20" ht="18.600000000000001" customHeight="1">
      <c r="A123" s="1" t="s">
        <v>135</v>
      </c>
      <c r="B123" s="5" t="s">
        <v>16</v>
      </c>
      <c r="C123" s="5">
        <v>2</v>
      </c>
      <c r="D123" s="6">
        <v>15</v>
      </c>
      <c r="E123" s="6">
        <v>30</v>
      </c>
      <c r="F123" s="1">
        <v>0</v>
      </c>
      <c r="G123" s="1">
        <v>60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30</v>
      </c>
      <c r="R123" s="1">
        <v>6560</v>
      </c>
      <c r="S123" s="1">
        <v>16</v>
      </c>
      <c r="T123" s="1">
        <v>30</v>
      </c>
    </row>
    <row r="124" spans="1:20" ht="18.600000000000001" customHeight="1">
      <c r="A124" s="1" t="s">
        <v>136</v>
      </c>
      <c r="B124" s="5" t="s">
        <v>12</v>
      </c>
      <c r="C124" s="5">
        <v>2</v>
      </c>
      <c r="D124" s="6">
        <v>15</v>
      </c>
      <c r="E124" s="6">
        <v>30</v>
      </c>
      <c r="F124" s="1">
        <v>0</v>
      </c>
      <c r="G124" s="1">
        <v>60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30</v>
      </c>
      <c r="R124" s="1">
        <v>6540</v>
      </c>
      <c r="S124" s="1">
        <v>0</v>
      </c>
      <c r="T124" s="1">
        <v>20</v>
      </c>
    </row>
    <row r="125" spans="1:20" ht="18.600000000000001" customHeight="1">
      <c r="A125" s="1" t="s">
        <v>136</v>
      </c>
      <c r="B125" s="5" t="s">
        <v>16</v>
      </c>
      <c r="C125" s="5">
        <v>2</v>
      </c>
      <c r="D125" s="6">
        <v>15</v>
      </c>
      <c r="E125" s="6">
        <v>30</v>
      </c>
      <c r="F125" s="1">
        <v>0</v>
      </c>
      <c r="G125" s="1">
        <v>60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30</v>
      </c>
      <c r="R125" s="1">
        <v>6560</v>
      </c>
      <c r="S125" s="1">
        <v>32</v>
      </c>
      <c r="T125" s="1">
        <v>20</v>
      </c>
    </row>
    <row r="126" spans="1:20" ht="18.600000000000001" customHeight="1">
      <c r="A126" s="1" t="s">
        <v>137</v>
      </c>
      <c r="B126" s="5" t="s">
        <v>12</v>
      </c>
      <c r="C126" s="5">
        <v>2</v>
      </c>
      <c r="D126" s="6">
        <v>15</v>
      </c>
      <c r="E126" s="6">
        <v>30</v>
      </c>
      <c r="F126" s="1">
        <v>0</v>
      </c>
      <c r="G126" s="1">
        <v>60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30</v>
      </c>
      <c r="R126" s="1">
        <v>6560</v>
      </c>
      <c r="S126" s="1">
        <v>56</v>
      </c>
      <c r="T126" s="1">
        <v>20</v>
      </c>
    </row>
    <row r="127" spans="1:20" ht="18.600000000000001" customHeight="1">
      <c r="A127" s="1" t="s">
        <v>137</v>
      </c>
      <c r="B127" s="5" t="s">
        <v>16</v>
      </c>
      <c r="C127" s="5">
        <v>2</v>
      </c>
      <c r="D127" s="6">
        <v>15</v>
      </c>
      <c r="E127" s="6">
        <v>30</v>
      </c>
      <c r="F127" s="1">
        <v>0</v>
      </c>
      <c r="G127" s="1">
        <v>60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30</v>
      </c>
      <c r="R127" s="1">
        <v>6520</v>
      </c>
      <c r="S127" s="1">
        <v>30</v>
      </c>
      <c r="T127" s="1">
        <v>55</v>
      </c>
    </row>
    <row r="128" spans="1:20" ht="18.600000000000001" customHeight="1">
      <c r="A128" s="1" t="s">
        <v>138</v>
      </c>
      <c r="B128" s="5" t="s">
        <v>12</v>
      </c>
      <c r="C128" s="5">
        <v>2</v>
      </c>
      <c r="D128" s="6">
        <v>15</v>
      </c>
      <c r="E128" s="6">
        <v>30</v>
      </c>
      <c r="F128" s="1">
        <v>0</v>
      </c>
      <c r="G128" s="1">
        <v>60</v>
      </c>
      <c r="H128" s="1">
        <v>20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30</v>
      </c>
      <c r="R128" s="1">
        <v>6500</v>
      </c>
      <c r="S128" s="1">
        <v>8</v>
      </c>
      <c r="T128" s="1">
        <v>20</v>
      </c>
    </row>
    <row r="129" spans="1:20" ht="18.600000000000001" customHeight="1">
      <c r="A129" s="1" t="s">
        <v>138</v>
      </c>
      <c r="B129" s="5" t="s">
        <v>16</v>
      </c>
      <c r="C129" s="5">
        <v>2</v>
      </c>
      <c r="D129" s="6">
        <v>15</v>
      </c>
      <c r="E129" s="6">
        <v>30</v>
      </c>
      <c r="F129" s="1">
        <v>0</v>
      </c>
      <c r="G129" s="1">
        <v>60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10</v>
      </c>
      <c r="Q129" s="1">
        <v>30</v>
      </c>
      <c r="R129" s="1">
        <v>6520</v>
      </c>
      <c r="S129" s="1">
        <v>4</v>
      </c>
      <c r="T129" s="1">
        <v>60</v>
      </c>
    </row>
    <row r="130" spans="1:20" ht="18.600000000000001" customHeight="1">
      <c r="A130" s="1" t="s">
        <v>139</v>
      </c>
      <c r="B130" s="5" t="s">
        <v>12</v>
      </c>
      <c r="C130" s="5">
        <v>2</v>
      </c>
      <c r="D130" s="6">
        <v>15</v>
      </c>
      <c r="E130" s="6">
        <v>30</v>
      </c>
      <c r="F130" s="1">
        <v>0</v>
      </c>
      <c r="G130" s="1">
        <v>60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30</v>
      </c>
      <c r="R130" s="1">
        <v>6560</v>
      </c>
      <c r="S130" s="1">
        <v>10</v>
      </c>
      <c r="T130" s="1">
        <v>40</v>
      </c>
    </row>
    <row r="131" spans="1:20" ht="18.600000000000001" customHeight="1">
      <c r="A131" s="1" t="s">
        <v>139</v>
      </c>
      <c r="B131" s="5" t="s">
        <v>16</v>
      </c>
      <c r="C131" s="5">
        <v>2</v>
      </c>
      <c r="D131" s="6">
        <v>15</v>
      </c>
      <c r="E131" s="6">
        <v>30</v>
      </c>
      <c r="F131" s="1">
        <v>0</v>
      </c>
      <c r="G131" s="1">
        <v>60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30</v>
      </c>
      <c r="R131" s="1">
        <v>6560</v>
      </c>
      <c r="S131" s="1">
        <v>0</v>
      </c>
      <c r="T131" s="1">
        <v>45</v>
      </c>
    </row>
    <row r="132" spans="1:20" ht="18.600000000000001" customHeight="1">
      <c r="A132" s="1" t="s">
        <v>140</v>
      </c>
      <c r="B132" s="5" t="s">
        <v>12</v>
      </c>
      <c r="C132" s="5">
        <v>2</v>
      </c>
      <c r="D132" s="6">
        <v>15</v>
      </c>
      <c r="E132" s="6">
        <v>30</v>
      </c>
      <c r="F132" s="1">
        <v>0</v>
      </c>
      <c r="G132" s="1">
        <v>60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30</v>
      </c>
      <c r="R132" s="1">
        <v>6560</v>
      </c>
      <c r="S132" s="1">
        <v>40</v>
      </c>
      <c r="T132" s="1">
        <v>40</v>
      </c>
    </row>
    <row r="133" spans="1:20" ht="18.600000000000001" customHeight="1">
      <c r="A133" s="1" t="s">
        <v>140</v>
      </c>
      <c r="B133" s="5" t="s">
        <v>16</v>
      </c>
      <c r="C133" s="5">
        <v>2</v>
      </c>
      <c r="D133" s="6">
        <v>15</v>
      </c>
      <c r="E133" s="6">
        <v>30</v>
      </c>
      <c r="F133" s="1">
        <v>0</v>
      </c>
      <c r="G133" s="1">
        <v>60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30</v>
      </c>
      <c r="R133" s="1">
        <v>6560</v>
      </c>
      <c r="S133" s="1">
        <v>20</v>
      </c>
      <c r="T133" s="1">
        <v>45</v>
      </c>
    </row>
    <row r="134" spans="1:20" ht="18.600000000000001" customHeight="1">
      <c r="A134" s="1" t="s">
        <v>141</v>
      </c>
      <c r="B134" s="5" t="s">
        <v>12</v>
      </c>
      <c r="C134" s="5">
        <v>2</v>
      </c>
      <c r="D134" s="6">
        <v>15</v>
      </c>
      <c r="E134" s="6">
        <v>30</v>
      </c>
      <c r="F134" s="1">
        <v>210</v>
      </c>
      <c r="G134" s="1">
        <v>60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30</v>
      </c>
      <c r="R134" s="1">
        <v>3280</v>
      </c>
      <c r="S134" s="1">
        <v>32</v>
      </c>
      <c r="T134" s="1">
        <v>10</v>
      </c>
    </row>
    <row r="135" spans="1:20" ht="18.600000000000001" customHeight="1">
      <c r="A135" s="1" t="s">
        <v>142</v>
      </c>
      <c r="B135" s="5" t="s">
        <v>143</v>
      </c>
      <c r="C135" s="8">
        <v>1</v>
      </c>
      <c r="D135" s="6">
        <v>15</v>
      </c>
      <c r="E135" s="6">
        <v>30</v>
      </c>
      <c r="F135" s="1">
        <v>210</v>
      </c>
      <c r="G135" s="1">
        <v>60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25</v>
      </c>
      <c r="R135" s="1">
        <v>2370</v>
      </c>
      <c r="S135" s="1">
        <v>1</v>
      </c>
      <c r="T135" s="1">
        <v>31</v>
      </c>
    </row>
    <row r="136" spans="1:20" ht="18.600000000000001" customHeight="1">
      <c r="A136" s="1" t="s">
        <v>144</v>
      </c>
      <c r="B136" s="5" t="s">
        <v>143</v>
      </c>
      <c r="C136" s="8">
        <v>1</v>
      </c>
      <c r="D136" s="6">
        <v>15</v>
      </c>
      <c r="E136" s="6">
        <v>30</v>
      </c>
      <c r="F136" s="1">
        <v>0</v>
      </c>
      <c r="G136" s="1">
        <v>60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25</v>
      </c>
      <c r="R136" s="1">
        <v>3970</v>
      </c>
      <c r="S136" s="1">
        <v>4</v>
      </c>
      <c r="T136" s="1">
        <v>33</v>
      </c>
    </row>
    <row r="137" spans="1:20" ht="18.600000000000001" customHeight="1">
      <c r="A137" s="1" t="s">
        <v>145</v>
      </c>
      <c r="B137" s="5" t="s">
        <v>143</v>
      </c>
      <c r="C137" s="8">
        <v>1</v>
      </c>
      <c r="D137" s="6">
        <v>15</v>
      </c>
      <c r="E137" s="6">
        <v>30</v>
      </c>
      <c r="F137" s="1">
        <v>0</v>
      </c>
      <c r="G137" s="1">
        <v>60</v>
      </c>
      <c r="H137" s="1">
        <v>30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25</v>
      </c>
      <c r="R137" s="1">
        <v>4000</v>
      </c>
      <c r="S137" s="1">
        <v>3</v>
      </c>
      <c r="T137" s="1">
        <v>30</v>
      </c>
    </row>
    <row r="138" spans="1:20" ht="18.600000000000001" customHeight="1">
      <c r="A138" s="1" t="s">
        <v>146</v>
      </c>
      <c r="B138" s="5" t="s">
        <v>143</v>
      </c>
      <c r="C138" s="8">
        <v>1</v>
      </c>
      <c r="D138" s="6">
        <v>15</v>
      </c>
      <c r="E138" s="6">
        <v>30</v>
      </c>
      <c r="F138" s="1">
        <v>0</v>
      </c>
      <c r="G138" s="1">
        <v>60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10</v>
      </c>
      <c r="Q138" s="1">
        <v>25</v>
      </c>
      <c r="R138" s="1">
        <v>3960</v>
      </c>
      <c r="S138" s="1">
        <v>5</v>
      </c>
      <c r="T138" s="1">
        <v>35</v>
      </c>
    </row>
    <row r="139" spans="1:20" ht="18.600000000000001" customHeight="1">
      <c r="A139" s="1" t="s">
        <v>146</v>
      </c>
      <c r="B139" s="5" t="s">
        <v>16</v>
      </c>
      <c r="C139" s="8">
        <v>1</v>
      </c>
      <c r="D139" s="6">
        <v>15</v>
      </c>
      <c r="E139" s="6">
        <v>30</v>
      </c>
      <c r="F139" s="1">
        <v>0</v>
      </c>
      <c r="G139" s="1">
        <v>60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30</v>
      </c>
      <c r="Q139" s="1">
        <v>25</v>
      </c>
      <c r="R139" s="1">
        <v>3990</v>
      </c>
      <c r="S139" s="1">
        <v>8</v>
      </c>
      <c r="T139" s="1">
        <v>34</v>
      </c>
    </row>
    <row r="140" spans="1:20" ht="18.600000000000001" customHeight="1">
      <c r="A140" s="1" t="s">
        <v>147</v>
      </c>
      <c r="B140" s="5" t="s">
        <v>143</v>
      </c>
      <c r="C140" s="8">
        <v>1</v>
      </c>
      <c r="D140" s="6">
        <v>15</v>
      </c>
      <c r="E140" s="6">
        <v>30</v>
      </c>
      <c r="F140" s="1">
        <v>0</v>
      </c>
      <c r="G140" s="1">
        <v>60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10</v>
      </c>
      <c r="Q140" s="1">
        <v>25</v>
      </c>
      <c r="R140" s="1">
        <v>3970</v>
      </c>
      <c r="S140" s="1">
        <v>38</v>
      </c>
      <c r="T140" s="1">
        <v>25</v>
      </c>
    </row>
    <row r="141" spans="1:20" ht="18.600000000000001" customHeight="1">
      <c r="A141" s="1" t="s">
        <v>147</v>
      </c>
      <c r="B141" s="5" t="s">
        <v>16</v>
      </c>
      <c r="C141" s="8">
        <v>1</v>
      </c>
      <c r="D141" s="6">
        <v>15</v>
      </c>
      <c r="E141" s="6">
        <v>30</v>
      </c>
      <c r="F141" s="1">
        <v>0</v>
      </c>
      <c r="G141" s="1">
        <v>60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25</v>
      </c>
      <c r="R141" s="1">
        <v>4000</v>
      </c>
      <c r="S141" s="1">
        <v>31</v>
      </c>
      <c r="T141" s="1">
        <v>49</v>
      </c>
    </row>
    <row r="142" spans="1:20" ht="18.600000000000001" customHeight="1">
      <c r="A142" s="1" t="s">
        <v>148</v>
      </c>
      <c r="B142" s="5" t="s">
        <v>143</v>
      </c>
      <c r="C142" s="8">
        <v>1</v>
      </c>
      <c r="D142" s="6">
        <v>15</v>
      </c>
      <c r="E142" s="6">
        <v>30</v>
      </c>
      <c r="F142" s="1">
        <v>0</v>
      </c>
      <c r="G142" s="1">
        <v>60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25</v>
      </c>
      <c r="R142" s="1">
        <v>2400</v>
      </c>
      <c r="S142" s="1">
        <v>21</v>
      </c>
      <c r="T142" s="1">
        <v>18</v>
      </c>
    </row>
    <row r="143" spans="1:20" ht="18.600000000000001" customHeight="1">
      <c r="A143" s="1" t="s">
        <v>149</v>
      </c>
      <c r="B143" s="5" t="s">
        <v>12</v>
      </c>
      <c r="C143" s="5">
        <v>2</v>
      </c>
      <c r="D143" s="6">
        <v>15</v>
      </c>
      <c r="E143" s="6">
        <v>30</v>
      </c>
      <c r="F143" s="1">
        <v>0</v>
      </c>
      <c r="G143" s="1">
        <v>60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30</v>
      </c>
      <c r="R143" s="1">
        <v>3200</v>
      </c>
      <c r="S143" s="1">
        <v>0</v>
      </c>
      <c r="T143" s="1">
        <v>25</v>
      </c>
    </row>
    <row r="144" spans="1:20" ht="18.600000000000001" customHeight="1">
      <c r="A144" s="1" t="s">
        <v>149</v>
      </c>
      <c r="B144" s="5" t="s">
        <v>16</v>
      </c>
      <c r="C144" s="5">
        <v>2</v>
      </c>
      <c r="D144" s="6">
        <v>15</v>
      </c>
      <c r="E144" s="6">
        <v>30</v>
      </c>
      <c r="F144" s="1">
        <v>0</v>
      </c>
      <c r="G144" s="1">
        <v>60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10</v>
      </c>
      <c r="Q144" s="1">
        <v>30</v>
      </c>
      <c r="R144" s="1">
        <v>6460</v>
      </c>
      <c r="S144" s="1">
        <v>4</v>
      </c>
      <c r="T144" s="1">
        <v>60</v>
      </c>
    </row>
    <row r="145" spans="1:20" ht="18.600000000000001" customHeight="1">
      <c r="A145" s="1" t="s">
        <v>151</v>
      </c>
      <c r="B145" s="5" t="s">
        <v>12</v>
      </c>
      <c r="C145" s="5">
        <v>2</v>
      </c>
      <c r="D145" s="6">
        <v>15</v>
      </c>
      <c r="E145" s="6">
        <v>30</v>
      </c>
      <c r="F145" s="1">
        <v>0</v>
      </c>
      <c r="G145" s="1">
        <v>60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10</v>
      </c>
      <c r="Q145" s="1">
        <v>30</v>
      </c>
      <c r="R145" s="1">
        <v>6520</v>
      </c>
      <c r="S145" s="1">
        <v>0</v>
      </c>
      <c r="T145" s="1">
        <v>26</v>
      </c>
    </row>
    <row r="146" spans="1:20" ht="18.600000000000001" customHeight="1">
      <c r="A146" s="1" t="s">
        <v>151</v>
      </c>
      <c r="B146" s="5" t="s">
        <v>16</v>
      </c>
      <c r="C146" s="5">
        <v>2</v>
      </c>
      <c r="D146" s="6">
        <v>15</v>
      </c>
      <c r="E146" s="6">
        <v>30</v>
      </c>
      <c r="F146" s="1">
        <v>0</v>
      </c>
      <c r="G146" s="1">
        <v>60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30</v>
      </c>
      <c r="R146" s="1">
        <v>6560</v>
      </c>
      <c r="S146" s="1">
        <v>2</v>
      </c>
      <c r="T146" s="1">
        <v>34</v>
      </c>
    </row>
    <row r="147" spans="1:20" ht="18.600000000000001" customHeight="1">
      <c r="A147" s="1" t="s">
        <v>152</v>
      </c>
      <c r="B147" s="5" t="s">
        <v>12</v>
      </c>
      <c r="C147" s="5">
        <v>2</v>
      </c>
      <c r="D147" s="6">
        <v>15</v>
      </c>
      <c r="E147" s="6">
        <v>30</v>
      </c>
      <c r="F147" s="1">
        <v>0</v>
      </c>
      <c r="G147" s="1">
        <v>60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10</v>
      </c>
      <c r="Q147" s="1">
        <v>30</v>
      </c>
      <c r="R147" s="1">
        <v>6560</v>
      </c>
      <c r="S147" s="1">
        <v>0</v>
      </c>
      <c r="T147" s="1">
        <v>38</v>
      </c>
    </row>
    <row r="148" spans="1:20" ht="18.600000000000001" customHeight="1">
      <c r="A148" s="1">
        <v>2024.0731000000001</v>
      </c>
      <c r="B148" s="5" t="s">
        <v>16</v>
      </c>
      <c r="C148" s="5">
        <v>2</v>
      </c>
      <c r="D148" s="6">
        <v>15</v>
      </c>
      <c r="E148" s="6">
        <v>30</v>
      </c>
      <c r="F148" s="1">
        <v>0</v>
      </c>
      <c r="G148" s="1">
        <v>60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30</v>
      </c>
      <c r="R148" s="1">
        <v>6560</v>
      </c>
      <c r="S148" s="1">
        <v>56</v>
      </c>
      <c r="T148" s="1">
        <v>20</v>
      </c>
    </row>
    <row r="149" spans="1:20" ht="18.600000000000001" customHeight="1">
      <c r="A149" s="1" t="s">
        <v>153</v>
      </c>
      <c r="B149" s="5" t="s">
        <v>12</v>
      </c>
      <c r="C149" s="5">
        <v>2</v>
      </c>
      <c r="D149" s="6">
        <v>15</v>
      </c>
      <c r="E149" s="6">
        <v>30</v>
      </c>
      <c r="F149" s="1">
        <v>0</v>
      </c>
      <c r="G149" s="1">
        <v>60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30</v>
      </c>
      <c r="R149" s="1">
        <v>6520</v>
      </c>
      <c r="S149" s="1">
        <v>28</v>
      </c>
      <c r="T149" s="1">
        <v>27</v>
      </c>
    </row>
    <row r="150" spans="1:20" ht="18.600000000000001" customHeight="1">
      <c r="A150" s="1" t="s">
        <v>153</v>
      </c>
      <c r="B150" s="5" t="s">
        <v>16</v>
      </c>
      <c r="C150" s="5">
        <v>2</v>
      </c>
      <c r="D150" s="6">
        <v>15</v>
      </c>
      <c r="E150" s="6">
        <v>30</v>
      </c>
      <c r="F150" s="1">
        <v>0</v>
      </c>
      <c r="G150" s="1">
        <v>60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30</v>
      </c>
      <c r="R150" s="1">
        <v>6520</v>
      </c>
      <c r="S150" s="1">
        <v>28</v>
      </c>
      <c r="T150" s="1">
        <v>22</v>
      </c>
    </row>
    <row r="151" spans="1:20" ht="18.600000000000001" customHeight="1">
      <c r="A151" s="1" t="s">
        <v>154</v>
      </c>
      <c r="B151" s="5" t="s">
        <v>150</v>
      </c>
      <c r="C151" s="5">
        <v>2</v>
      </c>
      <c r="D151" s="6">
        <v>15</v>
      </c>
      <c r="E151" s="6">
        <v>30</v>
      </c>
      <c r="F151" s="1">
        <v>210</v>
      </c>
      <c r="G151" s="1">
        <v>60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30</v>
      </c>
      <c r="R151" s="1">
        <v>3280</v>
      </c>
      <c r="S151" s="1">
        <v>34</v>
      </c>
      <c r="T151" s="1">
        <v>10</v>
      </c>
    </row>
    <row r="152" spans="1:20" ht="19.149999999999999" customHeight="1">
      <c r="A152" s="1" t="s">
        <v>156</v>
      </c>
      <c r="B152" s="5" t="s">
        <v>155</v>
      </c>
      <c r="C152" s="8">
        <v>2</v>
      </c>
      <c r="D152" s="6">
        <v>15</v>
      </c>
      <c r="E152" s="6">
        <v>30</v>
      </c>
      <c r="F152" s="1">
        <v>210</v>
      </c>
      <c r="G152" s="1">
        <v>60</v>
      </c>
      <c r="H152" s="1">
        <v>60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10</v>
      </c>
      <c r="Q152" s="1">
        <v>30</v>
      </c>
      <c r="R152" s="1">
        <v>3200</v>
      </c>
      <c r="S152" s="1">
        <v>4</v>
      </c>
      <c r="T152" s="1">
        <v>50</v>
      </c>
    </row>
    <row r="153" spans="1:20" ht="19.149999999999999" customHeight="1">
      <c r="A153" s="1" t="s">
        <v>156</v>
      </c>
      <c r="B153" s="5" t="s">
        <v>16</v>
      </c>
      <c r="C153" s="8">
        <v>2</v>
      </c>
      <c r="D153" s="6">
        <v>15</v>
      </c>
      <c r="E153" s="6">
        <v>30</v>
      </c>
      <c r="F153" s="1">
        <v>0</v>
      </c>
      <c r="G153" s="1">
        <v>60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30</v>
      </c>
      <c r="R153" s="1">
        <v>6540</v>
      </c>
      <c r="S153" s="1">
        <v>0</v>
      </c>
      <c r="T153" s="1">
        <v>41</v>
      </c>
    </row>
    <row r="154" spans="1:20" ht="19.149999999999999" customHeight="1">
      <c r="A154" s="1" t="s">
        <v>157</v>
      </c>
      <c r="B154" s="5" t="s">
        <v>12</v>
      </c>
      <c r="C154" s="8">
        <v>2</v>
      </c>
      <c r="D154" s="6">
        <v>15</v>
      </c>
      <c r="E154" s="6">
        <v>30</v>
      </c>
      <c r="F154" s="1">
        <v>0</v>
      </c>
      <c r="G154" s="1">
        <v>60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30</v>
      </c>
      <c r="R154" s="1">
        <v>6560</v>
      </c>
      <c r="S154" s="1">
        <v>0</v>
      </c>
      <c r="T154" s="1">
        <v>54</v>
      </c>
    </row>
    <row r="155" spans="1:20" ht="19.149999999999999" customHeight="1">
      <c r="A155" s="1" t="s">
        <v>157</v>
      </c>
      <c r="B155" s="5" t="s">
        <v>16</v>
      </c>
      <c r="C155" s="8">
        <v>2</v>
      </c>
      <c r="D155" s="6">
        <v>15</v>
      </c>
      <c r="E155" s="6">
        <v>30</v>
      </c>
      <c r="F155" s="1">
        <v>0</v>
      </c>
      <c r="G155" s="1">
        <v>60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30</v>
      </c>
      <c r="R155" s="1">
        <v>6560</v>
      </c>
      <c r="S155" s="1">
        <v>0</v>
      </c>
      <c r="T155" s="1">
        <v>66</v>
      </c>
    </row>
    <row r="156" spans="1:20" ht="19.149999999999999" customHeight="1">
      <c r="A156" s="1" t="s">
        <v>158</v>
      </c>
      <c r="B156" s="5" t="s">
        <v>12</v>
      </c>
      <c r="C156" s="8">
        <v>2</v>
      </c>
      <c r="D156" s="6">
        <v>15</v>
      </c>
      <c r="E156" s="6">
        <v>30</v>
      </c>
      <c r="F156" s="1">
        <v>0</v>
      </c>
      <c r="G156" s="1">
        <v>60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30</v>
      </c>
      <c r="R156" s="1">
        <v>6560</v>
      </c>
      <c r="S156" s="1">
        <v>0</v>
      </c>
      <c r="T156" s="1">
        <v>54</v>
      </c>
    </row>
    <row r="157" spans="1:20" ht="19.149999999999999" customHeight="1">
      <c r="A157" s="1" t="s">
        <v>158</v>
      </c>
      <c r="B157" s="5" t="s">
        <v>16</v>
      </c>
      <c r="C157" s="8">
        <v>2</v>
      </c>
      <c r="D157" s="6">
        <v>15</v>
      </c>
      <c r="E157" s="6">
        <v>30</v>
      </c>
      <c r="F157" s="1">
        <v>0</v>
      </c>
      <c r="G157" s="1">
        <v>60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30</v>
      </c>
      <c r="R157" s="1">
        <v>6580</v>
      </c>
      <c r="S157" s="1">
        <v>0</v>
      </c>
      <c r="T157" s="1">
        <v>50</v>
      </c>
    </row>
    <row r="158" spans="1:20" ht="19.149999999999999" customHeight="1">
      <c r="A158" s="1" t="s">
        <v>159</v>
      </c>
      <c r="B158" s="5" t="s">
        <v>12</v>
      </c>
      <c r="C158" s="8">
        <v>2</v>
      </c>
      <c r="D158" s="6">
        <v>15</v>
      </c>
      <c r="E158" s="6">
        <v>30</v>
      </c>
      <c r="F158" s="1">
        <v>0</v>
      </c>
      <c r="G158" s="1">
        <v>60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30</v>
      </c>
      <c r="R158" s="1">
        <v>6560</v>
      </c>
      <c r="S158" s="1">
        <v>0</v>
      </c>
      <c r="T158" s="1">
        <v>48</v>
      </c>
    </row>
    <row r="159" spans="1:20" ht="19.149999999999999" customHeight="1">
      <c r="A159" s="1" t="s">
        <v>159</v>
      </c>
      <c r="B159" s="5" t="s">
        <v>16</v>
      </c>
      <c r="C159" s="8">
        <v>2</v>
      </c>
      <c r="D159" s="6">
        <v>15</v>
      </c>
      <c r="E159" s="6">
        <v>30</v>
      </c>
      <c r="F159" s="1">
        <v>0</v>
      </c>
      <c r="G159" s="1">
        <v>60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10</v>
      </c>
      <c r="Q159" s="1">
        <v>30</v>
      </c>
      <c r="R159" s="1">
        <v>6560</v>
      </c>
      <c r="S159" s="1">
        <v>0</v>
      </c>
      <c r="T159" s="1">
        <v>62</v>
      </c>
    </row>
    <row r="160" spans="1:20" ht="19.149999999999999" customHeight="1">
      <c r="A160" s="1" t="s">
        <v>160</v>
      </c>
      <c r="B160" s="5" t="s">
        <v>12</v>
      </c>
      <c r="C160" s="8">
        <v>2</v>
      </c>
      <c r="D160" s="6">
        <v>15</v>
      </c>
      <c r="E160" s="6">
        <v>30</v>
      </c>
      <c r="F160" s="1">
        <v>0</v>
      </c>
      <c r="G160" s="1">
        <v>60</v>
      </c>
      <c r="H160" s="1">
        <v>30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10</v>
      </c>
      <c r="Q160" s="1">
        <v>30</v>
      </c>
      <c r="R160" s="1">
        <v>6560</v>
      </c>
      <c r="S160" s="1">
        <v>2</v>
      </c>
      <c r="T160" s="1">
        <v>29</v>
      </c>
    </row>
    <row r="161" spans="1:20" ht="19.149999999999999" customHeight="1">
      <c r="A161" s="1" t="s">
        <v>160</v>
      </c>
      <c r="B161" s="5" t="s">
        <v>16</v>
      </c>
      <c r="C161" s="8">
        <v>2</v>
      </c>
      <c r="D161" s="6">
        <v>15</v>
      </c>
      <c r="E161" s="6">
        <v>30</v>
      </c>
      <c r="F161" s="1">
        <v>0</v>
      </c>
      <c r="G161" s="1">
        <v>60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30</v>
      </c>
      <c r="R161" s="1">
        <v>6560</v>
      </c>
      <c r="S161" s="1">
        <v>0</v>
      </c>
      <c r="T161" s="1">
        <v>48</v>
      </c>
    </row>
    <row r="162" spans="1:20" ht="19.149999999999999" customHeight="1">
      <c r="A162" s="1" t="s">
        <v>161</v>
      </c>
      <c r="B162" s="5" t="s">
        <v>12</v>
      </c>
      <c r="C162" s="8">
        <v>2</v>
      </c>
      <c r="D162" s="6">
        <v>15</v>
      </c>
      <c r="E162" s="6">
        <v>30</v>
      </c>
      <c r="F162" s="1">
        <v>0</v>
      </c>
      <c r="G162" s="1">
        <v>60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30</v>
      </c>
      <c r="R162" s="1">
        <v>6560</v>
      </c>
      <c r="S162" s="1">
        <v>6</v>
      </c>
      <c r="T162" s="1">
        <v>40</v>
      </c>
    </row>
    <row r="163" spans="1:20" ht="19.149999999999999" customHeight="1">
      <c r="A163" s="1" t="s">
        <v>161</v>
      </c>
      <c r="B163" s="5" t="s">
        <v>16</v>
      </c>
      <c r="C163" s="8">
        <v>2</v>
      </c>
      <c r="D163" s="6">
        <v>15</v>
      </c>
      <c r="E163" s="6">
        <v>30</v>
      </c>
      <c r="F163" s="1">
        <v>0</v>
      </c>
      <c r="G163" s="1">
        <v>60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30</v>
      </c>
      <c r="Q163" s="1">
        <v>30</v>
      </c>
      <c r="R163" s="1">
        <v>6560</v>
      </c>
      <c r="S163" s="1">
        <v>21</v>
      </c>
      <c r="T163" s="1">
        <v>15</v>
      </c>
    </row>
    <row r="164" spans="1:20" ht="19.149999999999999" customHeight="1">
      <c r="A164" s="1" t="s">
        <v>162</v>
      </c>
      <c r="B164" s="5" t="s">
        <v>12</v>
      </c>
      <c r="C164" s="8">
        <v>2</v>
      </c>
      <c r="D164" s="6">
        <v>15</v>
      </c>
      <c r="E164" s="6">
        <v>30</v>
      </c>
      <c r="F164" s="1">
        <v>0</v>
      </c>
      <c r="G164" s="1">
        <v>60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30</v>
      </c>
      <c r="R164" s="1">
        <v>6540</v>
      </c>
      <c r="S164" s="1">
        <v>24</v>
      </c>
      <c r="T164" s="1">
        <v>44</v>
      </c>
    </row>
    <row r="165" spans="1:20" ht="19.149999999999999" customHeight="1">
      <c r="A165" s="1" t="s">
        <v>162</v>
      </c>
      <c r="B165" s="5" t="s">
        <v>16</v>
      </c>
      <c r="C165" s="8">
        <v>2</v>
      </c>
      <c r="D165" s="6">
        <v>15</v>
      </c>
      <c r="E165" s="6">
        <v>30</v>
      </c>
      <c r="F165" s="1">
        <v>0</v>
      </c>
      <c r="G165" s="1">
        <v>60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30</v>
      </c>
      <c r="R165" s="1">
        <v>6520</v>
      </c>
      <c r="S165" s="1">
        <v>0</v>
      </c>
      <c r="T165" s="1">
        <v>20</v>
      </c>
    </row>
    <row r="166" spans="1:20" ht="19.149999999999999" customHeight="1">
      <c r="A166" s="1" t="s">
        <v>163</v>
      </c>
      <c r="B166" s="5" t="s">
        <v>12</v>
      </c>
      <c r="C166" s="8">
        <v>2</v>
      </c>
      <c r="D166" s="6">
        <v>15</v>
      </c>
      <c r="E166" s="6">
        <v>30</v>
      </c>
      <c r="F166" s="1">
        <v>0</v>
      </c>
      <c r="G166" s="1">
        <v>60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10</v>
      </c>
      <c r="Q166" s="1">
        <v>30</v>
      </c>
      <c r="R166" s="1">
        <v>6560</v>
      </c>
      <c r="S166" s="1">
        <v>0</v>
      </c>
      <c r="T166" s="1">
        <v>54</v>
      </c>
    </row>
    <row r="167" spans="1:20" ht="19.149999999999999" customHeight="1">
      <c r="A167" s="1" t="s">
        <v>163</v>
      </c>
      <c r="B167" s="5" t="s">
        <v>16</v>
      </c>
      <c r="C167" s="8">
        <v>2</v>
      </c>
      <c r="D167" s="6">
        <v>15</v>
      </c>
      <c r="E167" s="6">
        <v>30</v>
      </c>
      <c r="F167" s="1">
        <v>0</v>
      </c>
      <c r="G167" s="1">
        <v>60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30</v>
      </c>
      <c r="R167" s="1">
        <v>6560</v>
      </c>
      <c r="S167" s="1">
        <v>0</v>
      </c>
      <c r="T167" s="1">
        <v>20</v>
      </c>
    </row>
    <row r="168" spans="1:20" ht="19.149999999999999" customHeight="1">
      <c r="A168" s="1" t="s">
        <v>164</v>
      </c>
      <c r="B168" s="5" t="s">
        <v>12</v>
      </c>
      <c r="C168" s="8">
        <v>2</v>
      </c>
      <c r="D168" s="6">
        <v>15</v>
      </c>
      <c r="E168" s="6">
        <v>30</v>
      </c>
      <c r="F168" s="1">
        <v>0</v>
      </c>
      <c r="G168" s="1">
        <v>60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20</v>
      </c>
      <c r="Q168" s="1">
        <v>30</v>
      </c>
      <c r="R168" s="1">
        <v>6560</v>
      </c>
      <c r="S168" s="1">
        <v>0</v>
      </c>
      <c r="T168" s="1">
        <v>55</v>
      </c>
    </row>
    <row r="169" spans="1:20" ht="19.149999999999999" customHeight="1">
      <c r="A169" s="1" t="s">
        <v>164</v>
      </c>
      <c r="B169" s="5" t="s">
        <v>16</v>
      </c>
      <c r="C169" s="8">
        <v>2</v>
      </c>
      <c r="D169" s="6">
        <v>15</v>
      </c>
      <c r="E169" s="6">
        <v>30</v>
      </c>
      <c r="F169" s="1">
        <v>0</v>
      </c>
      <c r="G169" s="1">
        <v>60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30</v>
      </c>
      <c r="R169" s="1">
        <v>6560</v>
      </c>
      <c r="S169" s="1">
        <v>0</v>
      </c>
      <c r="T169" s="1">
        <v>20</v>
      </c>
    </row>
    <row r="170" spans="1:20" ht="19.149999999999999" customHeight="1">
      <c r="A170" s="1" t="s">
        <v>165</v>
      </c>
      <c r="B170" s="5" t="s">
        <v>12</v>
      </c>
      <c r="C170" s="8">
        <v>2</v>
      </c>
      <c r="D170" s="6">
        <v>15</v>
      </c>
      <c r="E170" s="6">
        <v>30</v>
      </c>
      <c r="F170" s="1">
        <v>0</v>
      </c>
      <c r="G170" s="1">
        <v>60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60</v>
      </c>
      <c r="N170" s="1">
        <v>0</v>
      </c>
      <c r="O170" s="1">
        <v>0</v>
      </c>
      <c r="P170" s="1">
        <v>0</v>
      </c>
      <c r="Q170" s="1">
        <v>30</v>
      </c>
      <c r="R170" s="1">
        <v>6560</v>
      </c>
      <c r="S170" s="1">
        <v>0</v>
      </c>
      <c r="T170" s="1">
        <v>55</v>
      </c>
    </row>
    <row r="171" spans="1:20" ht="19.149999999999999" customHeight="1">
      <c r="A171" s="1" t="s">
        <v>165</v>
      </c>
      <c r="B171" s="5" t="s">
        <v>16</v>
      </c>
      <c r="C171" s="8">
        <v>2</v>
      </c>
      <c r="D171" s="6">
        <v>15</v>
      </c>
      <c r="E171" s="6">
        <v>30</v>
      </c>
      <c r="F171" s="1">
        <v>0</v>
      </c>
      <c r="G171" s="1">
        <v>60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30</v>
      </c>
      <c r="R171" s="1">
        <v>6560</v>
      </c>
      <c r="S171" s="1">
        <v>0</v>
      </c>
      <c r="T171" s="1">
        <v>24</v>
      </c>
    </row>
    <row r="172" spans="1:20" ht="19.149999999999999" customHeight="1">
      <c r="A172" s="1" t="s">
        <v>166</v>
      </c>
      <c r="B172" s="5" t="s">
        <v>12</v>
      </c>
      <c r="C172" s="8">
        <v>2</v>
      </c>
      <c r="D172" s="6">
        <v>15</v>
      </c>
      <c r="E172" s="6">
        <v>30</v>
      </c>
      <c r="F172" s="1">
        <v>0</v>
      </c>
      <c r="G172" s="1">
        <v>60</v>
      </c>
      <c r="H172" s="1">
        <v>60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30</v>
      </c>
      <c r="R172" s="1">
        <v>6560</v>
      </c>
      <c r="S172" s="1">
        <v>0</v>
      </c>
      <c r="T172" s="1">
        <v>45</v>
      </c>
    </row>
    <row r="173" spans="1:20" ht="19.149999999999999" customHeight="1">
      <c r="A173" s="1" t="s">
        <v>166</v>
      </c>
      <c r="B173" s="5" t="s">
        <v>16</v>
      </c>
      <c r="C173" s="8">
        <v>2</v>
      </c>
      <c r="D173" s="6">
        <v>15</v>
      </c>
      <c r="E173" s="6">
        <v>30</v>
      </c>
      <c r="F173" s="1">
        <v>0</v>
      </c>
      <c r="G173" s="1">
        <v>60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30</v>
      </c>
      <c r="R173" s="1">
        <v>6560</v>
      </c>
      <c r="S173" s="1">
        <v>0</v>
      </c>
      <c r="T173" s="1">
        <v>20</v>
      </c>
    </row>
    <row r="174" spans="1:20" ht="19.149999999999999" customHeight="1">
      <c r="A174" s="1" t="s">
        <v>167</v>
      </c>
      <c r="B174" s="5" t="s">
        <v>12</v>
      </c>
      <c r="C174" s="8">
        <v>2</v>
      </c>
      <c r="D174" s="6">
        <v>15</v>
      </c>
      <c r="E174" s="6">
        <v>30</v>
      </c>
      <c r="F174" s="1">
        <v>0</v>
      </c>
      <c r="G174" s="1">
        <v>60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30</v>
      </c>
      <c r="R174" s="1">
        <v>6560</v>
      </c>
      <c r="S174" s="1">
        <v>0</v>
      </c>
      <c r="T174" s="1">
        <v>33</v>
      </c>
    </row>
    <row r="175" spans="1:20" ht="19.149999999999999" customHeight="1">
      <c r="A175" s="1" t="s">
        <v>167</v>
      </c>
      <c r="B175" s="5" t="s">
        <v>16</v>
      </c>
      <c r="C175" s="8">
        <v>2</v>
      </c>
      <c r="D175" s="6">
        <v>15</v>
      </c>
      <c r="E175" s="6">
        <v>30</v>
      </c>
      <c r="F175" s="1">
        <v>0</v>
      </c>
      <c r="G175" s="1">
        <v>60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30</v>
      </c>
      <c r="R175" s="1">
        <v>6560</v>
      </c>
      <c r="S175" s="1">
        <v>0</v>
      </c>
      <c r="T175" s="1">
        <v>20</v>
      </c>
    </row>
    <row r="176" spans="1:20" ht="19.149999999999999" customHeight="1">
      <c r="A176" s="1" t="s">
        <v>170</v>
      </c>
      <c r="B176" s="5" t="s">
        <v>12</v>
      </c>
      <c r="C176" s="8">
        <v>2</v>
      </c>
      <c r="D176" s="6">
        <v>15</v>
      </c>
      <c r="E176" s="6">
        <v>30</v>
      </c>
      <c r="F176" s="1">
        <v>0</v>
      </c>
      <c r="G176" s="1">
        <v>60</v>
      </c>
      <c r="H176" s="1">
        <v>30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30</v>
      </c>
      <c r="R176" s="1">
        <v>6560</v>
      </c>
      <c r="S176" s="1">
        <v>0</v>
      </c>
      <c r="T176" s="1">
        <v>20</v>
      </c>
    </row>
    <row r="177" spans="1:20" ht="19.149999999999999" customHeight="1">
      <c r="A177" s="1" t="s">
        <v>170</v>
      </c>
      <c r="B177" s="5" t="s">
        <v>16</v>
      </c>
      <c r="C177" s="8">
        <v>2</v>
      </c>
      <c r="D177" s="6">
        <v>15</v>
      </c>
      <c r="E177" s="6">
        <v>30</v>
      </c>
      <c r="F177" s="1">
        <v>0</v>
      </c>
      <c r="G177" s="1">
        <v>60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30</v>
      </c>
      <c r="R177" s="1">
        <v>6560</v>
      </c>
      <c r="S177" s="1">
        <v>0</v>
      </c>
      <c r="T177" s="1">
        <v>25</v>
      </c>
    </row>
    <row r="178" spans="1:20" ht="19.149999999999999" customHeight="1">
      <c r="A178" s="1" t="s">
        <v>168</v>
      </c>
      <c r="B178" s="5" t="s">
        <v>12</v>
      </c>
      <c r="C178" s="8">
        <v>2</v>
      </c>
      <c r="D178" s="6">
        <v>15</v>
      </c>
      <c r="E178" s="6">
        <v>30</v>
      </c>
      <c r="F178" s="1">
        <v>0</v>
      </c>
      <c r="G178" s="1">
        <v>60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30</v>
      </c>
      <c r="Q178" s="1">
        <v>30</v>
      </c>
      <c r="R178" s="1">
        <v>6560</v>
      </c>
      <c r="S178" s="1">
        <v>0</v>
      </c>
      <c r="T178" s="1">
        <v>20</v>
      </c>
    </row>
    <row r="179" spans="1:20" ht="19.149999999999999" customHeight="1">
      <c r="A179" s="1" t="s">
        <v>168</v>
      </c>
      <c r="B179" s="5" t="s">
        <v>16</v>
      </c>
      <c r="C179" s="8">
        <v>2</v>
      </c>
      <c r="D179" s="6">
        <v>15</v>
      </c>
      <c r="E179" s="6">
        <v>30</v>
      </c>
      <c r="F179" s="1">
        <v>0</v>
      </c>
      <c r="G179" s="1">
        <v>60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30</v>
      </c>
      <c r="R179" s="1">
        <v>6560</v>
      </c>
      <c r="S179" s="1">
        <v>28</v>
      </c>
      <c r="T179" s="1">
        <v>33</v>
      </c>
    </row>
    <row r="180" spans="1:20" ht="19.149999999999999" customHeight="1">
      <c r="A180" s="1" t="s">
        <v>169</v>
      </c>
      <c r="B180" s="5" t="s">
        <v>12</v>
      </c>
      <c r="C180" s="8">
        <v>2</v>
      </c>
      <c r="D180" s="6">
        <v>15</v>
      </c>
      <c r="E180" s="6">
        <v>30</v>
      </c>
      <c r="F180" s="1">
        <v>210</v>
      </c>
      <c r="G180" s="1">
        <v>60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30</v>
      </c>
      <c r="R180" s="1">
        <v>3300</v>
      </c>
      <c r="S180" s="1">
        <v>14</v>
      </c>
      <c r="T180" s="1">
        <v>11</v>
      </c>
    </row>
    <row r="181" spans="1:20" ht="19.149999999999999" customHeight="1">
      <c r="A181" s="1" t="s">
        <v>171</v>
      </c>
      <c r="B181" s="5" t="s">
        <v>172</v>
      </c>
      <c r="C181" s="8">
        <v>1</v>
      </c>
      <c r="D181" s="6">
        <v>15</v>
      </c>
      <c r="E181" s="6">
        <v>30</v>
      </c>
      <c r="F181" s="1">
        <v>0</v>
      </c>
      <c r="G181" s="1">
        <v>60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25</v>
      </c>
      <c r="R181" s="1">
        <v>2350</v>
      </c>
      <c r="S181" s="1">
        <v>0</v>
      </c>
      <c r="T181" s="1">
        <v>56</v>
      </c>
    </row>
    <row r="182" spans="1:20" ht="19.149999999999999" customHeight="1">
      <c r="A182" s="1" t="s">
        <v>173</v>
      </c>
      <c r="B182" s="5" t="s">
        <v>172</v>
      </c>
      <c r="C182" s="8">
        <v>1</v>
      </c>
      <c r="D182" s="6">
        <v>15</v>
      </c>
      <c r="E182" s="6">
        <v>30</v>
      </c>
      <c r="F182" s="1">
        <v>0</v>
      </c>
      <c r="G182" s="1">
        <v>60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25</v>
      </c>
      <c r="R182" s="1">
        <v>3970</v>
      </c>
      <c r="S182" s="1">
        <v>0</v>
      </c>
      <c r="T182" s="1">
        <v>25</v>
      </c>
    </row>
    <row r="183" spans="1:20" ht="19.149999999999999" customHeight="1">
      <c r="A183" s="1" t="s">
        <v>174</v>
      </c>
      <c r="B183" s="5" t="s">
        <v>177</v>
      </c>
      <c r="C183" s="8">
        <v>1</v>
      </c>
      <c r="D183" s="6">
        <v>15</v>
      </c>
      <c r="E183" s="6">
        <v>30</v>
      </c>
      <c r="F183" s="1">
        <v>0</v>
      </c>
      <c r="G183" s="1">
        <v>60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25</v>
      </c>
      <c r="R183" s="1">
        <v>3975</v>
      </c>
      <c r="S183" s="1">
        <v>0</v>
      </c>
      <c r="T183" s="1">
        <v>25</v>
      </c>
    </row>
    <row r="184" spans="1:20" ht="19.149999999999999" customHeight="1">
      <c r="A184" s="1" t="s">
        <v>174</v>
      </c>
      <c r="B184" s="5" t="s">
        <v>178</v>
      </c>
      <c r="C184" s="8">
        <v>1</v>
      </c>
      <c r="D184" s="6">
        <v>15</v>
      </c>
      <c r="E184" s="6">
        <v>30</v>
      </c>
      <c r="F184" s="1">
        <v>0</v>
      </c>
      <c r="G184" s="1">
        <v>60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25</v>
      </c>
      <c r="R184" s="1">
        <v>4005</v>
      </c>
      <c r="S184" s="1">
        <v>0</v>
      </c>
      <c r="T184" s="1">
        <v>25</v>
      </c>
    </row>
    <row r="185" spans="1:20" ht="19.149999999999999" customHeight="1">
      <c r="A185" s="1" t="s">
        <v>175</v>
      </c>
      <c r="B185" s="5" t="s">
        <v>177</v>
      </c>
      <c r="C185" s="8">
        <v>1</v>
      </c>
      <c r="D185" s="6">
        <v>15</v>
      </c>
      <c r="E185" s="6">
        <v>30</v>
      </c>
      <c r="F185" s="1">
        <v>0</v>
      </c>
      <c r="G185" s="1">
        <v>60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60</v>
      </c>
      <c r="Q185" s="1">
        <v>25</v>
      </c>
      <c r="R185" s="1">
        <v>4025</v>
      </c>
      <c r="S185" s="1">
        <v>0</v>
      </c>
      <c r="T185" s="1">
        <v>98</v>
      </c>
    </row>
    <row r="186" spans="1:20" ht="19.149999999999999" customHeight="1">
      <c r="A186" s="1" t="s">
        <v>175</v>
      </c>
      <c r="B186" s="5" t="s">
        <v>178</v>
      </c>
      <c r="C186" s="8">
        <v>1</v>
      </c>
      <c r="D186" s="6">
        <v>15</v>
      </c>
      <c r="E186" s="6">
        <v>30</v>
      </c>
      <c r="F186" s="1">
        <v>0</v>
      </c>
      <c r="G186" s="1">
        <v>60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25</v>
      </c>
      <c r="R186" s="1">
        <v>4005</v>
      </c>
      <c r="S186" s="1">
        <v>17</v>
      </c>
      <c r="T186" s="1">
        <v>239</v>
      </c>
    </row>
    <row r="187" spans="1:20" ht="19.149999999999999" customHeight="1">
      <c r="A187" s="1" t="s">
        <v>176</v>
      </c>
      <c r="B187" s="5" t="s">
        <v>177</v>
      </c>
      <c r="C187" s="8">
        <v>1</v>
      </c>
      <c r="D187" s="6">
        <v>15</v>
      </c>
      <c r="E187" s="6">
        <v>30</v>
      </c>
      <c r="F187" s="1">
        <v>0</v>
      </c>
      <c r="G187" s="1">
        <v>60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25</v>
      </c>
      <c r="R187" s="1">
        <v>3210</v>
      </c>
      <c r="S187" s="1">
        <v>26</v>
      </c>
      <c r="T187" s="1">
        <v>110</v>
      </c>
    </row>
    <row r="188" spans="1:20" ht="19.149999999999999" customHeight="1">
      <c r="A188" s="1" t="s">
        <v>179</v>
      </c>
      <c r="B188" s="5" t="s">
        <v>177</v>
      </c>
      <c r="C188" s="8">
        <v>1</v>
      </c>
      <c r="D188" s="6">
        <v>15</v>
      </c>
      <c r="E188" s="6">
        <v>30</v>
      </c>
      <c r="F188" s="1">
        <v>0</v>
      </c>
      <c r="G188" s="1">
        <v>60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25</v>
      </c>
      <c r="R188" s="1">
        <v>3200</v>
      </c>
      <c r="S188" s="1">
        <v>29</v>
      </c>
      <c r="T188" s="1">
        <v>51</v>
      </c>
    </row>
    <row r="189" spans="1:20" ht="19.149999999999999" customHeight="1">
      <c r="A189" s="1" t="s">
        <v>180</v>
      </c>
      <c r="B189" s="5" t="s">
        <v>177</v>
      </c>
      <c r="C189" s="8">
        <v>2</v>
      </c>
      <c r="D189" s="6">
        <v>15</v>
      </c>
      <c r="E189" s="6">
        <v>30</v>
      </c>
      <c r="F189" s="1">
        <v>210</v>
      </c>
      <c r="G189" s="1">
        <v>60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20</v>
      </c>
      <c r="Q189" s="1">
        <v>30</v>
      </c>
      <c r="R189" s="1">
        <v>3240</v>
      </c>
      <c r="S189" s="1">
        <v>2</v>
      </c>
      <c r="T189" s="1">
        <v>30</v>
      </c>
    </row>
    <row r="190" spans="1:20" ht="19.149999999999999" customHeight="1">
      <c r="A190" s="1" t="s">
        <v>180</v>
      </c>
      <c r="B190" s="5" t="s">
        <v>178</v>
      </c>
      <c r="C190" s="8">
        <v>2</v>
      </c>
      <c r="D190" s="6">
        <v>15</v>
      </c>
      <c r="E190" s="6">
        <v>30</v>
      </c>
      <c r="F190" s="1">
        <v>0</v>
      </c>
      <c r="G190" s="1">
        <v>60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30</v>
      </c>
      <c r="R190" s="1">
        <v>6520</v>
      </c>
      <c r="S190" s="1">
        <v>0</v>
      </c>
      <c r="T190" s="1">
        <v>30</v>
      </c>
    </row>
    <row r="191" spans="1:20" ht="19.149999999999999" customHeight="1">
      <c r="A191" s="1" t="s">
        <v>181</v>
      </c>
      <c r="B191" s="5" t="s">
        <v>177</v>
      </c>
      <c r="C191" s="8">
        <v>2</v>
      </c>
      <c r="D191" s="6">
        <v>15</v>
      </c>
      <c r="E191" s="6">
        <v>30</v>
      </c>
      <c r="F191" s="1">
        <v>0</v>
      </c>
      <c r="G191" s="1">
        <v>60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30</v>
      </c>
      <c r="R191" s="1">
        <v>6520</v>
      </c>
      <c r="S191" s="1">
        <v>4</v>
      </c>
      <c r="T191" s="1">
        <v>60</v>
      </c>
    </row>
    <row r="192" spans="1:20" ht="19.149999999999999" customHeight="1">
      <c r="A192" s="1" t="s">
        <v>181</v>
      </c>
      <c r="B192" s="5" t="s">
        <v>178</v>
      </c>
      <c r="C192" s="8">
        <v>2</v>
      </c>
      <c r="D192" s="6">
        <v>15</v>
      </c>
      <c r="E192" s="6">
        <v>30</v>
      </c>
      <c r="F192" s="1">
        <v>0</v>
      </c>
      <c r="G192" s="1">
        <v>60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30</v>
      </c>
      <c r="R192" s="1">
        <v>6560</v>
      </c>
      <c r="S192" s="1">
        <v>0</v>
      </c>
      <c r="T192" s="1">
        <v>30</v>
      </c>
    </row>
    <row r="193" spans="1:20" ht="19.149999999999999" customHeight="1">
      <c r="A193" s="1" t="s">
        <v>182</v>
      </c>
      <c r="B193" s="5" t="s">
        <v>177</v>
      </c>
      <c r="C193" s="8">
        <v>2</v>
      </c>
      <c r="D193" s="6">
        <v>15</v>
      </c>
      <c r="E193" s="6">
        <v>30</v>
      </c>
      <c r="F193" s="1">
        <v>0</v>
      </c>
      <c r="G193" s="1">
        <v>60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150</v>
      </c>
      <c r="Q193" s="1">
        <v>30</v>
      </c>
      <c r="R193" s="1">
        <v>6560</v>
      </c>
      <c r="S193" s="1">
        <v>0</v>
      </c>
      <c r="T193" s="1">
        <v>38</v>
      </c>
    </row>
    <row r="194" spans="1:20" ht="19.149999999999999" customHeight="1">
      <c r="A194" s="1" t="s">
        <v>182</v>
      </c>
      <c r="B194" s="5" t="s">
        <v>178</v>
      </c>
      <c r="C194" s="8">
        <v>2</v>
      </c>
      <c r="D194" s="6">
        <v>15</v>
      </c>
      <c r="E194" s="6">
        <v>30</v>
      </c>
      <c r="F194" s="1">
        <v>0</v>
      </c>
      <c r="G194" s="1">
        <v>60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30</v>
      </c>
      <c r="Q194" s="1">
        <v>30</v>
      </c>
      <c r="R194" s="1">
        <v>6560</v>
      </c>
      <c r="S194" s="1">
        <v>0</v>
      </c>
      <c r="T194" s="1">
        <v>30</v>
      </c>
    </row>
    <row r="195" spans="1:20" ht="19.149999999999999" customHeight="1">
      <c r="A195" s="1" t="s">
        <v>183</v>
      </c>
      <c r="B195" s="5" t="s">
        <v>177</v>
      </c>
      <c r="C195" s="8">
        <v>2</v>
      </c>
      <c r="D195" s="6">
        <v>15</v>
      </c>
      <c r="E195" s="6">
        <v>30</v>
      </c>
      <c r="F195" s="1">
        <v>0</v>
      </c>
      <c r="G195" s="1">
        <v>60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10</v>
      </c>
      <c r="Q195" s="1">
        <v>30</v>
      </c>
      <c r="R195" s="1">
        <v>6560</v>
      </c>
      <c r="S195" s="1">
        <v>29</v>
      </c>
      <c r="T195" s="1">
        <v>15</v>
      </c>
    </row>
    <row r="196" spans="1:20" ht="19.149999999999999" customHeight="1">
      <c r="A196" s="1" t="s">
        <v>183</v>
      </c>
      <c r="B196" s="5" t="s">
        <v>178</v>
      </c>
      <c r="C196" s="8">
        <v>2</v>
      </c>
      <c r="D196" s="6">
        <v>15</v>
      </c>
      <c r="E196" s="6">
        <v>30</v>
      </c>
      <c r="F196" s="1">
        <v>0</v>
      </c>
      <c r="G196" s="1">
        <v>60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30</v>
      </c>
      <c r="R196" s="1">
        <v>6600</v>
      </c>
      <c r="S196" s="1">
        <v>44</v>
      </c>
      <c r="T196" s="1">
        <v>85</v>
      </c>
    </row>
    <row r="197" spans="1:20" ht="19.149999999999999" customHeight="1">
      <c r="A197" s="1" t="s">
        <v>184</v>
      </c>
      <c r="B197" s="5" t="s">
        <v>177</v>
      </c>
      <c r="C197" s="8">
        <v>2</v>
      </c>
      <c r="D197" s="6">
        <v>15</v>
      </c>
      <c r="E197" s="6">
        <v>30</v>
      </c>
      <c r="F197" s="1">
        <v>0</v>
      </c>
      <c r="G197" s="1">
        <v>60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30</v>
      </c>
      <c r="R197" s="1">
        <v>6600</v>
      </c>
      <c r="S197" s="1">
        <v>46</v>
      </c>
      <c r="T197" s="1">
        <v>110</v>
      </c>
    </row>
    <row r="198" spans="1:20" ht="18.600000000000001" customHeight="1">
      <c r="A198" s="1" t="s">
        <v>184</v>
      </c>
      <c r="B198" s="5" t="s">
        <v>178</v>
      </c>
      <c r="C198" s="8">
        <v>2</v>
      </c>
      <c r="D198" s="6">
        <v>15</v>
      </c>
      <c r="E198" s="6">
        <v>30</v>
      </c>
      <c r="F198" s="1">
        <v>210</v>
      </c>
      <c r="G198" s="1">
        <v>60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30</v>
      </c>
      <c r="R198" s="1">
        <v>3140</v>
      </c>
      <c r="S198" s="1">
        <v>0</v>
      </c>
      <c r="T198" s="1">
        <v>15</v>
      </c>
    </row>
    <row r="199" spans="1:20" ht="18.600000000000001" customHeight="1">
      <c r="A199" s="1" t="s">
        <v>185</v>
      </c>
      <c r="B199" s="5" t="s">
        <v>12</v>
      </c>
      <c r="C199" s="8">
        <v>2</v>
      </c>
      <c r="D199" s="6">
        <v>15</v>
      </c>
      <c r="E199" s="6">
        <v>30</v>
      </c>
      <c r="F199" s="1">
        <v>210</v>
      </c>
      <c r="G199" s="1">
        <v>60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30</v>
      </c>
      <c r="R199" s="1">
        <v>3200</v>
      </c>
      <c r="S199" s="1">
        <v>6</v>
      </c>
      <c r="T199" s="1">
        <v>20</v>
      </c>
    </row>
    <row r="200" spans="1:20" ht="18.600000000000001" customHeight="1">
      <c r="A200" s="1" t="s">
        <v>185</v>
      </c>
      <c r="B200" s="5" t="s">
        <v>16</v>
      </c>
      <c r="C200" s="8">
        <v>2</v>
      </c>
      <c r="D200" s="6">
        <v>15</v>
      </c>
      <c r="E200" s="6">
        <v>30</v>
      </c>
      <c r="F200" s="1">
        <v>0</v>
      </c>
      <c r="G200" s="1">
        <v>60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10</v>
      </c>
      <c r="Q200" s="1">
        <v>30</v>
      </c>
      <c r="R200" s="1">
        <v>6540</v>
      </c>
      <c r="S200" s="1">
        <v>4</v>
      </c>
      <c r="T200" s="1">
        <v>50</v>
      </c>
    </row>
    <row r="201" spans="1:20" ht="18.600000000000001" customHeight="1">
      <c r="A201" s="1" t="s">
        <v>186</v>
      </c>
      <c r="B201" s="5" t="s">
        <v>12</v>
      </c>
      <c r="C201" s="8">
        <v>2</v>
      </c>
      <c r="D201" s="6">
        <v>15</v>
      </c>
      <c r="E201" s="6">
        <v>30</v>
      </c>
      <c r="F201" s="1">
        <v>0</v>
      </c>
      <c r="G201" s="1">
        <v>60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10</v>
      </c>
      <c r="Q201" s="1">
        <v>30</v>
      </c>
      <c r="R201" s="1">
        <v>6520</v>
      </c>
      <c r="S201" s="1">
        <v>0</v>
      </c>
      <c r="T201" s="1">
        <v>35</v>
      </c>
    </row>
    <row r="202" spans="1:20" ht="18.600000000000001" customHeight="1">
      <c r="A202" s="1" t="s">
        <v>186</v>
      </c>
      <c r="B202" s="5" t="s">
        <v>16</v>
      </c>
      <c r="C202" s="8">
        <v>2</v>
      </c>
      <c r="D202" s="6">
        <v>15</v>
      </c>
      <c r="E202" s="6">
        <v>30</v>
      </c>
      <c r="F202" s="1">
        <v>0</v>
      </c>
      <c r="G202" s="1">
        <v>60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10</v>
      </c>
      <c r="Q202" s="1">
        <v>30</v>
      </c>
      <c r="R202" s="1">
        <v>6560</v>
      </c>
      <c r="S202" s="1">
        <v>4</v>
      </c>
      <c r="T202" s="1">
        <v>30</v>
      </c>
    </row>
    <row r="203" spans="1:20" ht="18.600000000000001" customHeight="1">
      <c r="A203" s="1" t="s">
        <v>187</v>
      </c>
      <c r="B203" s="5" t="s">
        <v>12</v>
      </c>
      <c r="C203" s="8">
        <v>2</v>
      </c>
      <c r="D203" s="6">
        <v>15</v>
      </c>
      <c r="E203" s="6">
        <v>30</v>
      </c>
      <c r="F203" s="1">
        <v>0</v>
      </c>
      <c r="G203" s="1">
        <v>60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30</v>
      </c>
      <c r="R203" s="1">
        <v>6520</v>
      </c>
      <c r="S203" s="1">
        <v>0</v>
      </c>
      <c r="T203" s="1">
        <v>34</v>
      </c>
    </row>
    <row r="204" spans="1:20" ht="18.600000000000001" customHeight="1">
      <c r="A204" s="1" t="s">
        <v>187</v>
      </c>
      <c r="B204" s="5" t="s">
        <v>16</v>
      </c>
      <c r="C204" s="8">
        <v>2</v>
      </c>
      <c r="D204" s="6">
        <v>15</v>
      </c>
      <c r="E204" s="6">
        <v>30</v>
      </c>
      <c r="F204" s="1">
        <v>0</v>
      </c>
      <c r="G204" s="1">
        <v>60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30</v>
      </c>
      <c r="R204" s="1">
        <v>6520</v>
      </c>
      <c r="S204" s="1">
        <v>4</v>
      </c>
      <c r="T204" s="1">
        <v>30</v>
      </c>
    </row>
    <row r="205" spans="1:20" ht="18.600000000000001" customHeight="1">
      <c r="A205" s="1" t="s">
        <v>188</v>
      </c>
      <c r="B205" s="5" t="s">
        <v>12</v>
      </c>
      <c r="C205" s="8">
        <v>2</v>
      </c>
      <c r="D205" s="6">
        <v>15</v>
      </c>
      <c r="E205" s="6">
        <v>30</v>
      </c>
      <c r="F205" s="1">
        <v>0</v>
      </c>
      <c r="G205" s="1">
        <v>60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10</v>
      </c>
      <c r="Q205" s="1">
        <v>30</v>
      </c>
      <c r="R205" s="1">
        <v>6540</v>
      </c>
      <c r="S205" s="1">
        <v>8</v>
      </c>
      <c r="T205" s="1">
        <v>34</v>
      </c>
    </row>
    <row r="206" spans="1:20" ht="18.600000000000001" customHeight="1">
      <c r="A206" s="1" t="s">
        <v>188</v>
      </c>
      <c r="B206" s="5" t="s">
        <v>16</v>
      </c>
      <c r="C206" s="8">
        <v>2</v>
      </c>
      <c r="D206" s="6">
        <v>15</v>
      </c>
      <c r="E206" s="6">
        <v>30</v>
      </c>
      <c r="F206" s="1">
        <v>0</v>
      </c>
      <c r="G206" s="1">
        <v>60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10</v>
      </c>
      <c r="Q206" s="1">
        <v>30</v>
      </c>
      <c r="R206" s="1">
        <v>6540</v>
      </c>
      <c r="S206" s="1">
        <v>4</v>
      </c>
      <c r="T206" s="1">
        <v>44</v>
      </c>
    </row>
    <row r="207" spans="1:20" ht="18.600000000000001" customHeight="1">
      <c r="A207" s="1" t="s">
        <v>189</v>
      </c>
      <c r="B207" s="5" t="s">
        <v>12</v>
      </c>
      <c r="C207" s="8">
        <v>2</v>
      </c>
      <c r="D207" s="6">
        <v>15</v>
      </c>
      <c r="E207" s="6">
        <v>30</v>
      </c>
      <c r="F207" s="1">
        <v>0</v>
      </c>
      <c r="G207" s="1">
        <v>60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30</v>
      </c>
      <c r="R207" s="1">
        <v>6560</v>
      </c>
      <c r="S207" s="1">
        <v>38</v>
      </c>
      <c r="T207" s="1">
        <v>70</v>
      </c>
    </row>
    <row r="208" spans="1:20" ht="18.600000000000001" customHeight="1">
      <c r="A208" s="1" t="s">
        <v>189</v>
      </c>
      <c r="B208" s="5" t="s">
        <v>16</v>
      </c>
      <c r="C208" s="8">
        <v>2</v>
      </c>
      <c r="D208" s="6">
        <v>15</v>
      </c>
      <c r="E208" s="6">
        <v>30</v>
      </c>
      <c r="F208" s="1">
        <v>210</v>
      </c>
      <c r="G208" s="1">
        <v>60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30</v>
      </c>
      <c r="R208" s="1">
        <v>3260</v>
      </c>
      <c r="S208" s="1">
        <v>40</v>
      </c>
      <c r="T208" s="1">
        <v>0</v>
      </c>
    </row>
    <row r="209" spans="1:20" ht="18.600000000000001" customHeight="1">
      <c r="A209" s="1" t="s">
        <v>190</v>
      </c>
      <c r="B209" s="5" t="s">
        <v>12</v>
      </c>
      <c r="C209" s="8">
        <v>1</v>
      </c>
      <c r="D209" s="6">
        <v>15</v>
      </c>
      <c r="E209" s="6">
        <v>30</v>
      </c>
      <c r="F209" s="1">
        <v>210</v>
      </c>
      <c r="G209" s="1">
        <v>60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10</v>
      </c>
      <c r="Q209" s="1">
        <v>25</v>
      </c>
      <c r="R209" s="1">
        <v>1570</v>
      </c>
      <c r="S209" s="1">
        <v>0</v>
      </c>
      <c r="T209" s="1">
        <v>30</v>
      </c>
    </row>
    <row r="210" spans="1:20" ht="18.600000000000001" customHeight="1">
      <c r="A210" s="1" t="s">
        <v>190</v>
      </c>
      <c r="B210" s="5" t="s">
        <v>16</v>
      </c>
      <c r="C210" s="8">
        <v>1</v>
      </c>
      <c r="D210" s="6">
        <v>15</v>
      </c>
      <c r="E210" s="6">
        <v>30</v>
      </c>
      <c r="F210" s="1">
        <v>0</v>
      </c>
      <c r="G210" s="1">
        <v>60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40</v>
      </c>
      <c r="Q210" s="1">
        <v>25</v>
      </c>
      <c r="R210" s="1">
        <v>3160</v>
      </c>
      <c r="S210" s="1">
        <v>8</v>
      </c>
      <c r="T210" s="1">
        <v>55</v>
      </c>
    </row>
    <row r="211" spans="1:20" ht="18.600000000000001" customHeight="1">
      <c r="A211" s="1" t="s">
        <v>191</v>
      </c>
      <c r="B211" s="5" t="s">
        <v>12</v>
      </c>
      <c r="C211" s="8">
        <v>1</v>
      </c>
      <c r="D211" s="6">
        <v>15</v>
      </c>
      <c r="E211" s="6">
        <v>30</v>
      </c>
      <c r="F211" s="1">
        <v>0</v>
      </c>
      <c r="G211" s="1">
        <v>60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25</v>
      </c>
      <c r="R211" s="1">
        <v>3975</v>
      </c>
      <c r="S211" s="1">
        <v>2</v>
      </c>
      <c r="T211" s="1">
        <v>53</v>
      </c>
    </row>
    <row r="212" spans="1:20" ht="18.600000000000001" customHeight="1">
      <c r="A212" s="1" t="s">
        <v>191</v>
      </c>
      <c r="B212" s="5" t="s">
        <v>16</v>
      </c>
      <c r="C212" s="8">
        <v>1</v>
      </c>
      <c r="D212" s="6">
        <v>15</v>
      </c>
      <c r="E212" s="6">
        <v>30</v>
      </c>
      <c r="F212" s="1">
        <v>0</v>
      </c>
      <c r="G212" s="1">
        <v>60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25</v>
      </c>
      <c r="R212" s="1">
        <v>3985</v>
      </c>
      <c r="S212" s="1">
        <v>2</v>
      </c>
      <c r="T212" s="1">
        <v>98</v>
      </c>
    </row>
    <row r="213" spans="1:20" ht="18.600000000000001" customHeight="1">
      <c r="A213" s="1" t="s">
        <v>192</v>
      </c>
      <c r="B213" s="5" t="s">
        <v>193</v>
      </c>
      <c r="C213" s="8">
        <v>1</v>
      </c>
      <c r="D213" s="6">
        <v>15</v>
      </c>
      <c r="E213" s="6">
        <v>30</v>
      </c>
      <c r="F213" s="1">
        <v>0</v>
      </c>
      <c r="G213" s="1">
        <v>60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25</v>
      </c>
      <c r="R213" s="1">
        <v>3210</v>
      </c>
      <c r="S213" s="1">
        <v>31</v>
      </c>
      <c r="T213" s="1">
        <v>12</v>
      </c>
    </row>
    <row r="214" spans="1:20" ht="18.600000000000001" customHeight="1">
      <c r="A214" s="1" t="s">
        <v>194</v>
      </c>
      <c r="B214" s="5" t="s">
        <v>195</v>
      </c>
      <c r="C214" s="8">
        <v>1</v>
      </c>
      <c r="D214" s="6">
        <v>15</v>
      </c>
      <c r="E214" s="6">
        <v>30</v>
      </c>
      <c r="F214" s="1">
        <v>210</v>
      </c>
      <c r="G214" s="1">
        <v>60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25</v>
      </c>
      <c r="R214" s="1">
        <v>2340</v>
      </c>
      <c r="S214" s="1">
        <v>0</v>
      </c>
      <c r="T214" s="1">
        <v>55</v>
      </c>
    </row>
    <row r="215" spans="1:20" ht="18.600000000000001" customHeight="1">
      <c r="A215" s="1" t="s">
        <v>196</v>
      </c>
      <c r="B215" s="5" t="s">
        <v>195</v>
      </c>
      <c r="C215" s="8">
        <v>1</v>
      </c>
      <c r="D215" s="6">
        <v>15</v>
      </c>
      <c r="E215" s="6">
        <v>30</v>
      </c>
      <c r="F215" s="1">
        <v>0</v>
      </c>
      <c r="G215" s="1">
        <v>60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25</v>
      </c>
      <c r="R215" s="1">
        <v>3980</v>
      </c>
      <c r="S215" s="1">
        <v>0</v>
      </c>
      <c r="T215" s="1">
        <v>22</v>
      </c>
    </row>
    <row r="216" spans="1:20" ht="18.600000000000001" customHeight="1">
      <c r="A216" s="1" t="s">
        <v>196</v>
      </c>
      <c r="B216" s="5" t="s">
        <v>197</v>
      </c>
      <c r="C216" s="8">
        <v>1</v>
      </c>
      <c r="D216" s="6">
        <v>15</v>
      </c>
      <c r="E216" s="6">
        <v>30</v>
      </c>
      <c r="F216" s="1">
        <v>0</v>
      </c>
      <c r="G216" s="1">
        <v>60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25</v>
      </c>
      <c r="R216" s="1">
        <v>3970</v>
      </c>
      <c r="S216" s="1">
        <v>0</v>
      </c>
      <c r="T216" s="1">
        <v>13</v>
      </c>
    </row>
    <row r="217" spans="1:20" ht="18.600000000000001" customHeight="1">
      <c r="A217" s="1" t="s">
        <v>198</v>
      </c>
      <c r="B217" s="5" t="s">
        <v>199</v>
      </c>
      <c r="C217" s="8">
        <v>1</v>
      </c>
      <c r="D217" s="6">
        <v>15</v>
      </c>
      <c r="E217" s="6">
        <v>30</v>
      </c>
      <c r="F217" s="1">
        <v>0</v>
      </c>
      <c r="G217" s="1">
        <v>60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25</v>
      </c>
      <c r="R217" s="1">
        <v>3990</v>
      </c>
      <c r="S217" s="1">
        <v>0</v>
      </c>
      <c r="T217" s="1">
        <v>14</v>
      </c>
    </row>
    <row r="218" spans="1:20" ht="18.600000000000001" customHeight="1">
      <c r="A218" s="1" t="s">
        <v>200</v>
      </c>
      <c r="B218" s="5" t="s">
        <v>199</v>
      </c>
      <c r="C218" s="8">
        <v>1</v>
      </c>
      <c r="D218" s="6">
        <v>15</v>
      </c>
      <c r="E218" s="6">
        <v>30</v>
      </c>
      <c r="F218" s="1">
        <v>0</v>
      </c>
      <c r="G218" s="1">
        <v>60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25</v>
      </c>
      <c r="R218" s="1">
        <v>4000</v>
      </c>
      <c r="S218" s="1">
        <v>0</v>
      </c>
      <c r="T218" s="1">
        <v>3</v>
      </c>
    </row>
    <row r="219" spans="1:20" ht="18.600000000000001" customHeight="1">
      <c r="A219" s="1" t="s">
        <v>201</v>
      </c>
      <c r="B219" s="5" t="s">
        <v>199</v>
      </c>
      <c r="C219" s="8">
        <v>1</v>
      </c>
      <c r="D219" s="6">
        <v>15</v>
      </c>
      <c r="E219" s="6">
        <v>30</v>
      </c>
      <c r="F219" s="1">
        <v>0</v>
      </c>
      <c r="G219" s="1">
        <v>60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20</v>
      </c>
      <c r="Q219" s="1">
        <v>25</v>
      </c>
      <c r="R219" s="1">
        <v>4000</v>
      </c>
      <c r="S219" s="1">
        <v>0</v>
      </c>
      <c r="T219" s="1">
        <v>38</v>
      </c>
    </row>
    <row r="220" spans="1:20" ht="18.600000000000001" customHeight="1">
      <c r="A220" s="1" t="s">
        <v>204</v>
      </c>
      <c r="B220" s="5" t="s">
        <v>202</v>
      </c>
      <c r="C220" s="8">
        <v>1</v>
      </c>
      <c r="D220" s="6">
        <v>15</v>
      </c>
      <c r="E220" s="6">
        <v>30</v>
      </c>
      <c r="F220" s="1">
        <v>0</v>
      </c>
      <c r="G220" s="1">
        <v>60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20</v>
      </c>
      <c r="Q220" s="1">
        <v>25</v>
      </c>
      <c r="R220" s="1">
        <v>4000</v>
      </c>
      <c r="S220" s="1">
        <v>0</v>
      </c>
      <c r="T220" s="1">
        <v>36</v>
      </c>
    </row>
    <row r="221" spans="1:20" ht="18.600000000000001" customHeight="1">
      <c r="A221" s="1" t="s">
        <v>204</v>
      </c>
      <c r="B221" s="5" t="s">
        <v>203</v>
      </c>
      <c r="C221" s="8">
        <v>1</v>
      </c>
      <c r="D221" s="6">
        <v>15</v>
      </c>
      <c r="E221" s="6">
        <v>30</v>
      </c>
      <c r="F221" s="1">
        <v>0</v>
      </c>
      <c r="G221" s="1">
        <v>60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20</v>
      </c>
      <c r="Q221" s="1">
        <v>25</v>
      </c>
      <c r="R221" s="1">
        <v>3990</v>
      </c>
      <c r="S221" s="1">
        <v>0</v>
      </c>
      <c r="T221" s="1">
        <v>45</v>
      </c>
    </row>
    <row r="222" spans="1:20" ht="18.600000000000001" customHeight="1">
      <c r="A222" s="1" t="s">
        <v>205</v>
      </c>
      <c r="B222" s="5" t="s">
        <v>202</v>
      </c>
      <c r="C222" s="8">
        <v>1</v>
      </c>
      <c r="D222" s="6">
        <v>15</v>
      </c>
      <c r="E222" s="6">
        <v>30</v>
      </c>
      <c r="F222" s="1">
        <v>0</v>
      </c>
      <c r="G222" s="1">
        <v>60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20</v>
      </c>
      <c r="Q222" s="1">
        <v>25</v>
      </c>
      <c r="R222" s="1">
        <v>3990</v>
      </c>
      <c r="S222" s="1">
        <v>0</v>
      </c>
      <c r="T222" s="1">
        <v>50</v>
      </c>
    </row>
    <row r="223" spans="1:20" ht="18.600000000000001" customHeight="1">
      <c r="A223" s="1" t="s">
        <v>206</v>
      </c>
      <c r="B223" s="5" t="s">
        <v>202</v>
      </c>
      <c r="C223" s="8">
        <v>1</v>
      </c>
      <c r="D223" s="6">
        <v>15</v>
      </c>
      <c r="E223" s="6">
        <v>30</v>
      </c>
      <c r="F223" s="1">
        <v>0</v>
      </c>
      <c r="G223" s="1">
        <v>60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30</v>
      </c>
      <c r="Q223" s="1">
        <v>25</v>
      </c>
      <c r="R223" s="1">
        <v>4000</v>
      </c>
      <c r="S223" s="1">
        <v>0</v>
      </c>
      <c r="T223" s="1">
        <v>15</v>
      </c>
    </row>
    <row r="224" spans="1:20" ht="18.600000000000001" customHeight="1">
      <c r="A224" s="1" t="s">
        <v>206</v>
      </c>
      <c r="B224" s="5" t="s">
        <v>203</v>
      </c>
      <c r="C224" s="8">
        <v>1</v>
      </c>
      <c r="D224" s="6">
        <v>15</v>
      </c>
      <c r="E224" s="6">
        <v>30</v>
      </c>
      <c r="F224" s="1">
        <v>0</v>
      </c>
      <c r="G224" s="1">
        <v>60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30</v>
      </c>
      <c r="Q224" s="1">
        <v>25</v>
      </c>
      <c r="R224" s="1">
        <v>4000</v>
      </c>
      <c r="S224" s="1">
        <v>0</v>
      </c>
      <c r="T224" s="1">
        <v>35</v>
      </c>
    </row>
    <row r="225" spans="1:20" ht="18.600000000000001" customHeight="1">
      <c r="A225" s="1" t="s">
        <v>207</v>
      </c>
      <c r="B225" s="5" t="s">
        <v>208</v>
      </c>
      <c r="C225" s="8">
        <v>1</v>
      </c>
      <c r="D225" s="6">
        <v>15</v>
      </c>
      <c r="E225" s="6">
        <v>30</v>
      </c>
      <c r="F225" s="1">
        <v>0</v>
      </c>
      <c r="G225" s="1">
        <v>60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30</v>
      </c>
      <c r="Q225" s="1">
        <v>25</v>
      </c>
      <c r="R225" s="1">
        <v>3990</v>
      </c>
      <c r="S225" s="1">
        <v>0</v>
      </c>
      <c r="T225" s="1">
        <v>82</v>
      </c>
    </row>
    <row r="226" spans="1:20" ht="18.600000000000001" customHeight="1">
      <c r="A226" s="1" t="s">
        <v>209</v>
      </c>
      <c r="B226" s="5" t="s">
        <v>212</v>
      </c>
      <c r="C226" s="8">
        <v>1</v>
      </c>
      <c r="D226" s="6">
        <v>15</v>
      </c>
      <c r="E226" s="6">
        <v>30</v>
      </c>
      <c r="F226" s="1">
        <v>0</v>
      </c>
      <c r="G226" s="1">
        <v>60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30</v>
      </c>
      <c r="Q226" s="1">
        <v>25</v>
      </c>
      <c r="R226" s="1">
        <v>3990</v>
      </c>
      <c r="S226" s="1">
        <v>0</v>
      </c>
      <c r="T226" s="1">
        <v>35</v>
      </c>
    </row>
    <row r="227" spans="1:20" ht="18.600000000000001" customHeight="1">
      <c r="A227" s="1" t="s">
        <v>210</v>
      </c>
      <c r="B227" s="5" t="s">
        <v>12</v>
      </c>
      <c r="C227" s="8">
        <v>1</v>
      </c>
      <c r="D227" s="6">
        <v>15</v>
      </c>
      <c r="E227" s="6">
        <v>30</v>
      </c>
      <c r="F227" s="1">
        <v>0</v>
      </c>
      <c r="G227" s="1">
        <v>60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30</v>
      </c>
      <c r="Q227" s="1">
        <v>25</v>
      </c>
      <c r="R227" s="1">
        <v>3985</v>
      </c>
      <c r="S227" s="1">
        <v>5</v>
      </c>
      <c r="T227" s="1">
        <v>32</v>
      </c>
    </row>
    <row r="228" spans="1:20" ht="18.600000000000001" customHeight="1">
      <c r="A228" s="1" t="s">
        <v>210</v>
      </c>
      <c r="B228" s="5" t="s">
        <v>16</v>
      </c>
      <c r="C228" s="8">
        <v>1</v>
      </c>
      <c r="D228" s="6">
        <v>15</v>
      </c>
      <c r="E228" s="6">
        <v>30</v>
      </c>
      <c r="F228" s="1">
        <v>0</v>
      </c>
      <c r="G228" s="1">
        <v>60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30</v>
      </c>
      <c r="Q228" s="1">
        <v>25</v>
      </c>
      <c r="R228" s="1">
        <v>4015</v>
      </c>
      <c r="S228" s="1">
        <v>25</v>
      </c>
      <c r="T228" s="1">
        <v>20</v>
      </c>
    </row>
    <row r="229" spans="1:20" ht="18.600000000000001" customHeight="1">
      <c r="A229" s="1" t="s">
        <v>211</v>
      </c>
      <c r="B229" s="5" t="s">
        <v>12</v>
      </c>
      <c r="C229" s="8">
        <v>1</v>
      </c>
      <c r="D229" s="6">
        <v>15</v>
      </c>
      <c r="E229" s="6">
        <v>30</v>
      </c>
      <c r="F229" s="1">
        <v>0</v>
      </c>
      <c r="G229" s="1">
        <v>60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30</v>
      </c>
      <c r="Q229" s="1">
        <v>25</v>
      </c>
      <c r="R229" s="1">
        <v>3990</v>
      </c>
      <c r="S229" s="1">
        <v>25</v>
      </c>
      <c r="T229" s="1">
        <v>75</v>
      </c>
    </row>
    <row r="230" spans="1:20" ht="18.600000000000001" customHeight="1">
      <c r="A230" s="1" t="s">
        <v>211</v>
      </c>
      <c r="B230" s="5" t="s">
        <v>16</v>
      </c>
      <c r="C230" s="8">
        <v>1</v>
      </c>
      <c r="D230" s="6">
        <v>15</v>
      </c>
      <c r="E230" s="6">
        <v>30</v>
      </c>
      <c r="F230" s="1">
        <v>210</v>
      </c>
      <c r="G230" s="1">
        <v>60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20</v>
      </c>
      <c r="Q230" s="1">
        <v>25</v>
      </c>
      <c r="R230" s="1">
        <v>2380</v>
      </c>
      <c r="S230" s="1">
        <v>18</v>
      </c>
      <c r="T230" s="1">
        <v>15</v>
      </c>
    </row>
    <row r="231" spans="1:20" ht="18.600000000000001" customHeight="1">
      <c r="A231" s="1" t="s">
        <v>213</v>
      </c>
      <c r="B231" s="5" t="s">
        <v>214</v>
      </c>
      <c r="C231" s="8">
        <v>2</v>
      </c>
      <c r="D231" s="6">
        <v>15</v>
      </c>
      <c r="E231" s="6">
        <v>30</v>
      </c>
      <c r="F231" s="1">
        <v>210</v>
      </c>
      <c r="G231" s="1">
        <v>60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30</v>
      </c>
      <c r="R231" s="1">
        <v>3200</v>
      </c>
      <c r="S231" s="1">
        <v>0</v>
      </c>
      <c r="T231" s="1">
        <v>16</v>
      </c>
    </row>
    <row r="232" spans="1:20" ht="18.600000000000001" customHeight="1">
      <c r="A232" s="1" t="s">
        <v>216</v>
      </c>
      <c r="B232" s="5" t="s">
        <v>214</v>
      </c>
      <c r="C232" s="8">
        <v>2</v>
      </c>
      <c r="D232" s="6">
        <v>15</v>
      </c>
      <c r="E232" s="6">
        <v>30</v>
      </c>
      <c r="F232" s="1">
        <v>0</v>
      </c>
      <c r="G232" s="1">
        <v>60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30</v>
      </c>
      <c r="R232" s="1">
        <v>6480</v>
      </c>
      <c r="S232" s="1">
        <v>0</v>
      </c>
      <c r="T232" s="1">
        <v>12</v>
      </c>
    </row>
    <row r="233" spans="1:20" ht="18.600000000000001" customHeight="1">
      <c r="A233" s="1" t="s">
        <v>216</v>
      </c>
      <c r="B233" s="5" t="s">
        <v>215</v>
      </c>
      <c r="C233" s="8">
        <v>2</v>
      </c>
      <c r="D233" s="6">
        <v>15</v>
      </c>
      <c r="E233" s="6">
        <v>30</v>
      </c>
      <c r="F233" s="1">
        <v>0</v>
      </c>
      <c r="G233" s="1">
        <v>60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30</v>
      </c>
      <c r="R233" s="1">
        <v>6520</v>
      </c>
      <c r="S233" s="1">
        <v>0</v>
      </c>
      <c r="T233" s="1">
        <v>16</v>
      </c>
    </row>
    <row r="234" spans="1:20" ht="18.600000000000001" customHeight="1">
      <c r="A234" s="1" t="s">
        <v>217</v>
      </c>
      <c r="B234" s="5" t="s">
        <v>223</v>
      </c>
      <c r="C234" s="8">
        <v>2</v>
      </c>
      <c r="D234" s="6">
        <v>15</v>
      </c>
      <c r="E234" s="6">
        <v>30</v>
      </c>
      <c r="F234" s="1">
        <v>0</v>
      </c>
      <c r="G234" s="1">
        <v>60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30</v>
      </c>
      <c r="R234" s="1">
        <v>6580</v>
      </c>
      <c r="S234" s="1">
        <v>0</v>
      </c>
      <c r="T234" s="1">
        <v>10</v>
      </c>
    </row>
    <row r="235" spans="1:20" ht="18.600000000000001" customHeight="1">
      <c r="A235" s="1" t="s">
        <v>218</v>
      </c>
      <c r="B235" s="5" t="s">
        <v>223</v>
      </c>
      <c r="C235" s="8">
        <v>2</v>
      </c>
      <c r="D235" s="6">
        <v>15</v>
      </c>
      <c r="E235" s="6">
        <v>30</v>
      </c>
      <c r="F235" s="1">
        <v>0</v>
      </c>
      <c r="G235" s="1">
        <v>60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30</v>
      </c>
      <c r="R235" s="1">
        <v>6560</v>
      </c>
      <c r="S235" s="1">
        <v>0</v>
      </c>
      <c r="T235" s="1">
        <v>10</v>
      </c>
    </row>
    <row r="236" spans="1:20" ht="18.600000000000001" customHeight="1">
      <c r="A236" s="1" t="s">
        <v>219</v>
      </c>
      <c r="B236" s="5" t="s">
        <v>224</v>
      </c>
      <c r="C236" s="8">
        <v>2</v>
      </c>
      <c r="D236" s="6">
        <v>15</v>
      </c>
      <c r="E236" s="6">
        <v>30</v>
      </c>
      <c r="F236" s="1">
        <v>0</v>
      </c>
      <c r="G236" s="1">
        <v>60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30</v>
      </c>
      <c r="R236" s="1">
        <v>6560</v>
      </c>
      <c r="S236" s="1">
        <v>0</v>
      </c>
      <c r="T236" s="1">
        <v>8</v>
      </c>
    </row>
    <row r="237" spans="1:20" ht="18.600000000000001" customHeight="1">
      <c r="A237" s="1" t="s">
        <v>220</v>
      </c>
      <c r="B237" s="5" t="s">
        <v>224</v>
      </c>
      <c r="C237" s="8">
        <v>2</v>
      </c>
      <c r="D237" s="6">
        <v>15</v>
      </c>
      <c r="E237" s="6">
        <v>30</v>
      </c>
      <c r="F237" s="1">
        <v>0</v>
      </c>
      <c r="G237" s="1">
        <v>60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10</v>
      </c>
      <c r="Q237" s="1">
        <v>30</v>
      </c>
      <c r="R237" s="1">
        <v>6580</v>
      </c>
      <c r="S237" s="1">
        <v>0</v>
      </c>
      <c r="T237" s="1">
        <v>30</v>
      </c>
    </row>
    <row r="238" spans="1:20" ht="18.600000000000001" customHeight="1">
      <c r="A238" s="1" t="s">
        <v>221</v>
      </c>
      <c r="B238" s="5" t="s">
        <v>223</v>
      </c>
      <c r="C238" s="8">
        <v>2</v>
      </c>
      <c r="D238" s="6">
        <v>15</v>
      </c>
      <c r="E238" s="6">
        <v>30</v>
      </c>
      <c r="F238" s="1">
        <v>0</v>
      </c>
      <c r="G238" s="1">
        <v>60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10</v>
      </c>
      <c r="Q238" s="1">
        <v>30</v>
      </c>
      <c r="R238" s="1">
        <v>6560</v>
      </c>
      <c r="S238" s="1">
        <v>4</v>
      </c>
      <c r="T238" s="1">
        <v>26</v>
      </c>
    </row>
    <row r="239" spans="1:20" ht="18.600000000000001" customHeight="1">
      <c r="A239" s="1" t="s">
        <v>222</v>
      </c>
      <c r="B239" s="5" t="s">
        <v>223</v>
      </c>
      <c r="C239" s="8">
        <v>2</v>
      </c>
      <c r="D239" s="6">
        <v>15</v>
      </c>
      <c r="E239" s="6">
        <v>30</v>
      </c>
      <c r="F239" s="1">
        <v>0</v>
      </c>
      <c r="G239" s="1">
        <v>60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30</v>
      </c>
      <c r="R239" s="1">
        <v>6580</v>
      </c>
      <c r="S239" s="1">
        <v>26</v>
      </c>
      <c r="T239" s="1">
        <v>9</v>
      </c>
    </row>
    <row r="240" spans="1:20" ht="18.600000000000001" customHeight="1">
      <c r="A240" s="1" t="s">
        <v>225</v>
      </c>
      <c r="B240" s="5" t="s">
        <v>223</v>
      </c>
      <c r="C240" s="8">
        <v>2</v>
      </c>
      <c r="D240" s="6">
        <v>15</v>
      </c>
      <c r="E240" s="6">
        <v>30</v>
      </c>
      <c r="F240" s="1">
        <v>0</v>
      </c>
      <c r="G240" s="1">
        <v>60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30</v>
      </c>
      <c r="R240" s="1">
        <v>6580</v>
      </c>
      <c r="S240" s="1">
        <v>31</v>
      </c>
      <c r="T240" s="1">
        <v>15</v>
      </c>
    </row>
    <row r="241" spans="1:20" ht="18.600000000000001" customHeight="1">
      <c r="A241" s="1" t="s">
        <v>226</v>
      </c>
      <c r="B241" s="5" t="s">
        <v>223</v>
      </c>
      <c r="C241" s="8">
        <v>2</v>
      </c>
      <c r="D241" s="6">
        <v>15</v>
      </c>
      <c r="E241" s="6">
        <v>30</v>
      </c>
      <c r="F241" s="1">
        <v>210</v>
      </c>
      <c r="G241" s="1">
        <v>60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30</v>
      </c>
      <c r="R241" s="1">
        <v>3300</v>
      </c>
      <c r="S241" s="1">
        <v>24</v>
      </c>
      <c r="T241" s="1">
        <v>4</v>
      </c>
    </row>
    <row r="242" spans="1:20" ht="18.600000000000001" customHeight="1">
      <c r="A242" s="1" t="s">
        <v>227</v>
      </c>
      <c r="B242" s="5" t="s">
        <v>228</v>
      </c>
      <c r="C242" s="8">
        <v>1</v>
      </c>
      <c r="D242" s="6">
        <v>15</v>
      </c>
      <c r="E242" s="6">
        <v>30</v>
      </c>
      <c r="F242" s="1">
        <v>210</v>
      </c>
      <c r="G242" s="1">
        <v>60</v>
      </c>
      <c r="H242" s="1">
        <v>10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25</v>
      </c>
      <c r="R242" s="1">
        <v>1580</v>
      </c>
      <c r="S242" s="1">
        <v>0</v>
      </c>
      <c r="T242" s="1">
        <v>3</v>
      </c>
    </row>
    <row r="243" spans="1:20" ht="18.600000000000001" customHeight="1">
      <c r="A243" s="1" t="s">
        <v>229</v>
      </c>
      <c r="B243" s="5" t="s">
        <v>228</v>
      </c>
      <c r="C243" s="8">
        <v>1</v>
      </c>
      <c r="D243" s="6">
        <v>15</v>
      </c>
      <c r="E243" s="6">
        <v>30</v>
      </c>
      <c r="F243" s="1">
        <v>0</v>
      </c>
      <c r="G243" s="1">
        <v>60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25</v>
      </c>
      <c r="R243" s="1">
        <v>3950</v>
      </c>
      <c r="S243" s="1">
        <v>0</v>
      </c>
      <c r="T243" s="1">
        <v>8</v>
      </c>
    </row>
    <row r="244" spans="1:20" ht="18.600000000000001" customHeight="1">
      <c r="A244" s="1" t="s">
        <v>230</v>
      </c>
      <c r="B244" s="5" t="s">
        <v>228</v>
      </c>
      <c r="C244" s="8">
        <v>1</v>
      </c>
      <c r="D244" s="6">
        <v>15</v>
      </c>
      <c r="E244" s="6">
        <v>30</v>
      </c>
      <c r="F244" s="1">
        <v>0</v>
      </c>
      <c r="G244" s="1">
        <v>60</v>
      </c>
      <c r="H244" s="1">
        <v>60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10</v>
      </c>
      <c r="Q244" s="1">
        <v>25</v>
      </c>
      <c r="R244" s="1">
        <v>3970</v>
      </c>
      <c r="S244" s="1">
        <v>0</v>
      </c>
      <c r="T244" s="1">
        <v>41</v>
      </c>
    </row>
    <row r="245" spans="1:20" ht="18.600000000000001" customHeight="1">
      <c r="A245" s="1" t="s">
        <v>231</v>
      </c>
      <c r="B245" s="5" t="s">
        <v>228</v>
      </c>
      <c r="C245" s="8">
        <v>1</v>
      </c>
      <c r="D245" s="6">
        <v>15</v>
      </c>
      <c r="E245" s="6">
        <v>30</v>
      </c>
      <c r="F245" s="1">
        <v>0</v>
      </c>
      <c r="G245" s="1">
        <v>60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25</v>
      </c>
      <c r="R245" s="1">
        <v>4005</v>
      </c>
      <c r="S245" s="1">
        <v>22</v>
      </c>
      <c r="T245" s="1">
        <v>0</v>
      </c>
    </row>
    <row r="246" spans="1:20" ht="18.600000000000001" customHeight="1">
      <c r="A246" s="1" t="s">
        <v>232</v>
      </c>
      <c r="B246" s="5" t="s">
        <v>228</v>
      </c>
      <c r="C246" s="8">
        <v>1</v>
      </c>
      <c r="D246" s="6">
        <v>15</v>
      </c>
      <c r="E246" s="6">
        <v>30</v>
      </c>
      <c r="F246" s="1">
        <v>0</v>
      </c>
      <c r="G246" s="1">
        <v>60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25</v>
      </c>
      <c r="R246" s="1">
        <v>3995</v>
      </c>
      <c r="S246" s="1">
        <v>37</v>
      </c>
      <c r="T246" s="1">
        <v>0</v>
      </c>
    </row>
    <row r="247" spans="1:20" ht="18.600000000000001" customHeight="1">
      <c r="A247" s="1" t="s">
        <v>233</v>
      </c>
      <c r="B247" s="5" t="s">
        <v>234</v>
      </c>
      <c r="C247" s="8">
        <v>2</v>
      </c>
      <c r="D247" s="6">
        <v>15</v>
      </c>
      <c r="E247" s="6">
        <v>30</v>
      </c>
      <c r="F247" s="1">
        <v>210</v>
      </c>
      <c r="G247" s="1">
        <v>60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30</v>
      </c>
      <c r="R247" s="1">
        <v>3220</v>
      </c>
      <c r="S247" s="1">
        <v>0</v>
      </c>
      <c r="T247" s="1">
        <v>8</v>
      </c>
    </row>
    <row r="248" spans="1:20" ht="18.600000000000001" customHeight="1">
      <c r="A248" s="1" t="s">
        <v>235</v>
      </c>
      <c r="B248" s="5" t="s">
        <v>12</v>
      </c>
      <c r="C248" s="8">
        <v>2</v>
      </c>
      <c r="D248" s="6">
        <v>15</v>
      </c>
      <c r="E248" s="6">
        <v>30</v>
      </c>
      <c r="F248" s="1">
        <v>0</v>
      </c>
      <c r="G248" s="1">
        <v>60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30</v>
      </c>
      <c r="R248" s="1">
        <v>6480</v>
      </c>
      <c r="S248" s="1">
        <v>0</v>
      </c>
      <c r="T248" s="1">
        <v>7</v>
      </c>
    </row>
    <row r="249" spans="1:20" ht="18.600000000000001" customHeight="1">
      <c r="A249" s="1" t="s">
        <v>235</v>
      </c>
      <c r="B249" s="5" t="s">
        <v>16</v>
      </c>
      <c r="C249" s="8">
        <v>2</v>
      </c>
      <c r="D249" s="6">
        <v>15</v>
      </c>
      <c r="E249" s="6">
        <v>30</v>
      </c>
      <c r="F249" s="1">
        <v>0</v>
      </c>
      <c r="G249" s="1">
        <v>60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30</v>
      </c>
      <c r="R249" s="1">
        <v>6480</v>
      </c>
      <c r="S249" s="1">
        <v>0</v>
      </c>
      <c r="T249" s="1">
        <v>10</v>
      </c>
    </row>
    <row r="250" spans="1:20" ht="18.600000000000001" customHeight="1">
      <c r="A250" s="1" t="s">
        <v>236</v>
      </c>
      <c r="B250" s="5" t="s">
        <v>12</v>
      </c>
      <c r="C250" s="8">
        <v>2</v>
      </c>
      <c r="D250" s="6">
        <v>15</v>
      </c>
      <c r="E250" s="6">
        <v>30</v>
      </c>
      <c r="F250" s="1">
        <v>0</v>
      </c>
      <c r="G250" s="1">
        <v>60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30</v>
      </c>
      <c r="R250" s="1">
        <v>6500</v>
      </c>
      <c r="S250" s="1">
        <v>0</v>
      </c>
      <c r="T250" s="1">
        <v>18</v>
      </c>
    </row>
    <row r="251" spans="1:20" ht="18.600000000000001" customHeight="1">
      <c r="A251" s="1" t="s">
        <v>236</v>
      </c>
      <c r="B251" s="5" t="s">
        <v>16</v>
      </c>
      <c r="C251" s="8">
        <v>2</v>
      </c>
      <c r="D251" s="6">
        <v>15</v>
      </c>
      <c r="E251" s="6">
        <v>30</v>
      </c>
      <c r="F251" s="1">
        <v>0</v>
      </c>
      <c r="G251" s="1">
        <v>60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30</v>
      </c>
      <c r="R251" s="1">
        <v>6580</v>
      </c>
      <c r="S251" s="1">
        <v>0</v>
      </c>
      <c r="T251" s="1">
        <v>14</v>
      </c>
    </row>
    <row r="252" spans="1:20" ht="18.600000000000001" customHeight="1">
      <c r="A252" s="1" t="s">
        <v>237</v>
      </c>
      <c r="B252" s="5" t="s">
        <v>12</v>
      </c>
      <c r="C252" s="8">
        <v>2</v>
      </c>
      <c r="D252" s="6">
        <v>15</v>
      </c>
      <c r="E252" s="6">
        <v>30</v>
      </c>
      <c r="F252" s="1">
        <v>0</v>
      </c>
      <c r="G252" s="1">
        <v>60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30</v>
      </c>
      <c r="R252" s="1">
        <v>6560</v>
      </c>
      <c r="S252" s="1">
        <v>0</v>
      </c>
      <c r="T252" s="1">
        <v>16</v>
      </c>
    </row>
    <row r="253" spans="1:20" ht="18.600000000000001" customHeight="1">
      <c r="A253" s="1" t="s">
        <v>237</v>
      </c>
      <c r="B253" s="5" t="s">
        <v>16</v>
      </c>
      <c r="C253" s="8">
        <v>2</v>
      </c>
      <c r="D253" s="6">
        <v>15</v>
      </c>
      <c r="E253" s="6">
        <v>30</v>
      </c>
      <c r="F253" s="1">
        <v>0</v>
      </c>
      <c r="G253" s="1">
        <v>60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30</v>
      </c>
      <c r="R253" s="1">
        <v>6580</v>
      </c>
      <c r="S253" s="1">
        <v>0</v>
      </c>
      <c r="T253" s="1">
        <v>8</v>
      </c>
    </row>
    <row r="254" spans="1:20" ht="18.600000000000001" customHeight="1">
      <c r="A254" s="1" t="s">
        <v>238</v>
      </c>
      <c r="B254" s="5" t="s">
        <v>12</v>
      </c>
      <c r="C254" s="8">
        <v>2</v>
      </c>
      <c r="D254" s="6">
        <v>15</v>
      </c>
      <c r="E254" s="6">
        <v>30</v>
      </c>
      <c r="F254" s="1">
        <v>0</v>
      </c>
      <c r="G254" s="1">
        <v>60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30</v>
      </c>
      <c r="R254" s="1">
        <v>6560</v>
      </c>
      <c r="S254" s="1">
        <v>0</v>
      </c>
      <c r="T254" s="1">
        <v>4</v>
      </c>
    </row>
    <row r="255" spans="1:20" ht="18.600000000000001" customHeight="1">
      <c r="A255" s="1" t="s">
        <v>238</v>
      </c>
      <c r="B255" s="5" t="s">
        <v>16</v>
      </c>
      <c r="C255" s="8">
        <v>2</v>
      </c>
      <c r="D255" s="6">
        <v>15</v>
      </c>
      <c r="E255" s="6">
        <v>30</v>
      </c>
      <c r="F255" s="1">
        <v>0</v>
      </c>
      <c r="G255" s="1">
        <v>60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30</v>
      </c>
      <c r="R255" s="1">
        <v>6560</v>
      </c>
      <c r="S255" s="1">
        <v>0</v>
      </c>
      <c r="T255" s="1">
        <v>6</v>
      </c>
    </row>
    <row r="256" spans="1:20" ht="18.600000000000001" customHeight="1">
      <c r="A256" s="1" t="s">
        <v>239</v>
      </c>
      <c r="B256" s="5" t="s">
        <v>12</v>
      </c>
      <c r="C256" s="8">
        <v>2</v>
      </c>
      <c r="D256" s="6">
        <v>15</v>
      </c>
      <c r="E256" s="6">
        <v>30</v>
      </c>
      <c r="F256" s="1">
        <v>0</v>
      </c>
      <c r="G256" s="1">
        <v>60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30</v>
      </c>
      <c r="R256" s="1">
        <v>6520</v>
      </c>
      <c r="S256" s="1">
        <v>0</v>
      </c>
      <c r="T256" s="1">
        <v>10</v>
      </c>
    </row>
    <row r="257" spans="1:20" ht="18.600000000000001" customHeight="1">
      <c r="A257" s="1" t="s">
        <v>239</v>
      </c>
      <c r="B257" s="5" t="s">
        <v>16</v>
      </c>
      <c r="C257" s="8">
        <v>2</v>
      </c>
      <c r="D257" s="6">
        <v>15</v>
      </c>
      <c r="E257" s="6">
        <v>30</v>
      </c>
      <c r="F257" s="1">
        <v>0</v>
      </c>
      <c r="G257" s="1">
        <v>60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30</v>
      </c>
      <c r="R257" s="1">
        <v>6520</v>
      </c>
      <c r="S257" s="1">
        <v>0</v>
      </c>
      <c r="T257" s="1">
        <v>14</v>
      </c>
    </row>
    <row r="258" spans="1:20" ht="18.600000000000001" customHeight="1">
      <c r="A258" s="1" t="s">
        <v>240</v>
      </c>
      <c r="B258" s="5" t="s">
        <v>12</v>
      </c>
      <c r="C258" s="8">
        <v>2</v>
      </c>
      <c r="D258" s="6">
        <v>15</v>
      </c>
      <c r="E258" s="6">
        <v>30</v>
      </c>
      <c r="F258" s="1">
        <v>0</v>
      </c>
      <c r="G258" s="1">
        <v>60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30</v>
      </c>
      <c r="R258" s="1">
        <v>6560</v>
      </c>
      <c r="S258" s="1">
        <v>0</v>
      </c>
      <c r="T258" s="1">
        <v>6</v>
      </c>
    </row>
    <row r="259" spans="1:20" ht="18.600000000000001" customHeight="1">
      <c r="A259" s="1" t="s">
        <v>241</v>
      </c>
      <c r="B259" s="5" t="s">
        <v>12</v>
      </c>
      <c r="C259" s="8">
        <v>2</v>
      </c>
      <c r="D259" s="6">
        <v>15</v>
      </c>
      <c r="E259" s="6">
        <v>30</v>
      </c>
      <c r="F259" s="1">
        <v>0</v>
      </c>
      <c r="G259" s="1">
        <v>60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30</v>
      </c>
      <c r="R259" s="1">
        <v>6560</v>
      </c>
      <c r="S259" s="1">
        <v>4</v>
      </c>
      <c r="T259" s="1">
        <v>14</v>
      </c>
    </row>
    <row r="260" spans="1:20" ht="18.600000000000001" customHeight="1">
      <c r="A260" s="1" t="s">
        <v>241</v>
      </c>
      <c r="B260" s="5" t="s">
        <v>16</v>
      </c>
      <c r="C260" s="8">
        <v>2</v>
      </c>
      <c r="D260" s="6">
        <v>15</v>
      </c>
      <c r="E260" s="6">
        <v>30</v>
      </c>
      <c r="F260" s="1">
        <v>0</v>
      </c>
      <c r="G260" s="1">
        <v>60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30</v>
      </c>
      <c r="R260" s="1">
        <v>6520</v>
      </c>
      <c r="S260" s="1">
        <v>2</v>
      </c>
      <c r="T260" s="1">
        <v>14</v>
      </c>
    </row>
    <row r="261" spans="1:20" ht="18.600000000000001" customHeight="1">
      <c r="A261" s="1" t="s">
        <v>242</v>
      </c>
      <c r="B261" s="5" t="s">
        <v>244</v>
      </c>
      <c r="C261" s="8">
        <v>2</v>
      </c>
      <c r="D261" s="6">
        <v>15</v>
      </c>
      <c r="E261" s="6">
        <v>30</v>
      </c>
      <c r="F261" s="1">
        <v>0</v>
      </c>
      <c r="G261" s="1">
        <v>60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30</v>
      </c>
      <c r="R261" s="1">
        <v>6540</v>
      </c>
      <c r="S261" s="1">
        <v>30</v>
      </c>
      <c r="T261" s="1">
        <v>6</v>
      </c>
    </row>
    <row r="262" spans="1:20" ht="18.600000000000001" customHeight="1">
      <c r="A262" s="1" t="s">
        <v>243</v>
      </c>
      <c r="B262" s="5" t="s">
        <v>12</v>
      </c>
      <c r="C262" s="8">
        <v>2</v>
      </c>
      <c r="D262" s="6">
        <v>15</v>
      </c>
      <c r="E262" s="6">
        <v>30</v>
      </c>
      <c r="F262" s="1">
        <v>0</v>
      </c>
      <c r="G262" s="1">
        <v>60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30</v>
      </c>
      <c r="R262" s="1">
        <v>6560</v>
      </c>
      <c r="S262" s="1">
        <v>30</v>
      </c>
      <c r="T262" s="1">
        <v>9</v>
      </c>
    </row>
    <row r="263" spans="1:20" ht="18.600000000000001" customHeight="1">
      <c r="A263" s="1" t="s">
        <v>243</v>
      </c>
      <c r="B263" s="5" t="s">
        <v>16</v>
      </c>
      <c r="C263" s="8">
        <v>2</v>
      </c>
      <c r="D263" s="6">
        <v>15</v>
      </c>
      <c r="E263" s="6">
        <v>30</v>
      </c>
      <c r="F263" s="1">
        <v>210</v>
      </c>
      <c r="G263" s="1">
        <v>60</v>
      </c>
      <c r="H263" s="1">
        <v>45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30</v>
      </c>
      <c r="R263" s="1">
        <v>3260</v>
      </c>
      <c r="S263" s="1">
        <v>39</v>
      </c>
      <c r="T263" s="1">
        <v>8</v>
      </c>
    </row>
    <row r="264" spans="1:20" ht="18.600000000000001" customHeight="1">
      <c r="A264" s="1" t="s">
        <v>245</v>
      </c>
      <c r="B264" s="5" t="s">
        <v>249</v>
      </c>
      <c r="C264" s="8">
        <v>1</v>
      </c>
      <c r="D264" s="6">
        <v>15</v>
      </c>
      <c r="E264" s="6">
        <v>30</v>
      </c>
      <c r="F264" s="1">
        <v>210</v>
      </c>
      <c r="G264" s="1">
        <v>60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30</v>
      </c>
      <c r="R264" s="1">
        <v>1560</v>
      </c>
      <c r="S264" s="1">
        <v>0</v>
      </c>
      <c r="T264" s="1">
        <v>2</v>
      </c>
    </row>
    <row r="265" spans="1:20" ht="18.600000000000001" customHeight="1">
      <c r="A265" s="1" t="s">
        <v>246</v>
      </c>
      <c r="B265" s="5" t="s">
        <v>250</v>
      </c>
      <c r="C265" s="8">
        <v>1</v>
      </c>
      <c r="D265" s="6">
        <v>15</v>
      </c>
      <c r="E265" s="6">
        <v>30</v>
      </c>
      <c r="F265" s="1">
        <v>0</v>
      </c>
      <c r="G265" s="1">
        <v>60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25</v>
      </c>
      <c r="R265" s="1">
        <v>3925</v>
      </c>
      <c r="S265" s="1">
        <v>3</v>
      </c>
      <c r="T265" s="1">
        <v>7</v>
      </c>
    </row>
    <row r="266" spans="1:20" ht="18.600000000000001" customHeight="1">
      <c r="A266" s="1" t="s">
        <v>247</v>
      </c>
      <c r="B266" s="5" t="s">
        <v>250</v>
      </c>
      <c r="C266" s="8">
        <v>1</v>
      </c>
      <c r="D266" s="6">
        <v>15</v>
      </c>
      <c r="E266" s="6">
        <v>30</v>
      </c>
      <c r="F266" s="1">
        <v>0</v>
      </c>
      <c r="G266" s="1">
        <v>60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25</v>
      </c>
      <c r="R266" s="1">
        <v>3975</v>
      </c>
      <c r="S266" s="1">
        <v>0</v>
      </c>
      <c r="T266" s="1">
        <v>8</v>
      </c>
    </row>
    <row r="267" spans="1:20" ht="18.600000000000001" customHeight="1">
      <c r="A267" s="1" t="s">
        <v>247</v>
      </c>
      <c r="B267" s="5" t="s">
        <v>251</v>
      </c>
      <c r="C267" s="8">
        <v>1</v>
      </c>
      <c r="D267" s="6">
        <v>15</v>
      </c>
      <c r="E267" s="6">
        <v>30</v>
      </c>
      <c r="F267" s="1">
        <v>0</v>
      </c>
      <c r="G267" s="1">
        <v>60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25</v>
      </c>
      <c r="R267" s="1">
        <v>4010</v>
      </c>
      <c r="S267" s="1">
        <v>16</v>
      </c>
      <c r="T267" s="1">
        <v>9</v>
      </c>
    </row>
    <row r="268" spans="1:20" ht="18.600000000000001" customHeight="1">
      <c r="A268" s="1" t="s">
        <v>248</v>
      </c>
      <c r="B268" s="5" t="s">
        <v>249</v>
      </c>
      <c r="C268" s="8">
        <v>1</v>
      </c>
      <c r="D268" s="6">
        <v>15</v>
      </c>
      <c r="E268" s="6">
        <v>30</v>
      </c>
      <c r="F268" s="1">
        <v>0</v>
      </c>
      <c r="G268" s="1">
        <v>60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25</v>
      </c>
      <c r="R268" s="1">
        <v>4020</v>
      </c>
      <c r="S268" s="1">
        <v>8</v>
      </c>
      <c r="T268" s="1">
        <v>6</v>
      </c>
    </row>
    <row r="269" spans="1:20" ht="18.600000000000001" customHeight="1">
      <c r="A269" s="1" t="s">
        <v>252</v>
      </c>
      <c r="B269" s="5" t="s">
        <v>249</v>
      </c>
      <c r="C269" s="8">
        <v>1</v>
      </c>
      <c r="D269" s="6">
        <v>15</v>
      </c>
      <c r="E269" s="6">
        <v>30</v>
      </c>
      <c r="F269" s="1">
        <v>210</v>
      </c>
      <c r="G269" s="1">
        <v>60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25</v>
      </c>
      <c r="R269" s="1">
        <v>1610</v>
      </c>
      <c r="S269" s="1">
        <v>5</v>
      </c>
      <c r="T269" s="1">
        <v>0</v>
      </c>
    </row>
    <row r="270" spans="1:20" ht="18.600000000000001" customHeight="1">
      <c r="A270" s="1" t="s">
        <v>253</v>
      </c>
      <c r="B270" s="5" t="s">
        <v>254</v>
      </c>
      <c r="C270" s="8">
        <v>2</v>
      </c>
      <c r="D270" s="6">
        <v>15</v>
      </c>
      <c r="E270" s="6">
        <v>30</v>
      </c>
      <c r="F270" s="1">
        <v>210</v>
      </c>
      <c r="G270" s="1">
        <v>60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30</v>
      </c>
      <c r="R270" s="1">
        <v>3200</v>
      </c>
      <c r="S270" s="1">
        <v>0</v>
      </c>
      <c r="T270" s="1">
        <v>4</v>
      </c>
    </row>
    <row r="271" spans="1:20" ht="18.600000000000001" customHeight="1">
      <c r="A271" s="1" t="s">
        <v>255</v>
      </c>
      <c r="B271" s="5" t="s">
        <v>256</v>
      </c>
      <c r="C271" s="8">
        <v>2</v>
      </c>
      <c r="D271" s="6">
        <v>15</v>
      </c>
      <c r="E271" s="6">
        <v>30</v>
      </c>
      <c r="F271" s="1">
        <v>0</v>
      </c>
      <c r="G271" s="1">
        <v>60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30</v>
      </c>
      <c r="R271" s="1">
        <v>6520</v>
      </c>
      <c r="S271" s="1">
        <v>0</v>
      </c>
      <c r="T271" s="1">
        <v>6</v>
      </c>
    </row>
    <row r="272" spans="1:20" ht="18.600000000000001" customHeight="1">
      <c r="A272" s="1" t="s">
        <v>255</v>
      </c>
      <c r="B272" s="5" t="s">
        <v>257</v>
      </c>
      <c r="C272" s="8">
        <v>2</v>
      </c>
      <c r="D272" s="6">
        <v>15</v>
      </c>
      <c r="E272" s="6">
        <v>30</v>
      </c>
      <c r="F272" s="1">
        <v>0</v>
      </c>
      <c r="G272" s="1">
        <v>60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30</v>
      </c>
      <c r="R272" s="1">
        <v>6560</v>
      </c>
      <c r="S272" s="1">
        <v>0</v>
      </c>
      <c r="T272" s="1">
        <v>5</v>
      </c>
    </row>
    <row r="273" spans="1:20" ht="18.600000000000001" customHeight="1">
      <c r="A273" s="1" t="s">
        <v>258</v>
      </c>
      <c r="B273" s="5" t="s">
        <v>259</v>
      </c>
      <c r="C273" s="8">
        <v>2</v>
      </c>
      <c r="D273" s="6">
        <v>15</v>
      </c>
      <c r="E273" s="6">
        <v>30</v>
      </c>
      <c r="F273" s="1">
        <v>0</v>
      </c>
      <c r="G273" s="1">
        <v>60</v>
      </c>
      <c r="H273" s="1">
        <v>20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30</v>
      </c>
      <c r="R273" s="1">
        <v>6580</v>
      </c>
      <c r="S273" s="1">
        <v>0</v>
      </c>
      <c r="T273" s="1">
        <v>6</v>
      </c>
    </row>
    <row r="274" spans="1:20" ht="18.600000000000001" customHeight="1">
      <c r="A274" s="1" t="s">
        <v>260</v>
      </c>
      <c r="B274" s="5" t="s">
        <v>12</v>
      </c>
      <c r="C274" s="8">
        <v>2</v>
      </c>
      <c r="D274" s="6">
        <v>15</v>
      </c>
      <c r="E274" s="6">
        <v>30</v>
      </c>
      <c r="F274" s="1">
        <v>0</v>
      </c>
      <c r="G274" s="1">
        <v>60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30</v>
      </c>
      <c r="R274" s="1">
        <v>6560</v>
      </c>
      <c r="S274" s="1">
        <v>0</v>
      </c>
      <c r="T274" s="1">
        <v>0</v>
      </c>
    </row>
    <row r="275" spans="1:20" ht="18.600000000000001" customHeight="1">
      <c r="A275" s="1" t="s">
        <v>260</v>
      </c>
      <c r="B275" s="5" t="s">
        <v>16</v>
      </c>
      <c r="C275" s="8">
        <v>2</v>
      </c>
      <c r="D275" s="6">
        <v>15</v>
      </c>
      <c r="E275" s="6">
        <v>30</v>
      </c>
      <c r="F275" s="1">
        <v>0</v>
      </c>
      <c r="G275" s="1">
        <v>60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30</v>
      </c>
      <c r="R275" s="1">
        <v>6560</v>
      </c>
      <c r="S275" s="1">
        <v>0</v>
      </c>
      <c r="T275" s="1">
        <v>8</v>
      </c>
    </row>
    <row r="276" spans="1:20" ht="18.600000000000001" customHeight="1">
      <c r="A276" s="1" t="s">
        <v>261</v>
      </c>
      <c r="B276" s="5" t="s">
        <v>12</v>
      </c>
      <c r="C276" s="8">
        <v>2</v>
      </c>
      <c r="D276" s="6">
        <v>15</v>
      </c>
      <c r="E276" s="6">
        <v>30</v>
      </c>
      <c r="F276" s="1">
        <v>0</v>
      </c>
      <c r="G276" s="1">
        <v>60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20</v>
      </c>
      <c r="Q276" s="1">
        <v>30</v>
      </c>
      <c r="R276" s="1">
        <v>6540</v>
      </c>
      <c r="S276" s="1">
        <v>0</v>
      </c>
      <c r="T276" s="1">
        <v>10</v>
      </c>
    </row>
    <row r="277" spans="1:20" ht="18.600000000000001" customHeight="1">
      <c r="A277" s="1" t="s">
        <v>261</v>
      </c>
      <c r="B277" s="5" t="s">
        <v>16</v>
      </c>
      <c r="C277" s="8">
        <v>2</v>
      </c>
      <c r="D277" s="6">
        <v>15</v>
      </c>
      <c r="E277" s="6">
        <v>30</v>
      </c>
      <c r="F277" s="1">
        <v>0</v>
      </c>
      <c r="G277" s="1">
        <v>60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30</v>
      </c>
      <c r="Q277" s="1">
        <v>30</v>
      </c>
      <c r="R277" s="1">
        <v>6560</v>
      </c>
      <c r="S277" s="1">
        <v>0</v>
      </c>
      <c r="T277" s="1">
        <v>18</v>
      </c>
    </row>
    <row r="278" spans="1:20" ht="18.600000000000001" customHeight="1">
      <c r="A278" s="1" t="s">
        <v>262</v>
      </c>
      <c r="B278" s="5" t="s">
        <v>12</v>
      </c>
      <c r="C278" s="8">
        <v>2</v>
      </c>
      <c r="D278" s="6">
        <v>15</v>
      </c>
      <c r="E278" s="6">
        <v>30</v>
      </c>
      <c r="F278" s="1">
        <v>0</v>
      </c>
      <c r="G278" s="1">
        <v>60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60</v>
      </c>
      <c r="Q278" s="1">
        <v>30</v>
      </c>
      <c r="R278" s="1">
        <v>6560</v>
      </c>
      <c r="S278" s="1">
        <v>0</v>
      </c>
      <c r="T278" s="1">
        <v>30</v>
      </c>
    </row>
    <row r="279" spans="1:20" ht="18.600000000000001" customHeight="1">
      <c r="A279" s="1" t="s">
        <v>262</v>
      </c>
      <c r="B279" s="5" t="s">
        <v>16</v>
      </c>
      <c r="C279" s="8">
        <v>2</v>
      </c>
      <c r="D279" s="6">
        <v>15</v>
      </c>
      <c r="E279" s="6">
        <v>30</v>
      </c>
      <c r="F279" s="1">
        <v>0</v>
      </c>
      <c r="G279" s="1">
        <v>60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30</v>
      </c>
      <c r="Q279" s="1">
        <v>30</v>
      </c>
      <c r="R279" s="1">
        <v>6560</v>
      </c>
      <c r="S279" s="1">
        <v>0</v>
      </c>
      <c r="T279" s="1">
        <v>11</v>
      </c>
    </row>
    <row r="280" spans="1:20" ht="18.600000000000001" customHeight="1">
      <c r="A280" s="1" t="s">
        <v>263</v>
      </c>
      <c r="B280" s="5" t="s">
        <v>12</v>
      </c>
      <c r="C280" s="8">
        <v>2</v>
      </c>
      <c r="D280" s="6">
        <v>15</v>
      </c>
      <c r="E280" s="6">
        <v>30</v>
      </c>
      <c r="F280" s="1">
        <v>0</v>
      </c>
      <c r="G280" s="1">
        <v>60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30</v>
      </c>
      <c r="Q280" s="1">
        <v>30</v>
      </c>
      <c r="R280" s="1">
        <v>6560</v>
      </c>
      <c r="S280" s="1">
        <v>0</v>
      </c>
      <c r="T280" s="1">
        <v>0</v>
      </c>
    </row>
    <row r="281" spans="1:20" ht="18.600000000000001" customHeight="1">
      <c r="A281" s="1" t="s">
        <v>263</v>
      </c>
      <c r="B281" s="5" t="s">
        <v>16</v>
      </c>
      <c r="C281" s="8">
        <v>2</v>
      </c>
      <c r="D281" s="6">
        <v>15</v>
      </c>
      <c r="E281" s="6">
        <v>30</v>
      </c>
      <c r="F281" s="1">
        <v>0</v>
      </c>
      <c r="G281" s="1">
        <v>60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30</v>
      </c>
      <c r="Q281" s="1">
        <v>30</v>
      </c>
      <c r="R281" s="1">
        <v>6580</v>
      </c>
      <c r="S281" s="1">
        <v>0</v>
      </c>
      <c r="T281" s="1">
        <v>48</v>
      </c>
    </row>
    <row r="282" spans="1:20" ht="18.600000000000001" customHeight="1">
      <c r="A282" s="1" t="s">
        <v>264</v>
      </c>
      <c r="B282" s="5" t="s">
        <v>12</v>
      </c>
      <c r="C282" s="8">
        <v>2</v>
      </c>
      <c r="D282" s="6">
        <v>15</v>
      </c>
      <c r="E282" s="6">
        <v>30</v>
      </c>
      <c r="F282" s="1">
        <v>0</v>
      </c>
      <c r="G282" s="1">
        <v>60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30</v>
      </c>
      <c r="Q282" s="1">
        <v>30</v>
      </c>
      <c r="R282" s="1">
        <v>6560</v>
      </c>
      <c r="S282" s="1">
        <v>0</v>
      </c>
      <c r="T282" s="1">
        <v>0</v>
      </c>
    </row>
    <row r="283" spans="1:20" ht="18.600000000000001" customHeight="1">
      <c r="A283" s="1" t="s">
        <v>264</v>
      </c>
      <c r="B283" s="5" t="s">
        <v>16</v>
      </c>
      <c r="C283" s="8">
        <v>2</v>
      </c>
      <c r="D283" s="6">
        <v>15</v>
      </c>
      <c r="E283" s="6">
        <v>30</v>
      </c>
      <c r="F283" s="1">
        <v>0</v>
      </c>
      <c r="G283" s="1">
        <v>60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30</v>
      </c>
      <c r="Q283" s="1">
        <v>30</v>
      </c>
      <c r="R283" s="1">
        <v>6560</v>
      </c>
      <c r="S283" s="1">
        <v>65</v>
      </c>
      <c r="T283" s="1">
        <v>70</v>
      </c>
    </row>
    <row r="284" spans="1:20" ht="18.600000000000001" customHeight="1">
      <c r="A284" s="1" t="s">
        <v>265</v>
      </c>
      <c r="B284" s="1" t="s">
        <v>266</v>
      </c>
      <c r="C284" s="8">
        <v>2</v>
      </c>
      <c r="D284" s="6">
        <v>15</v>
      </c>
      <c r="E284" s="6">
        <v>30</v>
      </c>
      <c r="F284" s="1">
        <v>0</v>
      </c>
      <c r="G284" s="1">
        <v>60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30</v>
      </c>
      <c r="Q284" s="1">
        <v>30</v>
      </c>
      <c r="R284" s="1">
        <v>6580</v>
      </c>
      <c r="S284" s="1">
        <v>69</v>
      </c>
      <c r="T284" s="1">
        <v>62</v>
      </c>
    </row>
    <row r="285" spans="1:20" ht="18.600000000000001" customHeight="1">
      <c r="A285" s="1" t="s">
        <v>267</v>
      </c>
      <c r="B285" s="5" t="s">
        <v>12</v>
      </c>
      <c r="C285" s="8">
        <v>1</v>
      </c>
      <c r="D285" s="6">
        <v>15</v>
      </c>
      <c r="E285" s="6">
        <v>30</v>
      </c>
      <c r="F285" s="1">
        <v>210</v>
      </c>
      <c r="G285" s="1">
        <v>60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25</v>
      </c>
      <c r="R285" s="1">
        <v>2370</v>
      </c>
      <c r="S285" s="1">
        <v>0</v>
      </c>
      <c r="T285" s="1">
        <v>1</v>
      </c>
    </row>
    <row r="286" spans="1:20" ht="18.600000000000001" customHeight="1">
      <c r="A286" s="1" t="s">
        <v>267</v>
      </c>
      <c r="B286" s="5" t="s">
        <v>16</v>
      </c>
      <c r="C286" s="8">
        <v>1</v>
      </c>
      <c r="D286" s="6">
        <v>15</v>
      </c>
      <c r="E286" s="6">
        <v>30</v>
      </c>
      <c r="F286" s="1">
        <v>0</v>
      </c>
      <c r="G286" s="1">
        <v>60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25</v>
      </c>
      <c r="R286" s="1">
        <v>3990</v>
      </c>
      <c r="S286" s="1">
        <v>0</v>
      </c>
      <c r="T286" s="1">
        <v>6</v>
      </c>
    </row>
    <row r="287" spans="1:20" ht="18.600000000000001" customHeight="1">
      <c r="A287" s="1" t="s">
        <v>268</v>
      </c>
      <c r="B287" s="5" t="s">
        <v>12</v>
      </c>
      <c r="C287" s="8">
        <v>1</v>
      </c>
      <c r="D287" s="6">
        <v>15</v>
      </c>
      <c r="E287" s="6">
        <v>30</v>
      </c>
      <c r="F287" s="1">
        <v>0</v>
      </c>
      <c r="G287" s="1">
        <v>60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25</v>
      </c>
      <c r="R287" s="1">
        <v>3975</v>
      </c>
      <c r="S287" s="1">
        <v>0</v>
      </c>
      <c r="T287" s="1">
        <v>6</v>
      </c>
    </row>
    <row r="288" spans="1:20" ht="18.600000000000001" customHeight="1">
      <c r="A288" s="1" t="s">
        <v>268</v>
      </c>
      <c r="B288" s="5" t="s">
        <v>16</v>
      </c>
      <c r="C288" s="8">
        <v>1</v>
      </c>
      <c r="D288" s="6">
        <v>15</v>
      </c>
      <c r="E288" s="6">
        <v>30</v>
      </c>
      <c r="F288" s="1">
        <v>0</v>
      </c>
      <c r="G288" s="1">
        <v>60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25</v>
      </c>
      <c r="R288" s="1">
        <v>3995</v>
      </c>
      <c r="S288" s="1">
        <v>0</v>
      </c>
      <c r="T288" s="1">
        <v>8</v>
      </c>
    </row>
    <row r="289" spans="1:20" ht="18.600000000000001" customHeight="1">
      <c r="A289" s="1" t="s">
        <v>269</v>
      </c>
      <c r="B289" s="5" t="s">
        <v>12</v>
      </c>
      <c r="C289" s="8">
        <v>1</v>
      </c>
      <c r="D289" s="6">
        <v>15</v>
      </c>
      <c r="E289" s="6">
        <v>30</v>
      </c>
      <c r="F289" s="1">
        <v>0</v>
      </c>
      <c r="G289" s="1">
        <v>60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25</v>
      </c>
      <c r="R289" s="1">
        <v>4005</v>
      </c>
      <c r="S289" s="1">
        <v>0</v>
      </c>
      <c r="T289" s="1">
        <v>8</v>
      </c>
    </row>
    <row r="290" spans="1:20" ht="18.600000000000001" customHeight="1">
      <c r="A290" s="1" t="s">
        <v>269</v>
      </c>
      <c r="B290" s="5" t="s">
        <v>16</v>
      </c>
      <c r="C290" s="8">
        <v>1</v>
      </c>
      <c r="D290" s="6">
        <v>15</v>
      </c>
      <c r="E290" s="6">
        <v>30</v>
      </c>
      <c r="F290" s="1">
        <v>0</v>
      </c>
      <c r="G290" s="1">
        <v>60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25</v>
      </c>
      <c r="R290" s="1">
        <v>4005</v>
      </c>
      <c r="S290" s="1">
        <v>0</v>
      </c>
      <c r="T290" s="1">
        <v>8</v>
      </c>
    </row>
    <row r="291" spans="1:20" ht="18.600000000000001" customHeight="1">
      <c r="A291" s="1" t="s">
        <v>270</v>
      </c>
      <c r="B291" s="5" t="s">
        <v>12</v>
      </c>
      <c r="C291" s="8">
        <v>1</v>
      </c>
      <c r="D291" s="6">
        <v>15</v>
      </c>
      <c r="E291" s="6">
        <v>30</v>
      </c>
      <c r="F291" s="1">
        <v>0</v>
      </c>
      <c r="G291" s="1">
        <v>60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25</v>
      </c>
      <c r="R291" s="1">
        <v>4000</v>
      </c>
      <c r="S291" s="1">
        <v>23</v>
      </c>
      <c r="T291" s="1">
        <v>3</v>
      </c>
    </row>
    <row r="292" spans="1:20" ht="18.600000000000001" customHeight="1">
      <c r="A292" s="1" t="s">
        <v>270</v>
      </c>
      <c r="B292" s="5" t="s">
        <v>16</v>
      </c>
      <c r="C292" s="8">
        <v>1</v>
      </c>
      <c r="D292" s="6">
        <v>15</v>
      </c>
      <c r="E292" s="6">
        <v>30</v>
      </c>
      <c r="F292" s="1">
        <v>0</v>
      </c>
      <c r="G292" s="1">
        <v>60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25</v>
      </c>
      <c r="R292" s="1">
        <v>4010</v>
      </c>
      <c r="S292" s="1">
        <v>23</v>
      </c>
      <c r="T292" s="1">
        <v>0</v>
      </c>
    </row>
    <row r="293" spans="1:20" ht="18.600000000000001" customHeight="1">
      <c r="A293" s="1" t="s">
        <v>271</v>
      </c>
      <c r="B293" s="5" t="s">
        <v>12</v>
      </c>
      <c r="C293" s="8">
        <v>1</v>
      </c>
      <c r="D293" s="6">
        <v>15</v>
      </c>
      <c r="E293" s="6">
        <v>30</v>
      </c>
      <c r="F293" s="1">
        <v>0</v>
      </c>
      <c r="G293" s="1">
        <v>60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25</v>
      </c>
      <c r="R293" s="1">
        <v>3190</v>
      </c>
      <c r="S293" s="1">
        <v>25</v>
      </c>
      <c r="T293" s="1">
        <v>4</v>
      </c>
    </row>
    <row r="294" spans="1:20" ht="18.600000000000001" customHeight="1">
      <c r="A294" s="1" t="s">
        <v>271</v>
      </c>
      <c r="B294" s="5" t="s">
        <v>272</v>
      </c>
      <c r="C294" s="8">
        <v>1</v>
      </c>
      <c r="D294" s="6">
        <v>15</v>
      </c>
      <c r="E294" s="6">
        <v>30</v>
      </c>
      <c r="F294" s="1">
        <v>210</v>
      </c>
      <c r="G294" s="1">
        <v>60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25</v>
      </c>
      <c r="R294" s="1">
        <v>1590</v>
      </c>
      <c r="S294" s="1">
        <v>6</v>
      </c>
      <c r="T294" s="1">
        <v>0</v>
      </c>
    </row>
    <row r="295" spans="1:20" ht="18.600000000000001" customHeight="1">
      <c r="A295" s="1" t="s">
        <v>273</v>
      </c>
      <c r="B295" s="5" t="s">
        <v>12</v>
      </c>
      <c r="C295" s="8">
        <v>2</v>
      </c>
      <c r="D295" s="6">
        <v>15</v>
      </c>
      <c r="E295" s="6">
        <v>30</v>
      </c>
      <c r="F295" s="1">
        <v>210</v>
      </c>
      <c r="G295" s="1">
        <v>60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20</v>
      </c>
      <c r="Q295" s="1">
        <v>30</v>
      </c>
      <c r="R295" s="1">
        <v>3180</v>
      </c>
      <c r="S295" s="1">
        <v>34</v>
      </c>
      <c r="T295" s="1">
        <v>22</v>
      </c>
    </row>
    <row r="296" spans="1:20" ht="18.600000000000001" customHeight="1">
      <c r="A296" s="1" t="s">
        <v>273</v>
      </c>
      <c r="B296" s="5" t="s">
        <v>16</v>
      </c>
      <c r="C296" s="8">
        <v>2</v>
      </c>
      <c r="D296" s="6">
        <v>15</v>
      </c>
      <c r="E296" s="6">
        <v>30</v>
      </c>
      <c r="F296" s="1">
        <v>0</v>
      </c>
      <c r="G296" s="1">
        <v>60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60</v>
      </c>
      <c r="Q296" s="1">
        <v>30</v>
      </c>
      <c r="R296" s="1">
        <v>6500</v>
      </c>
      <c r="S296" s="1">
        <v>0</v>
      </c>
      <c r="T296" s="1">
        <v>90</v>
      </c>
    </row>
    <row r="297" spans="1:20" ht="18.600000000000001" customHeight="1">
      <c r="A297" s="1" t="s">
        <v>274</v>
      </c>
      <c r="B297" s="5" t="s">
        <v>12</v>
      </c>
      <c r="C297" s="8">
        <v>2</v>
      </c>
      <c r="D297" s="6">
        <v>15</v>
      </c>
      <c r="E297" s="6">
        <v>30</v>
      </c>
      <c r="F297" s="1">
        <v>0</v>
      </c>
      <c r="G297" s="1">
        <v>60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60</v>
      </c>
      <c r="Q297" s="1">
        <v>30</v>
      </c>
      <c r="R297" s="1">
        <v>6540</v>
      </c>
      <c r="S297" s="1">
        <v>8</v>
      </c>
      <c r="T297" s="1">
        <v>60</v>
      </c>
    </row>
    <row r="298" spans="1:20" ht="18.600000000000001" customHeight="1">
      <c r="A298" s="1" t="s">
        <v>274</v>
      </c>
      <c r="B298" s="5" t="s">
        <v>16</v>
      </c>
      <c r="C298" s="8">
        <v>2</v>
      </c>
      <c r="D298" s="6">
        <v>15</v>
      </c>
      <c r="E298" s="6">
        <v>30</v>
      </c>
      <c r="F298" s="1">
        <v>0</v>
      </c>
      <c r="G298" s="1">
        <v>60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40</v>
      </c>
      <c r="Q298" s="1">
        <v>30</v>
      </c>
      <c r="R298" s="1">
        <v>6540</v>
      </c>
      <c r="S298" s="1">
        <v>34</v>
      </c>
      <c r="T298" s="1">
        <v>42</v>
      </c>
    </row>
    <row r="299" spans="1:20" ht="18.600000000000001" customHeight="1">
      <c r="A299" s="1" t="s">
        <v>275</v>
      </c>
      <c r="B299" s="5" t="s">
        <v>12</v>
      </c>
      <c r="C299" s="8">
        <v>2</v>
      </c>
      <c r="D299" s="6">
        <v>15</v>
      </c>
      <c r="E299" s="6">
        <v>30</v>
      </c>
      <c r="F299" s="1">
        <v>0</v>
      </c>
      <c r="G299" s="1">
        <v>60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30</v>
      </c>
      <c r="Q299" s="1">
        <v>30</v>
      </c>
      <c r="R299" s="1">
        <v>6560</v>
      </c>
      <c r="S299" s="1">
        <v>8</v>
      </c>
      <c r="T299" s="1">
        <v>14</v>
      </c>
    </row>
    <row r="300" spans="1:20" ht="18.600000000000001" customHeight="1">
      <c r="A300" s="1" t="s">
        <v>275</v>
      </c>
      <c r="B300" s="5" t="s">
        <v>16</v>
      </c>
      <c r="C300" s="8">
        <v>2</v>
      </c>
      <c r="D300" s="6">
        <v>15</v>
      </c>
      <c r="E300" s="6">
        <v>30</v>
      </c>
      <c r="F300" s="1">
        <v>0</v>
      </c>
      <c r="G300" s="1">
        <v>60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40</v>
      </c>
      <c r="Q300" s="1">
        <v>30</v>
      </c>
      <c r="R300" s="1">
        <v>6560</v>
      </c>
      <c r="S300" s="1">
        <v>0</v>
      </c>
      <c r="T300" s="1">
        <v>14</v>
      </c>
    </row>
    <row r="301" spans="1:20" ht="18.600000000000001" customHeight="1">
      <c r="A301" s="1" t="s">
        <v>276</v>
      </c>
      <c r="B301" s="5" t="s">
        <v>12</v>
      </c>
      <c r="C301" s="8">
        <v>2</v>
      </c>
      <c r="D301" s="6">
        <v>15</v>
      </c>
      <c r="E301" s="6">
        <v>30</v>
      </c>
      <c r="F301" s="1">
        <v>0</v>
      </c>
      <c r="G301" s="1">
        <v>60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40</v>
      </c>
      <c r="Q301" s="1">
        <v>30</v>
      </c>
      <c r="R301" s="1">
        <v>6560</v>
      </c>
      <c r="S301" s="1">
        <v>10</v>
      </c>
      <c r="T301" s="1">
        <v>38</v>
      </c>
    </row>
    <row r="302" spans="1:20" ht="18.600000000000001" customHeight="1">
      <c r="A302" s="1" t="s">
        <v>276</v>
      </c>
      <c r="B302" s="5" t="s">
        <v>16</v>
      </c>
      <c r="C302" s="8">
        <v>2</v>
      </c>
      <c r="D302" s="6">
        <v>15</v>
      </c>
      <c r="E302" s="6">
        <v>30</v>
      </c>
      <c r="F302" s="1">
        <v>0</v>
      </c>
      <c r="G302" s="1">
        <v>60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40</v>
      </c>
      <c r="Q302" s="1">
        <v>30</v>
      </c>
      <c r="R302" s="1">
        <v>6560</v>
      </c>
      <c r="S302" s="1">
        <v>0</v>
      </c>
      <c r="T302" s="1">
        <v>32</v>
      </c>
    </row>
    <row r="303" spans="1:20" ht="18.600000000000001" customHeight="1">
      <c r="A303" s="1" t="s">
        <v>277</v>
      </c>
      <c r="B303" s="5" t="s">
        <v>12</v>
      </c>
      <c r="C303" s="8">
        <v>2</v>
      </c>
      <c r="D303" s="6">
        <v>15</v>
      </c>
      <c r="E303" s="6">
        <v>30</v>
      </c>
      <c r="F303" s="1">
        <v>0</v>
      </c>
      <c r="G303" s="1">
        <v>60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40</v>
      </c>
      <c r="Q303" s="1">
        <v>30</v>
      </c>
      <c r="R303" s="1">
        <v>6520</v>
      </c>
      <c r="S303" s="1">
        <v>18</v>
      </c>
      <c r="T303" s="1">
        <v>27</v>
      </c>
    </row>
    <row r="304" spans="1:20" ht="18.600000000000001" customHeight="1">
      <c r="A304" s="1" t="s">
        <v>277</v>
      </c>
      <c r="B304" s="5" t="s">
        <v>16</v>
      </c>
      <c r="C304" s="8">
        <v>2</v>
      </c>
      <c r="D304" s="6">
        <v>15</v>
      </c>
      <c r="E304" s="6">
        <v>30</v>
      </c>
      <c r="F304" s="1">
        <v>0</v>
      </c>
      <c r="G304" s="1">
        <v>60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40</v>
      </c>
      <c r="Q304" s="1">
        <v>30</v>
      </c>
      <c r="R304" s="1">
        <v>6560</v>
      </c>
      <c r="S304" s="1">
        <v>0</v>
      </c>
      <c r="T304" s="1">
        <v>45</v>
      </c>
    </row>
    <row r="305" spans="1:20" ht="18.600000000000001" customHeight="1">
      <c r="A305" s="1" t="s">
        <v>278</v>
      </c>
      <c r="B305" s="5" t="s">
        <v>12</v>
      </c>
      <c r="C305" s="8">
        <v>2</v>
      </c>
      <c r="D305" s="6">
        <v>15</v>
      </c>
      <c r="E305" s="6">
        <v>30</v>
      </c>
      <c r="F305" s="1">
        <v>0</v>
      </c>
      <c r="G305" s="1">
        <v>60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40</v>
      </c>
      <c r="Q305" s="1">
        <v>30</v>
      </c>
      <c r="R305" s="1">
        <v>6540</v>
      </c>
      <c r="S305" s="1">
        <v>10</v>
      </c>
      <c r="T305" s="1">
        <v>90</v>
      </c>
    </row>
    <row r="306" spans="1:20" ht="18.600000000000001" customHeight="1">
      <c r="A306" s="1" t="s">
        <v>278</v>
      </c>
      <c r="B306" s="5" t="s">
        <v>16</v>
      </c>
      <c r="C306" s="8">
        <v>2</v>
      </c>
      <c r="D306" s="6">
        <v>15</v>
      </c>
      <c r="E306" s="6">
        <v>30</v>
      </c>
      <c r="F306" s="1">
        <v>0</v>
      </c>
      <c r="G306" s="1">
        <v>60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40</v>
      </c>
      <c r="Q306" s="1">
        <v>30</v>
      </c>
      <c r="R306" s="1">
        <v>6540</v>
      </c>
      <c r="S306" s="1">
        <v>0</v>
      </c>
      <c r="T306" s="1">
        <v>53</v>
      </c>
    </row>
    <row r="307" spans="1:20" ht="18.600000000000001" customHeight="1">
      <c r="A307" s="1" t="s">
        <v>279</v>
      </c>
      <c r="B307" s="5" t="s">
        <v>12</v>
      </c>
      <c r="C307" s="8">
        <v>2</v>
      </c>
      <c r="D307" s="6">
        <v>15</v>
      </c>
      <c r="E307" s="6">
        <v>30</v>
      </c>
      <c r="F307" s="1">
        <v>0</v>
      </c>
      <c r="G307" s="1">
        <v>60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30</v>
      </c>
      <c r="Q307" s="1">
        <v>30</v>
      </c>
      <c r="R307" s="1">
        <v>6540</v>
      </c>
      <c r="S307" s="1">
        <v>0</v>
      </c>
      <c r="T307" s="1">
        <v>36</v>
      </c>
    </row>
    <row r="308" spans="1:20" ht="18.600000000000001" customHeight="1">
      <c r="A308" s="1" t="s">
        <v>279</v>
      </c>
      <c r="B308" s="5" t="s">
        <v>16</v>
      </c>
      <c r="C308" s="8">
        <v>2</v>
      </c>
      <c r="D308" s="6">
        <v>15</v>
      </c>
      <c r="E308" s="6">
        <v>30</v>
      </c>
      <c r="F308" s="1">
        <v>0</v>
      </c>
      <c r="G308" s="1">
        <v>60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30</v>
      </c>
      <c r="Q308" s="1">
        <v>30</v>
      </c>
      <c r="R308" s="1">
        <v>6560</v>
      </c>
      <c r="S308" s="1">
        <v>14</v>
      </c>
      <c r="T308" s="1">
        <v>12</v>
      </c>
    </row>
    <row r="309" spans="1:20" ht="18.600000000000001" customHeight="1">
      <c r="A309" s="1" t="s">
        <v>280</v>
      </c>
      <c r="B309" s="5" t="s">
        <v>12</v>
      </c>
      <c r="C309" s="8">
        <v>2</v>
      </c>
      <c r="D309" s="6">
        <v>15</v>
      </c>
      <c r="E309" s="6">
        <v>30</v>
      </c>
      <c r="F309" s="1">
        <v>0</v>
      </c>
      <c r="G309" s="1">
        <v>60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30</v>
      </c>
      <c r="R309" s="1">
        <v>6520</v>
      </c>
      <c r="S309" s="1">
        <v>0</v>
      </c>
      <c r="T309" s="1">
        <v>44</v>
      </c>
    </row>
    <row r="310" spans="1:20" ht="18.600000000000001" customHeight="1">
      <c r="A310" s="1" t="s">
        <v>280</v>
      </c>
      <c r="B310" s="5" t="s">
        <v>16</v>
      </c>
      <c r="C310" s="8">
        <v>2</v>
      </c>
      <c r="D310" s="6">
        <v>15</v>
      </c>
      <c r="E310" s="6">
        <v>30</v>
      </c>
      <c r="F310" s="1">
        <v>0</v>
      </c>
      <c r="G310" s="1">
        <v>60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30</v>
      </c>
      <c r="R310" s="1">
        <v>6540</v>
      </c>
      <c r="S310" s="1">
        <v>14</v>
      </c>
      <c r="T310" s="1">
        <v>63</v>
      </c>
    </row>
    <row r="311" spans="1:20" ht="18.600000000000001" customHeight="1">
      <c r="A311" s="1" t="s">
        <v>281</v>
      </c>
      <c r="B311" s="5" t="s">
        <v>12</v>
      </c>
      <c r="C311" s="8">
        <v>2</v>
      </c>
      <c r="D311" s="6">
        <v>15</v>
      </c>
      <c r="E311" s="6">
        <v>30</v>
      </c>
      <c r="F311" s="1">
        <v>0</v>
      </c>
      <c r="G311" s="1">
        <v>60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30</v>
      </c>
      <c r="R311" s="1">
        <v>6520</v>
      </c>
      <c r="S311" s="1">
        <v>9</v>
      </c>
      <c r="T311" s="1">
        <v>50</v>
      </c>
    </row>
    <row r="312" spans="1:20" ht="18.600000000000001" customHeight="1">
      <c r="A312" s="1" t="s">
        <v>281</v>
      </c>
      <c r="B312" s="5" t="s">
        <v>16</v>
      </c>
      <c r="C312" s="8">
        <v>2</v>
      </c>
      <c r="D312" s="6">
        <v>15</v>
      </c>
      <c r="E312" s="6">
        <v>30</v>
      </c>
      <c r="F312" s="1">
        <v>0</v>
      </c>
      <c r="G312" s="1">
        <v>60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30</v>
      </c>
      <c r="R312" s="1">
        <v>6540</v>
      </c>
      <c r="S312" s="1">
        <v>12</v>
      </c>
      <c r="T312" s="1">
        <v>24</v>
      </c>
    </row>
    <row r="313" spans="1:20" ht="17.25" customHeight="1">
      <c r="A313" s="1" t="s">
        <v>282</v>
      </c>
      <c r="B313" s="5" t="s">
        <v>12</v>
      </c>
      <c r="C313" s="8">
        <v>2</v>
      </c>
      <c r="D313" s="6">
        <v>15</v>
      </c>
      <c r="E313" s="6">
        <v>30</v>
      </c>
      <c r="F313" s="1">
        <v>0</v>
      </c>
      <c r="G313" s="1">
        <v>60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30</v>
      </c>
      <c r="R313" s="1">
        <v>6540</v>
      </c>
      <c r="S313" s="1">
        <v>5</v>
      </c>
      <c r="T313" s="1">
        <v>32</v>
      </c>
    </row>
    <row r="314" spans="1:20" ht="17.25" customHeight="1">
      <c r="A314" s="1" t="s">
        <v>282</v>
      </c>
      <c r="B314" s="5" t="s">
        <v>16</v>
      </c>
      <c r="C314" s="8">
        <v>2</v>
      </c>
      <c r="D314" s="6">
        <v>15</v>
      </c>
      <c r="E314" s="6">
        <v>30</v>
      </c>
      <c r="F314" s="1">
        <v>0</v>
      </c>
      <c r="G314" s="1">
        <v>60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30</v>
      </c>
      <c r="R314" s="1">
        <v>6540</v>
      </c>
      <c r="S314" s="1">
        <v>8</v>
      </c>
      <c r="T314" s="1">
        <v>14</v>
      </c>
    </row>
    <row r="315" spans="1:20" ht="17.25" customHeight="1">
      <c r="A315" s="1" t="s">
        <v>283</v>
      </c>
      <c r="B315" s="5" t="s">
        <v>12</v>
      </c>
      <c r="C315" s="8">
        <v>2</v>
      </c>
      <c r="D315" s="6">
        <v>15</v>
      </c>
      <c r="E315" s="6">
        <v>30</v>
      </c>
      <c r="F315" s="1">
        <v>0</v>
      </c>
      <c r="G315" s="1">
        <v>60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30</v>
      </c>
      <c r="R315" s="1"/>
      <c r="S315" s="1"/>
      <c r="T315" s="1"/>
    </row>
    <row r="316" spans="1:20" ht="17.25" customHeight="1">
      <c r="A316" s="1" t="s">
        <v>283</v>
      </c>
      <c r="B316" s="5" t="s">
        <v>16</v>
      </c>
      <c r="C316" s="8">
        <v>2</v>
      </c>
      <c r="D316" s="6">
        <v>15</v>
      </c>
      <c r="E316" s="6">
        <v>30</v>
      </c>
      <c r="F316" s="1">
        <v>0</v>
      </c>
      <c r="G316" s="1">
        <v>60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30</v>
      </c>
      <c r="R316" s="1"/>
      <c r="S316" s="1"/>
      <c r="T316" s="1"/>
    </row>
    <row r="317" spans="1:20" ht="17.25" customHeight="1">
      <c r="A317" s="1" t="s">
        <v>284</v>
      </c>
      <c r="B317" s="5" t="s">
        <v>12</v>
      </c>
      <c r="C317" s="8">
        <v>2</v>
      </c>
      <c r="D317" s="6">
        <v>15</v>
      </c>
      <c r="E317" s="6">
        <v>30</v>
      </c>
      <c r="F317" s="1">
        <v>0</v>
      </c>
      <c r="G317" s="1">
        <v>60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30</v>
      </c>
      <c r="R317" s="1"/>
      <c r="S317" s="1"/>
      <c r="T317" s="1"/>
    </row>
    <row r="318" spans="1:20" ht="17.25" customHeight="1">
      <c r="A318" s="1" t="s">
        <v>284</v>
      </c>
      <c r="B318" s="5" t="s">
        <v>16</v>
      </c>
      <c r="C318" s="8">
        <v>2</v>
      </c>
      <c r="D318" s="6">
        <v>15</v>
      </c>
      <c r="E318" s="6">
        <v>30</v>
      </c>
      <c r="F318" s="1">
        <v>0</v>
      </c>
      <c r="G318" s="1">
        <v>60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30</v>
      </c>
      <c r="R318" s="1"/>
      <c r="S318" s="1"/>
      <c r="T318" s="1"/>
    </row>
    <row r="319" spans="1:20" ht="17.25" customHeight="1">
      <c r="A319" s="1"/>
      <c r="B319" s="1"/>
      <c r="C319" s="8">
        <v>2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7.25" customHeight="1">
      <c r="A320" s="1"/>
      <c r="B320" s="1"/>
      <c r="C320" s="8">
        <v>2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7.25" customHeight="1">
      <c r="A321" s="1"/>
      <c r="B321" s="1"/>
      <c r="C321" s="8">
        <v>2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7.25" customHeight="1">
      <c r="A322" s="1"/>
      <c r="B322" s="1"/>
      <c r="C322" s="8">
        <v>2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7.25" customHeight="1">
      <c r="A323" s="1"/>
      <c r="B323" s="1"/>
      <c r="C323" s="8">
        <v>2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7.25" customHeight="1">
      <c r="A324" s="1"/>
      <c r="B324" s="1"/>
      <c r="C324" s="8">
        <v>2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7.25" customHeight="1">
      <c r="A325" s="1"/>
      <c r="B325" s="1"/>
      <c r="C325" s="8">
        <v>2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7.25" customHeight="1">
      <c r="A326" s="1"/>
      <c r="B326" s="1"/>
      <c r="C326" s="8">
        <v>2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7.25" customHeight="1">
      <c r="A327" s="1"/>
      <c r="B327" s="1"/>
      <c r="C327" s="8">
        <v>2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7.25" customHeight="1">
      <c r="A328" s="1"/>
      <c r="B328" s="1"/>
      <c r="C328" s="8">
        <v>2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7.25" customHeight="1">
      <c r="A329" s="1"/>
      <c r="B329" s="1"/>
      <c r="C329" s="8">
        <v>2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7.25" customHeight="1">
      <c r="A330" s="1"/>
      <c r="B330" s="1"/>
      <c r="C330" s="8">
        <v>2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 spans="1:20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spans="1:2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 spans="1:20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spans="1:20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 spans="1:20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 spans="1:20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</row>
    <row r="1065" spans="1:20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spans="1:20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 spans="1:20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 spans="1:20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spans="1:20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spans="1:2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 spans="1:20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spans="1:20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</row>
    <row r="1073" spans="1:20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spans="1:20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</row>
    <row r="1075" spans="1:20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 spans="1:20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 spans="1:20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</row>
    <row r="1078" spans="1:20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</row>
    <row r="1079" spans="1:20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 spans="1:2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spans="1:20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spans="1:20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 spans="1:20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spans="1:20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</row>
    <row r="1085" spans="1:20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 spans="1:20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</row>
    <row r="1087" spans="1:20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 spans="1:20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 spans="1:20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 spans="1:2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 spans="1:20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 spans="1:20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 spans="1:20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 spans="1:20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 spans="1:20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 spans="1:20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spans="1:20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 spans="1:20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 spans="1:20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 spans="1:2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 spans="1:20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 spans="1:20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 spans="1:20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spans="1:20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 spans="1:20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 spans="1:20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 spans="1:20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 spans="1:20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 spans="1:20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 spans="1:2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spans="1:20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 spans="1:20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 spans="1:20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 spans="1:20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 spans="1:20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 spans="1:20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 spans="1:20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 spans="1:20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 spans="1:20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 spans="1: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 spans="1:20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 spans="1:20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 spans="1:20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 spans="1:20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</row>
    <row r="1125" spans="1:20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 spans="1:20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</row>
    <row r="1127" spans="1:20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 spans="1:20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 spans="1:20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 spans="1:2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 spans="1:20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 spans="1:20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 spans="1:20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 spans="1:20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 spans="1:20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 spans="1:20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 spans="1:20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 spans="1:20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 spans="1:20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 spans="1:2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 spans="1:20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 spans="1:20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 spans="1:20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 spans="1:20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 spans="1:20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spans="1:20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spans="1:20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 spans="1:20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spans="1:20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spans="1:2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spans="1:20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spans="1:20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 spans="1:20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 spans="1:20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spans="1:20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spans="1:20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 spans="1:20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spans="1:20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spans="1:20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spans="1:2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 spans="1:20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spans="1:20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 spans="1:20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spans="1:20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 spans="1:20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 spans="1:20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spans="1:20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spans="1:20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spans="1:20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spans="1:2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spans="1:20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spans="1:20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spans="1:20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spans="1:20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spans="1:20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spans="1:20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 spans="1:20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spans="1:20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spans="1:20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spans="1:2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spans="1:20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spans="1:20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spans="1:20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spans="1:20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spans="1:20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 spans="1:20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spans="1:20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 spans="1:20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 spans="1:20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 spans="1:2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 spans="1:20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 spans="1:20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</row>
    <row r="1193" spans="1:20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 spans="1:20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 spans="1:20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</row>
    <row r="1196" spans="1:20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 spans="1:20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 spans="1:20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 spans="1:20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 spans="1:2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 spans="1:20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</row>
    <row r="1202" spans="1:20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 spans="1:20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 spans="1:20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</row>
    <row r="1205" spans="1:20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 spans="1:20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 spans="1:20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 spans="1:20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 spans="1:20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 spans="1:2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 spans="1:20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 spans="1:20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 spans="1:20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 spans="1:20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 spans="1:20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 spans="1:20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 spans="1:20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 spans="1:20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 spans="1:20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 spans="1: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 spans="1:20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 spans="1:20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 spans="1:20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 spans="1:20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</row>
    <row r="1225" spans="1:20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</row>
    <row r="1226" spans="1:20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</row>
    <row r="1227" spans="1:20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</row>
    <row r="1228" spans="1:20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 spans="1:20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 spans="1:2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 spans="1:20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 spans="1:20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</row>
    <row r="1233" spans="1:20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</row>
    <row r="1234" spans="1:20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</row>
    <row r="1235" spans="1:20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 spans="1:20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 spans="1:20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 spans="1:20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 spans="1:20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 spans="1:2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 spans="1:20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 spans="1:20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 spans="1:20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 spans="1:20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 spans="1:20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 spans="1:20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 spans="1:20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 spans="1:20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 spans="1:20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 spans="1:2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 spans="1:20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</row>
    <row r="1252" spans="1:20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 spans="1:20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</row>
    <row r="1254" spans="1:20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 spans="1:20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 spans="1:20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 spans="1:20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 spans="1:20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 spans="1:20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 spans="1:2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 spans="1:20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 spans="1:20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 spans="1:20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 spans="1:20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 spans="1:20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 spans="1:20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 spans="1:20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 spans="1:20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 spans="1:20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 spans="1:2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 spans="1:20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 spans="1:20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 spans="1:20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 spans="1:20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 spans="1:20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 spans="1:20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 spans="1:20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 spans="1:20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 spans="1:20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 spans="1:2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</row>
    <row r="1281" spans="1:20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</row>
    <row r="1282" spans="1:20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 spans="1:20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 spans="1:20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</row>
    <row r="1285" spans="1:20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 spans="1:20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 spans="1:20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 spans="1:20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 spans="1:20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 spans="1:2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 spans="1:20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 spans="1:20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</row>
    <row r="1293" spans="1:20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 spans="1:20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</row>
    <row r="1295" spans="1:20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 spans="1:20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 spans="1:20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</row>
    <row r="1298" spans="1:20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 spans="1:20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 spans="1:2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</row>
    <row r="1301" spans="1:20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 spans="1:20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 spans="1:20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 spans="1:20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 spans="1:20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 spans="1:20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 spans="1:20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 spans="1:20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 spans="1:20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</row>
    <row r="1310" spans="1:2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 spans="1:20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 spans="1:20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</row>
    <row r="1313" spans="1:20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</row>
    <row r="1314" spans="1:20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 spans="1:20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 spans="1:20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</row>
    <row r="1317" spans="1:20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</row>
    <row r="1318" spans="1:20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</row>
    <row r="1319" spans="1:20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</row>
    <row r="1320" spans="1: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</row>
    <row r="1321" spans="1:20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</row>
    <row r="1322" spans="1:20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</row>
    <row r="1323" spans="1:20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</row>
    <row r="1324" spans="1:20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</row>
    <row r="1325" spans="1:20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</row>
    <row r="1326" spans="1:20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</row>
    <row r="1327" spans="1:20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</row>
    <row r="1328" spans="1:20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</row>
    <row r="1329" spans="1:20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</row>
    <row r="1330" spans="1:2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</row>
    <row r="1331" spans="1:20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</row>
    <row r="1332" spans="1:20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</row>
    <row r="1333" spans="1:20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</row>
    <row r="1334" spans="1:20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</row>
    <row r="1335" spans="1:20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</row>
    <row r="1336" spans="1:20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</row>
    <row r="1337" spans="1:20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</row>
    <row r="1338" spans="1:20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</row>
    <row r="1339" spans="1:20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</row>
    <row r="1340" spans="1:2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</row>
    <row r="1341" spans="1:20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</row>
    <row r="1342" spans="1:20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</row>
    <row r="1343" spans="1:20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</row>
    <row r="1344" spans="1:20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</row>
    <row r="1345" spans="1:20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</row>
    <row r="1346" spans="1:20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</row>
    <row r="1347" spans="1:20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</row>
    <row r="1348" spans="1:20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</row>
    <row r="1349" spans="1:20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</row>
    <row r="1350" spans="1:2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</row>
    <row r="1351" spans="1:20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</row>
    <row r="1352" spans="1:20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</row>
    <row r="1353" spans="1:20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</row>
    <row r="1354" spans="1:20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</row>
    <row r="1355" spans="1:20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</row>
    <row r="1356" spans="1:20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</row>
    <row r="1357" spans="1:20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</row>
    <row r="1358" spans="1:20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</row>
    <row r="1359" spans="1:20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</row>
    <row r="1360" spans="1:2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</row>
    <row r="1361" spans="1:20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</row>
    <row r="1362" spans="1:20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</row>
    <row r="1363" spans="1:20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</row>
    <row r="1364" spans="1:20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</row>
    <row r="1365" spans="1:20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</row>
    <row r="1366" spans="1:20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</row>
    <row r="1367" spans="1:20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</row>
    <row r="1368" spans="1:20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</row>
    <row r="1369" spans="1:20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</row>
    <row r="1370" spans="1:2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</row>
    <row r="1371" spans="1:20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</row>
    <row r="1372" spans="1:20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</row>
    <row r="1373" spans="1:20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</row>
    <row r="1374" spans="1:20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</row>
    <row r="1375" spans="1:20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</row>
    <row r="1376" spans="1:20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</row>
    <row r="1377" spans="1:20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</row>
    <row r="1378" spans="1:20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</row>
    <row r="1379" spans="1:20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</row>
    <row r="1380" spans="1:2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</row>
    <row r="1381" spans="1:20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</row>
    <row r="1382" spans="1:20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</row>
    <row r="1383" spans="1:20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</row>
    <row r="1384" spans="1:20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</row>
    <row r="1385" spans="1:20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</row>
    <row r="1386" spans="1:20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</row>
    <row r="1387" spans="1:20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</row>
    <row r="1388" spans="1:20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</row>
    <row r="1389" spans="1:20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 spans="1:2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</row>
    <row r="1391" spans="1:20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</row>
    <row r="1392" spans="1:20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</row>
    <row r="1393" spans="1:20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</row>
    <row r="1394" spans="1:20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</row>
    <row r="1395" spans="1:20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</row>
    <row r="1396" spans="1:20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</row>
    <row r="1397" spans="1:20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</row>
    <row r="1398" spans="1:20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</row>
    <row r="1399" spans="1:20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</row>
    <row r="1400" spans="1:2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</row>
    <row r="1401" spans="1:20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</row>
    <row r="1402" spans="1:20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</row>
    <row r="1403" spans="1:20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</row>
  </sheetData>
  <phoneticPr fontId="4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8058-68D6-4355-B2B5-AB712B658BD4}">
  <dimension ref="A1"/>
  <sheetViews>
    <sheetView workbookViewId="0"/>
  </sheetViews>
  <sheetFormatPr defaultRowHeight="12.75"/>
  <sheetData/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51EC9E53B62418B8933E2A491A52C" ma:contentTypeVersion="10" ma:contentTypeDescription="Create a new document." ma:contentTypeScope="" ma:versionID="bfae7423fb4a3a4799f632eb8eda167d">
  <xsd:schema xmlns:xsd="http://www.w3.org/2001/XMLSchema" xmlns:xs="http://www.w3.org/2001/XMLSchema" xmlns:p="http://schemas.microsoft.com/office/2006/metadata/properties" xmlns:ns2="7b288429-e676-4570-873a-a7c5b5599bbf" xmlns:ns3="97aa6acc-be1c-48dd-afcb-431185f47cbf" targetNamespace="http://schemas.microsoft.com/office/2006/metadata/properties" ma:root="true" ma:fieldsID="bf8d391117db4dcb69ca58be36384962" ns2:_="" ns3:_="">
    <xsd:import namespace="7b288429-e676-4570-873a-a7c5b5599bbf"/>
    <xsd:import namespace="97aa6acc-be1c-48dd-afcb-431185f47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88429-e676-4570-873a-a7c5b5599b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a6acc-be1c-48dd-afcb-431185f47c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82DCAC-4A85-407D-9A2E-625D07FBFE9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1F0FE55-6E16-457C-A488-555BA0FD99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288429-e676-4570-873a-a7c5b5599bbf"/>
    <ds:schemaRef ds:uri="97aa6acc-be1c-48dd-afcb-431185f47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2CDA92-F957-4E3A-9FAB-C2FA037563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欧塑OEE数据收集表(优化) (2024.02.29)</vt:lpstr>
      <vt:lpstr>Sheet2</vt:lpstr>
    </vt:vector>
  </TitlesOfParts>
  <Manager/>
  <Company>Eli Lilly and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Francois GERMAIN</dc:creator>
  <cp:keywords/>
  <dc:description/>
  <cp:lastModifiedBy>晓路 张</cp:lastModifiedBy>
  <cp:revision/>
  <cp:lastPrinted>2023-12-01T06:09:12Z</cp:lastPrinted>
  <dcterms:created xsi:type="dcterms:W3CDTF">2019-01-21T21:28:14Z</dcterms:created>
  <dcterms:modified xsi:type="dcterms:W3CDTF">2025-03-16T09:04:38Z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0x010100BB551EC9E53B62418B8933E2A491A52C</vt:lpwstr>
  </property>
</Properties>
</file>