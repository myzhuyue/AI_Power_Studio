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fc27a5d373946d5/Desktop/CRM Data 20241117/"/>
    </mc:Choice>
  </mc:AlternateContent>
  <xr:revisionPtr revIDLastSave="0" documentId="8_{3A81DAAE-D6A1-43FF-865E-3DCE8D38069E}" xr6:coauthVersionLast="47" xr6:coauthVersionMax="47" xr10:uidLastSave="{00000000-0000-0000-0000-000000000000}"/>
  <bookViews>
    <workbookView xWindow="193" yWindow="680" windowWidth="19007" windowHeight="11400" tabRatio="609" firstSheet="2" activeTab="5" xr2:uid="{4BE51799-B86C-480F-86E1-959EB4BE4657}"/>
  </bookViews>
  <sheets>
    <sheet name="Rowdata-EB" sheetId="1" state="hidden" r:id="rId1"/>
    <sheet name="weekly" sheetId="18" state="hidden" r:id="rId2"/>
    <sheet name="Dashboard " sheetId="3" r:id="rId3"/>
    <sheet name="South" sheetId="19" r:id="rId4"/>
    <sheet name="CDIFS" sheetId="5" r:id="rId5"/>
    <sheet name="CDTKL" sheetId="6" r:id="rId6"/>
    <sheet name="CDSKP" sheetId="7" r:id="rId7"/>
    <sheet name="GZTKH" sheetId="8" r:id="rId8"/>
    <sheet name="SZBAY" sheetId="9" r:id="rId9"/>
    <sheet name="SZLH" sheetId="10" r:id="rId10"/>
    <sheet name="Sheet1" sheetId="11" state="hidden" r:id="rId11"/>
    <sheet name="competitor" sheetId="12" state="hidden" r:id="rId12"/>
  </sheets>
  <externalReferences>
    <externalReference r:id="rId13"/>
  </externalReferences>
  <definedNames>
    <definedName name="_xlnm._FilterDatabase" localSheetId="4" hidden="1">CDIFS!$B$10:$H$22</definedName>
    <definedName name="_xlnm._FilterDatabase" localSheetId="6" hidden="1">CDSKP!$A$1:$E$61</definedName>
    <definedName name="_xlnm._FilterDatabase" localSheetId="5" hidden="1">CDTKL!$B$1:$E$121</definedName>
    <definedName name="_xlnm._FilterDatabase" localSheetId="7" hidden="1">GZTKH!$B$1:$E$1</definedName>
    <definedName name="_xlnm._FilterDatabase" localSheetId="0" hidden="1">'Rowdata-EB'!$A$1:$V$61</definedName>
    <definedName name="_xlnm._FilterDatabase" localSheetId="10" hidden="1">Sheet1!$A$32:$C$38</definedName>
    <definedName name="_xlnm._FilterDatabase" localSheetId="3" hidden="1">South!$B$10:$H$22</definedName>
    <definedName name="_xlnm._FilterDatabase" localSheetId="8" hidden="1">SZBAY!$B$1:$E$1</definedName>
    <definedName name="_xlnm._FilterDatabase" localSheetId="9" hidden="1">SZLH!$A$1:$E$121</definedName>
    <definedName name="_xlnm.Print_Area" localSheetId="2">'Dashboard '!$A$1:$AO$48</definedName>
  </definedNames>
  <calcPr calcId="191029"/>
  <pivotCaches>
    <pivotCache cacheId="0" r:id="rId14"/>
    <pivotCache cacheId="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0" l="1"/>
  <c r="B17" i="9"/>
  <c r="B17" i="8"/>
  <c r="B77" i="7"/>
  <c r="B77" i="6"/>
  <c r="Y7" i="3"/>
  <c r="D29" i="19"/>
  <c r="E5" i="5"/>
  <c r="E4" i="5"/>
  <c r="E3" i="5"/>
  <c r="E2" i="5"/>
  <c r="D7" i="5" l="1"/>
  <c r="D6" i="5"/>
  <c r="D5" i="5"/>
  <c r="D4" i="5"/>
  <c r="D3" i="5"/>
  <c r="D2" i="5"/>
  <c r="E7" i="5"/>
  <c r="E6" i="5"/>
  <c r="G37" i="5"/>
  <c r="D10" i="3"/>
  <c r="G39" i="5"/>
  <c r="F39" i="5"/>
  <c r="D13" i="3" s="1"/>
  <c r="F35" i="5"/>
  <c r="F37" i="5"/>
  <c r="D9" i="3" s="1"/>
  <c r="E8" i="3"/>
  <c r="O13" i="3"/>
  <c r="N13" i="3"/>
  <c r="M13" i="3"/>
  <c r="L13" i="3"/>
  <c r="K13" i="3"/>
  <c r="J13" i="3"/>
  <c r="O11" i="3"/>
  <c r="N11" i="3"/>
  <c r="M11" i="3"/>
  <c r="L11" i="3"/>
  <c r="K11" i="3"/>
  <c r="J11" i="3"/>
  <c r="O9" i="3"/>
  <c r="N9" i="3"/>
  <c r="M9" i="3"/>
  <c r="L9" i="3"/>
  <c r="K9" i="3"/>
  <c r="J9" i="3"/>
  <c r="O7" i="3"/>
  <c r="N7" i="3"/>
  <c r="M7" i="3"/>
  <c r="L7" i="3"/>
  <c r="K7" i="3"/>
  <c r="J7" i="3"/>
  <c r="O6" i="3"/>
  <c r="N6" i="3"/>
  <c r="M6" i="3"/>
  <c r="L6" i="3"/>
  <c r="K6" i="3"/>
  <c r="J6" i="3"/>
  <c r="D16" i="3"/>
  <c r="D15" i="3"/>
  <c r="D14" i="3"/>
  <c r="D12" i="3"/>
  <c r="D11" i="3"/>
  <c r="D8" i="3"/>
  <c r="G31" i="5"/>
  <c r="G30" i="5"/>
  <c r="G24" i="5"/>
  <c r="R11" i="3" l="1"/>
  <c r="J8" i="3"/>
  <c r="P8" i="3" s="1"/>
  <c r="N15" i="3"/>
  <c r="N14" i="3"/>
  <c r="R14" i="3" s="1"/>
  <c r="F6" i="5"/>
  <c r="AD6" i="3"/>
  <c r="D35" i="19" l="1"/>
  <c r="D39" i="19"/>
  <c r="D38" i="19"/>
  <c r="D37" i="19"/>
  <c r="D36" i="19"/>
  <c r="D7" i="3"/>
  <c r="G38" i="19" l="1"/>
  <c r="S12" i="3" s="1"/>
  <c r="G36" i="19"/>
  <c r="S8" i="3" s="1"/>
  <c r="G37" i="19"/>
  <c r="S10" i="3" s="1"/>
  <c r="G39" i="19"/>
  <c r="S14" i="3" s="1"/>
  <c r="D40" i="19"/>
  <c r="D6" i="3"/>
  <c r="H4" i="5"/>
  <c r="H5" i="5"/>
  <c r="H6" i="5"/>
  <c r="H3" i="5"/>
  <c r="Y9" i="3"/>
  <c r="E12" i="3"/>
  <c r="E10" i="3"/>
  <c r="G25" i="5"/>
  <c r="I25" i="5" s="1"/>
  <c r="H82" i="5"/>
  <c r="G82" i="5"/>
  <c r="I82" i="5" s="1"/>
  <c r="H81" i="5"/>
  <c r="G81" i="5"/>
  <c r="I81" i="5" s="1"/>
  <c r="H80" i="5"/>
  <c r="G80" i="5"/>
  <c r="I80" i="5" s="1"/>
  <c r="H79" i="5"/>
  <c r="G79" i="5"/>
  <c r="I79" i="5" s="1"/>
  <c r="H78" i="5"/>
  <c r="I78" i="5" s="1"/>
  <c r="G78" i="5"/>
  <c r="I76" i="5"/>
  <c r="H76" i="5"/>
  <c r="G76" i="5"/>
  <c r="H75" i="5"/>
  <c r="G75" i="5"/>
  <c r="I75" i="5" s="1"/>
  <c r="I74" i="5"/>
  <c r="H74" i="5"/>
  <c r="G74" i="5"/>
  <c r="H73" i="5"/>
  <c r="G73" i="5"/>
  <c r="I73" i="5" s="1"/>
  <c r="H72" i="5"/>
  <c r="G72" i="5"/>
  <c r="I72" i="5" s="1"/>
  <c r="H70" i="5"/>
  <c r="G70" i="5"/>
  <c r="I70" i="5" s="1"/>
  <c r="H69" i="5"/>
  <c r="I69" i="5" s="1"/>
  <c r="G69" i="5"/>
  <c r="H68" i="5"/>
  <c r="I68" i="5" s="1"/>
  <c r="G68" i="5"/>
  <c r="I67" i="5"/>
  <c r="H67" i="5"/>
  <c r="G67" i="5"/>
  <c r="H66" i="5"/>
  <c r="G66" i="5"/>
  <c r="I66" i="5" s="1"/>
  <c r="I64" i="5"/>
  <c r="H64" i="5"/>
  <c r="G64" i="5"/>
  <c r="H63" i="5"/>
  <c r="G63" i="5"/>
  <c r="I63" i="5" s="1"/>
  <c r="H62" i="5"/>
  <c r="G62" i="5"/>
  <c r="I62" i="5" s="1"/>
  <c r="H61" i="5"/>
  <c r="G61" i="5"/>
  <c r="I61" i="5" s="1"/>
  <c r="H60" i="5"/>
  <c r="I60" i="5" s="1"/>
  <c r="G60" i="5"/>
  <c r="H58" i="5"/>
  <c r="I58" i="5" s="1"/>
  <c r="G58" i="5"/>
  <c r="I57" i="5"/>
  <c r="H57" i="5"/>
  <c r="G57" i="5"/>
  <c r="H56" i="5"/>
  <c r="G56" i="5"/>
  <c r="I56" i="5" s="1"/>
  <c r="I55" i="5"/>
  <c r="H55" i="5"/>
  <c r="G55" i="5"/>
  <c r="H54" i="5"/>
  <c r="G54" i="5"/>
  <c r="I54" i="5" s="1"/>
  <c r="H52" i="5"/>
  <c r="G52" i="5"/>
  <c r="I52" i="5" s="1"/>
  <c r="H51" i="5"/>
  <c r="G51" i="5"/>
  <c r="I51" i="5" s="1"/>
  <c r="H50" i="5"/>
  <c r="G50" i="5"/>
  <c r="I50" i="5" s="1"/>
  <c r="H49" i="5"/>
  <c r="I49" i="5" s="1"/>
  <c r="G49" i="5"/>
  <c r="I48" i="5"/>
  <c r="H48" i="5"/>
  <c r="G48" i="5"/>
  <c r="H46" i="5"/>
  <c r="G46" i="5"/>
  <c r="I46" i="5" s="1"/>
  <c r="I45" i="5"/>
  <c r="H45" i="5"/>
  <c r="G45" i="5"/>
  <c r="H44" i="5"/>
  <c r="G44" i="5"/>
  <c r="I44" i="5" s="1"/>
  <c r="H43" i="5"/>
  <c r="G43" i="5"/>
  <c r="I43" i="5" s="1"/>
  <c r="H42" i="5"/>
  <c r="G42" i="5"/>
  <c r="I42" i="5" s="1"/>
  <c r="H40" i="5"/>
  <c r="H39" i="5"/>
  <c r="H38" i="5"/>
  <c r="G38" i="5"/>
  <c r="I38" i="5" s="1"/>
  <c r="H37" i="5"/>
  <c r="I37" i="5"/>
  <c r="H36" i="5"/>
  <c r="G36" i="5"/>
  <c r="I36" i="5" s="1"/>
  <c r="H34" i="5"/>
  <c r="H33" i="5"/>
  <c r="G33" i="5"/>
  <c r="I33" i="5" s="1"/>
  <c r="H32" i="5"/>
  <c r="G32" i="5"/>
  <c r="I32" i="5" s="1"/>
  <c r="H31" i="5"/>
  <c r="H30" i="5"/>
  <c r="I28" i="5"/>
  <c r="H28" i="5"/>
  <c r="G28" i="5"/>
  <c r="H27" i="5"/>
  <c r="G27" i="5"/>
  <c r="I27" i="5" s="1"/>
  <c r="I26" i="5"/>
  <c r="H26" i="5"/>
  <c r="G26" i="5"/>
  <c r="H25" i="5"/>
  <c r="H24" i="5"/>
  <c r="I24" i="5"/>
  <c r="H22" i="5"/>
  <c r="G22" i="5"/>
  <c r="I22" i="5" s="1"/>
  <c r="H21" i="5"/>
  <c r="I21" i="5" s="1"/>
  <c r="G21" i="5"/>
  <c r="H20" i="5"/>
  <c r="I20" i="5" s="1"/>
  <c r="G20" i="5"/>
  <c r="I19" i="5"/>
  <c r="H19" i="5"/>
  <c r="G19" i="5"/>
  <c r="H18" i="5"/>
  <c r="G18" i="5"/>
  <c r="I18" i="5" s="1"/>
  <c r="I16" i="5"/>
  <c r="H16" i="5"/>
  <c r="G16" i="5"/>
  <c r="H15" i="5"/>
  <c r="G15" i="5"/>
  <c r="I15" i="5" s="1"/>
  <c r="H14" i="5"/>
  <c r="G14" i="5"/>
  <c r="I14" i="5" s="1"/>
  <c r="H13" i="5"/>
  <c r="G13" i="5"/>
  <c r="I13" i="5" s="1"/>
  <c r="H12" i="5"/>
  <c r="I12" i="5" s="1"/>
  <c r="G12" i="5"/>
  <c r="E13" i="3"/>
  <c r="E11" i="3"/>
  <c r="E9" i="3"/>
  <c r="E7" i="3"/>
  <c r="E6" i="3"/>
  <c r="I13" i="3"/>
  <c r="I11" i="3"/>
  <c r="I9" i="3"/>
  <c r="I7" i="3"/>
  <c r="I6" i="3"/>
  <c r="F11" i="5"/>
  <c r="F13" i="5"/>
  <c r="F12" i="5"/>
  <c r="H7" i="5"/>
  <c r="J12" i="3"/>
  <c r="P12" i="3" s="1"/>
  <c r="I14" i="3"/>
  <c r="I10" i="3"/>
  <c r="I8" i="3"/>
  <c r="H8" i="3"/>
  <c r="G14" i="3"/>
  <c r="G12" i="3"/>
  <c r="G10" i="3"/>
  <c r="F14" i="3"/>
  <c r="F12" i="3"/>
  <c r="F10" i="3"/>
  <c r="F79" i="5"/>
  <c r="F80" i="5"/>
  <c r="F81" i="5"/>
  <c r="F82" i="5"/>
  <c r="F78" i="5"/>
  <c r="F73" i="5"/>
  <c r="F74" i="5"/>
  <c r="F75" i="5"/>
  <c r="F76" i="5"/>
  <c r="F72" i="5"/>
  <c r="F67" i="5"/>
  <c r="F68" i="5"/>
  <c r="F69" i="5"/>
  <c r="F70" i="5"/>
  <c r="F66" i="5"/>
  <c r="F61" i="5"/>
  <c r="F62" i="5"/>
  <c r="F63" i="5"/>
  <c r="F60" i="5"/>
  <c r="F55" i="5"/>
  <c r="F56" i="5"/>
  <c r="F57" i="5"/>
  <c r="F58" i="5"/>
  <c r="F54" i="5"/>
  <c r="F49" i="5"/>
  <c r="F50" i="5"/>
  <c r="F51" i="5"/>
  <c r="F52" i="5"/>
  <c r="F48" i="5"/>
  <c r="F43" i="5"/>
  <c r="F44" i="5"/>
  <c r="F45" i="5"/>
  <c r="F46" i="5"/>
  <c r="F42" i="5"/>
  <c r="F38" i="5"/>
  <c r="F36" i="5"/>
  <c r="F25" i="5"/>
  <c r="F26" i="5"/>
  <c r="F27" i="5"/>
  <c r="F28" i="5"/>
  <c r="F24" i="5"/>
  <c r="F19" i="5"/>
  <c r="F20" i="5"/>
  <c r="F21" i="5"/>
  <c r="F22" i="5"/>
  <c r="F18" i="5"/>
  <c r="F14" i="5"/>
  <c r="F15" i="5"/>
  <c r="F16" i="5"/>
  <c r="F31" i="5"/>
  <c r="F32" i="5"/>
  <c r="F33" i="5"/>
  <c r="F30" i="5"/>
  <c r="D31" i="19"/>
  <c r="D32" i="19"/>
  <c r="D33" i="19"/>
  <c r="D30" i="19"/>
  <c r="I12" i="3" l="1"/>
  <c r="H10" i="3"/>
  <c r="G8" i="3"/>
  <c r="F8" i="3"/>
  <c r="E14" i="3"/>
  <c r="D34" i="19"/>
  <c r="D7" i="19" s="1"/>
  <c r="H12" i="3"/>
  <c r="H14" i="3"/>
  <c r="G33" i="19"/>
  <c r="G32" i="19"/>
  <c r="G31" i="19"/>
  <c r="I39" i="5"/>
  <c r="I30" i="5"/>
  <c r="I31" i="5"/>
  <c r="J15" i="3"/>
  <c r="J16" i="3" s="1"/>
  <c r="J10" i="3"/>
  <c r="P10" i="3" s="1"/>
  <c r="J14" i="3"/>
  <c r="P14" i="3" s="1"/>
  <c r="G34" i="19" l="1"/>
  <c r="D17" i="19"/>
  <c r="D18" i="19"/>
  <c r="D11" i="19"/>
  <c r="D23" i="19"/>
  <c r="E81" i="19"/>
  <c r="D81" i="19"/>
  <c r="D6" i="19" s="1"/>
  <c r="E80" i="19"/>
  <c r="D80" i="19"/>
  <c r="E79" i="19"/>
  <c r="D79" i="19"/>
  <c r="E78" i="19"/>
  <c r="D78" i="19"/>
  <c r="E77" i="19"/>
  <c r="D77" i="19"/>
  <c r="E75" i="19"/>
  <c r="D75" i="19"/>
  <c r="E74" i="19"/>
  <c r="D74" i="19"/>
  <c r="E73" i="19"/>
  <c r="D73" i="19"/>
  <c r="E72" i="19"/>
  <c r="D72" i="19"/>
  <c r="E71" i="19"/>
  <c r="D71" i="19"/>
  <c r="E69" i="19"/>
  <c r="D69" i="19"/>
  <c r="E68" i="19"/>
  <c r="D68" i="19"/>
  <c r="E67" i="19"/>
  <c r="D67" i="19"/>
  <c r="E66" i="19"/>
  <c r="D66" i="19"/>
  <c r="E65" i="19"/>
  <c r="D65" i="19"/>
  <c r="E63" i="19"/>
  <c r="D63" i="19"/>
  <c r="E62" i="19"/>
  <c r="D62" i="19"/>
  <c r="E61" i="19"/>
  <c r="D61" i="19"/>
  <c r="E60" i="19"/>
  <c r="D60" i="19"/>
  <c r="E59" i="19"/>
  <c r="D59" i="19"/>
  <c r="E57" i="19"/>
  <c r="D57" i="19"/>
  <c r="E56" i="19"/>
  <c r="D56" i="19"/>
  <c r="E55" i="19"/>
  <c r="D55" i="19"/>
  <c r="E54" i="19"/>
  <c r="D54" i="19"/>
  <c r="E53" i="19"/>
  <c r="D53" i="19"/>
  <c r="E51" i="19"/>
  <c r="D51" i="19"/>
  <c r="E50" i="19"/>
  <c r="D50" i="19"/>
  <c r="E49" i="19"/>
  <c r="D49" i="19"/>
  <c r="E48" i="19"/>
  <c r="D48" i="19"/>
  <c r="E47" i="19"/>
  <c r="D47" i="19"/>
  <c r="E45" i="19"/>
  <c r="D45" i="19"/>
  <c r="E44" i="19"/>
  <c r="D44" i="19"/>
  <c r="E43" i="19"/>
  <c r="D43" i="19"/>
  <c r="E42" i="19"/>
  <c r="D42" i="19"/>
  <c r="E41" i="19"/>
  <c r="D41" i="19"/>
  <c r="E39" i="19"/>
  <c r="E38" i="19"/>
  <c r="E37" i="19"/>
  <c r="E36" i="19"/>
  <c r="F36" i="19" s="1"/>
  <c r="S7" i="3" s="1"/>
  <c r="E35" i="19"/>
  <c r="E33" i="19"/>
  <c r="F33" i="19" s="1"/>
  <c r="E32" i="19"/>
  <c r="F32" i="19" s="1"/>
  <c r="E31" i="19"/>
  <c r="E30" i="19"/>
  <c r="F30" i="19" s="1"/>
  <c r="E29" i="19"/>
  <c r="E27" i="19"/>
  <c r="D27" i="19"/>
  <c r="E26" i="19"/>
  <c r="D26" i="19"/>
  <c r="E25" i="19"/>
  <c r="D25" i="19"/>
  <c r="E24" i="19"/>
  <c r="D24" i="19"/>
  <c r="E23" i="19"/>
  <c r="E21" i="19"/>
  <c r="D21" i="19"/>
  <c r="E20" i="19"/>
  <c r="D20" i="19"/>
  <c r="E19" i="19"/>
  <c r="D19" i="19"/>
  <c r="E18" i="19"/>
  <c r="E17" i="19"/>
  <c r="E15" i="19"/>
  <c r="D15" i="19"/>
  <c r="E14" i="19"/>
  <c r="D14" i="19"/>
  <c r="F14" i="19" s="1"/>
  <c r="E13" i="19"/>
  <c r="D13" i="19"/>
  <c r="E12" i="19"/>
  <c r="D12" i="19"/>
  <c r="E11" i="19"/>
  <c r="F67" i="19" l="1"/>
  <c r="E58" i="19"/>
  <c r="F62" i="19"/>
  <c r="F20" i="19"/>
  <c r="F56" i="19"/>
  <c r="F61" i="19"/>
  <c r="F71" i="19"/>
  <c r="F80" i="19"/>
  <c r="D16" i="19"/>
  <c r="F19" i="19"/>
  <c r="F41" i="19"/>
  <c r="F74" i="19"/>
  <c r="E46" i="19"/>
  <c r="D22" i="19"/>
  <c r="E40" i="19"/>
  <c r="F40" i="19" s="1"/>
  <c r="S15" i="3" s="1"/>
  <c r="E52" i="19"/>
  <c r="H52" i="19" s="1"/>
  <c r="E22" i="19"/>
  <c r="F78" i="19"/>
  <c r="F15" i="19"/>
  <c r="F26" i="19"/>
  <c r="F43" i="19"/>
  <c r="F21" i="19"/>
  <c r="F72" i="19"/>
  <c r="F81" i="19"/>
  <c r="F54" i="19"/>
  <c r="F63" i="19"/>
  <c r="E34" i="19"/>
  <c r="F34" i="19" s="1"/>
  <c r="F45" i="19"/>
  <c r="D4" i="19"/>
  <c r="D70" i="19"/>
  <c r="F51" i="19"/>
  <c r="F39" i="19"/>
  <c r="S13" i="3" s="1"/>
  <c r="F44" i="19"/>
  <c r="H54" i="19"/>
  <c r="H57" i="19"/>
  <c r="H58" i="19"/>
  <c r="H56" i="19"/>
  <c r="H55" i="19"/>
  <c r="F57" i="19"/>
  <c r="H75" i="19"/>
  <c r="H72" i="19"/>
  <c r="H74" i="19"/>
  <c r="H73" i="19"/>
  <c r="F75" i="19"/>
  <c r="G18" i="19"/>
  <c r="G30" i="19"/>
  <c r="G13" i="19"/>
  <c r="G12" i="19"/>
  <c r="G14" i="19"/>
  <c r="G24" i="19"/>
  <c r="G15" i="19"/>
  <c r="H37" i="19"/>
  <c r="H39" i="19"/>
  <c r="H36" i="19"/>
  <c r="H38" i="19"/>
  <c r="I38" i="19" s="1"/>
  <c r="F25" i="19"/>
  <c r="G45" i="19"/>
  <c r="G42" i="19"/>
  <c r="G44" i="19"/>
  <c r="G43" i="19"/>
  <c r="F49" i="19"/>
  <c r="D64" i="19"/>
  <c r="G64" i="19" s="1"/>
  <c r="G62" i="19"/>
  <c r="G61" i="19"/>
  <c r="G60" i="19"/>
  <c r="G63" i="19"/>
  <c r="G79" i="19"/>
  <c r="G78" i="19"/>
  <c r="G80" i="19"/>
  <c r="G81" i="19"/>
  <c r="G21" i="19"/>
  <c r="G20" i="19"/>
  <c r="G19" i="19"/>
  <c r="H45" i="19"/>
  <c r="H44" i="19"/>
  <c r="H46" i="19"/>
  <c r="H42" i="19"/>
  <c r="H43" i="19"/>
  <c r="F50" i="19"/>
  <c r="H62" i="19"/>
  <c r="H61" i="19"/>
  <c r="I61" i="19" s="1"/>
  <c r="H60" i="19"/>
  <c r="H63" i="19"/>
  <c r="F68" i="19"/>
  <c r="H79" i="19"/>
  <c r="H78" i="19"/>
  <c r="H81" i="19"/>
  <c r="H80" i="19"/>
  <c r="G16" i="19"/>
  <c r="H49" i="19"/>
  <c r="H48" i="19"/>
  <c r="H51" i="19"/>
  <c r="H50" i="19"/>
  <c r="H13" i="19"/>
  <c r="H12" i="19"/>
  <c r="H15" i="19"/>
  <c r="H14" i="19"/>
  <c r="F37" i="19"/>
  <c r="S9" i="3" s="1"/>
  <c r="F42" i="19"/>
  <c r="F55" i="19"/>
  <c r="G67" i="19"/>
  <c r="G70" i="19"/>
  <c r="G69" i="19"/>
  <c r="G66" i="19"/>
  <c r="G68" i="19"/>
  <c r="G22" i="19"/>
  <c r="H21" i="19"/>
  <c r="H22" i="19"/>
  <c r="H20" i="19"/>
  <c r="H18" i="19"/>
  <c r="H19" i="19"/>
  <c r="F27" i="19"/>
  <c r="G49" i="19"/>
  <c r="G50" i="19"/>
  <c r="G48" i="19"/>
  <c r="G51" i="19"/>
  <c r="E64" i="19"/>
  <c r="H64" i="19" s="1"/>
  <c r="F65" i="19"/>
  <c r="H69" i="19"/>
  <c r="H66" i="19"/>
  <c r="H67" i="19"/>
  <c r="H68" i="19"/>
  <c r="F69" i="19"/>
  <c r="F73" i="19"/>
  <c r="H26" i="19"/>
  <c r="H25" i="19"/>
  <c r="H24" i="19"/>
  <c r="H27" i="19"/>
  <c r="F13" i="19"/>
  <c r="H30" i="19"/>
  <c r="H31" i="19"/>
  <c r="I31" i="19" s="1"/>
  <c r="H32" i="19"/>
  <c r="I32" i="19" s="1"/>
  <c r="H33" i="19"/>
  <c r="I33" i="19" s="1"/>
  <c r="F38" i="19"/>
  <c r="S11" i="3" s="1"/>
  <c r="F48" i="19"/>
  <c r="G54" i="19"/>
  <c r="G57" i="19"/>
  <c r="G55" i="19"/>
  <c r="G56" i="19"/>
  <c r="I56" i="19" s="1"/>
  <c r="E70" i="19"/>
  <c r="H70" i="19" s="1"/>
  <c r="G75" i="19"/>
  <c r="I75" i="19" s="1"/>
  <c r="G72" i="19"/>
  <c r="G74" i="19"/>
  <c r="G73" i="19"/>
  <c r="F79" i="19"/>
  <c r="F23" i="19"/>
  <c r="G26" i="19"/>
  <c r="G25" i="19"/>
  <c r="G27" i="19"/>
  <c r="F17" i="19"/>
  <c r="D28" i="19"/>
  <c r="E3" i="19" s="1"/>
  <c r="D3" i="19"/>
  <c r="F70" i="19"/>
  <c r="F12" i="19"/>
  <c r="F60" i="19"/>
  <c r="D76" i="19"/>
  <c r="G76" i="19" s="1"/>
  <c r="F77" i="19"/>
  <c r="D5" i="19"/>
  <c r="F18" i="19"/>
  <c r="E28" i="19"/>
  <c r="H28" i="19" s="1"/>
  <c r="F31" i="19"/>
  <c r="F35" i="19"/>
  <c r="S6" i="3" s="1"/>
  <c r="F66" i="19"/>
  <c r="E76" i="19"/>
  <c r="H76" i="19" s="1"/>
  <c r="D82" i="19"/>
  <c r="G82" i="19" s="1"/>
  <c r="F24" i="19"/>
  <c r="H34" i="19"/>
  <c r="G40" i="19"/>
  <c r="E82" i="19"/>
  <c r="H82" i="19" s="1"/>
  <c r="D46" i="19"/>
  <c r="F47" i="19"/>
  <c r="E16" i="19"/>
  <c r="F16" i="19" s="1"/>
  <c r="D52" i="19"/>
  <c r="G52" i="19" s="1"/>
  <c r="F53" i="19"/>
  <c r="F29" i="19"/>
  <c r="D2" i="19"/>
  <c r="F11" i="19"/>
  <c r="D58" i="19"/>
  <c r="G58" i="19" s="1"/>
  <c r="F59" i="19"/>
  <c r="G6" i="19" l="1"/>
  <c r="AM14" i="3" s="1"/>
  <c r="G3" i="19"/>
  <c r="G4" i="19"/>
  <c r="I78" i="19"/>
  <c r="I55" i="19"/>
  <c r="I50" i="19"/>
  <c r="F3" i="19"/>
  <c r="AM7" i="3" s="1"/>
  <c r="I73" i="19"/>
  <c r="E6" i="19"/>
  <c r="F6" i="19" s="1"/>
  <c r="AM13" i="3" s="1"/>
  <c r="E5" i="19"/>
  <c r="F5" i="19" s="1"/>
  <c r="AM11" i="3" s="1"/>
  <c r="I57" i="19"/>
  <c r="H40" i="19"/>
  <c r="E7" i="19"/>
  <c r="G7" i="19"/>
  <c r="I58" i="19"/>
  <c r="I52" i="19"/>
  <c r="G5" i="19"/>
  <c r="AM12" i="3" s="1"/>
  <c r="AM8" i="3"/>
  <c r="I68" i="19"/>
  <c r="I27" i="19"/>
  <c r="I19" i="19"/>
  <c r="I69" i="19"/>
  <c r="I21" i="19"/>
  <c r="I14" i="19"/>
  <c r="I67" i="19"/>
  <c r="I80" i="19"/>
  <c r="I62" i="19"/>
  <c r="I22" i="19"/>
  <c r="F46" i="19"/>
  <c r="I66" i="19"/>
  <c r="I37" i="19"/>
  <c r="I79" i="19"/>
  <c r="G46" i="19"/>
  <c r="I46" i="19" s="1"/>
  <c r="I13" i="19"/>
  <c r="F64" i="19"/>
  <c r="G28" i="19"/>
  <c r="I28" i="19" s="1"/>
  <c r="I74" i="19"/>
  <c r="I54" i="19"/>
  <c r="I48" i="19"/>
  <c r="I63" i="19"/>
  <c r="I43" i="19"/>
  <c r="I30" i="19"/>
  <c r="I34" i="19"/>
  <c r="I72" i="19"/>
  <c r="I51" i="19"/>
  <c r="I20" i="19"/>
  <c r="I60" i="19"/>
  <c r="I44" i="19"/>
  <c r="I18" i="19"/>
  <c r="I36" i="19"/>
  <c r="I25" i="19"/>
  <c r="I64" i="19"/>
  <c r="I15" i="19"/>
  <c r="F82" i="19"/>
  <c r="I26" i="19"/>
  <c r="I49" i="19"/>
  <c r="I42" i="19"/>
  <c r="I81" i="19"/>
  <c r="I45" i="19"/>
  <c r="I24" i="19"/>
  <c r="I39" i="19"/>
  <c r="F76" i="19"/>
  <c r="I12" i="19"/>
  <c r="I76" i="19"/>
  <c r="I70" i="19"/>
  <c r="H16" i="19"/>
  <c r="I16" i="19" s="1"/>
  <c r="I82" i="19"/>
  <c r="I40" i="19"/>
  <c r="S16" i="3" s="1"/>
  <c r="F22" i="19"/>
  <c r="F28" i="19"/>
  <c r="F52" i="19"/>
  <c r="E2" i="19"/>
  <c r="E4" i="19"/>
  <c r="F4" i="19" s="1"/>
  <c r="AM9" i="3" s="1"/>
  <c r="F58" i="19"/>
  <c r="AM10" i="3" l="1"/>
  <c r="Q11" i="3"/>
  <c r="F2" i="19"/>
  <c r="AM6" i="3" s="1"/>
  <c r="H7" i="19"/>
  <c r="I7" i="19" s="1"/>
  <c r="AM16" i="3" s="1"/>
  <c r="H3" i="19"/>
  <c r="I3" i="19" s="1"/>
  <c r="H6" i="19"/>
  <c r="I6" i="19" s="1"/>
  <c r="H5" i="19"/>
  <c r="I5" i="19" s="1"/>
  <c r="H4" i="19"/>
  <c r="I4" i="19" s="1"/>
  <c r="R6" i="3"/>
  <c r="L8" i="3"/>
  <c r="Q8" i="3" s="1"/>
  <c r="Q6" i="3"/>
  <c r="L12" i="3"/>
  <c r="Q12" i="3" s="1"/>
  <c r="L14" i="3"/>
  <c r="Q14" i="3" s="1"/>
  <c r="L10" i="3"/>
  <c r="Q10" i="3" s="1"/>
  <c r="L15" i="3"/>
  <c r="Q13" i="3"/>
  <c r="M8" i="3"/>
  <c r="M15" i="3"/>
  <c r="M16" i="3" s="1"/>
  <c r="M12" i="3"/>
  <c r="M14" i="3"/>
  <c r="M10" i="3"/>
  <c r="F7" i="19"/>
  <c r="AM15" i="3" s="1"/>
  <c r="G30" i="3"/>
  <c r="Q9" i="3"/>
  <c r="P7" i="3"/>
  <c r="N10" i="3"/>
  <c r="R10" i="3" s="1"/>
  <c r="N12" i="3"/>
  <c r="R12" i="3" s="1"/>
  <c r="O12" i="3" l="1"/>
  <c r="O10" i="3"/>
  <c r="O8" i="3"/>
  <c r="O15" i="3"/>
  <c r="O16" i="3" s="1"/>
  <c r="O14" i="3"/>
  <c r="N16" i="3"/>
  <c r="R7" i="3"/>
  <c r="Q15" i="3"/>
  <c r="K12" i="3"/>
  <c r="K10" i="3"/>
  <c r="K14" i="3"/>
  <c r="K8" i="3"/>
  <c r="K15" i="3"/>
  <c r="K16" i="3" s="1"/>
  <c r="P16" i="3" s="1"/>
  <c r="P6" i="3"/>
  <c r="L16" i="3"/>
  <c r="Q16" i="3" s="1"/>
  <c r="N8" i="3"/>
  <c r="R8" i="3" s="1"/>
  <c r="R13" i="3"/>
  <c r="P9" i="3"/>
  <c r="R9" i="3"/>
  <c r="P13" i="3"/>
  <c r="P11" i="3"/>
  <c r="R16" i="3" l="1"/>
  <c r="E16" i="5"/>
  <c r="E22" i="5"/>
  <c r="E28" i="5"/>
  <c r="E34" i="5"/>
  <c r="E40" i="5"/>
  <c r="E46" i="5"/>
  <c r="E52" i="5"/>
  <c r="E58" i="5"/>
  <c r="E64" i="5"/>
  <c r="E70" i="5"/>
  <c r="F64" i="5" l="1"/>
  <c r="D46" i="5"/>
  <c r="D52" i="5"/>
  <c r="D58" i="5"/>
  <c r="D64" i="5"/>
  <c r="D7" i="12" l="1"/>
  <c r="C7" i="12"/>
  <c r="B7" i="12"/>
  <c r="D6" i="12"/>
  <c r="C6" i="12"/>
  <c r="B6" i="12"/>
  <c r="D5" i="12"/>
  <c r="C5" i="12"/>
  <c r="B5" i="12"/>
  <c r="D4" i="12"/>
  <c r="C4" i="12"/>
  <c r="B4" i="12"/>
  <c r="D3" i="12"/>
  <c r="C3" i="12"/>
  <c r="B3" i="12"/>
  <c r="D2" i="12"/>
  <c r="C2" i="12"/>
  <c r="B2" i="12"/>
  <c r="G29" i="11"/>
  <c r="F29" i="11"/>
  <c r="G28" i="11"/>
  <c r="F28" i="11"/>
  <c r="G27" i="11"/>
  <c r="F27" i="11"/>
  <c r="G26" i="11"/>
  <c r="F26" i="11"/>
  <c r="G25" i="11"/>
  <c r="F25" i="11"/>
  <c r="F24" i="11"/>
  <c r="C12" i="11"/>
  <c r="C11" i="11"/>
  <c r="C10" i="11"/>
  <c r="G6" i="11"/>
  <c r="F6" i="11"/>
  <c r="G5" i="11"/>
  <c r="F5" i="11"/>
  <c r="F4" i="11"/>
  <c r="H13" i="3"/>
  <c r="H11" i="3"/>
  <c r="H9" i="3"/>
  <c r="H7" i="3"/>
  <c r="H6" i="3"/>
  <c r="G13" i="3"/>
  <c r="G11" i="3"/>
  <c r="G9" i="3"/>
  <c r="G7" i="3"/>
  <c r="G6" i="3"/>
  <c r="AF13" i="3"/>
  <c r="AF11" i="3"/>
  <c r="AF9" i="3"/>
  <c r="AF7" i="3"/>
  <c r="F13" i="3"/>
  <c r="F11" i="3"/>
  <c r="F9" i="3"/>
  <c r="F7" i="3"/>
  <c r="F6" i="3"/>
  <c r="E82" i="5"/>
  <c r="D82" i="5"/>
  <c r="F77" i="5"/>
  <c r="E76" i="5"/>
  <c r="D76" i="5"/>
  <c r="F71" i="5"/>
  <c r="D70" i="5"/>
  <c r="F65" i="5"/>
  <c r="F59" i="5"/>
  <c r="F53" i="5"/>
  <c r="F47" i="5"/>
  <c r="F41" i="5"/>
  <c r="D40" i="5"/>
  <c r="D34" i="5"/>
  <c r="F29" i="5"/>
  <c r="D28" i="5"/>
  <c r="F23" i="5"/>
  <c r="D22" i="5"/>
  <c r="F17" i="5"/>
  <c r="D16" i="5"/>
  <c r="D13" i="18"/>
  <c r="C13" i="18"/>
  <c r="B13" i="18"/>
  <c r="G16" i="3" l="1"/>
  <c r="Q7" i="3"/>
  <c r="F16" i="3"/>
  <c r="E16" i="3"/>
  <c r="AB11" i="3"/>
  <c r="I15" i="3"/>
  <c r="G5" i="5"/>
  <c r="G6" i="5"/>
  <c r="I6" i="5" s="1"/>
  <c r="G4" i="5"/>
  <c r="I4" i="5" s="1"/>
  <c r="G3" i="5"/>
  <c r="I3" i="5" s="1"/>
  <c r="G40" i="5"/>
  <c r="I40" i="5" s="1"/>
  <c r="F40" i="5"/>
  <c r="G7" i="5"/>
  <c r="I7" i="5" s="1"/>
  <c r="G34" i="5"/>
  <c r="I34" i="5" s="1"/>
  <c r="E15" i="3"/>
  <c r="F34" i="5"/>
  <c r="I33" i="3"/>
  <c r="I32" i="3"/>
  <c r="I31" i="3"/>
  <c r="I30" i="3"/>
  <c r="I34" i="3"/>
  <c r="H32" i="3"/>
  <c r="H33" i="3"/>
  <c r="H31" i="3"/>
  <c r="R15" i="3"/>
  <c r="H30" i="3"/>
  <c r="G31" i="3"/>
  <c r="G34" i="3"/>
  <c r="AF6" i="3"/>
  <c r="G32" i="3"/>
  <c r="G33" i="3"/>
  <c r="F32" i="3"/>
  <c r="F33" i="3"/>
  <c r="F31" i="3"/>
  <c r="F30" i="3"/>
  <c r="F34" i="3"/>
  <c r="E31" i="3"/>
  <c r="E33" i="3"/>
  <c r="E32" i="3"/>
  <c r="E30" i="3"/>
  <c r="D33" i="3"/>
  <c r="D32" i="3"/>
  <c r="D31" i="3"/>
  <c r="D30" i="3"/>
  <c r="P15" i="3"/>
  <c r="F15" i="3"/>
  <c r="Y13" i="3"/>
  <c r="AD9" i="3"/>
  <c r="AD10" i="3" s="1"/>
  <c r="AJ10" i="3" s="1"/>
  <c r="AQ7" i="18"/>
  <c r="AP7" i="18"/>
  <c r="AO4" i="18"/>
  <c r="AO5" i="18"/>
  <c r="AS4" i="18"/>
  <c r="AQ6" i="18"/>
  <c r="AS7" i="18"/>
  <c r="AN4" i="18"/>
  <c r="AN5" i="18"/>
  <c r="AP5" i="18"/>
  <c r="AP6" i="18"/>
  <c r="AR7" i="18"/>
  <c r="AR5" i="18"/>
  <c r="AR6" i="18"/>
  <c r="AR4" i="18"/>
  <c r="AQ4" i="18"/>
  <c r="AQ5" i="18"/>
  <c r="AS5" i="18"/>
  <c r="AS6" i="18"/>
  <c r="AP4" i="18"/>
  <c r="AN6" i="18"/>
  <c r="AN7" i="18"/>
  <c r="AO6" i="18"/>
  <c r="AO7" i="18"/>
  <c r="AH13" i="3"/>
  <c r="AH11" i="3"/>
  <c r="AH9" i="3"/>
  <c r="AD7" i="3"/>
  <c r="AD11" i="3"/>
  <c r="AD12" i="3" s="1"/>
  <c r="AJ12" i="3" s="1"/>
  <c r="H15" i="3"/>
  <c r="AH7" i="3"/>
  <c r="G15" i="3"/>
  <c r="AC13" i="3"/>
  <c r="AC9" i="3"/>
  <c r="AC7" i="3"/>
  <c r="AC11" i="3"/>
  <c r="AH6" i="3"/>
  <c r="AD13" i="3"/>
  <c r="AD14" i="3" s="1"/>
  <c r="AJ14" i="3" s="1"/>
  <c r="Z9" i="3"/>
  <c r="Z11" i="3"/>
  <c r="Z13" i="3"/>
  <c r="Z7" i="3"/>
  <c r="Z8" i="3"/>
  <c r="Y11" i="3"/>
  <c r="F3" i="5"/>
  <c r="X7" i="3" s="1"/>
  <c r="F5" i="5"/>
  <c r="I16" i="3" l="1"/>
  <c r="AH12" i="3"/>
  <c r="AL12" i="3" s="1"/>
  <c r="AH10" i="3"/>
  <c r="AL10" i="3" s="1"/>
  <c r="AH8" i="3"/>
  <c r="AL8" i="3" s="1"/>
  <c r="AF15" i="3"/>
  <c r="AF16" i="3" s="1"/>
  <c r="AF14" i="3"/>
  <c r="AK14" i="3" s="1"/>
  <c r="AF8" i="3"/>
  <c r="AK8" i="3" s="1"/>
  <c r="AF10" i="3"/>
  <c r="AK10" i="3" s="1"/>
  <c r="AF12" i="3"/>
  <c r="AK12" i="3" s="1"/>
  <c r="AD15" i="3"/>
  <c r="AD16" i="3" s="1"/>
  <c r="AD8" i="3"/>
  <c r="AJ8" i="3" s="1"/>
  <c r="AH15" i="3"/>
  <c r="AH16" i="3" s="1"/>
  <c r="AH14" i="3"/>
  <c r="AL14" i="3" s="1"/>
  <c r="H16" i="3"/>
  <c r="Y8" i="3"/>
  <c r="I5" i="5"/>
  <c r="X12" i="3"/>
  <c r="Y10" i="3"/>
  <c r="AC10" i="3"/>
  <c r="AC8" i="3"/>
  <c r="Z10" i="3"/>
  <c r="AA8" i="3"/>
  <c r="AA10" i="3"/>
  <c r="AC12" i="3"/>
  <c r="AC16" i="3"/>
  <c r="AA48" i="3"/>
  <c r="AK48" i="3" s="1"/>
  <c r="Z12" i="3"/>
  <c r="Z14" i="3"/>
  <c r="AC47" i="3"/>
  <c r="H34" i="3"/>
  <c r="AA11" i="3"/>
  <c r="AK11" i="3" s="1"/>
  <c r="AG11" i="3"/>
  <c r="AG6" i="3"/>
  <c r="AG9" i="3"/>
  <c r="AA13" i="3"/>
  <c r="AK13" i="3" s="1"/>
  <c r="AG13" i="3"/>
  <c r="AA7" i="3"/>
  <c r="AK7" i="3" s="1"/>
  <c r="AG7" i="3"/>
  <c r="Z16" i="3"/>
  <c r="Z6" i="3"/>
  <c r="E34" i="3"/>
  <c r="D34" i="3"/>
  <c r="Y15" i="3"/>
  <c r="AE9" i="3"/>
  <c r="AJ9" i="3" s="1"/>
  <c r="AE11" i="3"/>
  <c r="Y47" i="3"/>
  <c r="X13" i="3"/>
  <c r="AE13" i="3"/>
  <c r="F2" i="5"/>
  <c r="X6" i="3" s="1"/>
  <c r="AE6" i="3"/>
  <c r="AE7" i="3"/>
  <c r="AJ7" i="3" s="1"/>
  <c r="AI6" i="3"/>
  <c r="AI7" i="3"/>
  <c r="AL7" i="3" s="1"/>
  <c r="AI11" i="3"/>
  <c r="AL11" i="3" s="1"/>
  <c r="AB9" i="3"/>
  <c r="AI9" i="3"/>
  <c r="AL9" i="3" s="1"/>
  <c r="AB13" i="3"/>
  <c r="AI13" i="3"/>
  <c r="AL13" i="3" s="1"/>
  <c r="AB44" i="3"/>
  <c r="Y6" i="3"/>
  <c r="X44" i="3"/>
  <c r="AB6" i="3"/>
  <c r="AB46" i="3"/>
  <c r="AC15" i="3"/>
  <c r="AB45" i="3"/>
  <c r="Y44" i="3"/>
  <c r="AA46" i="3"/>
  <c r="AK46" i="3" s="1"/>
  <c r="Z15" i="3"/>
  <c r="AC46" i="3"/>
  <c r="AC48" i="3"/>
  <c r="AC6" i="3"/>
  <c r="AC14" i="3"/>
  <c r="AB15" i="3"/>
  <c r="AB12" i="3"/>
  <c r="AB10" i="3"/>
  <c r="AB8" i="3"/>
  <c r="AB14" i="3"/>
  <c r="AB7" i="3"/>
  <c r="AB48" i="3"/>
  <c r="AA47" i="3"/>
  <c r="AK47" i="3" s="1"/>
  <c r="AA44" i="3"/>
  <c r="AK44" i="3" s="1"/>
  <c r="AA6" i="3"/>
  <c r="AA15" i="3"/>
  <c r="AK15" i="3" s="1"/>
  <c r="AA12" i="3"/>
  <c r="AA14" i="3"/>
  <c r="Z48" i="3"/>
  <c r="Z46" i="3"/>
  <c r="Z47" i="3"/>
  <c r="Z44" i="3"/>
  <c r="Y46" i="3"/>
  <c r="Y48" i="3"/>
  <c r="Y14" i="3"/>
  <c r="Y12" i="3"/>
  <c r="X47" i="3"/>
  <c r="X48" i="3"/>
  <c r="F4" i="5"/>
  <c r="X9" i="3" s="1"/>
  <c r="X11" i="3"/>
  <c r="X45" i="3"/>
  <c r="F7" i="5"/>
  <c r="X15" i="3" s="1"/>
  <c r="X14" i="3"/>
  <c r="X10" i="3"/>
  <c r="X16" i="3"/>
  <c r="X8" i="3"/>
  <c r="AK6" i="3" l="1"/>
  <c r="AG15" i="3"/>
  <c r="AG16" i="3" s="1"/>
  <c r="AK16" i="3" s="1"/>
  <c r="AG14" i="3"/>
  <c r="AG8" i="3"/>
  <c r="AG12" i="3"/>
  <c r="AG10" i="3"/>
  <c r="AE15" i="3"/>
  <c r="AE16" i="3" s="1"/>
  <c r="AJ16" i="3" s="1"/>
  <c r="AL6" i="3"/>
  <c r="AI15" i="3"/>
  <c r="AI16" i="3" s="1"/>
  <c r="AL16" i="3" s="1"/>
  <c r="AI8" i="3"/>
  <c r="AI14" i="3"/>
  <c r="AI12" i="3"/>
  <c r="AI10" i="3"/>
  <c r="AB47" i="3"/>
  <c r="AJ6" i="3"/>
  <c r="AE12" i="3"/>
  <c r="AE8" i="3"/>
  <c r="AE10" i="3"/>
  <c r="AE14" i="3"/>
  <c r="AA9" i="3"/>
  <c r="AK9" i="3" s="1"/>
  <c r="Y16" i="3"/>
  <c r="AA16" i="3"/>
  <c r="Z45" i="3"/>
  <c r="AL47" i="3"/>
  <c r="AL45" i="3"/>
  <c r="AC44" i="3"/>
  <c r="AL46" i="3"/>
  <c r="AC45" i="3"/>
  <c r="AL44" i="3"/>
  <c r="AB16" i="3"/>
  <c r="AA45" i="3"/>
  <c r="AK45" i="3" s="1"/>
  <c r="Y45" i="3"/>
  <c r="AM44" i="3"/>
  <c r="AM48" i="3"/>
  <c r="AJ13" i="3"/>
  <c r="AJ47" i="3"/>
  <c r="AJ45" i="3"/>
  <c r="X46" i="3"/>
  <c r="AJ11" i="3"/>
  <c r="AJ46" i="3"/>
  <c r="AJ44" i="3"/>
  <c r="AM47" i="3"/>
  <c r="AM45" i="3"/>
  <c r="AM46" i="3"/>
  <c r="AL15" i="3" l="1"/>
  <c r="AL48" i="3"/>
  <c r="AJ15" i="3"/>
  <c r="AJ48" i="3"/>
</calcChain>
</file>

<file path=xl/sharedStrings.xml><?xml version="1.0" encoding="utf-8"?>
<sst xmlns="http://schemas.openxmlformats.org/spreadsheetml/2006/main" count="2658" uniqueCount="178">
  <si>
    <t>Channel</t>
  </si>
  <si>
    <t>Brand</t>
  </si>
  <si>
    <t>Brand Type</t>
  </si>
  <si>
    <t>Region</t>
  </si>
  <si>
    <t>City Type</t>
  </si>
  <si>
    <t>City</t>
  </si>
  <si>
    <t>Code</t>
  </si>
  <si>
    <t>Btq/POS Name</t>
  </si>
  <si>
    <t>Shopping Mall</t>
  </si>
  <si>
    <t>Commercial Area</t>
  </si>
  <si>
    <t>Opening Date</t>
  </si>
  <si>
    <t xml:space="preserve">If in the same shopping mall </t>
  </si>
  <si>
    <t>Month</t>
  </si>
  <si>
    <t>LE23 Sales Value (w/o VAT)</t>
  </si>
  <si>
    <t>FY22 Sales Value (w/o VAT)</t>
  </si>
  <si>
    <t>FY21 Sales Value (w/o VAT)</t>
  </si>
  <si>
    <t>FY20 Sales Value (w/o VAT)</t>
  </si>
  <si>
    <t>LE23 vs FY22</t>
  </si>
  <si>
    <t>FY22 vs FY21</t>
  </si>
  <si>
    <t>FY21 vs FY20</t>
  </si>
  <si>
    <t>Sqm Efficiency</t>
  </si>
  <si>
    <t>去除O</t>
  </si>
  <si>
    <t>External</t>
  </si>
  <si>
    <t>BOSS</t>
  </si>
  <si>
    <t>Fashion</t>
  </si>
  <si>
    <t>PROVINCIAL CAPITALS</t>
  </si>
  <si>
    <t>Shenzhen</t>
  </si>
  <si>
    <t>SZ BA</t>
  </si>
  <si>
    <t>BaoAn Airport</t>
  </si>
  <si>
    <t>Y</t>
  </si>
  <si>
    <t>Apr</t>
  </si>
  <si>
    <t>Burberry</t>
  </si>
  <si>
    <t>2020 Sep</t>
  </si>
  <si>
    <t>Bvlgari</t>
  </si>
  <si>
    <t>new opening</t>
  </si>
  <si>
    <t>Cartier</t>
  </si>
  <si>
    <t>Watch &amp; Jew</t>
  </si>
  <si>
    <t>2020 Aug</t>
  </si>
  <si>
    <t>ACTIVE</t>
  </si>
  <si>
    <t>EA</t>
  </si>
  <si>
    <t>Ermenegildo</t>
  </si>
  <si>
    <t>Ferragamo</t>
  </si>
  <si>
    <t>GUCCI</t>
  </si>
  <si>
    <t>Max Mara</t>
  </si>
  <si>
    <t>Prada</t>
  </si>
  <si>
    <t>Jun</t>
  </si>
  <si>
    <t>May</t>
  </si>
  <si>
    <t>Travel Retail</t>
  </si>
  <si>
    <t>Jul</t>
  </si>
  <si>
    <t>Aug</t>
  </si>
  <si>
    <t>Zegna</t>
  </si>
  <si>
    <t>Sep</t>
  </si>
  <si>
    <t xml:space="preserve">Market share gaining </t>
  </si>
  <si>
    <t>Chaumet</t>
  </si>
  <si>
    <r>
      <rPr>
        <sz val="9"/>
        <color theme="2" tint="-0.249977111117893"/>
        <rFont val="等线"/>
      </rPr>
      <t>已填写公式</t>
    </r>
  </si>
  <si>
    <t>Bulgari</t>
  </si>
  <si>
    <t xml:space="preserve">Tiffany </t>
  </si>
  <si>
    <t>VCA</t>
  </si>
  <si>
    <t>TTL</t>
  </si>
  <si>
    <r>
      <rPr>
        <b/>
        <sz val="9"/>
        <color rgb="FFFF0000"/>
        <rFont val="等线"/>
      </rPr>
      <t>每月更新</t>
    </r>
  </si>
  <si>
    <t>Productivity</t>
  </si>
  <si>
    <t>Jan</t>
  </si>
  <si>
    <t xml:space="preserve">Jan </t>
  </si>
  <si>
    <t>Feb</t>
  </si>
  <si>
    <t xml:space="preserve">Feb </t>
  </si>
  <si>
    <t>Mar</t>
  </si>
  <si>
    <t>Oct</t>
  </si>
  <si>
    <t>Nov</t>
  </si>
  <si>
    <t>Dec</t>
  </si>
  <si>
    <t xml:space="preserve">STORE </t>
  </si>
  <si>
    <t>CITY</t>
  </si>
  <si>
    <t>REGION</t>
  </si>
  <si>
    <t>YTD vs LY</t>
  </si>
  <si>
    <t>CDIFS</t>
  </si>
  <si>
    <t>CDTKL</t>
  </si>
  <si>
    <t>CDSKP</t>
  </si>
  <si>
    <t>GZTKH</t>
  </si>
  <si>
    <t>SZBAY</t>
  </si>
  <si>
    <t>SZLH</t>
  </si>
  <si>
    <t>CD</t>
  </si>
  <si>
    <t>GZ</t>
  </si>
  <si>
    <t>SZ</t>
  </si>
  <si>
    <t xml:space="preserve">SOUTH </t>
  </si>
  <si>
    <t xml:space="preserve">Chaumet </t>
  </si>
  <si>
    <t>BTQ</t>
  </si>
  <si>
    <t>Tiffany</t>
  </si>
  <si>
    <t>列2</t>
  </si>
  <si>
    <t>列3</t>
  </si>
  <si>
    <t>列4</t>
  </si>
  <si>
    <t>Competitor</t>
  </si>
  <si>
    <t>MTD</t>
  </si>
  <si>
    <t>LY</t>
  </si>
  <si>
    <t>vs LY</t>
  </si>
  <si>
    <t>week 1</t>
  </si>
  <si>
    <t>week 2</t>
  </si>
  <si>
    <t>week 3</t>
  </si>
  <si>
    <t>week 4</t>
  </si>
  <si>
    <t>week 5</t>
  </si>
  <si>
    <t>m</t>
  </si>
  <si>
    <t>4/1-/7</t>
  </si>
  <si>
    <t>4/8-4/14</t>
  </si>
  <si>
    <t>4/15-4/21</t>
  </si>
  <si>
    <t>4/22-4/28</t>
  </si>
  <si>
    <t>4/29-4/30</t>
  </si>
  <si>
    <t xml:space="preserve">Cartier </t>
  </si>
  <si>
    <t>South</t>
  </si>
  <si>
    <r>
      <rPr>
        <b/>
        <sz val="9"/>
        <color rgb="FFFF0000"/>
        <rFont val="等线"/>
      </rPr>
      <t>需每月更新</t>
    </r>
  </si>
  <si>
    <t>-</t>
  </si>
  <si>
    <t>SZBA</t>
  </si>
  <si>
    <t>求和项:LE23 Sales Value (w/o VAT)</t>
  </si>
  <si>
    <t>求和项:FY22 Sales Value (w/o VAT)</t>
  </si>
  <si>
    <t>计数项:LE23 Sales Value (w/o VAT)2</t>
  </si>
  <si>
    <t>Monthly Avg</t>
  </si>
  <si>
    <t>Ratio</t>
  </si>
  <si>
    <t>总计</t>
  </si>
  <si>
    <t>no</t>
  </si>
  <si>
    <t>brand</t>
  </si>
  <si>
    <t>Gucci</t>
  </si>
  <si>
    <t>SHHQ</t>
  </si>
  <si>
    <t>行标签</t>
  </si>
  <si>
    <t>计数项:LE23 Sales Value (w/o VAT)</t>
  </si>
  <si>
    <t>Hermes</t>
  </si>
  <si>
    <t>LV</t>
  </si>
  <si>
    <t>Dior</t>
  </si>
  <si>
    <t>no.</t>
  </si>
  <si>
    <t>LE23 Total</t>
  </si>
  <si>
    <t>FY22 Total</t>
  </si>
  <si>
    <t>IWC</t>
  </si>
  <si>
    <t>JLC</t>
  </si>
  <si>
    <t>YTD</t>
  </si>
  <si>
    <r>
      <rPr>
        <sz val="10"/>
        <color theme="2" tint="-0.249977111117893"/>
        <rFont val="等线"/>
      </rPr>
      <t>已填写公式</t>
    </r>
  </si>
  <si>
    <r>
      <rPr>
        <b/>
        <sz val="9"/>
        <color theme="2" tint="-0.249977111117893"/>
        <rFont val="等线"/>
      </rPr>
      <t>已填写公式</t>
    </r>
  </si>
  <si>
    <t>2024 YTD
RATIO</t>
    <phoneticPr fontId="28" type="noConversion"/>
  </si>
  <si>
    <t>2024 Sales Value 
(w/o VAT)</t>
    <phoneticPr fontId="28" type="noConversion"/>
  </si>
  <si>
    <t>25 vs24</t>
    <phoneticPr fontId="28" type="noConversion"/>
  </si>
  <si>
    <t>2025 Sales Value
 (w/o VAT)</t>
    <phoneticPr fontId="28" type="noConversion"/>
  </si>
  <si>
    <t xml:space="preserve">Tiffany </t>
    <phoneticPr fontId="28" type="noConversion"/>
  </si>
  <si>
    <t>Mar vs LY</t>
    <phoneticPr fontId="28" type="noConversion"/>
  </si>
  <si>
    <t>CD YTD</t>
  </si>
  <si>
    <t>SZ YTD</t>
  </si>
  <si>
    <t>CD MTD</t>
  </si>
  <si>
    <t>CD 2024</t>
  </si>
  <si>
    <t>SZ MTD</t>
  </si>
  <si>
    <t>SZ 2024</t>
  </si>
  <si>
    <t>MTD Chaumet vs Competitor</t>
  </si>
  <si>
    <t>Mix%</t>
  </si>
  <si>
    <t>SZ MIX</t>
  </si>
  <si>
    <t>CD MIX</t>
  </si>
  <si>
    <t>GZ 2024</t>
  </si>
  <si>
    <t>GZ MTD</t>
  </si>
  <si>
    <t>GZ  2024</t>
  </si>
  <si>
    <t>vs Cartier</t>
  </si>
  <si>
    <t>vs Bulgari</t>
  </si>
  <si>
    <t xml:space="preserve">vs Tiffany </t>
  </si>
  <si>
    <t>vs VCA</t>
  </si>
  <si>
    <t>2025 Mar
Mix</t>
  </si>
  <si>
    <t>CD LY</t>
  </si>
  <si>
    <t>GZ YTD</t>
  </si>
  <si>
    <t>GZ LY</t>
  </si>
  <si>
    <t>SZ LY</t>
  </si>
  <si>
    <t>2025 YTD
MIX</t>
  </si>
  <si>
    <t>Chaumet vs Competitor Sales Performance</t>
  </si>
  <si>
    <t>Year Month</t>
  </si>
  <si>
    <t>2025 MTD Mix vs Competitor</t>
  </si>
  <si>
    <t>2024 MTD Mix vs Competitor</t>
  </si>
  <si>
    <t>25 vs 24</t>
  </si>
  <si>
    <t>2025 YTD Mix</t>
  </si>
  <si>
    <t>2024 YTD Mix</t>
  </si>
  <si>
    <t xml:space="preserve">2025 Sales </t>
  </si>
  <si>
    <t xml:space="preserve">2024 Sales </t>
  </si>
  <si>
    <t>已填写公式</t>
  </si>
  <si>
    <t>Mix % explanation</t>
  </si>
  <si>
    <t>By Brand Mix % is 2025</t>
  </si>
  <si>
    <t>Total Brand Mix % is 2025 vs LY.</t>
  </si>
  <si>
    <t xml:space="preserve"> </t>
  </si>
  <si>
    <t>Date</t>
  </si>
  <si>
    <t>Mall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</si>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</sst>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[$-409]mmm\-yy;@"/>
    <numFmt numFmtId="166" formatCode="_ * #,##0_ ;_ * \-#,##0_ ;_ * &quot;-&quot;??_ ;_ @_ "/>
    <numFmt numFmtId="167" formatCode="#,###,"/>
    <numFmt numFmtId="168" formatCode="0.0"/>
    <numFmt numFmtId="169" formatCode="0.0%"/>
    <numFmt numFmtId="170" formatCode="#,##0_ "/>
  </numFmts>
  <fonts count="44" x14ac:knownFonts="1">
    <font>
      <sz val="11"/>
      <name val="等线"/>
      <charset val="134"/>
    </font>
    <font>
      <sz val="11"/>
      <color rgb="FF000000"/>
      <name val="等线"/>
    </font>
    <font>
      <b/>
      <sz val="11"/>
      <color rgb="FF000000"/>
      <name val="等线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8"/>
      <color rgb="FFFFFFFF"/>
      <name val="Arial"/>
      <family val="2"/>
    </font>
    <font>
      <sz val="9"/>
      <color theme="2" tint="-0.249977111117893"/>
      <name val="Arial"/>
      <family val="2"/>
    </font>
    <font>
      <b/>
      <sz val="8"/>
      <color theme="0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222222"/>
      <name val="Calibri"/>
      <family val="2"/>
      <scheme val="minor"/>
    </font>
    <font>
      <i/>
      <sz val="8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rgb="FF222222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theme="2" tint="-0.249977111117893"/>
      <name val="Arial"/>
      <family val="2"/>
    </font>
    <font>
      <b/>
      <u/>
      <sz val="11"/>
      <color rgb="FF000000"/>
      <name val="Arial"/>
      <family val="2"/>
    </font>
    <font>
      <b/>
      <sz val="11"/>
      <color rgb="FF0070C0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sz val="11"/>
      <color rgb="FFF2F2F2"/>
      <name val="等线"/>
    </font>
    <font>
      <i/>
      <sz val="9"/>
      <color rgb="FF0070C0"/>
      <name val="Arial"/>
      <family val="2"/>
    </font>
    <font>
      <sz val="9"/>
      <color theme="2" tint="-0.249977111117893"/>
      <name val="等线"/>
    </font>
    <font>
      <b/>
      <sz val="9"/>
      <color rgb="FFFF0000"/>
      <name val="等线"/>
    </font>
    <font>
      <sz val="9"/>
      <name val="等线"/>
    </font>
    <font>
      <b/>
      <sz val="8"/>
      <name val="Arial"/>
      <family val="2"/>
    </font>
    <font>
      <b/>
      <sz val="8"/>
      <color rgb="FF00B05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2" tint="-0.249977111117893"/>
      <name val="Arial"/>
      <family val="2"/>
    </font>
    <font>
      <sz val="10"/>
      <color theme="2" tint="-0.249977111117893"/>
      <name val="等线"/>
    </font>
    <font>
      <sz val="10"/>
      <color rgb="FF000000"/>
      <name val="Arial"/>
      <family val="2"/>
    </font>
    <font>
      <b/>
      <sz val="9"/>
      <color theme="2" tint="-0.249977111117893"/>
      <name val="Arial"/>
      <family val="2"/>
    </font>
    <font>
      <b/>
      <sz val="9"/>
      <color theme="2" tint="-0.249977111117893"/>
      <name val="等线"/>
    </font>
    <font>
      <sz val="11"/>
      <color theme="8" tint="0.79998168889431442"/>
      <name val="Arial"/>
      <family val="2"/>
    </font>
    <font>
      <b/>
      <sz val="11"/>
      <color theme="8" tint="0.79998168889431442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EB"/>
        <bgColor indexed="64"/>
      </patternFill>
    </fill>
  </fills>
  <borders count="7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theme="0"/>
      </right>
      <top style="medium">
        <color auto="1"/>
      </top>
      <bottom/>
      <diagonal/>
    </border>
    <border>
      <left style="medium">
        <color theme="0"/>
      </left>
      <right style="medium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auto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 style="medium">
        <color auto="1"/>
      </bottom>
      <diagonal/>
    </border>
    <border>
      <left/>
      <right style="hair">
        <color theme="0" tint="-0.24994659260841701"/>
      </right>
      <top style="medium">
        <color auto="1"/>
      </top>
      <bottom/>
      <diagonal/>
    </border>
    <border>
      <left/>
      <right style="hair">
        <color theme="0" tint="-0.24994659260841701"/>
      </right>
      <top/>
      <bottom/>
      <diagonal/>
    </border>
    <border>
      <left style="medium">
        <color indexed="64"/>
      </left>
      <right style="hair">
        <color theme="0" tint="-0.24994659260841701"/>
      </right>
      <top style="medium">
        <color indexed="64"/>
      </top>
      <bottom/>
      <diagonal/>
    </border>
    <border>
      <left style="hair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theme="0" tint="-0.24994659260841701"/>
      </right>
      <top/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hair">
        <color theme="0" tint="-0.24994659260841701"/>
      </left>
      <right/>
      <top/>
      <bottom/>
      <diagonal/>
    </border>
    <border>
      <left style="hair">
        <color theme="0" tint="-0.24994659260841701"/>
      </left>
      <right/>
      <top style="medium">
        <color auto="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/>
      <diagonal/>
    </border>
    <border>
      <left/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 style="medium">
        <color indexed="64"/>
      </right>
      <top/>
      <bottom/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/>
      <diagonal/>
    </border>
    <border>
      <left style="hair">
        <color theme="0" tint="-0.14996795556505021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/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hair">
        <color theme="0" tint="-0.14993743705557422"/>
      </right>
      <top/>
      <bottom style="hair">
        <color theme="0" tint="-0.14993743705557422"/>
      </bottom>
      <diagonal/>
    </border>
    <border>
      <left/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/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/>
      <diagonal/>
    </border>
    <border>
      <left style="hair">
        <color theme="0" tint="-0.14996795556505021"/>
      </left>
      <right style="hair">
        <color theme="0" tint="-0.14993743705557422"/>
      </right>
      <top style="medium">
        <color auto="1"/>
      </top>
      <bottom/>
      <diagonal/>
    </border>
    <border>
      <left style="hair">
        <color theme="0" tint="-0.14993743705557422"/>
      </left>
      <right style="hair">
        <color theme="0" tint="-0.14993743705557422"/>
      </right>
      <top style="medium">
        <color auto="1"/>
      </top>
      <bottom/>
      <diagonal/>
    </border>
    <border>
      <left style="hair">
        <color theme="0" tint="-0.14993743705557422"/>
      </left>
      <right style="medium">
        <color indexed="64"/>
      </right>
      <top style="medium">
        <color auto="1"/>
      </top>
      <bottom/>
      <diagonal/>
    </border>
    <border>
      <left/>
      <right style="hair">
        <color theme="0" tint="-0.14993743705557422"/>
      </right>
      <top style="medium">
        <color auto="1"/>
      </top>
      <bottom/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medium">
        <color auto="1"/>
      </bottom>
      <diagonal/>
    </border>
    <border>
      <left style="hair">
        <color theme="0" tint="-0.14993743705557422"/>
      </left>
      <right style="medium">
        <color indexed="64"/>
      </right>
      <top style="hair">
        <color theme="0" tint="-0.14993743705557422"/>
      </top>
      <bottom style="medium">
        <color auto="1"/>
      </bottom>
      <diagonal/>
    </border>
    <border>
      <left style="hair">
        <color theme="0" tint="-0.14996795556505021"/>
      </left>
      <right style="medium">
        <color theme="1"/>
      </right>
      <top/>
      <bottom/>
      <diagonal/>
    </border>
    <border>
      <left style="hair">
        <color theme="0" tint="-0.14993743705557422"/>
      </left>
      <right style="medium">
        <color theme="1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indexed="64"/>
      </left>
      <right style="hair">
        <color theme="0" tint="-4.9989318521683403E-2"/>
      </right>
      <top/>
      <bottom/>
      <diagonal/>
    </border>
    <border>
      <left style="medium">
        <color indexed="64"/>
      </left>
      <right style="hair">
        <color theme="0" tint="-4.9989318521683403E-2"/>
      </right>
      <top/>
      <bottom style="hair">
        <color theme="0" tint="-0.1499374370555742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0.14993743705557422"/>
      </bottom>
      <diagonal/>
    </border>
    <border>
      <left style="hair">
        <color theme="0" tint="-0.14993743705557422"/>
      </left>
      <right style="hair">
        <color theme="0" tint="-0.14993743705557422"/>
      </right>
      <top style="medium">
        <color auto="1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3743705557422"/>
      </right>
      <top/>
      <bottom/>
      <diagonal/>
    </border>
    <border>
      <left style="medium">
        <color auto="1"/>
      </left>
      <right style="hair">
        <color theme="0" tint="-0.14993743705557422"/>
      </right>
      <top style="medium">
        <color auto="1"/>
      </top>
      <bottom/>
      <diagonal/>
    </border>
    <border>
      <left style="medium">
        <color auto="1"/>
      </left>
      <right style="hair">
        <color theme="0" tint="-0.14993743705557422"/>
      </right>
      <top/>
      <bottom style="medium">
        <color auto="1"/>
      </bottom>
      <diagonal/>
    </border>
    <border>
      <left style="hair">
        <color theme="0" tint="-0.14993743705557422"/>
      </left>
      <right style="medium">
        <color theme="1"/>
      </right>
      <top style="medium">
        <color auto="1"/>
      </top>
      <bottom/>
      <diagonal/>
    </border>
    <border>
      <left style="hair">
        <color theme="0" tint="-0.14993743705557422"/>
      </left>
      <right style="medium">
        <color theme="1"/>
      </right>
      <top style="hair">
        <color theme="0" tint="-0.14993743705557422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164" fontId="1" fillId="0" borderId="0">
      <alignment vertical="top"/>
      <protection locked="0"/>
    </xf>
    <xf numFmtId="9" fontId="1" fillId="0" borderId="0">
      <alignment vertical="top"/>
      <protection locked="0"/>
    </xf>
    <xf numFmtId="165" fontId="1" fillId="0" borderId="0">
      <protection locked="0"/>
    </xf>
  </cellStyleXfs>
  <cellXfs count="352">
    <xf numFmtId="0" fontId="0" fillId="0" borderId="0" xfId="0">
      <alignment vertical="center"/>
    </xf>
    <xf numFmtId="166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9" fontId="1" fillId="2" borderId="0" xfId="0" applyNumberFormat="1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7" fontId="1" fillId="0" borderId="0" xfId="0" applyNumberFormat="1" applyFont="1">
      <alignment vertical="center"/>
    </xf>
    <xf numFmtId="168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9" fontId="4" fillId="0" borderId="0" xfId="2" applyFont="1" applyAlignment="1" applyProtection="1">
      <alignment horizontal="right" vertical="center"/>
    </xf>
    <xf numFmtId="166" fontId="4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9" fontId="3" fillId="6" borderId="2" xfId="2" applyFont="1" applyFill="1" applyBorder="1" applyAlignment="1" applyProtection="1">
      <alignment horizontal="right" vertical="center"/>
    </xf>
    <xf numFmtId="166" fontId="3" fillId="6" borderId="2" xfId="0" applyNumberFormat="1" applyFont="1" applyFill="1" applyBorder="1" applyAlignment="1">
      <alignment horizontal="right" vertical="center"/>
    </xf>
    <xf numFmtId="2" fontId="3" fillId="6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9" fontId="3" fillId="3" borderId="2" xfId="2" applyFont="1" applyFill="1" applyBorder="1" applyAlignment="1" applyProtection="1">
      <alignment horizontal="right" vertical="center"/>
    </xf>
    <xf numFmtId="9" fontId="4" fillId="0" borderId="0" xfId="2" applyFont="1" applyAlignment="1" applyProtection="1">
      <alignment vertical="center"/>
    </xf>
    <xf numFmtId="0" fontId="7" fillId="0" borderId="0" xfId="0" applyFont="1">
      <alignment vertical="center"/>
    </xf>
    <xf numFmtId="0" fontId="3" fillId="7" borderId="0" xfId="0" applyFont="1" applyFill="1" applyAlignment="1">
      <alignment horizontal="center" vertical="center"/>
    </xf>
    <xf numFmtId="166" fontId="3" fillId="6" borderId="2" xfId="1" applyNumberFormat="1" applyFont="1" applyFill="1" applyBorder="1" applyAlignment="1" applyProtection="1">
      <alignment vertical="center"/>
    </xf>
    <xf numFmtId="166" fontId="3" fillId="0" borderId="2" xfId="1" applyNumberFormat="1" applyFont="1" applyBorder="1" applyAlignment="1" applyProtection="1">
      <alignment vertical="center"/>
    </xf>
    <xf numFmtId="0" fontId="3" fillId="0" borderId="0" xfId="0" applyFont="1">
      <alignment vertical="center"/>
    </xf>
    <xf numFmtId="0" fontId="8" fillId="5" borderId="3" xfId="0" applyFont="1" applyFill="1" applyBorder="1" applyAlignment="1" applyProtection="1">
      <alignment horizontal="left" vertical="center"/>
      <protection locked="0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9" fontId="9" fillId="5" borderId="5" xfId="2" applyFont="1" applyFill="1" applyBorder="1" applyAlignment="1">
      <alignment horizontal="center" vertical="center"/>
      <protection locked="0"/>
    </xf>
    <xf numFmtId="3" fontId="10" fillId="0" borderId="0" xfId="0" applyNumberFormat="1" applyFont="1" applyAlignment="1" applyProtection="1">
      <protection locked="0"/>
    </xf>
    <xf numFmtId="0" fontId="10" fillId="0" borderId="0" xfId="0" applyFont="1" applyAlignment="1" applyProtection="1">
      <protection locked="0"/>
    </xf>
    <xf numFmtId="0" fontId="8" fillId="5" borderId="7" xfId="0" applyFont="1" applyFill="1" applyBorder="1" applyAlignment="1" applyProtection="1">
      <alignment horizontal="left" vertical="center"/>
      <protection locked="0"/>
    </xf>
    <xf numFmtId="0" fontId="8" fillId="5" borderId="8" xfId="0" applyFont="1" applyFill="1" applyBorder="1" applyAlignment="1" applyProtection="1">
      <alignment horizontal="center" vertical="center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9" fontId="9" fillId="5" borderId="10" xfId="2" applyFont="1" applyFill="1" applyBorder="1" applyAlignment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center" vertical="center"/>
      <protection locked="0"/>
    </xf>
    <xf numFmtId="0" fontId="8" fillId="5" borderId="14" xfId="0" applyFont="1" applyFill="1" applyBorder="1" applyAlignment="1" applyProtection="1">
      <alignment horizontal="center" vertical="center"/>
      <protection locked="0"/>
    </xf>
    <xf numFmtId="9" fontId="9" fillId="5" borderId="15" xfId="2" applyFont="1" applyFill="1" applyBorder="1" applyAlignment="1">
      <alignment horizontal="center" vertical="center"/>
      <protection locked="0"/>
    </xf>
    <xf numFmtId="0" fontId="10" fillId="0" borderId="0" xfId="0" applyFont="1" applyProtection="1">
      <alignment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8" borderId="7" xfId="0" applyFont="1" applyFill="1" applyBorder="1" applyProtection="1">
      <alignment vertical="center"/>
      <protection locked="0"/>
    </xf>
    <xf numFmtId="3" fontId="12" fillId="8" borderId="17" xfId="0" applyNumberFormat="1" applyFont="1" applyFill="1" applyBorder="1" applyAlignment="1">
      <alignment horizontal="right" vertical="center"/>
    </xf>
    <xf numFmtId="3" fontId="12" fillId="8" borderId="18" xfId="0" applyNumberFormat="1" applyFont="1" applyFill="1" applyBorder="1" applyAlignment="1">
      <alignment horizontal="right" vertical="center"/>
    </xf>
    <xf numFmtId="9" fontId="13" fillId="8" borderId="9" xfId="2" applyFont="1" applyFill="1" applyBorder="1" applyAlignment="1" applyProtection="1">
      <alignment horizontal="right" vertical="center"/>
    </xf>
    <xf numFmtId="3" fontId="11" fillId="9" borderId="11" xfId="0" applyNumberFormat="1" applyFont="1" applyFill="1" applyBorder="1" applyAlignment="1" applyProtection="1">
      <alignment horizontal="right" wrapText="1"/>
      <protection locked="0"/>
    </xf>
    <xf numFmtId="0" fontId="11" fillId="8" borderId="3" xfId="0" applyFont="1" applyFill="1" applyBorder="1" applyProtection="1">
      <alignment vertical="center"/>
      <protection locked="0"/>
    </xf>
    <xf numFmtId="3" fontId="12" fillId="8" borderId="19" xfId="0" applyNumberFormat="1" applyFont="1" applyFill="1" applyBorder="1" applyAlignment="1">
      <alignment horizontal="right" vertical="center"/>
    </xf>
    <xf numFmtId="3" fontId="12" fillId="8" borderId="20" xfId="0" applyNumberFormat="1" applyFont="1" applyFill="1" applyBorder="1" applyAlignment="1">
      <alignment horizontal="right" vertical="center"/>
    </xf>
    <xf numFmtId="9" fontId="13" fillId="8" borderId="0" xfId="2" applyFont="1" applyFill="1" applyAlignment="1" applyProtection="1">
      <alignment horizontal="right" vertical="center"/>
    </xf>
    <xf numFmtId="0" fontId="10" fillId="8" borderId="0" xfId="0" applyFont="1" applyFill="1" applyProtection="1">
      <alignment vertical="center"/>
      <protection locked="0"/>
    </xf>
    <xf numFmtId="3" fontId="11" fillId="8" borderId="11" xfId="0" applyNumberFormat="1" applyFont="1" applyFill="1" applyBorder="1" applyAlignment="1" applyProtection="1">
      <alignment horizontal="right" wrapText="1"/>
      <protection locked="0"/>
    </xf>
    <xf numFmtId="3" fontId="11" fillId="8" borderId="16" xfId="0" applyNumberFormat="1" applyFont="1" applyFill="1" applyBorder="1" applyAlignment="1" applyProtection="1">
      <alignment horizontal="right" wrapText="1"/>
      <protection locked="0"/>
    </xf>
    <xf numFmtId="3" fontId="11" fillId="0" borderId="0" xfId="0" applyNumberFormat="1" applyFont="1" applyAlignment="1" applyProtection="1">
      <alignment horizontal="right" wrapText="1"/>
      <protection locked="0"/>
    </xf>
    <xf numFmtId="9" fontId="13" fillId="8" borderId="5" xfId="2" applyFont="1" applyFill="1" applyBorder="1" applyAlignment="1" applyProtection="1">
      <alignment horizontal="right" vertical="center"/>
    </xf>
    <xf numFmtId="0" fontId="11" fillId="10" borderId="3" xfId="0" applyFont="1" applyFill="1" applyBorder="1" applyProtection="1">
      <alignment vertical="center"/>
      <protection locked="0"/>
    </xf>
    <xf numFmtId="3" fontId="12" fillId="10" borderId="4" xfId="0" applyNumberFormat="1" applyFont="1" applyFill="1" applyBorder="1" applyAlignment="1">
      <alignment horizontal="right" vertical="center"/>
    </xf>
    <xf numFmtId="3" fontId="12" fillId="10" borderId="0" xfId="0" applyNumberFormat="1" applyFont="1" applyFill="1" applyAlignment="1">
      <alignment horizontal="right" vertical="center"/>
    </xf>
    <xf numFmtId="9" fontId="13" fillId="10" borderId="5" xfId="2" applyFont="1" applyFill="1" applyBorder="1" applyAlignment="1" applyProtection="1">
      <alignment horizontal="right" vertical="center"/>
    </xf>
    <xf numFmtId="0" fontId="11" fillId="11" borderId="12" xfId="0" applyFont="1" applyFill="1" applyBorder="1" applyProtection="1">
      <alignment vertical="center"/>
      <protection locked="0"/>
    </xf>
    <xf numFmtId="3" fontId="11" fillId="11" borderId="13" xfId="0" applyNumberFormat="1" applyFont="1" applyFill="1" applyBorder="1" applyAlignment="1">
      <alignment horizontal="right" vertical="center"/>
    </xf>
    <xf numFmtId="3" fontId="11" fillId="11" borderId="14" xfId="0" applyNumberFormat="1" applyFont="1" applyFill="1" applyBorder="1" applyAlignment="1">
      <alignment horizontal="right" vertical="center"/>
    </xf>
    <xf numFmtId="9" fontId="13" fillId="11" borderId="15" xfId="2" applyFont="1" applyFill="1" applyBorder="1" applyAlignment="1" applyProtection="1">
      <alignment horizontal="right" vertical="center"/>
    </xf>
    <xf numFmtId="0" fontId="11" fillId="0" borderId="0" xfId="0" applyFont="1" applyProtection="1">
      <alignment vertical="center"/>
      <protection locked="0"/>
    </xf>
    <xf numFmtId="3" fontId="10" fillId="8" borderId="0" xfId="0" applyNumberFormat="1" applyFont="1" applyFill="1" applyAlignment="1" applyProtection="1">
      <protection locked="0"/>
    </xf>
    <xf numFmtId="0" fontId="10" fillId="8" borderId="0" xfId="0" applyFont="1" applyFill="1" applyAlignment="1" applyProtection="1">
      <protection locked="0"/>
    </xf>
    <xf numFmtId="0" fontId="14" fillId="8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1" fillId="12" borderId="6" xfId="0" applyFont="1" applyFill="1" applyBorder="1" applyAlignment="1" applyProtection="1">
      <alignment horizontal="center"/>
      <protection locked="0"/>
    </xf>
    <xf numFmtId="0" fontId="11" fillId="12" borderId="21" xfId="0" applyFont="1" applyFill="1" applyBorder="1" applyAlignment="1" applyProtection="1">
      <alignment horizontal="center"/>
      <protection locked="0"/>
    </xf>
    <xf numFmtId="0" fontId="11" fillId="12" borderId="22" xfId="0" applyFont="1" applyFill="1" applyBorder="1" applyAlignment="1" applyProtection="1">
      <alignment horizontal="center"/>
      <protection locked="0"/>
    </xf>
    <xf numFmtId="0" fontId="11" fillId="8" borderId="6" xfId="0" applyFont="1" applyFill="1" applyBorder="1" applyAlignment="1" applyProtection="1">
      <alignment horizontal="center"/>
      <protection locked="0"/>
    </xf>
    <xf numFmtId="0" fontId="11" fillId="8" borderId="21" xfId="0" applyFont="1" applyFill="1" applyBorder="1" applyAlignment="1" applyProtection="1">
      <alignment horizontal="center"/>
      <protection locked="0"/>
    </xf>
    <xf numFmtId="0" fontId="8" fillId="5" borderId="11" xfId="0" applyFont="1" applyFill="1" applyBorder="1" applyAlignment="1" applyProtection="1">
      <alignment horizontal="center"/>
      <protection locked="0"/>
    </xf>
    <xf numFmtId="0" fontId="8" fillId="5" borderId="0" xfId="0" applyFont="1" applyFill="1" applyAlignment="1" applyProtection="1">
      <alignment horizontal="center"/>
      <protection locked="0"/>
    </xf>
    <xf numFmtId="0" fontId="8" fillId="5" borderId="23" xfId="0" applyFont="1" applyFill="1" applyBorder="1" applyAlignment="1" applyProtection="1">
      <alignment horizontal="center"/>
      <protection locked="0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3" fontId="15" fillId="9" borderId="11" xfId="0" applyNumberFormat="1" applyFont="1" applyFill="1" applyBorder="1" applyAlignment="1">
      <alignment horizontal="right" vertical="center"/>
    </xf>
    <xf numFmtId="3" fontId="15" fillId="9" borderId="0" xfId="0" applyNumberFormat="1" applyFont="1" applyFill="1" applyAlignment="1">
      <alignment horizontal="right" vertical="center"/>
    </xf>
    <xf numFmtId="3" fontId="15" fillId="9" borderId="23" xfId="0" applyNumberFormat="1" applyFont="1" applyFill="1" applyBorder="1" applyAlignment="1">
      <alignment horizontal="right" vertical="center"/>
    </xf>
    <xf numFmtId="3" fontId="15" fillId="8" borderId="11" xfId="0" applyNumberFormat="1" applyFont="1" applyFill="1" applyBorder="1" applyAlignment="1">
      <alignment horizontal="right" vertical="center"/>
    </xf>
    <xf numFmtId="3" fontId="15" fillId="8" borderId="0" xfId="0" applyNumberFormat="1" applyFont="1" applyFill="1" applyAlignment="1">
      <alignment horizontal="right" vertical="center"/>
    </xf>
    <xf numFmtId="3" fontId="15" fillId="8" borderId="23" xfId="0" applyNumberFormat="1" applyFont="1" applyFill="1" applyBorder="1" applyAlignment="1">
      <alignment horizontal="right" vertical="center"/>
    </xf>
    <xf numFmtId="3" fontId="15" fillId="8" borderId="16" xfId="0" applyNumberFormat="1" applyFont="1" applyFill="1" applyBorder="1" applyAlignment="1">
      <alignment horizontal="right" vertical="center"/>
    </xf>
    <xf numFmtId="3" fontId="15" fillId="8" borderId="24" xfId="0" applyNumberFormat="1" applyFont="1" applyFill="1" applyBorder="1" applyAlignment="1">
      <alignment horizontal="right" vertical="center"/>
    </xf>
    <xf numFmtId="3" fontId="15" fillId="8" borderId="25" xfId="0" applyNumberFormat="1" applyFont="1" applyFill="1" applyBorder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 applyProtection="1">
      <alignment horizontal="right" vertical="center"/>
      <protection locked="0"/>
    </xf>
    <xf numFmtId="0" fontId="11" fillId="8" borderId="22" xfId="0" applyFont="1" applyFill="1" applyBorder="1" applyAlignment="1" applyProtection="1">
      <alignment horizontal="center"/>
      <protection locked="0"/>
    </xf>
    <xf numFmtId="0" fontId="11" fillId="12" borderId="11" xfId="0" applyFont="1" applyFill="1" applyBorder="1" applyAlignment="1" applyProtection="1">
      <alignment horizontal="center"/>
      <protection locked="0"/>
    </xf>
    <xf numFmtId="3" fontId="0" fillId="0" borderId="0" xfId="0" applyNumberFormat="1">
      <alignment vertical="center"/>
    </xf>
    <xf numFmtId="0" fontId="11" fillId="12" borderId="0" xfId="0" applyFont="1" applyFill="1" applyAlignment="1" applyProtection="1">
      <alignment horizontal="center"/>
      <protection locked="0"/>
    </xf>
    <xf numFmtId="0" fontId="11" fillId="12" borderId="23" xfId="0" applyFont="1" applyFill="1" applyBorder="1" applyAlignment="1" applyProtection="1">
      <alignment horizontal="center"/>
      <protection locked="0"/>
    </xf>
    <xf numFmtId="10" fontId="16" fillId="3" borderId="0" xfId="0" applyNumberFormat="1" applyFont="1" applyFill="1" applyAlignment="1">
      <alignment horizontal="center" vertical="center"/>
    </xf>
    <xf numFmtId="10" fontId="17" fillId="3" borderId="0" xfId="0" applyNumberFormat="1" applyFont="1" applyFill="1" applyAlignment="1">
      <alignment horizontal="center" vertical="center"/>
    </xf>
    <xf numFmtId="169" fontId="17" fillId="3" borderId="0" xfId="0" applyNumberFormat="1" applyFont="1" applyFill="1" applyAlignment="1">
      <alignment horizontal="center" vertical="center"/>
    </xf>
    <xf numFmtId="169" fontId="16" fillId="3" borderId="0" xfId="0" applyNumberFormat="1" applyFont="1" applyFill="1" applyAlignment="1">
      <alignment horizontal="center" vertical="center"/>
    </xf>
    <xf numFmtId="169" fontId="7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6" fontId="1" fillId="0" borderId="0" xfId="1" applyNumberFormat="1" applyAlignment="1" applyProtection="1">
      <alignment vertical="center"/>
    </xf>
    <xf numFmtId="0" fontId="1" fillId="7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0" xfId="3" applyNumberFormat="1" applyFont="1" applyAlignment="1" applyProtection="1">
      <alignment horizontal="center" vertical="center"/>
    </xf>
    <xf numFmtId="0" fontId="1" fillId="7" borderId="0" xfId="0" applyFont="1" applyFill="1" applyAlignment="1">
      <alignment horizontal="center" vertical="center"/>
    </xf>
    <xf numFmtId="166" fontId="1" fillId="7" borderId="0" xfId="1" applyNumberFormat="1" applyFill="1" applyAlignment="1" applyProtection="1">
      <alignment vertical="center"/>
    </xf>
    <xf numFmtId="0" fontId="4" fillId="0" borderId="0" xfId="1" applyNumberFormat="1" applyFont="1" applyAlignment="1" applyProtection="1">
      <alignment horizontal="center" vertical="center"/>
    </xf>
    <xf numFmtId="165" fontId="4" fillId="0" borderId="0" xfId="1" applyNumberFormat="1" applyFont="1" applyAlignment="1" applyProtection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66" fontId="23" fillId="16" borderId="0" xfId="1" applyNumberFormat="1" applyFont="1" applyFill="1" applyAlignment="1" applyProtection="1">
      <alignment horizontal="center" vertical="center"/>
    </xf>
    <xf numFmtId="166" fontId="23" fillId="0" borderId="0" xfId="1" applyNumberFormat="1" applyFont="1" applyAlignment="1" applyProtection="1">
      <alignment horizontal="center" vertical="center"/>
    </xf>
    <xf numFmtId="166" fontId="4" fillId="0" borderId="0" xfId="1" applyNumberFormat="1" applyFont="1" applyAlignment="1" applyProtection="1">
      <alignment vertical="center"/>
    </xf>
    <xf numFmtId="9" fontId="1" fillId="7" borderId="0" xfId="2" applyFill="1" applyAlignment="1" applyProtection="1">
      <alignment vertical="center"/>
    </xf>
    <xf numFmtId="0" fontId="1" fillId="7" borderId="0" xfId="0" applyFont="1" applyFill="1" applyAlignment="1">
      <alignment horizontal="right" vertical="center"/>
    </xf>
    <xf numFmtId="9" fontId="24" fillId="17" borderId="0" xfId="2" applyFont="1" applyFill="1" applyAlignment="1" applyProtection="1">
      <alignment vertical="center"/>
    </xf>
    <xf numFmtId="170" fontId="4" fillId="0" borderId="0" xfId="1" applyNumberFormat="1" applyFont="1" applyAlignment="1" applyProtection="1">
      <alignment vertical="center"/>
    </xf>
    <xf numFmtId="9" fontId="25" fillId="0" borderId="0" xfId="2" applyFont="1" applyAlignment="1" applyProtection="1">
      <alignment vertical="center"/>
    </xf>
    <xf numFmtId="0" fontId="25" fillId="0" borderId="0" xfId="2" applyNumberFormat="1" applyFont="1" applyAlignment="1" applyProtection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9" fontId="29" fillId="18" borderId="1" xfId="2" applyFont="1" applyFill="1" applyBorder="1" applyAlignment="1" applyProtection="1">
      <alignment horizontal="center" vertical="center"/>
    </xf>
    <xf numFmtId="0" fontId="29" fillId="18" borderId="1" xfId="0" applyFont="1" applyFill="1" applyBorder="1" applyAlignment="1">
      <alignment horizontal="center" vertical="center" wrapText="1"/>
    </xf>
    <xf numFmtId="0" fontId="29" fillId="18" borderId="0" xfId="0" applyFont="1" applyFill="1" applyAlignment="1">
      <alignment horizontal="center" vertical="center" wrapText="1"/>
    </xf>
    <xf numFmtId="0" fontId="3" fillId="19" borderId="0" xfId="0" applyFont="1" applyFill="1">
      <alignment vertical="center"/>
    </xf>
    <xf numFmtId="166" fontId="3" fillId="19" borderId="0" xfId="1" applyNumberFormat="1" applyFont="1" applyFill="1" applyAlignment="1" applyProtection="1">
      <alignment horizontal="right" vertical="center"/>
    </xf>
    <xf numFmtId="0" fontId="3" fillId="14" borderId="0" xfId="0" applyFont="1" applyFill="1" applyAlignment="1">
      <alignment horizontal="left" vertical="center"/>
    </xf>
    <xf numFmtId="166" fontId="3" fillId="14" borderId="0" xfId="1" applyNumberFormat="1" applyFont="1" applyFill="1" applyAlignment="1" applyProtection="1">
      <alignment horizontal="right" vertical="center"/>
    </xf>
    <xf numFmtId="0" fontId="3" fillId="19" borderId="0" xfId="0" applyFont="1" applyFill="1" applyAlignment="1">
      <alignment horizontal="center" vertical="center"/>
    </xf>
    <xf numFmtId="9" fontId="3" fillId="19" borderId="0" xfId="2" applyFont="1" applyFill="1" applyAlignment="1" applyProtection="1">
      <alignment horizontal="right" vertical="center"/>
    </xf>
    <xf numFmtId="169" fontId="3" fillId="19" borderId="0" xfId="0" applyNumberFormat="1" applyFont="1" applyFill="1" applyAlignment="1">
      <alignment horizontal="right" vertical="center"/>
    </xf>
    <xf numFmtId="0" fontId="3" fillId="14" borderId="0" xfId="0" applyFont="1" applyFill="1" applyAlignment="1">
      <alignment horizontal="center" vertical="center"/>
    </xf>
    <xf numFmtId="9" fontId="3" fillId="14" borderId="0" xfId="2" applyFont="1" applyFill="1" applyAlignment="1" applyProtection="1">
      <alignment horizontal="right" vertical="center"/>
    </xf>
    <xf numFmtId="0" fontId="4" fillId="3" borderId="0" xfId="0" applyFont="1" applyFill="1" applyAlignment="1">
      <alignment vertical="center" wrapText="1"/>
    </xf>
    <xf numFmtId="166" fontId="6" fillId="5" borderId="1" xfId="1" applyNumberFormat="1" applyFont="1" applyFill="1" applyBorder="1" applyAlignment="1" applyProtection="1">
      <alignment horizontal="center" vertical="center" wrapText="1"/>
    </xf>
    <xf numFmtId="9" fontId="6" fillId="5" borderId="1" xfId="2" applyFont="1" applyFill="1" applyBorder="1" applyAlignment="1" applyProtection="1">
      <alignment horizontal="center" vertical="center" wrapText="1"/>
    </xf>
    <xf numFmtId="9" fontId="4" fillId="0" borderId="0" xfId="2" applyFont="1" applyAlignment="1" applyProtection="1">
      <alignment vertical="center" wrapText="1"/>
    </xf>
    <xf numFmtId="0" fontId="4" fillId="0" borderId="0" xfId="0" applyFont="1" applyAlignment="1">
      <alignment vertical="center" wrapText="1"/>
    </xf>
    <xf numFmtId="166" fontId="29" fillId="18" borderId="1" xfId="1" applyNumberFormat="1" applyFont="1" applyFill="1" applyBorder="1" applyAlignment="1" applyProtection="1">
      <alignment horizontal="center" vertical="center" wrapText="1"/>
    </xf>
    <xf numFmtId="10" fontId="31" fillId="3" borderId="0" xfId="0" applyNumberFormat="1" applyFont="1" applyFill="1" applyAlignment="1">
      <alignment horizontal="center" vertical="center"/>
    </xf>
    <xf numFmtId="169" fontId="33" fillId="0" borderId="0" xfId="0" applyNumberFormat="1" applyFont="1">
      <alignment vertical="center"/>
    </xf>
    <xf numFmtId="169" fontId="31" fillId="3" borderId="0" xfId="0" applyNumberFormat="1" applyFont="1" applyFill="1" applyAlignment="1">
      <alignment horizontal="center" vertical="center"/>
    </xf>
    <xf numFmtId="0" fontId="33" fillId="0" borderId="0" xfId="0" applyFont="1">
      <alignment vertical="center"/>
    </xf>
    <xf numFmtId="10" fontId="35" fillId="3" borderId="0" xfId="0" applyNumberFormat="1" applyFont="1" applyFill="1" applyAlignment="1">
      <alignment horizontal="center" vertical="center"/>
    </xf>
    <xf numFmtId="169" fontId="35" fillId="3" borderId="0" xfId="0" applyNumberFormat="1" applyFont="1" applyFill="1" applyAlignment="1">
      <alignment horizontal="center" vertical="center"/>
    </xf>
    <xf numFmtId="9" fontId="33" fillId="0" borderId="0" xfId="0" applyNumberFormat="1" applyFont="1">
      <alignment vertical="center"/>
    </xf>
    <xf numFmtId="169" fontId="31" fillId="4" borderId="26" xfId="0" applyNumberFormat="1" applyFont="1" applyFill="1" applyBorder="1" applyAlignment="1">
      <alignment horizontal="center" vertical="center"/>
    </xf>
    <xf numFmtId="169" fontId="31" fillId="6" borderId="26" xfId="0" applyNumberFormat="1" applyFont="1" applyFill="1" applyBorder="1" applyAlignment="1">
      <alignment horizontal="center" vertical="center"/>
    </xf>
    <xf numFmtId="169" fontId="17" fillId="4" borderId="26" xfId="0" applyNumberFormat="1" applyFont="1" applyFill="1" applyBorder="1" applyAlignment="1">
      <alignment horizontal="center" vertical="center"/>
    </xf>
    <xf numFmtId="169" fontId="17" fillId="6" borderId="26" xfId="0" applyNumberFormat="1" applyFont="1" applyFill="1" applyBorder="1" applyAlignment="1">
      <alignment horizontal="center" vertical="center"/>
    </xf>
    <xf numFmtId="169" fontId="16" fillId="4" borderId="28" xfId="0" applyNumberFormat="1" applyFont="1" applyFill="1" applyBorder="1" applyAlignment="1">
      <alignment horizontal="center" vertical="center"/>
    </xf>
    <xf numFmtId="169" fontId="16" fillId="6" borderId="28" xfId="0" applyNumberFormat="1" applyFont="1" applyFill="1" applyBorder="1" applyAlignment="1">
      <alignment horizontal="center" vertical="center"/>
    </xf>
    <xf numFmtId="169" fontId="17" fillId="14" borderId="26" xfId="0" applyNumberFormat="1" applyFont="1" applyFill="1" applyBorder="1" applyAlignment="1">
      <alignment horizontal="center" vertical="center"/>
    </xf>
    <xf numFmtId="169" fontId="31" fillId="4" borderId="34" xfId="0" applyNumberFormat="1" applyFont="1" applyFill="1" applyBorder="1" applyAlignment="1">
      <alignment horizontal="center" vertical="center"/>
    </xf>
    <xf numFmtId="169" fontId="17" fillId="4" borderId="34" xfId="0" applyNumberFormat="1" applyFont="1" applyFill="1" applyBorder="1" applyAlignment="1">
      <alignment horizontal="center" vertical="center"/>
    </xf>
    <xf numFmtId="169" fontId="16" fillId="4" borderId="36" xfId="0" applyNumberFormat="1" applyFont="1" applyFill="1" applyBorder="1" applyAlignment="1">
      <alignment horizontal="center" vertical="center"/>
    </xf>
    <xf numFmtId="169" fontId="22" fillId="5" borderId="32" xfId="0" applyNumberFormat="1" applyFont="1" applyFill="1" applyBorder="1" applyAlignment="1">
      <alignment horizontal="center" vertical="center"/>
    </xf>
    <xf numFmtId="169" fontId="31" fillId="6" borderId="33" xfId="0" applyNumberFormat="1" applyFont="1" applyFill="1" applyBorder="1" applyAlignment="1">
      <alignment horizontal="center" vertical="center"/>
    </xf>
    <xf numFmtId="169" fontId="32" fillId="5" borderId="34" xfId="0" applyNumberFormat="1" applyFont="1" applyFill="1" applyBorder="1" applyAlignment="1">
      <alignment horizontal="center" vertical="center"/>
    </xf>
    <xf numFmtId="169" fontId="17" fillId="6" borderId="33" xfId="0" applyNumberFormat="1" applyFont="1" applyFill="1" applyBorder="1" applyAlignment="1">
      <alignment horizontal="center" vertical="center"/>
    </xf>
    <xf numFmtId="169" fontId="22" fillId="5" borderId="34" xfId="0" applyNumberFormat="1" applyFont="1" applyFill="1" applyBorder="1" applyAlignment="1">
      <alignment horizontal="center" vertical="center"/>
    </xf>
    <xf numFmtId="169" fontId="16" fillId="6" borderId="35" xfId="0" applyNumberFormat="1" applyFont="1" applyFill="1" applyBorder="1" applyAlignment="1">
      <alignment horizontal="center" vertical="center"/>
    </xf>
    <xf numFmtId="169" fontId="22" fillId="5" borderId="36" xfId="0" applyNumberFormat="1" applyFont="1" applyFill="1" applyBorder="1" applyAlignment="1">
      <alignment horizontal="center" vertical="center"/>
    </xf>
    <xf numFmtId="169" fontId="17" fillId="10" borderId="33" xfId="0" applyNumberFormat="1" applyFont="1" applyFill="1" applyBorder="1" applyAlignment="1">
      <alignment horizontal="center" vertical="center"/>
    </xf>
    <xf numFmtId="169" fontId="21" fillId="3" borderId="33" xfId="0" applyNumberFormat="1" applyFont="1" applyFill="1" applyBorder="1" applyAlignment="1">
      <alignment horizontal="center" vertical="center"/>
    </xf>
    <xf numFmtId="169" fontId="17" fillId="3" borderId="33" xfId="0" applyNumberFormat="1" applyFont="1" applyFill="1" applyBorder="1" applyAlignment="1">
      <alignment horizontal="center" vertical="center"/>
    </xf>
    <xf numFmtId="169" fontId="16" fillId="3" borderId="35" xfId="0" applyNumberFormat="1" applyFont="1" applyFill="1" applyBorder="1" applyAlignment="1">
      <alignment horizontal="center" vertical="center"/>
    </xf>
    <xf numFmtId="169" fontId="17" fillId="14" borderId="34" xfId="0" applyNumberFormat="1" applyFont="1" applyFill="1" applyBorder="1" applyAlignment="1">
      <alignment horizontal="center" vertical="center"/>
    </xf>
    <xf numFmtId="169" fontId="17" fillId="3" borderId="0" xfId="0" applyNumberFormat="1" applyFont="1" applyFill="1" applyAlignment="1"/>
    <xf numFmtId="9" fontId="3" fillId="8" borderId="2" xfId="2" applyFont="1" applyFill="1" applyBorder="1" applyAlignment="1" applyProtection="1">
      <alignment horizontal="right" vertical="center"/>
    </xf>
    <xf numFmtId="170" fontId="17" fillId="3" borderId="0" xfId="0" applyNumberFormat="1" applyFont="1" applyFill="1" applyAlignment="1">
      <alignment horizontal="center" vertical="center"/>
    </xf>
    <xf numFmtId="170" fontId="16" fillId="4" borderId="27" xfId="0" applyNumberFormat="1" applyFont="1" applyFill="1" applyBorder="1" applyAlignment="1">
      <alignment horizontal="center" vertical="center"/>
    </xf>
    <xf numFmtId="170" fontId="31" fillId="4" borderId="30" xfId="0" applyNumberFormat="1" applyFont="1" applyFill="1" applyBorder="1" applyAlignment="1">
      <alignment horizontal="center" vertical="center"/>
    </xf>
    <xf numFmtId="170" fontId="31" fillId="4" borderId="26" xfId="0" applyNumberFormat="1" applyFont="1" applyFill="1" applyBorder="1" applyAlignment="1">
      <alignment horizontal="center" vertical="center"/>
    </xf>
    <xf numFmtId="170" fontId="31" fillId="4" borderId="37" xfId="0" applyNumberFormat="1" applyFont="1" applyFill="1" applyBorder="1" applyAlignment="1">
      <alignment horizontal="center" vertical="center"/>
    </xf>
    <xf numFmtId="170" fontId="17" fillId="4" borderId="30" xfId="0" applyNumberFormat="1" applyFont="1" applyFill="1" applyBorder="1" applyAlignment="1">
      <alignment horizontal="center" vertical="center"/>
    </xf>
    <xf numFmtId="170" fontId="17" fillId="4" borderId="26" xfId="0" applyNumberFormat="1" applyFont="1" applyFill="1" applyBorder="1" applyAlignment="1">
      <alignment horizontal="center" vertical="center"/>
    </xf>
    <xf numFmtId="170" fontId="17" fillId="4" borderId="37" xfId="0" applyNumberFormat="1" applyFont="1" applyFill="1" applyBorder="1" applyAlignment="1">
      <alignment horizontal="center" vertical="center"/>
    </xf>
    <xf numFmtId="170" fontId="16" fillId="4" borderId="30" xfId="0" applyNumberFormat="1" applyFont="1" applyFill="1" applyBorder="1" applyAlignment="1">
      <alignment horizontal="center" vertical="center"/>
    </xf>
    <xf numFmtId="170" fontId="16" fillId="4" borderId="26" xfId="0" applyNumberFormat="1" applyFont="1" applyFill="1" applyBorder="1" applyAlignment="1">
      <alignment horizontal="center" vertical="center"/>
    </xf>
    <xf numFmtId="170" fontId="16" fillId="4" borderId="37" xfId="0" applyNumberFormat="1" applyFont="1" applyFill="1" applyBorder="1" applyAlignment="1">
      <alignment horizontal="center" vertical="center"/>
    </xf>
    <xf numFmtId="170" fontId="17" fillId="13" borderId="30" xfId="0" applyNumberFormat="1" applyFont="1" applyFill="1" applyBorder="1" applyAlignment="1">
      <alignment horizontal="center" vertical="center"/>
    </xf>
    <xf numFmtId="170" fontId="17" fillId="3" borderId="0" xfId="0" applyNumberFormat="1" applyFont="1" applyFill="1" applyAlignment="1">
      <alignment horizontal="right" vertical="center"/>
    </xf>
    <xf numFmtId="0" fontId="36" fillId="0" borderId="0" xfId="0" applyFont="1">
      <alignment vertical="center"/>
    </xf>
    <xf numFmtId="9" fontId="36" fillId="0" borderId="0" xfId="0" applyNumberFormat="1" applyFont="1">
      <alignment vertical="center"/>
    </xf>
    <xf numFmtId="10" fontId="21" fillId="3" borderId="4" xfId="0" applyNumberFormat="1" applyFont="1" applyFill="1" applyBorder="1" applyAlignment="1">
      <alignment horizontal="center" vertical="center"/>
    </xf>
    <xf numFmtId="10" fontId="17" fillId="3" borderId="4" xfId="0" applyNumberFormat="1" applyFont="1" applyFill="1" applyBorder="1" applyAlignment="1">
      <alignment horizontal="center" vertical="center"/>
    </xf>
    <xf numFmtId="10" fontId="16" fillId="3" borderId="13" xfId="0" applyNumberFormat="1" applyFont="1" applyFill="1" applyBorder="1" applyAlignment="1">
      <alignment horizontal="center" vertical="center"/>
    </xf>
    <xf numFmtId="169" fontId="31" fillId="6" borderId="30" xfId="0" applyNumberFormat="1" applyFont="1" applyFill="1" applyBorder="1" applyAlignment="1">
      <alignment horizontal="center" vertical="center"/>
    </xf>
    <xf numFmtId="169" fontId="31" fillId="6" borderId="40" xfId="0" applyNumberFormat="1" applyFont="1" applyFill="1" applyBorder="1" applyAlignment="1">
      <alignment horizontal="center" vertical="center"/>
    </xf>
    <xf numFmtId="169" fontId="17" fillId="4" borderId="40" xfId="0" applyNumberFormat="1" applyFont="1" applyFill="1" applyBorder="1" applyAlignment="1">
      <alignment horizontal="center" vertical="center"/>
    </xf>
    <xf numFmtId="169" fontId="17" fillId="4" borderId="42" xfId="0" applyNumberFormat="1" applyFont="1" applyFill="1" applyBorder="1" applyAlignment="1">
      <alignment horizontal="center" vertical="center"/>
    </xf>
    <xf numFmtId="169" fontId="22" fillId="5" borderId="5" xfId="0" applyNumberFormat="1" applyFont="1" applyFill="1" applyBorder="1" applyAlignment="1">
      <alignment horizontal="center" vertical="center"/>
    </xf>
    <xf numFmtId="169" fontId="38" fillId="10" borderId="33" xfId="0" applyNumberFormat="1" applyFont="1" applyFill="1" applyBorder="1" applyAlignment="1">
      <alignment horizontal="center" vertical="center"/>
    </xf>
    <xf numFmtId="169" fontId="38" fillId="6" borderId="26" xfId="0" applyNumberFormat="1" applyFont="1" applyFill="1" applyBorder="1" applyAlignment="1">
      <alignment horizontal="center" vertical="center"/>
    </xf>
    <xf numFmtId="170" fontId="16" fillId="4" borderId="31" xfId="0" applyNumberFormat="1" applyFont="1" applyFill="1" applyBorder="1" applyAlignment="1">
      <alignment horizontal="center" vertical="center"/>
    </xf>
    <xf numFmtId="170" fontId="16" fillId="4" borderId="32" xfId="0" applyNumberFormat="1" applyFont="1" applyFill="1" applyBorder="1" applyAlignment="1">
      <alignment horizontal="center" vertical="center"/>
    </xf>
    <xf numFmtId="170" fontId="17" fillId="4" borderId="42" xfId="0" applyNumberFormat="1" applyFont="1" applyFill="1" applyBorder="1" applyAlignment="1">
      <alignment horizontal="center" vertical="center"/>
    </xf>
    <xf numFmtId="169" fontId="39" fillId="6" borderId="0" xfId="0" applyNumberFormat="1" applyFont="1" applyFill="1" applyAlignment="1">
      <alignment horizontal="center" vertical="center"/>
    </xf>
    <xf numFmtId="10" fontId="17" fillId="8" borderId="0" xfId="0" applyNumberFormat="1" applyFont="1" applyFill="1" applyAlignment="1">
      <alignment horizontal="center" vertical="center"/>
    </xf>
    <xf numFmtId="169" fontId="19" fillId="8" borderId="0" xfId="0" applyNumberFormat="1" applyFont="1" applyFill="1" applyAlignment="1">
      <alignment horizontal="center" vertical="center"/>
    </xf>
    <xf numFmtId="169" fontId="17" fillId="8" borderId="0" xfId="0" applyNumberFormat="1" applyFont="1" applyFill="1" applyAlignment="1"/>
    <xf numFmtId="169" fontId="17" fillId="8" borderId="0" xfId="0" applyNumberFormat="1" applyFont="1" applyFill="1" applyAlignment="1">
      <alignment horizontal="center" vertical="center"/>
    </xf>
    <xf numFmtId="170" fontId="17" fillId="8" borderId="0" xfId="0" applyNumberFormat="1" applyFont="1" applyFill="1" applyAlignment="1">
      <alignment horizontal="center" vertical="center"/>
    </xf>
    <xf numFmtId="169" fontId="16" fillId="8" borderId="0" xfId="0" applyNumberFormat="1" applyFont="1" applyFill="1" applyAlignment="1">
      <alignment horizontal="center" vertical="center"/>
    </xf>
    <xf numFmtId="169" fontId="31" fillId="6" borderId="41" xfId="0" applyNumberFormat="1" applyFont="1" applyFill="1" applyBorder="1" applyAlignment="1">
      <alignment horizontal="center" vertical="center"/>
    </xf>
    <xf numFmtId="10" fontId="40" fillId="3" borderId="0" xfId="0" applyNumberFormat="1" applyFont="1" applyFill="1">
      <alignment vertical="center"/>
    </xf>
    <xf numFmtId="169" fontId="41" fillId="3" borderId="0" xfId="0" applyNumberFormat="1" applyFont="1" applyFill="1" applyAlignment="1"/>
    <xf numFmtId="169" fontId="16" fillId="4" borderId="40" xfId="0" applyNumberFormat="1" applyFont="1" applyFill="1" applyBorder="1" applyAlignment="1">
      <alignment horizontal="center" vertical="center"/>
    </xf>
    <xf numFmtId="10" fontId="16" fillId="14" borderId="13" xfId="0" applyNumberFormat="1" applyFont="1" applyFill="1" applyBorder="1" applyAlignment="1">
      <alignment horizontal="center" vertical="center"/>
    </xf>
    <xf numFmtId="170" fontId="31" fillId="8" borderId="41" xfId="0" applyNumberFormat="1" applyFont="1" applyFill="1" applyBorder="1" applyAlignment="1">
      <alignment horizontal="center" vertical="center"/>
    </xf>
    <xf numFmtId="170" fontId="31" fillId="8" borderId="40" xfId="0" applyNumberFormat="1" applyFont="1" applyFill="1" applyBorder="1" applyAlignment="1">
      <alignment horizontal="center" vertical="center"/>
    </xf>
    <xf numFmtId="170" fontId="31" fillId="8" borderId="42" xfId="0" applyNumberFormat="1" applyFont="1" applyFill="1" applyBorder="1" applyAlignment="1">
      <alignment horizontal="center" vertical="center"/>
    </xf>
    <xf numFmtId="170" fontId="16" fillId="8" borderId="51" xfId="0" applyNumberFormat="1" applyFont="1" applyFill="1" applyBorder="1" applyAlignment="1">
      <alignment horizontal="center" vertical="center"/>
    </xf>
    <xf numFmtId="170" fontId="16" fillId="8" borderId="46" xfId="0" applyNumberFormat="1" applyFont="1" applyFill="1" applyBorder="1" applyAlignment="1">
      <alignment horizontal="center" vertical="center"/>
    </xf>
    <xf numFmtId="170" fontId="16" fillId="8" borderId="47" xfId="0" applyNumberFormat="1" applyFont="1" applyFill="1" applyBorder="1" applyAlignment="1">
      <alignment horizontal="center" vertical="center"/>
    </xf>
    <xf numFmtId="170" fontId="16" fillId="8" borderId="52" xfId="0" applyNumberFormat="1" applyFont="1" applyFill="1" applyBorder="1" applyAlignment="1">
      <alignment horizontal="center" vertical="center"/>
    </xf>
    <xf numFmtId="170" fontId="16" fillId="8" borderId="49" xfId="0" applyNumberFormat="1" applyFont="1" applyFill="1" applyBorder="1" applyAlignment="1">
      <alignment horizontal="center" vertical="center"/>
    </xf>
    <xf numFmtId="170" fontId="16" fillId="8" borderId="50" xfId="0" applyNumberFormat="1" applyFont="1" applyFill="1" applyBorder="1" applyAlignment="1">
      <alignment horizontal="center" vertical="center"/>
    </xf>
    <xf numFmtId="170" fontId="16" fillId="8" borderId="58" xfId="0" applyNumberFormat="1" applyFont="1" applyFill="1" applyBorder="1" applyAlignment="1">
      <alignment horizontal="center" vertical="center"/>
    </xf>
    <xf numFmtId="170" fontId="31" fillId="8" borderId="44" xfId="0" applyNumberFormat="1" applyFont="1" applyFill="1" applyBorder="1" applyAlignment="1">
      <alignment horizontal="center" vertical="center"/>
    </xf>
    <xf numFmtId="169" fontId="17" fillId="4" borderId="61" xfId="0" applyNumberFormat="1" applyFont="1" applyFill="1" applyBorder="1" applyAlignment="1">
      <alignment horizontal="center" vertical="center"/>
    </xf>
    <xf numFmtId="169" fontId="16" fillId="4" borderId="61" xfId="0" applyNumberFormat="1" applyFont="1" applyFill="1" applyBorder="1" applyAlignment="1">
      <alignment horizontal="center" vertical="center"/>
    </xf>
    <xf numFmtId="169" fontId="17" fillId="4" borderId="39" xfId="0" applyNumberFormat="1" applyFont="1" applyFill="1" applyBorder="1" applyAlignment="1">
      <alignment horizontal="center" vertical="center"/>
    </xf>
    <xf numFmtId="169" fontId="17" fillId="4" borderId="43" xfId="0" applyNumberFormat="1" applyFont="1" applyFill="1" applyBorder="1" applyAlignment="1">
      <alignment horizontal="center" vertical="center"/>
    </xf>
    <xf numFmtId="170" fontId="16" fillId="8" borderId="62" xfId="0" applyNumberFormat="1" applyFont="1" applyFill="1" applyBorder="1" applyAlignment="1">
      <alignment horizontal="center" vertical="center"/>
    </xf>
    <xf numFmtId="9" fontId="1" fillId="14" borderId="0" xfId="2" applyFill="1" applyAlignment="1">
      <alignment horizontal="center" vertical="center"/>
      <protection locked="0"/>
    </xf>
    <xf numFmtId="170" fontId="17" fillId="14" borderId="44" xfId="0" applyNumberFormat="1" applyFont="1" applyFill="1" applyBorder="1" applyAlignment="1">
      <alignment horizontal="center" vertical="center"/>
    </xf>
    <xf numFmtId="170" fontId="17" fillId="14" borderId="40" xfId="0" applyNumberFormat="1" applyFont="1" applyFill="1" applyBorder="1" applyAlignment="1">
      <alignment horizontal="center" vertical="center"/>
    </xf>
    <xf numFmtId="170" fontId="16" fillId="8" borderId="64" xfId="0" applyNumberFormat="1" applyFont="1" applyFill="1" applyBorder="1" applyAlignment="1">
      <alignment horizontal="center" vertical="center"/>
    </xf>
    <xf numFmtId="170" fontId="16" fillId="8" borderId="66" xfId="0" applyNumberFormat="1" applyFont="1" applyFill="1" applyBorder="1" applyAlignment="1">
      <alignment horizontal="center" vertical="center"/>
    </xf>
    <xf numFmtId="170" fontId="31" fillId="8" borderId="68" xfId="0" applyNumberFormat="1" applyFont="1" applyFill="1" applyBorder="1" applyAlignment="1">
      <alignment horizontal="center" vertical="center"/>
    </xf>
    <xf numFmtId="10" fontId="21" fillId="8" borderId="4" xfId="0" applyNumberFormat="1" applyFont="1" applyFill="1" applyBorder="1" applyAlignment="1">
      <alignment horizontal="center" vertical="center"/>
    </xf>
    <xf numFmtId="10" fontId="17" fillId="8" borderId="4" xfId="0" applyNumberFormat="1" applyFont="1" applyFill="1" applyBorder="1" applyAlignment="1">
      <alignment horizontal="center" vertical="center"/>
    </xf>
    <xf numFmtId="10" fontId="16" fillId="8" borderId="8" xfId="0" applyNumberFormat="1" applyFont="1" applyFill="1" applyBorder="1" applyAlignment="1">
      <alignment horizontal="center" vertical="center"/>
    </xf>
    <xf numFmtId="9" fontId="1" fillId="14" borderId="14" xfId="2" applyFill="1" applyBorder="1" applyAlignment="1">
      <alignment horizontal="center" vertical="center"/>
      <protection locked="0"/>
    </xf>
    <xf numFmtId="169" fontId="31" fillId="20" borderId="40" xfId="0" applyNumberFormat="1" applyFont="1" applyFill="1" applyBorder="1" applyAlignment="1">
      <alignment horizontal="center" vertical="center"/>
    </xf>
    <xf numFmtId="169" fontId="31" fillId="20" borderId="42" xfId="0" applyNumberFormat="1" applyFont="1" applyFill="1" applyBorder="1" applyAlignment="1">
      <alignment horizontal="center" vertical="center"/>
    </xf>
    <xf numFmtId="170" fontId="31" fillId="20" borderId="63" xfId="0" applyNumberFormat="1" applyFont="1" applyFill="1" applyBorder="1" applyAlignment="1">
      <alignment horizontal="center" vertical="center"/>
    </xf>
    <xf numFmtId="170" fontId="31" fillId="20" borderId="65" xfId="0" applyNumberFormat="1" applyFont="1" applyFill="1" applyBorder="1" applyAlignment="1">
      <alignment horizontal="center" vertical="center"/>
    </xf>
    <xf numFmtId="170" fontId="31" fillId="20" borderId="41" xfId="0" applyNumberFormat="1" applyFont="1" applyFill="1" applyBorder="1" applyAlignment="1">
      <alignment horizontal="center" vertical="center"/>
    </xf>
    <xf numFmtId="170" fontId="31" fillId="20" borderId="40" xfId="0" applyNumberFormat="1" applyFont="1" applyFill="1" applyBorder="1" applyAlignment="1">
      <alignment horizontal="center" vertical="center"/>
    </xf>
    <xf numFmtId="170" fontId="31" fillId="20" borderId="42" xfId="0" applyNumberFormat="1" applyFont="1" applyFill="1" applyBorder="1" applyAlignment="1">
      <alignment horizontal="center" vertical="center"/>
    </xf>
    <xf numFmtId="10" fontId="16" fillId="14" borderId="4" xfId="0" applyNumberFormat="1" applyFont="1" applyFill="1" applyBorder="1" applyAlignment="1">
      <alignment horizontal="center" vertical="center"/>
    </xf>
    <xf numFmtId="169" fontId="31" fillId="20" borderId="26" xfId="0" applyNumberFormat="1" applyFont="1" applyFill="1" applyBorder="1" applyAlignment="1">
      <alignment horizontal="center" vertical="center"/>
    </xf>
    <xf numFmtId="169" fontId="31" fillId="20" borderId="34" xfId="0" applyNumberFormat="1" applyFont="1" applyFill="1" applyBorder="1" applyAlignment="1">
      <alignment horizontal="center" vertical="center"/>
    </xf>
    <xf numFmtId="170" fontId="31" fillId="20" borderId="30" xfId="0" applyNumberFormat="1" applyFont="1" applyFill="1" applyBorder="1" applyAlignment="1">
      <alignment horizontal="center" vertical="center"/>
    </xf>
    <xf numFmtId="170" fontId="31" fillId="20" borderId="26" xfId="0" applyNumberFormat="1" applyFont="1" applyFill="1" applyBorder="1" applyAlignment="1">
      <alignment horizontal="center" vertical="center"/>
    </xf>
    <xf numFmtId="170" fontId="31" fillId="20" borderId="37" xfId="0" applyNumberFormat="1" applyFont="1" applyFill="1" applyBorder="1" applyAlignment="1">
      <alignment horizontal="center" vertical="center"/>
    </xf>
    <xf numFmtId="1" fontId="16" fillId="8" borderId="0" xfId="0" applyNumberFormat="1" applyFont="1" applyFill="1" applyAlignment="1">
      <alignment horizontal="center" vertical="center"/>
    </xf>
    <xf numFmtId="169" fontId="16" fillId="3" borderId="31" xfId="0" applyNumberFormat="1" applyFont="1" applyFill="1" applyBorder="1" applyAlignment="1">
      <alignment horizontal="center" vertical="center"/>
    </xf>
    <xf numFmtId="9" fontId="3" fillId="19" borderId="0" xfId="0" applyNumberFormat="1" applyFont="1" applyFill="1" applyAlignment="1">
      <alignment horizontal="right" vertical="center"/>
    </xf>
    <xf numFmtId="9" fontId="3" fillId="14" borderId="0" xfId="0" applyNumberFormat="1" applyFont="1" applyFill="1" applyAlignment="1">
      <alignment horizontal="right" vertical="center"/>
    </xf>
    <xf numFmtId="10" fontId="42" fillId="3" borderId="0" xfId="0" applyNumberFormat="1" applyFont="1" applyFill="1">
      <alignment vertical="center"/>
    </xf>
    <xf numFmtId="9" fontId="16" fillId="8" borderId="45" xfId="0" applyNumberFormat="1" applyFont="1" applyFill="1" applyBorder="1" applyAlignment="1">
      <alignment horizontal="center" vertical="center"/>
    </xf>
    <xf numFmtId="9" fontId="16" fillId="8" borderId="46" xfId="0" applyNumberFormat="1" applyFont="1" applyFill="1" applyBorder="1" applyAlignment="1">
      <alignment horizontal="center" vertical="center"/>
    </xf>
    <xf numFmtId="9" fontId="16" fillId="8" borderId="47" xfId="0" applyNumberFormat="1" applyFont="1" applyFill="1" applyBorder="1" applyAlignment="1">
      <alignment horizontal="center" vertical="center"/>
    </xf>
    <xf numFmtId="9" fontId="16" fillId="14" borderId="33" xfId="0" applyNumberFormat="1" applyFont="1" applyFill="1" applyBorder="1" applyAlignment="1">
      <alignment horizontal="center" vertical="center"/>
    </xf>
    <xf numFmtId="9" fontId="16" fillId="14" borderId="0" xfId="0" applyNumberFormat="1" applyFont="1" applyFill="1" applyAlignment="1">
      <alignment horizontal="center" vertical="center"/>
    </xf>
    <xf numFmtId="9" fontId="42" fillId="14" borderId="5" xfId="0" applyNumberFormat="1" applyFont="1" applyFill="1" applyBorder="1" applyAlignment="1">
      <alignment horizontal="center" vertical="center"/>
    </xf>
    <xf numFmtId="9" fontId="22" fillId="5" borderId="47" xfId="0" applyNumberFormat="1" applyFont="1" applyFill="1" applyBorder="1" applyAlignment="1">
      <alignment horizontal="center" vertical="center"/>
    </xf>
    <xf numFmtId="9" fontId="22" fillId="5" borderId="50" xfId="0" applyNumberFormat="1" applyFont="1" applyFill="1" applyBorder="1" applyAlignment="1">
      <alignment horizontal="center" vertical="center"/>
    </xf>
    <xf numFmtId="9" fontId="42" fillId="14" borderId="33" xfId="0" applyNumberFormat="1" applyFont="1" applyFill="1" applyBorder="1" applyAlignment="1">
      <alignment horizontal="center" vertical="center"/>
    </xf>
    <xf numFmtId="9" fontId="42" fillId="14" borderId="0" xfId="0" applyNumberFormat="1" applyFont="1" applyFill="1" applyAlignment="1">
      <alignment horizontal="center" vertical="center"/>
    </xf>
    <xf numFmtId="9" fontId="3" fillId="0" borderId="2" xfId="1" applyNumberFormat="1" applyFont="1" applyBorder="1" applyAlignment="1" applyProtection="1">
      <alignment vertical="center"/>
    </xf>
    <xf numFmtId="9" fontId="16" fillId="8" borderId="48" xfId="0" applyNumberFormat="1" applyFont="1" applyFill="1" applyBorder="1" applyAlignment="1">
      <alignment horizontal="center" vertical="center"/>
    </xf>
    <xf numFmtId="9" fontId="16" fillId="8" borderId="49" xfId="0" applyNumberFormat="1" applyFont="1" applyFill="1" applyBorder="1" applyAlignment="1">
      <alignment horizontal="center" vertical="center"/>
    </xf>
    <xf numFmtId="9" fontId="16" fillId="8" borderId="50" xfId="0" applyNumberFormat="1" applyFont="1" applyFill="1" applyBorder="1" applyAlignment="1">
      <alignment horizontal="center" vertical="center"/>
    </xf>
    <xf numFmtId="9" fontId="3" fillId="20" borderId="2" xfId="1" applyNumberFormat="1" applyFont="1" applyFill="1" applyBorder="1" applyAlignment="1" applyProtection="1">
      <alignment vertical="center"/>
    </xf>
    <xf numFmtId="9" fontId="3" fillId="20" borderId="2" xfId="2" applyFont="1" applyFill="1" applyBorder="1" applyAlignment="1" applyProtection="1">
      <alignment horizontal="right" vertical="center"/>
    </xf>
    <xf numFmtId="9" fontId="16" fillId="14" borderId="40" xfId="0" applyNumberFormat="1" applyFont="1" applyFill="1" applyBorder="1" applyAlignment="1">
      <alignment horizontal="center" vertical="center"/>
    </xf>
    <xf numFmtId="9" fontId="16" fillId="14" borderId="49" xfId="0" applyNumberFormat="1" applyFont="1" applyFill="1" applyBorder="1" applyAlignment="1">
      <alignment horizontal="center" vertical="center"/>
    </xf>
    <xf numFmtId="9" fontId="16" fillId="14" borderId="50" xfId="0" applyNumberFormat="1" applyFont="1" applyFill="1" applyBorder="1" applyAlignment="1">
      <alignment horizontal="center" vertical="center"/>
    </xf>
    <xf numFmtId="9" fontId="16" fillId="14" borderId="53" xfId="0" applyNumberFormat="1" applyFont="1" applyFill="1" applyBorder="1" applyAlignment="1">
      <alignment horizontal="center" vertical="center"/>
    </xf>
    <xf numFmtId="9" fontId="16" fillId="14" borderId="54" xfId="0" applyNumberFormat="1" applyFont="1" applyFill="1" applyBorder="1" applyAlignment="1">
      <alignment horizontal="center" vertical="center"/>
    </xf>
    <xf numFmtId="9" fontId="16" fillId="8" borderId="55" xfId="0" applyNumberFormat="1" applyFont="1" applyFill="1" applyBorder="1" applyAlignment="1">
      <alignment horizontal="center" vertical="center"/>
    </xf>
    <xf numFmtId="9" fontId="16" fillId="8" borderId="56" xfId="0" applyNumberFormat="1" applyFont="1" applyFill="1" applyBorder="1" applyAlignment="1">
      <alignment horizontal="center" vertical="center"/>
    </xf>
    <xf numFmtId="9" fontId="16" fillId="8" borderId="57" xfId="0" applyNumberFormat="1" applyFont="1" applyFill="1" applyBorder="1" applyAlignment="1">
      <alignment horizontal="center" vertical="center"/>
    </xf>
    <xf numFmtId="9" fontId="16" fillId="14" borderId="39" xfId="0" applyNumberFormat="1" applyFont="1" applyFill="1" applyBorder="1" applyAlignment="1">
      <alignment horizontal="center" vertical="center"/>
    </xf>
    <xf numFmtId="9" fontId="16" fillId="14" borderId="59" xfId="0" applyNumberFormat="1" applyFont="1" applyFill="1" applyBorder="1" applyAlignment="1">
      <alignment horizontal="center" vertical="center"/>
    </xf>
    <xf numFmtId="9" fontId="16" fillId="14" borderId="60" xfId="0" applyNumberFormat="1" applyFont="1" applyFill="1" applyBorder="1" applyAlignment="1">
      <alignment horizontal="center" vertical="center"/>
    </xf>
    <xf numFmtId="170" fontId="16" fillId="8" borderId="9" xfId="0" applyNumberFormat="1" applyFont="1" applyFill="1" applyBorder="1" applyAlignment="1">
      <alignment horizontal="center" vertical="center"/>
    </xf>
    <xf numFmtId="9" fontId="16" fillId="14" borderId="70" xfId="0" applyNumberFormat="1" applyFont="1" applyFill="1" applyBorder="1" applyAlignment="1">
      <alignment horizontal="center" vertical="center"/>
    </xf>
    <xf numFmtId="9" fontId="22" fillId="5" borderId="71" xfId="0" applyNumberFormat="1" applyFont="1" applyFill="1" applyBorder="1" applyAlignment="1">
      <alignment horizontal="center" vertical="center"/>
    </xf>
    <xf numFmtId="9" fontId="16" fillId="14" borderId="72" xfId="0" applyNumberFormat="1" applyFont="1" applyFill="1" applyBorder="1" applyAlignment="1">
      <alignment horizontal="center" vertical="center"/>
    </xf>
    <xf numFmtId="9" fontId="16" fillId="8" borderId="51" xfId="0" applyNumberFormat="1" applyFont="1" applyFill="1" applyBorder="1" applyAlignment="1">
      <alignment horizontal="center" vertical="center"/>
    </xf>
    <xf numFmtId="9" fontId="16" fillId="8" borderId="52" xfId="0" applyNumberFormat="1" applyFont="1" applyFill="1" applyBorder="1" applyAlignment="1">
      <alignment horizontal="center" vertical="center"/>
    </xf>
    <xf numFmtId="9" fontId="16" fillId="8" borderId="69" xfId="0" applyNumberFormat="1" applyFont="1" applyFill="1" applyBorder="1" applyAlignment="1">
      <alignment horizontal="center" vertical="center"/>
    </xf>
    <xf numFmtId="9" fontId="16" fillId="8" borderId="67" xfId="0" applyNumberFormat="1" applyFont="1" applyFill="1" applyBorder="1" applyAlignment="1">
      <alignment horizontal="center" vertical="center"/>
    </xf>
    <xf numFmtId="9" fontId="30" fillId="14" borderId="0" xfId="0" applyNumberFormat="1" applyFont="1" applyFill="1" applyAlignment="1">
      <alignment horizontal="right" vertical="center"/>
    </xf>
    <xf numFmtId="9" fontId="43" fillId="14" borderId="0" xfId="0" applyNumberFormat="1" applyFont="1" applyFill="1" applyAlignment="1">
      <alignment horizontal="right" vertical="center"/>
    </xf>
    <xf numFmtId="0" fontId="3" fillId="21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center" vertical="center"/>
    </xf>
    <xf numFmtId="166" fontId="3" fillId="21" borderId="0" xfId="1" applyNumberFormat="1" applyFont="1" applyFill="1" applyAlignment="1" applyProtection="1">
      <alignment horizontal="right" vertical="center"/>
    </xf>
    <xf numFmtId="9" fontId="3" fillId="21" borderId="0" xfId="2" applyFont="1" applyFill="1" applyAlignment="1" applyProtection="1">
      <alignment horizontal="right" vertical="center"/>
    </xf>
    <xf numFmtId="9" fontId="3" fillId="21" borderId="0" xfId="0" applyNumberFormat="1" applyFont="1" applyFill="1" applyAlignment="1">
      <alignment horizontal="right" vertical="center"/>
    </xf>
    <xf numFmtId="9" fontId="30" fillId="21" borderId="0" xfId="0" applyNumberFormat="1" applyFont="1" applyFill="1" applyAlignment="1">
      <alignment horizontal="right" vertical="center"/>
    </xf>
    <xf numFmtId="0" fontId="3" fillId="21" borderId="2" xfId="0" applyFont="1" applyFill="1" applyBorder="1" applyAlignment="1">
      <alignment horizontal="center" vertical="center"/>
    </xf>
    <xf numFmtId="166" fontId="3" fillId="21" borderId="2" xfId="1" applyNumberFormat="1" applyFont="1" applyFill="1" applyBorder="1" applyAlignment="1" applyProtection="1">
      <alignment vertical="center"/>
    </xf>
    <xf numFmtId="9" fontId="3" fillId="21" borderId="2" xfId="2" applyFont="1" applyFill="1" applyBorder="1" applyAlignment="1" applyProtection="1">
      <alignment horizontal="right" vertical="center"/>
    </xf>
    <xf numFmtId="9" fontId="3" fillId="21" borderId="2" xfId="1" applyNumberFormat="1" applyFont="1" applyFill="1" applyBorder="1" applyAlignment="1" applyProtection="1">
      <alignment vertical="center"/>
    </xf>
    <xf numFmtId="0" fontId="26" fillId="0" borderId="0" xfId="0" applyFont="1">
      <alignment vertical="center"/>
    </xf>
    <xf numFmtId="9" fontId="1" fillId="0" borderId="0" xfId="2" applyAlignment="1">
      <alignment horizontal="center" vertical="top"/>
      <protection locked="0"/>
    </xf>
    <xf numFmtId="14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3" fillId="6" borderId="0" xfId="1" applyNumberFormat="1" applyFont="1" applyFill="1" applyAlignment="1" applyProtection="1">
      <alignment vertical="center"/>
    </xf>
    <xf numFmtId="14" fontId="4" fillId="0" borderId="2" xfId="0" applyNumberFormat="1" applyFont="1" applyBorder="1" applyAlignment="1">
      <alignment horizontal="center" vertical="center"/>
    </xf>
    <xf numFmtId="14" fontId="3" fillId="0" borderId="0" xfId="1" applyNumberFormat="1" applyFont="1" applyAlignment="1" applyProtection="1">
      <alignment vertical="center"/>
    </xf>
    <xf numFmtId="14" fontId="3" fillId="6" borderId="0" xfId="1" applyNumberFormat="1" applyFont="1" applyFill="1" applyAlignment="1" applyProtection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3" fillId="0" borderId="0" xfId="1" applyNumberFormat="1" applyFont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169" fontId="16" fillId="4" borderId="38" xfId="0" applyNumberFormat="1" applyFont="1" applyFill="1" applyBorder="1" applyAlignment="1">
      <alignment horizontal="center" vertical="center"/>
    </xf>
    <xf numFmtId="169" fontId="16" fillId="4" borderId="9" xfId="0" applyNumberFormat="1" applyFont="1" applyFill="1" applyBorder="1" applyAlignment="1">
      <alignment horizontal="center" vertical="center"/>
    </xf>
    <xf numFmtId="169" fontId="16" fillId="4" borderId="10" xfId="0" applyNumberFormat="1" applyFont="1" applyFill="1" applyBorder="1" applyAlignment="1">
      <alignment horizontal="center" vertical="center"/>
    </xf>
    <xf numFmtId="169" fontId="16" fillId="6" borderId="8" xfId="0" applyNumberFormat="1" applyFont="1" applyFill="1" applyBorder="1" applyAlignment="1">
      <alignment horizontal="center" vertical="center"/>
    </xf>
    <xf numFmtId="169" fontId="16" fillId="6" borderId="9" xfId="0" applyNumberFormat="1" applyFont="1" applyFill="1" applyBorder="1" applyAlignment="1">
      <alignment horizontal="center" vertical="center"/>
    </xf>
    <xf numFmtId="169" fontId="16" fillId="6" borderId="29" xfId="0" applyNumberFormat="1" applyFont="1" applyFill="1" applyBorder="1" applyAlignment="1">
      <alignment horizontal="center" vertical="center"/>
    </xf>
    <xf numFmtId="10" fontId="18" fillId="3" borderId="0" xfId="0" applyNumberFormat="1" applyFont="1" applyFill="1" applyAlignment="1">
      <alignment horizontal="center" vertical="center"/>
    </xf>
    <xf numFmtId="169" fontId="19" fillId="3" borderId="0" xfId="0" applyNumberFormat="1" applyFont="1" applyFill="1" applyAlignment="1">
      <alignment horizontal="center" vertical="center"/>
    </xf>
    <xf numFmtId="169" fontId="17" fillId="3" borderId="0" xfId="0" applyNumberFormat="1" applyFont="1" applyFill="1" applyAlignment="1">
      <alignment horizontal="center" vertical="center"/>
    </xf>
    <xf numFmtId="10" fontId="20" fillId="8" borderId="31" xfId="0" applyNumberFormat="1" applyFont="1" applyFill="1" applyBorder="1" applyAlignment="1">
      <alignment horizontal="center" vertical="center"/>
    </xf>
    <xf numFmtId="10" fontId="20" fillId="8" borderId="4" xfId="0" applyNumberFormat="1" applyFont="1" applyFill="1" applyBorder="1" applyAlignment="1">
      <alignment horizontal="center" vertical="center"/>
    </xf>
    <xf numFmtId="10" fontId="20" fillId="3" borderId="31" xfId="0" applyNumberFormat="1" applyFont="1" applyFill="1" applyBorder="1" applyAlignment="1">
      <alignment horizontal="center" vertical="center" wrapText="1"/>
    </xf>
    <xf numFmtId="10" fontId="20" fillId="3" borderId="33" xfId="0" applyNumberFormat="1" applyFont="1" applyFill="1" applyBorder="1" applyAlignment="1">
      <alignment horizontal="center" vertical="center"/>
    </xf>
    <xf numFmtId="169" fontId="20" fillId="3" borderId="31" xfId="0" applyNumberFormat="1" applyFont="1" applyFill="1" applyBorder="1" applyAlignment="1">
      <alignment horizontal="center" vertical="center"/>
    </xf>
    <xf numFmtId="169" fontId="20" fillId="3" borderId="33" xfId="0" applyNumberFormat="1" applyFont="1" applyFill="1" applyBorder="1" applyAlignment="1">
      <alignment horizontal="center" vertical="center"/>
    </xf>
    <xf numFmtId="169" fontId="20" fillId="3" borderId="31" xfId="0" applyNumberFormat="1" applyFont="1" applyFill="1" applyBorder="1" applyAlignment="1">
      <alignment horizontal="center" vertical="center" wrapText="1"/>
    </xf>
    <xf numFmtId="169" fontId="16" fillId="20" borderId="27" xfId="0" applyNumberFormat="1" applyFont="1" applyFill="1" applyBorder="1" applyAlignment="1">
      <alignment horizontal="center" vertical="center"/>
    </xf>
    <xf numFmtId="169" fontId="16" fillId="20" borderId="32" xfId="0" applyNumberFormat="1" applyFont="1" applyFill="1" applyBorder="1" applyAlignment="1">
      <alignment horizontal="center" vertical="center"/>
    </xf>
    <xf numFmtId="169" fontId="16" fillId="6" borderId="27" xfId="0" applyNumberFormat="1" applyFont="1" applyFill="1" applyBorder="1" applyAlignment="1">
      <alignment horizontal="center" vertical="center"/>
    </xf>
    <xf numFmtId="170" fontId="31" fillId="20" borderId="8" xfId="0" applyNumberFormat="1" applyFont="1" applyFill="1" applyBorder="1" applyAlignment="1">
      <alignment horizontal="center" vertical="center"/>
    </xf>
    <xf numFmtId="170" fontId="31" fillId="20" borderId="9" xfId="0" applyNumberFormat="1" applyFont="1" applyFill="1" applyBorder="1" applyAlignment="1">
      <alignment horizontal="center" vertical="center"/>
    </xf>
    <xf numFmtId="170" fontId="31" fillId="20" borderId="10" xfId="0" applyNumberFormat="1" applyFont="1" applyFill="1" applyBorder="1" applyAlignment="1">
      <alignment horizontal="center" vertical="center"/>
    </xf>
    <xf numFmtId="169" fontId="16" fillId="3" borderId="0" xfId="0" applyNumberFormat="1" applyFont="1" applyFill="1" applyAlignment="1">
      <alignment horizontal="left" vertical="center"/>
    </xf>
    <xf numFmtId="169" fontId="16" fillId="6" borderId="31" xfId="0" applyNumberFormat="1" applyFont="1" applyFill="1" applyBorder="1" applyAlignment="1">
      <alignment horizontal="center" vertical="center"/>
    </xf>
    <xf numFmtId="169" fontId="20" fillId="3" borderId="33" xfId="0" applyNumberFormat="1" applyFont="1" applyFill="1" applyBorder="1" applyAlignment="1">
      <alignment horizontal="center" vertical="center" wrapText="1"/>
    </xf>
    <xf numFmtId="169" fontId="16" fillId="4" borderId="27" xfId="0" applyNumberFormat="1" applyFont="1" applyFill="1" applyBorder="1" applyAlignment="1">
      <alignment horizontal="center" vertical="center"/>
    </xf>
    <xf numFmtId="169" fontId="16" fillId="4" borderId="32" xfId="0" applyNumberFormat="1" applyFont="1" applyFill="1" applyBorder="1" applyAlignment="1">
      <alignment horizontal="center" vertical="center"/>
    </xf>
    <xf numFmtId="169" fontId="16" fillId="6" borderId="10" xfId="0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3" xfId="3" xr:uid="{00000000-0005-0000-0000-000031000000}"/>
    <cellStyle name="Percent" xfId="2" builtinId="5"/>
  </cellStyles>
  <dxfs count="29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b val="0"/>
        <i val="0"/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FFFFEB"/>
      <color rgb="FFE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Monthly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00-41D1-A7E5-72C0F60AD17A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0-41D1-A7E5-72C0F60AD17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00-41D1-A7E5-72C0F60AD17A}"/>
              </c:ext>
            </c:extLst>
          </c:dPt>
          <c:cat>
            <c:strRef>
              <c:f>Sheet1!$B$10:$B$12</c:f>
              <c:strCache>
                <c:ptCount val="3"/>
                <c:pt idx="0">
                  <c:v>Gucci</c:v>
                </c:pt>
                <c:pt idx="1">
                  <c:v>Bvlgari</c:v>
                </c:pt>
                <c:pt idx="2">
                  <c:v>Cartier</c:v>
                </c:pt>
              </c:strCache>
            </c:strRef>
          </c:cat>
          <c:val>
            <c:numRef>
              <c:f>Sheet1!$C$10:$C$12</c:f>
              <c:numCache>
                <c:formatCode>#,###,</c:formatCode>
                <c:ptCount val="3"/>
                <c:pt idx="0">
                  <c:v>2994246.7142857099</c:v>
                </c:pt>
                <c:pt idx="1">
                  <c:v>1504989.24905183</c:v>
                </c:pt>
                <c:pt idx="2">
                  <c:v>3783583.2857142901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00-41D1-A7E5-72C0F60AD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622584"/>
        <c:axId val="513622912"/>
      </c:barChart>
      <c:catAx>
        <c:axId val="513622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3622912"/>
        <c:crosses val="autoZero"/>
        <c:auto val="1"/>
        <c:lblAlgn val="ctr"/>
        <c:lblOffset val="100"/>
        <c:noMultiLvlLbl val="0"/>
      </c:catAx>
      <c:valAx>
        <c:axId val="5136229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362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Sheet1!$C$32</c:f>
              <c:strCache>
                <c:ptCount val="1"/>
                <c:pt idx="0">
                  <c:v>Monthly 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Sheet1!$A$33:$B$38</c:f>
              <c:multiLvlStrCache>
                <c:ptCount val="6"/>
                <c:lvl>
                  <c:pt idx="0">
                    <c:v>Dior</c:v>
                  </c:pt>
                  <c:pt idx="1">
                    <c:v>Tiffany</c:v>
                  </c:pt>
                  <c:pt idx="2">
                    <c:v>Gucci</c:v>
                  </c:pt>
                  <c:pt idx="3">
                    <c:v>LV</c:v>
                  </c:pt>
                  <c:pt idx="4">
                    <c:v>Hermes</c:v>
                  </c:pt>
                  <c:pt idx="5">
                    <c:v>Cartier</c:v>
                  </c:pt>
                </c:lvl>
                <c:lvl>
                  <c:pt idx="0">
                    <c:v>6</c:v>
                  </c:pt>
                  <c:pt idx="1">
                    <c:v>5</c:v>
                  </c:pt>
                  <c:pt idx="2">
                    <c:v>4</c:v>
                  </c:pt>
                  <c:pt idx="3">
                    <c:v>3</c:v>
                  </c:pt>
                  <c:pt idx="4">
                    <c:v>2</c:v>
                  </c:pt>
                  <c:pt idx="5">
                    <c:v>1</c:v>
                  </c:pt>
                </c:lvl>
              </c:multiLvlStrCache>
            </c:multiLvlStrRef>
          </c:cat>
          <c:val>
            <c:numRef>
              <c:f>Sheet1!$C$33:$C$38</c:f>
              <c:numCache>
                <c:formatCode>#,###,</c:formatCode>
                <c:ptCount val="6"/>
                <c:pt idx="0">
                  <c:v>1800000</c:v>
                </c:pt>
                <c:pt idx="1">
                  <c:v>1160000</c:v>
                </c:pt>
                <c:pt idx="2">
                  <c:v>1347367.25663717</c:v>
                </c:pt>
                <c:pt idx="3">
                  <c:v>8907500</c:v>
                </c:pt>
                <c:pt idx="4">
                  <c:v>9266666.6666666698</c:v>
                </c:pt>
                <c:pt idx="5">
                  <c:v>3626743.6666666698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5-46CC-B622-0F7519043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628160"/>
        <c:axId val="513627176"/>
      </c:barChart>
      <c:catAx>
        <c:axId val="513628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3627176"/>
        <c:crosses val="autoZero"/>
        <c:auto val="1"/>
        <c:lblAlgn val="ctr"/>
        <c:lblOffset val="100"/>
        <c:noMultiLvlLbl val="0"/>
      </c:catAx>
      <c:valAx>
        <c:axId val="5136271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362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20</xdr:row>
      <xdr:rowOff>171450</xdr:rowOff>
    </xdr:from>
    <xdr:to>
      <xdr:col>5</xdr:col>
      <xdr:colOff>228220</xdr:colOff>
      <xdr:row>35</xdr:row>
      <xdr:rowOff>142681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3C5E1-4713-FD9D-6143-5F0D2F42C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6838950"/>
          <a:ext cx="3038095" cy="1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189869</xdr:colOff>
      <xdr:row>7</xdr:row>
      <xdr:rowOff>75703</xdr:rowOff>
    </xdr:from>
    <xdr:to>
      <xdr:col>4</xdr:col>
      <xdr:colOff>1111070</xdr:colOff>
      <xdr:row>18</xdr:row>
      <xdr:rowOff>101401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858540</xdr:colOff>
      <xdr:row>31</xdr:row>
      <xdr:rowOff>63202</xdr:rowOff>
    </xdr:from>
    <xdr:to>
      <xdr:col>4</xdr:col>
      <xdr:colOff>887766</xdr:colOff>
      <xdr:row>39</xdr:row>
      <xdr:rowOff>126404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mma's%20work\001%20South%20Work%20(Handover)\3.competitor%20report\Competitor%20Report%20202503(original).xlsx" TargetMode="External"/><Relationship Id="rId1" Type="http://schemas.openxmlformats.org/officeDocument/2006/relationships/externalLinkPath" Target="Competitor%20Report%20202503(orig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wdata-EB"/>
      <sheetName val="South"/>
      <sheetName val="Dashboard "/>
      <sheetName val="weekly"/>
      <sheetName val="CDIFS"/>
      <sheetName val="CDTKL"/>
      <sheetName val="CDSKP"/>
      <sheetName val="GZTKH"/>
      <sheetName val="SZBAY"/>
      <sheetName val="SZLH"/>
      <sheetName val="Sheet1"/>
      <sheetName val="competitor"/>
    </sheetNames>
    <sheetDataSet>
      <sheetData sheetId="0"/>
      <sheetData sheetId="1"/>
      <sheetData sheetId="2"/>
      <sheetData sheetId="3"/>
      <sheetData sheetId="4">
        <row r="11">
          <cell r="D11">
            <v>2942030</v>
          </cell>
          <cell r="E11">
            <v>1452549.9600000004</v>
          </cell>
        </row>
        <row r="12">
          <cell r="D12">
            <v>0</v>
          </cell>
          <cell r="E12">
            <v>0</v>
          </cell>
        </row>
        <row r="13">
          <cell r="D13">
            <v>8920000</v>
          </cell>
          <cell r="E13">
            <v>7660000</v>
          </cell>
        </row>
        <row r="14">
          <cell r="D14">
            <v>1590000</v>
          </cell>
          <cell r="E14">
            <v>0</v>
          </cell>
        </row>
        <row r="15">
          <cell r="D15">
            <v>14501188</v>
          </cell>
          <cell r="E15">
            <v>15056000</v>
          </cell>
        </row>
        <row r="17">
          <cell r="D17">
            <v>1996264.1535000002</v>
          </cell>
          <cell r="E17">
            <v>1272293.8175000001</v>
          </cell>
        </row>
        <row r="18">
          <cell r="D18">
            <v>0</v>
          </cell>
          <cell r="E18">
            <v>0</v>
          </cell>
        </row>
        <row r="19">
          <cell r="D19">
            <v>6425342</v>
          </cell>
          <cell r="E19">
            <v>10000000</v>
          </cell>
        </row>
        <row r="20">
          <cell r="D20">
            <v>1320000</v>
          </cell>
          <cell r="E20">
            <v>0</v>
          </cell>
        </row>
        <row r="21">
          <cell r="D21">
            <v>7830931</v>
          </cell>
          <cell r="E21">
            <v>16226000</v>
          </cell>
        </row>
        <row r="23">
          <cell r="D23">
            <v>958356.63699999999</v>
          </cell>
          <cell r="E23">
            <v>946586.74000000011</v>
          </cell>
        </row>
        <row r="24">
          <cell r="D24">
            <v>0</v>
          </cell>
          <cell r="E24">
            <v>0</v>
          </cell>
        </row>
        <row r="25">
          <cell r="D25">
            <v>4130475</v>
          </cell>
          <cell r="E25">
            <v>6700000</v>
          </cell>
        </row>
        <row r="26">
          <cell r="D26">
            <v>857000</v>
          </cell>
          <cell r="E26">
            <v>0</v>
          </cell>
        </row>
        <row r="27">
          <cell r="D27">
            <v>9029079.9469026551</v>
          </cell>
          <cell r="E27">
            <v>12300000</v>
          </cell>
        </row>
        <row r="29">
          <cell r="E29">
            <v>1370622.9800000004</v>
          </cell>
        </row>
        <row r="30">
          <cell r="E30">
            <v>0</v>
          </cell>
        </row>
        <row r="31">
          <cell r="E31">
            <v>7500000</v>
          </cell>
        </row>
        <row r="32">
          <cell r="E32">
            <v>0</v>
          </cell>
        </row>
        <row r="33">
          <cell r="E33">
            <v>10832000</v>
          </cell>
        </row>
        <row r="35">
          <cell r="E35">
            <v>1087473.50999999</v>
          </cell>
        </row>
        <row r="36">
          <cell r="E36">
            <v>0</v>
          </cell>
        </row>
        <row r="37">
          <cell r="E37">
            <v>7200000</v>
          </cell>
        </row>
        <row r="38">
          <cell r="E38">
            <v>0</v>
          </cell>
        </row>
        <row r="39">
          <cell r="E39">
            <v>18500000</v>
          </cell>
        </row>
        <row r="41">
          <cell r="D41"/>
          <cell r="E41">
            <v>1277523.0070000007</v>
          </cell>
        </row>
        <row r="42">
          <cell r="D42"/>
          <cell r="E42" t="str">
            <v>-</v>
          </cell>
        </row>
        <row r="43">
          <cell r="D43"/>
          <cell r="E43">
            <v>5260000</v>
          </cell>
        </row>
        <row r="44">
          <cell r="D44"/>
          <cell r="E44" t="str">
            <v>-</v>
          </cell>
        </row>
        <row r="45">
          <cell r="D45"/>
          <cell r="E45">
            <v>11600000</v>
          </cell>
        </row>
        <row r="47">
          <cell r="D47"/>
          <cell r="E47">
            <v>562290.70250000001</v>
          </cell>
        </row>
        <row r="48">
          <cell r="D48"/>
          <cell r="E48" t="str">
            <v>-</v>
          </cell>
        </row>
        <row r="49">
          <cell r="D49"/>
          <cell r="E49">
            <v>7000000</v>
          </cell>
        </row>
        <row r="50">
          <cell r="D50"/>
          <cell r="E50" t="str">
            <v>-</v>
          </cell>
        </row>
        <row r="51">
          <cell r="D51"/>
          <cell r="E51">
            <v>11000000</v>
          </cell>
        </row>
        <row r="53">
          <cell r="D53"/>
          <cell r="E53">
            <v>1577706.216</v>
          </cell>
        </row>
        <row r="54">
          <cell r="D54"/>
          <cell r="E54">
            <v>0</v>
          </cell>
        </row>
        <row r="55">
          <cell r="D55"/>
          <cell r="E55">
            <v>7600000</v>
          </cell>
        </row>
        <row r="56">
          <cell r="D56"/>
          <cell r="E56">
            <v>0</v>
          </cell>
        </row>
        <row r="57">
          <cell r="D57"/>
          <cell r="E57">
            <v>15255000</v>
          </cell>
        </row>
        <row r="59">
          <cell r="D59"/>
          <cell r="E59">
            <v>356476.9800000001</v>
          </cell>
        </row>
        <row r="60">
          <cell r="D60"/>
          <cell r="E60" t="str">
            <v>-</v>
          </cell>
        </row>
        <row r="61">
          <cell r="D61"/>
          <cell r="E61">
            <v>4830000</v>
          </cell>
        </row>
        <row r="62">
          <cell r="D62"/>
          <cell r="E62" t="str">
            <v>-</v>
          </cell>
        </row>
        <row r="63">
          <cell r="D63"/>
          <cell r="E63">
            <v>11300000</v>
          </cell>
        </row>
        <row r="65">
          <cell r="D65"/>
          <cell r="E65">
            <v>477774.35150000005</v>
          </cell>
        </row>
        <row r="66">
          <cell r="D66"/>
          <cell r="E66">
            <v>0</v>
          </cell>
        </row>
        <row r="67">
          <cell r="D67"/>
          <cell r="E67">
            <v>5000000</v>
          </cell>
        </row>
        <row r="68">
          <cell r="D68"/>
          <cell r="E68">
            <v>0</v>
          </cell>
        </row>
        <row r="69">
          <cell r="D69"/>
          <cell r="E69">
            <v>14500000</v>
          </cell>
        </row>
        <row r="71">
          <cell r="D71"/>
          <cell r="E71">
            <v>2522972</v>
          </cell>
        </row>
        <row r="72">
          <cell r="D72"/>
          <cell r="E72"/>
        </row>
        <row r="73">
          <cell r="D73"/>
          <cell r="E73">
            <v>6500000</v>
          </cell>
        </row>
        <row r="74">
          <cell r="D74"/>
          <cell r="E74"/>
        </row>
        <row r="75">
          <cell r="D75"/>
          <cell r="E75">
            <v>13500000</v>
          </cell>
        </row>
        <row r="77">
          <cell r="D77"/>
          <cell r="E77">
            <v>1108438.1215000001</v>
          </cell>
        </row>
        <row r="78">
          <cell r="D78"/>
          <cell r="E78">
            <v>0</v>
          </cell>
        </row>
        <row r="79">
          <cell r="D79"/>
          <cell r="E79">
            <v>6000000</v>
          </cell>
        </row>
        <row r="80">
          <cell r="D80"/>
          <cell r="E80">
            <v>1200000</v>
          </cell>
        </row>
        <row r="81">
          <cell r="D81"/>
          <cell r="E81">
            <v>14600000</v>
          </cell>
        </row>
      </sheetData>
      <sheetData sheetId="5">
        <row r="11">
          <cell r="D11">
            <v>842616.37000000023</v>
          </cell>
          <cell r="E11">
            <v>720453.06000000017</v>
          </cell>
        </row>
        <row r="12">
          <cell r="D12">
            <v>16500000</v>
          </cell>
          <cell r="E12">
            <v>10000000</v>
          </cell>
        </row>
        <row r="13">
          <cell r="D13">
            <v>0</v>
          </cell>
          <cell r="E13">
            <v>0</v>
          </cell>
        </row>
        <row r="14">
          <cell r="D14">
            <v>8000000</v>
          </cell>
          <cell r="E14">
            <v>5000000</v>
          </cell>
        </row>
        <row r="15">
          <cell r="D15">
            <v>0</v>
          </cell>
          <cell r="E15">
            <v>0</v>
          </cell>
        </row>
        <row r="17">
          <cell r="D17">
            <v>1465740.7035000001</v>
          </cell>
          <cell r="E17">
            <v>1444337</v>
          </cell>
        </row>
        <row r="18">
          <cell r="D18">
            <v>13700000</v>
          </cell>
          <cell r="E18">
            <v>24000000</v>
          </cell>
        </row>
        <row r="19">
          <cell r="D19">
            <v>0</v>
          </cell>
          <cell r="E19">
            <v>0</v>
          </cell>
        </row>
        <row r="20">
          <cell r="D20">
            <v>7700000</v>
          </cell>
          <cell r="E20">
            <v>6200000</v>
          </cell>
        </row>
        <row r="21">
          <cell r="D21">
            <v>0</v>
          </cell>
          <cell r="E21">
            <v>0</v>
          </cell>
        </row>
        <row r="23">
          <cell r="D23">
            <v>1318995.1335</v>
          </cell>
          <cell r="E23">
            <v>586931.81000000017</v>
          </cell>
        </row>
        <row r="24">
          <cell r="D24">
            <v>11400000</v>
          </cell>
          <cell r="E24">
            <v>16000000</v>
          </cell>
        </row>
        <row r="25">
          <cell r="D25">
            <v>0</v>
          </cell>
          <cell r="E25">
            <v>0</v>
          </cell>
        </row>
        <row r="26">
          <cell r="D26">
            <v>9000000</v>
          </cell>
          <cell r="E26">
            <v>4800000</v>
          </cell>
        </row>
        <row r="27">
          <cell r="D27">
            <v>0</v>
          </cell>
          <cell r="E27">
            <v>0</v>
          </cell>
        </row>
        <row r="29">
          <cell r="E29">
            <v>1869885.87</v>
          </cell>
        </row>
        <row r="30">
          <cell r="E30">
            <v>16500000</v>
          </cell>
        </row>
        <row r="31">
          <cell r="E31">
            <v>0</v>
          </cell>
        </row>
        <row r="32">
          <cell r="E32">
            <v>3100000</v>
          </cell>
        </row>
        <row r="33">
          <cell r="E33">
            <v>0</v>
          </cell>
        </row>
        <row r="35">
          <cell r="E35">
            <v>1361089.44</v>
          </cell>
        </row>
        <row r="36">
          <cell r="E36">
            <v>19000000</v>
          </cell>
        </row>
        <row r="37">
          <cell r="E37">
            <v>0</v>
          </cell>
        </row>
        <row r="38">
          <cell r="E38">
            <v>5260000</v>
          </cell>
        </row>
        <row r="39">
          <cell r="E39">
            <v>0</v>
          </cell>
        </row>
        <row r="41">
          <cell r="D41"/>
          <cell r="E41">
            <v>654196.87549999985</v>
          </cell>
        </row>
        <row r="42">
          <cell r="D42"/>
          <cell r="E42">
            <v>14000000</v>
          </cell>
        </row>
        <row r="43">
          <cell r="D43"/>
          <cell r="E43" t="str">
            <v>-</v>
          </cell>
        </row>
        <row r="44">
          <cell r="D44"/>
          <cell r="E44">
            <v>2700000</v>
          </cell>
        </row>
        <row r="45">
          <cell r="D45"/>
          <cell r="E45" t="str">
            <v>-</v>
          </cell>
        </row>
        <row r="47">
          <cell r="D47"/>
          <cell r="E47">
            <v>1204558.0100000014</v>
          </cell>
        </row>
        <row r="48">
          <cell r="D48"/>
          <cell r="E48">
            <v>13500000</v>
          </cell>
        </row>
        <row r="49">
          <cell r="D49"/>
          <cell r="E49" t="str">
            <v>-</v>
          </cell>
        </row>
        <row r="50">
          <cell r="D50"/>
          <cell r="E50">
            <v>4000000</v>
          </cell>
        </row>
        <row r="51">
          <cell r="D51"/>
          <cell r="E51" t="str">
            <v>-</v>
          </cell>
        </row>
        <row r="53">
          <cell r="D53"/>
          <cell r="E53">
            <v>1643449.5890000002</v>
          </cell>
        </row>
        <row r="54">
          <cell r="D54"/>
          <cell r="E54">
            <v>22000000</v>
          </cell>
        </row>
        <row r="55">
          <cell r="D55"/>
          <cell r="E55">
            <v>0</v>
          </cell>
        </row>
        <row r="56">
          <cell r="D56"/>
          <cell r="E56">
            <v>5000000</v>
          </cell>
        </row>
        <row r="57">
          <cell r="D57"/>
          <cell r="E57">
            <v>0</v>
          </cell>
        </row>
        <row r="59">
          <cell r="D59"/>
          <cell r="E59">
            <v>2222714.1800000002</v>
          </cell>
        </row>
        <row r="60">
          <cell r="D60"/>
          <cell r="E60">
            <v>9200000</v>
          </cell>
        </row>
        <row r="61">
          <cell r="D61"/>
          <cell r="E61" t="str">
            <v>-</v>
          </cell>
        </row>
        <row r="62">
          <cell r="D62"/>
          <cell r="E62">
            <v>4300000</v>
          </cell>
        </row>
        <row r="63">
          <cell r="D63"/>
          <cell r="E63" t="str">
            <v>-</v>
          </cell>
        </row>
        <row r="65">
          <cell r="D65"/>
          <cell r="E65">
            <v>1147246.8755000003</v>
          </cell>
        </row>
        <row r="66">
          <cell r="D66"/>
          <cell r="E66">
            <v>15000000</v>
          </cell>
        </row>
        <row r="67">
          <cell r="D67"/>
          <cell r="E67">
            <v>0</v>
          </cell>
        </row>
        <row r="68">
          <cell r="D68"/>
          <cell r="E68">
            <v>2200000</v>
          </cell>
        </row>
        <row r="69">
          <cell r="D69"/>
          <cell r="E69">
            <v>0</v>
          </cell>
        </row>
        <row r="71">
          <cell r="D71"/>
          <cell r="E71">
            <v>1692328.3185000001</v>
          </cell>
        </row>
        <row r="72">
          <cell r="D72"/>
          <cell r="E72">
            <v>10000000</v>
          </cell>
        </row>
        <row r="73">
          <cell r="D73"/>
          <cell r="E73"/>
        </row>
        <row r="74">
          <cell r="D74"/>
          <cell r="E74">
            <v>1900000</v>
          </cell>
        </row>
        <row r="75">
          <cell r="D75"/>
          <cell r="E75"/>
        </row>
        <row r="77">
          <cell r="D77"/>
          <cell r="E77">
            <v>1194023.8684999999</v>
          </cell>
        </row>
        <row r="78">
          <cell r="D78"/>
          <cell r="E78">
            <v>12350000</v>
          </cell>
        </row>
        <row r="79">
          <cell r="D79"/>
          <cell r="E79">
            <v>0</v>
          </cell>
        </row>
        <row r="80">
          <cell r="D80"/>
          <cell r="E80">
            <v>5500000</v>
          </cell>
        </row>
        <row r="81">
          <cell r="D81"/>
          <cell r="E81">
            <v>0</v>
          </cell>
        </row>
      </sheetData>
      <sheetData sheetId="6">
        <row r="11">
          <cell r="D11">
            <v>1444282</v>
          </cell>
          <cell r="E11">
            <v>1675186</v>
          </cell>
        </row>
        <row r="12">
          <cell r="D12">
            <v>6200000</v>
          </cell>
          <cell r="E12">
            <v>11000000</v>
          </cell>
        </row>
        <row r="13">
          <cell r="D13">
            <v>4900000</v>
          </cell>
          <cell r="E13">
            <v>2530000</v>
          </cell>
        </row>
        <row r="14">
          <cell r="D14">
            <v>2810000</v>
          </cell>
          <cell r="E14">
            <v>4500000</v>
          </cell>
        </row>
        <row r="15">
          <cell r="D15">
            <v>7000000</v>
          </cell>
          <cell r="E15">
            <v>5830000</v>
          </cell>
        </row>
        <row r="17">
          <cell r="D17">
            <v>2028830</v>
          </cell>
          <cell r="E17">
            <v>3735375</v>
          </cell>
        </row>
        <row r="18">
          <cell r="D18">
            <v>6880000</v>
          </cell>
          <cell r="E18">
            <v>11200000</v>
          </cell>
        </row>
        <row r="19">
          <cell r="D19">
            <v>5500000</v>
          </cell>
          <cell r="E19">
            <v>4070000</v>
          </cell>
        </row>
        <row r="20">
          <cell r="D20">
            <v>4050000</v>
          </cell>
          <cell r="E20">
            <v>5200000</v>
          </cell>
        </row>
        <row r="21">
          <cell r="D21">
            <v>8350000</v>
          </cell>
          <cell r="E21">
            <v>8710000</v>
          </cell>
        </row>
        <row r="23">
          <cell r="D23">
            <v>4433095.1810000017</v>
          </cell>
          <cell r="E23">
            <v>963022</v>
          </cell>
        </row>
        <row r="24">
          <cell r="D24">
            <v>6750000</v>
          </cell>
          <cell r="E24">
            <v>16000000</v>
          </cell>
        </row>
        <row r="25">
          <cell r="D25">
            <v>8000000</v>
          </cell>
          <cell r="E25">
            <v>10850000</v>
          </cell>
        </row>
        <row r="26">
          <cell r="D26">
            <v>3300000</v>
          </cell>
          <cell r="E26">
            <v>7600000</v>
          </cell>
        </row>
        <row r="27">
          <cell r="D27">
            <v>7200000</v>
          </cell>
          <cell r="E27">
            <v>10100000</v>
          </cell>
        </row>
        <row r="29">
          <cell r="E29">
            <v>10425585.559999991</v>
          </cell>
        </row>
        <row r="30">
          <cell r="E30">
            <v>10020000</v>
          </cell>
        </row>
        <row r="31">
          <cell r="E31">
            <v>12600000</v>
          </cell>
        </row>
        <row r="32">
          <cell r="E32">
            <v>17180000</v>
          </cell>
        </row>
        <row r="33">
          <cell r="E33">
            <v>9200000</v>
          </cell>
        </row>
        <row r="35">
          <cell r="E35">
            <v>1914077.66</v>
          </cell>
        </row>
        <row r="36">
          <cell r="E36">
            <v>8870000</v>
          </cell>
        </row>
        <row r="37">
          <cell r="E37">
            <v>3510000</v>
          </cell>
        </row>
        <row r="38">
          <cell r="E38">
            <v>3828000</v>
          </cell>
        </row>
        <row r="39">
          <cell r="E39">
            <v>11880000</v>
          </cell>
        </row>
        <row r="41">
          <cell r="D41"/>
          <cell r="E41">
            <v>497076.97399999999</v>
          </cell>
        </row>
        <row r="42">
          <cell r="D42"/>
          <cell r="E42">
            <v>6500000</v>
          </cell>
        </row>
        <row r="43">
          <cell r="D43"/>
          <cell r="E43">
            <v>1800000</v>
          </cell>
        </row>
        <row r="44">
          <cell r="D44"/>
          <cell r="E44">
            <v>4450000</v>
          </cell>
        </row>
        <row r="45">
          <cell r="D45"/>
          <cell r="E45">
            <v>6614000</v>
          </cell>
        </row>
        <row r="47">
          <cell r="D47"/>
          <cell r="E47">
            <v>3312616.3414999992</v>
          </cell>
        </row>
        <row r="48">
          <cell r="D48"/>
          <cell r="E48">
            <v>6300000</v>
          </cell>
        </row>
        <row r="49">
          <cell r="D49"/>
          <cell r="E49">
            <v>5610000</v>
          </cell>
        </row>
        <row r="50">
          <cell r="D50"/>
          <cell r="E50">
            <v>5550000</v>
          </cell>
        </row>
        <row r="51">
          <cell r="D51"/>
          <cell r="E51">
            <v>6000000</v>
          </cell>
        </row>
        <row r="53">
          <cell r="D53"/>
          <cell r="E53">
            <v>4008058.3564999867</v>
          </cell>
        </row>
        <row r="54">
          <cell r="D54"/>
          <cell r="E54">
            <v>8130000</v>
          </cell>
        </row>
        <row r="55">
          <cell r="D55"/>
          <cell r="E55">
            <v>6750000</v>
          </cell>
        </row>
        <row r="56">
          <cell r="D56"/>
          <cell r="E56">
            <v>6430000</v>
          </cell>
        </row>
        <row r="57">
          <cell r="D57"/>
          <cell r="E57">
            <v>6780000</v>
          </cell>
        </row>
        <row r="59">
          <cell r="D59"/>
          <cell r="E59">
            <v>1769000.8400000005</v>
          </cell>
        </row>
        <row r="60">
          <cell r="D60"/>
          <cell r="E60">
            <v>5700000</v>
          </cell>
        </row>
        <row r="61">
          <cell r="D61"/>
          <cell r="E61">
            <v>2040000</v>
          </cell>
        </row>
        <row r="62">
          <cell r="D62"/>
          <cell r="E62">
            <v>3800000</v>
          </cell>
        </row>
        <row r="63">
          <cell r="D63"/>
          <cell r="E63">
            <v>7200000</v>
          </cell>
        </row>
        <row r="65">
          <cell r="D65"/>
          <cell r="E65">
            <v>4119477.4380000029</v>
          </cell>
        </row>
        <row r="66">
          <cell r="D66"/>
          <cell r="E66">
            <v>7200000</v>
          </cell>
        </row>
        <row r="67">
          <cell r="D67"/>
          <cell r="E67">
            <v>2950000</v>
          </cell>
        </row>
        <row r="68">
          <cell r="D68"/>
          <cell r="E68">
            <v>2780000</v>
          </cell>
        </row>
        <row r="69">
          <cell r="D69"/>
          <cell r="E69">
            <v>6380000</v>
          </cell>
        </row>
        <row r="71">
          <cell r="D71"/>
          <cell r="E71">
            <v>5125443.4204999842</v>
          </cell>
        </row>
        <row r="72">
          <cell r="D72"/>
          <cell r="E72">
            <v>7000000</v>
          </cell>
        </row>
        <row r="73">
          <cell r="D73"/>
          <cell r="E73">
            <v>30000000</v>
          </cell>
        </row>
        <row r="74">
          <cell r="D74"/>
          <cell r="E74">
            <v>8500000</v>
          </cell>
        </row>
        <row r="75">
          <cell r="D75"/>
          <cell r="E75">
            <v>8800000</v>
          </cell>
        </row>
        <row r="77">
          <cell r="D77"/>
          <cell r="E77">
            <v>1043125.1940000001</v>
          </cell>
        </row>
        <row r="78">
          <cell r="D78"/>
          <cell r="E78">
            <v>3770000</v>
          </cell>
        </row>
        <row r="79">
          <cell r="D79"/>
          <cell r="E79">
            <v>2880000</v>
          </cell>
        </row>
        <row r="80">
          <cell r="D80"/>
          <cell r="E80">
            <v>3360000</v>
          </cell>
        </row>
        <row r="81">
          <cell r="D81"/>
          <cell r="E81">
            <v>6600000</v>
          </cell>
        </row>
      </sheetData>
      <sheetData sheetId="7">
        <row r="11">
          <cell r="D11">
            <v>1159807.0400000003</v>
          </cell>
          <cell r="E11">
            <v>4558318.4699999969</v>
          </cell>
        </row>
        <row r="12">
          <cell r="D12">
            <v>26200000</v>
          </cell>
          <cell r="E12">
            <v>30200000</v>
          </cell>
        </row>
        <row r="13">
          <cell r="D13">
            <v>13800000</v>
          </cell>
          <cell r="E13">
            <v>9840000</v>
          </cell>
        </row>
        <row r="14">
          <cell r="D14">
            <v>6630000</v>
          </cell>
          <cell r="E14">
            <v>6050000</v>
          </cell>
        </row>
        <row r="15">
          <cell r="D15">
            <v>21000000</v>
          </cell>
          <cell r="E15">
            <v>11400000</v>
          </cell>
        </row>
        <row r="17">
          <cell r="D17">
            <v>1492626.5710000002</v>
          </cell>
          <cell r="E17">
            <v>3125654</v>
          </cell>
        </row>
        <row r="18">
          <cell r="D18">
            <v>17000000</v>
          </cell>
          <cell r="E18">
            <v>22400000</v>
          </cell>
        </row>
        <row r="19">
          <cell r="D19">
            <v>10700000</v>
          </cell>
          <cell r="E19">
            <v>11010000</v>
          </cell>
        </row>
        <row r="20">
          <cell r="D20">
            <v>5965000</v>
          </cell>
          <cell r="E20">
            <v>8060000</v>
          </cell>
        </row>
        <row r="21">
          <cell r="D21">
            <v>13500000</v>
          </cell>
          <cell r="E21">
            <v>12500000</v>
          </cell>
        </row>
        <row r="23">
          <cell r="D23">
            <v>1669225.6200000003</v>
          </cell>
          <cell r="E23">
            <v>2785897.21</v>
          </cell>
        </row>
        <row r="24">
          <cell r="D24">
            <v>22000000</v>
          </cell>
          <cell r="E24">
            <v>24000000</v>
          </cell>
        </row>
        <row r="25">
          <cell r="D25">
            <v>6620000</v>
          </cell>
          <cell r="E25">
            <v>7470000</v>
          </cell>
        </row>
        <row r="26">
          <cell r="D26">
            <v>4250000</v>
          </cell>
          <cell r="E26">
            <v>5160000</v>
          </cell>
        </row>
        <row r="27">
          <cell r="D27">
            <v>12300000</v>
          </cell>
          <cell r="E27">
            <v>10000000</v>
          </cell>
        </row>
        <row r="29">
          <cell r="E29">
            <v>2946169.4699999997</v>
          </cell>
        </row>
        <row r="30">
          <cell r="E30">
            <v>24500000</v>
          </cell>
        </row>
        <row r="31">
          <cell r="E31">
            <v>8700000</v>
          </cell>
        </row>
        <row r="32">
          <cell r="E32">
            <v>5390000</v>
          </cell>
        </row>
        <row r="33">
          <cell r="E33">
            <v>10000000</v>
          </cell>
        </row>
        <row r="35">
          <cell r="E35">
            <v>2661387.1564999977</v>
          </cell>
        </row>
        <row r="36">
          <cell r="E36">
            <v>31000000</v>
          </cell>
        </row>
        <row r="37">
          <cell r="E37">
            <v>13000000</v>
          </cell>
        </row>
        <row r="38">
          <cell r="E38">
            <v>8510000</v>
          </cell>
        </row>
        <row r="39">
          <cell r="E39">
            <v>14500000</v>
          </cell>
        </row>
        <row r="41">
          <cell r="D41"/>
          <cell r="E41">
            <v>4053263.2085000006</v>
          </cell>
        </row>
        <row r="42">
          <cell r="D42"/>
          <cell r="E42">
            <v>15840000</v>
          </cell>
        </row>
        <row r="43">
          <cell r="D43"/>
          <cell r="E43">
            <v>8210000</v>
          </cell>
        </row>
        <row r="44">
          <cell r="D44"/>
          <cell r="E44">
            <v>5550000</v>
          </cell>
        </row>
        <row r="45">
          <cell r="D45"/>
          <cell r="E45">
            <v>10050000</v>
          </cell>
        </row>
        <row r="47">
          <cell r="D47"/>
          <cell r="E47">
            <v>1693530.5340000009</v>
          </cell>
        </row>
        <row r="48">
          <cell r="D48"/>
          <cell r="E48">
            <v>19100000</v>
          </cell>
        </row>
        <row r="49">
          <cell r="D49"/>
          <cell r="E49">
            <v>8200000</v>
          </cell>
        </row>
        <row r="50">
          <cell r="D50"/>
          <cell r="E50">
            <v>4610000</v>
          </cell>
        </row>
        <row r="51">
          <cell r="D51"/>
          <cell r="E51">
            <v>10000000</v>
          </cell>
        </row>
        <row r="53">
          <cell r="D53"/>
          <cell r="E53">
            <v>3325983.6705000009</v>
          </cell>
        </row>
        <row r="54">
          <cell r="D54"/>
          <cell r="E54">
            <v>28900000</v>
          </cell>
        </row>
        <row r="55">
          <cell r="D55"/>
          <cell r="E55">
            <v>9650000</v>
          </cell>
        </row>
        <row r="56">
          <cell r="D56"/>
          <cell r="E56">
            <v>6900000</v>
          </cell>
        </row>
        <row r="57">
          <cell r="D57"/>
          <cell r="E57">
            <v>13400000</v>
          </cell>
        </row>
        <row r="59">
          <cell r="D59"/>
          <cell r="E59">
            <v>1383889.3600000006</v>
          </cell>
        </row>
        <row r="60">
          <cell r="D60"/>
          <cell r="E60">
            <v>17100000</v>
          </cell>
        </row>
        <row r="61">
          <cell r="D61"/>
          <cell r="E61">
            <v>6660000</v>
          </cell>
        </row>
        <row r="62">
          <cell r="D62"/>
          <cell r="E62">
            <v>5950000</v>
          </cell>
        </row>
        <row r="63">
          <cell r="D63"/>
          <cell r="E63">
            <v>10000000</v>
          </cell>
        </row>
        <row r="65">
          <cell r="D65"/>
          <cell r="E65">
            <v>1042657.4729999999</v>
          </cell>
        </row>
        <row r="66">
          <cell r="D66"/>
          <cell r="E66">
            <v>24500000</v>
          </cell>
        </row>
        <row r="67">
          <cell r="D67"/>
          <cell r="E67">
            <v>7160000</v>
          </cell>
        </row>
        <row r="68">
          <cell r="D68"/>
          <cell r="E68">
            <v>4520000</v>
          </cell>
        </row>
        <row r="69">
          <cell r="D69"/>
          <cell r="E69">
            <v>13000000</v>
          </cell>
        </row>
        <row r="71">
          <cell r="D71"/>
          <cell r="E71">
            <v>8126224.2945000008</v>
          </cell>
        </row>
        <row r="72">
          <cell r="D72"/>
          <cell r="E72">
            <v>20500000</v>
          </cell>
        </row>
        <row r="73">
          <cell r="D73"/>
          <cell r="E73">
            <v>6500000</v>
          </cell>
        </row>
        <row r="74">
          <cell r="D74"/>
          <cell r="E74">
            <v>4670000</v>
          </cell>
        </row>
        <row r="75">
          <cell r="D75"/>
          <cell r="E75">
            <v>15000000</v>
          </cell>
        </row>
        <row r="77">
          <cell r="D77"/>
          <cell r="E77">
            <v>1473147.3489999999</v>
          </cell>
        </row>
        <row r="78">
          <cell r="D78"/>
          <cell r="E78">
            <v>24600000</v>
          </cell>
        </row>
        <row r="79">
          <cell r="D79"/>
          <cell r="E79">
            <v>11360000</v>
          </cell>
        </row>
        <row r="80">
          <cell r="D80"/>
          <cell r="E80">
            <v>6777000</v>
          </cell>
        </row>
        <row r="81">
          <cell r="D81"/>
          <cell r="E81">
            <v>19000000</v>
          </cell>
        </row>
      </sheetData>
      <sheetData sheetId="8">
        <row r="11">
          <cell r="D11">
            <v>1162626.5400000003</v>
          </cell>
          <cell r="E11">
            <v>2347846</v>
          </cell>
        </row>
        <row r="12">
          <cell r="D12">
            <v>15700000</v>
          </cell>
          <cell r="E12">
            <v>14830000</v>
          </cell>
        </row>
        <row r="13">
          <cell r="D13">
            <v>4800000</v>
          </cell>
          <cell r="E13">
            <v>7970000</v>
          </cell>
        </row>
        <row r="14">
          <cell r="D14">
            <v>4080000</v>
          </cell>
          <cell r="E14">
            <v>5130000</v>
          </cell>
        </row>
        <row r="15">
          <cell r="D15">
            <v>20000000</v>
          </cell>
          <cell r="E15">
            <v>14770000</v>
          </cell>
        </row>
        <row r="17">
          <cell r="D17">
            <v>3673166.399999999</v>
          </cell>
          <cell r="E17">
            <v>1768580.5435000004</v>
          </cell>
        </row>
        <row r="18">
          <cell r="D18">
            <v>17130000</v>
          </cell>
          <cell r="E18">
            <v>15330000</v>
          </cell>
        </row>
        <row r="19">
          <cell r="D19">
            <v>4750000</v>
          </cell>
          <cell r="E19">
            <v>4170000</v>
          </cell>
        </row>
        <row r="20">
          <cell r="D20">
            <v>4080000</v>
          </cell>
          <cell r="E20">
            <v>4900000</v>
          </cell>
        </row>
        <row r="21">
          <cell r="D21">
            <v>17720000</v>
          </cell>
          <cell r="E21">
            <v>17340000</v>
          </cell>
        </row>
        <row r="23">
          <cell r="D23">
            <v>1727785.0025000002</v>
          </cell>
          <cell r="E23">
            <v>2485587.629999999</v>
          </cell>
        </row>
        <row r="24">
          <cell r="D24">
            <v>11800000</v>
          </cell>
          <cell r="E24">
            <v>11770000</v>
          </cell>
        </row>
        <row r="25">
          <cell r="D25">
            <v>3750000</v>
          </cell>
          <cell r="E25">
            <v>4140000</v>
          </cell>
        </row>
        <row r="26">
          <cell r="D26">
            <v>3700000</v>
          </cell>
          <cell r="E26">
            <v>2990000</v>
          </cell>
        </row>
        <row r="27">
          <cell r="D27">
            <v>17840000</v>
          </cell>
          <cell r="E27">
            <v>17070000</v>
          </cell>
        </row>
        <row r="29">
          <cell r="E29">
            <v>1571637.139999999</v>
          </cell>
        </row>
        <row r="30">
          <cell r="E30">
            <v>14786800</v>
          </cell>
        </row>
        <row r="31">
          <cell r="E31">
            <v>3190000</v>
          </cell>
        </row>
        <row r="32">
          <cell r="E32">
            <v>4160000</v>
          </cell>
        </row>
        <row r="33">
          <cell r="E33">
            <v>16020000</v>
          </cell>
        </row>
        <row r="35">
          <cell r="E35">
            <v>2274368.11</v>
          </cell>
        </row>
        <row r="36">
          <cell r="E36">
            <v>16800000</v>
          </cell>
        </row>
        <row r="37">
          <cell r="E37">
            <v>4350000</v>
          </cell>
        </row>
        <row r="38">
          <cell r="E38">
            <v>5140000</v>
          </cell>
        </row>
        <row r="39">
          <cell r="E39">
            <v>26350000</v>
          </cell>
        </row>
        <row r="41">
          <cell r="D41"/>
          <cell r="E41">
            <v>1947784.5235000013</v>
          </cell>
        </row>
        <row r="42">
          <cell r="D42"/>
          <cell r="E42">
            <v>10120000</v>
          </cell>
        </row>
        <row r="43">
          <cell r="D43"/>
          <cell r="E43">
            <v>3210000</v>
          </cell>
        </row>
        <row r="44">
          <cell r="D44"/>
          <cell r="E44">
            <v>4300000</v>
          </cell>
        </row>
        <row r="45">
          <cell r="D45"/>
          <cell r="E45">
            <v>11800000</v>
          </cell>
        </row>
        <row r="47">
          <cell r="D47"/>
          <cell r="E47">
            <v>1695305.2955000005</v>
          </cell>
        </row>
        <row r="48">
          <cell r="D48"/>
          <cell r="E48">
            <v>14000000</v>
          </cell>
        </row>
        <row r="49">
          <cell r="D49"/>
          <cell r="E49">
            <v>4000000</v>
          </cell>
        </row>
        <row r="50">
          <cell r="D50"/>
          <cell r="E50">
            <v>3000000</v>
          </cell>
        </row>
        <row r="51">
          <cell r="D51"/>
          <cell r="E51">
            <v>16370000</v>
          </cell>
        </row>
        <row r="53">
          <cell r="D53"/>
          <cell r="E53">
            <v>3806457.595999998</v>
          </cell>
        </row>
        <row r="54">
          <cell r="D54"/>
          <cell r="E54">
            <v>14800000</v>
          </cell>
        </row>
        <row r="55">
          <cell r="D55"/>
          <cell r="E55">
            <v>4350000</v>
          </cell>
        </row>
        <row r="56">
          <cell r="D56"/>
          <cell r="E56">
            <v>4500000</v>
          </cell>
        </row>
        <row r="57">
          <cell r="D57"/>
          <cell r="E57">
            <v>23900000</v>
          </cell>
        </row>
        <row r="59">
          <cell r="D59"/>
          <cell r="E59">
            <v>2336108.8700000006</v>
          </cell>
        </row>
        <row r="60">
          <cell r="D60"/>
          <cell r="E60">
            <v>11870000</v>
          </cell>
        </row>
        <row r="61">
          <cell r="D61"/>
          <cell r="E61">
            <v>3100000</v>
          </cell>
        </row>
        <row r="62">
          <cell r="D62"/>
          <cell r="E62">
            <v>3500000</v>
          </cell>
        </row>
        <row r="63">
          <cell r="D63"/>
          <cell r="E63">
            <v>19390000</v>
          </cell>
        </row>
        <row r="65">
          <cell r="D65"/>
          <cell r="E65">
            <v>5906511.5225000009</v>
          </cell>
        </row>
        <row r="66">
          <cell r="D66"/>
          <cell r="E66">
            <v>9800000</v>
          </cell>
        </row>
        <row r="67">
          <cell r="D67"/>
          <cell r="E67">
            <v>2900000</v>
          </cell>
        </row>
        <row r="68">
          <cell r="D68"/>
          <cell r="E68">
            <v>3230000</v>
          </cell>
        </row>
        <row r="69">
          <cell r="D69"/>
          <cell r="E69">
            <v>20140000</v>
          </cell>
        </row>
        <row r="71">
          <cell r="D71"/>
          <cell r="E71">
            <v>4869834</v>
          </cell>
        </row>
        <row r="72">
          <cell r="D72"/>
          <cell r="E72">
            <v>13900000</v>
          </cell>
        </row>
        <row r="73">
          <cell r="D73"/>
          <cell r="E73">
            <v>2870000</v>
          </cell>
        </row>
        <row r="74">
          <cell r="D74"/>
          <cell r="E74">
            <v>2880000</v>
          </cell>
        </row>
        <row r="75">
          <cell r="D75"/>
          <cell r="E75">
            <v>21900000</v>
          </cell>
        </row>
        <row r="77">
          <cell r="D77"/>
          <cell r="E77">
            <v>3920960.6160000004</v>
          </cell>
        </row>
        <row r="78">
          <cell r="D78"/>
          <cell r="E78">
            <v>16900000</v>
          </cell>
        </row>
        <row r="79">
          <cell r="D79"/>
          <cell r="E79">
            <v>7140000</v>
          </cell>
        </row>
        <row r="80">
          <cell r="D80"/>
          <cell r="E80">
            <v>5600000</v>
          </cell>
        </row>
        <row r="81">
          <cell r="D81"/>
          <cell r="E81">
            <v>23450000</v>
          </cell>
        </row>
      </sheetData>
      <sheetData sheetId="9">
        <row r="11">
          <cell r="D11">
            <v>2455069.0199999991</v>
          </cell>
          <cell r="E11">
            <v>2732074.709999999</v>
          </cell>
        </row>
        <row r="12">
          <cell r="D12">
            <v>12800000</v>
          </cell>
          <cell r="E12">
            <v>15000000</v>
          </cell>
        </row>
        <row r="13">
          <cell r="D13">
            <v>7000000</v>
          </cell>
          <cell r="E13">
            <v>3200000</v>
          </cell>
        </row>
        <row r="14">
          <cell r="D14">
            <v>3900000</v>
          </cell>
          <cell r="E14">
            <v>4400000</v>
          </cell>
        </row>
        <row r="15">
          <cell r="D15">
            <v>0</v>
          </cell>
          <cell r="E15">
            <v>0</v>
          </cell>
        </row>
        <row r="17">
          <cell r="D17">
            <v>2103602.6754999994</v>
          </cell>
          <cell r="E17">
            <v>857976.12199999997</v>
          </cell>
        </row>
        <row r="18">
          <cell r="D18">
            <v>11700000</v>
          </cell>
          <cell r="E18">
            <v>10700000</v>
          </cell>
        </row>
        <row r="19">
          <cell r="D19">
            <v>5180000</v>
          </cell>
          <cell r="E19">
            <v>2800000</v>
          </cell>
        </row>
        <row r="20">
          <cell r="D20">
            <v>2670000</v>
          </cell>
          <cell r="E20">
            <v>7300000</v>
          </cell>
        </row>
        <row r="21">
          <cell r="D21">
            <v>0</v>
          </cell>
          <cell r="E21">
            <v>0</v>
          </cell>
        </row>
        <row r="23">
          <cell r="D23">
            <v>2082042.5104999996</v>
          </cell>
          <cell r="E23">
            <v>1327360.1599999999</v>
          </cell>
        </row>
        <row r="24">
          <cell r="D24">
            <v>19310000</v>
          </cell>
          <cell r="E24">
            <v>11500000</v>
          </cell>
        </row>
        <row r="25">
          <cell r="D25">
            <v>5360000</v>
          </cell>
          <cell r="E25">
            <v>3300000</v>
          </cell>
        </row>
        <row r="26">
          <cell r="D26">
            <v>8300000</v>
          </cell>
          <cell r="E26">
            <v>4890000</v>
          </cell>
        </row>
        <row r="27">
          <cell r="D27">
            <v>0</v>
          </cell>
          <cell r="E27">
            <v>0</v>
          </cell>
        </row>
        <row r="29">
          <cell r="E29">
            <v>970395.53000000014</v>
          </cell>
        </row>
        <row r="30">
          <cell r="E30">
            <v>9500000</v>
          </cell>
        </row>
        <row r="31">
          <cell r="E31">
            <v>1700000</v>
          </cell>
        </row>
        <row r="32">
          <cell r="E32">
            <v>2840000</v>
          </cell>
        </row>
        <row r="33">
          <cell r="E33">
            <v>0</v>
          </cell>
        </row>
        <row r="35">
          <cell r="E35">
            <v>7479157.0134999957</v>
          </cell>
        </row>
        <row r="36">
          <cell r="E36">
            <v>13150000</v>
          </cell>
        </row>
        <row r="37">
          <cell r="E37">
            <v>3600000</v>
          </cell>
        </row>
        <row r="38">
          <cell r="E38">
            <v>5000000</v>
          </cell>
        </row>
        <row r="39">
          <cell r="E39">
            <v>0</v>
          </cell>
        </row>
        <row r="41">
          <cell r="D41"/>
          <cell r="E41">
            <v>1300802.2060000005</v>
          </cell>
        </row>
        <row r="42">
          <cell r="D42"/>
          <cell r="E42">
            <v>9500000</v>
          </cell>
        </row>
        <row r="43">
          <cell r="D43"/>
          <cell r="E43">
            <v>2950000</v>
          </cell>
        </row>
        <row r="44">
          <cell r="D44"/>
          <cell r="E44">
            <v>5000000</v>
          </cell>
        </row>
        <row r="45">
          <cell r="D45"/>
          <cell r="E45" t="str">
            <v>-</v>
          </cell>
        </row>
        <row r="47">
          <cell r="D47"/>
          <cell r="E47">
            <v>2510320.3654999998</v>
          </cell>
        </row>
        <row r="48">
          <cell r="D48"/>
          <cell r="E48">
            <v>11500000</v>
          </cell>
        </row>
        <row r="49">
          <cell r="D49"/>
          <cell r="E49">
            <v>4000000</v>
          </cell>
        </row>
        <row r="50">
          <cell r="D50"/>
          <cell r="E50">
            <v>3630000</v>
          </cell>
        </row>
        <row r="51">
          <cell r="D51"/>
          <cell r="E51" t="str">
            <v>-</v>
          </cell>
        </row>
        <row r="53">
          <cell r="D53"/>
          <cell r="E53">
            <v>2221158.8205000004</v>
          </cell>
        </row>
        <row r="54">
          <cell r="D54"/>
          <cell r="E54">
            <v>12000000</v>
          </cell>
        </row>
        <row r="55">
          <cell r="D55"/>
          <cell r="E55">
            <v>4220000</v>
          </cell>
        </row>
        <row r="56">
          <cell r="D56"/>
          <cell r="E56">
            <v>23570000</v>
          </cell>
        </row>
        <row r="57">
          <cell r="D57"/>
          <cell r="E57">
            <v>0</v>
          </cell>
        </row>
        <row r="59">
          <cell r="D59"/>
          <cell r="E59">
            <v>2172582.7700000005</v>
          </cell>
        </row>
        <row r="60">
          <cell r="D60"/>
          <cell r="E60">
            <v>8350000</v>
          </cell>
        </row>
        <row r="61">
          <cell r="D61"/>
          <cell r="E61">
            <v>3590000</v>
          </cell>
        </row>
        <row r="62">
          <cell r="D62"/>
          <cell r="E62">
            <v>3200000</v>
          </cell>
        </row>
        <row r="63">
          <cell r="D63"/>
          <cell r="E63" t="str">
            <v>-</v>
          </cell>
        </row>
        <row r="65">
          <cell r="D65"/>
          <cell r="E65">
            <v>2059801.8275000006</v>
          </cell>
        </row>
        <row r="66">
          <cell r="D66"/>
          <cell r="E66">
            <v>8920000</v>
          </cell>
        </row>
        <row r="67">
          <cell r="D67"/>
          <cell r="E67">
            <v>2100000</v>
          </cell>
        </row>
        <row r="68">
          <cell r="D68"/>
          <cell r="E68">
            <v>2580000</v>
          </cell>
        </row>
        <row r="69">
          <cell r="D69"/>
          <cell r="E69">
            <v>0</v>
          </cell>
        </row>
        <row r="71">
          <cell r="D71"/>
          <cell r="E71">
            <v>2078289</v>
          </cell>
        </row>
        <row r="72">
          <cell r="D72"/>
          <cell r="E72">
            <v>10200000</v>
          </cell>
        </row>
        <row r="73">
          <cell r="D73"/>
          <cell r="E73">
            <v>4200000</v>
          </cell>
        </row>
        <row r="74">
          <cell r="D74"/>
          <cell r="E74">
            <v>4700000</v>
          </cell>
        </row>
        <row r="75">
          <cell r="D75"/>
          <cell r="E75"/>
        </row>
        <row r="77">
          <cell r="D77"/>
          <cell r="E77">
            <v>1871735.4005000002</v>
          </cell>
        </row>
        <row r="78">
          <cell r="D78"/>
          <cell r="E78">
            <v>15500000</v>
          </cell>
        </row>
        <row r="79">
          <cell r="D79"/>
          <cell r="E79">
            <v>5950000</v>
          </cell>
        </row>
        <row r="80">
          <cell r="D80"/>
          <cell r="E80">
            <v>5960000</v>
          </cell>
        </row>
        <row r="81">
          <cell r="D81"/>
          <cell r="E81">
            <v>0</v>
          </cell>
        </row>
      </sheetData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natalie.wong1" refreshedDate="44872.651420370399" createdVersion="6" refreshedVersion="6" minRefreshableVersion="3" recordCount="0" xr:uid="{00000000-000A-0000-FFFF-FFFF00000000}">
  <cacheSource type="worksheet">
    <worksheetSource ref="A1" sheet="Rowdata-EB"/>
  </cacheSource>
  <cacheFields count="15">
    <cacheField name="Channel" numFmtId="0">
      <sharedItems containsSemiMixedTypes="0" containsNonDate="0" containsString="0"/>
    </cacheField>
    <cacheField name="Brand" numFmtId="0">
      <sharedItems containsBlank="1" count="10">
        <s v="Cartier"/>
        <s v="Burberry"/>
        <s v="Bvlgari"/>
        <s v="EA"/>
        <s v="Zegna"/>
        <s v="Ferragamo"/>
        <s v="GUCCI"/>
        <s v="Prada"/>
        <m/>
        <s v="Zegna " u="1"/>
      </sharedItems>
    </cacheField>
    <cacheField name="Brand Typ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ity Type" numFmtId="0">
      <sharedItems containsSemiMixedTypes="0" containsNonDate="0" containsString="0"/>
    </cacheField>
    <cacheField name="City" numFmtId="0">
      <sharedItems containsSemiMixedTypes="0" containsNonDate="0" containsString="0"/>
    </cacheField>
    <cacheField name="Code" numFmtId="0">
      <sharedItems containsSemiMixedTypes="0" containsNonDate="0" containsString="0"/>
    </cacheField>
    <cacheField name="Btq/POS Name" numFmtId="0">
      <sharedItems containsSemiMixedTypes="0" containsNonDate="0" containsString="0"/>
    </cacheField>
    <cacheField name="Shopping Mall" numFmtId="0">
      <sharedItems containsSemiMixedTypes="0" containsNonDate="0" containsString="0"/>
    </cacheField>
    <cacheField name="Commercial Area" numFmtId="0">
      <sharedItems containsSemiMixedTypes="0" containsNonDate="0" containsString="0"/>
    </cacheField>
    <cacheField name="Opening Date" numFmtId="0">
      <sharedItems containsSemiMixedTypes="0" containsNonDate="0" containsString="0"/>
    </cacheField>
    <cacheField name="If in the same shopping mall " numFmtId="0">
      <sharedItems containsSemiMixedTypes="0" containsNonDate="0" containsString="0"/>
    </cacheField>
    <cacheField name="Month" numFmtId="0">
      <sharedItems containsSemiMixedTypes="0" containsNonDate="0" containsString="0"/>
    </cacheField>
    <cacheField name="LE23 Sales Value (w/o VAT)" numFmtId="0">
      <sharedItems containsSemiMixedTypes="0" containsNonDate="0" containsString="0"/>
    </cacheField>
    <cacheField name="FY22 Sales Value (w/o VAT)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natalie.wong1" refreshedDate="44872.664943750002" createdVersion="6" refreshedVersion="6" minRefreshableVersion="3" recordCount="0" xr:uid="{00000000-000A-0000-FFFF-FFFF01000000}">
  <cacheSource type="worksheet">
    <worksheetSource ref="A1" sheet="Rowdata-EB"/>
  </cacheSource>
  <cacheFields count="15">
    <cacheField name="Channel" numFmtId="0">
      <sharedItems containsSemiMixedTypes="0" containsNonDate="0" containsString="0"/>
    </cacheField>
    <cacheField name="Brand" numFmtId="0">
      <sharedItems count="9">
        <s v="Cartier"/>
        <s v="EA"/>
        <s v="Gucci"/>
        <s v="Hermes"/>
        <s v="LV"/>
        <s v="Celine"/>
        <s v="Loewe"/>
        <s v="Tiffany"/>
        <s v="Dior"/>
      </sharedItems>
    </cacheField>
    <cacheField name="Brand Typ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ity Type" numFmtId="0">
      <sharedItems containsSemiMixedTypes="0" containsNonDate="0" containsString="0"/>
    </cacheField>
    <cacheField name="City" numFmtId="0">
      <sharedItems containsSemiMixedTypes="0" containsNonDate="0" containsString="0"/>
    </cacheField>
    <cacheField name="Code" numFmtId="0">
      <sharedItems containsSemiMixedTypes="0" containsNonDate="0" containsString="0"/>
    </cacheField>
    <cacheField name="Btq/POS Name" numFmtId="0">
      <sharedItems containsSemiMixedTypes="0" containsNonDate="0" containsString="0"/>
    </cacheField>
    <cacheField name="Shopping Mall" numFmtId="0">
      <sharedItems containsSemiMixedTypes="0" containsNonDate="0" containsString="0"/>
    </cacheField>
    <cacheField name="Commercial Area" numFmtId="0">
      <sharedItems containsSemiMixedTypes="0" containsNonDate="0" containsString="0"/>
    </cacheField>
    <cacheField name="Opening Date" numFmtId="0">
      <sharedItems containsSemiMixedTypes="0" containsNonDate="0" containsString="0"/>
    </cacheField>
    <cacheField name="If in the same shopping mall " numFmtId="0">
      <sharedItems containsSemiMixedTypes="0" containsNonDate="0" containsString="0"/>
    </cacheField>
    <cacheField name="Month" numFmtId="0">
      <sharedItems containsSemiMixedTypes="0" containsNonDate="0" containsString="0"/>
    </cacheField>
    <cacheField name="LE23 Sales Value (w/o VAT)" numFmtId="0">
      <sharedItems containsSemiMixedTypes="0" containsNonDate="0" containsString="0"/>
    </cacheField>
    <cacheField name="FY22 Sales Value (w/o VAT)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3000000}" name="数据透视表13" cacheId="1" applyNumberFormats="0" applyBorderFormats="0" applyFontFormats="0" applyPatternFormats="0" applyAlignmentFormats="0" applyWidthHeightFormats="1" dataCaption="值" updatedVersion="6" minRefreshableVersion="3" useAutoFormatting="1" createdVersion="6" indent="0" outline="1" outlineData="1" multipleFieldFilters="0" rowHeaderCaption="Brand">
  <location ref="B23:E30" firstHeaderRow="0" firstDataRow="1" firstDataCol="1"/>
  <pivotFields count="15">
    <pivotField showAll="0"/>
    <pivotField axis="axisRow" showAll="0">
      <items count="10">
        <item x="0"/>
        <item h="1" x="5"/>
        <item x="3"/>
        <item x="4"/>
        <item x="2"/>
        <item x="7"/>
        <item x="8"/>
        <item h="1"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LE23 Sales Value (w/o VAT)" fld="13" baseField="1" baseItem="0"/>
    <dataField name="求和项:FY22 Sales Value (w/o VAT)" fld="14" baseField="0" baseItem="0"/>
    <dataField name="计数项:LE23 Sales Value (w/o VAT)" fld="1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2000000}" name="数据透视表12" cacheId="0" applyNumberFormats="0" applyBorderFormats="0" applyFontFormats="0" applyPatternFormats="0" applyAlignmentFormats="0" applyWidthHeightFormats="1" dataCaption="值" updatedVersion="6" minRefreshableVersion="3" useAutoFormatting="1" createdVersion="6" indent="0" outline="1" outlineData="1" multipleFieldFilters="0" rowHeaderCaption="Brand">
  <location ref="B3:E7" firstHeaderRow="0" firstDataRow="1" firstDataCol="1"/>
  <pivotFields count="15">
    <pivotField showAll="0"/>
    <pivotField axis="axisRow" showAll="0">
      <items count="11">
        <item h="1" x="1"/>
        <item x="0"/>
        <item x="2"/>
        <item h="1" x="3"/>
        <item h="1" x="5"/>
        <item x="6"/>
        <item h="1" x="7"/>
        <item h="1" x="4"/>
        <item h="1" m="1" x="9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 v="1"/>
    </i>
    <i>
      <x v="2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LE23 Sales Value (w/o VAT)" fld="13" baseField="0" baseItem="0"/>
    <dataField name="求和项:FY22 Sales Value (w/o VAT)" fld="14" baseField="0" baseItem="0"/>
    <dataField name="计数项:LE23 Sales Value (w/o VAT)2" fld="13" subtotal="count" baseField="1" baseItem="7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1" displayName="表1" ref="A1:D1048576" totalsRowShown="0">
  <autoFilter ref="A1:D1048576" xr:uid="{00000000-0009-0000-0100-000002000000}"/>
  <tableColumns count="4">
    <tableColumn id="1" xr3:uid="{00000000-0010-0000-0100-000001000000}" name="BTQ"/>
    <tableColumn id="2" xr3:uid="{00000000-0010-0000-0100-000002000000}" name="列2"/>
    <tableColumn id="3" xr3:uid="{00000000-0010-0000-0100-000003000000}" name="列3"/>
    <tableColumn id="4" xr3:uid="{00000000-0010-0000-0100-000004000000}" name="列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3" displayName="表3" ref="AM1:AS1048576" totalsRowShown="0">
  <autoFilter ref="AM1:AS1048576" xr:uid="{00000000-0009-0000-0100-000003000000}"/>
  <tableColumns count="7">
    <tableColumn id="1" xr3:uid="{00000000-0010-0000-0200-000001000000}" name="Competitor"/>
    <tableColumn id="2" xr3:uid="{00000000-0010-0000-0200-000002000000}" name="CDIFS"/>
    <tableColumn id="3" xr3:uid="{00000000-0010-0000-0200-000003000000}" name="CDTKL"/>
    <tableColumn id="4" xr3:uid="{00000000-0010-0000-0200-000004000000}" name="CDSKP"/>
    <tableColumn id="5" xr3:uid="{00000000-0010-0000-0200-000005000000}" name="GZTKH"/>
    <tableColumn id="6" xr3:uid="{00000000-0010-0000-0200-000006000000}" name="SZBAY"/>
    <tableColumn id="7" xr3:uid="{00000000-0010-0000-0200-000007000000}" name="SZL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workbookViewId="0"/>
  </sheetViews>
  <sheetFormatPr defaultColWidth="10" defaultRowHeight="14" x14ac:dyDescent="0.45"/>
  <cols>
    <col min="1" max="2" width="9.76171875" style="10" customWidth="1"/>
    <col min="3" max="3" width="11.76171875" style="10" customWidth="1"/>
    <col min="4" max="4" width="9.76171875" style="10" customWidth="1"/>
    <col min="5" max="5" width="18.234375" style="10" customWidth="1"/>
    <col min="6" max="8" width="9.76171875" style="10" customWidth="1"/>
    <col min="9" max="9" width="15.05859375" style="10" customWidth="1"/>
    <col min="10" max="12" width="9.76171875" style="10" customWidth="1"/>
    <col min="13" max="13" width="9.76171875" customWidth="1"/>
    <col min="14" max="21" width="12.234375" style="111" customWidth="1"/>
  </cols>
  <sheetData>
    <row r="1" spans="1:22" s="110" customFormat="1" ht="31.45" customHeight="1" x14ac:dyDescent="0.45">
      <c r="A1" s="112" t="s">
        <v>0</v>
      </c>
      <c r="B1" s="112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112" t="s">
        <v>8</v>
      </c>
      <c r="J1" s="112" t="s">
        <v>9</v>
      </c>
      <c r="K1" s="112" t="s">
        <v>10</v>
      </c>
      <c r="L1" s="115" t="s">
        <v>11</v>
      </c>
      <c r="M1" s="112" t="s">
        <v>12</v>
      </c>
      <c r="N1" s="116" t="s">
        <v>13</v>
      </c>
      <c r="O1" s="116" t="s">
        <v>14</v>
      </c>
      <c r="P1" s="116" t="s">
        <v>15</v>
      </c>
      <c r="Q1" s="116" t="s">
        <v>16</v>
      </c>
      <c r="R1" s="124" t="s">
        <v>17</v>
      </c>
      <c r="S1" s="124" t="s">
        <v>18</v>
      </c>
      <c r="T1" s="124" t="s">
        <v>19</v>
      </c>
      <c r="U1" s="125" t="s">
        <v>20</v>
      </c>
      <c r="V1" s="126" t="s">
        <v>21</v>
      </c>
    </row>
    <row r="2" spans="1:22" x14ac:dyDescent="0.45">
      <c r="A2" s="10" t="s">
        <v>22</v>
      </c>
      <c r="B2" s="10" t="s">
        <v>23</v>
      </c>
      <c r="C2" s="10" t="s">
        <v>24</v>
      </c>
      <c r="D2" s="10" t="s">
        <v>22</v>
      </c>
      <c r="E2" s="10" t="s">
        <v>25</v>
      </c>
      <c r="F2" s="10" t="s">
        <v>26</v>
      </c>
      <c r="G2" s="10">
        <v>374870</v>
      </c>
      <c r="H2" s="10" t="s">
        <v>27</v>
      </c>
      <c r="I2" s="10" t="s">
        <v>28</v>
      </c>
      <c r="L2" s="10" t="s">
        <v>29</v>
      </c>
      <c r="M2" t="s">
        <v>30</v>
      </c>
      <c r="N2" s="111">
        <v>575221.23893805302</v>
      </c>
      <c r="O2" s="111">
        <v>2096421.72</v>
      </c>
      <c r="R2" s="111">
        <v>-0.72561759237160905</v>
      </c>
      <c r="S2" s="111">
        <v>0</v>
      </c>
      <c r="T2" s="111">
        <v>0</v>
      </c>
      <c r="U2" s="111">
        <v>0</v>
      </c>
    </row>
    <row r="3" spans="1:22" x14ac:dyDescent="0.45">
      <c r="A3" s="10" t="s">
        <v>22</v>
      </c>
      <c r="B3" s="10" t="s">
        <v>31</v>
      </c>
      <c r="C3" s="10" t="s">
        <v>24</v>
      </c>
      <c r="D3" s="10" t="s">
        <v>22</v>
      </c>
      <c r="E3" s="10" t="s">
        <v>25</v>
      </c>
      <c r="F3" s="10" t="s">
        <v>26</v>
      </c>
      <c r="G3" s="10">
        <v>374870</v>
      </c>
      <c r="H3" s="10" t="s">
        <v>27</v>
      </c>
      <c r="I3" s="10" t="s">
        <v>28</v>
      </c>
      <c r="K3" s="10" t="s">
        <v>32</v>
      </c>
      <c r="L3" s="10" t="s">
        <v>29</v>
      </c>
      <c r="M3" t="s">
        <v>30</v>
      </c>
      <c r="N3" s="111">
        <v>1601769.91150442</v>
      </c>
      <c r="O3" s="111">
        <v>7823580</v>
      </c>
      <c r="R3" s="111">
        <v>-0.79526381637250099</v>
      </c>
      <c r="S3" s="111">
        <v>0</v>
      </c>
      <c r="T3" s="111">
        <v>0</v>
      </c>
      <c r="U3" s="111">
        <v>0</v>
      </c>
    </row>
    <row r="4" spans="1:22" x14ac:dyDescent="0.45">
      <c r="A4" s="10" t="s">
        <v>22</v>
      </c>
      <c r="B4" s="10" t="s">
        <v>33</v>
      </c>
      <c r="C4" s="10" t="s">
        <v>24</v>
      </c>
      <c r="D4" s="10" t="s">
        <v>22</v>
      </c>
      <c r="E4" s="10" t="s">
        <v>25</v>
      </c>
      <c r="F4" s="10" t="s">
        <v>26</v>
      </c>
      <c r="G4" s="10">
        <v>374870</v>
      </c>
      <c r="H4" s="10" t="s">
        <v>27</v>
      </c>
      <c r="I4" s="10" t="s">
        <v>28</v>
      </c>
      <c r="K4" s="10" t="s">
        <v>34</v>
      </c>
      <c r="L4" s="10" t="s">
        <v>29</v>
      </c>
      <c r="M4" t="s">
        <v>30</v>
      </c>
      <c r="N4" s="111">
        <v>1323238.9380530999</v>
      </c>
      <c r="R4" s="111">
        <v>0</v>
      </c>
      <c r="S4" s="111">
        <v>0</v>
      </c>
      <c r="T4" s="111">
        <v>0</v>
      </c>
      <c r="U4" s="111">
        <v>0</v>
      </c>
    </row>
    <row r="5" spans="1:22" x14ac:dyDescent="0.45">
      <c r="A5" s="10" t="s">
        <v>22</v>
      </c>
      <c r="B5" s="10" t="s">
        <v>35</v>
      </c>
      <c r="C5" s="10" t="s">
        <v>36</v>
      </c>
      <c r="D5" s="10" t="s">
        <v>22</v>
      </c>
      <c r="E5" s="10" t="s">
        <v>25</v>
      </c>
      <c r="F5" s="10" t="s">
        <v>26</v>
      </c>
      <c r="G5" s="10">
        <v>374870</v>
      </c>
      <c r="H5" s="10" t="s">
        <v>27</v>
      </c>
      <c r="I5" s="10" t="s">
        <v>28</v>
      </c>
      <c r="J5" s="10">
        <v>120</v>
      </c>
      <c r="K5" s="10" t="s">
        <v>37</v>
      </c>
      <c r="L5" s="10" t="s">
        <v>29</v>
      </c>
      <c r="M5" t="s">
        <v>30</v>
      </c>
      <c r="N5" s="111">
        <v>2526400</v>
      </c>
      <c r="O5" s="111">
        <v>9805433.6283185892</v>
      </c>
      <c r="R5" s="111">
        <v>-0.74234693785457595</v>
      </c>
      <c r="S5" s="111">
        <v>0</v>
      </c>
      <c r="T5" s="111">
        <v>0</v>
      </c>
      <c r="U5" s="111" t="s">
        <v>38</v>
      </c>
    </row>
    <row r="6" spans="1:22" x14ac:dyDescent="0.45">
      <c r="A6" s="10" t="s">
        <v>22</v>
      </c>
      <c r="B6" s="10" t="s">
        <v>39</v>
      </c>
      <c r="C6" s="10" t="s">
        <v>24</v>
      </c>
      <c r="D6" s="10" t="s">
        <v>22</v>
      </c>
      <c r="E6" s="10" t="s">
        <v>25</v>
      </c>
      <c r="F6" s="10" t="s">
        <v>26</v>
      </c>
      <c r="G6" s="10">
        <v>374870</v>
      </c>
      <c r="H6" s="10" t="s">
        <v>27</v>
      </c>
      <c r="I6" s="10" t="s">
        <v>28</v>
      </c>
      <c r="L6" s="10" t="s">
        <v>29</v>
      </c>
      <c r="M6" t="s">
        <v>30</v>
      </c>
      <c r="N6" s="111">
        <v>557522.12389380496</v>
      </c>
      <c r="O6" s="111">
        <v>2239495</v>
      </c>
      <c r="R6" s="111">
        <v>-0.75105006981761302</v>
      </c>
      <c r="S6" s="111">
        <v>0</v>
      </c>
      <c r="T6" s="111">
        <v>0</v>
      </c>
      <c r="U6" s="111">
        <v>0</v>
      </c>
    </row>
    <row r="7" spans="1:22" x14ac:dyDescent="0.45">
      <c r="A7" s="10" t="s">
        <v>22</v>
      </c>
      <c r="B7" s="10" t="s">
        <v>40</v>
      </c>
      <c r="C7" s="10" t="s">
        <v>24</v>
      </c>
      <c r="D7" s="10" t="s">
        <v>22</v>
      </c>
      <c r="E7" s="10" t="s">
        <v>25</v>
      </c>
      <c r="F7" s="10" t="s">
        <v>26</v>
      </c>
      <c r="G7" s="10">
        <v>374870</v>
      </c>
      <c r="H7" s="10" t="s">
        <v>27</v>
      </c>
      <c r="I7" s="10" t="s">
        <v>28</v>
      </c>
      <c r="J7" s="10">
        <v>75</v>
      </c>
      <c r="K7" s="10" t="s">
        <v>37</v>
      </c>
      <c r="L7" s="10" t="s">
        <v>29</v>
      </c>
      <c r="M7" t="s">
        <v>30</v>
      </c>
      <c r="N7" s="111">
        <v>796460.17699115002</v>
      </c>
      <c r="O7" s="111">
        <v>2977238</v>
      </c>
      <c r="R7" s="111">
        <v>-0.73248353776515296</v>
      </c>
      <c r="S7" s="111">
        <v>0</v>
      </c>
      <c r="T7" s="111">
        <v>0</v>
      </c>
      <c r="U7" s="111" t="s">
        <v>38</v>
      </c>
    </row>
    <row r="8" spans="1:22" x14ac:dyDescent="0.45">
      <c r="A8" s="10" t="s">
        <v>22</v>
      </c>
      <c r="B8" s="10" t="s">
        <v>41</v>
      </c>
      <c r="C8" s="10" t="s">
        <v>24</v>
      </c>
      <c r="D8" s="10" t="s">
        <v>22</v>
      </c>
      <c r="E8" s="10" t="s">
        <v>25</v>
      </c>
      <c r="F8" s="10" t="s">
        <v>26</v>
      </c>
      <c r="G8" s="10">
        <v>374870</v>
      </c>
      <c r="H8" s="10" t="s">
        <v>27</v>
      </c>
      <c r="I8" s="10" t="s">
        <v>28</v>
      </c>
      <c r="J8" s="10">
        <v>85</v>
      </c>
      <c r="K8" s="10" t="s">
        <v>37</v>
      </c>
      <c r="L8" s="10" t="s">
        <v>29</v>
      </c>
      <c r="M8" t="s">
        <v>30</v>
      </c>
      <c r="N8" s="111">
        <v>1238938.0530973501</v>
      </c>
      <c r="O8" s="111">
        <v>2476516.5</v>
      </c>
      <c r="R8" s="111">
        <v>-0.49972550027534801</v>
      </c>
      <c r="S8" s="111">
        <v>0</v>
      </c>
      <c r="T8" s="111">
        <v>0</v>
      </c>
      <c r="U8" s="111" t="s">
        <v>38</v>
      </c>
    </row>
    <row r="9" spans="1:22" x14ac:dyDescent="0.45">
      <c r="A9" s="10" t="s">
        <v>22</v>
      </c>
      <c r="B9" s="10" t="s">
        <v>42</v>
      </c>
      <c r="C9" s="10" t="s">
        <v>24</v>
      </c>
      <c r="D9" s="10" t="s">
        <v>22</v>
      </c>
      <c r="E9" s="10" t="s">
        <v>25</v>
      </c>
      <c r="F9" s="10" t="s">
        <v>26</v>
      </c>
      <c r="G9" s="10">
        <v>374870</v>
      </c>
      <c r="H9" s="10" t="s">
        <v>27</v>
      </c>
      <c r="I9" s="10" t="s">
        <v>28</v>
      </c>
      <c r="L9" s="10" t="s">
        <v>29</v>
      </c>
      <c r="M9" t="s">
        <v>30</v>
      </c>
      <c r="N9" s="111">
        <v>1875110</v>
      </c>
      <c r="R9" s="111">
        <v>0</v>
      </c>
      <c r="S9" s="111">
        <v>0</v>
      </c>
      <c r="T9" s="111">
        <v>0</v>
      </c>
      <c r="U9" s="111">
        <v>0</v>
      </c>
    </row>
    <row r="10" spans="1:22" x14ac:dyDescent="0.45">
      <c r="A10" s="10" t="s">
        <v>22</v>
      </c>
      <c r="B10" s="10" t="s">
        <v>43</v>
      </c>
      <c r="C10" s="10" t="s">
        <v>24</v>
      </c>
      <c r="D10" s="10" t="s">
        <v>22</v>
      </c>
      <c r="E10" s="10" t="s">
        <v>25</v>
      </c>
      <c r="F10" s="10" t="s">
        <v>26</v>
      </c>
      <c r="G10" s="10">
        <v>374870</v>
      </c>
      <c r="H10" s="10" t="s">
        <v>27</v>
      </c>
      <c r="I10" s="10" t="s">
        <v>28</v>
      </c>
      <c r="L10" s="10" t="s">
        <v>29</v>
      </c>
      <c r="M10" t="s">
        <v>30</v>
      </c>
      <c r="N10" s="111">
        <v>619469.02654867305</v>
      </c>
      <c r="O10" s="111">
        <v>1432688</v>
      </c>
      <c r="R10" s="111">
        <v>-0.56761763444052504</v>
      </c>
      <c r="S10" s="111">
        <v>0</v>
      </c>
      <c r="T10" s="111">
        <v>0</v>
      </c>
      <c r="U10" s="111">
        <v>0</v>
      </c>
    </row>
    <row r="11" spans="1:22" x14ac:dyDescent="0.45">
      <c r="A11" s="10" t="s">
        <v>22</v>
      </c>
      <c r="B11" s="10" t="s">
        <v>44</v>
      </c>
      <c r="C11" s="10" t="s">
        <v>24</v>
      </c>
      <c r="D11" s="10" t="s">
        <v>22</v>
      </c>
      <c r="E11" s="10" t="s">
        <v>25</v>
      </c>
      <c r="F11" s="10" t="s">
        <v>26</v>
      </c>
      <c r="G11" s="10">
        <v>374870</v>
      </c>
      <c r="H11" s="10" t="s">
        <v>27</v>
      </c>
      <c r="I11" s="10" t="s">
        <v>28</v>
      </c>
      <c r="L11" s="10" t="s">
        <v>29</v>
      </c>
      <c r="M11" t="s">
        <v>30</v>
      </c>
      <c r="N11" s="111">
        <v>946902</v>
      </c>
      <c r="R11" s="111">
        <v>0</v>
      </c>
      <c r="S11" s="111">
        <v>0</v>
      </c>
      <c r="T11" s="111">
        <v>0</v>
      </c>
      <c r="U11" s="111">
        <v>0</v>
      </c>
    </row>
    <row r="12" spans="1:22" x14ac:dyDescent="0.45">
      <c r="A12" s="10" t="s">
        <v>22</v>
      </c>
      <c r="B12" s="10" t="s">
        <v>23</v>
      </c>
      <c r="C12" s="10" t="s">
        <v>24</v>
      </c>
      <c r="D12" s="10" t="s">
        <v>22</v>
      </c>
      <c r="E12" s="10" t="s">
        <v>25</v>
      </c>
      <c r="F12" s="10" t="s">
        <v>26</v>
      </c>
      <c r="G12" s="10">
        <v>374870</v>
      </c>
      <c r="H12" s="10" t="s">
        <v>27</v>
      </c>
      <c r="I12" s="10" t="s">
        <v>28</v>
      </c>
      <c r="L12" s="10" t="s">
        <v>29</v>
      </c>
      <c r="M12" t="s">
        <v>45</v>
      </c>
      <c r="N12" s="111">
        <v>884955.75221238902</v>
      </c>
      <c r="O12" s="111">
        <v>769870</v>
      </c>
      <c r="R12" s="111">
        <v>0.14948725396805901</v>
      </c>
      <c r="S12" s="111">
        <v>0</v>
      </c>
      <c r="T12" s="111">
        <v>0</v>
      </c>
      <c r="U12" s="111">
        <v>0</v>
      </c>
    </row>
    <row r="13" spans="1:22" x14ac:dyDescent="0.45">
      <c r="A13" s="10" t="s">
        <v>22</v>
      </c>
      <c r="B13" s="10" t="s">
        <v>31</v>
      </c>
      <c r="C13" s="10" t="s">
        <v>24</v>
      </c>
      <c r="D13" s="10" t="s">
        <v>22</v>
      </c>
      <c r="E13" s="10" t="s">
        <v>25</v>
      </c>
      <c r="F13" s="10" t="s">
        <v>26</v>
      </c>
      <c r="G13" s="10">
        <v>374870</v>
      </c>
      <c r="H13" s="10" t="s">
        <v>27</v>
      </c>
      <c r="I13" s="10" t="s">
        <v>28</v>
      </c>
      <c r="K13" s="10" t="s">
        <v>32</v>
      </c>
      <c r="L13" s="10" t="s">
        <v>29</v>
      </c>
      <c r="M13" t="s">
        <v>45</v>
      </c>
      <c r="N13" s="111">
        <v>1592920.3539823</v>
      </c>
      <c r="O13" s="111">
        <v>2173190</v>
      </c>
      <c r="R13" s="111">
        <v>-0.26701284564060201</v>
      </c>
      <c r="S13" s="111">
        <v>0</v>
      </c>
      <c r="T13" s="111">
        <v>0</v>
      </c>
      <c r="U13" s="111">
        <v>0</v>
      </c>
    </row>
    <row r="14" spans="1:22" x14ac:dyDescent="0.45">
      <c r="A14" s="10" t="s">
        <v>22</v>
      </c>
      <c r="B14" s="10" t="s">
        <v>33</v>
      </c>
      <c r="C14" s="10" t="s">
        <v>24</v>
      </c>
      <c r="D14" s="10" t="s">
        <v>22</v>
      </c>
      <c r="E14" s="10" t="s">
        <v>25</v>
      </c>
      <c r="F14" s="10" t="s">
        <v>26</v>
      </c>
      <c r="G14" s="10">
        <v>374870</v>
      </c>
      <c r="H14" s="10" t="s">
        <v>27</v>
      </c>
      <c r="I14" s="10" t="s">
        <v>28</v>
      </c>
      <c r="K14" s="10" t="s">
        <v>34</v>
      </c>
      <c r="L14" s="10" t="s">
        <v>29</v>
      </c>
      <c r="M14" t="s">
        <v>45</v>
      </c>
      <c r="N14" s="111">
        <v>2654867.25663717</v>
      </c>
      <c r="O14" s="111">
        <v>1236740</v>
      </c>
      <c r="R14" s="111">
        <v>1.14666563435902</v>
      </c>
      <c r="S14" s="111">
        <v>0</v>
      </c>
      <c r="T14" s="111">
        <v>0</v>
      </c>
      <c r="U14" s="111">
        <v>0</v>
      </c>
    </row>
    <row r="15" spans="1:22" x14ac:dyDescent="0.45">
      <c r="A15" s="10" t="s">
        <v>22</v>
      </c>
      <c r="B15" s="10" t="s">
        <v>35</v>
      </c>
      <c r="C15" s="10" t="s">
        <v>36</v>
      </c>
      <c r="D15" s="10" t="s">
        <v>22</v>
      </c>
      <c r="E15" s="10" t="s">
        <v>25</v>
      </c>
      <c r="F15" s="10" t="s">
        <v>26</v>
      </c>
      <c r="G15" s="10">
        <v>374870</v>
      </c>
      <c r="H15" s="10" t="s">
        <v>27</v>
      </c>
      <c r="I15" s="10" t="s">
        <v>28</v>
      </c>
      <c r="J15" s="10">
        <v>120</v>
      </c>
      <c r="K15" s="10" t="s">
        <v>37</v>
      </c>
      <c r="L15" s="10" t="s">
        <v>29</v>
      </c>
      <c r="M15" t="s">
        <v>45</v>
      </c>
      <c r="N15" s="111">
        <v>4619192</v>
      </c>
      <c r="O15" s="111">
        <v>1858761.0619469001</v>
      </c>
      <c r="R15" s="111">
        <v>1.48509186821558</v>
      </c>
      <c r="S15" s="111">
        <v>0</v>
      </c>
      <c r="T15" s="111">
        <v>0</v>
      </c>
      <c r="U15" s="111" t="s">
        <v>38</v>
      </c>
    </row>
    <row r="16" spans="1:22" x14ac:dyDescent="0.45">
      <c r="A16" s="10" t="s">
        <v>22</v>
      </c>
      <c r="B16" s="10" t="s">
        <v>39</v>
      </c>
      <c r="C16" s="10" t="s">
        <v>24</v>
      </c>
      <c r="D16" s="10" t="s">
        <v>22</v>
      </c>
      <c r="E16" s="10" t="s">
        <v>25</v>
      </c>
      <c r="F16" s="10" t="s">
        <v>26</v>
      </c>
      <c r="G16" s="10">
        <v>374870</v>
      </c>
      <c r="H16" s="10" t="s">
        <v>27</v>
      </c>
      <c r="I16" s="10" t="s">
        <v>28</v>
      </c>
      <c r="L16" s="10" t="s">
        <v>29</v>
      </c>
      <c r="M16" t="s">
        <v>45</v>
      </c>
      <c r="N16" s="111">
        <v>796460.17699115002</v>
      </c>
      <c r="O16" s="111">
        <v>614557</v>
      </c>
      <c r="R16" s="111">
        <v>0.29599073314786201</v>
      </c>
      <c r="S16" s="111">
        <v>0</v>
      </c>
      <c r="T16" s="111">
        <v>0</v>
      </c>
      <c r="U16" s="111">
        <v>0</v>
      </c>
    </row>
    <row r="17" spans="1:21" x14ac:dyDescent="0.45">
      <c r="A17" s="10" t="s">
        <v>22</v>
      </c>
      <c r="B17" s="10" t="s">
        <v>40</v>
      </c>
      <c r="C17" s="10" t="s">
        <v>24</v>
      </c>
      <c r="D17" s="10" t="s">
        <v>22</v>
      </c>
      <c r="E17" s="10" t="s">
        <v>25</v>
      </c>
      <c r="F17" s="10" t="s">
        <v>26</v>
      </c>
      <c r="G17" s="10">
        <v>374870</v>
      </c>
      <c r="H17" s="10" t="s">
        <v>27</v>
      </c>
      <c r="I17" s="10" t="s">
        <v>28</v>
      </c>
      <c r="J17" s="10">
        <v>75</v>
      </c>
      <c r="K17" s="10" t="s">
        <v>37</v>
      </c>
      <c r="L17" s="10" t="s">
        <v>29</v>
      </c>
      <c r="M17" t="s">
        <v>45</v>
      </c>
      <c r="N17" s="111">
        <v>973451.32743362803</v>
      </c>
      <c r="O17" s="111">
        <v>858745</v>
      </c>
      <c r="R17" s="111">
        <v>0.13357437590161</v>
      </c>
      <c r="S17" s="111">
        <v>0</v>
      </c>
      <c r="T17" s="111">
        <v>0</v>
      </c>
      <c r="U17" s="111" t="s">
        <v>38</v>
      </c>
    </row>
    <row r="18" spans="1:21" x14ac:dyDescent="0.45">
      <c r="A18" s="10" t="s">
        <v>22</v>
      </c>
      <c r="B18" s="10" t="s">
        <v>41</v>
      </c>
      <c r="C18" s="10" t="s">
        <v>24</v>
      </c>
      <c r="D18" s="10" t="s">
        <v>22</v>
      </c>
      <c r="E18" s="10" t="s">
        <v>25</v>
      </c>
      <c r="F18" s="10" t="s">
        <v>26</v>
      </c>
      <c r="G18" s="10">
        <v>374870</v>
      </c>
      <c r="H18" s="10" t="s">
        <v>27</v>
      </c>
      <c r="I18" s="10" t="s">
        <v>28</v>
      </c>
      <c r="J18" s="10">
        <v>85</v>
      </c>
      <c r="K18" s="10" t="s">
        <v>37</v>
      </c>
      <c r="L18" s="10" t="s">
        <v>29</v>
      </c>
      <c r="M18" t="s">
        <v>45</v>
      </c>
      <c r="N18" s="111">
        <v>2212389.3805309702</v>
      </c>
      <c r="O18" s="111">
        <v>1287058</v>
      </c>
      <c r="R18" s="111">
        <v>0.71895080138655199</v>
      </c>
      <c r="S18" s="111">
        <v>0</v>
      </c>
      <c r="T18" s="111">
        <v>0</v>
      </c>
      <c r="U18" s="111" t="s">
        <v>38</v>
      </c>
    </row>
    <row r="19" spans="1:21" x14ac:dyDescent="0.45">
      <c r="A19" s="10" t="s">
        <v>22</v>
      </c>
      <c r="B19" s="10" t="s">
        <v>42</v>
      </c>
      <c r="C19" s="10" t="s">
        <v>24</v>
      </c>
      <c r="D19" s="10" t="s">
        <v>22</v>
      </c>
      <c r="E19" s="10" t="s">
        <v>25</v>
      </c>
      <c r="F19" s="10" t="s">
        <v>26</v>
      </c>
      <c r="G19" s="10">
        <v>374870</v>
      </c>
      <c r="H19" s="10" t="s">
        <v>27</v>
      </c>
      <c r="I19" s="10" t="s">
        <v>28</v>
      </c>
      <c r="L19" s="10" t="s">
        <v>29</v>
      </c>
      <c r="M19" t="s">
        <v>45</v>
      </c>
      <c r="N19" s="111">
        <v>3681597</v>
      </c>
      <c r="R19" s="111">
        <v>0</v>
      </c>
      <c r="S19" s="111">
        <v>0</v>
      </c>
      <c r="T19" s="111">
        <v>0</v>
      </c>
      <c r="U19" s="111">
        <v>0</v>
      </c>
    </row>
    <row r="20" spans="1:21" x14ac:dyDescent="0.45">
      <c r="A20" s="10" t="s">
        <v>22</v>
      </c>
      <c r="B20" s="10" t="s">
        <v>43</v>
      </c>
      <c r="C20" s="10" t="s">
        <v>24</v>
      </c>
      <c r="D20" s="10" t="s">
        <v>22</v>
      </c>
      <c r="E20" s="10" t="s">
        <v>25</v>
      </c>
      <c r="F20" s="10" t="s">
        <v>26</v>
      </c>
      <c r="G20" s="10">
        <v>374870</v>
      </c>
      <c r="H20" s="10" t="s">
        <v>27</v>
      </c>
      <c r="I20" s="10" t="s">
        <v>28</v>
      </c>
      <c r="L20" s="10" t="s">
        <v>29</v>
      </c>
      <c r="M20" t="s">
        <v>45</v>
      </c>
      <c r="N20" s="111">
        <v>1592920.3539823</v>
      </c>
      <c r="O20" s="111">
        <v>562814</v>
      </c>
      <c r="R20" s="111">
        <v>1.8302784827355101</v>
      </c>
      <c r="S20" s="111">
        <v>0</v>
      </c>
      <c r="T20" s="111">
        <v>0</v>
      </c>
      <c r="U20" s="111">
        <v>0</v>
      </c>
    </row>
    <row r="21" spans="1:21" x14ac:dyDescent="0.45">
      <c r="A21" s="10" t="s">
        <v>22</v>
      </c>
      <c r="B21" s="10" t="s">
        <v>44</v>
      </c>
      <c r="C21" s="10" t="s">
        <v>24</v>
      </c>
      <c r="D21" s="10" t="s">
        <v>22</v>
      </c>
      <c r="E21" s="10" t="s">
        <v>25</v>
      </c>
      <c r="F21" s="10" t="s">
        <v>26</v>
      </c>
      <c r="G21" s="10">
        <v>374870</v>
      </c>
      <c r="H21" s="10" t="s">
        <v>27</v>
      </c>
      <c r="I21" s="10" t="s">
        <v>28</v>
      </c>
      <c r="L21" s="10" t="s">
        <v>29</v>
      </c>
      <c r="M21" t="s">
        <v>45</v>
      </c>
      <c r="N21" s="111">
        <v>2230080</v>
      </c>
      <c r="R21" s="111">
        <v>0</v>
      </c>
      <c r="S21" s="111">
        <v>0</v>
      </c>
      <c r="T21" s="111">
        <v>0</v>
      </c>
      <c r="U21" s="111">
        <v>0</v>
      </c>
    </row>
    <row r="22" spans="1:21" x14ac:dyDescent="0.45">
      <c r="A22" s="10" t="s">
        <v>22</v>
      </c>
      <c r="B22" s="10" t="s">
        <v>23</v>
      </c>
      <c r="C22" s="10" t="s">
        <v>24</v>
      </c>
      <c r="D22" s="10" t="s">
        <v>22</v>
      </c>
      <c r="E22" s="10" t="s">
        <v>25</v>
      </c>
      <c r="F22" s="10" t="s">
        <v>26</v>
      </c>
      <c r="G22" s="10">
        <v>374870</v>
      </c>
      <c r="H22" s="10" t="s">
        <v>27</v>
      </c>
      <c r="I22" s="10" t="s">
        <v>28</v>
      </c>
      <c r="L22" s="10" t="s">
        <v>29</v>
      </c>
      <c r="M22" t="s">
        <v>46</v>
      </c>
      <c r="N22" s="111">
        <v>893805.30973451305</v>
      </c>
      <c r="O22" s="111">
        <v>2137615</v>
      </c>
      <c r="R22" s="111">
        <v>-0.581867965122572</v>
      </c>
      <c r="S22" s="111">
        <v>0</v>
      </c>
      <c r="T22" s="111">
        <v>0</v>
      </c>
      <c r="U22" s="111">
        <v>0</v>
      </c>
    </row>
    <row r="23" spans="1:21" x14ac:dyDescent="0.45">
      <c r="A23" s="10" t="s">
        <v>22</v>
      </c>
      <c r="B23" s="10" t="s">
        <v>31</v>
      </c>
      <c r="C23" s="10" t="s">
        <v>24</v>
      </c>
      <c r="D23" s="10" t="s">
        <v>22</v>
      </c>
      <c r="E23" s="10" t="s">
        <v>25</v>
      </c>
      <c r="F23" s="10" t="s">
        <v>26</v>
      </c>
      <c r="G23" s="10">
        <v>374870</v>
      </c>
      <c r="H23" s="10" t="s">
        <v>27</v>
      </c>
      <c r="I23" s="10" t="s">
        <v>28</v>
      </c>
      <c r="K23" s="10" t="s">
        <v>32</v>
      </c>
      <c r="L23" s="10" t="s">
        <v>29</v>
      </c>
      <c r="M23" t="s">
        <v>46</v>
      </c>
      <c r="N23" s="111">
        <v>2681415.9292035401</v>
      </c>
      <c r="O23" s="111">
        <v>7072890</v>
      </c>
      <c r="R23" s="111">
        <v>-0.62088821836568397</v>
      </c>
      <c r="S23" s="111">
        <v>0</v>
      </c>
      <c r="T23" s="111">
        <v>0</v>
      </c>
      <c r="U23" s="111">
        <v>0</v>
      </c>
    </row>
    <row r="24" spans="1:21" x14ac:dyDescent="0.45">
      <c r="A24" s="10" t="s">
        <v>22</v>
      </c>
      <c r="B24" s="10" t="s">
        <v>33</v>
      </c>
      <c r="C24" s="10" t="s">
        <v>24</v>
      </c>
      <c r="D24" s="10" t="s">
        <v>22</v>
      </c>
      <c r="E24" s="10" t="s">
        <v>25</v>
      </c>
      <c r="F24" s="10" t="s">
        <v>26</v>
      </c>
      <c r="G24" s="10">
        <v>374870</v>
      </c>
      <c r="H24" s="10" t="s">
        <v>27</v>
      </c>
      <c r="I24" s="10" t="s">
        <v>28</v>
      </c>
      <c r="K24" s="10" t="s">
        <v>34</v>
      </c>
      <c r="L24" s="10" t="s">
        <v>29</v>
      </c>
      <c r="M24" t="s">
        <v>46</v>
      </c>
      <c r="N24" s="111">
        <v>1764318.5840708001</v>
      </c>
      <c r="O24" s="111">
        <v>4627800</v>
      </c>
      <c r="R24" s="111">
        <v>-0.61875651841678603</v>
      </c>
      <c r="S24" s="111">
        <v>0</v>
      </c>
      <c r="T24" s="111">
        <v>0</v>
      </c>
      <c r="U24" s="111">
        <v>0</v>
      </c>
    </row>
    <row r="25" spans="1:21" x14ac:dyDescent="0.45">
      <c r="A25" s="10" t="s">
        <v>22</v>
      </c>
      <c r="B25" s="10" t="s">
        <v>35</v>
      </c>
      <c r="C25" s="10" t="s">
        <v>36</v>
      </c>
      <c r="D25" s="10" t="s">
        <v>22</v>
      </c>
      <c r="E25" s="10" t="s">
        <v>25</v>
      </c>
      <c r="F25" s="10" t="s">
        <v>26</v>
      </c>
      <c r="G25" s="10">
        <v>374870</v>
      </c>
      <c r="H25" s="10" t="s">
        <v>27</v>
      </c>
      <c r="I25" s="10" t="s">
        <v>28</v>
      </c>
      <c r="J25" s="10">
        <v>120</v>
      </c>
      <c r="K25" s="10" t="s">
        <v>37</v>
      </c>
      <c r="L25" s="10" t="s">
        <v>29</v>
      </c>
      <c r="M25" t="s">
        <v>46</v>
      </c>
      <c r="N25" s="111">
        <v>5877334</v>
      </c>
      <c r="O25" s="111">
        <v>9051455.7522123903</v>
      </c>
      <c r="R25" s="111">
        <v>-0.350675276895273</v>
      </c>
      <c r="S25" s="111">
        <v>0</v>
      </c>
      <c r="T25" s="111">
        <v>0</v>
      </c>
      <c r="U25" s="111" t="s">
        <v>38</v>
      </c>
    </row>
    <row r="26" spans="1:21" x14ac:dyDescent="0.45">
      <c r="A26" s="10" t="s">
        <v>22</v>
      </c>
      <c r="B26" s="10" t="s">
        <v>39</v>
      </c>
      <c r="C26" s="10" t="s">
        <v>24</v>
      </c>
      <c r="D26" s="10" t="s">
        <v>22</v>
      </c>
      <c r="E26" s="10" t="s">
        <v>25</v>
      </c>
      <c r="F26" s="10" t="s">
        <v>26</v>
      </c>
      <c r="G26" s="10">
        <v>374870</v>
      </c>
      <c r="H26" s="10" t="s">
        <v>27</v>
      </c>
      <c r="I26" s="10" t="s">
        <v>28</v>
      </c>
      <c r="L26" s="10" t="s">
        <v>29</v>
      </c>
      <c r="M26" t="s">
        <v>46</v>
      </c>
      <c r="N26" s="111">
        <v>734513.27433628298</v>
      </c>
      <c r="O26" s="111">
        <v>2117101.5</v>
      </c>
      <c r="R26" s="111">
        <v>-0.65305712818384798</v>
      </c>
      <c r="S26" s="111">
        <v>0</v>
      </c>
      <c r="T26" s="111">
        <v>0</v>
      </c>
      <c r="U26" s="111">
        <v>0</v>
      </c>
    </row>
    <row r="27" spans="1:21" x14ac:dyDescent="0.45">
      <c r="A27" s="10" t="s">
        <v>22</v>
      </c>
      <c r="B27" s="10" t="s">
        <v>40</v>
      </c>
      <c r="C27" s="10" t="s">
        <v>24</v>
      </c>
      <c r="D27" s="10" t="s">
        <v>22</v>
      </c>
      <c r="E27" s="10" t="s">
        <v>25</v>
      </c>
      <c r="F27" s="10" t="s">
        <v>26</v>
      </c>
      <c r="G27" s="10">
        <v>374870</v>
      </c>
      <c r="H27" s="10" t="s">
        <v>27</v>
      </c>
      <c r="I27" s="10" t="s">
        <v>28</v>
      </c>
      <c r="J27" s="10">
        <v>75</v>
      </c>
      <c r="K27" s="10" t="s">
        <v>37</v>
      </c>
      <c r="L27" s="10" t="s">
        <v>29</v>
      </c>
      <c r="M27" t="s">
        <v>46</v>
      </c>
      <c r="N27" s="111">
        <v>1017699.11504425</v>
      </c>
      <c r="O27" s="111">
        <v>2498720</v>
      </c>
      <c r="R27" s="111">
        <v>-0.592711822435388</v>
      </c>
      <c r="S27" s="111">
        <v>0</v>
      </c>
      <c r="T27" s="111">
        <v>0</v>
      </c>
      <c r="U27" s="111" t="s">
        <v>38</v>
      </c>
    </row>
    <row r="28" spans="1:21" x14ac:dyDescent="0.45">
      <c r="A28" s="10" t="s">
        <v>22</v>
      </c>
      <c r="B28" s="10" t="s">
        <v>41</v>
      </c>
      <c r="C28" s="10" t="s">
        <v>24</v>
      </c>
      <c r="D28" s="10" t="s">
        <v>22</v>
      </c>
      <c r="E28" s="10" t="s">
        <v>25</v>
      </c>
      <c r="F28" s="10" t="s">
        <v>26</v>
      </c>
      <c r="G28" s="10">
        <v>374870</v>
      </c>
      <c r="H28" s="10" t="s">
        <v>27</v>
      </c>
      <c r="I28" s="10" t="s">
        <v>28</v>
      </c>
      <c r="J28" s="10">
        <v>85</v>
      </c>
      <c r="K28" s="10" t="s">
        <v>37</v>
      </c>
      <c r="L28" s="10" t="s">
        <v>29</v>
      </c>
      <c r="M28" t="s">
        <v>46</v>
      </c>
      <c r="N28" s="111">
        <v>1893805.30973451</v>
      </c>
      <c r="O28" s="111">
        <v>2742878.5</v>
      </c>
      <c r="R28" s="111">
        <v>-0.30955552360977201</v>
      </c>
      <c r="S28" s="111">
        <v>0</v>
      </c>
      <c r="T28" s="111">
        <v>0</v>
      </c>
      <c r="U28" s="111" t="s">
        <v>38</v>
      </c>
    </row>
    <row r="29" spans="1:21" x14ac:dyDescent="0.45">
      <c r="A29" s="10" t="s">
        <v>22</v>
      </c>
      <c r="B29" s="10" t="s">
        <v>42</v>
      </c>
      <c r="C29" s="10" t="s">
        <v>24</v>
      </c>
      <c r="D29" s="10" t="s">
        <v>22</v>
      </c>
      <c r="E29" s="10" t="s">
        <v>25</v>
      </c>
      <c r="F29" s="10" t="s">
        <v>26</v>
      </c>
      <c r="G29" s="10">
        <v>374870</v>
      </c>
      <c r="H29" s="10" t="s">
        <v>27</v>
      </c>
      <c r="I29" s="10" t="s">
        <v>28</v>
      </c>
      <c r="L29" s="10" t="s">
        <v>29</v>
      </c>
      <c r="M29" t="s">
        <v>46</v>
      </c>
      <c r="N29" s="111">
        <v>3095982</v>
      </c>
      <c r="R29" s="111">
        <v>0</v>
      </c>
      <c r="S29" s="111">
        <v>0</v>
      </c>
      <c r="T29" s="111">
        <v>0</v>
      </c>
      <c r="U29" s="111">
        <v>0</v>
      </c>
    </row>
    <row r="30" spans="1:21" x14ac:dyDescent="0.45">
      <c r="A30" s="10" t="s">
        <v>22</v>
      </c>
      <c r="B30" s="10" t="s">
        <v>43</v>
      </c>
      <c r="C30" s="10" t="s">
        <v>24</v>
      </c>
      <c r="D30" s="10" t="s">
        <v>22</v>
      </c>
      <c r="E30" s="10" t="s">
        <v>25</v>
      </c>
      <c r="F30" s="10" t="s">
        <v>26</v>
      </c>
      <c r="G30" s="10">
        <v>374870</v>
      </c>
      <c r="H30" s="10" t="s">
        <v>27</v>
      </c>
      <c r="I30" s="10" t="s">
        <v>28</v>
      </c>
      <c r="L30" s="10" t="s">
        <v>29</v>
      </c>
      <c r="M30" t="s">
        <v>46</v>
      </c>
      <c r="N30" s="111">
        <v>557522.12389380496</v>
      </c>
      <c r="O30" s="111">
        <v>1544008</v>
      </c>
      <c r="R30" s="111">
        <v>-0.63891241243969898</v>
      </c>
      <c r="S30" s="111">
        <v>0</v>
      </c>
      <c r="T30" s="111">
        <v>0</v>
      </c>
      <c r="U30" s="111">
        <v>0</v>
      </c>
    </row>
    <row r="31" spans="1:21" x14ac:dyDescent="0.45">
      <c r="A31" s="10" t="s">
        <v>22</v>
      </c>
      <c r="B31" s="10" t="s">
        <v>44</v>
      </c>
      <c r="C31" s="10" t="s">
        <v>24</v>
      </c>
      <c r="D31" s="10" t="s">
        <v>22</v>
      </c>
      <c r="E31" s="10" t="s">
        <v>25</v>
      </c>
      <c r="F31" s="10" t="s">
        <v>26</v>
      </c>
      <c r="G31" s="10">
        <v>374870</v>
      </c>
      <c r="H31" s="10" t="s">
        <v>27</v>
      </c>
      <c r="I31" s="10" t="s">
        <v>28</v>
      </c>
      <c r="L31" s="10" t="s">
        <v>29</v>
      </c>
      <c r="M31" t="s">
        <v>46</v>
      </c>
      <c r="N31" s="111">
        <v>1584070.7964601801</v>
      </c>
      <c r="R31" s="111">
        <v>0</v>
      </c>
      <c r="S31" s="111">
        <v>0</v>
      </c>
      <c r="T31" s="111">
        <v>0</v>
      </c>
      <c r="U31" s="111">
        <v>0</v>
      </c>
    </row>
    <row r="32" spans="1:21" x14ac:dyDescent="0.45">
      <c r="A32" s="13" t="s">
        <v>47</v>
      </c>
      <c r="B32" s="13" t="s">
        <v>23</v>
      </c>
      <c r="C32" s="13" t="s">
        <v>24</v>
      </c>
      <c r="D32" s="13" t="s">
        <v>22</v>
      </c>
      <c r="E32" s="113" t="s">
        <v>25</v>
      </c>
      <c r="F32" s="13" t="s">
        <v>26</v>
      </c>
      <c r="G32" s="114">
        <v>374870</v>
      </c>
      <c r="H32" s="13" t="s">
        <v>27</v>
      </c>
      <c r="I32" s="13" t="s">
        <v>28</v>
      </c>
      <c r="J32" s="117"/>
      <c r="K32" s="118"/>
      <c r="L32" s="119" t="s">
        <v>29</v>
      </c>
      <c r="M32" s="120" t="s">
        <v>48</v>
      </c>
      <c r="N32" s="121">
        <v>973451.32743362803</v>
      </c>
      <c r="O32" s="121">
        <v>1293905</v>
      </c>
      <c r="P32" s="122"/>
      <c r="Q32" s="127"/>
      <c r="R32" s="128">
        <v>-0.24766398813388299</v>
      </c>
      <c r="S32" s="128">
        <v>0</v>
      </c>
      <c r="T32" s="128">
        <v>0</v>
      </c>
      <c r="U32" s="129">
        <v>0</v>
      </c>
    </row>
    <row r="33" spans="1:21" x14ac:dyDescent="0.45">
      <c r="A33" s="13" t="s">
        <v>47</v>
      </c>
      <c r="B33" s="13" t="s">
        <v>31</v>
      </c>
      <c r="C33" s="13" t="s">
        <v>24</v>
      </c>
      <c r="D33" s="13" t="s">
        <v>22</v>
      </c>
      <c r="E33" s="113" t="s">
        <v>25</v>
      </c>
      <c r="F33" s="13" t="s">
        <v>26</v>
      </c>
      <c r="G33" s="114">
        <v>374870</v>
      </c>
      <c r="H33" s="13" t="s">
        <v>27</v>
      </c>
      <c r="I33" s="13" t="s">
        <v>28</v>
      </c>
      <c r="J33" s="117"/>
      <c r="K33" s="118" t="s">
        <v>32</v>
      </c>
      <c r="L33" s="119" t="s">
        <v>29</v>
      </c>
      <c r="M33" s="120" t="s">
        <v>48</v>
      </c>
      <c r="N33" s="121">
        <v>1221238.9380530999</v>
      </c>
      <c r="O33" s="121">
        <v>3212165</v>
      </c>
      <c r="P33" s="122"/>
      <c r="Q33" s="127"/>
      <c r="R33" s="128">
        <v>-0.61980815491947105</v>
      </c>
      <c r="S33" s="128">
        <v>0</v>
      </c>
      <c r="T33" s="128">
        <v>0</v>
      </c>
      <c r="U33" s="129">
        <v>0</v>
      </c>
    </row>
    <row r="34" spans="1:21" x14ac:dyDescent="0.45">
      <c r="A34" s="13" t="s">
        <v>47</v>
      </c>
      <c r="B34" s="13" t="s">
        <v>33</v>
      </c>
      <c r="C34" s="13" t="s">
        <v>24</v>
      </c>
      <c r="D34" s="13" t="s">
        <v>22</v>
      </c>
      <c r="E34" s="113" t="s">
        <v>25</v>
      </c>
      <c r="F34" s="13" t="s">
        <v>26</v>
      </c>
      <c r="G34" s="114">
        <v>374870</v>
      </c>
      <c r="H34" s="13" t="s">
        <v>27</v>
      </c>
      <c r="I34" s="13" t="s">
        <v>28</v>
      </c>
      <c r="J34" s="117"/>
      <c r="K34" s="118"/>
      <c r="L34" s="119" t="s">
        <v>29</v>
      </c>
      <c r="M34" s="120" t="s">
        <v>48</v>
      </c>
      <c r="N34" s="121">
        <v>890641.59292035399</v>
      </c>
      <c r="O34" s="121">
        <v>2892315</v>
      </c>
      <c r="P34" s="122"/>
      <c r="Q34" s="127"/>
      <c r="R34" s="128">
        <v>-0.69206618472733605</v>
      </c>
      <c r="S34" s="128">
        <v>0</v>
      </c>
      <c r="T34" s="128">
        <v>0</v>
      </c>
      <c r="U34" s="129">
        <v>0</v>
      </c>
    </row>
    <row r="35" spans="1:21" x14ac:dyDescent="0.45">
      <c r="A35" s="13" t="s">
        <v>47</v>
      </c>
      <c r="B35" s="13" t="s">
        <v>35</v>
      </c>
      <c r="C35" s="13" t="s">
        <v>36</v>
      </c>
      <c r="D35" s="13" t="s">
        <v>22</v>
      </c>
      <c r="E35" s="113" t="s">
        <v>25</v>
      </c>
      <c r="F35" s="13" t="s">
        <v>26</v>
      </c>
      <c r="G35" s="114">
        <v>374870</v>
      </c>
      <c r="H35" s="13" t="s">
        <v>27</v>
      </c>
      <c r="I35" s="13" t="s">
        <v>28</v>
      </c>
      <c r="J35" s="117">
        <v>120</v>
      </c>
      <c r="K35" s="118" t="s">
        <v>37</v>
      </c>
      <c r="L35" s="119" t="s">
        <v>29</v>
      </c>
      <c r="M35" s="120" t="s">
        <v>48</v>
      </c>
      <c r="N35" s="121">
        <v>3095962</v>
      </c>
      <c r="O35" s="121">
        <v>4629331.8584070802</v>
      </c>
      <c r="P35" s="122"/>
      <c r="Q35" s="127"/>
      <c r="R35" s="128">
        <v>-0.33122919360866498</v>
      </c>
      <c r="S35" s="128">
        <v>0</v>
      </c>
      <c r="T35" s="128">
        <v>0</v>
      </c>
      <c r="U35" s="129" t="s">
        <v>38</v>
      </c>
    </row>
    <row r="36" spans="1:21" x14ac:dyDescent="0.45">
      <c r="A36" s="13" t="s">
        <v>47</v>
      </c>
      <c r="B36" s="13" t="s">
        <v>39</v>
      </c>
      <c r="C36" s="13" t="s">
        <v>24</v>
      </c>
      <c r="D36" s="13" t="s">
        <v>22</v>
      </c>
      <c r="E36" s="113" t="s">
        <v>25</v>
      </c>
      <c r="F36" s="13" t="s">
        <v>26</v>
      </c>
      <c r="G36" s="114">
        <v>374870</v>
      </c>
      <c r="H36" s="13" t="s">
        <v>27</v>
      </c>
      <c r="I36" s="13" t="s">
        <v>28</v>
      </c>
      <c r="J36" s="117"/>
      <c r="K36" s="118"/>
      <c r="L36" s="119" t="s">
        <v>29</v>
      </c>
      <c r="M36" s="120" t="s">
        <v>48</v>
      </c>
      <c r="N36" s="121">
        <v>663716.81415929203</v>
      </c>
      <c r="O36" s="121">
        <v>1364437.5</v>
      </c>
      <c r="P36" s="122"/>
      <c r="Q36" s="127"/>
      <c r="R36" s="128">
        <v>-0.51356011971285498</v>
      </c>
      <c r="S36" s="128">
        <v>0</v>
      </c>
      <c r="T36" s="128">
        <v>0</v>
      </c>
      <c r="U36" s="129">
        <v>0</v>
      </c>
    </row>
    <row r="37" spans="1:21" x14ac:dyDescent="0.45">
      <c r="A37" s="13" t="s">
        <v>47</v>
      </c>
      <c r="B37" s="13" t="s">
        <v>40</v>
      </c>
      <c r="C37" s="13" t="s">
        <v>24</v>
      </c>
      <c r="D37" s="13" t="s">
        <v>22</v>
      </c>
      <c r="E37" s="113" t="s">
        <v>25</v>
      </c>
      <c r="F37" s="13" t="s">
        <v>26</v>
      </c>
      <c r="G37" s="114">
        <v>374870</v>
      </c>
      <c r="H37" s="13" t="s">
        <v>27</v>
      </c>
      <c r="I37" s="13" t="s">
        <v>28</v>
      </c>
      <c r="J37" s="117">
        <v>75</v>
      </c>
      <c r="K37" s="118" t="s">
        <v>37</v>
      </c>
      <c r="L37" s="119" t="s">
        <v>29</v>
      </c>
      <c r="M37" s="120" t="s">
        <v>48</v>
      </c>
      <c r="N37" s="121">
        <v>867256.63716814201</v>
      </c>
      <c r="O37" s="121">
        <v>1227250</v>
      </c>
      <c r="P37" s="122"/>
      <c r="Q37" s="127"/>
      <c r="R37" s="128">
        <v>-0.29333335736961402</v>
      </c>
      <c r="S37" s="128">
        <v>0</v>
      </c>
      <c r="T37" s="128">
        <v>0</v>
      </c>
      <c r="U37" s="129" t="s">
        <v>38</v>
      </c>
    </row>
    <row r="38" spans="1:21" x14ac:dyDescent="0.45">
      <c r="A38" s="13" t="s">
        <v>47</v>
      </c>
      <c r="B38" s="13" t="s">
        <v>41</v>
      </c>
      <c r="C38" s="13" t="s">
        <v>24</v>
      </c>
      <c r="D38" s="13" t="s">
        <v>22</v>
      </c>
      <c r="E38" s="113" t="s">
        <v>25</v>
      </c>
      <c r="F38" s="13" t="s">
        <v>26</v>
      </c>
      <c r="G38" s="114">
        <v>374870</v>
      </c>
      <c r="H38" s="13" t="s">
        <v>27</v>
      </c>
      <c r="I38" s="13" t="s">
        <v>28</v>
      </c>
      <c r="J38" s="117">
        <v>85</v>
      </c>
      <c r="K38" s="118" t="s">
        <v>37</v>
      </c>
      <c r="L38" s="119" t="s">
        <v>29</v>
      </c>
      <c r="M38" s="120" t="s">
        <v>48</v>
      </c>
      <c r="N38" s="121">
        <v>1654867.25663717</v>
      </c>
      <c r="O38" s="121">
        <v>1490858</v>
      </c>
      <c r="P38" s="122"/>
      <c r="Q38" s="127"/>
      <c r="R38" s="128">
        <v>0.110009978574196</v>
      </c>
      <c r="S38" s="128">
        <v>0</v>
      </c>
      <c r="T38" s="128">
        <v>0</v>
      </c>
      <c r="U38" s="129" t="s">
        <v>38</v>
      </c>
    </row>
    <row r="39" spans="1:21" x14ac:dyDescent="0.45">
      <c r="A39" s="13" t="s">
        <v>47</v>
      </c>
      <c r="B39" s="13" t="s">
        <v>42</v>
      </c>
      <c r="C39" s="13" t="s">
        <v>24</v>
      </c>
      <c r="D39" s="13" t="s">
        <v>22</v>
      </c>
      <c r="E39" s="113" t="s">
        <v>25</v>
      </c>
      <c r="F39" s="13" t="s">
        <v>26</v>
      </c>
      <c r="G39" s="114">
        <v>374870</v>
      </c>
      <c r="H39" s="13" t="s">
        <v>27</v>
      </c>
      <c r="I39" s="13" t="s">
        <v>28</v>
      </c>
      <c r="J39" s="117"/>
      <c r="K39" s="118"/>
      <c r="L39" s="119" t="s">
        <v>29</v>
      </c>
      <c r="M39" s="120" t="s">
        <v>48</v>
      </c>
      <c r="N39" s="121">
        <v>3337766</v>
      </c>
      <c r="O39" s="121"/>
      <c r="P39" s="122"/>
      <c r="Q39" s="127"/>
      <c r="R39" s="128">
        <v>0</v>
      </c>
      <c r="S39" s="128">
        <v>0</v>
      </c>
      <c r="T39" s="128">
        <v>0</v>
      </c>
      <c r="U39" s="129">
        <v>0</v>
      </c>
    </row>
    <row r="40" spans="1:21" x14ac:dyDescent="0.45">
      <c r="A40" s="13" t="s">
        <v>47</v>
      </c>
      <c r="B40" s="13" t="s">
        <v>43</v>
      </c>
      <c r="C40" s="13" t="s">
        <v>24</v>
      </c>
      <c r="D40" s="13" t="s">
        <v>22</v>
      </c>
      <c r="E40" s="113" t="s">
        <v>25</v>
      </c>
      <c r="F40" s="13" t="s">
        <v>26</v>
      </c>
      <c r="G40" s="114">
        <v>374870</v>
      </c>
      <c r="H40" s="13" t="s">
        <v>27</v>
      </c>
      <c r="I40" s="13" t="s">
        <v>28</v>
      </c>
      <c r="J40" s="117"/>
      <c r="K40" s="118"/>
      <c r="L40" s="119" t="s">
        <v>29</v>
      </c>
      <c r="M40" s="120" t="s">
        <v>48</v>
      </c>
      <c r="N40" s="121">
        <v>1221238.9380530999</v>
      </c>
      <c r="O40" s="121">
        <v>1797236</v>
      </c>
      <c r="P40" s="122"/>
      <c r="Q40" s="127"/>
      <c r="R40" s="128">
        <v>-0.32049049871408197</v>
      </c>
      <c r="S40" s="128">
        <v>0</v>
      </c>
      <c r="T40" s="128">
        <v>0</v>
      </c>
      <c r="U40" s="129">
        <v>0</v>
      </c>
    </row>
    <row r="41" spans="1:21" x14ac:dyDescent="0.45">
      <c r="A41" s="13" t="s">
        <v>47</v>
      </c>
      <c r="B41" s="13" t="s">
        <v>44</v>
      </c>
      <c r="C41" s="13" t="s">
        <v>24</v>
      </c>
      <c r="D41" s="13" t="s">
        <v>22</v>
      </c>
      <c r="E41" s="113" t="s">
        <v>25</v>
      </c>
      <c r="F41" s="13" t="s">
        <v>26</v>
      </c>
      <c r="G41" s="114">
        <v>374870</v>
      </c>
      <c r="H41" s="13" t="s">
        <v>27</v>
      </c>
      <c r="I41" s="13" t="s">
        <v>28</v>
      </c>
      <c r="J41" s="117"/>
      <c r="K41" s="118"/>
      <c r="L41" s="119" t="s">
        <v>29</v>
      </c>
      <c r="M41" s="120" t="s">
        <v>48</v>
      </c>
      <c r="N41" s="121">
        <v>1770000</v>
      </c>
      <c r="O41" s="121"/>
      <c r="P41" s="122"/>
      <c r="Q41" s="127"/>
      <c r="R41" s="128">
        <v>0</v>
      </c>
      <c r="S41" s="128">
        <v>0</v>
      </c>
      <c r="T41" s="128">
        <v>0</v>
      </c>
      <c r="U41" s="129">
        <v>0</v>
      </c>
    </row>
    <row r="42" spans="1:21" x14ac:dyDescent="0.45">
      <c r="A42" s="13" t="s">
        <v>47</v>
      </c>
      <c r="B42" s="13" t="s">
        <v>23</v>
      </c>
      <c r="C42" s="13" t="s">
        <v>24</v>
      </c>
      <c r="D42" s="13" t="s">
        <v>22</v>
      </c>
      <c r="E42" s="113" t="s">
        <v>25</v>
      </c>
      <c r="F42" s="13" t="s">
        <v>26</v>
      </c>
      <c r="G42" s="114">
        <v>374870</v>
      </c>
      <c r="H42" s="13" t="s">
        <v>27</v>
      </c>
      <c r="I42" s="13" t="s">
        <v>28</v>
      </c>
      <c r="J42" s="117"/>
      <c r="K42" s="118"/>
      <c r="L42" s="119" t="s">
        <v>29</v>
      </c>
      <c r="M42" s="14" t="s">
        <v>49</v>
      </c>
      <c r="N42" s="121">
        <v>902654</v>
      </c>
      <c r="O42" s="121">
        <v>708190.26548672596</v>
      </c>
      <c r="P42" s="123"/>
      <c r="Q42" s="127"/>
      <c r="R42" s="128">
        <v>0.274592498641058</v>
      </c>
      <c r="S42" s="128">
        <v>0</v>
      </c>
      <c r="T42" s="128">
        <v>0</v>
      </c>
      <c r="U42" s="129">
        <v>0</v>
      </c>
    </row>
    <row r="43" spans="1:21" x14ac:dyDescent="0.45">
      <c r="A43" s="13" t="s">
        <v>47</v>
      </c>
      <c r="B43" s="13" t="s">
        <v>31</v>
      </c>
      <c r="C43" s="13" t="s">
        <v>24</v>
      </c>
      <c r="D43" s="13" t="s">
        <v>22</v>
      </c>
      <c r="E43" s="113" t="s">
        <v>25</v>
      </c>
      <c r="F43" s="13" t="s">
        <v>26</v>
      </c>
      <c r="G43" s="114">
        <v>374870</v>
      </c>
      <c r="H43" s="13" t="s">
        <v>27</v>
      </c>
      <c r="I43" s="13" t="s">
        <v>28</v>
      </c>
      <c r="J43" s="117"/>
      <c r="K43" s="118" t="s">
        <v>32</v>
      </c>
      <c r="L43" s="119" t="s">
        <v>29</v>
      </c>
      <c r="M43" s="14" t="s">
        <v>49</v>
      </c>
      <c r="N43" s="121">
        <v>1840707</v>
      </c>
      <c r="O43" s="121">
        <v>2345059.2920353999</v>
      </c>
      <c r="P43" s="122"/>
      <c r="Q43" s="127"/>
      <c r="R43" s="128">
        <v>-0.21507016634860701</v>
      </c>
      <c r="S43" s="128">
        <v>0</v>
      </c>
      <c r="T43" s="128">
        <v>0</v>
      </c>
      <c r="U43" s="129">
        <v>0</v>
      </c>
    </row>
    <row r="44" spans="1:21" x14ac:dyDescent="0.45">
      <c r="A44" s="13" t="s">
        <v>47</v>
      </c>
      <c r="B44" s="13" t="s">
        <v>33</v>
      </c>
      <c r="C44" s="13" t="s">
        <v>24</v>
      </c>
      <c r="D44" s="13" t="s">
        <v>22</v>
      </c>
      <c r="E44" s="113" t="s">
        <v>25</v>
      </c>
      <c r="F44" s="13" t="s">
        <v>26</v>
      </c>
      <c r="G44" s="114">
        <v>374870</v>
      </c>
      <c r="H44" s="13" t="s">
        <v>27</v>
      </c>
      <c r="I44" s="13" t="s">
        <v>28</v>
      </c>
      <c r="J44" s="117"/>
      <c r="K44" s="118" t="s">
        <v>34</v>
      </c>
      <c r="L44" s="119" t="s">
        <v>29</v>
      </c>
      <c r="M44" s="14" t="s">
        <v>49</v>
      </c>
      <c r="N44" s="121">
        <v>1645566.3716814199</v>
      </c>
      <c r="O44" s="121">
        <v>3322079.3805309702</v>
      </c>
      <c r="P44" s="122"/>
      <c r="Q44" s="127"/>
      <c r="R44" s="128">
        <v>-0.504657720906596</v>
      </c>
      <c r="S44" s="128">
        <v>0</v>
      </c>
      <c r="T44" s="128">
        <v>0</v>
      </c>
      <c r="U44" s="129">
        <v>0</v>
      </c>
    </row>
    <row r="45" spans="1:21" x14ac:dyDescent="0.45">
      <c r="A45" s="13" t="s">
        <v>47</v>
      </c>
      <c r="B45" s="13" t="s">
        <v>35</v>
      </c>
      <c r="C45" s="13" t="s">
        <v>36</v>
      </c>
      <c r="D45" s="13" t="s">
        <v>22</v>
      </c>
      <c r="E45" s="113" t="s">
        <v>25</v>
      </c>
      <c r="F45" s="13" t="s">
        <v>26</v>
      </c>
      <c r="G45" s="114">
        <v>374870</v>
      </c>
      <c r="H45" s="13" t="s">
        <v>27</v>
      </c>
      <c r="I45" s="13" t="s">
        <v>28</v>
      </c>
      <c r="J45" s="117">
        <v>120</v>
      </c>
      <c r="K45" s="118" t="s">
        <v>37</v>
      </c>
      <c r="L45" s="119" t="s">
        <v>29</v>
      </c>
      <c r="M45" s="14" t="s">
        <v>49</v>
      </c>
      <c r="N45" s="121">
        <v>4634288</v>
      </c>
      <c r="O45" s="121">
        <v>3649491.1504424801</v>
      </c>
      <c r="P45" s="122">
        <v>4889823.1100000003</v>
      </c>
      <c r="Q45" s="127"/>
      <c r="R45" s="128">
        <v>0.26984497535721402</v>
      </c>
      <c r="S45" s="128">
        <v>-0.25365579319647902</v>
      </c>
      <c r="T45" s="128">
        <v>0</v>
      </c>
      <c r="U45" s="129" t="s">
        <v>38</v>
      </c>
    </row>
    <row r="46" spans="1:21" x14ac:dyDescent="0.45">
      <c r="A46" s="13" t="s">
        <v>47</v>
      </c>
      <c r="B46" s="13" t="s">
        <v>39</v>
      </c>
      <c r="C46" s="13" t="s">
        <v>24</v>
      </c>
      <c r="D46" s="13" t="s">
        <v>22</v>
      </c>
      <c r="E46" s="113" t="s">
        <v>25</v>
      </c>
      <c r="F46" s="13" t="s">
        <v>26</v>
      </c>
      <c r="G46" s="114">
        <v>374870</v>
      </c>
      <c r="H46" s="13" t="s">
        <v>27</v>
      </c>
      <c r="I46" s="13" t="s">
        <v>28</v>
      </c>
      <c r="J46" s="117"/>
      <c r="K46" s="118"/>
      <c r="L46" s="119" t="s">
        <v>29</v>
      </c>
      <c r="M46" s="14" t="s">
        <v>49</v>
      </c>
      <c r="N46" s="121">
        <v>782327</v>
      </c>
      <c r="O46" s="121">
        <v>793534.513274336</v>
      </c>
      <c r="P46" s="122"/>
      <c r="Q46" s="127"/>
      <c r="R46" s="128">
        <v>-1.412353601117E-2</v>
      </c>
      <c r="S46" s="128">
        <v>0</v>
      </c>
      <c r="T46" s="128">
        <v>0</v>
      </c>
      <c r="U46" s="129">
        <v>0</v>
      </c>
    </row>
    <row r="47" spans="1:21" x14ac:dyDescent="0.45">
      <c r="A47" s="13" t="s">
        <v>47</v>
      </c>
      <c r="B47" s="13" t="s">
        <v>50</v>
      </c>
      <c r="C47" s="13" t="s">
        <v>24</v>
      </c>
      <c r="D47" s="13" t="s">
        <v>22</v>
      </c>
      <c r="E47" s="113" t="s">
        <v>25</v>
      </c>
      <c r="F47" s="13" t="s">
        <v>26</v>
      </c>
      <c r="G47" s="114">
        <v>374870</v>
      </c>
      <c r="H47" s="13" t="s">
        <v>27</v>
      </c>
      <c r="I47" s="13" t="s">
        <v>28</v>
      </c>
      <c r="J47" s="117">
        <v>75</v>
      </c>
      <c r="K47" s="118" t="s">
        <v>37</v>
      </c>
      <c r="L47" s="119" t="s">
        <v>29</v>
      </c>
      <c r="M47" s="14" t="s">
        <v>49</v>
      </c>
      <c r="N47" s="121">
        <v>1061946</v>
      </c>
      <c r="O47" s="121">
        <v>799247.78761062003</v>
      </c>
      <c r="P47" s="122">
        <v>1769911.5</v>
      </c>
      <c r="Q47" s="127"/>
      <c r="R47" s="128">
        <v>0.32868181365221699</v>
      </c>
      <c r="S47" s="128">
        <v>-0.548424998871062</v>
      </c>
      <c r="T47" s="128">
        <v>0</v>
      </c>
      <c r="U47" s="129" t="s">
        <v>38</v>
      </c>
    </row>
    <row r="48" spans="1:21" x14ac:dyDescent="0.45">
      <c r="A48" s="13" t="s">
        <v>47</v>
      </c>
      <c r="B48" s="13" t="s">
        <v>41</v>
      </c>
      <c r="C48" s="13" t="s">
        <v>24</v>
      </c>
      <c r="D48" s="13" t="s">
        <v>22</v>
      </c>
      <c r="E48" s="113" t="s">
        <v>25</v>
      </c>
      <c r="F48" s="13" t="s">
        <v>26</v>
      </c>
      <c r="G48" s="114">
        <v>374870</v>
      </c>
      <c r="H48" s="13" t="s">
        <v>27</v>
      </c>
      <c r="I48" s="13" t="s">
        <v>28</v>
      </c>
      <c r="J48" s="117">
        <v>85</v>
      </c>
      <c r="K48" s="118" t="s">
        <v>37</v>
      </c>
      <c r="L48" s="119" t="s">
        <v>29</v>
      </c>
      <c r="M48" s="14" t="s">
        <v>49</v>
      </c>
      <c r="N48" s="121">
        <v>1159292</v>
      </c>
      <c r="O48" s="121">
        <v>1950245.5752212401</v>
      </c>
      <c r="P48" s="122">
        <v>2300884.96</v>
      </c>
      <c r="Q48" s="127"/>
      <c r="R48" s="128">
        <v>-0.40556614268001201</v>
      </c>
      <c r="S48" s="128">
        <v>-0.15239327079558199</v>
      </c>
      <c r="T48" s="128">
        <v>0</v>
      </c>
      <c r="U48" s="129" t="s">
        <v>38</v>
      </c>
    </row>
    <row r="49" spans="1:21" x14ac:dyDescent="0.45">
      <c r="A49" s="13" t="s">
        <v>47</v>
      </c>
      <c r="B49" s="13" t="s">
        <v>42</v>
      </c>
      <c r="C49" s="13" t="s">
        <v>24</v>
      </c>
      <c r="D49" s="13" t="s">
        <v>22</v>
      </c>
      <c r="E49" s="113" t="s">
        <v>25</v>
      </c>
      <c r="F49" s="13" t="s">
        <v>26</v>
      </c>
      <c r="G49" s="114">
        <v>374870</v>
      </c>
      <c r="H49" s="13" t="s">
        <v>27</v>
      </c>
      <c r="I49" s="13" t="s">
        <v>28</v>
      </c>
      <c r="J49" s="117"/>
      <c r="K49" s="118"/>
      <c r="L49" s="119" t="s">
        <v>29</v>
      </c>
      <c r="M49" s="14" t="s">
        <v>49</v>
      </c>
      <c r="N49" s="121">
        <v>4279492</v>
      </c>
      <c r="O49" s="121"/>
      <c r="P49" s="122"/>
      <c r="Q49" s="127"/>
      <c r="R49" s="128">
        <v>0</v>
      </c>
      <c r="S49" s="128">
        <v>0</v>
      </c>
      <c r="T49" s="128">
        <v>0</v>
      </c>
      <c r="U49" s="129">
        <v>0</v>
      </c>
    </row>
    <row r="50" spans="1:21" x14ac:dyDescent="0.45">
      <c r="A50" s="13" t="s">
        <v>47</v>
      </c>
      <c r="B50" s="13" t="s">
        <v>43</v>
      </c>
      <c r="C50" s="13" t="s">
        <v>24</v>
      </c>
      <c r="D50" s="13" t="s">
        <v>22</v>
      </c>
      <c r="E50" s="113" t="s">
        <v>25</v>
      </c>
      <c r="F50" s="13" t="s">
        <v>26</v>
      </c>
      <c r="G50" s="114">
        <v>374870</v>
      </c>
      <c r="H50" s="13" t="s">
        <v>27</v>
      </c>
      <c r="I50" s="13" t="s">
        <v>28</v>
      </c>
      <c r="J50" s="117"/>
      <c r="K50" s="118"/>
      <c r="L50" s="119" t="s">
        <v>29</v>
      </c>
      <c r="M50" s="14" t="s">
        <v>49</v>
      </c>
      <c r="N50" s="121">
        <v>1132743</v>
      </c>
      <c r="O50" s="121">
        <v>830577.87610619504</v>
      </c>
      <c r="P50" s="122"/>
      <c r="Q50" s="127"/>
      <c r="R50" s="128">
        <v>0.36380107463297201</v>
      </c>
      <c r="S50" s="128">
        <v>0</v>
      </c>
      <c r="T50" s="128">
        <v>0</v>
      </c>
      <c r="U50" s="129">
        <v>0</v>
      </c>
    </row>
    <row r="51" spans="1:21" x14ac:dyDescent="0.45">
      <c r="A51" s="13" t="s">
        <v>47</v>
      </c>
      <c r="B51" s="13" t="s">
        <v>44</v>
      </c>
      <c r="C51" s="13" t="s">
        <v>24</v>
      </c>
      <c r="D51" s="13" t="s">
        <v>22</v>
      </c>
      <c r="E51" s="113" t="s">
        <v>25</v>
      </c>
      <c r="F51" s="13" t="s">
        <v>26</v>
      </c>
      <c r="G51" s="114">
        <v>374870</v>
      </c>
      <c r="H51" s="13" t="s">
        <v>27</v>
      </c>
      <c r="I51" s="13" t="s">
        <v>28</v>
      </c>
      <c r="J51" s="117"/>
      <c r="K51" s="118"/>
      <c r="L51" s="119" t="s">
        <v>29</v>
      </c>
      <c r="M51" s="14" t="s">
        <v>49</v>
      </c>
      <c r="N51" s="121">
        <v>2044240</v>
      </c>
      <c r="O51" s="121"/>
      <c r="P51" s="122"/>
      <c r="Q51" s="127"/>
      <c r="R51" s="128">
        <v>0</v>
      </c>
      <c r="S51" s="128">
        <v>0</v>
      </c>
      <c r="T51" s="128">
        <v>0</v>
      </c>
      <c r="U51" s="129">
        <v>0</v>
      </c>
    </row>
    <row r="52" spans="1:21" x14ac:dyDescent="0.45">
      <c r="A52" s="10" t="s">
        <v>47</v>
      </c>
      <c r="B52" s="10" t="s">
        <v>23</v>
      </c>
      <c r="C52" s="10" t="s">
        <v>24</v>
      </c>
      <c r="D52" s="10" t="s">
        <v>22</v>
      </c>
      <c r="E52" s="10" t="s">
        <v>25</v>
      </c>
      <c r="F52" s="10" t="s">
        <v>26</v>
      </c>
      <c r="G52" s="10">
        <v>374870</v>
      </c>
      <c r="H52" s="10" t="s">
        <v>27</v>
      </c>
      <c r="I52" s="10" t="s">
        <v>28</v>
      </c>
      <c r="L52" s="10" t="s">
        <v>29</v>
      </c>
      <c r="M52" t="s">
        <v>51</v>
      </c>
      <c r="N52" s="111">
        <v>840707.96460177004</v>
      </c>
      <c r="O52" s="111">
        <v>860397.34513274301</v>
      </c>
      <c r="R52" s="111">
        <v>-2.2884055422016301E-2</v>
      </c>
      <c r="S52" s="111">
        <v>0</v>
      </c>
      <c r="T52" s="111">
        <v>0</v>
      </c>
      <c r="U52" s="111">
        <v>0</v>
      </c>
    </row>
    <row r="53" spans="1:21" x14ac:dyDescent="0.45">
      <c r="A53" s="10" t="s">
        <v>47</v>
      </c>
      <c r="B53" s="10" t="s">
        <v>31</v>
      </c>
      <c r="C53" s="10" t="s">
        <v>24</v>
      </c>
      <c r="D53" s="10" t="s">
        <v>22</v>
      </c>
      <c r="E53" s="10" t="s">
        <v>25</v>
      </c>
      <c r="F53" s="10" t="s">
        <v>26</v>
      </c>
      <c r="G53" s="10">
        <v>374870</v>
      </c>
      <c r="H53" s="10" t="s">
        <v>27</v>
      </c>
      <c r="I53" s="10" t="s">
        <v>28</v>
      </c>
      <c r="K53" s="10" t="s">
        <v>32</v>
      </c>
      <c r="L53" s="10" t="s">
        <v>29</v>
      </c>
      <c r="M53" t="s">
        <v>51</v>
      </c>
      <c r="N53" s="111">
        <v>1548672.56637168</v>
      </c>
      <c r="O53" s="111">
        <v>4553349.55752212</v>
      </c>
      <c r="P53" s="111">
        <v>2159292.03539823</v>
      </c>
      <c r="R53" s="111">
        <v>-0.65988278589038296</v>
      </c>
      <c r="S53" s="111">
        <v>1.1087233606557401</v>
      </c>
      <c r="T53" s="111">
        <v>0</v>
      </c>
      <c r="U53" s="111">
        <v>0</v>
      </c>
    </row>
    <row r="54" spans="1:21" x14ac:dyDescent="0.45">
      <c r="A54" s="10" t="s">
        <v>47</v>
      </c>
      <c r="B54" s="10" t="s">
        <v>33</v>
      </c>
      <c r="C54" s="10" t="s">
        <v>24</v>
      </c>
      <c r="D54" s="10" t="s">
        <v>22</v>
      </c>
      <c r="E54" s="10" t="s">
        <v>25</v>
      </c>
      <c r="F54" s="10" t="s">
        <v>26</v>
      </c>
      <c r="G54" s="10">
        <v>374870</v>
      </c>
      <c r="H54" s="10" t="s">
        <v>27</v>
      </c>
      <c r="I54" s="10" t="s">
        <v>28</v>
      </c>
      <c r="K54" s="10" t="s">
        <v>34</v>
      </c>
      <c r="L54" s="10" t="s">
        <v>29</v>
      </c>
      <c r="M54" t="s">
        <v>51</v>
      </c>
      <c r="N54" s="111">
        <v>1128146</v>
      </c>
      <c r="O54" s="111">
        <v>4230241.5929203499</v>
      </c>
      <c r="R54" s="111">
        <v>-0.73331404951243395</v>
      </c>
      <c r="S54" s="111">
        <v>0</v>
      </c>
      <c r="T54" s="111">
        <v>0</v>
      </c>
      <c r="U54" s="111">
        <v>0</v>
      </c>
    </row>
    <row r="55" spans="1:21" x14ac:dyDescent="0.45">
      <c r="A55" s="10" t="s">
        <v>47</v>
      </c>
      <c r="B55" s="10" t="s">
        <v>35</v>
      </c>
      <c r="C55" s="10" t="s">
        <v>36</v>
      </c>
      <c r="D55" s="10" t="s">
        <v>22</v>
      </c>
      <c r="E55" s="10" t="s">
        <v>25</v>
      </c>
      <c r="F55" s="10" t="s">
        <v>26</v>
      </c>
      <c r="G55" s="10">
        <v>374870</v>
      </c>
      <c r="H55" s="10" t="s">
        <v>27</v>
      </c>
      <c r="I55" s="10" t="s">
        <v>28</v>
      </c>
      <c r="J55" s="10">
        <v>129.19999999999999</v>
      </c>
      <c r="K55" s="10" t="s">
        <v>37</v>
      </c>
      <c r="L55" s="10" t="s">
        <v>29</v>
      </c>
      <c r="M55" t="s">
        <v>51</v>
      </c>
      <c r="N55" s="111">
        <v>2196812</v>
      </c>
      <c r="O55" s="111">
        <v>6114597.3451327402</v>
      </c>
      <c r="P55" s="111">
        <v>6239540</v>
      </c>
      <c r="R55" s="111">
        <v>-0.64072662908070699</v>
      </c>
      <c r="S55" s="111">
        <v>-2.0024337510017799E-2</v>
      </c>
      <c r="T55" s="111">
        <v>0</v>
      </c>
      <c r="U55" s="111" t="s">
        <v>38</v>
      </c>
    </row>
    <row r="56" spans="1:21" x14ac:dyDescent="0.45">
      <c r="A56" s="10" t="s">
        <v>47</v>
      </c>
      <c r="B56" s="10" t="s">
        <v>39</v>
      </c>
      <c r="C56" s="10" t="s">
        <v>24</v>
      </c>
      <c r="D56" s="10" t="s">
        <v>22</v>
      </c>
      <c r="E56" s="10" t="s">
        <v>25</v>
      </c>
      <c r="F56" s="10" t="s">
        <v>26</v>
      </c>
      <c r="G56" s="10">
        <v>374870</v>
      </c>
      <c r="H56" s="10" t="s">
        <v>27</v>
      </c>
      <c r="I56" s="10" t="s">
        <v>28</v>
      </c>
      <c r="L56" s="10" t="s">
        <v>29</v>
      </c>
      <c r="M56" t="s">
        <v>51</v>
      </c>
      <c r="N56" s="111">
        <v>548672.56637168198</v>
      </c>
      <c r="O56" s="111">
        <v>1534805.30973451</v>
      </c>
      <c r="R56" s="111">
        <v>-0.64251324719055802</v>
      </c>
      <c r="S56" s="111">
        <v>0</v>
      </c>
      <c r="T56" s="111">
        <v>0</v>
      </c>
      <c r="U56" s="111">
        <v>0</v>
      </c>
    </row>
    <row r="57" spans="1:21" x14ac:dyDescent="0.45">
      <c r="A57" s="10" t="s">
        <v>47</v>
      </c>
      <c r="B57" s="10" t="s">
        <v>50</v>
      </c>
      <c r="C57" s="10" t="s">
        <v>24</v>
      </c>
      <c r="D57" s="10" t="s">
        <v>22</v>
      </c>
      <c r="E57" s="10" t="s">
        <v>25</v>
      </c>
      <c r="F57" s="10" t="s">
        <v>26</v>
      </c>
      <c r="G57" s="10">
        <v>374870</v>
      </c>
      <c r="H57" s="10" t="s">
        <v>27</v>
      </c>
      <c r="I57" s="10" t="s">
        <v>28</v>
      </c>
      <c r="K57" s="10" t="s">
        <v>37</v>
      </c>
      <c r="L57" s="10" t="s">
        <v>29</v>
      </c>
      <c r="M57" t="s">
        <v>51</v>
      </c>
      <c r="N57" s="111">
        <v>725663.71681415895</v>
      </c>
      <c r="O57" s="111">
        <v>1815580.53097345</v>
      </c>
      <c r="P57" s="111">
        <v>1761061.94690266</v>
      </c>
      <c r="R57" s="111">
        <v>-0.60031312055043695</v>
      </c>
      <c r="S57" s="111">
        <v>3.0957788944723699E-2</v>
      </c>
      <c r="T57" s="111">
        <v>0</v>
      </c>
      <c r="U57" s="111">
        <v>0</v>
      </c>
    </row>
    <row r="58" spans="1:21" x14ac:dyDescent="0.45">
      <c r="A58" s="10" t="s">
        <v>47</v>
      </c>
      <c r="B58" s="10" t="s">
        <v>41</v>
      </c>
      <c r="C58" s="10" t="s">
        <v>24</v>
      </c>
      <c r="D58" s="10" t="s">
        <v>22</v>
      </c>
      <c r="E58" s="10" t="s">
        <v>25</v>
      </c>
      <c r="F58" s="10" t="s">
        <v>26</v>
      </c>
      <c r="G58" s="10">
        <v>374870</v>
      </c>
      <c r="H58" s="10" t="s">
        <v>27</v>
      </c>
      <c r="I58" s="10" t="s">
        <v>28</v>
      </c>
      <c r="K58" s="10" t="s">
        <v>37</v>
      </c>
      <c r="L58" s="10" t="s">
        <v>29</v>
      </c>
      <c r="M58" t="s">
        <v>51</v>
      </c>
      <c r="N58" s="111">
        <v>654867.256637168</v>
      </c>
      <c r="O58" s="111">
        <v>1859474.3362831899</v>
      </c>
      <c r="P58" s="111">
        <v>1982300.8849557501</v>
      </c>
      <c r="R58" s="111">
        <v>-0.64782129881601302</v>
      </c>
      <c r="S58" s="111">
        <v>-6.1961607142857103E-2</v>
      </c>
      <c r="T58" s="111">
        <v>0</v>
      </c>
      <c r="U58" s="111">
        <v>0</v>
      </c>
    </row>
    <row r="59" spans="1:21" x14ac:dyDescent="0.45">
      <c r="A59" s="10" t="s">
        <v>47</v>
      </c>
      <c r="B59" s="10" t="s">
        <v>42</v>
      </c>
      <c r="C59" s="10" t="s">
        <v>24</v>
      </c>
      <c r="D59" s="10" t="s">
        <v>22</v>
      </c>
      <c r="E59" s="10" t="s">
        <v>25</v>
      </c>
      <c r="F59" s="10" t="s">
        <v>26</v>
      </c>
      <c r="G59" s="10">
        <v>374870</v>
      </c>
      <c r="H59" s="10" t="s">
        <v>27</v>
      </c>
      <c r="I59" s="10" t="s">
        <v>28</v>
      </c>
      <c r="L59" s="10" t="s">
        <v>29</v>
      </c>
      <c r="M59" t="s">
        <v>51</v>
      </c>
      <c r="N59" s="111">
        <v>2229603</v>
      </c>
      <c r="R59" s="111">
        <v>0</v>
      </c>
      <c r="S59" s="111">
        <v>0</v>
      </c>
      <c r="T59" s="111">
        <v>0</v>
      </c>
      <c r="U59" s="111">
        <v>0</v>
      </c>
    </row>
    <row r="60" spans="1:21" x14ac:dyDescent="0.45">
      <c r="A60" s="10" t="s">
        <v>47</v>
      </c>
      <c r="B60" s="10" t="s">
        <v>43</v>
      </c>
      <c r="C60" s="10" t="s">
        <v>24</v>
      </c>
      <c r="D60" s="10" t="s">
        <v>22</v>
      </c>
      <c r="E60" s="10" t="s">
        <v>25</v>
      </c>
      <c r="F60" s="10" t="s">
        <v>26</v>
      </c>
      <c r="G60" s="10">
        <v>374870</v>
      </c>
      <c r="H60" s="10" t="s">
        <v>27</v>
      </c>
      <c r="I60" s="10" t="s">
        <v>28</v>
      </c>
      <c r="L60" s="10" t="s">
        <v>29</v>
      </c>
      <c r="M60" t="s">
        <v>51</v>
      </c>
      <c r="N60" s="111">
        <v>672566.37168141606</v>
      </c>
      <c r="O60" s="111">
        <v>1721578.2300885001</v>
      </c>
      <c r="R60" s="111">
        <v>-0.60933150760924604</v>
      </c>
      <c r="S60" s="111">
        <v>0</v>
      </c>
      <c r="T60" s="111">
        <v>0</v>
      </c>
      <c r="U60" s="111">
        <v>0</v>
      </c>
    </row>
    <row r="61" spans="1:21" x14ac:dyDescent="0.45">
      <c r="A61" s="10" t="s">
        <v>47</v>
      </c>
      <c r="B61" s="10" t="s">
        <v>44</v>
      </c>
      <c r="C61" s="10" t="s">
        <v>24</v>
      </c>
      <c r="D61" s="10" t="s">
        <v>22</v>
      </c>
      <c r="E61" s="10" t="s">
        <v>25</v>
      </c>
      <c r="F61" s="10" t="s">
        <v>26</v>
      </c>
      <c r="G61" s="10">
        <v>374870</v>
      </c>
      <c r="H61" s="10" t="s">
        <v>27</v>
      </c>
      <c r="I61" s="10" t="s">
        <v>28</v>
      </c>
      <c r="L61" s="10" t="s">
        <v>29</v>
      </c>
      <c r="M61" t="s">
        <v>51</v>
      </c>
      <c r="N61" s="111">
        <v>973451</v>
      </c>
      <c r="R61" s="111">
        <v>0</v>
      </c>
      <c r="S61" s="111">
        <v>0</v>
      </c>
      <c r="T61" s="111">
        <v>0</v>
      </c>
      <c r="U61" s="111">
        <v>0</v>
      </c>
    </row>
  </sheetData>
  <autoFilter ref="A1:V61" xr:uid="{00000000-0009-0000-0000-000000000000}"/>
  <phoneticPr fontId="28" type="noConversion"/>
  <pageMargins left="0.7" right="0.7" top="0.75" bottom="0.75" header="0.3" footer="0.3"/>
  <headerFooter>
    <oddHeader>&amp;L&amp;"Calibri"&amp;10&amp;K000000General Information&amp;1#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9"/>
  <sheetViews>
    <sheetView workbookViewId="0"/>
  </sheetViews>
  <sheetFormatPr defaultColWidth="9" defaultRowHeight="14" x14ac:dyDescent="0.45"/>
  <cols>
    <col min="39" max="39" width="9.76171875" customWidth="1"/>
    <col min="40" max="40" width="10.9375" customWidth="1"/>
    <col min="41" max="41" width="10.76171875" customWidth="1"/>
    <col min="42" max="42" width="12.234375" customWidth="1"/>
    <col min="43" max="43" width="11.05859375" customWidth="1"/>
    <col min="44" max="44" width="11.76171875" customWidth="1"/>
  </cols>
  <sheetData>
    <row r="1" spans="1:45" x14ac:dyDescent="0.35">
      <c r="A1" s="31" t="s">
        <v>84</v>
      </c>
      <c r="B1" s="32" t="s">
        <v>86</v>
      </c>
      <c r="C1" s="33" t="s">
        <v>87</v>
      </c>
      <c r="D1" s="34" t="s">
        <v>88</v>
      </c>
      <c r="E1" s="35"/>
      <c r="F1" s="35"/>
      <c r="G1" s="36"/>
      <c r="H1" s="321" t="s">
        <v>89</v>
      </c>
      <c r="I1" s="75" t="s">
        <v>73</v>
      </c>
      <c r="J1" s="76" t="s">
        <v>74</v>
      </c>
      <c r="K1" s="76" t="s">
        <v>75</v>
      </c>
      <c r="L1" s="76" t="s">
        <v>76</v>
      </c>
      <c r="M1" s="76" t="s">
        <v>77</v>
      </c>
      <c r="N1" s="77" t="s">
        <v>78</v>
      </c>
      <c r="O1" s="78" t="s">
        <v>73</v>
      </c>
      <c r="P1" s="79" t="s">
        <v>74</v>
      </c>
      <c r="Q1" s="79" t="s">
        <v>75</v>
      </c>
      <c r="R1" s="79" t="s">
        <v>76</v>
      </c>
      <c r="S1" s="79" t="s">
        <v>77</v>
      </c>
      <c r="T1" s="97" t="s">
        <v>78</v>
      </c>
      <c r="U1" s="75" t="s">
        <v>73</v>
      </c>
      <c r="V1" s="76" t="s">
        <v>74</v>
      </c>
      <c r="W1" s="76" t="s">
        <v>75</v>
      </c>
      <c r="X1" s="76" t="s">
        <v>76</v>
      </c>
      <c r="Y1" s="76" t="s">
        <v>77</v>
      </c>
      <c r="Z1" s="77" t="s">
        <v>78</v>
      </c>
      <c r="AA1" s="78" t="s">
        <v>73</v>
      </c>
      <c r="AB1" s="79" t="s">
        <v>74</v>
      </c>
      <c r="AC1" s="79" t="s">
        <v>75</v>
      </c>
      <c r="AD1" s="79" t="s">
        <v>76</v>
      </c>
      <c r="AE1" s="79" t="s">
        <v>77</v>
      </c>
      <c r="AF1" s="97" t="s">
        <v>78</v>
      </c>
      <c r="AG1" s="75" t="s">
        <v>73</v>
      </c>
      <c r="AH1" s="76" t="s">
        <v>74</v>
      </c>
      <c r="AI1" s="76" t="s">
        <v>75</v>
      </c>
      <c r="AJ1" s="76" t="s">
        <v>76</v>
      </c>
      <c r="AK1" s="76" t="s">
        <v>77</v>
      </c>
      <c r="AL1" s="77" t="s">
        <v>78</v>
      </c>
      <c r="AM1" s="41" t="s">
        <v>89</v>
      </c>
      <c r="AN1" s="98" t="s">
        <v>73</v>
      </c>
      <c r="AO1" s="100" t="s">
        <v>74</v>
      </c>
      <c r="AP1" s="100" t="s">
        <v>75</v>
      </c>
      <c r="AQ1" s="100" t="s">
        <v>76</v>
      </c>
      <c r="AR1" s="100" t="s">
        <v>77</v>
      </c>
      <c r="AS1" s="101" t="s">
        <v>78</v>
      </c>
    </row>
    <row r="2" spans="1:45" ht="14" customHeight="1" x14ac:dyDescent="0.35">
      <c r="A2" s="37" t="s">
        <v>84</v>
      </c>
      <c r="B2" s="38" t="s">
        <v>90</v>
      </c>
      <c r="C2" s="39" t="s">
        <v>91</v>
      </c>
      <c r="D2" s="40" t="s">
        <v>92</v>
      </c>
      <c r="E2" s="36"/>
      <c r="F2" s="36"/>
      <c r="G2" s="36"/>
      <c r="H2" s="322"/>
      <c r="I2" s="80" t="s">
        <v>93</v>
      </c>
      <c r="J2" s="81" t="s">
        <v>93</v>
      </c>
      <c r="K2" s="81" t="s">
        <v>93</v>
      </c>
      <c r="L2" s="81" t="s">
        <v>93</v>
      </c>
      <c r="M2" s="81" t="s">
        <v>93</v>
      </c>
      <c r="N2" s="82" t="s">
        <v>93</v>
      </c>
      <c r="O2" s="80" t="s">
        <v>94</v>
      </c>
      <c r="P2" s="81" t="s">
        <v>94</v>
      </c>
      <c r="Q2" s="81" t="s">
        <v>94</v>
      </c>
      <c r="R2" s="81" t="s">
        <v>94</v>
      </c>
      <c r="S2" s="81" t="s">
        <v>94</v>
      </c>
      <c r="T2" s="82" t="s">
        <v>94</v>
      </c>
      <c r="U2" s="80" t="s">
        <v>95</v>
      </c>
      <c r="V2" s="81" t="s">
        <v>95</v>
      </c>
      <c r="W2" s="81" t="s">
        <v>95</v>
      </c>
      <c r="X2" s="81" t="s">
        <v>95</v>
      </c>
      <c r="Y2" s="81" t="s">
        <v>95</v>
      </c>
      <c r="Z2" s="82" t="s">
        <v>95</v>
      </c>
      <c r="AA2" s="80" t="s">
        <v>96</v>
      </c>
      <c r="AB2" s="81" t="s">
        <v>96</v>
      </c>
      <c r="AC2" s="81" t="s">
        <v>96</v>
      </c>
      <c r="AD2" s="81" t="s">
        <v>96</v>
      </c>
      <c r="AE2" s="81" t="s">
        <v>96</v>
      </c>
      <c r="AF2" s="82" t="s">
        <v>96</v>
      </c>
      <c r="AG2" s="80" t="s">
        <v>97</v>
      </c>
      <c r="AH2" s="81" t="s">
        <v>97</v>
      </c>
      <c r="AI2" s="81" t="s">
        <v>97</v>
      </c>
      <c r="AJ2" s="81" t="s">
        <v>97</v>
      </c>
      <c r="AK2" s="81" t="s">
        <v>97</v>
      </c>
      <c r="AL2" s="82" t="s">
        <v>97</v>
      </c>
      <c r="AM2" s="41"/>
      <c r="AN2" s="81" t="s">
        <v>98</v>
      </c>
      <c r="AO2" s="81" t="s">
        <v>98</v>
      </c>
      <c r="AP2" s="81" t="s">
        <v>98</v>
      </c>
      <c r="AQ2" s="81" t="s">
        <v>98</v>
      </c>
      <c r="AR2" s="81" t="s">
        <v>98</v>
      </c>
      <c r="AS2" s="81" t="s">
        <v>98</v>
      </c>
    </row>
    <row r="3" spans="1:45" x14ac:dyDescent="0.45">
      <c r="A3" s="42"/>
      <c r="B3" s="43"/>
      <c r="C3" s="44"/>
      <c r="D3" s="45"/>
      <c r="E3" s="46"/>
      <c r="F3" s="46"/>
      <c r="G3" s="46"/>
      <c r="H3" s="323"/>
      <c r="I3" s="83" t="s">
        <v>99</v>
      </c>
      <c r="J3" s="84" t="s">
        <v>99</v>
      </c>
      <c r="K3" s="84" t="s">
        <v>99</v>
      </c>
      <c r="L3" s="84" t="s">
        <v>99</v>
      </c>
      <c r="M3" s="84" t="s">
        <v>99</v>
      </c>
      <c r="N3" s="85" t="s">
        <v>99</v>
      </c>
      <c r="O3" s="83" t="s">
        <v>100</v>
      </c>
      <c r="P3" s="84" t="s">
        <v>100</v>
      </c>
      <c r="Q3" s="84" t="s">
        <v>100</v>
      </c>
      <c r="R3" s="84" t="s">
        <v>100</v>
      </c>
      <c r="S3" s="84" t="s">
        <v>100</v>
      </c>
      <c r="T3" s="85" t="s">
        <v>100</v>
      </c>
      <c r="U3" s="83" t="s">
        <v>101</v>
      </c>
      <c r="V3" s="84" t="s">
        <v>101</v>
      </c>
      <c r="W3" s="84" t="s">
        <v>101</v>
      </c>
      <c r="X3" s="84" t="s">
        <v>101</v>
      </c>
      <c r="Y3" s="84" t="s">
        <v>101</v>
      </c>
      <c r="Z3" s="85" t="s">
        <v>101</v>
      </c>
      <c r="AA3" s="83" t="s">
        <v>102</v>
      </c>
      <c r="AB3" s="84" t="s">
        <v>102</v>
      </c>
      <c r="AC3" s="84" t="s">
        <v>102</v>
      </c>
      <c r="AD3" s="84" t="s">
        <v>102</v>
      </c>
      <c r="AE3" s="84" t="s">
        <v>102</v>
      </c>
      <c r="AF3" s="85" t="s">
        <v>102</v>
      </c>
      <c r="AG3" s="83" t="s">
        <v>103</v>
      </c>
      <c r="AH3" s="84" t="s">
        <v>103</v>
      </c>
      <c r="AI3" s="84" t="s">
        <v>103</v>
      </c>
      <c r="AJ3" s="84" t="s">
        <v>103</v>
      </c>
      <c r="AK3" s="84" t="s">
        <v>103</v>
      </c>
      <c r="AL3" s="85" t="s">
        <v>103</v>
      </c>
      <c r="AM3" s="47"/>
    </row>
    <row r="4" spans="1:45" x14ac:dyDescent="0.35">
      <c r="A4" s="48" t="s">
        <v>73</v>
      </c>
      <c r="B4" s="49">
        <v>1375187</v>
      </c>
      <c r="C4" s="50">
        <v>2908187</v>
      </c>
      <c r="D4" s="51">
        <v>-0.52713253996390197</v>
      </c>
      <c r="E4" s="46"/>
      <c r="F4" s="46"/>
      <c r="G4" s="46"/>
      <c r="H4" s="52" t="s">
        <v>104</v>
      </c>
      <c r="I4" s="86" t="s">
        <v>48</v>
      </c>
      <c r="J4" s="87" t="s">
        <v>48</v>
      </c>
      <c r="K4" s="87" t="s">
        <v>48</v>
      </c>
      <c r="L4" s="87" t="s">
        <v>48</v>
      </c>
      <c r="M4" s="87" t="s">
        <v>48</v>
      </c>
      <c r="N4" s="88" t="s">
        <v>48</v>
      </c>
      <c r="O4" s="86">
        <v>562290.70250000001</v>
      </c>
      <c r="P4" s="87">
        <v>1204558.0100000014</v>
      </c>
      <c r="Q4" s="87">
        <v>3312616.3414999992</v>
      </c>
      <c r="R4" s="87">
        <v>1693530.5340000009</v>
      </c>
      <c r="S4" s="87">
        <v>1695305.2955000005</v>
      </c>
      <c r="T4" s="88">
        <v>2510320.3654999998</v>
      </c>
      <c r="U4" s="86">
        <v>2230196.2699999991</v>
      </c>
      <c r="V4" s="87">
        <v>1208971.5900000003</v>
      </c>
      <c r="W4" s="87">
        <v>830384.08</v>
      </c>
      <c r="X4" s="87">
        <v>3006178.1299999976</v>
      </c>
      <c r="Y4" s="87">
        <v>1999077.3599999996</v>
      </c>
      <c r="Z4" s="88">
        <v>1513181.7999999998</v>
      </c>
      <c r="AA4" s="86">
        <v>-0.74787389340400956</v>
      </c>
      <c r="AB4" s="87">
        <v>-3.6506895914724113E-3</v>
      </c>
      <c r="AC4" s="87">
        <v>2.9892580087758902</v>
      </c>
      <c r="AD4" s="87">
        <v>-0.43664997190302812</v>
      </c>
      <c r="AE4" s="87">
        <v>-0.15195613265311514</v>
      </c>
      <c r="AF4" s="88">
        <v>0.65896811969321867</v>
      </c>
      <c r="AG4" s="86">
        <v>0</v>
      </c>
      <c r="AH4" s="87">
        <v>0</v>
      </c>
      <c r="AI4" s="87">
        <v>0</v>
      </c>
      <c r="AJ4" s="87">
        <v>0</v>
      </c>
      <c r="AK4" s="87">
        <v>0</v>
      </c>
      <c r="AL4" s="88">
        <v>0</v>
      </c>
      <c r="AM4" s="52" t="s">
        <v>104</v>
      </c>
      <c r="AN4" s="99" t="e">
        <f>I4+O4+U4+AA4+AG4</f>
        <v>#VALUE!</v>
      </c>
      <c r="AO4" s="99" t="e">
        <f t="shared" ref="AO4:AS7" si="0">J4+P4+V4+AB4+AH4</f>
        <v>#VALUE!</v>
      </c>
      <c r="AP4" s="99" t="e">
        <f t="shared" si="0"/>
        <v>#VALUE!</v>
      </c>
      <c r="AQ4" s="99" t="e">
        <f t="shared" si="0"/>
        <v>#VALUE!</v>
      </c>
      <c r="AR4" s="99" t="e">
        <f t="shared" si="0"/>
        <v>#VALUE!</v>
      </c>
      <c r="AS4" s="99" t="e">
        <f t="shared" si="0"/>
        <v>#VALUE!</v>
      </c>
    </row>
    <row r="5" spans="1:45" x14ac:dyDescent="0.35">
      <c r="A5" s="53" t="s">
        <v>74</v>
      </c>
      <c r="B5" s="54">
        <v>1873195</v>
      </c>
      <c r="C5" s="55">
        <v>2497108</v>
      </c>
      <c r="D5" s="56">
        <v>-0.24985423137485399</v>
      </c>
      <c r="E5" s="57"/>
      <c r="F5" s="57"/>
      <c r="G5" s="57"/>
      <c r="H5" s="58" t="s">
        <v>55</v>
      </c>
      <c r="I5" s="89" t="s">
        <v>48</v>
      </c>
      <c r="J5" s="90" t="s">
        <v>48</v>
      </c>
      <c r="K5" s="90" t="s">
        <v>48</v>
      </c>
      <c r="L5" s="90" t="s">
        <v>48</v>
      </c>
      <c r="M5" s="90" t="s">
        <v>48</v>
      </c>
      <c r="N5" s="91" t="s">
        <v>48</v>
      </c>
      <c r="O5" s="89" t="s">
        <v>107</v>
      </c>
      <c r="P5" s="90">
        <v>4000000</v>
      </c>
      <c r="Q5" s="90">
        <v>5550000</v>
      </c>
      <c r="R5" s="90">
        <v>4610000</v>
      </c>
      <c r="S5" s="90">
        <v>3000000</v>
      </c>
      <c r="T5" s="91">
        <v>3630000</v>
      </c>
      <c r="U5" s="89" t="s">
        <v>107</v>
      </c>
      <c r="V5" s="90">
        <v>11100000</v>
      </c>
      <c r="W5" s="90">
        <v>2300000</v>
      </c>
      <c r="X5" s="90">
        <v>7000000</v>
      </c>
      <c r="Y5" s="90" t="s">
        <v>107</v>
      </c>
      <c r="Z5" s="91">
        <v>7450000</v>
      </c>
      <c r="AA5" s="89" t="e">
        <v>#VALUE!</v>
      </c>
      <c r="AB5" s="90">
        <v>-0.63963963963963966</v>
      </c>
      <c r="AC5" s="90">
        <v>1.4130434782608696</v>
      </c>
      <c r="AD5" s="90">
        <v>-0.34142857142857141</v>
      </c>
      <c r="AE5" s="90" t="e">
        <v>#VALUE!</v>
      </c>
      <c r="AF5" s="91">
        <v>-0.51275167785234899</v>
      </c>
      <c r="AG5" s="89" t="e">
        <v>#VALUE!</v>
      </c>
      <c r="AH5" s="90">
        <v>0.30113950250000038</v>
      </c>
      <c r="AI5" s="90">
        <v>0.59686780927927918</v>
      </c>
      <c r="AJ5" s="90">
        <v>0.36736020260303709</v>
      </c>
      <c r="AK5" s="90">
        <v>0.56510176516666677</v>
      </c>
      <c r="AL5" s="91">
        <v>0.69154831005509643</v>
      </c>
      <c r="AM5" s="58" t="s">
        <v>55</v>
      </c>
      <c r="AN5" s="99" t="e">
        <f t="shared" ref="AN5:AN7" si="1">I5+O5+U5+AA5+AG5</f>
        <v>#VALUE!</v>
      </c>
      <c r="AO5" s="99" t="e">
        <f t="shared" si="0"/>
        <v>#VALUE!</v>
      </c>
      <c r="AP5" s="99" t="e">
        <f t="shared" si="0"/>
        <v>#VALUE!</v>
      </c>
      <c r="AQ5" s="99" t="e">
        <f t="shared" si="0"/>
        <v>#VALUE!</v>
      </c>
      <c r="AR5" s="99" t="e">
        <f t="shared" si="0"/>
        <v>#VALUE!</v>
      </c>
      <c r="AS5" s="99" t="e">
        <f t="shared" si="0"/>
        <v>#VALUE!</v>
      </c>
    </row>
    <row r="6" spans="1:45" x14ac:dyDescent="0.35">
      <c r="A6" s="53" t="s">
        <v>75</v>
      </c>
      <c r="B6" s="54">
        <v>9706222</v>
      </c>
      <c r="C6" s="55">
        <v>14974849</v>
      </c>
      <c r="D6" s="56">
        <v>-0.35183172798603801</v>
      </c>
      <c r="E6" s="46"/>
      <c r="F6" s="46"/>
      <c r="G6" s="46"/>
      <c r="H6" s="59" t="s">
        <v>85</v>
      </c>
      <c r="I6" s="92" t="s">
        <v>49</v>
      </c>
      <c r="J6" s="93" t="s">
        <v>49</v>
      </c>
      <c r="K6" s="93" t="s">
        <v>49</v>
      </c>
      <c r="L6" s="93" t="s">
        <v>49</v>
      </c>
      <c r="M6" s="93" t="s">
        <v>49</v>
      </c>
      <c r="N6" s="94" t="s">
        <v>49</v>
      </c>
      <c r="O6" s="92">
        <v>0</v>
      </c>
      <c r="P6" s="93">
        <v>5000000</v>
      </c>
      <c r="Q6" s="93">
        <v>6430000</v>
      </c>
      <c r="R6" s="93">
        <v>6900000</v>
      </c>
      <c r="S6" s="93">
        <v>4500000</v>
      </c>
      <c r="T6" s="94">
        <v>23570000</v>
      </c>
      <c r="U6" s="92" t="s">
        <v>107</v>
      </c>
      <c r="V6" s="93">
        <v>13000000</v>
      </c>
      <c r="W6" s="93">
        <v>12000000</v>
      </c>
      <c r="X6" s="93">
        <v>10300000</v>
      </c>
      <c r="Y6" s="93" t="s">
        <v>107</v>
      </c>
      <c r="Z6" s="94">
        <v>10000000</v>
      </c>
      <c r="AA6" s="92" t="e">
        <v>#VALUE!</v>
      </c>
      <c r="AB6" s="93">
        <v>-0.61538461538461542</v>
      </c>
      <c r="AC6" s="93">
        <v>-0.46416666666666662</v>
      </c>
      <c r="AD6" s="93">
        <v>-0.33009708737864074</v>
      </c>
      <c r="AE6" s="93" t="e">
        <v>#VALUE!</v>
      </c>
      <c r="AF6" s="94">
        <v>1.3570000000000002</v>
      </c>
      <c r="AG6" s="92" t="e">
        <v>#DIV/0!</v>
      </c>
      <c r="AH6" s="93">
        <v>0.32868991780000001</v>
      </c>
      <c r="AI6" s="93">
        <v>0.62333722496111765</v>
      </c>
      <c r="AJ6" s="93">
        <v>0.4820266189130436</v>
      </c>
      <c r="AK6" s="93">
        <v>0.8458794657777774</v>
      </c>
      <c r="AL6" s="94">
        <v>9.4236691578277493E-2</v>
      </c>
      <c r="AM6" s="59" t="s">
        <v>85</v>
      </c>
      <c r="AN6" s="99" t="e">
        <f t="shared" ref="AN6:AS6" si="2">I6+O6+U6+AA6+AG6</f>
        <v>#VALUE!</v>
      </c>
      <c r="AO6" s="99" t="e">
        <f t="shared" si="2"/>
        <v>#VALUE!</v>
      </c>
      <c r="AP6" s="99" t="e">
        <f t="shared" si="2"/>
        <v>#VALUE!</v>
      </c>
      <c r="AQ6" s="99" t="e">
        <f t="shared" si="2"/>
        <v>#VALUE!</v>
      </c>
      <c r="AR6" s="99" t="e">
        <f t="shared" si="2"/>
        <v>#VALUE!</v>
      </c>
      <c r="AS6" s="99" t="e">
        <f t="shared" si="2"/>
        <v>#VALUE!</v>
      </c>
    </row>
    <row r="7" spans="1:45" x14ac:dyDescent="0.35">
      <c r="A7" s="53" t="s">
        <v>76</v>
      </c>
      <c r="B7" s="54">
        <v>2953030</v>
      </c>
      <c r="C7" s="55">
        <v>797742</v>
      </c>
      <c r="D7" s="56">
        <v>2.7017356488689299</v>
      </c>
      <c r="E7" s="57"/>
      <c r="F7" s="57"/>
      <c r="G7" s="57"/>
      <c r="H7" s="52" t="s">
        <v>57</v>
      </c>
      <c r="I7" s="86" t="s">
        <v>49</v>
      </c>
      <c r="J7" s="87" t="s">
        <v>49</v>
      </c>
      <c r="K7" s="87" t="s">
        <v>49</v>
      </c>
      <c r="L7" s="87" t="s">
        <v>49</v>
      </c>
      <c r="M7" s="87" t="s">
        <v>49</v>
      </c>
      <c r="N7" s="88" t="s">
        <v>49</v>
      </c>
      <c r="O7" s="86">
        <v>1577706.216</v>
      </c>
      <c r="P7" s="87">
        <v>1643449.5890000002</v>
      </c>
      <c r="Q7" s="87">
        <v>4008058.3564999867</v>
      </c>
      <c r="R7" s="87">
        <v>3325983.6705000009</v>
      </c>
      <c r="S7" s="87">
        <v>3806457.595999998</v>
      </c>
      <c r="T7" s="88">
        <v>2221158.8205000004</v>
      </c>
      <c r="U7" s="86">
        <v>1634026.0499999996</v>
      </c>
      <c r="V7" s="87">
        <v>2041356.6</v>
      </c>
      <c r="W7" s="87">
        <v>12006049.469999993</v>
      </c>
      <c r="X7" s="87">
        <v>4536762.67</v>
      </c>
      <c r="Y7" s="87">
        <v>3824329.9200000013</v>
      </c>
      <c r="Z7" s="88">
        <v>3012063.2200000011</v>
      </c>
      <c r="AA7" s="86">
        <v>-3.4466913180484227E-2</v>
      </c>
      <c r="AB7" s="87">
        <v>-0.19492283268881094</v>
      </c>
      <c r="AC7" s="87">
        <v>-0.66616343148384605</v>
      </c>
      <c r="AD7" s="87">
        <v>-0.2668817144671134</v>
      </c>
      <c r="AE7" s="87">
        <v>-4.6733216991915461E-3</v>
      </c>
      <c r="AF7" s="88">
        <v>-0.26257895061711234</v>
      </c>
      <c r="AG7" s="86">
        <v>0</v>
      </c>
      <c r="AH7" s="87">
        <v>0</v>
      </c>
      <c r="AI7" s="87">
        <v>0</v>
      </c>
      <c r="AJ7" s="87">
        <v>0</v>
      </c>
      <c r="AK7" s="87">
        <v>0</v>
      </c>
      <c r="AL7" s="88">
        <v>0</v>
      </c>
      <c r="AM7" s="52" t="s">
        <v>57</v>
      </c>
      <c r="AN7" s="99" t="e">
        <f t="shared" si="1"/>
        <v>#VALUE!</v>
      </c>
      <c r="AO7" s="99" t="e">
        <f t="shared" si="0"/>
        <v>#VALUE!</v>
      </c>
      <c r="AP7" s="99" t="e">
        <f t="shared" si="0"/>
        <v>#VALUE!</v>
      </c>
      <c r="AQ7" s="99" t="e">
        <f t="shared" si="0"/>
        <v>#VALUE!</v>
      </c>
      <c r="AR7" s="99" t="e">
        <f t="shared" si="0"/>
        <v>#VALUE!</v>
      </c>
      <c r="AS7" s="99" t="e">
        <f t="shared" si="0"/>
        <v>#VALUE!</v>
      </c>
    </row>
    <row r="8" spans="1:45" x14ac:dyDescent="0.35">
      <c r="A8" s="53" t="s">
        <v>77</v>
      </c>
      <c r="B8" s="54">
        <v>1573117</v>
      </c>
      <c r="C8" s="55">
        <v>2262078</v>
      </c>
      <c r="D8" s="56">
        <v>-0.30456995735779202</v>
      </c>
      <c r="E8" s="46"/>
      <c r="F8" s="46"/>
      <c r="G8" s="46"/>
      <c r="H8" s="60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</row>
    <row r="9" spans="1:45" x14ac:dyDescent="0.35">
      <c r="A9" s="53" t="s">
        <v>78</v>
      </c>
      <c r="B9" s="54">
        <v>971802</v>
      </c>
      <c r="C9" s="55">
        <v>10493306</v>
      </c>
      <c r="D9" s="61">
        <v>-0.90738838646275999</v>
      </c>
      <c r="E9" s="57"/>
      <c r="F9" s="57"/>
      <c r="G9" s="57"/>
      <c r="H9" s="60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</row>
    <row r="10" spans="1:45" x14ac:dyDescent="0.35">
      <c r="A10" s="62" t="s">
        <v>79</v>
      </c>
      <c r="B10" s="63">
        <v>12954604</v>
      </c>
      <c r="C10" s="64">
        <v>20380144</v>
      </c>
      <c r="D10" s="65">
        <v>-0.36435169447281601</v>
      </c>
      <c r="E10" s="57"/>
      <c r="F10" s="57"/>
      <c r="G10" s="57"/>
      <c r="H10" s="60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</row>
    <row r="11" spans="1:45" x14ac:dyDescent="0.35">
      <c r="A11" s="62" t="s">
        <v>81</v>
      </c>
      <c r="B11" s="63">
        <v>2544919</v>
      </c>
      <c r="C11" s="64">
        <v>12755384</v>
      </c>
      <c r="D11" s="65">
        <v>-0.80048276084828196</v>
      </c>
      <c r="E11" s="57"/>
      <c r="F11" s="57"/>
      <c r="G11" s="57"/>
      <c r="H11" s="60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</row>
    <row r="12" spans="1:45" x14ac:dyDescent="0.35">
      <c r="A12" s="62" t="s">
        <v>80</v>
      </c>
      <c r="B12" s="63">
        <v>2953030</v>
      </c>
      <c r="C12" s="64">
        <v>797742</v>
      </c>
      <c r="D12" s="65">
        <v>2.7017356488689299</v>
      </c>
      <c r="E12" s="57"/>
      <c r="F12" s="57"/>
      <c r="G12" s="57"/>
      <c r="H12" s="60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</row>
    <row r="13" spans="1:45" x14ac:dyDescent="0.35">
      <c r="A13" s="66" t="s">
        <v>105</v>
      </c>
      <c r="B13" s="67">
        <f>SUM(B4:B9)</f>
        <v>18452553</v>
      </c>
      <c r="C13" s="68">
        <f>SUM(C4:C9)</f>
        <v>33933270</v>
      </c>
      <c r="D13" s="69">
        <f t="shared" ref="D13" si="3">B13/C13-1</f>
        <v>-0.45621058624765598</v>
      </c>
      <c r="E13" s="70"/>
      <c r="F13" s="70"/>
      <c r="G13" s="70"/>
      <c r="H13" s="60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</row>
    <row r="14" spans="1:45" x14ac:dyDescent="0.35">
      <c r="E14" s="71"/>
      <c r="F14" s="71"/>
      <c r="G14" s="72"/>
      <c r="H14" s="60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</row>
    <row r="15" spans="1:45" x14ac:dyDescent="0.35">
      <c r="A15" s="72"/>
      <c r="B15" s="72"/>
      <c r="C15" s="72"/>
      <c r="D15" s="73"/>
      <c r="E15" s="35"/>
      <c r="F15" s="35"/>
      <c r="G15" s="36"/>
      <c r="H15" s="60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</row>
    <row r="16" spans="1:45" x14ac:dyDescent="0.35">
      <c r="A16" s="36"/>
      <c r="B16" s="36"/>
      <c r="C16" s="36"/>
      <c r="D16" s="74"/>
      <c r="E16" s="71"/>
      <c r="F16" s="71"/>
      <c r="G16" s="72"/>
      <c r="H16" s="60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</row>
    <row r="17" spans="1:38" x14ac:dyDescent="0.35">
      <c r="A17" s="72"/>
      <c r="B17" s="72"/>
      <c r="C17" s="72"/>
      <c r="D17" s="73"/>
      <c r="E17" s="35"/>
      <c r="F17" s="35"/>
      <c r="G17" s="36"/>
      <c r="H17" s="60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</row>
    <row r="18" spans="1:38" x14ac:dyDescent="0.35">
      <c r="A18" s="36"/>
      <c r="B18" s="36"/>
      <c r="C18" s="36"/>
      <c r="D18" s="74"/>
      <c r="E18" s="71"/>
      <c r="F18" s="71"/>
      <c r="G18" s="72"/>
      <c r="H18" s="60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</row>
    <row r="19" spans="1:38" x14ac:dyDescent="0.35">
      <c r="A19" s="72"/>
      <c r="B19" s="72"/>
      <c r="C19" s="72"/>
      <c r="D19" s="73"/>
    </row>
  </sheetData>
  <mergeCells count="1">
    <mergeCell ref="H1:H3"/>
  </mergeCells>
  <phoneticPr fontId="28" type="noConversion"/>
  <conditionalFormatting sqref="B1:D2">
    <cfRule type="cellIs" dxfId="28" priority="2" operator="lessThan">
      <formula>0</formula>
    </cfRule>
    <cfRule type="cellIs" dxfId="27" priority="3" operator="lessThan">
      <formula>0</formula>
    </cfRule>
  </conditionalFormatting>
  <conditionalFormatting sqref="D4:D12">
    <cfRule type="cellIs" dxfId="26" priority="6" operator="lessThan">
      <formula>#REF!</formula>
    </cfRule>
    <cfRule type="cellIs" dxfId="25" priority="7" operator="greaterThan">
      <formula>#REF!</formula>
    </cfRule>
    <cfRule type="cellIs" dxfId="24" priority="13" operator="lessThan">
      <formula>$D$13</formula>
    </cfRule>
    <cfRule type="cellIs" dxfId="23" priority="14" operator="greaterThan">
      <formula>$D$13</formula>
    </cfRule>
    <cfRule type="cellIs" dxfId="22" priority="15" operator="lessThan">
      <formula>#REF!</formula>
    </cfRule>
    <cfRule type="cellIs" dxfId="21" priority="16" operator="greaterThan">
      <formula>#REF!</formula>
    </cfRule>
    <cfRule type="cellIs" dxfId="20" priority="40" operator="lessThan">
      <formula>$D$13</formula>
    </cfRule>
    <cfRule type="cellIs" dxfId="19" priority="41" operator="greaterThan">
      <formula>$D$13</formula>
    </cfRule>
  </conditionalFormatting>
  <conditionalFormatting sqref="D4:D13">
    <cfRule type="cellIs" dxfId="18" priority="4" operator="lessThan">
      <formula>0</formula>
    </cfRule>
    <cfRule type="cellIs" dxfId="17" priority="5" operator="greaterThan">
      <formula>0</formula>
    </cfRule>
    <cfRule type="cellIs" dxfId="16" priority="8" operator="greaterThan">
      <formula>0</formula>
    </cfRule>
    <cfRule type="cellIs" dxfId="15" priority="9" operator="lessThan">
      <formula>0</formula>
    </cfRule>
    <cfRule type="cellIs" dxfId="14" priority="10" operator="lessThan">
      <formula>0</formula>
    </cfRule>
    <cfRule type="cellIs" dxfId="13" priority="32" operator="lessThan">
      <formula>0</formula>
    </cfRule>
    <cfRule type="cellIs" dxfId="12" priority="33" operator="greaterThan">
      <formula>0</formula>
    </cfRule>
    <cfRule type="cellIs" dxfId="11" priority="39" operator="lessThan">
      <formula>0</formula>
    </cfRule>
  </conditionalFormatting>
  <conditionalFormatting sqref="AM4:AM7 H4:H18">
    <cfRule type="cellIs" dxfId="10" priority="45" operator="lessThan">
      <formula>0</formula>
    </cfRule>
  </conditionalFormatting>
  <conditionalFormatting sqref="AN2:AS2 I2:AL3">
    <cfRule type="cellIs" dxfId="9" priority="47" operator="lessThan">
      <formula>0</formula>
    </cfRule>
    <cfRule type="cellIs" dxfId="8" priority="48" operator="less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49"/>
  <sheetViews>
    <sheetView zoomScale="56" zoomScaleNormal="56" workbookViewId="0">
      <selection activeCell="G22" sqref="G22"/>
    </sheetView>
  </sheetViews>
  <sheetFormatPr defaultColWidth="14.05859375" defaultRowHeight="30" customHeight="1" x14ac:dyDescent="0.45"/>
  <cols>
    <col min="1" max="1" width="3" style="103" customWidth="1"/>
    <col min="2" max="2" width="12.9375" style="103" customWidth="1"/>
    <col min="3" max="3" width="19.5859375" style="103" customWidth="1"/>
    <col min="4" max="9" width="10.5859375" style="104" customWidth="1"/>
    <col min="10" max="15" width="17.5859375" style="180" hidden="1" customWidth="1"/>
    <col min="16" max="18" width="10.5859375" style="104" customWidth="1"/>
    <col min="19" max="19" width="11" style="105" customWidth="1"/>
    <col min="20" max="20" width="10.5859375" style="104" customWidth="1"/>
    <col min="21" max="22" width="5.5859375" style="104" customWidth="1"/>
    <col min="23" max="23" width="13.3515625" style="104" customWidth="1"/>
    <col min="24" max="29" width="10.5859375" style="104" customWidth="1"/>
    <col min="30" max="35" width="13.3515625" style="180" hidden="1" customWidth="1"/>
    <col min="36" max="38" width="10.5859375" style="104" customWidth="1"/>
    <col min="39" max="39" width="11" style="104" customWidth="1"/>
    <col min="40" max="16384" width="14.05859375" style="103"/>
  </cols>
  <sheetData>
    <row r="1" spans="2:40" ht="30" customHeight="1" x14ac:dyDescent="0.4">
      <c r="B1" s="263" t="s">
        <v>161</v>
      </c>
      <c r="C1" s="216"/>
      <c r="D1" s="217"/>
      <c r="E1" s="217"/>
      <c r="F1" s="178"/>
      <c r="W1" s="332"/>
      <c r="X1" s="332"/>
      <c r="Y1" s="332"/>
      <c r="Z1" s="332"/>
    </row>
    <row r="2" spans="2:40" ht="30" customHeight="1" x14ac:dyDescent="0.4">
      <c r="B2" s="103" t="s">
        <v>162</v>
      </c>
      <c r="C2" s="259">
        <v>202505</v>
      </c>
      <c r="D2" s="331" t="s">
        <v>174</v>
      </c>
      <c r="E2" s="331"/>
      <c r="F2" s="178"/>
      <c r="J2" s="192"/>
      <c r="W2" s="332"/>
      <c r="X2" s="332"/>
      <c r="Y2" s="332"/>
      <c r="Z2" s="332"/>
      <c r="AD2" s="312"/>
    </row>
    <row r="3" spans="2:40" s="209" customFormat="1" ht="19.75" customHeight="1" thickBot="1" x14ac:dyDescent="0.45">
      <c r="C3" s="209" t="s">
        <v>90</v>
      </c>
      <c r="D3" s="210"/>
      <c r="E3" s="210"/>
      <c r="F3" s="211"/>
      <c r="G3" s="212"/>
      <c r="H3" s="212"/>
      <c r="I3" s="212"/>
      <c r="J3" s="213" t="s">
        <v>90</v>
      </c>
      <c r="K3" s="213"/>
      <c r="L3" s="213"/>
      <c r="M3" s="213"/>
      <c r="N3" s="213"/>
      <c r="O3" s="213"/>
      <c r="P3" s="212"/>
      <c r="Q3" s="212"/>
      <c r="R3" s="212"/>
      <c r="S3" s="214"/>
      <c r="T3" s="212"/>
      <c r="U3" s="212"/>
      <c r="V3" s="212"/>
      <c r="W3" s="212" t="s">
        <v>129</v>
      </c>
      <c r="X3" s="212"/>
      <c r="Y3" s="212"/>
      <c r="Z3" s="212"/>
      <c r="AA3" s="212"/>
      <c r="AB3" s="212"/>
      <c r="AC3" s="212"/>
      <c r="AD3" s="213" t="s">
        <v>129</v>
      </c>
      <c r="AE3" s="213"/>
      <c r="AF3" s="213"/>
      <c r="AG3" s="213"/>
      <c r="AH3" s="213"/>
      <c r="AI3" s="213"/>
      <c r="AJ3" s="212"/>
      <c r="AK3" s="212"/>
      <c r="AL3" s="212"/>
      <c r="AM3" s="212"/>
    </row>
    <row r="4" spans="2:40" s="102" customFormat="1" ht="20" customHeight="1" x14ac:dyDescent="0.45">
      <c r="C4" s="333" t="s">
        <v>137</v>
      </c>
      <c r="D4" s="340" t="s">
        <v>84</v>
      </c>
      <c r="E4" s="340"/>
      <c r="F4" s="340"/>
      <c r="G4" s="340"/>
      <c r="H4" s="340"/>
      <c r="I4" s="341"/>
      <c r="J4" s="343" t="s">
        <v>70</v>
      </c>
      <c r="K4" s="344"/>
      <c r="L4" s="344"/>
      <c r="M4" s="344"/>
      <c r="N4" s="344"/>
      <c r="O4" s="345"/>
      <c r="P4" s="329" t="s">
        <v>70</v>
      </c>
      <c r="Q4" s="342"/>
      <c r="R4" s="342"/>
      <c r="S4" s="166" t="s">
        <v>71</v>
      </c>
      <c r="T4" s="104"/>
      <c r="U4" s="105"/>
      <c r="V4" s="105"/>
      <c r="W4" s="337" t="s">
        <v>72</v>
      </c>
      <c r="X4" s="340" t="s">
        <v>84</v>
      </c>
      <c r="Y4" s="340"/>
      <c r="Z4" s="340"/>
      <c r="AA4" s="340"/>
      <c r="AB4" s="340"/>
      <c r="AC4" s="341"/>
      <c r="AD4" s="327" t="s">
        <v>70</v>
      </c>
      <c r="AE4" s="328"/>
      <c r="AF4" s="328"/>
      <c r="AG4" s="328"/>
      <c r="AH4" s="328"/>
      <c r="AI4" s="351"/>
      <c r="AJ4" s="347" t="s">
        <v>70</v>
      </c>
      <c r="AK4" s="342"/>
      <c r="AL4" s="342"/>
      <c r="AM4" s="166" t="s">
        <v>71</v>
      </c>
      <c r="AN4" s="104"/>
    </row>
    <row r="5" spans="2:40" s="149" customFormat="1" ht="15.5" customHeight="1" x14ac:dyDescent="0.45">
      <c r="C5" s="334"/>
      <c r="D5" s="246" t="s">
        <v>73</v>
      </c>
      <c r="E5" s="246" t="s">
        <v>74</v>
      </c>
      <c r="F5" s="246" t="s">
        <v>75</v>
      </c>
      <c r="G5" s="246" t="s">
        <v>76</v>
      </c>
      <c r="H5" s="246" t="s">
        <v>77</v>
      </c>
      <c r="I5" s="247" t="s">
        <v>78</v>
      </c>
      <c r="J5" s="248" t="s">
        <v>140</v>
      </c>
      <c r="K5" s="249" t="s">
        <v>141</v>
      </c>
      <c r="L5" s="250" t="s">
        <v>149</v>
      </c>
      <c r="M5" s="251" t="s">
        <v>148</v>
      </c>
      <c r="N5" s="251" t="s">
        <v>142</v>
      </c>
      <c r="O5" s="252" t="s">
        <v>143</v>
      </c>
      <c r="P5" s="215" t="s">
        <v>79</v>
      </c>
      <c r="Q5" s="199" t="s">
        <v>80</v>
      </c>
      <c r="R5" s="198" t="s">
        <v>81</v>
      </c>
      <c r="S5" s="168" t="s">
        <v>82</v>
      </c>
      <c r="T5" s="104"/>
      <c r="U5" s="151"/>
      <c r="V5" s="151"/>
      <c r="W5" s="338"/>
      <c r="X5" s="254" t="s">
        <v>73</v>
      </c>
      <c r="Y5" s="254" t="s">
        <v>74</v>
      </c>
      <c r="Z5" s="254" t="s">
        <v>75</v>
      </c>
      <c r="AA5" s="254" t="s">
        <v>76</v>
      </c>
      <c r="AB5" s="254" t="s">
        <v>77</v>
      </c>
      <c r="AC5" s="255" t="s">
        <v>78</v>
      </c>
      <c r="AD5" s="256" t="s">
        <v>138</v>
      </c>
      <c r="AE5" s="257" t="s">
        <v>156</v>
      </c>
      <c r="AF5" s="250" t="s">
        <v>157</v>
      </c>
      <c r="AG5" s="251" t="s">
        <v>158</v>
      </c>
      <c r="AH5" s="257" t="s">
        <v>139</v>
      </c>
      <c r="AI5" s="258" t="s">
        <v>159</v>
      </c>
      <c r="AJ5" s="167" t="s">
        <v>79</v>
      </c>
      <c r="AK5" s="157" t="s">
        <v>80</v>
      </c>
      <c r="AL5" s="157" t="s">
        <v>81</v>
      </c>
      <c r="AM5" s="168" t="s">
        <v>82</v>
      </c>
      <c r="AN5" s="104"/>
    </row>
    <row r="6" spans="2:40" ht="30" customHeight="1" x14ac:dyDescent="0.45">
      <c r="C6" s="242" t="s">
        <v>83</v>
      </c>
      <c r="D6" s="264">
        <f>CDIFS!F35</f>
        <v>-0.33101515916465263</v>
      </c>
      <c r="E6" s="265" t="e">
        <f>CDTKL!#REF!</f>
        <v>#REF!</v>
      </c>
      <c r="F6" s="265" t="e">
        <f>CDSKP!#REF!</f>
        <v>#REF!</v>
      </c>
      <c r="G6" s="265" t="e">
        <f>GZTKH!#REF!</f>
        <v>#REF!</v>
      </c>
      <c r="H6" s="265" t="e">
        <f>SZBAY!#REF!</f>
        <v>#REF!</v>
      </c>
      <c r="I6" s="266" t="e">
        <f>SZLH!#REF!</f>
        <v>#REF!</v>
      </c>
      <c r="J6" s="239">
        <f>CDIFS!D35+CDTKL!E22+CDSKP!E22</f>
        <v>4002670.3929999997</v>
      </c>
      <c r="K6" s="240" t="e">
        <f>CDIFS!E35+CDTKL!#REF!+CDSKP!#REF!</f>
        <v>#REF!</v>
      </c>
      <c r="L6" s="223">
        <f>GZTKH!E22</f>
        <v>1492618.1310000003</v>
      </c>
      <c r="M6" s="224" t="e">
        <f>GZTKH!#REF!</f>
        <v>#REF!</v>
      </c>
      <c r="N6" s="224">
        <f>SZBAY!E22+SZLH!E22</f>
        <v>6767993.3724999987</v>
      </c>
      <c r="O6" s="225" t="e">
        <f>SZBAY!#REF!+SZLH!#REF!</f>
        <v>#REF!</v>
      </c>
      <c r="P6" s="295" t="e">
        <f>J6/K6-1</f>
        <v>#REF!</v>
      </c>
      <c r="Q6" s="265" t="e">
        <f>L6/M6-1</f>
        <v>#REF!</v>
      </c>
      <c r="R6" s="265" t="e">
        <f>N6/O6-1</f>
        <v>#REF!</v>
      </c>
      <c r="S6" s="270">
        <f>South!F35</f>
        <v>-0.26906611608363029</v>
      </c>
      <c r="T6" s="106" t="s">
        <v>54</v>
      </c>
      <c r="W6" s="174" t="s">
        <v>83</v>
      </c>
      <c r="X6" s="264">
        <f>CDIFS!F2</f>
        <v>0.23924909551840501</v>
      </c>
      <c r="Y6" s="265" t="e">
        <f>CDTKL!#REF!</f>
        <v>#REF!</v>
      </c>
      <c r="Z6" s="265" t="e">
        <f>CDSKP!#REF!</f>
        <v>#REF!</v>
      </c>
      <c r="AA6" s="265" t="e">
        <f>GZTKH!#REF!</f>
        <v>#REF!</v>
      </c>
      <c r="AB6" s="265" t="e">
        <f>SZBAY!#REF!</f>
        <v>#REF!</v>
      </c>
      <c r="AC6" s="266" t="e">
        <f>SZLH!#REF!</f>
        <v>#REF!</v>
      </c>
      <c r="AD6" s="239" t="e">
        <f>SUM(CDIFS!D2,CDTKL!#REF!,CDSKP!#REF!)</f>
        <v>#REF!</v>
      </c>
      <c r="AE6" s="240" t="e">
        <f>SUM(CDIFS!E2,CDTKL!#REF!,CDSKP!#REF!)</f>
        <v>#REF!</v>
      </c>
      <c r="AF6" s="223" t="e">
        <f>GZTKH!#REF!</f>
        <v>#REF!</v>
      </c>
      <c r="AG6" s="224" t="e">
        <f>GZTKH!#REF!</f>
        <v>#REF!</v>
      </c>
      <c r="AH6" s="224" t="e">
        <f>SUM(SZBAY!#REF!,SZLH!#REF!)</f>
        <v>#REF!</v>
      </c>
      <c r="AI6" s="225" t="e">
        <f>SUM(SZBAY!#REF!,SZLH!#REF!)</f>
        <v>#REF!</v>
      </c>
      <c r="AJ6" s="295" t="e">
        <f>AD6/AE6-1</f>
        <v>#REF!</v>
      </c>
      <c r="AK6" s="265" t="e">
        <f>AF6/AG6-1</f>
        <v>#REF!</v>
      </c>
      <c r="AL6" s="265" t="e">
        <f>AH6/AI6-1</f>
        <v>#REF!</v>
      </c>
      <c r="AM6" s="270">
        <f>South!F2</f>
        <v>-6.1103691774709312E-2</v>
      </c>
      <c r="AN6" s="26" t="s">
        <v>54</v>
      </c>
    </row>
    <row r="7" spans="2:40" ht="30" customHeight="1" x14ac:dyDescent="0.45">
      <c r="C7" s="243" t="s">
        <v>35</v>
      </c>
      <c r="D7" s="275" t="str">
        <f>CDIFS!F36</f>
        <v/>
      </c>
      <c r="E7" s="276" t="e">
        <f>CDTKL!#REF!</f>
        <v>#REF!</v>
      </c>
      <c r="F7" s="276" t="e">
        <f>CDSKP!#REF!</f>
        <v>#REF!</v>
      </c>
      <c r="G7" s="276" t="e">
        <f>GZTKH!#REF!</f>
        <v>#REF!</v>
      </c>
      <c r="H7" s="276" t="e">
        <f>SZBAY!#REF!</f>
        <v>#REF!</v>
      </c>
      <c r="I7" s="277" t="e">
        <f>SZLH!#REF!</f>
        <v>#REF!</v>
      </c>
      <c r="J7" s="226">
        <f>CDIFS!D36+CDTKL!E23+CDSKP!E23</f>
        <v>27870000</v>
      </c>
      <c r="K7" s="227" t="e">
        <f>CDIFS!E36+CDTKL!#REF!+CDSKP!#REF!</f>
        <v>#REF!</v>
      </c>
      <c r="L7" s="227">
        <f>GZTKH!E23</f>
        <v>28000000</v>
      </c>
      <c r="M7" s="227" t="e">
        <f>GZTKH!#REF!</f>
        <v>#REF!</v>
      </c>
      <c r="N7" s="227">
        <f>SZBAY!E23+SZLH!E23</f>
        <v>32180000</v>
      </c>
      <c r="O7" s="235" t="e">
        <f>SZBAY!#REF!+SZLH!#REF!</f>
        <v>#REF!</v>
      </c>
      <c r="P7" s="296" t="e">
        <f>J7/K7-1</f>
        <v>#REF!</v>
      </c>
      <c r="Q7" s="276" t="e">
        <f t="shared" ref="Q7" si="0">G7</f>
        <v>#REF!</v>
      </c>
      <c r="R7" s="276" t="e">
        <f>N7/O7-1</f>
        <v>#REF!</v>
      </c>
      <c r="S7" s="271">
        <f>South!F36</f>
        <v>-8.6692186444494723E-3</v>
      </c>
      <c r="T7" s="106" t="s">
        <v>54</v>
      </c>
      <c r="W7" s="175" t="s">
        <v>35</v>
      </c>
      <c r="X7" s="275" t="str">
        <f>CDIFS!F3</f>
        <v/>
      </c>
      <c r="Y7" s="276" t="e">
        <f>CDTKL!#REF!</f>
        <v>#REF!</v>
      </c>
      <c r="Z7" s="276" t="e">
        <f>CDSKP!#REF!</f>
        <v>#REF!</v>
      </c>
      <c r="AA7" s="276" t="e">
        <f>GZTKH!#REF!</f>
        <v>#REF!</v>
      </c>
      <c r="AB7" s="276" t="e">
        <f>SZBAY!#REF!</f>
        <v>#REF!</v>
      </c>
      <c r="AC7" s="277" t="e">
        <f>SZLH!#REF!</f>
        <v>#REF!</v>
      </c>
      <c r="AD7" s="226" t="e">
        <f>SUM(CDIFS!D3,CDTKL!#REF!,CDSKP!#REF!)</f>
        <v>#REF!</v>
      </c>
      <c r="AE7" s="227" t="e">
        <f>SUM(CDIFS!E3,CDTKL!#REF!,CDSKP!#REF!)</f>
        <v>#REF!</v>
      </c>
      <c r="AF7" s="227" t="e">
        <f>GZTKH!#REF!</f>
        <v>#REF!</v>
      </c>
      <c r="AG7" s="227" t="e">
        <f>GZTKH!#REF!</f>
        <v>#REF!</v>
      </c>
      <c r="AH7" s="227" t="e">
        <f>SUM(SZBAY!#REF!,SZLH!#REF!)</f>
        <v>#REF!</v>
      </c>
      <c r="AI7" s="235" t="e">
        <f>SUM(SZBAY!#REF!,SZLH!#REF!)</f>
        <v>#REF!</v>
      </c>
      <c r="AJ7" s="296" t="e">
        <f>AD7/AE7-1</f>
        <v>#REF!</v>
      </c>
      <c r="AK7" s="276" t="e">
        <f>AA7</f>
        <v>#REF!</v>
      </c>
      <c r="AL7" s="276" t="e">
        <f t="shared" ref="AL7:AL13" si="1">AH7/AI7-1</f>
        <v>#REF!</v>
      </c>
      <c r="AM7" s="271">
        <f>South!F3</f>
        <v>-7.9637932758380714E-2</v>
      </c>
      <c r="AN7" s="26" t="s">
        <v>54</v>
      </c>
    </row>
    <row r="8" spans="2:40" ht="30" customHeight="1" x14ac:dyDescent="0.45">
      <c r="C8" s="253" t="s">
        <v>145</v>
      </c>
      <c r="D8" s="280" t="str">
        <f>CDIFS!G36</f>
        <v/>
      </c>
      <c r="E8" s="281" t="e">
        <f>CDTKL!#REF!</f>
        <v>#REF!</v>
      </c>
      <c r="F8" s="281" t="e">
        <f>CDSKP!#REF!</f>
        <v>#REF!</v>
      </c>
      <c r="G8" s="281" t="e">
        <f>GZTKH!#REF!</f>
        <v>#REF!</v>
      </c>
      <c r="H8" s="281" t="e">
        <f>SZBAY!#REF!</f>
        <v>#REF!</v>
      </c>
      <c r="I8" s="282" t="e">
        <f>SZLH!#REF!</f>
        <v>#REF!</v>
      </c>
      <c r="J8" s="236">
        <f>J6/J7</f>
        <v>0.14361931801219949</v>
      </c>
      <c r="K8" s="236" t="e">
        <f>K6/K7</f>
        <v>#REF!</v>
      </c>
      <c r="L8" s="236">
        <f t="shared" ref="L8:O8" si="2">L6/L7</f>
        <v>5.330779039285715E-2</v>
      </c>
      <c r="M8" s="236" t="e">
        <f t="shared" si="2"/>
        <v>#REF!</v>
      </c>
      <c r="N8" s="236">
        <f t="shared" si="2"/>
        <v>0.21031676110938466</v>
      </c>
      <c r="O8" s="236" t="e">
        <f t="shared" si="2"/>
        <v>#REF!</v>
      </c>
      <c r="P8" s="267">
        <f>J8</f>
        <v>0.14361931801219949</v>
      </c>
      <c r="Q8" s="268">
        <f>L8</f>
        <v>5.330779039285715E-2</v>
      </c>
      <c r="R8" s="268">
        <f>N8</f>
        <v>0.21031676110938466</v>
      </c>
      <c r="S8" s="269">
        <f>South!G36</f>
        <v>0.13927634181147078</v>
      </c>
      <c r="T8" s="106" t="s">
        <v>54</v>
      </c>
      <c r="W8" s="253" t="s">
        <v>145</v>
      </c>
      <c r="X8" s="280" t="str">
        <f>CDIFS!G3</f>
        <v/>
      </c>
      <c r="Y8" s="281" t="e">
        <f>CDTKL!#REF!</f>
        <v>#REF!</v>
      </c>
      <c r="Z8" s="281" t="e">
        <f>CDSKP!#REF!</f>
        <v>#REF!</v>
      </c>
      <c r="AA8" s="281" t="e">
        <f>GZTKH!#REF!</f>
        <v>#REF!</v>
      </c>
      <c r="AB8" s="281" t="e">
        <f>SZBAY!#REF!</f>
        <v>#REF!</v>
      </c>
      <c r="AC8" s="282" t="e">
        <f>SZLH!#REF!</f>
        <v>#REF!</v>
      </c>
      <c r="AD8" s="236" t="e">
        <f>AD6/AD7</f>
        <v>#REF!</v>
      </c>
      <c r="AE8" s="236" t="e">
        <f>AE6/AE7</f>
        <v>#REF!</v>
      </c>
      <c r="AF8" s="236" t="e">
        <f t="shared" ref="AF8:AI8" si="3">AF6/AF7</f>
        <v>#REF!</v>
      </c>
      <c r="AG8" s="236" t="e">
        <f t="shared" si="3"/>
        <v>#REF!</v>
      </c>
      <c r="AH8" s="236" t="e">
        <f t="shared" si="3"/>
        <v>#REF!</v>
      </c>
      <c r="AI8" s="236" t="e">
        <f t="shared" si="3"/>
        <v>#REF!</v>
      </c>
      <c r="AJ8" s="267" t="e">
        <f>AD8</f>
        <v>#REF!</v>
      </c>
      <c r="AK8" s="268" t="e">
        <f>AF8</f>
        <v>#REF!</v>
      </c>
      <c r="AL8" s="268" t="e">
        <f>AH8</f>
        <v>#REF!</v>
      </c>
      <c r="AM8" s="269">
        <f>South!G3</f>
        <v>0.1767940040219938</v>
      </c>
      <c r="AN8" s="106" t="s">
        <v>54</v>
      </c>
    </row>
    <row r="9" spans="2:40" ht="30" customHeight="1" x14ac:dyDescent="0.45">
      <c r="C9" s="243" t="s">
        <v>55</v>
      </c>
      <c r="D9" s="275">
        <f>CDIFS!F37</f>
        <v>-0.27426527777777776</v>
      </c>
      <c r="E9" s="276" t="e">
        <f>CDTKL!#REF!</f>
        <v>#REF!</v>
      </c>
      <c r="F9" s="276" t="e">
        <f>CDSKP!#REF!</f>
        <v>#REF!</v>
      </c>
      <c r="G9" s="276" t="e">
        <f>GZTKH!#REF!</f>
        <v>#REF!</v>
      </c>
      <c r="H9" s="276" t="e">
        <f>SZBAY!#REF!</f>
        <v>#REF!</v>
      </c>
      <c r="I9" s="277" t="e">
        <f>SZLH!#REF!</f>
        <v>#REF!</v>
      </c>
      <c r="J9" s="226">
        <f>CDIFS!D37+CDTKL!E24+CDSKP!E24</f>
        <v>8735290</v>
      </c>
      <c r="K9" s="227" t="e">
        <f>CDIFS!E37+CDTKL!#REF!+CDSKP!#REF!</f>
        <v>#REF!</v>
      </c>
      <c r="L9" s="227">
        <f>GZTKH!E24</f>
        <v>10250000</v>
      </c>
      <c r="M9" s="227" t="e">
        <f>GZTKH!#REF!</f>
        <v>#REF!</v>
      </c>
      <c r="N9" s="227">
        <f>SZBAY!E24+SZLH!E24</f>
        <v>8700000</v>
      </c>
      <c r="O9" s="235" t="e">
        <f>SZBAY!#REF!+SZLH!#REF!</f>
        <v>#REF!</v>
      </c>
      <c r="P9" s="296" t="e">
        <f t="shared" ref="P9:P15" si="4">J9/K9-1</f>
        <v>#REF!</v>
      </c>
      <c r="Q9" s="265" t="e">
        <f>L9/M9-1</f>
        <v>#REF!</v>
      </c>
      <c r="R9" s="276" t="e">
        <f t="shared" ref="R9:R15" si="5">N9/O9-1</f>
        <v>#REF!</v>
      </c>
      <c r="S9" s="271">
        <f>South!F37</f>
        <v>-0.1255435881238155</v>
      </c>
      <c r="T9" s="106" t="s">
        <v>54</v>
      </c>
      <c r="W9" s="175" t="s">
        <v>55</v>
      </c>
      <c r="X9" s="275">
        <f>CDIFS!F4</f>
        <v>-0.26642337429595497</v>
      </c>
      <c r="Y9" s="265" t="e">
        <f>CDTKL!#REF!</f>
        <v>#REF!</v>
      </c>
      <c r="Z9" s="265" t="e">
        <f>CDSKP!#REF!</f>
        <v>#REF!</v>
      </c>
      <c r="AA9" s="265" t="e">
        <f>GZTKH!#REF!</f>
        <v>#REF!</v>
      </c>
      <c r="AB9" s="265" t="e">
        <f>SZBAY!#REF!</f>
        <v>#REF!</v>
      </c>
      <c r="AC9" s="266" t="e">
        <f>SZLH!#REF!</f>
        <v>#REF!</v>
      </c>
      <c r="AD9" s="226" t="e">
        <f>SUM(CDIFS!D4,CDTKL!#REF!,CDSKP!#REF!)</f>
        <v>#REF!</v>
      </c>
      <c r="AE9" s="227" t="e">
        <f>SUM(CDIFS!E4,CDTKL!#REF!,CDSKP!#REF!)</f>
        <v>#REF!</v>
      </c>
      <c r="AF9" s="227" t="e">
        <f>GZTKH!#REF!</f>
        <v>#REF!</v>
      </c>
      <c r="AG9" s="227" t="e">
        <f>GZTKH!#REF!</f>
        <v>#REF!</v>
      </c>
      <c r="AH9" s="227" t="e">
        <f>SUM(SZBAY!#REF!,SZLH!#REF!)</f>
        <v>#REF!</v>
      </c>
      <c r="AI9" s="235" t="e">
        <f>SUM(SZBAY!#REF!,SZLH!#REF!)</f>
        <v>#REF!</v>
      </c>
      <c r="AJ9" s="296" t="e">
        <f t="shared" ref="AJ9:AJ13" si="6">AD9/AE9-1</f>
        <v>#REF!</v>
      </c>
      <c r="AK9" s="265" t="e">
        <f t="shared" ref="AK9:AK15" si="7">AA9</f>
        <v>#REF!</v>
      </c>
      <c r="AL9" s="276" t="e">
        <f t="shared" si="1"/>
        <v>#REF!</v>
      </c>
      <c r="AM9" s="271">
        <f>South!F4</f>
        <v>-1.2520160188749574E-2</v>
      </c>
      <c r="AN9" s="26" t="s">
        <v>54</v>
      </c>
    </row>
    <row r="10" spans="2:40" ht="30" customHeight="1" x14ac:dyDescent="0.45">
      <c r="C10" s="253" t="s">
        <v>145</v>
      </c>
      <c r="D10" s="280">
        <f>CDIFS!G37</f>
        <v>0.13922735254885371</v>
      </c>
      <c r="E10" s="281" t="e">
        <f>CDTKL!#REF!</f>
        <v>#REF!</v>
      </c>
      <c r="F10" s="281" t="e">
        <f>CDSKP!#REF!</f>
        <v>#REF!</v>
      </c>
      <c r="G10" s="281" t="e">
        <f>GZTKH!#REF!</f>
        <v>#REF!</v>
      </c>
      <c r="H10" s="281" t="e">
        <f>SZBAY!#REF!</f>
        <v>#REF!</v>
      </c>
      <c r="I10" s="282" t="e">
        <f>SZLH!#REF!</f>
        <v>#REF!</v>
      </c>
      <c r="J10" s="236">
        <f>J6/J9</f>
        <v>0.45821837546320726</v>
      </c>
      <c r="K10" s="236" t="e">
        <f t="shared" ref="K10:O10" si="8">K6/K9</f>
        <v>#REF!</v>
      </c>
      <c r="L10" s="236">
        <f t="shared" si="8"/>
        <v>0.14562128107317077</v>
      </c>
      <c r="M10" s="236" t="e">
        <f t="shared" si="8"/>
        <v>#REF!</v>
      </c>
      <c r="N10" s="236">
        <f t="shared" si="8"/>
        <v>0.77793027270114923</v>
      </c>
      <c r="O10" s="236" t="e">
        <f t="shared" si="8"/>
        <v>#REF!</v>
      </c>
      <c r="P10" s="267">
        <f>J10</f>
        <v>0.45821837546320726</v>
      </c>
      <c r="Q10" s="268">
        <f>L10</f>
        <v>0.14562128107317077</v>
      </c>
      <c r="R10" s="268">
        <f>N10</f>
        <v>0.77793027270114923</v>
      </c>
      <c r="S10" s="269">
        <f>South!G37</f>
        <v>0.44295298682079909</v>
      </c>
      <c r="T10" s="106" t="s">
        <v>54</v>
      </c>
      <c r="W10" s="253" t="s">
        <v>145</v>
      </c>
      <c r="X10" s="280">
        <f>CDIFS!G4</f>
        <v>0.26509885370734598</v>
      </c>
      <c r="Y10" s="281" t="e">
        <f>CDTKL!#REF!</f>
        <v>#REF!</v>
      </c>
      <c r="Z10" s="281" t="e">
        <f>CDSKP!#REF!</f>
        <v>#REF!</v>
      </c>
      <c r="AA10" s="281" t="e">
        <f>GZTKH!#REF!</f>
        <v>#REF!</v>
      </c>
      <c r="AB10" s="281" t="e">
        <f>SZBAY!#REF!</f>
        <v>#REF!</v>
      </c>
      <c r="AC10" s="282" t="e">
        <f>SZLH!#REF!</f>
        <v>#REF!</v>
      </c>
      <c r="AD10" s="236" t="e">
        <f>AD6/AD9</f>
        <v>#REF!</v>
      </c>
      <c r="AE10" s="236" t="e">
        <f t="shared" ref="AE10:AI10" si="9">AE6/AE9</f>
        <v>#REF!</v>
      </c>
      <c r="AF10" s="236" t="e">
        <f t="shared" si="9"/>
        <v>#REF!</v>
      </c>
      <c r="AG10" s="236" t="e">
        <f t="shared" si="9"/>
        <v>#REF!</v>
      </c>
      <c r="AH10" s="236" t="e">
        <f t="shared" si="9"/>
        <v>#REF!</v>
      </c>
      <c r="AI10" s="236" t="e">
        <f t="shared" si="9"/>
        <v>#REF!</v>
      </c>
      <c r="AJ10" s="267" t="e">
        <f>AD10</f>
        <v>#REF!</v>
      </c>
      <c r="AK10" s="268" t="e">
        <f>AF10</f>
        <v>#REF!</v>
      </c>
      <c r="AL10" s="268" t="e">
        <f>AH10</f>
        <v>#REF!</v>
      </c>
      <c r="AM10" s="269">
        <f>South!G4</f>
        <v>0.41747543846855534</v>
      </c>
      <c r="AN10" s="106" t="s">
        <v>54</v>
      </c>
    </row>
    <row r="11" spans="2:40" ht="30" customHeight="1" x14ac:dyDescent="0.45">
      <c r="C11" s="243" t="s">
        <v>56</v>
      </c>
      <c r="D11" s="275" t="str">
        <f>CDIFS!F38</f>
        <v/>
      </c>
      <c r="E11" s="276" t="e">
        <f>CDTKL!#REF!</f>
        <v>#REF!</v>
      </c>
      <c r="F11" s="276" t="e">
        <f>CDSKP!#REF!</f>
        <v>#REF!</v>
      </c>
      <c r="G11" s="276" t="e">
        <f>GZTKH!#REF!</f>
        <v>#REF!</v>
      </c>
      <c r="H11" s="276" t="e">
        <f>SZBAY!#REF!</f>
        <v>#REF!</v>
      </c>
      <c r="I11" s="277" t="e">
        <f>SZLH!#REF!</f>
        <v>#REF!</v>
      </c>
      <c r="J11" s="226">
        <f>CDIFS!D38+CDTKL!E25+CDSKP!E25</f>
        <v>10438000</v>
      </c>
      <c r="K11" s="227" t="e">
        <f>CDIFS!E38+CDTKL!#REF!+CDSKP!#REF!</f>
        <v>#REF!</v>
      </c>
      <c r="L11" s="227">
        <f>GZTKH!E25</f>
        <v>6550000</v>
      </c>
      <c r="M11" s="227" t="e">
        <f>GZTKH!#REF!</f>
        <v>#REF!</v>
      </c>
      <c r="N11" s="227">
        <f>SZBAY!E25+SZLH!E25</f>
        <v>8380000</v>
      </c>
      <c r="O11" s="228" t="e">
        <f>SZBAY!#REF!+SZLH!#REF!</f>
        <v>#REF!</v>
      </c>
      <c r="P11" s="296" t="e">
        <f t="shared" si="4"/>
        <v>#REF!</v>
      </c>
      <c r="Q11" s="265" t="e">
        <f>L11/M11-1</f>
        <v>#REF!</v>
      </c>
      <c r="R11" s="276" t="e">
        <f>N11/O11-1</f>
        <v>#REF!</v>
      </c>
      <c r="S11" s="271">
        <f>South!F38</f>
        <v>-8.5442353450140618E-2</v>
      </c>
      <c r="T11" s="106" t="s">
        <v>54</v>
      </c>
      <c r="W11" s="175" t="s">
        <v>56</v>
      </c>
      <c r="X11" s="275" t="str">
        <f>CDIFS!F5</f>
        <v/>
      </c>
      <c r="Y11" s="276" t="e">
        <f>CDTKL!#REF!</f>
        <v>#REF!</v>
      </c>
      <c r="Z11" s="276" t="e">
        <f>CDSKP!#REF!</f>
        <v>#REF!</v>
      </c>
      <c r="AA11" s="276" t="e">
        <f>GZTKH!#REF!</f>
        <v>#REF!</v>
      </c>
      <c r="AB11" s="276" t="e">
        <f>SZBAY!#REF!</f>
        <v>#REF!</v>
      </c>
      <c r="AC11" s="277" t="e">
        <f>SZLH!#REF!</f>
        <v>#REF!</v>
      </c>
      <c r="AD11" s="226" t="e">
        <f>SUM(CDIFS!D5,CDTKL!#REF!,CDSKP!#REF!)</f>
        <v>#REF!</v>
      </c>
      <c r="AE11" s="227" t="e">
        <f>SUM(CDIFS!E5,CDTKL!#REF!,CDSKP!#REF!)</f>
        <v>#REF!</v>
      </c>
      <c r="AF11" s="227" t="e">
        <f>GZTKH!#REF!</f>
        <v>#REF!</v>
      </c>
      <c r="AG11" s="227" t="e">
        <f>GZTKH!#REF!</f>
        <v>#REF!</v>
      </c>
      <c r="AH11" s="227" t="e">
        <f>SUM(SZBAY!#REF!,SZLH!#REF!)</f>
        <v>#REF!</v>
      </c>
      <c r="AI11" s="228" t="e">
        <f>SUM(SZBAY!#REF!,SZLH!#REF!)</f>
        <v>#REF!</v>
      </c>
      <c r="AJ11" s="296" t="e">
        <f t="shared" si="6"/>
        <v>#REF!</v>
      </c>
      <c r="AK11" s="265" t="e">
        <f t="shared" si="7"/>
        <v>#REF!</v>
      </c>
      <c r="AL11" s="276" t="e">
        <f t="shared" si="1"/>
        <v>#REF!</v>
      </c>
      <c r="AM11" s="271">
        <f>South!F5</f>
        <v>-2.9020674951608871E-2</v>
      </c>
      <c r="AN11" s="26" t="s">
        <v>54</v>
      </c>
    </row>
    <row r="12" spans="2:40" ht="30" customHeight="1" x14ac:dyDescent="0.45">
      <c r="C12" s="253" t="s">
        <v>145</v>
      </c>
      <c r="D12" s="280">
        <f>CDIFS!G38</f>
        <v>0.538891328148148</v>
      </c>
      <c r="E12" s="281" t="e">
        <f>CDTKL!#REF!</f>
        <v>#REF!</v>
      </c>
      <c r="F12" s="281" t="e">
        <f>CDSKP!#REF!</f>
        <v>#REF!</v>
      </c>
      <c r="G12" s="281" t="e">
        <f>GZTKH!#REF!</f>
        <v>#REF!</v>
      </c>
      <c r="H12" s="281" t="e">
        <f>SZBAY!#REF!</f>
        <v>#REF!</v>
      </c>
      <c r="I12" s="282" t="e">
        <f>SZLH!#REF!</f>
        <v>#REF!</v>
      </c>
      <c r="J12" s="236">
        <f>J6/J11</f>
        <v>0.38347100910136039</v>
      </c>
      <c r="K12" s="236" t="e">
        <f t="shared" ref="K12:M12" si="10">K6/K11</f>
        <v>#REF!</v>
      </c>
      <c r="L12" s="236">
        <f>L6/L11</f>
        <v>0.22788063068702294</v>
      </c>
      <c r="M12" s="236" t="e">
        <f t="shared" si="10"/>
        <v>#REF!</v>
      </c>
      <c r="N12" s="236">
        <f>N6/N11</f>
        <v>0.8076364406324581</v>
      </c>
      <c r="O12" s="236" t="e">
        <f>O6/O11</f>
        <v>#REF!</v>
      </c>
      <c r="P12" s="267">
        <f>J12</f>
        <v>0.38347100910136039</v>
      </c>
      <c r="Q12" s="268">
        <f>L12</f>
        <v>0.22788063068702294</v>
      </c>
      <c r="R12" s="268">
        <f>N12</f>
        <v>0.8076364406324581</v>
      </c>
      <c r="S12" s="269">
        <f>South!G38</f>
        <v>0.48341540115499843</v>
      </c>
      <c r="T12" s="106" t="s">
        <v>54</v>
      </c>
      <c r="W12" s="253" t="s">
        <v>145</v>
      </c>
      <c r="X12" s="280">
        <f>CDIFS!G5</f>
        <v>1.202471236346367</v>
      </c>
      <c r="Y12" s="281" t="e">
        <f>CDTKL!#REF!</f>
        <v>#REF!</v>
      </c>
      <c r="Z12" s="281" t="e">
        <f>CDSKP!#REF!</f>
        <v>#REF!</v>
      </c>
      <c r="AA12" s="281" t="e">
        <f>GZTKH!#REF!</f>
        <v>#REF!</v>
      </c>
      <c r="AB12" s="281" t="e">
        <f>SZBAY!#REF!</f>
        <v>#REF!</v>
      </c>
      <c r="AC12" s="282" t="e">
        <f>SZLH!#REF!</f>
        <v>#REF!</v>
      </c>
      <c r="AD12" s="236" t="e">
        <f>AD6/AD11</f>
        <v>#REF!</v>
      </c>
      <c r="AE12" s="236" t="e">
        <f>AE6/AE11</f>
        <v>#REF!</v>
      </c>
      <c r="AF12" s="236" t="e">
        <f t="shared" ref="AF12:AI12" si="11">AF6/AF11</f>
        <v>#REF!</v>
      </c>
      <c r="AG12" s="236" t="e">
        <f t="shared" si="11"/>
        <v>#REF!</v>
      </c>
      <c r="AH12" s="236" t="e">
        <f t="shared" si="11"/>
        <v>#REF!</v>
      </c>
      <c r="AI12" s="236" t="e">
        <f t="shared" si="11"/>
        <v>#REF!</v>
      </c>
      <c r="AJ12" s="267" t="e">
        <f>AD12</f>
        <v>#REF!</v>
      </c>
      <c r="AK12" s="268" t="e">
        <f>AF12</f>
        <v>#REF!</v>
      </c>
      <c r="AL12" s="268" t="e">
        <f>AH12</f>
        <v>#REF!</v>
      </c>
      <c r="AM12" s="269">
        <f>South!G5</f>
        <v>0.47957209209461893</v>
      </c>
      <c r="AN12" s="106" t="s">
        <v>54</v>
      </c>
    </row>
    <row r="13" spans="2:40" ht="30" customHeight="1" x14ac:dyDescent="0.45">
      <c r="C13" s="243" t="s">
        <v>57</v>
      </c>
      <c r="D13" s="275">
        <f>CDIFS!F39</f>
        <v>-0.39121172972972973</v>
      </c>
      <c r="E13" s="276" t="e">
        <f>CDTKL!#REF!</f>
        <v>#REF!</v>
      </c>
      <c r="F13" s="276" t="e">
        <f>CDSKP!#REF!</f>
        <v>#REF!</v>
      </c>
      <c r="G13" s="276" t="e">
        <f>GZTKH!#REF!</f>
        <v>#REF!</v>
      </c>
      <c r="H13" s="276" t="e">
        <f>SZBAY!#REF!</f>
        <v>#REF!</v>
      </c>
      <c r="I13" s="277" t="e">
        <f>SZLH!#REF!</f>
        <v>#REF!</v>
      </c>
      <c r="J13" s="226">
        <f>CDIFS!D39+CDTKL!E26+CDSKP!E26</f>
        <v>23142583</v>
      </c>
      <c r="K13" s="227" t="e">
        <f>CDIFS!E39+CDTKL!#REF!+CDSKP!#REF!</f>
        <v>#REF!</v>
      </c>
      <c r="L13" s="227">
        <f>GZTKH!E26</f>
        <v>13500000</v>
      </c>
      <c r="M13" s="227" t="e">
        <f>GZTKH!#REF!</f>
        <v>#REF!</v>
      </c>
      <c r="N13" s="227">
        <f>SZBAY!E26+SZLH!E26</f>
        <v>22290000</v>
      </c>
      <c r="O13" s="228" t="e">
        <f>SZBAY!#REF!+SZLH!#REF!</f>
        <v>#REF!</v>
      </c>
      <c r="P13" s="296" t="e">
        <f t="shared" si="4"/>
        <v>#REF!</v>
      </c>
      <c r="Q13" s="265" t="e">
        <f>L13/M13-1</f>
        <v>#REF!</v>
      </c>
      <c r="R13" s="276" t="e">
        <f t="shared" si="5"/>
        <v>#REF!</v>
      </c>
      <c r="S13" s="271">
        <f>South!F39</f>
        <v>-0.17264378772988909</v>
      </c>
      <c r="T13" s="106" t="s">
        <v>54</v>
      </c>
      <c r="W13" s="175" t="s">
        <v>57</v>
      </c>
      <c r="X13" s="275">
        <f>CDIFS!F6</f>
        <v>-0.29470421391087231</v>
      </c>
      <c r="Y13" s="276" t="e">
        <f>CDTKL!#REF!</f>
        <v>#REF!</v>
      </c>
      <c r="Z13" s="276" t="e">
        <f>CDSKP!#REF!</f>
        <v>#REF!</v>
      </c>
      <c r="AA13" s="276" t="e">
        <f>GZTKH!#REF!</f>
        <v>#REF!</v>
      </c>
      <c r="AB13" s="276" t="e">
        <f>SZBAY!#REF!</f>
        <v>#REF!</v>
      </c>
      <c r="AC13" s="277" t="e">
        <f>SZLH!#REF!</f>
        <v>#REF!</v>
      </c>
      <c r="AD13" s="226" t="e">
        <f>SUM(CDIFS!D6,CDTKL!#REF!,CDSKP!#REF!)</f>
        <v>#REF!</v>
      </c>
      <c r="AE13" s="227" t="e">
        <f>SUM(CDIFS!E6,CDTKL!#REF!,CDSKP!#REF!)</f>
        <v>#REF!</v>
      </c>
      <c r="AF13" s="227" t="e">
        <f>GZTKH!#REF!</f>
        <v>#REF!</v>
      </c>
      <c r="AG13" s="227" t="e">
        <f>GZTKH!#REF!</f>
        <v>#REF!</v>
      </c>
      <c r="AH13" s="227" t="e">
        <f>SUM(SZBAY!#REF!,SZLH!#REF!)</f>
        <v>#REF!</v>
      </c>
      <c r="AI13" s="228" t="e">
        <f>SUM(SZBAY!#REF!,SZLH!#REF!)</f>
        <v>#REF!</v>
      </c>
      <c r="AJ13" s="296" t="e">
        <f t="shared" si="6"/>
        <v>#REF!</v>
      </c>
      <c r="AK13" s="265" t="e">
        <f t="shared" si="7"/>
        <v>#REF!</v>
      </c>
      <c r="AL13" s="276" t="e">
        <f t="shared" si="1"/>
        <v>#REF!</v>
      </c>
      <c r="AM13" s="271">
        <f>South!F6</f>
        <v>8.6451052441791632E-3</v>
      </c>
      <c r="AN13" s="26" t="s">
        <v>54</v>
      </c>
    </row>
    <row r="14" spans="2:40" ht="30" customHeight="1" thickBot="1" x14ac:dyDescent="0.5">
      <c r="C14" s="253" t="s">
        <v>145</v>
      </c>
      <c r="D14" s="280">
        <f>CDIFS!G39</f>
        <v>6.4594710911342432E-2</v>
      </c>
      <c r="E14" s="283" t="e">
        <f>CDTKL!#REF!</f>
        <v>#REF!</v>
      </c>
      <c r="F14" s="283" t="e">
        <f>CDSKP!#REF!</f>
        <v>#REF!</v>
      </c>
      <c r="G14" s="283" t="e">
        <f>GZTKH!#REF!</f>
        <v>#REF!</v>
      </c>
      <c r="H14" s="283" t="e">
        <f>SZBAY!#REF!</f>
        <v>#REF!</v>
      </c>
      <c r="I14" s="284" t="e">
        <f>SZLH!#REF!</f>
        <v>#REF!</v>
      </c>
      <c r="J14" s="236">
        <f>J6/J13</f>
        <v>0.17295694231711298</v>
      </c>
      <c r="K14" s="236" t="e">
        <f t="shared" ref="K14:O14" si="12">K6/K13</f>
        <v>#REF!</v>
      </c>
      <c r="L14" s="236">
        <f t="shared" si="12"/>
        <v>0.11056430600000001</v>
      </c>
      <c r="M14" s="236" t="e">
        <f t="shared" si="12"/>
        <v>#REF!</v>
      </c>
      <c r="N14" s="236">
        <f>N6/N13</f>
        <v>0.30363361922386717</v>
      </c>
      <c r="O14" s="236" t="e">
        <f t="shared" si="12"/>
        <v>#REF!</v>
      </c>
      <c r="P14" s="272">
        <f>J14</f>
        <v>0.17295694231711298</v>
      </c>
      <c r="Q14" s="273">
        <f>L14</f>
        <v>0.11056430600000001</v>
      </c>
      <c r="R14" s="273">
        <f>N14</f>
        <v>0.30363361922386717</v>
      </c>
      <c r="S14" s="269">
        <f>South!G39</f>
        <v>0.20809001187848836</v>
      </c>
      <c r="T14" s="106" t="s">
        <v>54</v>
      </c>
      <c r="W14" s="253" t="s">
        <v>145</v>
      </c>
      <c r="X14" s="280">
        <f>CDIFS!G6</f>
        <v>0.14770777648335101</v>
      </c>
      <c r="Y14" s="283" t="e">
        <f>CDTKL!#REF!</f>
        <v>#REF!</v>
      </c>
      <c r="Z14" s="283" t="e">
        <f>CDSKP!#REF!</f>
        <v>#REF!</v>
      </c>
      <c r="AA14" s="283" t="e">
        <f>GZTKH!#REF!</f>
        <v>#REF!</v>
      </c>
      <c r="AB14" s="283" t="e">
        <f>SZBAY!#REF!</f>
        <v>#REF!</v>
      </c>
      <c r="AC14" s="284" t="e">
        <f>SZLH!#REF!</f>
        <v>#REF!</v>
      </c>
      <c r="AD14" s="236" t="e">
        <f>AD6/AD13</f>
        <v>#REF!</v>
      </c>
      <c r="AE14" s="236" t="e">
        <f t="shared" ref="AE14:AI14" si="13">AE6/AE13</f>
        <v>#REF!</v>
      </c>
      <c r="AF14" s="236" t="e">
        <f t="shared" si="13"/>
        <v>#REF!</v>
      </c>
      <c r="AG14" s="236" t="e">
        <f t="shared" si="13"/>
        <v>#REF!</v>
      </c>
      <c r="AH14" s="236" t="e">
        <f t="shared" si="13"/>
        <v>#REF!</v>
      </c>
      <c r="AI14" s="236" t="e">
        <f t="shared" si="13"/>
        <v>#REF!</v>
      </c>
      <c r="AJ14" s="267" t="e">
        <f>AD14</f>
        <v>#REF!</v>
      </c>
      <c r="AK14" s="268" t="e">
        <f>AF14</f>
        <v>#REF!</v>
      </c>
      <c r="AL14" s="268" t="e">
        <f>AH14</f>
        <v>#REF!</v>
      </c>
      <c r="AM14" s="269">
        <f>South!G6</f>
        <v>0.24509155059054208</v>
      </c>
      <c r="AN14" s="106" t="s">
        <v>54</v>
      </c>
    </row>
    <row r="15" spans="2:40" s="102" customFormat="1" ht="30" customHeight="1" x14ac:dyDescent="0.45">
      <c r="C15" s="244" t="s">
        <v>58</v>
      </c>
      <c r="D15" s="285">
        <f>CDIFS!F40</f>
        <v>-0.30693813710839934</v>
      </c>
      <c r="E15" s="286" t="e">
        <f>CDTKL!#REF!</f>
        <v>#REF!</v>
      </c>
      <c r="F15" s="286" t="e">
        <f>CDSKP!#REF!</f>
        <v>#REF!</v>
      </c>
      <c r="G15" s="286" t="e">
        <f>GZTKH!#REF!</f>
        <v>#REF!</v>
      </c>
      <c r="H15" s="286" t="e">
        <f>SZBAY!#REF!</f>
        <v>#REF!</v>
      </c>
      <c r="I15" s="287" t="e">
        <f>SZLH!#REF!</f>
        <v>#REF!</v>
      </c>
      <c r="J15" s="229">
        <f>SUM(J6+J7+J9+J11+J13)</f>
        <v>74188543.393000007</v>
      </c>
      <c r="K15" s="229" t="e">
        <f t="shared" ref="K15:O15" si="14">SUM(K6+K7+K9+K11+K13)</f>
        <v>#REF!</v>
      </c>
      <c r="L15" s="229">
        <f t="shared" si="14"/>
        <v>59792618.130999997</v>
      </c>
      <c r="M15" s="229" t="e">
        <f t="shared" si="14"/>
        <v>#REF!</v>
      </c>
      <c r="N15" s="229">
        <f>SUM(N6+N7+N9+N11+N13)</f>
        <v>78317993.372500002</v>
      </c>
      <c r="O15" s="291" t="e">
        <f t="shared" si="14"/>
        <v>#REF!</v>
      </c>
      <c r="P15" s="297" t="e">
        <f t="shared" si="4"/>
        <v>#REF!</v>
      </c>
      <c r="Q15" s="298" t="e">
        <f>L15/M15-1</f>
        <v>#REF!</v>
      </c>
      <c r="R15" s="286" t="e">
        <f t="shared" si="5"/>
        <v>#REF!</v>
      </c>
      <c r="S15" s="293">
        <f>South!F40</f>
        <v>-0.10128623978558948</v>
      </c>
      <c r="T15" s="106" t="s">
        <v>54</v>
      </c>
      <c r="U15" s="105"/>
      <c r="V15" s="105"/>
      <c r="W15" s="260" t="s">
        <v>58</v>
      </c>
      <c r="X15" s="285">
        <f>CDIFS!F7</f>
        <v>-0.20415204246242546</v>
      </c>
      <c r="Y15" s="286" t="e">
        <f>CDTKL!#REF!</f>
        <v>#REF!</v>
      </c>
      <c r="Z15" s="286" t="e">
        <f>CDSKP!#REF!</f>
        <v>#REF!</v>
      </c>
      <c r="AA15" s="286" t="e">
        <f>GZTKH!#REF!</f>
        <v>#REF!</v>
      </c>
      <c r="AB15" s="286" t="e">
        <f>SZBAY!#REF!</f>
        <v>#REF!</v>
      </c>
      <c r="AC15" s="287" t="e">
        <f>SZLH!#REF!</f>
        <v>#REF!</v>
      </c>
      <c r="AD15" s="229" t="e">
        <f>SUM(AD6+AD7+AD9+AD11+AD13)</f>
        <v>#REF!</v>
      </c>
      <c r="AE15" s="229" t="e">
        <f t="shared" ref="AE15:AH15" si="15">SUM(AE6+AE7+AE9+AE11+AE13)</f>
        <v>#REF!</v>
      </c>
      <c r="AF15" s="229" t="e">
        <f t="shared" si="15"/>
        <v>#REF!</v>
      </c>
      <c r="AG15" s="229" t="e">
        <f t="shared" si="15"/>
        <v>#REF!</v>
      </c>
      <c r="AH15" s="229" t="e">
        <f t="shared" si="15"/>
        <v>#REF!</v>
      </c>
      <c r="AI15" s="229" t="e">
        <f>SUM(AI6+AI7+AI9+AI11+AI13)</f>
        <v>#REF!</v>
      </c>
      <c r="AJ15" s="297" t="e">
        <f t="shared" ref="AJ15" si="16">AD15/AE15-1</f>
        <v>#REF!</v>
      </c>
      <c r="AK15" s="298" t="e">
        <f t="shared" si="7"/>
        <v>#REF!</v>
      </c>
      <c r="AL15" s="286" t="e">
        <f t="shared" ref="AL15" si="17">AH15/AI15-1</f>
        <v>#REF!</v>
      </c>
      <c r="AM15" s="293">
        <f>South!F7</f>
        <v>-3.8677664340101892E-2</v>
      </c>
      <c r="AN15" s="193" t="s">
        <v>131</v>
      </c>
    </row>
    <row r="16" spans="2:40" s="102" customFormat="1" ht="30" customHeight="1" thickBot="1" x14ac:dyDescent="0.5">
      <c r="C16" s="219" t="s">
        <v>145</v>
      </c>
      <c r="D16" s="288">
        <f>CDIFS!G40</f>
        <v>3.9186024647090083E-2</v>
      </c>
      <c r="E16" s="289" t="e">
        <f>CDTKL!#REF!</f>
        <v>#REF!</v>
      </c>
      <c r="F16" s="289" t="e">
        <f>CDSKP!#REF!</f>
        <v>#REF!</v>
      </c>
      <c r="G16" s="289" t="e">
        <f>GZTKH!#REF!</f>
        <v>#REF!</v>
      </c>
      <c r="H16" s="289" t="e">
        <f>SZBAY!#REF!</f>
        <v>#REF!</v>
      </c>
      <c r="I16" s="290" t="e">
        <f>SZLH!#REF!</f>
        <v>#REF!</v>
      </c>
      <c r="J16" s="245">
        <f>J6/J15</f>
        <v>5.3952675304549357E-2</v>
      </c>
      <c r="K16" s="245" t="e">
        <f t="shared" ref="K16:N16" si="18">K6/K15</f>
        <v>#REF!</v>
      </c>
      <c r="L16" s="245">
        <f t="shared" si="18"/>
        <v>2.4963250943951215E-2</v>
      </c>
      <c r="M16" s="245" t="e">
        <f t="shared" si="18"/>
        <v>#REF!</v>
      </c>
      <c r="N16" s="245">
        <f t="shared" si="18"/>
        <v>8.6416838341474428E-2</v>
      </c>
      <c r="O16" s="245" t="e">
        <f>O6/O15</f>
        <v>#REF!</v>
      </c>
      <c r="P16" s="292" t="e">
        <f>J16-K16</f>
        <v>#REF!</v>
      </c>
      <c r="Q16" s="289" t="e">
        <f>L16-M16</f>
        <v>#REF!</v>
      </c>
      <c r="R16" s="289" t="e">
        <f>N16-O16</f>
        <v>#REF!</v>
      </c>
      <c r="S16" s="294">
        <f>South!I40</f>
        <v>-1.3259288525384709E-2</v>
      </c>
      <c r="T16" s="106" t="s">
        <v>54</v>
      </c>
      <c r="U16" s="105"/>
      <c r="V16" s="105"/>
      <c r="W16" s="219" t="s">
        <v>145</v>
      </c>
      <c r="X16" s="288">
        <f>CDIFS!G7</f>
        <v>8.0815115891105876E-2</v>
      </c>
      <c r="Y16" s="289" t="e">
        <f>CDTKL!#REF!</f>
        <v>#REF!</v>
      </c>
      <c r="Z16" s="289" t="e">
        <f>CDSKP!#REF!</f>
        <v>#REF!</v>
      </c>
      <c r="AA16" s="289" t="e">
        <f>GZTKH!#REF!</f>
        <v>#REF!</v>
      </c>
      <c r="AB16" s="289" t="e">
        <f>SZBAY!#REF!</f>
        <v>#REF!</v>
      </c>
      <c r="AC16" s="290" t="e">
        <f>SZLH!#REF!</f>
        <v>#REF!</v>
      </c>
      <c r="AD16" s="245" t="e">
        <f t="shared" ref="AD16:AI16" si="19">AD6/AD15</f>
        <v>#REF!</v>
      </c>
      <c r="AE16" s="245" t="e">
        <f t="shared" si="19"/>
        <v>#REF!</v>
      </c>
      <c r="AF16" s="245" t="e">
        <f t="shared" si="19"/>
        <v>#REF!</v>
      </c>
      <c r="AG16" s="245" t="e">
        <f t="shared" si="19"/>
        <v>#REF!</v>
      </c>
      <c r="AH16" s="245" t="e">
        <f t="shared" si="19"/>
        <v>#REF!</v>
      </c>
      <c r="AI16" s="245" t="e">
        <f t="shared" si="19"/>
        <v>#REF!</v>
      </c>
      <c r="AJ16" s="292" t="e">
        <f>AD16-AE16</f>
        <v>#REF!</v>
      </c>
      <c r="AK16" s="289" t="e">
        <f>AF16-AG16</f>
        <v>#REF!</v>
      </c>
      <c r="AL16" s="289" t="e">
        <f>AH16-AI16</f>
        <v>#REF!</v>
      </c>
      <c r="AM16" s="294">
        <f>South!I7</f>
        <v>-1.5696653475177763E-3</v>
      </c>
      <c r="AN16" s="106" t="s">
        <v>54</v>
      </c>
    </row>
    <row r="17" spans="2:40" ht="20.45" customHeight="1" x14ac:dyDescent="0.45"/>
    <row r="18" spans="2:40" ht="20.45" customHeight="1" x14ac:dyDescent="0.45">
      <c r="C18" s="102" t="s">
        <v>171</v>
      </c>
      <c r="D18" s="346" t="s">
        <v>172</v>
      </c>
      <c r="E18" s="346"/>
      <c r="F18" s="346"/>
    </row>
    <row r="19" spans="2:40" ht="20.45" customHeight="1" x14ac:dyDescent="0.45">
      <c r="C19" s="102"/>
      <c r="D19" s="346" t="s">
        <v>173</v>
      </c>
      <c r="E19" s="346"/>
      <c r="F19" s="346"/>
    </row>
    <row r="20" spans="2:40" ht="20.45" customHeight="1" x14ac:dyDescent="0.45"/>
    <row r="21" spans="2:40" ht="20.45" customHeight="1" x14ac:dyDescent="0.45"/>
    <row r="22" spans="2:40" ht="20.45" customHeight="1" x14ac:dyDescent="0.45"/>
    <row r="23" spans="2:40" ht="20.45" customHeight="1" x14ac:dyDescent="0.45"/>
    <row r="24" spans="2:40" ht="20.45" customHeight="1" x14ac:dyDescent="0.45"/>
    <row r="25" spans="2:40" ht="13.7" x14ac:dyDescent="0.45"/>
    <row r="26" spans="2:40" ht="30" hidden="1" customHeight="1" thickBot="1" x14ac:dyDescent="0.5">
      <c r="B26" s="216" t="s">
        <v>144</v>
      </c>
      <c r="C26" s="216"/>
      <c r="J26" s="180" t="s">
        <v>90</v>
      </c>
      <c r="X26" s="332"/>
      <c r="Y26" s="332"/>
      <c r="Z26" s="332"/>
      <c r="AA26" s="332"/>
    </row>
    <row r="27" spans="2:40" ht="20" hidden="1" customHeight="1" x14ac:dyDescent="0.45">
      <c r="C27" s="335" t="s">
        <v>155</v>
      </c>
      <c r="D27" s="324" t="s">
        <v>69</v>
      </c>
      <c r="E27" s="325"/>
      <c r="F27" s="325"/>
      <c r="G27" s="325"/>
      <c r="H27" s="325"/>
      <c r="I27" s="326"/>
      <c r="J27" s="205"/>
      <c r="K27" s="181"/>
      <c r="L27" s="181"/>
      <c r="M27" s="181"/>
      <c r="N27" s="181"/>
      <c r="O27" s="206"/>
      <c r="P27" s="327" t="s">
        <v>70</v>
      </c>
      <c r="Q27" s="328"/>
      <c r="R27" s="329"/>
      <c r="S27" s="166" t="s">
        <v>71</v>
      </c>
      <c r="T27" s="150"/>
      <c r="W27" s="339" t="s">
        <v>160</v>
      </c>
      <c r="X27" s="349" t="s">
        <v>69</v>
      </c>
      <c r="Y27" s="349"/>
      <c r="Z27" s="349"/>
      <c r="AA27" s="349"/>
      <c r="AB27" s="349"/>
      <c r="AC27" s="350"/>
      <c r="AD27" s="188"/>
      <c r="AE27" s="189"/>
      <c r="AF27" s="189"/>
      <c r="AG27" s="189"/>
      <c r="AH27" s="189"/>
      <c r="AI27" s="190"/>
      <c r="AJ27" s="347" t="s">
        <v>70</v>
      </c>
      <c r="AK27" s="342"/>
      <c r="AL27" s="342"/>
      <c r="AM27" s="166" t="s">
        <v>71</v>
      </c>
      <c r="AN27" s="107" t="s">
        <v>54</v>
      </c>
    </row>
    <row r="28" spans="2:40" s="153" customFormat="1" ht="15.5" hidden="1" customHeight="1" x14ac:dyDescent="0.45">
      <c r="C28" s="336"/>
      <c r="D28" s="156" t="s">
        <v>73</v>
      </c>
      <c r="E28" s="156" t="s">
        <v>74</v>
      </c>
      <c r="F28" s="156" t="s">
        <v>75</v>
      </c>
      <c r="G28" s="156" t="s">
        <v>76</v>
      </c>
      <c r="H28" s="156" t="s">
        <v>77</v>
      </c>
      <c r="I28" s="163" t="s">
        <v>78</v>
      </c>
      <c r="J28" s="230" t="s">
        <v>147</v>
      </c>
      <c r="K28" s="241" t="s">
        <v>141</v>
      </c>
      <c r="L28" s="220" t="s">
        <v>76</v>
      </c>
      <c r="M28" s="221" t="s">
        <v>150</v>
      </c>
      <c r="N28" s="221" t="s">
        <v>146</v>
      </c>
      <c r="O28" s="222" t="s">
        <v>143</v>
      </c>
      <c r="P28" s="167" t="s">
        <v>79</v>
      </c>
      <c r="Q28" s="157" t="s">
        <v>80</v>
      </c>
      <c r="R28" s="157" t="s">
        <v>81</v>
      </c>
      <c r="S28" s="168" t="s">
        <v>82</v>
      </c>
      <c r="T28" s="150"/>
      <c r="U28" s="154"/>
      <c r="V28" s="154"/>
      <c r="W28" s="338"/>
      <c r="X28" s="156" t="s">
        <v>73</v>
      </c>
      <c r="Y28" s="156" t="s">
        <v>74</v>
      </c>
      <c r="Z28" s="156" t="s">
        <v>75</v>
      </c>
      <c r="AA28" s="156" t="s">
        <v>76</v>
      </c>
      <c r="AB28" s="156" t="s">
        <v>77</v>
      </c>
      <c r="AC28" s="163" t="s">
        <v>78</v>
      </c>
      <c r="AD28" s="256" t="s">
        <v>138</v>
      </c>
      <c r="AE28" s="257" t="s">
        <v>156</v>
      </c>
      <c r="AF28" s="250" t="s">
        <v>157</v>
      </c>
      <c r="AG28" s="251" t="s">
        <v>158</v>
      </c>
      <c r="AH28" s="257" t="s">
        <v>139</v>
      </c>
      <c r="AI28" s="258" t="s">
        <v>159</v>
      </c>
      <c r="AJ28" s="167" t="s">
        <v>79</v>
      </c>
      <c r="AK28" s="157" t="s">
        <v>80</v>
      </c>
      <c r="AL28" s="157" t="s">
        <v>81</v>
      </c>
      <c r="AM28" s="168" t="s">
        <v>82</v>
      </c>
      <c r="AN28" s="155" t="s">
        <v>130</v>
      </c>
    </row>
    <row r="29" spans="2:40" ht="30" hidden="1" customHeight="1" x14ac:dyDescent="0.45">
      <c r="C29" s="195" t="s">
        <v>83</v>
      </c>
      <c r="D29" s="200"/>
      <c r="E29" s="200"/>
      <c r="F29" s="200"/>
      <c r="G29" s="200"/>
      <c r="H29" s="200"/>
      <c r="I29" s="201"/>
      <c r="J29" s="237"/>
      <c r="K29" s="238"/>
      <c r="L29" s="238"/>
      <c r="M29" s="238"/>
      <c r="N29" s="238"/>
      <c r="O29" s="207"/>
      <c r="P29" s="203"/>
      <c r="Q29" s="208"/>
      <c r="R29" s="204"/>
      <c r="S29" s="202"/>
      <c r="T29" s="150" t="s">
        <v>54</v>
      </c>
      <c r="W29" s="174" t="s">
        <v>83</v>
      </c>
      <c r="X29" s="158"/>
      <c r="Y29" s="158"/>
      <c r="Z29" s="158"/>
      <c r="AA29" s="158"/>
      <c r="AB29" s="158"/>
      <c r="AC29" s="164"/>
      <c r="AD29" s="191"/>
      <c r="AE29" s="186"/>
      <c r="AF29" s="186"/>
      <c r="AG29" s="186"/>
      <c r="AH29" s="186"/>
      <c r="AI29" s="187"/>
      <c r="AJ29" s="173"/>
      <c r="AK29" s="159"/>
      <c r="AL29" s="159"/>
      <c r="AM29" s="170"/>
      <c r="AN29" s="107" t="s">
        <v>54</v>
      </c>
    </row>
    <row r="30" spans="2:40" ht="30" hidden="1" customHeight="1" x14ac:dyDescent="0.45">
      <c r="C30" s="196" t="s">
        <v>151</v>
      </c>
      <c r="D30" s="200" t="str">
        <f>CDIFS!G30</f>
        <v/>
      </c>
      <c r="E30" s="200" t="e">
        <f>CDTKL!#REF!</f>
        <v>#REF!</v>
      </c>
      <c r="F30" s="200" t="e">
        <f>CDSKP!#REF!</f>
        <v>#REF!</v>
      </c>
      <c r="G30" s="200" t="e">
        <f>GZTKH!#REF!</f>
        <v>#REF!</v>
      </c>
      <c r="H30" s="200" t="e">
        <f>SZBAY!#REF!</f>
        <v>#REF!</v>
      </c>
      <c r="I30" s="231" t="e">
        <f>SZLH!#REF!</f>
        <v>#REF!</v>
      </c>
      <c r="T30" s="150" t="s">
        <v>54</v>
      </c>
      <c r="W30" s="196" t="s">
        <v>151</v>
      </c>
      <c r="AN30" s="107" t="s">
        <v>54</v>
      </c>
    </row>
    <row r="31" spans="2:40" ht="30" hidden="1" customHeight="1" x14ac:dyDescent="0.45">
      <c r="C31" s="196" t="s">
        <v>152</v>
      </c>
      <c r="D31" s="200">
        <f>CDIFS!G31</f>
        <v>0.24589052223005992</v>
      </c>
      <c r="E31" s="200" t="e">
        <f>CDTKL!#REF!</f>
        <v>#REF!</v>
      </c>
      <c r="F31" s="200" t="e">
        <f>CDSKP!#REF!</f>
        <v>#REF!</v>
      </c>
      <c r="G31" s="200" t="e">
        <f>GZTKH!#REF!</f>
        <v>#REF!</v>
      </c>
      <c r="H31" s="200" t="e">
        <f>SZBAY!#REF!</f>
        <v>#REF!</v>
      </c>
      <c r="I31" s="231" t="e">
        <f>SZLH!#REF!</f>
        <v>#REF!</v>
      </c>
      <c r="T31" s="150" t="s">
        <v>54</v>
      </c>
      <c r="W31" s="196" t="s">
        <v>152</v>
      </c>
      <c r="AN31" s="107" t="s">
        <v>54</v>
      </c>
    </row>
    <row r="32" spans="2:40" ht="30" hidden="1" customHeight="1" x14ac:dyDescent="0.45">
      <c r="C32" s="196" t="s">
        <v>153</v>
      </c>
      <c r="D32" s="200">
        <f>CDIFS!G32</f>
        <v>0.80988059708333326</v>
      </c>
      <c r="E32" s="200" t="e">
        <f>CDTKL!#REF!</f>
        <v>#REF!</v>
      </c>
      <c r="F32" s="200" t="e">
        <f>CDSKP!#REF!</f>
        <v>#REF!</v>
      </c>
      <c r="G32" s="200" t="e">
        <f>GZTKH!#REF!</f>
        <v>#REF!</v>
      </c>
      <c r="H32" s="200" t="e">
        <f>SZBAY!#REF!</f>
        <v>#REF!</v>
      </c>
      <c r="I32" s="231" t="e">
        <f>SZLH!#REF!</f>
        <v>#REF!</v>
      </c>
      <c r="T32" s="150" t="s">
        <v>54</v>
      </c>
      <c r="W32" s="196" t="s">
        <v>153</v>
      </c>
      <c r="AN32" s="107" t="s">
        <v>54</v>
      </c>
    </row>
    <row r="33" spans="2:40" ht="30" hidden="1" customHeight="1" x14ac:dyDescent="0.45">
      <c r="C33" s="196" t="s">
        <v>154</v>
      </c>
      <c r="D33" s="218">
        <f>CDIFS!G33</f>
        <v>0.11041122503523283</v>
      </c>
      <c r="E33" s="218" t="e">
        <f>CDTKL!#REF!</f>
        <v>#REF!</v>
      </c>
      <c r="F33" s="218" t="e">
        <f>CDSKP!#REF!</f>
        <v>#REF!</v>
      </c>
      <c r="G33" s="218" t="e">
        <f>GZTKH!#REF!</f>
        <v>#REF!</v>
      </c>
      <c r="H33" s="218" t="e">
        <f>SZBAY!#REF!</f>
        <v>#REF!</v>
      </c>
      <c r="I33" s="232" t="e">
        <f>SZLH!#REF!</f>
        <v>#REF!</v>
      </c>
      <c r="T33" s="150" t="s">
        <v>54</v>
      </c>
      <c r="W33" s="196" t="s">
        <v>154</v>
      </c>
      <c r="AN33" s="107" t="s">
        <v>54</v>
      </c>
    </row>
    <row r="34" spans="2:40" s="102" customFormat="1" ht="30" hidden="1" customHeight="1" thickBot="1" x14ac:dyDescent="0.5">
      <c r="C34" s="197" t="s">
        <v>58</v>
      </c>
      <c r="D34" s="233">
        <f>CDIFS!G34</f>
        <v>6.5109886783119741E-2</v>
      </c>
      <c r="E34" s="233" t="e">
        <f>CDTKL!#REF!</f>
        <v>#REF!</v>
      </c>
      <c r="F34" s="233" t="e">
        <f>CDSKP!#REF!</f>
        <v>#REF!</v>
      </c>
      <c r="G34" s="233" t="e">
        <f>GZTKH!#REF!</f>
        <v>#REF!</v>
      </c>
      <c r="H34" s="233" t="e">
        <f>SZBAY!#REF!</f>
        <v>#REF!</v>
      </c>
      <c r="I34" s="234" t="e">
        <f>SZLH!#REF!</f>
        <v>#REF!</v>
      </c>
      <c r="T34" s="150" t="s">
        <v>131</v>
      </c>
      <c r="U34" s="105"/>
      <c r="V34" s="105"/>
      <c r="W34" s="176" t="s">
        <v>58</v>
      </c>
      <c r="AN34" s="194" t="s">
        <v>131</v>
      </c>
    </row>
    <row r="39" spans="2:40" ht="35.450000000000003" customHeight="1" x14ac:dyDescent="0.45">
      <c r="D39" s="103"/>
      <c r="E39" s="103"/>
      <c r="F39" s="103"/>
      <c r="G39" s="103"/>
      <c r="H39" s="103"/>
      <c r="I39" s="103"/>
    </row>
    <row r="40" spans="2:40" ht="30" customHeight="1" x14ac:dyDescent="0.45">
      <c r="B40" s="330"/>
      <c r="C40" s="330"/>
    </row>
    <row r="41" spans="2:40" ht="20" hidden="1" customHeight="1" x14ac:dyDescent="0.45">
      <c r="W41" s="339" t="s">
        <v>132</v>
      </c>
      <c r="X41" s="349" t="s">
        <v>69</v>
      </c>
      <c r="Y41" s="349"/>
      <c r="Z41" s="349"/>
      <c r="AA41" s="349"/>
      <c r="AB41" s="349"/>
      <c r="AC41" s="350"/>
      <c r="AD41" s="188"/>
      <c r="AE41" s="189"/>
      <c r="AF41" s="189"/>
      <c r="AG41" s="189"/>
      <c r="AH41" s="189"/>
      <c r="AI41" s="190"/>
      <c r="AJ41" s="347" t="s">
        <v>70</v>
      </c>
      <c r="AK41" s="342"/>
      <c r="AL41" s="342"/>
      <c r="AM41" s="166" t="s">
        <v>71</v>
      </c>
      <c r="AN41" s="26" t="s">
        <v>54</v>
      </c>
    </row>
    <row r="42" spans="2:40" s="153" customFormat="1" ht="15.5" hidden="1" customHeight="1" x14ac:dyDescent="0.45">
      <c r="D42" s="104"/>
      <c r="E42" s="104"/>
      <c r="F42" s="104"/>
      <c r="G42" s="104"/>
      <c r="H42" s="104"/>
      <c r="I42" s="104"/>
      <c r="J42" s="180"/>
      <c r="K42" s="180"/>
      <c r="L42" s="180"/>
      <c r="M42" s="180"/>
      <c r="N42" s="180"/>
      <c r="O42" s="180"/>
      <c r="P42" s="104"/>
      <c r="Q42" s="104"/>
      <c r="R42" s="104"/>
      <c r="S42" s="105"/>
      <c r="T42" s="154"/>
      <c r="U42" s="154"/>
      <c r="V42" s="154"/>
      <c r="W42" s="348"/>
      <c r="X42" s="156" t="s">
        <v>73</v>
      </c>
      <c r="Y42" s="156" t="s">
        <v>74</v>
      </c>
      <c r="Z42" s="156" t="s">
        <v>75</v>
      </c>
      <c r="AA42" s="156" t="s">
        <v>76</v>
      </c>
      <c r="AB42" s="156" t="s">
        <v>77</v>
      </c>
      <c r="AC42" s="163" t="s">
        <v>78</v>
      </c>
      <c r="AD42" s="182"/>
      <c r="AE42" s="183"/>
      <c r="AF42" s="183"/>
      <c r="AG42" s="183"/>
      <c r="AH42" s="183"/>
      <c r="AI42" s="184"/>
      <c r="AJ42" s="167" t="s">
        <v>79</v>
      </c>
      <c r="AK42" s="157" t="s">
        <v>80</v>
      </c>
      <c r="AL42" s="157" t="s">
        <v>81</v>
      </c>
      <c r="AM42" s="168" t="s">
        <v>82</v>
      </c>
      <c r="AN42" s="152" t="s">
        <v>130</v>
      </c>
    </row>
    <row r="43" spans="2:40" ht="30" hidden="1" customHeight="1" x14ac:dyDescent="0.45">
      <c r="W43" s="174" t="s">
        <v>83</v>
      </c>
      <c r="X43" s="162"/>
      <c r="Y43" s="162"/>
      <c r="Z43" s="162"/>
      <c r="AA43" s="162"/>
      <c r="AB43" s="162"/>
      <c r="AC43" s="177"/>
      <c r="AD43" s="185"/>
      <c r="AE43" s="186"/>
      <c r="AF43" s="186"/>
      <c r="AG43" s="186"/>
      <c r="AH43" s="186"/>
      <c r="AI43" s="187"/>
      <c r="AJ43" s="169"/>
      <c r="AK43" s="159"/>
      <c r="AL43" s="159"/>
      <c r="AM43" s="170"/>
      <c r="AN43" s="26" t="s">
        <v>54</v>
      </c>
    </row>
    <row r="44" spans="2:40" ht="30" hidden="1" customHeight="1" x14ac:dyDescent="0.45">
      <c r="W44" s="175" t="s">
        <v>35</v>
      </c>
      <c r="X44" s="158" t="str">
        <f>CDIFS!H3</f>
        <v/>
      </c>
      <c r="Y44" s="158" t="e">
        <f>CDTKL!#REF!</f>
        <v>#REF!</v>
      </c>
      <c r="Z44" s="158" t="e">
        <f>CDSKP!#REF!</f>
        <v>#REF!</v>
      </c>
      <c r="AA44" s="158" t="e">
        <f>GZTKH!#REF!</f>
        <v>#REF!</v>
      </c>
      <c r="AB44" s="158" t="e">
        <f>SZBAY!#REF!</f>
        <v>#REF!</v>
      </c>
      <c r="AC44" s="164" t="e">
        <f>SZLH!#REF!</f>
        <v>#REF!</v>
      </c>
      <c r="AD44" s="185"/>
      <c r="AE44" s="186"/>
      <c r="AF44" s="186"/>
      <c r="AG44" s="186"/>
      <c r="AH44" s="186"/>
      <c r="AI44" s="187"/>
      <c r="AJ44" s="169" t="e">
        <f>$AE$6/AE7</f>
        <v>#REF!</v>
      </c>
      <c r="AK44" s="159" t="e">
        <f>AA44</f>
        <v>#REF!</v>
      </c>
      <c r="AL44" s="159" t="e">
        <f>$AI$6/AI7</f>
        <v>#REF!</v>
      </c>
      <c r="AM44" s="170" t="e">
        <f>#REF!</f>
        <v>#REF!</v>
      </c>
      <c r="AN44" s="26" t="s">
        <v>54</v>
      </c>
    </row>
    <row r="45" spans="2:40" ht="30" hidden="1" customHeight="1" x14ac:dyDescent="0.45">
      <c r="W45" s="175" t="s">
        <v>55</v>
      </c>
      <c r="X45" s="158">
        <f>CDIFS!H4</f>
        <v>0.15692593465181748</v>
      </c>
      <c r="Y45" s="158" t="e">
        <f>CDTKL!#REF!</f>
        <v>#REF!</v>
      </c>
      <c r="Z45" s="158" t="e">
        <f>CDSKP!#REF!</f>
        <v>#REF!</v>
      </c>
      <c r="AA45" s="158" t="e">
        <f>GZTKH!#REF!</f>
        <v>#REF!</v>
      </c>
      <c r="AB45" s="158" t="e">
        <f>SZBAY!#REF!</f>
        <v>#REF!</v>
      </c>
      <c r="AC45" s="164" t="e">
        <f>SZLH!#REF!</f>
        <v>#REF!</v>
      </c>
      <c r="AD45" s="185"/>
      <c r="AE45" s="186"/>
      <c r="AF45" s="186"/>
      <c r="AG45" s="186"/>
      <c r="AH45" s="186"/>
      <c r="AI45" s="187"/>
      <c r="AJ45" s="169" t="e">
        <f>$AE$6/AE9</f>
        <v>#REF!</v>
      </c>
      <c r="AK45" s="159" t="e">
        <f t="shared" ref="AK45:AK47" si="20">AA45</f>
        <v>#REF!</v>
      </c>
      <c r="AL45" s="159" t="e">
        <f>$AI$6/AI9</f>
        <v>#REF!</v>
      </c>
      <c r="AM45" s="170" t="e">
        <f>#REF!</f>
        <v>#REF!</v>
      </c>
      <c r="AN45" s="26" t="s">
        <v>54</v>
      </c>
    </row>
    <row r="46" spans="2:40" ht="30" hidden="1" customHeight="1" x14ac:dyDescent="0.45">
      <c r="W46" s="175" t="s">
        <v>56</v>
      </c>
      <c r="X46" s="158" t="str">
        <f>CDIFS!H5</f>
        <v/>
      </c>
      <c r="Y46" s="158" t="e">
        <f>CDTKL!#REF!</f>
        <v>#REF!</v>
      </c>
      <c r="Z46" s="158" t="e">
        <f>CDSKP!#REF!</f>
        <v>#REF!</v>
      </c>
      <c r="AA46" s="158" t="e">
        <f>GZTKH!#REF!</f>
        <v>#REF!</v>
      </c>
      <c r="AB46" s="158" t="e">
        <f>SZBAY!#REF!</f>
        <v>#REF!</v>
      </c>
      <c r="AC46" s="164" t="e">
        <f>SZLH!#REF!</f>
        <v>#REF!</v>
      </c>
      <c r="AD46" s="185"/>
      <c r="AE46" s="186"/>
      <c r="AF46" s="186"/>
      <c r="AG46" s="186"/>
      <c r="AH46" s="186"/>
      <c r="AI46" s="187"/>
      <c r="AJ46" s="169" t="e">
        <f>$AE$6/AE11</f>
        <v>#REF!</v>
      </c>
      <c r="AK46" s="159" t="e">
        <f t="shared" si="20"/>
        <v>#REF!</v>
      </c>
      <c r="AL46" s="159" t="e">
        <f>$AI$6/AI11</f>
        <v>#REF!</v>
      </c>
      <c r="AM46" s="170" t="e">
        <f>#REF!</f>
        <v>#REF!</v>
      </c>
      <c r="AN46" s="26" t="s">
        <v>54</v>
      </c>
    </row>
    <row r="47" spans="2:40" ht="30" hidden="1" customHeight="1" x14ac:dyDescent="0.45">
      <c r="W47" s="175" t="s">
        <v>57</v>
      </c>
      <c r="X47" s="158">
        <f>CDIFS!H6</f>
        <v>8.4065159057245403E-2</v>
      </c>
      <c r="Y47" s="158" t="e">
        <f>CDTKL!#REF!</f>
        <v>#REF!</v>
      </c>
      <c r="Z47" s="158" t="e">
        <f>CDSKP!#REF!</f>
        <v>#REF!</v>
      </c>
      <c r="AA47" s="158" t="e">
        <f>GZTKH!#REF!</f>
        <v>#REF!</v>
      </c>
      <c r="AB47" s="158" t="e">
        <f>SZBAY!#REF!</f>
        <v>#REF!</v>
      </c>
      <c r="AC47" s="164" t="e">
        <f>SZLH!#REF!</f>
        <v>#REF!</v>
      </c>
      <c r="AD47" s="185"/>
      <c r="AE47" s="186"/>
      <c r="AF47" s="186"/>
      <c r="AG47" s="186"/>
      <c r="AH47" s="186"/>
      <c r="AI47" s="187"/>
      <c r="AJ47" s="169" t="e">
        <f>$AE$6/AE13</f>
        <v>#REF!</v>
      </c>
      <c r="AK47" s="159" t="e">
        <f t="shared" si="20"/>
        <v>#REF!</v>
      </c>
      <c r="AL47" s="159" t="e">
        <f>$AI$6/AI13</f>
        <v>#REF!</v>
      </c>
      <c r="AM47" s="170" t="e">
        <f>#REF!</f>
        <v>#REF!</v>
      </c>
      <c r="AN47" s="26" t="s">
        <v>54</v>
      </c>
    </row>
    <row r="48" spans="2:40" ht="30" hidden="1" customHeight="1" thickBot="1" x14ac:dyDescent="0.5">
      <c r="W48" s="176" t="s">
        <v>58</v>
      </c>
      <c r="X48" s="160">
        <f>CDIFS!H7</f>
        <v>5.189961013705157E-2</v>
      </c>
      <c r="Y48" s="160" t="e">
        <f>CDTKL!#REF!</f>
        <v>#REF!</v>
      </c>
      <c r="Z48" s="160" t="e">
        <f>CDSKP!#REF!</f>
        <v>#REF!</v>
      </c>
      <c r="AA48" s="160" t="e">
        <f>GZTKH!#REF!</f>
        <v>#REF!</v>
      </c>
      <c r="AB48" s="160" t="e">
        <f>SZBAY!#REF!</f>
        <v>#REF!</v>
      </c>
      <c r="AC48" s="165" t="e">
        <f>SZLH!#REF!</f>
        <v>#REF!</v>
      </c>
      <c r="AD48" s="188"/>
      <c r="AE48" s="189"/>
      <c r="AF48" s="189"/>
      <c r="AG48" s="189"/>
      <c r="AH48" s="189"/>
      <c r="AI48" s="190"/>
      <c r="AJ48" s="171" t="e">
        <f>$AE$6/AE15</f>
        <v>#REF!</v>
      </c>
      <c r="AK48" s="161" t="e">
        <f t="shared" ref="AK48" si="21">AA48</f>
        <v>#REF!</v>
      </c>
      <c r="AL48" s="161" t="e">
        <f t="shared" ref="AL48" si="22">$AI$6/AI15</f>
        <v>#REF!</v>
      </c>
      <c r="AM48" s="172" t="e">
        <f>#REF!</f>
        <v>#REF!</v>
      </c>
      <c r="AN48" s="26" t="s">
        <v>54</v>
      </c>
    </row>
    <row r="49" ht="30" hidden="1" customHeight="1" x14ac:dyDescent="0.45"/>
  </sheetData>
  <mergeCells count="23">
    <mergeCell ref="AJ4:AL4"/>
    <mergeCell ref="X26:AA26"/>
    <mergeCell ref="W41:W42"/>
    <mergeCell ref="X27:AC27"/>
    <mergeCell ref="AJ27:AL27"/>
    <mergeCell ref="X41:AC41"/>
    <mergeCell ref="AJ41:AL41"/>
    <mergeCell ref="AD4:AI4"/>
    <mergeCell ref="D27:I27"/>
    <mergeCell ref="P27:R27"/>
    <mergeCell ref="B40:C40"/>
    <mergeCell ref="D2:E2"/>
    <mergeCell ref="W1:Z2"/>
    <mergeCell ref="C4:C5"/>
    <mergeCell ref="C27:C28"/>
    <mergeCell ref="W4:W5"/>
    <mergeCell ref="W27:W28"/>
    <mergeCell ref="D4:I4"/>
    <mergeCell ref="P4:R4"/>
    <mergeCell ref="X4:AC4"/>
    <mergeCell ref="J4:O4"/>
    <mergeCell ref="D19:F19"/>
    <mergeCell ref="D18:F18"/>
  </mergeCells>
  <phoneticPr fontId="28" type="noConversion"/>
  <conditionalFormatting sqref="D6:S16">
    <cfRule type="cellIs" dxfId="7" priority="13" operator="greaterThan">
      <formula>0</formula>
    </cfRule>
    <cfRule type="cellIs" dxfId="6" priority="14" operator="lessThan">
      <formula>0</formula>
    </cfRule>
  </conditionalFormatting>
  <conditionalFormatting sqref="X6:AM16">
    <cfRule type="cellIs" dxfId="5" priority="1" operator="greaterThan">
      <formula>0</formula>
    </cfRule>
    <cfRule type="cellIs" dxfId="4" priority="2" operator="lessThan">
      <formula>0</formula>
    </cfRule>
  </conditionalFormatting>
  <dataValidations disablePrompts="1" count="1">
    <dataValidation type="list" allowBlank="1" showInputMessage="1" showErrorMessage="1" sqref="C2" xr:uid="{97F06150-1087-4B87-8177-A83141F82900}">
      <formula1>"202501,202502,202503, 202504, 202505, 202506, 202507,202508, 202509,202510, 202511, 202512"</formula1>
    </dataValidation>
  </dataValidations>
  <pageMargins left="0.7" right="0.7" top="0.75" bottom="0.75" header="0.3" footer="0.3"/>
  <pageSetup paperSize="9" scale="21" orientation="portrait" r:id="rId1"/>
  <ignoredErrors>
    <ignoredError sqref="AJ9:AM9 AJ15:AL15 P9:R9 P11:Q11 P13:R13 P15:R15 AJ11:AM11 AJ13:AM1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522F-4189-4F36-BA7C-B7436685A3AF}">
  <dimension ref="A1:M83"/>
  <sheetViews>
    <sheetView zoomScale="110" zoomScaleNormal="110" workbookViewId="0">
      <selection activeCell="B1" sqref="B1:I1048576"/>
    </sheetView>
  </sheetViews>
  <sheetFormatPr defaultColWidth="8.5859375" defaultRowHeight="12" customHeight="1" x14ac:dyDescent="0.45"/>
  <cols>
    <col min="1" max="1" width="3.5859375" style="12" customWidth="1"/>
    <col min="2" max="2" width="8.234375" style="13" customWidth="1"/>
    <col min="3" max="3" width="5.234375" style="14" customWidth="1"/>
    <col min="4" max="4" width="14.05859375" style="13" customWidth="1"/>
    <col min="5" max="5" width="13.5859375" style="13" customWidth="1"/>
    <col min="6" max="6" width="9.234375" style="15" customWidth="1"/>
    <col min="7" max="7" width="16.234375" style="13" customWidth="1"/>
    <col min="8" max="8" width="15" style="13" customWidth="1"/>
    <col min="9" max="9" width="16.9375" style="13" customWidth="1"/>
    <col min="10" max="10" width="12.234375" style="13" hidden="1" customWidth="1"/>
    <col min="11" max="11" width="13.05859375" style="13" hidden="1" customWidth="1"/>
    <col min="12" max="12" width="11.05859375" style="13" hidden="1" customWidth="1"/>
    <col min="13" max="13" width="9.64453125" style="13" customWidth="1"/>
    <col min="14" max="16384" width="8.5859375" style="13"/>
  </cols>
  <sheetData>
    <row r="1" spans="1:13" s="147" customFormat="1" ht="23.5" customHeight="1" x14ac:dyDescent="0.45">
      <c r="A1" s="143"/>
      <c r="B1" s="108" t="s">
        <v>1</v>
      </c>
      <c r="C1" s="108" t="s">
        <v>129</v>
      </c>
      <c r="D1" s="144" t="s">
        <v>168</v>
      </c>
      <c r="E1" s="144" t="s">
        <v>169</v>
      </c>
      <c r="F1" s="145" t="s">
        <v>134</v>
      </c>
      <c r="G1" s="108" t="s">
        <v>166</v>
      </c>
      <c r="H1" s="108" t="s">
        <v>167</v>
      </c>
      <c r="I1" s="109" t="s">
        <v>52</v>
      </c>
      <c r="J1" s="146"/>
      <c r="K1" s="146"/>
      <c r="L1" s="146"/>
    </row>
    <row r="2" spans="1:13" ht="15" customHeight="1" x14ac:dyDescent="0.45">
      <c r="B2" s="134" t="s">
        <v>53</v>
      </c>
      <c r="C2" s="138"/>
      <c r="D2" s="135">
        <f>SUM(D11,D17,D23,D29,D35,D41,D47,D53,D59,D65,D71,D77)</f>
        <v>66396756.150499992</v>
      </c>
      <c r="E2" s="135">
        <f>SUMIFS($E$11:$E$82,$D$11:$D$82,"&gt;0",$B$11:$B$82,B2)</f>
        <v>70717879.672999963</v>
      </c>
      <c r="F2" s="139">
        <f>D2/E2-1</f>
        <v>-6.1103691774709312E-2</v>
      </c>
      <c r="G2" s="261"/>
      <c r="H2" s="261"/>
      <c r="I2" s="140"/>
      <c r="J2" s="25"/>
      <c r="K2" s="25"/>
      <c r="L2" s="25"/>
      <c r="M2" s="26" t="s">
        <v>54</v>
      </c>
    </row>
    <row r="3" spans="1:13" ht="15" customHeight="1" x14ac:dyDescent="0.45">
      <c r="B3" s="136" t="s">
        <v>35</v>
      </c>
      <c r="C3" s="141"/>
      <c r="D3" s="137">
        <f t="shared" ref="D3:D6" si="0">SUM(D12,D18,D24,D30,D36,D42,D48,D54,D60,D66,D72,D78,)</f>
        <v>375560000</v>
      </c>
      <c r="E3" s="137">
        <f t="shared" ref="E3:E4" si="1">SUMIFS($E$11:$E$82,$D$11:$D$82,"&gt;0",$B$11:$B$82,B3)</f>
        <v>408056800</v>
      </c>
      <c r="F3" s="142">
        <f t="shared" ref="F3:F6" si="2">D3/E3-1</f>
        <v>-7.9637932758380714E-2</v>
      </c>
      <c r="G3" s="262">
        <f>IFERROR($D$2/$D3,"")</f>
        <v>0.1767940040219938</v>
      </c>
      <c r="H3" s="262">
        <f>IFERROR($E$2/$E3,"")</f>
        <v>0.17330400981677052</v>
      </c>
      <c r="I3" s="299">
        <f>G3-H3</f>
        <v>3.4899942052232791E-3</v>
      </c>
      <c r="J3" s="25"/>
      <c r="K3" s="25"/>
      <c r="L3" s="25"/>
      <c r="M3" s="26" t="s">
        <v>54</v>
      </c>
    </row>
    <row r="4" spans="1:13" ht="15" customHeight="1" x14ac:dyDescent="0.45">
      <c r="B4" s="136" t="s">
        <v>55</v>
      </c>
      <c r="C4" s="141"/>
      <c r="D4" s="137">
        <f t="shared" si="0"/>
        <v>159043503</v>
      </c>
      <c r="E4" s="137">
        <f t="shared" si="1"/>
        <v>161060000</v>
      </c>
      <c r="F4" s="142">
        <f t="shared" si="2"/>
        <v>-1.2520160188749574E-2</v>
      </c>
      <c r="G4" s="262">
        <f>IFERROR($D$2/$D4,"")</f>
        <v>0.41747543846855534</v>
      </c>
      <c r="H4" s="262">
        <f t="shared" ref="H4:H5" si="3">IFERROR($E$2/$E4,"")</f>
        <v>0.43907785715261372</v>
      </c>
      <c r="I4" s="299">
        <f>G4-H4</f>
        <v>-2.1602418684058378E-2</v>
      </c>
      <c r="J4" s="25"/>
      <c r="K4" s="25"/>
      <c r="L4" s="25"/>
      <c r="M4" s="26" t="s">
        <v>54</v>
      </c>
    </row>
    <row r="5" spans="1:13" ht="15" customHeight="1" x14ac:dyDescent="0.45">
      <c r="B5" s="136" t="s">
        <v>56</v>
      </c>
      <c r="C5" s="141"/>
      <c r="D5" s="137">
        <f t="shared" si="0"/>
        <v>138450000</v>
      </c>
      <c r="E5" s="137">
        <f>SUMIFS($E$11:$E$82,$D$11:$D$82,"&gt;0",$B$11:$B$82,B5)</f>
        <v>142588000</v>
      </c>
      <c r="F5" s="142">
        <f t="shared" si="2"/>
        <v>-2.9020674951608871E-2</v>
      </c>
      <c r="G5" s="262">
        <f t="shared" ref="G5" si="4">IFERROR($D$2/$D5,"")</f>
        <v>0.47957209209461893</v>
      </c>
      <c r="H5" s="262">
        <f t="shared" si="3"/>
        <v>0.49595954549471177</v>
      </c>
      <c r="I5" s="300">
        <f t="shared" ref="I5:I7" si="5">G5-H5</f>
        <v>-1.6387453400092844E-2</v>
      </c>
      <c r="J5" s="25"/>
      <c r="K5" s="25"/>
      <c r="L5" s="25"/>
      <c r="M5" s="26" t="s">
        <v>54</v>
      </c>
    </row>
    <row r="6" spans="1:13" ht="15" customHeight="1" x14ac:dyDescent="0.45">
      <c r="B6" s="136" t="s">
        <v>57</v>
      </c>
      <c r="C6" s="141"/>
      <c r="D6" s="137">
        <f t="shared" si="0"/>
        <v>270905936.94690263</v>
      </c>
      <c r="E6" s="137">
        <f>SUMIFS($E$11:$E$82,$D$11:$D$82,"&gt;0",$B$11:$B$82,B6)</f>
        <v>268584000</v>
      </c>
      <c r="F6" s="142">
        <f t="shared" si="2"/>
        <v>8.6451052441791632E-3</v>
      </c>
      <c r="G6" s="262">
        <f>IFERROR($D$2/$D6,"")</f>
        <v>0.24509155059054208</v>
      </c>
      <c r="H6" s="262">
        <f>IFERROR($E$2/$E6,"")</f>
        <v>0.26329892947085443</v>
      </c>
      <c r="I6" s="299">
        <f t="shared" si="5"/>
        <v>-1.8207378880312347E-2</v>
      </c>
      <c r="J6" s="25"/>
      <c r="K6" s="25"/>
      <c r="L6" s="25"/>
      <c r="M6" s="26" t="s">
        <v>54</v>
      </c>
    </row>
    <row r="7" spans="1:13" ht="15" customHeight="1" x14ac:dyDescent="0.45">
      <c r="B7" s="301" t="s">
        <v>58</v>
      </c>
      <c r="C7" s="302"/>
      <c r="D7" s="303">
        <f>SUM(D16,D22,D28,D34,D40,D46,D52,D58,D64,D70,D76,D82,)</f>
        <v>1010356196.0974027</v>
      </c>
      <c r="E7" s="303">
        <f>SUMIFS($E$11:$E$82,$D$11:$D$82,"&gt;0",$B$11:$B$82,B7)</f>
        <v>1051006679.673</v>
      </c>
      <c r="F7" s="304">
        <f>D7/E7-1</f>
        <v>-3.8677664340101892E-2</v>
      </c>
      <c r="G7" s="305">
        <f>IFERROR($D$2/$D7,"")</f>
        <v>6.5716186436985097E-2</v>
      </c>
      <c r="H7" s="305">
        <f>IFERROR($E$2/$E7,"")</f>
        <v>6.7285851784502873E-2</v>
      </c>
      <c r="I7" s="306">
        <f t="shared" si="5"/>
        <v>-1.5696653475177763E-3</v>
      </c>
      <c r="J7" s="25"/>
      <c r="K7" s="25"/>
      <c r="L7" s="25"/>
      <c r="M7" s="26" t="s">
        <v>54</v>
      </c>
    </row>
    <row r="8" spans="1:13" ht="11.35" x14ac:dyDescent="0.45">
      <c r="D8" s="16"/>
      <c r="E8" s="16"/>
    </row>
    <row r="9" spans="1:13" ht="11.7" x14ac:dyDescent="0.45">
      <c r="D9" s="17" t="s">
        <v>59</v>
      </c>
      <c r="E9" s="17"/>
      <c r="J9" s="17"/>
      <c r="K9" s="17"/>
    </row>
    <row r="10" spans="1:13" s="11" customFormat="1" ht="26.5" customHeight="1" x14ac:dyDescent="0.45">
      <c r="A10" s="18"/>
      <c r="B10" s="130" t="s">
        <v>1</v>
      </c>
      <c r="C10" s="130" t="s">
        <v>90</v>
      </c>
      <c r="D10" s="148" t="s">
        <v>135</v>
      </c>
      <c r="E10" s="148" t="s">
        <v>133</v>
      </c>
      <c r="F10" s="131" t="s">
        <v>134</v>
      </c>
      <c r="G10" s="132" t="s">
        <v>163</v>
      </c>
      <c r="H10" s="132" t="s">
        <v>164</v>
      </c>
      <c r="I10" s="133" t="s">
        <v>52</v>
      </c>
      <c r="J10" s="27" t="s">
        <v>9</v>
      </c>
      <c r="K10" s="27" t="s">
        <v>10</v>
      </c>
      <c r="L10" s="27" t="s">
        <v>60</v>
      </c>
    </row>
    <row r="11" spans="1:13" ht="20.2" customHeight="1" x14ac:dyDescent="0.45">
      <c r="B11" s="19" t="s">
        <v>53</v>
      </c>
      <c r="C11" s="19" t="s">
        <v>61</v>
      </c>
      <c r="D11" s="28">
        <f>SUM([1]CDIFS!D11,[1]CDTKL!D11,[1]CDSKP!D11,[1]SZLH!D11,[1]SZBAY!D11,[1]GZTKH!D11)</f>
        <v>10006430.970000001</v>
      </c>
      <c r="E11" s="28">
        <f>SUM([1]CDIFS!E11,[1]CDTKL!E11,[1]CDSKP!E11,[1]SZLH!E11,[1]SZBAY!E11,[1]GZTKH!E11)</f>
        <v>13486428.199999997</v>
      </c>
      <c r="F11" s="20">
        <f>D11/E11-1</f>
        <v>-0.25803698194900837</v>
      </c>
      <c r="G11" s="21"/>
      <c r="H11" s="22"/>
      <c r="I11" s="22"/>
      <c r="J11" s="19"/>
      <c r="K11" s="19"/>
      <c r="L11" s="28"/>
      <c r="M11" s="26" t="s">
        <v>54</v>
      </c>
    </row>
    <row r="12" spans="1:13" ht="20.2" customHeight="1" x14ac:dyDescent="0.45">
      <c r="B12" s="23" t="s">
        <v>35</v>
      </c>
      <c r="C12" s="23" t="s">
        <v>61</v>
      </c>
      <c r="D12" s="29">
        <f>SUM([1]CDIFS!D12,[1]CDTKL!D12,[1]CDSKP!D12,[1]SZLH!D12,[1]SZBAY!D12,[1]GZTKH!D12)</f>
        <v>77400000</v>
      </c>
      <c r="E12" s="29">
        <f>SUM([1]CDIFS!E12,[1]CDTKL!E12,[1]CDSKP!E12,[1]SZLH!E12,[1]SZBAY!E12,[1]GZTKH!E12)</f>
        <v>81030000</v>
      </c>
      <c r="F12" s="24">
        <f t="shared" ref="F12:F75" si="6">D12/E12-1</f>
        <v>-4.4798222880414684E-2</v>
      </c>
      <c r="G12" s="274">
        <f>IFERROR($D$11/D12,"")</f>
        <v>0.129282053875969</v>
      </c>
      <c r="H12" s="274">
        <f>IFERROR($E$11/E12,"")</f>
        <v>0.16643747007281251</v>
      </c>
      <c r="I12" s="274">
        <f>IFERROR(G12-H12,"")</f>
        <v>-3.715541619684351E-2</v>
      </c>
      <c r="J12" s="23"/>
      <c r="K12" s="23"/>
      <c r="L12" s="29"/>
      <c r="M12" s="26" t="s">
        <v>54</v>
      </c>
    </row>
    <row r="13" spans="1:13" ht="20.2" customHeight="1" x14ac:dyDescent="0.45">
      <c r="B13" s="23" t="s">
        <v>55</v>
      </c>
      <c r="C13" s="23" t="s">
        <v>61</v>
      </c>
      <c r="D13" s="29">
        <f>SUM([1]CDIFS!D13,[1]CDTKL!D13,[1]CDSKP!D13,[1]SZLH!D13,[1]SZBAY!D13,[1]GZTKH!D13)</f>
        <v>39420000</v>
      </c>
      <c r="E13" s="29">
        <f>SUM([1]CDIFS!E13,[1]CDTKL!E13,[1]CDSKP!E13,[1]SZLH!E13,[1]SZBAY!E13,[1]GZTKH!E13)</f>
        <v>31200000</v>
      </c>
      <c r="F13" s="24">
        <f t="shared" si="6"/>
        <v>0.26346153846153841</v>
      </c>
      <c r="G13" s="274">
        <f>IFERROR($D$11/D13,"")</f>
        <v>0.25384147564687976</v>
      </c>
      <c r="H13" s="274">
        <f>IFERROR($E$11/E13,"")</f>
        <v>0.43225731410256402</v>
      </c>
      <c r="I13" s="274">
        <f t="shared" ref="I13:I76" si="7">IFERROR(G13-H13,"")</f>
        <v>-0.17841583845568426</v>
      </c>
      <c r="J13" s="23"/>
      <c r="K13" s="23"/>
      <c r="L13" s="29"/>
      <c r="M13" s="26" t="s">
        <v>54</v>
      </c>
    </row>
    <row r="14" spans="1:13" ht="20.2" customHeight="1" x14ac:dyDescent="0.45">
      <c r="B14" s="23" t="s">
        <v>56</v>
      </c>
      <c r="C14" s="23" t="s">
        <v>61</v>
      </c>
      <c r="D14" s="29">
        <f>SUM([1]CDIFS!D14,[1]CDTKL!D14,[1]CDSKP!D14,[1]SZLH!D14,[1]SZBAY!D14,[1]GZTKH!D14)</f>
        <v>27010000</v>
      </c>
      <c r="E14" s="29">
        <f>SUM([1]CDIFS!E14,[1]CDTKL!E14,[1]CDSKP!E14,[1]SZLH!E14,[1]SZBAY!E14,[1]GZTKH!E14)</f>
        <v>25080000</v>
      </c>
      <c r="F14" s="24">
        <f t="shared" si="6"/>
        <v>7.6953748006379552E-2</v>
      </c>
      <c r="G14" s="274">
        <f>IFERROR($D$11/D14,"")</f>
        <v>0.37047134283598671</v>
      </c>
      <c r="H14" s="274">
        <f>IFERROR($E$11/E14,"")</f>
        <v>0.5377363716108452</v>
      </c>
      <c r="I14" s="274">
        <f t="shared" si="7"/>
        <v>-0.16726502877485849</v>
      </c>
      <c r="J14" s="23"/>
      <c r="K14" s="23"/>
      <c r="L14" s="29"/>
      <c r="M14" s="26" t="s">
        <v>54</v>
      </c>
    </row>
    <row r="15" spans="1:13" ht="20.2" customHeight="1" x14ac:dyDescent="0.45">
      <c r="B15" s="23" t="s">
        <v>57</v>
      </c>
      <c r="C15" s="23" t="s">
        <v>61</v>
      </c>
      <c r="D15" s="29">
        <f>SUM([1]CDIFS!D15,[1]CDTKL!D15,[1]CDSKP!D15,[1]SZLH!D15,[1]SZBAY!D15,[1]GZTKH!D15)</f>
        <v>62501188</v>
      </c>
      <c r="E15" s="29">
        <f>SUM([1]CDIFS!E15,[1]CDTKL!E15,[1]CDSKP!E15,[1]SZLH!E15,[1]SZBAY!E15,[1]GZTKH!E15)</f>
        <v>47056000</v>
      </c>
      <c r="F15" s="24">
        <f t="shared" si="6"/>
        <v>0.32822993879632767</v>
      </c>
      <c r="G15" s="274">
        <f>IFERROR($D$11/D15,"")</f>
        <v>0.16009985234200669</v>
      </c>
      <c r="H15" s="274">
        <f>IFERROR($E$11/E15,"")</f>
        <v>0.28660379547772863</v>
      </c>
      <c r="I15" s="274">
        <f t="shared" si="7"/>
        <v>-0.12650394313572194</v>
      </c>
      <c r="J15" s="23"/>
      <c r="K15" s="23"/>
      <c r="L15" s="29"/>
      <c r="M15" s="26" t="s">
        <v>54</v>
      </c>
    </row>
    <row r="16" spans="1:13" ht="20.2" customHeight="1" x14ac:dyDescent="0.45">
      <c r="B16" s="307" t="s">
        <v>58</v>
      </c>
      <c r="C16" s="307" t="s">
        <v>62</v>
      </c>
      <c r="D16" s="308">
        <f>SUM(D11:D15)</f>
        <v>216337618.97</v>
      </c>
      <c r="E16" s="308">
        <f>SUM(E11:E15)</f>
        <v>197852428.19999999</v>
      </c>
      <c r="F16" s="309">
        <f t="shared" si="6"/>
        <v>9.3429183246182657E-2</v>
      </c>
      <c r="G16" s="310">
        <f>IFERROR($D$11/D16,"")</f>
        <v>4.6253772310342445E-2</v>
      </c>
      <c r="H16" s="310">
        <f>IFERROR($E$11/E16,"")</f>
        <v>6.8164077250379679E-2</v>
      </c>
      <c r="I16" s="310">
        <f t="shared" si="7"/>
        <v>-2.1910304940037234E-2</v>
      </c>
      <c r="J16" s="23"/>
      <c r="K16" s="23"/>
      <c r="L16" s="29"/>
      <c r="M16" s="26" t="s">
        <v>54</v>
      </c>
    </row>
    <row r="17" spans="2:13" ht="20.2" customHeight="1" x14ac:dyDescent="0.45">
      <c r="B17" s="19" t="s">
        <v>53</v>
      </c>
      <c r="C17" s="19" t="s">
        <v>63</v>
      </c>
      <c r="D17" s="28">
        <f>SUM([1]CDIFS!D17,[1]CDTKL!D17,[1]CDSKP!D17,[1]SZLH!D17,[1]SZBAY!D17,[1]GZTKH!D17)</f>
        <v>12760230.5035</v>
      </c>
      <c r="E17" s="28">
        <f>SUM([1]CDIFS!E17,[1]CDTKL!E17,[1]CDSKP!E17,[1]SZLH!E17,[1]SZBAY!E17,[1]GZTKH!E17)</f>
        <v>12204216.483000001</v>
      </c>
      <c r="F17" s="20">
        <f t="shared" si="6"/>
        <v>4.5559173853930268E-2</v>
      </c>
      <c r="G17" s="278"/>
      <c r="H17" s="278"/>
      <c r="I17" s="278"/>
      <c r="J17" s="19"/>
      <c r="K17" s="19"/>
      <c r="L17" s="28"/>
      <c r="M17" s="26" t="s">
        <v>54</v>
      </c>
    </row>
    <row r="18" spans="2:13" ht="20.2" customHeight="1" x14ac:dyDescent="0.45">
      <c r="B18" s="23" t="s">
        <v>35</v>
      </c>
      <c r="C18" s="23" t="s">
        <v>63</v>
      </c>
      <c r="D18" s="29">
        <f>SUM([1]CDIFS!D18,[1]CDTKL!D18,[1]CDSKP!D18,[1]SZLH!D18,[1]SZBAY!D18,[1]GZTKH!D18)</f>
        <v>66410000</v>
      </c>
      <c r="E18" s="29">
        <f>SUM([1]CDIFS!E18,[1]CDTKL!E18,[1]CDSKP!E18,[1]SZLH!E18,[1]SZBAY!E18,[1]GZTKH!E18)</f>
        <v>83630000</v>
      </c>
      <c r="F18" s="24">
        <f t="shared" si="6"/>
        <v>-0.20590697118258994</v>
      </c>
      <c r="G18" s="274">
        <f t="shared" ref="G18:G30" si="8">IFERROR($D$11/D18,"")</f>
        <v>0.15067656934196658</v>
      </c>
      <c r="H18" s="274">
        <f>IFERROR($E$17/E18,"")</f>
        <v>0.14593108314002154</v>
      </c>
      <c r="I18" s="274">
        <f t="shared" si="7"/>
        <v>4.7454862019450372E-3</v>
      </c>
      <c r="J18" s="23"/>
      <c r="K18" s="23"/>
      <c r="L18" s="29"/>
      <c r="M18" s="26" t="s">
        <v>54</v>
      </c>
    </row>
    <row r="19" spans="2:13" ht="20.2" customHeight="1" x14ac:dyDescent="0.45">
      <c r="B19" s="23" t="s">
        <v>55</v>
      </c>
      <c r="C19" s="23" t="s">
        <v>63</v>
      </c>
      <c r="D19" s="29">
        <f>SUM([1]CDIFS!D19,[1]CDTKL!D19,[1]CDSKP!D19,[1]SZLH!D19,[1]SZBAY!D19,[1]GZTKH!D19)</f>
        <v>32555342</v>
      </c>
      <c r="E19" s="29">
        <f>SUM([1]CDIFS!E19,[1]CDTKL!E19,[1]CDSKP!E19,[1]SZLH!E19,[1]SZBAY!E19,[1]GZTKH!E19)</f>
        <v>32050000</v>
      </c>
      <c r="F19" s="24">
        <f t="shared" si="6"/>
        <v>1.5767301092043606E-2</v>
      </c>
      <c r="G19" s="274">
        <f>IFERROR($D$17/$D19,"")</f>
        <v>0.39195504392182395</v>
      </c>
      <c r="H19" s="274">
        <f>IFERROR($E$17/E19,"")</f>
        <v>0.38078678574102964</v>
      </c>
      <c r="I19" s="274">
        <f t="shared" si="7"/>
        <v>1.116825818079431E-2</v>
      </c>
      <c r="J19" s="23"/>
      <c r="K19" s="23"/>
      <c r="L19" s="29"/>
      <c r="M19" s="26" t="s">
        <v>54</v>
      </c>
    </row>
    <row r="20" spans="2:13" ht="20.2" customHeight="1" x14ac:dyDescent="0.45">
      <c r="B20" s="23" t="s">
        <v>56</v>
      </c>
      <c r="C20" s="23" t="s">
        <v>63</v>
      </c>
      <c r="D20" s="29">
        <f>SUM([1]CDIFS!D20,[1]CDTKL!D20,[1]CDSKP!D20,[1]SZLH!D20,[1]SZBAY!D20,[1]GZTKH!D20)</f>
        <v>25785000</v>
      </c>
      <c r="E20" s="29">
        <f>SUM([1]CDIFS!E20,[1]CDTKL!E20,[1]CDSKP!E20,[1]SZLH!E20,[1]SZBAY!E20,[1]GZTKH!E20)</f>
        <v>31660000</v>
      </c>
      <c r="F20" s="24">
        <f t="shared" si="6"/>
        <v>-0.18556538218572327</v>
      </c>
      <c r="G20" s="274">
        <f>IFERROR($D$17/$D20,"")</f>
        <v>0.49487029294163271</v>
      </c>
      <c r="H20" s="274">
        <f t="shared" ref="H20" si="9">IFERROR($E$17/E20,"")</f>
        <v>0.38547746313960835</v>
      </c>
      <c r="I20" s="274">
        <f t="shared" si="7"/>
        <v>0.10939282980202436</v>
      </c>
      <c r="J20" s="23"/>
      <c r="K20" s="23"/>
      <c r="L20" s="29"/>
      <c r="M20" s="26" t="s">
        <v>54</v>
      </c>
    </row>
    <row r="21" spans="2:13" ht="20.2" customHeight="1" x14ac:dyDescent="0.45">
      <c r="B21" s="23" t="s">
        <v>57</v>
      </c>
      <c r="C21" s="23" t="s">
        <v>63</v>
      </c>
      <c r="D21" s="29">
        <f>SUM([1]CDIFS!D21,[1]CDTKL!D21,[1]CDSKP!D21,[1]SZLH!D21,[1]SZBAY!D21,[1]GZTKH!D21)</f>
        <v>47400931</v>
      </c>
      <c r="E21" s="29">
        <f>SUM([1]CDIFS!E21,[1]CDTKL!E21,[1]CDSKP!E21,[1]SZLH!E21,[1]SZBAY!E21,[1]GZTKH!E21)</f>
        <v>54776000</v>
      </c>
      <c r="F21" s="24">
        <f t="shared" si="6"/>
        <v>-0.13464051774499786</v>
      </c>
      <c r="G21" s="274">
        <f>IFERROR($D$17/$D21,"")</f>
        <v>0.26919788776933518</v>
      </c>
      <c r="H21" s="274">
        <f>IFERROR($E$17/E21,"")</f>
        <v>0.22280225797794656</v>
      </c>
      <c r="I21" s="274">
        <f t="shared" si="7"/>
        <v>4.6395629791388615E-2</v>
      </c>
      <c r="J21" s="23"/>
      <c r="K21" s="23"/>
      <c r="L21" s="29"/>
      <c r="M21" s="26" t="s">
        <v>54</v>
      </c>
    </row>
    <row r="22" spans="2:13" ht="20.2" customHeight="1" x14ac:dyDescent="0.45">
      <c r="B22" s="307" t="s">
        <v>58</v>
      </c>
      <c r="C22" s="307" t="s">
        <v>64</v>
      </c>
      <c r="D22" s="308">
        <f>SUM(D17:D21)</f>
        <v>184911503.50349998</v>
      </c>
      <c r="E22" s="308">
        <f>SUM(E17:E21)</f>
        <v>214320216.48299998</v>
      </c>
      <c r="F22" s="309">
        <f t="shared" si="6"/>
        <v>-0.13721856697467794</v>
      </c>
      <c r="G22" s="310">
        <f>IFERROR($D$17/$D22,"")</f>
        <v>6.9007229197389955E-2</v>
      </c>
      <c r="H22" s="310">
        <f>IFERROR($E$17/E22,"")</f>
        <v>5.6943841711582295E-2</v>
      </c>
      <c r="I22" s="310">
        <f t="shared" si="7"/>
        <v>1.206338748580766E-2</v>
      </c>
      <c r="J22" s="23"/>
      <c r="K22" s="23"/>
      <c r="L22" s="29"/>
      <c r="M22" s="26" t="s">
        <v>54</v>
      </c>
    </row>
    <row r="23" spans="2:13" ht="20.2" customHeight="1" x14ac:dyDescent="0.45">
      <c r="B23" s="19" t="s">
        <v>53</v>
      </c>
      <c r="C23" s="19" t="s">
        <v>65</v>
      </c>
      <c r="D23" s="28">
        <f>SUM([1]CDIFS!D23,[1]CDTKL!D23,[1]CDSKP!D23,[1]SZLH!D23,[1]SZBAY!D23,[1]GZTKH!D23)</f>
        <v>12189500.084500002</v>
      </c>
      <c r="E23" s="28">
        <f>SUM([1]CDIFS!E23,[1]CDTKL!E23,[1]CDSKP!E23,[1]SZLH!E23,[1]SZBAY!E23,[1]GZTKH!E23)</f>
        <v>9095385.5499999989</v>
      </c>
      <c r="F23" s="20">
        <f t="shared" si="6"/>
        <v>0.3401850880856836</v>
      </c>
      <c r="G23" s="278"/>
      <c r="H23" s="278"/>
      <c r="I23" s="278"/>
      <c r="J23" s="30"/>
      <c r="K23" s="30"/>
      <c r="L23" s="30"/>
      <c r="M23" s="26" t="s">
        <v>54</v>
      </c>
    </row>
    <row r="24" spans="2:13" ht="20.2" customHeight="1" x14ac:dyDescent="0.45">
      <c r="B24" s="23" t="s">
        <v>35</v>
      </c>
      <c r="C24" s="23" t="s">
        <v>65</v>
      </c>
      <c r="D24" s="29">
        <f>SUM([1]CDIFS!D24,[1]CDTKL!D24,[1]CDSKP!D24,[1]SZLH!D24,[1]SZBAY!D24,[1]GZTKH!D24)</f>
        <v>71260000</v>
      </c>
      <c r="E24" s="29">
        <f>SUM([1]CDIFS!E24,[1]CDTKL!E24,[1]CDSKP!E24,[1]SZLH!E24,[1]SZBAY!E24,[1]GZTKH!E24)</f>
        <v>79270000</v>
      </c>
      <c r="F24" s="24">
        <f t="shared" si="6"/>
        <v>-0.10104705437113659</v>
      </c>
      <c r="G24" s="274">
        <f t="shared" si="8"/>
        <v>0.14042142815043504</v>
      </c>
      <c r="H24" s="274">
        <f>IFERROR($E$23/E24,"")</f>
        <v>0.11473931563012488</v>
      </c>
      <c r="I24" s="274">
        <f t="shared" si="7"/>
        <v>2.5682112520310163E-2</v>
      </c>
      <c r="J24" s="30"/>
      <c r="K24" s="30"/>
      <c r="L24" s="30"/>
      <c r="M24" s="26" t="s">
        <v>54</v>
      </c>
    </row>
    <row r="25" spans="2:13" ht="20.2" customHeight="1" x14ac:dyDescent="0.45">
      <c r="B25" s="23" t="s">
        <v>55</v>
      </c>
      <c r="C25" s="23" t="s">
        <v>65</v>
      </c>
      <c r="D25" s="29">
        <f>SUM([1]CDIFS!D25,[1]CDTKL!D25,[1]CDSKP!D25,[1]SZLH!D25,[1]SZBAY!D25,[1]GZTKH!D25)</f>
        <v>27860475</v>
      </c>
      <c r="E25" s="29">
        <f>SUM([1]CDIFS!E25,[1]CDTKL!E25,[1]CDSKP!E25,[1]SZLH!E25,[1]SZBAY!E25,[1]GZTKH!E25)</f>
        <v>32460000</v>
      </c>
      <c r="F25" s="24">
        <f t="shared" si="6"/>
        <v>-0.14169824399260633</v>
      </c>
      <c r="G25" s="274">
        <f>IFERROR($D$23/$D25,"")</f>
        <v>0.43751946384618357</v>
      </c>
      <c r="H25" s="274">
        <f>IFERROR($E$23/E25,"")</f>
        <v>0.28020288200862598</v>
      </c>
      <c r="I25" s="274">
        <f t="shared" si="7"/>
        <v>0.15731658183755759</v>
      </c>
      <c r="J25" s="30"/>
      <c r="K25" s="30"/>
      <c r="L25" s="30"/>
      <c r="M25" s="26" t="s">
        <v>54</v>
      </c>
    </row>
    <row r="26" spans="2:13" ht="20.2" customHeight="1" x14ac:dyDescent="0.45">
      <c r="B26" s="23" t="s">
        <v>56</v>
      </c>
      <c r="C26" s="23" t="s">
        <v>65</v>
      </c>
      <c r="D26" s="29">
        <f>SUM([1]CDIFS!D26,[1]CDTKL!D26,[1]CDSKP!D26,[1]SZLH!D26,[1]SZBAY!D26,[1]GZTKH!D26)</f>
        <v>29407000</v>
      </c>
      <c r="E26" s="29">
        <f>SUM([1]CDIFS!E26,[1]CDTKL!E26,[1]CDSKP!E26,[1]SZLH!E26,[1]SZBAY!E26,[1]GZTKH!E26)</f>
        <v>25440000</v>
      </c>
      <c r="F26" s="24">
        <f t="shared" si="6"/>
        <v>0.15593553459119502</v>
      </c>
      <c r="G26" s="274">
        <f>IFERROR($D$23/$D26,"")</f>
        <v>0.41451015351786996</v>
      </c>
      <c r="H26" s="274">
        <f t="shared" ref="H26:H28" si="10">IFERROR($E$23/E26,"")</f>
        <v>0.3575230169025157</v>
      </c>
      <c r="I26" s="274">
        <f t="shared" si="7"/>
        <v>5.6987136615354261E-2</v>
      </c>
      <c r="J26" s="30"/>
      <c r="K26" s="30"/>
      <c r="L26" s="30"/>
      <c r="M26" s="26" t="s">
        <v>54</v>
      </c>
    </row>
    <row r="27" spans="2:13" ht="20.2" customHeight="1" x14ac:dyDescent="0.45">
      <c r="B27" s="23" t="s">
        <v>57</v>
      </c>
      <c r="C27" s="23" t="s">
        <v>65</v>
      </c>
      <c r="D27" s="29">
        <f>SUM([1]CDIFS!D27,[1]CDTKL!D27,[1]CDSKP!D27,[1]SZLH!D27,[1]SZBAY!D27,[1]GZTKH!D27)</f>
        <v>46369079.946902655</v>
      </c>
      <c r="E27" s="29">
        <f>SUM([1]CDIFS!E27,[1]CDTKL!E27,[1]CDSKP!E27,[1]SZLH!E27,[1]SZBAY!E27,[1]GZTKH!E27)</f>
        <v>49470000</v>
      </c>
      <c r="F27" s="24">
        <f t="shared" si="6"/>
        <v>-6.2682839157011228E-2</v>
      </c>
      <c r="G27" s="274">
        <f>IFERROR($D$23/$D27,"")</f>
        <v>0.26287992124187559</v>
      </c>
      <c r="H27" s="274">
        <f t="shared" si="10"/>
        <v>0.18385659086314937</v>
      </c>
      <c r="I27" s="274">
        <f t="shared" si="7"/>
        <v>7.902333037872622E-2</v>
      </c>
      <c r="J27" s="30"/>
      <c r="K27" s="30"/>
      <c r="L27" s="30"/>
      <c r="M27" s="26" t="s">
        <v>54</v>
      </c>
    </row>
    <row r="28" spans="2:13" ht="20.2" customHeight="1" x14ac:dyDescent="0.45">
      <c r="B28" s="307" t="s">
        <v>58</v>
      </c>
      <c r="C28" s="307" t="s">
        <v>65</v>
      </c>
      <c r="D28" s="308">
        <f t="shared" ref="D28:E28" si="11">SUM(D23:D27)</f>
        <v>187086055.03140268</v>
      </c>
      <c r="E28" s="308">
        <f t="shared" si="11"/>
        <v>195735385.55000001</v>
      </c>
      <c r="F28" s="309">
        <f t="shared" si="6"/>
        <v>-4.4188895606655065E-2</v>
      </c>
      <c r="G28" s="310">
        <f>IFERROR($D$23/$D28,"")</f>
        <v>6.5154509150636461E-2</v>
      </c>
      <c r="H28" s="310">
        <f t="shared" si="10"/>
        <v>4.6467763222489016E-2</v>
      </c>
      <c r="I28" s="310">
        <f t="shared" si="7"/>
        <v>1.8686745928147445E-2</v>
      </c>
      <c r="J28" s="30"/>
      <c r="K28" s="30"/>
      <c r="L28" s="30"/>
      <c r="M28" s="26" t="s">
        <v>54</v>
      </c>
    </row>
    <row r="29" spans="2:13" ht="20.2" customHeight="1" x14ac:dyDescent="0.45">
      <c r="B29" s="19" t="s">
        <v>53</v>
      </c>
      <c r="C29" s="19" t="s">
        <v>30</v>
      </c>
      <c r="D29" s="28">
        <f>CDIFS!D29+CDTKL!E17+CDSKP!E17+GZTKH!E17+SZBAY!E17+SZLH!E17</f>
        <v>19177312.695999991</v>
      </c>
      <c r="E29" s="28">
        <f>SUM([1]CDIFS!E29,[1]CDTKL!E29,[1]CDSKP!E29,[1]SZLH!E29,[1]SZBAY!E29,[1]GZTKH!E29)</f>
        <v>19154296.54999999</v>
      </c>
      <c r="F29" s="20">
        <f t="shared" si="6"/>
        <v>1.2016179210716516E-3</v>
      </c>
      <c r="G29" s="278"/>
      <c r="H29" s="278"/>
      <c r="I29" s="278"/>
      <c r="J29" s="30"/>
      <c r="K29" s="30"/>
      <c r="L29" s="30"/>
      <c r="M29" s="26" t="s">
        <v>54</v>
      </c>
    </row>
    <row r="30" spans="2:13" ht="20.2" customHeight="1" x14ac:dyDescent="0.45">
      <c r="B30" s="23" t="s">
        <v>35</v>
      </c>
      <c r="C30" s="23" t="s">
        <v>30</v>
      </c>
      <c r="D30" s="29">
        <f>CDIFS!D30+CDTKL!E18+CDSKP!E18+GZTKH!E18+SZBAY!E18+SZLH!E18</f>
        <v>72440000</v>
      </c>
      <c r="E30" s="29">
        <f>SUM([1]CDIFS!E30,[1]CDTKL!E30,[1]CDSKP!E30,[1]SZLH!E30,[1]SZBAY!E30,[1]GZTKH!E30)</f>
        <v>75306800</v>
      </c>
      <c r="F30" s="24">
        <f t="shared" si="6"/>
        <v>-3.8068275374866567E-2</v>
      </c>
      <c r="G30" s="274">
        <f t="shared" si="8"/>
        <v>0.13813405535615683</v>
      </c>
      <c r="H30" s="274">
        <f>IFERROR($E$29/E30,"")</f>
        <v>0.25435015894978924</v>
      </c>
      <c r="I30" s="274">
        <f t="shared" si="7"/>
        <v>-0.11621610359363241</v>
      </c>
      <c r="J30" s="30"/>
      <c r="K30" s="30"/>
      <c r="L30" s="30"/>
      <c r="M30" s="26" t="s">
        <v>54</v>
      </c>
    </row>
    <row r="31" spans="2:13" ht="20.2" customHeight="1" x14ac:dyDescent="0.45">
      <c r="B31" s="23" t="s">
        <v>55</v>
      </c>
      <c r="C31" s="23" t="s">
        <v>30</v>
      </c>
      <c r="D31" s="29">
        <f>CDIFS!D31+CDTKL!E19+CDSKP!E19+GZTKH!E19+SZBAY!E19+SZLH!E19</f>
        <v>31522396</v>
      </c>
      <c r="E31" s="29">
        <f>SUM([1]CDIFS!E31,[1]CDTKL!E31,[1]CDSKP!E31,[1]SZLH!E31,[1]SZBAY!E31,[1]GZTKH!E31)</f>
        <v>33690000</v>
      </c>
      <c r="F31" s="24">
        <f t="shared" si="6"/>
        <v>-6.4339685366577637E-2</v>
      </c>
      <c r="G31" s="274">
        <f>IFERROR($D$29/$D31,"")</f>
        <v>0.60837103550123506</v>
      </c>
      <c r="H31" s="274">
        <f>IFERROR($E$29/E31,"")</f>
        <v>0.56854546007717388</v>
      </c>
      <c r="I31" s="274">
        <f>IFERROR(G31-H31,"")</f>
        <v>3.9825575424061177E-2</v>
      </c>
      <c r="J31" s="30"/>
      <c r="K31" s="30"/>
      <c r="L31" s="30"/>
      <c r="M31" s="26" t="s">
        <v>54</v>
      </c>
    </row>
    <row r="32" spans="2:13" ht="20.2" customHeight="1" x14ac:dyDescent="0.45">
      <c r="B32" s="23" t="s">
        <v>56</v>
      </c>
      <c r="C32" s="23" t="s">
        <v>30</v>
      </c>
      <c r="D32" s="29">
        <f>CDIFS!D32+CDTKL!E20+CDSKP!E20+GZTKH!E20+SZBAY!E20+SZLH!E20</f>
        <v>30880000</v>
      </c>
      <c r="E32" s="29">
        <f>SUM([1]CDIFS!E32,[1]CDTKL!E32,[1]CDSKP!E32,[1]SZLH!E32,[1]SZBAY!E32,[1]GZTKH!E32)</f>
        <v>32670000</v>
      </c>
      <c r="F32" s="24">
        <f t="shared" si="6"/>
        <v>-5.4790327517600268E-2</v>
      </c>
      <c r="G32" s="274">
        <f>IFERROR($D$29/$D32,"")</f>
        <v>0.62102696554404113</v>
      </c>
      <c r="H32" s="274">
        <f t="shared" ref="H32" si="12">IFERROR($E$29/E32,"")</f>
        <v>0.58629619069482675</v>
      </c>
      <c r="I32" s="274">
        <f t="shared" si="7"/>
        <v>3.4730774849214385E-2</v>
      </c>
      <c r="J32" s="30"/>
      <c r="K32" s="30"/>
      <c r="L32" s="30"/>
      <c r="M32" s="26" t="s">
        <v>54</v>
      </c>
    </row>
    <row r="33" spans="2:13" ht="20.2" customHeight="1" x14ac:dyDescent="0.45">
      <c r="B33" s="23" t="s">
        <v>57</v>
      </c>
      <c r="C33" s="23" t="s">
        <v>30</v>
      </c>
      <c r="D33" s="29">
        <f>CDIFS!D33+CDTKL!E21+CDSKP!E21+GZTKH!E21+SZBAY!E21+SZLH!E21</f>
        <v>55702155</v>
      </c>
      <c r="E33" s="29">
        <f>SUM([1]CDIFS!E33,[1]CDTKL!E33,[1]CDSKP!E33,[1]SZLH!E33,[1]SZBAY!E33,[1]GZTKH!E33)</f>
        <v>46052000</v>
      </c>
      <c r="F33" s="24">
        <f t="shared" si="6"/>
        <v>0.20954909667332577</v>
      </c>
      <c r="G33" s="274">
        <f>IFERROR($D$29/$D33,"")</f>
        <v>0.34428313762726043</v>
      </c>
      <c r="H33" s="274">
        <f>IFERROR($E$29/E33,"")</f>
        <v>0.41592757209241704</v>
      </c>
      <c r="I33" s="274">
        <f t="shared" si="7"/>
        <v>-7.1644434465156615E-2</v>
      </c>
      <c r="J33" s="30"/>
      <c r="K33" s="30"/>
      <c r="L33" s="30"/>
      <c r="M33" s="26" t="s">
        <v>54</v>
      </c>
    </row>
    <row r="34" spans="2:13" ht="20.2" customHeight="1" x14ac:dyDescent="0.45">
      <c r="B34" s="307" t="s">
        <v>58</v>
      </c>
      <c r="C34" s="307" t="s">
        <v>30</v>
      </c>
      <c r="D34" s="308">
        <f>SUM(D29:D33)</f>
        <v>209721863.69599998</v>
      </c>
      <c r="E34" s="308">
        <f>SUM(E29:E33)</f>
        <v>206873096.54999998</v>
      </c>
      <c r="F34" s="309">
        <f>D34/E34-1</f>
        <v>1.3770602333065929E-2</v>
      </c>
      <c r="G34" s="310">
        <f>IFERROR($D$29/$D34,"")</f>
        <v>9.1441647322943187E-2</v>
      </c>
      <c r="H34" s="310">
        <f>IFERROR($E$29/E34,"")</f>
        <v>9.2589596566368948E-2</v>
      </c>
      <c r="I34" s="310">
        <f t="shared" si="7"/>
        <v>-1.147949243425761E-3</v>
      </c>
      <c r="M34" s="26" t="s">
        <v>54</v>
      </c>
    </row>
    <row r="35" spans="2:13" ht="20.2" customHeight="1" x14ac:dyDescent="0.45">
      <c r="B35" s="19" t="s">
        <v>53</v>
      </c>
      <c r="C35" s="19" t="s">
        <v>46</v>
      </c>
      <c r="D35" s="28">
        <f>CDIFS!D35+CDTKL!E22+CDSKP!E22+GZTKH!E22+SZBAY!E22+SZLH!E22</f>
        <v>12263281.896500001</v>
      </c>
      <c r="E35" s="28">
        <f>SUM([1]CDIFS!E35,[1]CDTKL!E35,[1]CDSKP!E35,[1]SZLH!E35,[1]SZBAY!E35,[1]GZTKH!E35)</f>
        <v>16777552.889999982</v>
      </c>
      <c r="F35" s="20">
        <f t="shared" si="6"/>
        <v>-0.26906611608363029</v>
      </c>
      <c r="G35" s="278"/>
      <c r="H35" s="278"/>
      <c r="I35" s="278"/>
      <c r="M35" s="26" t="s">
        <v>54</v>
      </c>
    </row>
    <row r="36" spans="2:13" ht="20.2" customHeight="1" x14ac:dyDescent="0.45">
      <c r="B36" s="23" t="s">
        <v>35</v>
      </c>
      <c r="C36" s="23" t="s">
        <v>46</v>
      </c>
      <c r="D36" s="29">
        <f>CDIFS!D36+CDTKL!E23+CDSKP!E23+GZTKH!E23+SZBAY!E23+SZLH!E23</f>
        <v>88050000</v>
      </c>
      <c r="E36" s="29">
        <f>SUM([1]CDIFS!E36,[1]CDTKL!E36,[1]CDSKP!E36,[1]SZLH!E36,[1]SZBAY!E36,[1]GZTKH!E36)</f>
        <v>88820000</v>
      </c>
      <c r="F36" s="24">
        <f>D36/E36-1</f>
        <v>-8.6692186444494723E-3</v>
      </c>
      <c r="G36" s="274">
        <f>IFERROR($D$35/D36,"")</f>
        <v>0.13927634181147078</v>
      </c>
      <c r="H36" s="274">
        <f>IFERROR($E$35/E36,"")</f>
        <v>0.18889386275613579</v>
      </c>
      <c r="I36" s="274">
        <f t="shared" si="7"/>
        <v>-4.9617520944665011E-2</v>
      </c>
      <c r="M36" s="26" t="s">
        <v>54</v>
      </c>
    </row>
    <row r="37" spans="2:13" ht="20.2" customHeight="1" x14ac:dyDescent="0.45">
      <c r="B37" s="23" t="s">
        <v>55</v>
      </c>
      <c r="C37" s="23" t="s">
        <v>46</v>
      </c>
      <c r="D37" s="29">
        <f>CDIFS!D37+CDTKL!E24+CDSKP!E24+GZTKH!E24+SZBAY!E24+SZLH!E24</f>
        <v>27685290</v>
      </c>
      <c r="E37" s="29">
        <f>SUM([1]CDIFS!E37,[1]CDTKL!E37,[1]CDSKP!E37,[1]SZLH!E37,[1]SZBAY!E37,[1]GZTKH!E37)</f>
        <v>31660000</v>
      </c>
      <c r="F37" s="24">
        <f t="shared" si="6"/>
        <v>-0.1255435881238155</v>
      </c>
      <c r="G37" s="274">
        <f>IFERROR($D$35/D37,"")</f>
        <v>0.44295298682079909</v>
      </c>
      <c r="H37" s="274">
        <f>IFERROR($E$35/E37,"")</f>
        <v>0.52992902368919714</v>
      </c>
      <c r="I37" s="274">
        <f t="shared" si="7"/>
        <v>-8.6976036868398054E-2</v>
      </c>
      <c r="M37" s="311" t="s">
        <v>170</v>
      </c>
    </row>
    <row r="38" spans="2:13" ht="20.2" customHeight="1" x14ac:dyDescent="0.45">
      <c r="B38" s="23" t="s">
        <v>56</v>
      </c>
      <c r="C38" s="23" t="s">
        <v>46</v>
      </c>
      <c r="D38" s="29">
        <f>CDIFS!D38+CDTKL!E25+CDSKP!E25+GZTKH!E25+SZBAY!E25+SZLH!E25</f>
        <v>25368000</v>
      </c>
      <c r="E38" s="29">
        <f>SUM([1]CDIFS!E38,[1]CDTKL!E38,[1]CDSKP!E38,[1]SZLH!E38,[1]SZBAY!E38,[1]GZTKH!E38)</f>
        <v>27738000</v>
      </c>
      <c r="F38" s="24">
        <f t="shared" si="6"/>
        <v>-8.5442353450140618E-2</v>
      </c>
      <c r="G38" s="274">
        <f>IFERROR($D$35/D38,"")</f>
        <v>0.48341540115499843</v>
      </c>
      <c r="H38" s="274">
        <f t="shared" ref="H38" si="13">IFERROR($E$35/E38,"")</f>
        <v>0.60485806078304072</v>
      </c>
      <c r="I38" s="274">
        <f t="shared" si="7"/>
        <v>-0.12144265962804229</v>
      </c>
      <c r="M38" s="26" t="s">
        <v>54</v>
      </c>
    </row>
    <row r="39" spans="2:13" ht="20.2" customHeight="1" x14ac:dyDescent="0.45">
      <c r="B39" s="23" t="s">
        <v>57</v>
      </c>
      <c r="C39" s="23" t="s">
        <v>46</v>
      </c>
      <c r="D39" s="29">
        <f>CDIFS!D39+CDTKL!E26+CDSKP!E26+GZTKH!E26+SZBAY!E26+SZLH!E26</f>
        <v>58932583</v>
      </c>
      <c r="E39" s="29">
        <f>SUM([1]CDIFS!E39,[1]CDTKL!E39,[1]CDSKP!E39,[1]SZLH!E39,[1]SZBAY!E39,[1]GZTKH!E39)</f>
        <v>71230000</v>
      </c>
      <c r="F39" s="24">
        <f t="shared" si="6"/>
        <v>-0.17264378772988909</v>
      </c>
      <c r="G39" s="274">
        <f>IFERROR($D$35/D39,"")</f>
        <v>0.20809001187848836</v>
      </c>
      <c r="H39" s="274">
        <f>IFERROR($E$35/E39,"")</f>
        <v>0.23554054317001238</v>
      </c>
      <c r="I39" s="274">
        <f t="shared" si="7"/>
        <v>-2.7450531291524027E-2</v>
      </c>
      <c r="M39" s="26" t="s">
        <v>54</v>
      </c>
    </row>
    <row r="40" spans="2:13" ht="20.2" customHeight="1" x14ac:dyDescent="0.45">
      <c r="B40" s="307" t="s">
        <v>58</v>
      </c>
      <c r="C40" s="307" t="s">
        <v>46</v>
      </c>
      <c r="D40" s="308">
        <f>SUM(D35:D39)</f>
        <v>212299154.89649999</v>
      </c>
      <c r="E40" s="308">
        <f>SUM(E35:E39)</f>
        <v>236225552.88999999</v>
      </c>
      <c r="F40" s="309">
        <f>D40/E40-1</f>
        <v>-0.10128623978558948</v>
      </c>
      <c r="G40" s="310">
        <f t="shared" ref="G40" si="14">IFERROR($D$35/D40,"")</f>
        <v>5.7764157857710698E-2</v>
      </c>
      <c r="H40" s="310">
        <f>IFERROR($E$35/E40,"")</f>
        <v>7.1023446383095407E-2</v>
      </c>
      <c r="I40" s="310">
        <f t="shared" si="7"/>
        <v>-1.3259288525384709E-2</v>
      </c>
      <c r="M40" s="26" t="s">
        <v>54</v>
      </c>
    </row>
    <row r="41" spans="2:13" ht="20.2" customHeight="1" x14ac:dyDescent="0.45">
      <c r="B41" s="19" t="s">
        <v>53</v>
      </c>
      <c r="C41" s="19" t="s">
        <v>45</v>
      </c>
      <c r="D41" s="28">
        <f>SUM([1]CDIFS!D41,[1]CDTKL!D41,[1]CDSKP!D41,[1]SZLH!D41,[1]SZBAY!D41,[1]GZTKH!D41)</f>
        <v>0</v>
      </c>
      <c r="E41" s="28">
        <f>SUM([1]CDIFS!E41,[1]CDTKL!E41,[1]CDSKP!E41,[1]SZLH!E41,[1]SZBAY!E41,[1]GZTKH!E41)</f>
        <v>9730646.7945000026</v>
      </c>
      <c r="F41" s="20">
        <f>D41/E41-1</f>
        <v>-1</v>
      </c>
      <c r="G41" s="278"/>
      <c r="H41" s="278"/>
      <c r="I41" s="278"/>
      <c r="M41" s="26" t="s">
        <v>54</v>
      </c>
    </row>
    <row r="42" spans="2:13" ht="20.2" customHeight="1" x14ac:dyDescent="0.45">
      <c r="B42" s="23" t="s">
        <v>35</v>
      </c>
      <c r="C42" s="23" t="s">
        <v>45</v>
      </c>
      <c r="D42" s="29">
        <f>SUM([1]CDIFS!D42,[1]CDTKL!D42,[1]CDSKP!D42,[1]SZLH!D42,[1]SZBAY!D42,[1]GZTKH!D42)</f>
        <v>0</v>
      </c>
      <c r="E42" s="29">
        <f>SUM([1]CDIFS!E42,[1]CDTKL!E42,[1]CDSKP!E42,[1]SZLH!E42,[1]SZBAY!E42,[1]GZTKH!E42)</f>
        <v>55960000</v>
      </c>
      <c r="F42" s="179">
        <f t="shared" si="6"/>
        <v>-1</v>
      </c>
      <c r="G42" s="274" t="str">
        <f>IFERROR($D$41/D42,"")</f>
        <v/>
      </c>
      <c r="H42" s="274">
        <f>IFERROR($E$41/E42,"")</f>
        <v>0.17388575401179418</v>
      </c>
      <c r="I42" s="274" t="str">
        <f t="shared" si="7"/>
        <v/>
      </c>
      <c r="M42" s="26" t="s">
        <v>54</v>
      </c>
    </row>
    <row r="43" spans="2:13" ht="20.2" customHeight="1" x14ac:dyDescent="0.45">
      <c r="B43" s="23" t="s">
        <v>55</v>
      </c>
      <c r="C43" s="23" t="s">
        <v>45</v>
      </c>
      <c r="D43" s="29">
        <f>SUM([1]CDIFS!D43,[1]CDTKL!D43,[1]CDSKP!D43,[1]SZLH!D43,[1]SZBAY!D43,[1]GZTKH!D43)</f>
        <v>0</v>
      </c>
      <c r="E43" s="29">
        <f>SUM([1]CDIFS!E43,[1]CDTKL!E43,[1]CDSKP!E43,[1]SZLH!E43,[1]SZBAY!E43,[1]GZTKH!E43)</f>
        <v>21430000</v>
      </c>
      <c r="F43" s="24">
        <f t="shared" si="6"/>
        <v>-1</v>
      </c>
      <c r="G43" s="274" t="str">
        <f t="shared" ref="G43:G46" si="15">IFERROR($D$41/D43,"")</f>
        <v/>
      </c>
      <c r="H43" s="274">
        <f>IFERROR($E$41/E43,"")</f>
        <v>0.45406657930471317</v>
      </c>
      <c r="I43" s="274" t="str">
        <f t="shared" si="7"/>
        <v/>
      </c>
      <c r="M43" s="26" t="s">
        <v>54</v>
      </c>
    </row>
    <row r="44" spans="2:13" ht="20.2" customHeight="1" x14ac:dyDescent="0.45">
      <c r="B44" s="23" t="s">
        <v>56</v>
      </c>
      <c r="C44" s="23" t="s">
        <v>45</v>
      </c>
      <c r="D44" s="29">
        <f>SUM([1]CDIFS!D44,[1]CDTKL!D44,[1]CDSKP!D44,[1]SZLH!D44,[1]SZBAY!D44,[1]GZTKH!D44)</f>
        <v>0</v>
      </c>
      <c r="E44" s="29">
        <f>SUM([1]CDIFS!E44,[1]CDTKL!E44,[1]CDSKP!E44,[1]SZLH!E44,[1]SZBAY!E44,[1]GZTKH!E44)</f>
        <v>22000000</v>
      </c>
      <c r="F44" s="179">
        <f t="shared" si="6"/>
        <v>-1</v>
      </c>
      <c r="G44" s="274" t="str">
        <f t="shared" si="15"/>
        <v/>
      </c>
      <c r="H44" s="274">
        <f t="shared" ref="H44" si="16">IFERROR($E$41/E44,"")</f>
        <v>0.44230212702272736</v>
      </c>
      <c r="I44" s="274" t="str">
        <f t="shared" si="7"/>
        <v/>
      </c>
      <c r="M44" s="26" t="s">
        <v>54</v>
      </c>
    </row>
    <row r="45" spans="2:13" ht="20.2" customHeight="1" x14ac:dyDescent="0.45">
      <c r="B45" s="23" t="s">
        <v>57</v>
      </c>
      <c r="C45" s="23" t="s">
        <v>45</v>
      </c>
      <c r="D45" s="29">
        <f>SUM([1]CDIFS!D45,[1]CDTKL!D45,[1]CDSKP!D45,[1]SZLH!D45,[1]SZBAY!D45,[1]GZTKH!D45)</f>
        <v>0</v>
      </c>
      <c r="E45" s="29">
        <f>SUM([1]CDIFS!E45,[1]CDTKL!E45,[1]CDSKP!E45,[1]SZLH!E45,[1]SZBAY!E45,[1]GZTKH!E45)</f>
        <v>40064000</v>
      </c>
      <c r="F45" s="179">
        <f t="shared" si="6"/>
        <v>-1</v>
      </c>
      <c r="G45" s="274" t="str">
        <f t="shared" si="15"/>
        <v/>
      </c>
      <c r="H45" s="274">
        <f>IFERROR($E$41/E45,"")</f>
        <v>0.24287756575728842</v>
      </c>
      <c r="I45" s="274" t="str">
        <f t="shared" si="7"/>
        <v/>
      </c>
      <c r="M45" s="26" t="s">
        <v>54</v>
      </c>
    </row>
    <row r="46" spans="2:13" ht="20.2" customHeight="1" x14ac:dyDescent="0.45">
      <c r="B46" s="307" t="s">
        <v>58</v>
      </c>
      <c r="C46" s="307" t="s">
        <v>45</v>
      </c>
      <c r="D46" s="308">
        <f t="shared" ref="D46" si="17">SUM(D41:D45)</f>
        <v>0</v>
      </c>
      <c r="E46" s="308">
        <f>SUM(E41:E45)</f>
        <v>149184646.79449999</v>
      </c>
      <c r="F46" s="309">
        <f t="shared" si="6"/>
        <v>-1</v>
      </c>
      <c r="G46" s="310" t="str">
        <f t="shared" si="15"/>
        <v/>
      </c>
      <c r="H46" s="310">
        <f>IFERROR($E$41/E46,"")</f>
        <v>6.5225524231751861E-2</v>
      </c>
      <c r="I46" s="310" t="str">
        <f t="shared" si="7"/>
        <v/>
      </c>
      <c r="M46" s="26" t="s">
        <v>54</v>
      </c>
    </row>
    <row r="47" spans="2:13" ht="20.2" customHeight="1" x14ac:dyDescent="0.45">
      <c r="B47" s="19" t="s">
        <v>53</v>
      </c>
      <c r="C47" s="19" t="s">
        <v>48</v>
      </c>
      <c r="D47" s="28">
        <f>SUM([1]CDIFS!D47,[1]CDTKL!D47,[1]CDSKP!D47,[1]SZLH!D47,[1]SZBAY!D47,[1]GZTKH!D47)</f>
        <v>0</v>
      </c>
      <c r="E47" s="28">
        <f>SUM([1]CDIFS!E47,[1]CDTKL!E47,[1]CDSKP!E47,[1]SZLH!E47,[1]SZBAY!E47,[1]GZTKH!E47)</f>
        <v>10978621.249000002</v>
      </c>
      <c r="F47" s="20">
        <f t="shared" si="6"/>
        <v>-1</v>
      </c>
      <c r="G47" s="278"/>
      <c r="H47" s="278"/>
      <c r="I47" s="278"/>
      <c r="M47" s="26" t="s">
        <v>54</v>
      </c>
    </row>
    <row r="48" spans="2:13" ht="20.2" customHeight="1" x14ac:dyDescent="0.45">
      <c r="B48" s="23" t="s">
        <v>35</v>
      </c>
      <c r="C48" s="23" t="s">
        <v>48</v>
      </c>
      <c r="D48" s="29">
        <f>SUM([1]CDIFS!D48,[1]CDTKL!D48,[1]CDSKP!D48,[1]SZLH!D48,[1]SZBAY!D48,[1]GZTKH!D48)</f>
        <v>0</v>
      </c>
      <c r="E48" s="29">
        <f>SUM([1]CDIFS!E48,[1]CDTKL!E48,[1]CDSKP!E48,[1]SZLH!E48,[1]SZBAY!E48,[1]GZTKH!E48)</f>
        <v>64400000</v>
      </c>
      <c r="F48" s="179">
        <f t="shared" si="6"/>
        <v>-1</v>
      </c>
      <c r="G48" s="274" t="str">
        <f>IFERROR($D$47/D48,"")</f>
        <v/>
      </c>
      <c r="H48" s="274">
        <f>IFERROR($E$47/E48,"")</f>
        <v>0.17047548523291928</v>
      </c>
      <c r="I48" s="274" t="str">
        <f t="shared" si="7"/>
        <v/>
      </c>
      <c r="M48" s="26" t="s">
        <v>54</v>
      </c>
    </row>
    <row r="49" spans="2:13" ht="20.2" customHeight="1" x14ac:dyDescent="0.45">
      <c r="B49" s="23" t="s">
        <v>55</v>
      </c>
      <c r="C49" s="23" t="s">
        <v>48</v>
      </c>
      <c r="D49" s="29">
        <f>SUM([1]CDIFS!D49,[1]CDTKL!D49,[1]CDSKP!D49,[1]SZLH!D49,[1]SZBAY!D49,[1]GZTKH!D49)</f>
        <v>0</v>
      </c>
      <c r="E49" s="29">
        <f>SUM([1]CDIFS!E49,[1]CDTKL!E49,[1]CDSKP!E49,[1]SZLH!E49,[1]SZBAY!E49,[1]GZTKH!E49)</f>
        <v>28810000</v>
      </c>
      <c r="F49" s="179">
        <f t="shared" si="6"/>
        <v>-1</v>
      </c>
      <c r="G49" s="274" t="str">
        <f>IFERROR($D$47/D49,"")</f>
        <v/>
      </c>
      <c r="H49" s="274">
        <f>IFERROR($E$47/E49,"")</f>
        <v>0.38106981079486296</v>
      </c>
      <c r="I49" s="274" t="str">
        <f t="shared" si="7"/>
        <v/>
      </c>
      <c r="M49" s="26" t="s">
        <v>54</v>
      </c>
    </row>
    <row r="50" spans="2:13" ht="20.2" customHeight="1" x14ac:dyDescent="0.45">
      <c r="B50" s="23" t="s">
        <v>56</v>
      </c>
      <c r="C50" s="23" t="s">
        <v>48</v>
      </c>
      <c r="D50" s="29">
        <f>SUM([1]CDIFS!D50,[1]CDTKL!D50,[1]CDSKP!D50,[1]SZLH!D50,[1]SZBAY!D50,[1]GZTKH!D50)</f>
        <v>0</v>
      </c>
      <c r="E50" s="29">
        <f>SUM([1]CDIFS!E50,[1]CDTKL!E50,[1]CDSKP!E50,[1]SZLH!E50,[1]SZBAY!E50,[1]GZTKH!E50)</f>
        <v>20790000</v>
      </c>
      <c r="F50" s="179">
        <f t="shared" si="6"/>
        <v>-1</v>
      </c>
      <c r="G50" s="274" t="str">
        <f t="shared" ref="G50:G52" si="18">IFERROR($D$47/D50,"")</f>
        <v/>
      </c>
      <c r="H50" s="274">
        <f>IFERROR($E$47/E50,"")</f>
        <v>0.52807221014911021</v>
      </c>
      <c r="I50" s="274" t="str">
        <f t="shared" si="7"/>
        <v/>
      </c>
      <c r="M50" s="26" t="s">
        <v>54</v>
      </c>
    </row>
    <row r="51" spans="2:13" ht="20.2" customHeight="1" x14ac:dyDescent="0.45">
      <c r="B51" s="23" t="s">
        <v>57</v>
      </c>
      <c r="C51" s="23" t="s">
        <v>48</v>
      </c>
      <c r="D51" s="29">
        <f>SUM([1]CDIFS!D51,[1]CDTKL!D51,[1]CDSKP!D51,[1]SZLH!D51,[1]SZBAY!D51,[1]GZTKH!D51)</f>
        <v>0</v>
      </c>
      <c r="E51" s="29">
        <f>SUM([1]CDIFS!E51,[1]CDTKL!E51,[1]CDSKP!E51,[1]SZLH!E51,[1]SZBAY!E51,[1]GZTKH!E51)</f>
        <v>43370000</v>
      </c>
      <c r="F51" s="24">
        <f t="shared" si="6"/>
        <v>-1</v>
      </c>
      <c r="G51" s="274" t="str">
        <f t="shared" si="18"/>
        <v/>
      </c>
      <c r="H51" s="274">
        <f>IFERROR($E$47/E51,"")</f>
        <v>0.25313860385058801</v>
      </c>
      <c r="I51" s="274" t="str">
        <f t="shared" si="7"/>
        <v/>
      </c>
      <c r="M51" s="26" t="s">
        <v>54</v>
      </c>
    </row>
    <row r="52" spans="2:13" ht="20.2" customHeight="1" x14ac:dyDescent="0.45">
      <c r="B52" s="307" t="s">
        <v>58</v>
      </c>
      <c r="C52" s="307" t="s">
        <v>48</v>
      </c>
      <c r="D52" s="308">
        <f t="shared" ref="D52" si="19">SUM(D47:D51)</f>
        <v>0</v>
      </c>
      <c r="E52" s="308">
        <f>SUM(E47:E51)</f>
        <v>168348621.24900001</v>
      </c>
      <c r="F52" s="309">
        <f t="shared" si="6"/>
        <v>-1</v>
      </c>
      <c r="G52" s="310" t="str">
        <f t="shared" si="18"/>
        <v/>
      </c>
      <c r="H52" s="310">
        <f>IFERROR($E$47/E52,"")</f>
        <v>6.5213609517845786E-2</v>
      </c>
      <c r="I52" s="310" t="str">
        <f t="shared" si="7"/>
        <v/>
      </c>
      <c r="M52" s="26" t="s">
        <v>54</v>
      </c>
    </row>
    <row r="53" spans="2:13" ht="20.2" customHeight="1" x14ac:dyDescent="0.45">
      <c r="B53" s="19" t="s">
        <v>53</v>
      </c>
      <c r="C53" s="19" t="s">
        <v>49</v>
      </c>
      <c r="D53" s="28">
        <f>SUM([1]CDIFS!D53,[1]CDTKL!D53,[1]CDSKP!D53,[1]SZLH!D53,[1]SZBAY!D53,[1]GZTKH!D53)</f>
        <v>0</v>
      </c>
      <c r="E53" s="28">
        <f>SUM([1]CDIFS!E53,[1]CDTKL!E53,[1]CDSKP!E53,[1]SZLH!E53,[1]SZBAY!E53,[1]GZTKH!E53)</f>
        <v>16582814.248499984</v>
      </c>
      <c r="F53" s="20">
        <f t="shared" si="6"/>
        <v>-1</v>
      </c>
      <c r="G53" s="278"/>
      <c r="H53" s="278"/>
      <c r="I53" s="278"/>
      <c r="M53" s="26" t="s">
        <v>54</v>
      </c>
    </row>
    <row r="54" spans="2:13" ht="20.2" customHeight="1" x14ac:dyDescent="0.45">
      <c r="B54" s="23" t="s">
        <v>35</v>
      </c>
      <c r="C54" s="23" t="s">
        <v>49</v>
      </c>
      <c r="D54" s="29">
        <f>SUM([1]CDIFS!D54,[1]CDTKL!D54,[1]CDSKP!D54,[1]SZLH!D54,[1]SZBAY!D54,[1]GZTKH!D54)</f>
        <v>0</v>
      </c>
      <c r="E54" s="29">
        <f>SUM([1]CDIFS!E54,[1]CDTKL!E54,[1]CDSKP!E54,[1]SZLH!E54,[1]SZBAY!E54,[1]GZTKH!E54)</f>
        <v>85830000</v>
      </c>
      <c r="F54" s="179">
        <f t="shared" si="6"/>
        <v>-1</v>
      </c>
      <c r="G54" s="274" t="str">
        <f>IFERROR($D$53/D54,"")</f>
        <v/>
      </c>
      <c r="H54" s="274">
        <f>IFERROR($E$53/E54,"")</f>
        <v>0.19320533902481632</v>
      </c>
      <c r="I54" s="274" t="str">
        <f t="shared" si="7"/>
        <v/>
      </c>
      <c r="M54" s="26" t="s">
        <v>54</v>
      </c>
    </row>
    <row r="55" spans="2:13" ht="20.2" customHeight="1" x14ac:dyDescent="0.45">
      <c r="B55" s="23" t="s">
        <v>55</v>
      </c>
      <c r="C55" s="23" t="s">
        <v>49</v>
      </c>
      <c r="D55" s="29">
        <f>SUM([1]CDIFS!D55,[1]CDTKL!D55,[1]CDSKP!D55,[1]SZLH!D55,[1]SZBAY!D55,[1]GZTKH!D55)</f>
        <v>0</v>
      </c>
      <c r="E55" s="29">
        <f>SUM([1]CDIFS!E55,[1]CDTKL!E55,[1]CDSKP!E55,[1]SZLH!E55,[1]SZBAY!E55,[1]GZTKH!E55)</f>
        <v>32570000</v>
      </c>
      <c r="F55" s="179">
        <f t="shared" si="6"/>
        <v>-1</v>
      </c>
      <c r="G55" s="274" t="str">
        <f>IFERROR($D$53/D55,"")</f>
        <v/>
      </c>
      <c r="H55" s="274">
        <f>IFERROR($E$53/E55,"")</f>
        <v>0.50914382095486599</v>
      </c>
      <c r="I55" s="274" t="str">
        <f t="shared" si="7"/>
        <v/>
      </c>
      <c r="M55" s="26" t="s">
        <v>54</v>
      </c>
    </row>
    <row r="56" spans="2:13" ht="20.2" customHeight="1" x14ac:dyDescent="0.45">
      <c r="B56" s="23" t="s">
        <v>56</v>
      </c>
      <c r="C56" s="23" t="s">
        <v>49</v>
      </c>
      <c r="D56" s="29">
        <f>SUM([1]CDIFS!D56,[1]CDTKL!D56,[1]CDSKP!D56,[1]SZLH!D56,[1]SZBAY!D56,[1]GZTKH!D56)</f>
        <v>0</v>
      </c>
      <c r="E56" s="29">
        <f>SUM([1]CDIFS!E56,[1]CDTKL!E56,[1]CDSKP!E56,[1]SZLH!E56,[1]SZBAY!E56,[1]GZTKH!E56)</f>
        <v>46400000</v>
      </c>
      <c r="F56" s="179">
        <f t="shared" si="6"/>
        <v>-1</v>
      </c>
      <c r="G56" s="274" t="str">
        <f>IFERROR($D$53/D56,"")</f>
        <v/>
      </c>
      <c r="H56" s="274">
        <f>IFERROR($E$53/E56,"")</f>
        <v>0.35738823811422377</v>
      </c>
      <c r="I56" s="274" t="str">
        <f t="shared" si="7"/>
        <v/>
      </c>
      <c r="M56" s="26" t="s">
        <v>54</v>
      </c>
    </row>
    <row r="57" spans="2:13" ht="20.2" customHeight="1" x14ac:dyDescent="0.45">
      <c r="B57" s="23" t="s">
        <v>57</v>
      </c>
      <c r="C57" s="23" t="s">
        <v>49</v>
      </c>
      <c r="D57" s="29">
        <f>SUM([1]CDIFS!D57,[1]CDTKL!D57,[1]CDSKP!D57,[1]SZLH!D57,[1]SZBAY!D57,[1]GZTKH!D57)</f>
        <v>0</v>
      </c>
      <c r="E57" s="29">
        <f>SUM([1]CDIFS!E57,[1]CDTKL!E57,[1]CDSKP!E57,[1]SZLH!E57,[1]SZBAY!E57,[1]GZTKH!E57)</f>
        <v>59335000</v>
      </c>
      <c r="F57" s="179">
        <f t="shared" si="6"/>
        <v>-1</v>
      </c>
      <c r="G57" s="274" t="str">
        <f>IFERROR($D$53/D57,"")</f>
        <v/>
      </c>
      <c r="H57" s="274">
        <f>IFERROR($E$53/E57,"")</f>
        <v>0.27947778290216541</v>
      </c>
      <c r="I57" s="274" t="str">
        <f t="shared" si="7"/>
        <v/>
      </c>
      <c r="M57" s="26" t="s">
        <v>54</v>
      </c>
    </row>
    <row r="58" spans="2:13" ht="20.2" customHeight="1" x14ac:dyDescent="0.45">
      <c r="B58" s="307" t="s">
        <v>58</v>
      </c>
      <c r="C58" s="307" t="s">
        <v>49</v>
      </c>
      <c r="D58" s="308">
        <f t="shared" ref="D58" si="20">SUM(D53:D57)</f>
        <v>0</v>
      </c>
      <c r="E58" s="308">
        <f>SUM(E53:E57)</f>
        <v>240717814.24849999</v>
      </c>
      <c r="F58" s="309">
        <f t="shared" si="6"/>
        <v>-1</v>
      </c>
      <c r="G58" s="310" t="str">
        <f>IFERROR($D$53/D58,"")</f>
        <v/>
      </c>
      <c r="H58" s="310">
        <f>IFERROR($E$53/E58,"")</f>
        <v>6.8889019702468149E-2</v>
      </c>
      <c r="I58" s="310" t="str">
        <f t="shared" si="7"/>
        <v/>
      </c>
      <c r="M58" s="26" t="s">
        <v>54</v>
      </c>
    </row>
    <row r="59" spans="2:13" ht="20.2" customHeight="1" x14ac:dyDescent="0.45">
      <c r="B59" s="19" t="s">
        <v>53</v>
      </c>
      <c r="C59" s="19" t="s">
        <v>51</v>
      </c>
      <c r="D59" s="28">
        <f>SUM([1]CDIFS!D59,[1]CDTKL!D59,[1]CDSKP!D59,[1]SZLH!D59,[1]SZBAY!D59,[1]GZTKH!D59)</f>
        <v>0</v>
      </c>
      <c r="E59" s="28">
        <f>SUM([1]CDIFS!E59,[1]CDTKL!E59,[1]CDSKP!E59,[1]SZLH!E59,[1]SZBAY!E59,[1]GZTKH!E59)</f>
        <v>10240773.000000004</v>
      </c>
      <c r="F59" s="20">
        <f t="shared" si="6"/>
        <v>-1</v>
      </c>
      <c r="G59" s="278"/>
      <c r="H59" s="278"/>
      <c r="I59" s="278"/>
      <c r="M59" s="26" t="s">
        <v>54</v>
      </c>
    </row>
    <row r="60" spans="2:13" ht="20.2" customHeight="1" x14ac:dyDescent="0.45">
      <c r="B60" s="23" t="s">
        <v>35</v>
      </c>
      <c r="C60" s="23" t="s">
        <v>51</v>
      </c>
      <c r="D60" s="29">
        <f>SUM([1]CDIFS!D60,[1]CDTKL!D60,[1]CDSKP!D60,[1]SZLH!D60,[1]SZBAY!D60,[1]GZTKH!D60)</f>
        <v>0</v>
      </c>
      <c r="E60" s="29">
        <f>SUM([1]CDIFS!E60,[1]CDTKL!E60,[1]CDSKP!E60,[1]SZLH!E60,[1]SZBAY!E60,[1]GZTKH!E60)</f>
        <v>52220000</v>
      </c>
      <c r="F60" s="179">
        <f t="shared" si="6"/>
        <v>-1</v>
      </c>
      <c r="G60" s="274" t="str">
        <f>IFERROR($D$59/D60,"")</f>
        <v/>
      </c>
      <c r="H60" s="274">
        <f>IFERROR($E$59/E60,"")</f>
        <v>0.196108253542704</v>
      </c>
      <c r="I60" s="274" t="str">
        <f t="shared" si="7"/>
        <v/>
      </c>
      <c r="M60" s="26" t="s">
        <v>54</v>
      </c>
    </row>
    <row r="61" spans="2:13" ht="20.2" customHeight="1" x14ac:dyDescent="0.45">
      <c r="B61" s="23" t="s">
        <v>55</v>
      </c>
      <c r="C61" s="23" t="s">
        <v>51</v>
      </c>
      <c r="D61" s="29">
        <f>SUM([1]CDIFS!D61,[1]CDTKL!D61,[1]CDSKP!D61,[1]SZLH!D61,[1]SZBAY!D61,[1]GZTKH!D61)</f>
        <v>0</v>
      </c>
      <c r="E61" s="29">
        <f>SUM([1]CDIFS!E61,[1]CDTKL!E61,[1]CDSKP!E61,[1]SZLH!E61,[1]SZBAY!E61,[1]GZTKH!E61)</f>
        <v>20220000</v>
      </c>
      <c r="F61" s="179">
        <f t="shared" si="6"/>
        <v>-1</v>
      </c>
      <c r="G61" s="274" t="str">
        <f>IFERROR($D$59/D61,"")</f>
        <v/>
      </c>
      <c r="H61" s="274">
        <f>IFERROR($E$59/E61,"")</f>
        <v>0.50646750741839786</v>
      </c>
      <c r="I61" s="274" t="str">
        <f t="shared" si="7"/>
        <v/>
      </c>
      <c r="M61" s="26" t="s">
        <v>54</v>
      </c>
    </row>
    <row r="62" spans="2:13" ht="20.2" customHeight="1" x14ac:dyDescent="0.45">
      <c r="B62" s="23" t="s">
        <v>56</v>
      </c>
      <c r="C62" s="23" t="s">
        <v>51</v>
      </c>
      <c r="D62" s="29">
        <f>SUM([1]CDIFS!D62,[1]CDTKL!D62,[1]CDSKP!D62,[1]SZLH!D62,[1]SZBAY!D62,[1]GZTKH!D62)</f>
        <v>0</v>
      </c>
      <c r="E62" s="29">
        <f>SUM([1]CDIFS!E62,[1]CDTKL!E62,[1]CDSKP!E62,[1]SZLH!E62,[1]SZBAY!E62,[1]GZTKH!E62)</f>
        <v>20750000</v>
      </c>
      <c r="F62" s="179">
        <f t="shared" si="6"/>
        <v>-1</v>
      </c>
      <c r="G62" s="274" t="str">
        <f t="shared" ref="G62:G64" si="21">IFERROR($D$59/D62,"")</f>
        <v/>
      </c>
      <c r="H62" s="274">
        <f>IFERROR($E$59/E62,"")</f>
        <v>0.49353122891566281</v>
      </c>
      <c r="I62" s="274" t="str">
        <f t="shared" si="7"/>
        <v/>
      </c>
      <c r="M62" s="26" t="s">
        <v>54</v>
      </c>
    </row>
    <row r="63" spans="2:13" ht="20.2" customHeight="1" x14ac:dyDescent="0.45">
      <c r="B63" s="23" t="s">
        <v>57</v>
      </c>
      <c r="C63" s="23" t="s">
        <v>51</v>
      </c>
      <c r="D63" s="29">
        <f>SUM([1]CDIFS!D63,[1]CDTKL!D63,[1]CDSKP!D63,[1]SZLH!D63,[1]SZBAY!D63,[1]GZTKH!D63)</f>
        <v>0</v>
      </c>
      <c r="E63" s="29">
        <f>SUM([1]CDIFS!E63,[1]CDTKL!E63,[1]CDSKP!E63,[1]SZLH!E63,[1]SZBAY!E63,[1]GZTKH!E63)</f>
        <v>47890000</v>
      </c>
      <c r="F63" s="179">
        <f t="shared" si="6"/>
        <v>-1</v>
      </c>
      <c r="G63" s="274" t="str">
        <f t="shared" si="21"/>
        <v/>
      </c>
      <c r="H63" s="274">
        <f>IFERROR($E$59/E63,"")</f>
        <v>0.21383948632282321</v>
      </c>
      <c r="I63" s="274" t="str">
        <f t="shared" si="7"/>
        <v/>
      </c>
      <c r="M63" s="26" t="s">
        <v>54</v>
      </c>
    </row>
    <row r="64" spans="2:13" ht="20.2" customHeight="1" x14ac:dyDescent="0.45">
      <c r="B64" s="307" t="s">
        <v>58</v>
      </c>
      <c r="C64" s="307" t="s">
        <v>51</v>
      </c>
      <c r="D64" s="308">
        <f t="shared" ref="D64:E64" si="22">SUM(D59:D63)</f>
        <v>0</v>
      </c>
      <c r="E64" s="308">
        <f t="shared" si="22"/>
        <v>151320773</v>
      </c>
      <c r="F64" s="309">
        <f t="shared" si="6"/>
        <v>-1</v>
      </c>
      <c r="G64" s="310" t="str">
        <f t="shared" si="21"/>
        <v/>
      </c>
      <c r="H64" s="310">
        <f>IFERROR($E$59/E64,"")</f>
        <v>6.7675923119953948E-2</v>
      </c>
      <c r="I64" s="310" t="str">
        <f t="shared" si="7"/>
        <v/>
      </c>
      <c r="M64" s="26" t="s">
        <v>54</v>
      </c>
    </row>
    <row r="65" spans="2:13" ht="20.2" customHeight="1" x14ac:dyDescent="0.45">
      <c r="B65" s="19" t="s">
        <v>53</v>
      </c>
      <c r="C65" s="19" t="s">
        <v>66</v>
      </c>
      <c r="D65" s="28">
        <f>SUM([1]CDIFS!D65,[1]CDTKL!D65,[1]CDSKP!D65,[1]SZLH!D65,[1]SZBAY!D65,[1]GZTKH!D65)</f>
        <v>0</v>
      </c>
      <c r="E65" s="28">
        <f>SUM([1]CDIFS!E65,[1]CDTKL!E65,[1]CDSKP!E65,[1]SZLH!E65,[1]SZBAY!E65,[1]GZTKH!E65)</f>
        <v>14753469.488000004</v>
      </c>
      <c r="F65" s="20">
        <f t="shared" si="6"/>
        <v>-1</v>
      </c>
      <c r="G65" s="278"/>
      <c r="H65" s="278"/>
      <c r="I65" s="278"/>
      <c r="M65" s="26" t="s">
        <v>54</v>
      </c>
    </row>
    <row r="66" spans="2:13" ht="20.2" customHeight="1" x14ac:dyDescent="0.45">
      <c r="B66" s="23" t="s">
        <v>35</v>
      </c>
      <c r="C66" s="23" t="s">
        <v>66</v>
      </c>
      <c r="D66" s="29">
        <f>SUM([1]CDIFS!D66,[1]CDTKL!D66,[1]CDSKP!D66,[1]SZLH!D66,[1]SZBAY!D66,[1]GZTKH!D66)</f>
        <v>0</v>
      </c>
      <c r="E66" s="29">
        <f>SUM([1]CDIFS!E66,[1]CDTKL!E66,[1]CDSKP!E66,[1]SZLH!E66,[1]SZBAY!E66,[1]GZTKH!E66)</f>
        <v>65420000</v>
      </c>
      <c r="F66" s="179">
        <f t="shared" si="6"/>
        <v>-1</v>
      </c>
      <c r="G66" s="274" t="str">
        <f>IFERROR($D$65/D66,"")</f>
        <v/>
      </c>
      <c r="H66" s="274">
        <f>IFERROR($E$65/E66,"")</f>
        <v>0.22551925233873438</v>
      </c>
      <c r="I66" s="274" t="str">
        <f t="shared" si="7"/>
        <v/>
      </c>
      <c r="M66" s="26" t="s">
        <v>54</v>
      </c>
    </row>
    <row r="67" spans="2:13" ht="20.2" customHeight="1" x14ac:dyDescent="0.45">
      <c r="B67" s="23" t="s">
        <v>55</v>
      </c>
      <c r="C67" s="23" t="s">
        <v>66</v>
      </c>
      <c r="D67" s="29">
        <f>SUM([1]CDIFS!D67,[1]CDTKL!D67,[1]CDSKP!D67,[1]SZLH!D67,[1]SZBAY!D67,[1]GZTKH!D67)</f>
        <v>0</v>
      </c>
      <c r="E67" s="29">
        <f>SUM([1]CDIFS!E67,[1]CDTKL!E67,[1]CDSKP!E67,[1]SZLH!E67,[1]SZBAY!E67,[1]GZTKH!E67)</f>
        <v>20110000</v>
      </c>
      <c r="F67" s="179">
        <f t="shared" si="6"/>
        <v>-1</v>
      </c>
      <c r="G67" s="274" t="str">
        <f>IFERROR($D$65/D67,"")</f>
        <v/>
      </c>
      <c r="H67" s="274">
        <f>IFERROR($E$65/E67,"")</f>
        <v>0.73363846285430157</v>
      </c>
      <c r="I67" s="274" t="str">
        <f t="shared" si="7"/>
        <v/>
      </c>
      <c r="M67" s="26" t="s">
        <v>54</v>
      </c>
    </row>
    <row r="68" spans="2:13" ht="20.2" customHeight="1" x14ac:dyDescent="0.45">
      <c r="B68" s="23" t="s">
        <v>56</v>
      </c>
      <c r="C68" s="23" t="s">
        <v>66</v>
      </c>
      <c r="D68" s="29">
        <f>SUM([1]CDIFS!D68,[1]CDTKL!D68,[1]CDSKP!D68,[1]SZLH!D68,[1]SZBAY!D68,[1]GZTKH!D68)</f>
        <v>0</v>
      </c>
      <c r="E68" s="29">
        <f>SUM([1]CDIFS!E68,[1]CDTKL!E68,[1]CDSKP!E68,[1]SZLH!E68,[1]SZBAY!E68,[1]GZTKH!E68)</f>
        <v>15310000</v>
      </c>
      <c r="F68" s="179">
        <f t="shared" si="6"/>
        <v>-1</v>
      </c>
      <c r="G68" s="274" t="str">
        <f>IFERROR($D$65/D68,"")</f>
        <v/>
      </c>
      <c r="H68" s="274">
        <f t="shared" ref="H68:H70" si="23">IFERROR($E$65/E68,"")</f>
        <v>0.96364921541476178</v>
      </c>
      <c r="I68" s="274" t="str">
        <f t="shared" si="7"/>
        <v/>
      </c>
      <c r="M68" s="26" t="s">
        <v>54</v>
      </c>
    </row>
    <row r="69" spans="2:13" ht="20.2" customHeight="1" x14ac:dyDescent="0.45">
      <c r="B69" s="23" t="s">
        <v>57</v>
      </c>
      <c r="C69" s="23" t="s">
        <v>66</v>
      </c>
      <c r="D69" s="29">
        <f>SUM([1]CDIFS!D69,[1]CDTKL!D69,[1]CDSKP!D69,[1]SZLH!D69,[1]SZBAY!D69,[1]GZTKH!D69)</f>
        <v>0</v>
      </c>
      <c r="E69" s="29">
        <f>SUM([1]CDIFS!E69,[1]CDTKL!E69,[1]CDSKP!E69,[1]SZLH!E69,[1]SZBAY!E69,[1]GZTKH!E69)</f>
        <v>54020000</v>
      </c>
      <c r="F69" s="179">
        <f t="shared" si="6"/>
        <v>-1</v>
      </c>
      <c r="G69" s="274" t="str">
        <f>IFERROR($D$65/D69,"")</f>
        <v/>
      </c>
      <c r="H69" s="274">
        <f t="shared" si="23"/>
        <v>0.27311124561273609</v>
      </c>
      <c r="I69" s="274" t="str">
        <f t="shared" si="7"/>
        <v/>
      </c>
      <c r="M69" s="26" t="s">
        <v>54</v>
      </c>
    </row>
    <row r="70" spans="2:13" ht="20.2" customHeight="1" x14ac:dyDescent="0.45">
      <c r="B70" s="307" t="s">
        <v>58</v>
      </c>
      <c r="C70" s="307" t="s">
        <v>66</v>
      </c>
      <c r="D70" s="308">
        <f t="shared" ref="D70:E70" si="24">SUM(D65:D69)</f>
        <v>0</v>
      </c>
      <c r="E70" s="308">
        <f t="shared" si="24"/>
        <v>169613469.48800001</v>
      </c>
      <c r="F70" s="309">
        <f t="shared" si="6"/>
        <v>-1</v>
      </c>
      <c r="G70" s="310" t="str">
        <f>IFERROR($D$65/D70,"")</f>
        <v/>
      </c>
      <c r="H70" s="310">
        <f t="shared" si="23"/>
        <v>8.6982888402290473E-2</v>
      </c>
      <c r="I70" s="310" t="str">
        <f t="shared" si="7"/>
        <v/>
      </c>
      <c r="M70" s="26" t="s">
        <v>54</v>
      </c>
    </row>
    <row r="71" spans="2:13" ht="20.2" customHeight="1" x14ac:dyDescent="0.45">
      <c r="B71" s="19" t="s">
        <v>53</v>
      </c>
      <c r="C71" s="19" t="s">
        <v>67</v>
      </c>
      <c r="D71" s="28">
        <f>SUM([1]CDIFS!D71,[1]CDTKL!D71,[1]CDSKP!D71,[1]SZLH!D71,[1]SZBAY!D71,[1]GZTKH!D71)</f>
        <v>0</v>
      </c>
      <c r="E71" s="28">
        <f>SUM([1]CDIFS!E71,[1]CDTKL!E71,[1]CDSKP!E71,[1]SZLH!E71,[1]SZBAY!E71,[1]GZTKH!E71)</f>
        <v>24415091.033499986</v>
      </c>
      <c r="F71" s="20">
        <f t="shared" si="6"/>
        <v>-1</v>
      </c>
      <c r="G71" s="278"/>
      <c r="H71" s="278"/>
      <c r="I71" s="278"/>
      <c r="M71" s="26" t="s">
        <v>54</v>
      </c>
    </row>
    <row r="72" spans="2:13" ht="20.2" customHeight="1" x14ac:dyDescent="0.45">
      <c r="B72" s="23" t="s">
        <v>35</v>
      </c>
      <c r="C72" s="23" t="s">
        <v>67</v>
      </c>
      <c r="D72" s="29">
        <f>SUM([1]CDIFS!D72,[1]CDTKL!D72,[1]CDSKP!D72,[1]SZLH!D72,[1]SZBAY!D72,[1]GZTKH!D72)</f>
        <v>0</v>
      </c>
      <c r="E72" s="29">
        <f>SUM([1]CDIFS!E72,[1]CDTKL!E72,[1]CDSKP!E72,[1]SZLH!E72,[1]SZBAY!E72,[1]GZTKH!E72)</f>
        <v>61600000</v>
      </c>
      <c r="F72" s="24">
        <f t="shared" si="6"/>
        <v>-1</v>
      </c>
      <c r="G72" s="274" t="str">
        <f>IFERROR($D$71/D72,"")</f>
        <v/>
      </c>
      <c r="H72" s="274">
        <f>IFERROR($E$71/E72,"")</f>
        <v>0.39634888041396082</v>
      </c>
      <c r="I72" s="274" t="str">
        <f t="shared" si="7"/>
        <v/>
      </c>
      <c r="M72" s="26" t="s">
        <v>54</v>
      </c>
    </row>
    <row r="73" spans="2:13" ht="20.2" customHeight="1" x14ac:dyDescent="0.45">
      <c r="B73" s="23" t="s">
        <v>55</v>
      </c>
      <c r="C73" s="23" t="s">
        <v>67</v>
      </c>
      <c r="D73" s="29">
        <f>SUM([1]CDIFS!D73,[1]CDTKL!D73,[1]CDSKP!D73,[1]SZLH!D73,[1]SZBAY!D73,[1]GZTKH!D73)</f>
        <v>0</v>
      </c>
      <c r="E73" s="29">
        <f>SUM([1]CDIFS!E73,[1]CDTKL!E73,[1]CDSKP!E73,[1]SZLH!E73,[1]SZBAY!E73,[1]GZTKH!E73)</f>
        <v>50070000</v>
      </c>
      <c r="F73" s="24">
        <f t="shared" si="6"/>
        <v>-1</v>
      </c>
      <c r="G73" s="274" t="str">
        <f>IFERROR($D$71/D73,"")</f>
        <v/>
      </c>
      <c r="H73" s="274">
        <f>IFERROR($E$71/E73,"")</f>
        <v>0.48761915385460325</v>
      </c>
      <c r="I73" s="274" t="str">
        <f t="shared" si="7"/>
        <v/>
      </c>
      <c r="M73" s="26" t="s">
        <v>54</v>
      </c>
    </row>
    <row r="74" spans="2:13" ht="20.2" customHeight="1" x14ac:dyDescent="0.45">
      <c r="B74" s="23" t="s">
        <v>56</v>
      </c>
      <c r="C74" s="23" t="s">
        <v>67</v>
      </c>
      <c r="D74" s="29">
        <f>SUM([1]CDIFS!D74,[1]CDTKL!D74,[1]CDSKP!D74,[1]SZLH!D74,[1]SZBAY!D74,[1]GZTKH!D74)</f>
        <v>0</v>
      </c>
      <c r="E74" s="29">
        <f>SUM([1]CDIFS!E74,[1]CDTKL!E74,[1]CDSKP!E74,[1]SZLH!E74,[1]SZBAY!E74,[1]GZTKH!E74)</f>
        <v>22650000</v>
      </c>
      <c r="F74" s="24">
        <f t="shared" si="6"/>
        <v>-1</v>
      </c>
      <c r="G74" s="274" t="str">
        <f>IFERROR($D$71/D74,"")</f>
        <v/>
      </c>
      <c r="H74" s="274">
        <f>IFERROR($E$71/E74,"")</f>
        <v>1.0779289639514342</v>
      </c>
      <c r="I74" s="274" t="str">
        <f t="shared" si="7"/>
        <v/>
      </c>
      <c r="M74" s="26" t="s">
        <v>54</v>
      </c>
    </row>
    <row r="75" spans="2:13" ht="20.2" customHeight="1" x14ac:dyDescent="0.45">
      <c r="B75" s="23" t="s">
        <v>57</v>
      </c>
      <c r="C75" s="23" t="s">
        <v>67</v>
      </c>
      <c r="D75" s="29">
        <f>SUM([1]CDIFS!D75,[1]CDTKL!D75,[1]CDSKP!D75,[1]SZLH!D75,[1]SZBAY!D75,[1]GZTKH!D75)</f>
        <v>0</v>
      </c>
      <c r="E75" s="29">
        <f>SUM([1]CDIFS!E75,[1]CDTKL!E75,[1]CDSKP!E75,[1]SZLH!E75,[1]SZBAY!E75,[1]GZTKH!E75)</f>
        <v>59200000</v>
      </c>
      <c r="F75" s="24">
        <f t="shared" si="6"/>
        <v>-1</v>
      </c>
      <c r="G75" s="274" t="str">
        <f>IFERROR($D$71/D75,"")</f>
        <v/>
      </c>
      <c r="H75" s="274">
        <f>IFERROR($E$71/E75,"")</f>
        <v>0.41241707826858082</v>
      </c>
      <c r="I75" s="274" t="str">
        <f t="shared" si="7"/>
        <v/>
      </c>
      <c r="M75" s="26" t="s">
        <v>54</v>
      </c>
    </row>
    <row r="76" spans="2:13" ht="20.2" customHeight="1" x14ac:dyDescent="0.45">
      <c r="B76" s="307" t="s">
        <v>58</v>
      </c>
      <c r="C76" s="307" t="s">
        <v>67</v>
      </c>
      <c r="D76" s="308">
        <f t="shared" ref="D76:E76" si="25">SUM(D71:D75)</f>
        <v>0</v>
      </c>
      <c r="E76" s="308">
        <f t="shared" si="25"/>
        <v>217935091.03349999</v>
      </c>
      <c r="F76" s="309">
        <f t="shared" ref="F76:F82" si="26">D76/E76-1</f>
        <v>-1</v>
      </c>
      <c r="G76" s="310" t="str">
        <f>IFERROR($D$71/D76,"")</f>
        <v/>
      </c>
      <c r="H76" s="310">
        <f>IFERROR($E$71/E76,"")</f>
        <v>0.11202918684511899</v>
      </c>
      <c r="I76" s="310" t="str">
        <f t="shared" si="7"/>
        <v/>
      </c>
      <c r="M76" s="26" t="s">
        <v>54</v>
      </c>
    </row>
    <row r="77" spans="2:13" ht="20.2" customHeight="1" x14ac:dyDescent="0.45">
      <c r="B77" s="19" t="s">
        <v>53</v>
      </c>
      <c r="C77" s="19" t="s">
        <v>68</v>
      </c>
      <c r="D77" s="28">
        <f>SUM([1]CDIFS!D77,[1]CDTKL!D77,[1]CDSKP!D77,[1]SZLH!D77,[1]SZBAY!D77,[1]GZTKH!D77)</f>
        <v>0</v>
      </c>
      <c r="E77" s="28">
        <f>SUM([1]CDIFS!E77,[1]CDTKL!E77,[1]CDSKP!E77,[1]SZLH!E77,[1]SZBAY!E77,[1]GZTKH!E77)</f>
        <v>10611430.5495</v>
      </c>
      <c r="F77" s="20">
        <f t="shared" si="26"/>
        <v>-1</v>
      </c>
      <c r="G77" s="278"/>
      <c r="H77" s="278"/>
      <c r="I77" s="278"/>
      <c r="M77" s="26" t="s">
        <v>54</v>
      </c>
    </row>
    <row r="78" spans="2:13" ht="20.2" customHeight="1" x14ac:dyDescent="0.45">
      <c r="B78" s="23" t="s">
        <v>35</v>
      </c>
      <c r="C78" s="23" t="s">
        <v>68</v>
      </c>
      <c r="D78" s="29">
        <f>SUM([1]CDIFS!D78,[1]CDTKL!D78,[1]CDSKP!D78,[1]SZLH!D78,[1]SZBAY!D78,[1]GZTKH!D78)</f>
        <v>0</v>
      </c>
      <c r="E78" s="29">
        <f>SUM([1]CDIFS!E78,[1]CDTKL!E78,[1]CDSKP!E78,[1]SZLH!E78,[1]SZBAY!E78,[1]GZTKH!E78)</f>
        <v>73120000</v>
      </c>
      <c r="F78" s="24">
        <f t="shared" si="26"/>
        <v>-1</v>
      </c>
      <c r="G78" s="274" t="str">
        <f>IFERROR($D$77/D78,"")</f>
        <v/>
      </c>
      <c r="H78" s="274">
        <f>IFERROR($E$77/E78,"")</f>
        <v>0.14512350313867614</v>
      </c>
      <c r="I78" s="274" t="str">
        <f t="shared" ref="I78:I82" si="27">IFERROR(G78-H78,"")</f>
        <v/>
      </c>
      <c r="M78" s="26" t="s">
        <v>54</v>
      </c>
    </row>
    <row r="79" spans="2:13" ht="20.2" customHeight="1" x14ac:dyDescent="0.45">
      <c r="B79" s="23" t="s">
        <v>55</v>
      </c>
      <c r="C79" s="23" t="s">
        <v>68</v>
      </c>
      <c r="D79" s="29">
        <f>SUM([1]CDIFS!D79,[1]CDTKL!D79,[1]CDSKP!D79,[1]SZLH!D79,[1]SZBAY!D79,[1]GZTKH!D79)</f>
        <v>0</v>
      </c>
      <c r="E79" s="29">
        <f>SUM([1]CDIFS!E79,[1]CDTKL!E79,[1]CDSKP!E79,[1]SZLH!E79,[1]SZBAY!E79,[1]GZTKH!E79)</f>
        <v>33330000</v>
      </c>
      <c r="F79" s="24">
        <f t="shared" si="26"/>
        <v>-1</v>
      </c>
      <c r="G79" s="274" t="str">
        <f>IFERROR($D$77/D79,"")</f>
        <v/>
      </c>
      <c r="H79" s="274">
        <f>IFERROR($E$77/E79,"")</f>
        <v>0.31837475396039605</v>
      </c>
      <c r="I79" s="274" t="str">
        <f t="shared" si="27"/>
        <v/>
      </c>
      <c r="M79" s="26" t="s">
        <v>54</v>
      </c>
    </row>
    <row r="80" spans="2:13" ht="20.2" customHeight="1" x14ac:dyDescent="0.45">
      <c r="B80" s="23" t="s">
        <v>56</v>
      </c>
      <c r="C80" s="23" t="s">
        <v>68</v>
      </c>
      <c r="D80" s="29">
        <f>SUM([1]CDIFS!D80,[1]CDTKL!D80,[1]CDSKP!D80,[1]SZLH!D80,[1]SZBAY!D80,[1]GZTKH!D80)</f>
        <v>0</v>
      </c>
      <c r="E80" s="29">
        <f>SUM([1]CDIFS!E80,[1]CDTKL!E80,[1]CDSKP!E80,[1]SZLH!E80,[1]SZBAY!E80,[1]GZTKH!E80)</f>
        <v>28397000</v>
      </c>
      <c r="F80" s="24">
        <f t="shared" si="26"/>
        <v>-1</v>
      </c>
      <c r="G80" s="274" t="str">
        <f>IFERROR($D$77/D80,"")</f>
        <v/>
      </c>
      <c r="H80" s="274">
        <f>IFERROR($E$77/E80,"")</f>
        <v>0.37368139414374757</v>
      </c>
      <c r="I80" s="274" t="str">
        <f t="shared" si="27"/>
        <v/>
      </c>
      <c r="M80" s="26" t="s">
        <v>54</v>
      </c>
    </row>
    <row r="81" spans="2:13" ht="20.2" customHeight="1" x14ac:dyDescent="0.45">
      <c r="B81" s="23" t="s">
        <v>57</v>
      </c>
      <c r="C81" s="23" t="s">
        <v>68</v>
      </c>
      <c r="D81" s="29">
        <f>SUM([1]CDIFS!D81,[1]CDTKL!D81,[1]CDSKP!D81,[1]SZLH!D81,[1]SZBAY!D81,[1]GZTKH!D81)</f>
        <v>0</v>
      </c>
      <c r="E81" s="29">
        <f>SUM([1]CDIFS!E81,[1]CDTKL!E81,[1]CDSKP!E81,[1]SZLH!E81,[1]SZBAY!E81,[1]GZTKH!E81)</f>
        <v>63650000</v>
      </c>
      <c r="F81" s="24">
        <f t="shared" si="26"/>
        <v>-1</v>
      </c>
      <c r="G81" s="274" t="str">
        <f>IFERROR($D$77/D81,"")</f>
        <v/>
      </c>
      <c r="H81" s="274">
        <f>IFERROR($E$77/E81,"")</f>
        <v>0.16671532677926157</v>
      </c>
      <c r="I81" s="274" t="str">
        <f t="shared" si="27"/>
        <v/>
      </c>
      <c r="M81" s="26" t="s">
        <v>54</v>
      </c>
    </row>
    <row r="82" spans="2:13" ht="20.2" customHeight="1" x14ac:dyDescent="0.45">
      <c r="B82" s="307" t="s">
        <v>58</v>
      </c>
      <c r="C82" s="307" t="s">
        <v>68</v>
      </c>
      <c r="D82" s="308">
        <f t="shared" ref="D82:E82" si="28">SUM(D77:D81)</f>
        <v>0</v>
      </c>
      <c r="E82" s="308">
        <f t="shared" si="28"/>
        <v>209108430.54949999</v>
      </c>
      <c r="F82" s="309">
        <f t="shared" si="26"/>
        <v>-1</v>
      </c>
      <c r="G82" s="310" t="str">
        <f>IFERROR($D$77/D82,"")</f>
        <v/>
      </c>
      <c r="H82" s="310">
        <f>IFERROR($E$77/E82,"")</f>
        <v>5.074606758615631E-2</v>
      </c>
      <c r="I82" s="310" t="str">
        <f t="shared" si="27"/>
        <v/>
      </c>
      <c r="M82" s="26" t="s">
        <v>54</v>
      </c>
    </row>
    <row r="83" spans="2:13" ht="20.2" customHeight="1" x14ac:dyDescent="0.45"/>
  </sheetData>
  <conditionalFormatting sqref="I3:I7">
    <cfRule type="cellIs" dxfId="3" priority="1" operator="lessThan">
      <formula>0</formula>
    </cfRule>
    <cfRule type="cellIs" priority="2" operator="equal">
      <formula>0%</formula>
    </cfRule>
    <cfRule type="cellIs" dxfId="2" priority="3" operator="greaterThan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3"/>
  <sheetViews>
    <sheetView zoomScale="99" zoomScaleNormal="99" workbookViewId="0">
      <pane xSplit="2" ySplit="10" topLeftCell="C11" activePane="bottomRight" state="frozen"/>
      <selection activeCell="D2" sqref="D2:E2"/>
      <selection pane="topRight" activeCell="D2" sqref="D2:E2"/>
      <selection pane="bottomLeft" activeCell="D2" sqref="D2:E2"/>
      <selection pane="bottomRight" activeCell="E12" sqref="E12"/>
    </sheetView>
  </sheetViews>
  <sheetFormatPr defaultColWidth="8.5859375" defaultRowHeight="12" customHeight="1" x14ac:dyDescent="0.45"/>
  <cols>
    <col min="1" max="1" width="3.5859375" style="12" customWidth="1"/>
    <col min="2" max="2" width="8.234375" style="13" customWidth="1"/>
    <col min="3" max="3" width="5.234375" style="14" customWidth="1"/>
    <col min="4" max="5" width="19.76171875" style="13" customWidth="1"/>
    <col min="6" max="6" width="9.234375" style="15" customWidth="1"/>
    <col min="7" max="7" width="16.234375" style="13" customWidth="1"/>
    <col min="8" max="8" width="15" style="13" customWidth="1"/>
    <col min="9" max="9" width="16.9375" style="13" customWidth="1"/>
    <col min="10" max="10" width="12.234375" style="13" hidden="1" customWidth="1"/>
    <col min="11" max="11" width="13.05859375" style="13" hidden="1" customWidth="1"/>
    <col min="12" max="12" width="11.05859375" style="13" hidden="1" customWidth="1"/>
    <col min="13" max="13" width="9.64453125" style="13" customWidth="1"/>
    <col min="14" max="16384" width="8.5859375" style="13"/>
  </cols>
  <sheetData>
    <row r="1" spans="1:13" ht="24" customHeight="1" x14ac:dyDescent="0.45">
      <c r="A1" s="143"/>
      <c r="B1" s="108" t="s">
        <v>1</v>
      </c>
      <c r="C1" s="108" t="s">
        <v>129</v>
      </c>
      <c r="D1" s="144" t="s">
        <v>168</v>
      </c>
      <c r="E1" s="144" t="s">
        <v>169</v>
      </c>
      <c r="F1" s="145" t="s">
        <v>134</v>
      </c>
      <c r="G1" s="108" t="s">
        <v>166</v>
      </c>
      <c r="H1" s="108" t="s">
        <v>167</v>
      </c>
      <c r="I1" s="109" t="s">
        <v>52</v>
      </c>
      <c r="J1" s="146"/>
      <c r="K1" s="146"/>
      <c r="L1" s="146"/>
      <c r="M1" s="147"/>
    </row>
    <row r="2" spans="1:13" ht="15" customHeight="1" x14ac:dyDescent="0.45">
      <c r="B2" s="134" t="s">
        <v>53</v>
      </c>
      <c r="C2" s="138"/>
      <c r="D2" s="135">
        <f t="shared" ref="D2:D7" si="0">SUM(D11,D17,D23,D29,D35,D41,D47,D53,D59,D65,D71,D77,)</f>
        <v>7596010.7999999998</v>
      </c>
      <c r="E2" s="135">
        <f>SUMIFS($E$11:$E$82,$D$11:$D$82,"&gt;0",$B$11:$B$82,B2)</f>
        <v>6129527.007499991</v>
      </c>
      <c r="F2" s="139">
        <f>D2/E2-1</f>
        <v>0.23924909551840501</v>
      </c>
      <c r="G2" s="140"/>
      <c r="H2" s="140"/>
      <c r="I2" s="140"/>
      <c r="J2" s="25"/>
      <c r="K2" s="25"/>
      <c r="L2" s="25"/>
      <c r="M2" s="26" t="s">
        <v>54</v>
      </c>
    </row>
    <row r="3" spans="1:13" ht="15" customHeight="1" x14ac:dyDescent="0.45">
      <c r="B3" s="136" t="s">
        <v>35</v>
      </c>
      <c r="C3" s="141"/>
      <c r="D3" s="137">
        <f t="shared" si="0"/>
        <v>0</v>
      </c>
      <c r="E3" s="137">
        <f>SUMIFS($E$11:$E$82,$D$11:$D$82,"&gt;0",$B$11:$B$82,B3)</f>
        <v>0</v>
      </c>
      <c r="F3" s="142" t="str">
        <f>IFERROR(D3/E3-1,"")</f>
        <v/>
      </c>
      <c r="G3" s="262" t="str">
        <f>IFERROR($D$2/$D3,"")</f>
        <v/>
      </c>
      <c r="H3" s="262" t="str">
        <f>IFERROR($E$2/$E3,"")</f>
        <v/>
      </c>
      <c r="I3" s="299" t="str">
        <f>IFERROR(G3-H3,"")</f>
        <v/>
      </c>
      <c r="J3" s="25"/>
      <c r="K3" s="25"/>
      <c r="L3" s="25"/>
      <c r="M3" s="26" t="s">
        <v>54</v>
      </c>
    </row>
    <row r="4" spans="1:13" ht="15" customHeight="1" x14ac:dyDescent="0.45">
      <c r="B4" s="136" t="s">
        <v>55</v>
      </c>
      <c r="C4" s="141"/>
      <c r="D4" s="137">
        <f t="shared" si="0"/>
        <v>28653503</v>
      </c>
      <c r="E4" s="137">
        <f>SUMIFS($E$11:$E$82,$D$11:$D$82,"&gt;0",$B$11:$B$82,B4)</f>
        <v>39060000</v>
      </c>
      <c r="F4" s="142">
        <f t="shared" ref="F4:F7" si="1">D4/E4-1</f>
        <v>-0.26642337429595497</v>
      </c>
      <c r="G4" s="262">
        <f t="shared" ref="G4:G7" si="2">IFERROR($D$2/$D4,"")</f>
        <v>0.26509885370734598</v>
      </c>
      <c r="H4" s="262">
        <f t="shared" ref="H4:H7" si="3">IFERROR($E$2/$E4,"")</f>
        <v>0.15692593465181748</v>
      </c>
      <c r="I4" s="299">
        <f t="shared" ref="I4:I7" si="4">IFERROR(G4-H4,"")</f>
        <v>0.1081729190555285</v>
      </c>
      <c r="J4" s="25"/>
      <c r="K4" s="25"/>
      <c r="L4" s="25"/>
      <c r="M4" s="26" t="s">
        <v>54</v>
      </c>
    </row>
    <row r="5" spans="1:13" ht="15" customHeight="1" x14ac:dyDescent="0.45">
      <c r="B5" s="136" t="s">
        <v>56</v>
      </c>
      <c r="C5" s="141"/>
      <c r="D5" s="137">
        <f t="shared" si="0"/>
        <v>6317000</v>
      </c>
      <c r="E5" s="137">
        <f>SUMIFS($E$11:$E$82,$D$11:$D$82,"&gt;0",$B$11:$B$82,B5)</f>
        <v>0</v>
      </c>
      <c r="F5" s="142" t="str">
        <f>IFERROR(D5/E5-1,"")</f>
        <v/>
      </c>
      <c r="G5" s="262">
        <f t="shared" si="2"/>
        <v>1.202471236346367</v>
      </c>
      <c r="H5" s="262" t="str">
        <f t="shared" si="3"/>
        <v/>
      </c>
      <c r="I5" s="299" t="str">
        <f t="shared" si="4"/>
        <v/>
      </c>
      <c r="J5" s="25"/>
      <c r="K5" s="25"/>
      <c r="L5" s="25"/>
      <c r="M5" s="26" t="s">
        <v>54</v>
      </c>
    </row>
    <row r="6" spans="1:13" ht="15" customHeight="1" x14ac:dyDescent="0.45">
      <c r="B6" s="136" t="s">
        <v>57</v>
      </c>
      <c r="C6" s="141"/>
      <c r="D6" s="137">
        <f t="shared" si="0"/>
        <v>51425936.946902655</v>
      </c>
      <c r="E6" s="137">
        <f t="shared" ref="E6" si="5">SUMIFS($E$11:$E$82,$D$11:$D$82,"&gt;0",$B$11:$B$82,B6)</f>
        <v>72914000</v>
      </c>
      <c r="F6" s="142">
        <f>D6/E6-1</f>
        <v>-0.29470421391087231</v>
      </c>
      <c r="G6" s="262">
        <f t="shared" si="2"/>
        <v>0.14770777648335101</v>
      </c>
      <c r="H6" s="262">
        <f t="shared" si="3"/>
        <v>8.4065159057245403E-2</v>
      </c>
      <c r="I6" s="299">
        <f t="shared" si="4"/>
        <v>6.3642617426105608E-2</v>
      </c>
      <c r="J6" s="25"/>
      <c r="K6" s="25"/>
      <c r="L6" s="25"/>
      <c r="M6" s="26" t="s">
        <v>54</v>
      </c>
    </row>
    <row r="7" spans="1:13" ht="15" customHeight="1" x14ac:dyDescent="0.45">
      <c r="B7" s="301" t="s">
        <v>58</v>
      </c>
      <c r="C7" s="302"/>
      <c r="D7" s="303">
        <f t="shared" si="0"/>
        <v>93992450.74690266</v>
      </c>
      <c r="E7" s="303">
        <f>SUMIFS($E$11:$E$82,$D$11:$D$82,"&gt;0",$B$11:$B$82,B7)</f>
        <v>118103527.00750001</v>
      </c>
      <c r="F7" s="304">
        <f t="shared" si="1"/>
        <v>-0.20415204246242546</v>
      </c>
      <c r="G7" s="305">
        <f t="shared" si="2"/>
        <v>8.0815115891105876E-2</v>
      </c>
      <c r="H7" s="305">
        <f t="shared" si="3"/>
        <v>5.189961013705157E-2</v>
      </c>
      <c r="I7" s="306">
        <f t="shared" si="4"/>
        <v>2.8915505754054306E-2</v>
      </c>
      <c r="J7" s="25"/>
      <c r="K7" s="25"/>
      <c r="L7" s="25"/>
      <c r="M7" s="26" t="s">
        <v>54</v>
      </c>
    </row>
    <row r="8" spans="1:13" ht="11.35" x14ac:dyDescent="0.45">
      <c r="D8" s="16"/>
      <c r="E8" s="16"/>
    </row>
    <row r="9" spans="1:13" ht="11.7" x14ac:dyDescent="0.45">
      <c r="D9" s="17" t="s">
        <v>59</v>
      </c>
      <c r="E9" s="17"/>
      <c r="J9" s="17"/>
      <c r="K9" s="17"/>
    </row>
    <row r="10" spans="1:13" s="11" customFormat="1" ht="24" customHeight="1" x14ac:dyDescent="0.45">
      <c r="A10" s="18"/>
      <c r="B10" s="130" t="s">
        <v>1</v>
      </c>
      <c r="C10" s="130" t="s">
        <v>90</v>
      </c>
      <c r="D10" s="148" t="s">
        <v>135</v>
      </c>
      <c r="E10" s="148" t="s">
        <v>133</v>
      </c>
      <c r="F10" s="131" t="s">
        <v>165</v>
      </c>
      <c r="G10" s="132" t="s">
        <v>163</v>
      </c>
      <c r="H10" s="132" t="s">
        <v>164</v>
      </c>
      <c r="I10" s="133" t="s">
        <v>52</v>
      </c>
      <c r="J10" s="27" t="s">
        <v>9</v>
      </c>
      <c r="K10" s="27" t="s">
        <v>10</v>
      </c>
      <c r="L10" s="27" t="s">
        <v>60</v>
      </c>
    </row>
    <row r="11" spans="1:13" ht="20.2" customHeight="1" x14ac:dyDescent="0.45">
      <c r="B11" s="19" t="s">
        <v>53</v>
      </c>
      <c r="C11" s="19" t="s">
        <v>61</v>
      </c>
      <c r="D11" s="28">
        <v>2942030</v>
      </c>
      <c r="E11" s="28">
        <v>1452549.9600000004</v>
      </c>
      <c r="F11" s="20">
        <f>D11/E11-1</f>
        <v>1.0254243096740021</v>
      </c>
      <c r="G11" s="21"/>
      <c r="H11" s="22"/>
      <c r="I11" s="22"/>
      <c r="J11" s="19"/>
      <c r="K11" s="19"/>
      <c r="L11" s="28"/>
      <c r="M11" s="26" t="s">
        <v>106</v>
      </c>
    </row>
    <row r="12" spans="1:13" ht="20.2" customHeight="1" x14ac:dyDescent="0.45">
      <c r="B12" s="23" t="s">
        <v>35</v>
      </c>
      <c r="C12" s="23" t="s">
        <v>61</v>
      </c>
      <c r="D12" s="29">
        <v>0</v>
      </c>
      <c r="E12" s="29">
        <v>0</v>
      </c>
      <c r="F12" s="24" t="str">
        <f>IFERROR(D12/E12-1,"")</f>
        <v/>
      </c>
      <c r="G12" s="274" t="str">
        <f>IFERROR($D$11/D12,"")</f>
        <v/>
      </c>
      <c r="H12" s="274" t="str">
        <f>IFERROR($E$11/E12,"")</f>
        <v/>
      </c>
      <c r="I12" s="274" t="str">
        <f>IFERROR(G12-H12,"")</f>
        <v/>
      </c>
      <c r="J12" s="23"/>
      <c r="K12" s="23"/>
      <c r="L12" s="29"/>
      <c r="M12" s="26"/>
    </row>
    <row r="13" spans="1:13" ht="20.2" customHeight="1" x14ac:dyDescent="0.45">
      <c r="B13" s="23" t="s">
        <v>55</v>
      </c>
      <c r="C13" s="23" t="s">
        <v>61</v>
      </c>
      <c r="D13" s="29">
        <v>8920000</v>
      </c>
      <c r="E13" s="29">
        <v>7660000</v>
      </c>
      <c r="F13" s="24">
        <f>IFERROR(D13/E13-1,"")</f>
        <v>0.164490861618799</v>
      </c>
      <c r="G13" s="274">
        <f>IFERROR($D$11/D13,"")</f>
        <v>0.32982399103139015</v>
      </c>
      <c r="H13" s="274">
        <f>IFERROR($E$11/E13,"")</f>
        <v>0.18962793211488257</v>
      </c>
      <c r="I13" s="274">
        <f t="shared" ref="I13:I76" si="6">IFERROR(G13-H13,"")</f>
        <v>0.14019605891650758</v>
      </c>
      <c r="J13" s="23"/>
      <c r="K13" s="23"/>
      <c r="L13" s="29"/>
      <c r="M13" s="26"/>
    </row>
    <row r="14" spans="1:13" ht="20.2" customHeight="1" x14ac:dyDescent="0.45">
      <c r="B14" s="23" t="s">
        <v>56</v>
      </c>
      <c r="C14" s="23" t="s">
        <v>61</v>
      </c>
      <c r="D14" s="29">
        <v>1590000</v>
      </c>
      <c r="E14" s="29">
        <v>0</v>
      </c>
      <c r="F14" s="24" t="str">
        <f t="shared" ref="F14:F16" si="7">IFERROR(D14/E14-1,"")</f>
        <v/>
      </c>
      <c r="G14" s="274">
        <f>IFERROR($D$11/D14,"")</f>
        <v>1.8503333333333334</v>
      </c>
      <c r="H14" s="274" t="str">
        <f>IFERROR($E$11/E14,"")</f>
        <v/>
      </c>
      <c r="I14" s="274" t="str">
        <f t="shared" si="6"/>
        <v/>
      </c>
      <c r="J14" s="23"/>
      <c r="K14" s="23"/>
      <c r="L14" s="29"/>
      <c r="M14" s="26"/>
    </row>
    <row r="15" spans="1:13" ht="20.2" customHeight="1" x14ac:dyDescent="0.45">
      <c r="B15" s="23" t="s">
        <v>57</v>
      </c>
      <c r="C15" s="23" t="s">
        <v>61</v>
      </c>
      <c r="D15" s="29">
        <v>14501188</v>
      </c>
      <c r="E15" s="29">
        <v>15056000</v>
      </c>
      <c r="F15" s="24">
        <f t="shared" si="7"/>
        <v>-3.6849893730074412E-2</v>
      </c>
      <c r="G15" s="274">
        <f>IFERROR($D$11/D15,"")</f>
        <v>0.2028819983576518</v>
      </c>
      <c r="H15" s="274">
        <f>IFERROR($E$11/E15,"")</f>
        <v>9.6476485122210437E-2</v>
      </c>
      <c r="I15" s="274">
        <f t="shared" si="6"/>
        <v>0.10640551323544137</v>
      </c>
      <c r="J15" s="23"/>
      <c r="K15" s="23"/>
      <c r="L15" s="29"/>
      <c r="M15" s="26"/>
    </row>
    <row r="16" spans="1:13" ht="20.2" customHeight="1" x14ac:dyDescent="0.45">
      <c r="B16" s="307" t="s">
        <v>58</v>
      </c>
      <c r="C16" s="307" t="s">
        <v>62</v>
      </c>
      <c r="D16" s="308">
        <f>SUM(D11:D15)</f>
        <v>27953218</v>
      </c>
      <c r="E16" s="308">
        <f>SUM(E11:E15)</f>
        <v>24168549.960000001</v>
      </c>
      <c r="F16" s="309">
        <f t="shared" si="7"/>
        <v>0.1565947500476359</v>
      </c>
      <c r="G16" s="310">
        <f>IFERROR($D$11/D16,"")</f>
        <v>0.10524834743534715</v>
      </c>
      <c r="H16" s="310">
        <f>IFERROR($E$11/E16,"")</f>
        <v>6.010083196567579E-2</v>
      </c>
      <c r="I16" s="310">
        <f t="shared" si="6"/>
        <v>4.5147515469671363E-2</v>
      </c>
      <c r="J16" s="23"/>
      <c r="K16" s="23"/>
      <c r="L16" s="29"/>
      <c r="M16" s="26"/>
    </row>
    <row r="17" spans="2:13" ht="20.2" customHeight="1" x14ac:dyDescent="0.45">
      <c r="B17" s="19" t="s">
        <v>53</v>
      </c>
      <c r="C17" s="19" t="s">
        <v>63</v>
      </c>
      <c r="D17" s="28">
        <v>1996264.1535000002</v>
      </c>
      <c r="E17" s="28">
        <v>1272293.8175000001</v>
      </c>
      <c r="F17" s="20">
        <f t="shared" ref="F17" si="8">D17/E17-1</f>
        <v>0.56902763028635084</v>
      </c>
      <c r="G17" s="278"/>
      <c r="H17" s="278"/>
      <c r="I17" s="278"/>
      <c r="J17" s="19"/>
      <c r="K17" s="19"/>
      <c r="L17" s="28"/>
      <c r="M17" s="26"/>
    </row>
    <row r="18" spans="2:13" ht="20.2" customHeight="1" x14ac:dyDescent="0.45">
      <c r="B18" s="23" t="s">
        <v>35</v>
      </c>
      <c r="C18" s="23" t="s">
        <v>63</v>
      </c>
      <c r="D18" s="29">
        <v>0</v>
      </c>
      <c r="E18" s="29">
        <v>0</v>
      </c>
      <c r="F18" s="24" t="str">
        <f>IFERROR(D18/E18-1,"")</f>
        <v/>
      </c>
      <c r="G18" s="274" t="str">
        <f t="shared" ref="G18" si="9">IFERROR($D$11/D18,"")</f>
        <v/>
      </c>
      <c r="H18" s="274" t="str">
        <f>IFERROR($E$17/E18,"")</f>
        <v/>
      </c>
      <c r="I18" s="274" t="str">
        <f t="shared" si="6"/>
        <v/>
      </c>
      <c r="J18" s="23"/>
      <c r="K18" s="23"/>
      <c r="L18" s="29"/>
      <c r="M18" s="26"/>
    </row>
    <row r="19" spans="2:13" ht="20.2" customHeight="1" x14ac:dyDescent="0.45">
      <c r="B19" s="23" t="s">
        <v>55</v>
      </c>
      <c r="C19" s="23" t="s">
        <v>63</v>
      </c>
      <c r="D19" s="29">
        <v>6425342</v>
      </c>
      <c r="E19" s="29">
        <v>10000000</v>
      </c>
      <c r="F19" s="24">
        <f t="shared" ref="F19:F22" si="10">IFERROR(D19/E19-1,"")</f>
        <v>-0.35746579999999994</v>
      </c>
      <c r="G19" s="274">
        <f>IFERROR($D$17/$D19,"")</f>
        <v>0.31068605429874396</v>
      </c>
      <c r="H19" s="274">
        <f>IFERROR($E$17/E19,"")</f>
        <v>0.12722938175000001</v>
      </c>
      <c r="I19" s="274">
        <f t="shared" si="6"/>
        <v>0.18345667254874395</v>
      </c>
      <c r="J19" s="23"/>
      <c r="K19" s="23"/>
      <c r="L19" s="29"/>
      <c r="M19" s="26"/>
    </row>
    <row r="20" spans="2:13" ht="20.2" customHeight="1" x14ac:dyDescent="0.45">
      <c r="B20" s="23" t="s">
        <v>56</v>
      </c>
      <c r="C20" s="23" t="s">
        <v>63</v>
      </c>
      <c r="D20" s="29">
        <v>1320000</v>
      </c>
      <c r="E20" s="29">
        <v>0</v>
      </c>
      <c r="F20" s="24" t="str">
        <f t="shared" si="10"/>
        <v/>
      </c>
      <c r="G20" s="274">
        <f>IFERROR($D$17/$D20,"")</f>
        <v>1.5123213284090911</v>
      </c>
      <c r="H20" s="274" t="str">
        <f t="shared" ref="H20" si="11">IFERROR($E$17/E20,"")</f>
        <v/>
      </c>
      <c r="I20" s="274" t="str">
        <f t="shared" si="6"/>
        <v/>
      </c>
      <c r="J20" s="23"/>
      <c r="K20" s="23"/>
      <c r="L20" s="29"/>
      <c r="M20" s="26"/>
    </row>
    <row r="21" spans="2:13" ht="20.2" customHeight="1" x14ac:dyDescent="0.45">
      <c r="B21" s="23" t="s">
        <v>57</v>
      </c>
      <c r="C21" s="23" t="s">
        <v>63</v>
      </c>
      <c r="D21" s="29">
        <v>7830931</v>
      </c>
      <c r="E21" s="29">
        <v>16226000</v>
      </c>
      <c r="F21" s="24">
        <f t="shared" si="10"/>
        <v>-0.51738376679403419</v>
      </c>
      <c r="G21" s="274">
        <f>IFERROR($D$17/$D21,"")</f>
        <v>0.25492041157047612</v>
      </c>
      <c r="H21" s="274">
        <f>IFERROR($E$17/E21,"")</f>
        <v>7.8410810889929752E-2</v>
      </c>
      <c r="I21" s="274">
        <f t="shared" si="6"/>
        <v>0.17650960068054639</v>
      </c>
      <c r="J21" s="23"/>
      <c r="K21" s="23"/>
      <c r="L21" s="29"/>
      <c r="M21" s="26"/>
    </row>
    <row r="22" spans="2:13" ht="20.2" customHeight="1" x14ac:dyDescent="0.45">
      <c r="B22" s="307" t="s">
        <v>58</v>
      </c>
      <c r="C22" s="307" t="s">
        <v>64</v>
      </c>
      <c r="D22" s="308">
        <f>SUM(D17:D21)</f>
        <v>17572537.153499998</v>
      </c>
      <c r="E22" s="308">
        <f>SUM(E17:E21)</f>
        <v>27498293.817500003</v>
      </c>
      <c r="F22" s="309">
        <f t="shared" si="10"/>
        <v>-0.36095900094293198</v>
      </c>
      <c r="G22" s="310">
        <f>IFERROR($D$17/$D22,"")</f>
        <v>0.11360136194689426</v>
      </c>
      <c r="H22" s="310">
        <f>IFERROR($E$17/E22,"")</f>
        <v>4.626810033902206E-2</v>
      </c>
      <c r="I22" s="310">
        <f t="shared" si="6"/>
        <v>6.7333261607872202E-2</v>
      </c>
      <c r="J22" s="23"/>
      <c r="K22" s="23"/>
      <c r="L22" s="29"/>
      <c r="M22" s="26"/>
    </row>
    <row r="23" spans="2:13" ht="20.2" customHeight="1" x14ac:dyDescent="0.45">
      <c r="B23" s="19" t="s">
        <v>53</v>
      </c>
      <c r="C23" s="19" t="s">
        <v>65</v>
      </c>
      <c r="D23" s="28">
        <v>958356.63699999999</v>
      </c>
      <c r="E23" s="28">
        <v>946586.74000000011</v>
      </c>
      <c r="F23" s="279">
        <f t="shared" ref="F23" si="12">D23/E23-1</f>
        <v>1.2434039589440893E-2</v>
      </c>
      <c r="G23" s="278"/>
      <c r="H23" s="278"/>
      <c r="I23" s="278"/>
      <c r="J23" s="30"/>
      <c r="K23" s="30"/>
      <c r="L23" s="30"/>
      <c r="M23" s="26"/>
    </row>
    <row r="24" spans="2:13" ht="20.2" customHeight="1" x14ac:dyDescent="0.45">
      <c r="B24" s="23" t="s">
        <v>35</v>
      </c>
      <c r="C24" s="23" t="s">
        <v>65</v>
      </c>
      <c r="D24" s="29">
        <v>0</v>
      </c>
      <c r="E24" s="29">
        <v>0</v>
      </c>
      <c r="F24" s="24" t="str">
        <f>IFERROR(D24/E24-1,"")</f>
        <v/>
      </c>
      <c r="G24" s="274" t="str">
        <f>IFERROR($D$23/D24,"")</f>
        <v/>
      </c>
      <c r="H24" s="274" t="str">
        <f>IFERROR($E$23/E24,"")</f>
        <v/>
      </c>
      <c r="I24" s="274" t="str">
        <f t="shared" si="6"/>
        <v/>
      </c>
      <c r="J24" s="30"/>
      <c r="K24" s="30"/>
      <c r="L24" s="30"/>
      <c r="M24" s="26"/>
    </row>
    <row r="25" spans="2:13" ht="20.2" customHeight="1" x14ac:dyDescent="0.45">
      <c r="B25" s="23" t="s">
        <v>55</v>
      </c>
      <c r="C25" s="23" t="s">
        <v>65</v>
      </c>
      <c r="D25" s="29">
        <v>4130475</v>
      </c>
      <c r="E25" s="29">
        <v>6700000</v>
      </c>
      <c r="F25" s="24">
        <f t="shared" ref="F25:F28" si="13">IFERROR(D25/E25-1,"")</f>
        <v>-0.38351119402985079</v>
      </c>
      <c r="G25" s="274">
        <f>IFERROR($D$23/$D25,"")</f>
        <v>0.23202092664887211</v>
      </c>
      <c r="H25" s="274">
        <f>IFERROR($E$23/E25,"")</f>
        <v>0.14128160298507464</v>
      </c>
      <c r="I25" s="274">
        <f t="shared" si="6"/>
        <v>9.0739323663797472E-2</v>
      </c>
      <c r="J25" s="30"/>
      <c r="K25" s="30"/>
      <c r="L25" s="30"/>
      <c r="M25" s="26"/>
    </row>
    <row r="26" spans="2:13" ht="20.2" customHeight="1" x14ac:dyDescent="0.45">
      <c r="B26" s="23" t="s">
        <v>56</v>
      </c>
      <c r="C26" s="23" t="s">
        <v>65</v>
      </c>
      <c r="D26" s="29">
        <v>857000</v>
      </c>
      <c r="E26" s="29">
        <v>0</v>
      </c>
      <c r="F26" s="24" t="str">
        <f t="shared" si="13"/>
        <v/>
      </c>
      <c r="G26" s="274">
        <f>IFERROR($D$23/$D26,"")</f>
        <v>1.1182691213535589</v>
      </c>
      <c r="H26" s="274" t="str">
        <f t="shared" ref="H26:H28" si="14">IFERROR($E$23/E26,"")</f>
        <v/>
      </c>
      <c r="I26" s="274" t="str">
        <f t="shared" si="6"/>
        <v/>
      </c>
      <c r="J26" s="30"/>
      <c r="K26" s="30"/>
      <c r="L26" s="30"/>
      <c r="M26" s="26"/>
    </row>
    <row r="27" spans="2:13" ht="20.2" customHeight="1" x14ac:dyDescent="0.45">
      <c r="B27" s="23" t="s">
        <v>57</v>
      </c>
      <c r="C27" s="23" t="s">
        <v>65</v>
      </c>
      <c r="D27" s="29">
        <v>9029079.9469026551</v>
      </c>
      <c r="E27" s="29">
        <v>12300000</v>
      </c>
      <c r="F27" s="24">
        <f t="shared" si="13"/>
        <v>-0.26592845960141021</v>
      </c>
      <c r="G27" s="274">
        <f>IFERROR($D$23/$D27,"")</f>
        <v>0.10614111765936414</v>
      </c>
      <c r="H27" s="274">
        <f t="shared" si="14"/>
        <v>7.6958271544715462E-2</v>
      </c>
      <c r="I27" s="274">
        <f t="shared" si="6"/>
        <v>2.9182846114648678E-2</v>
      </c>
      <c r="J27" s="30"/>
      <c r="K27" s="30"/>
      <c r="L27" s="30"/>
      <c r="M27" s="26"/>
    </row>
    <row r="28" spans="2:13" ht="20.2" customHeight="1" x14ac:dyDescent="0.45">
      <c r="B28" s="307" t="s">
        <v>58</v>
      </c>
      <c r="C28" s="307" t="s">
        <v>65</v>
      </c>
      <c r="D28" s="308">
        <f t="shared" ref="D28:E28" si="15">SUM(D23:D27)</f>
        <v>14974911.583902655</v>
      </c>
      <c r="E28" s="308">
        <f t="shared" si="15"/>
        <v>19946586.740000002</v>
      </c>
      <c r="F28" s="309">
        <f t="shared" si="13"/>
        <v>-0.24924941900597808</v>
      </c>
      <c r="G28" s="310">
        <f>IFERROR($D$23/$D28,"")</f>
        <v>6.3997482164114383E-2</v>
      </c>
      <c r="H28" s="310">
        <f t="shared" si="14"/>
        <v>4.7456076186797258E-2</v>
      </c>
      <c r="I28" s="310">
        <f t="shared" si="6"/>
        <v>1.6541405977317125E-2</v>
      </c>
      <c r="J28" s="30"/>
      <c r="K28" s="30"/>
      <c r="L28" s="30"/>
      <c r="M28" s="26"/>
    </row>
    <row r="29" spans="2:13" ht="20.2" customHeight="1" x14ac:dyDescent="0.45">
      <c r="B29" s="19" t="s">
        <v>53</v>
      </c>
      <c r="C29" s="19" t="s">
        <v>30</v>
      </c>
      <c r="D29" s="28">
        <v>971856.71649999986</v>
      </c>
      <c r="E29" s="28">
        <v>1370622.98</v>
      </c>
      <c r="F29" s="20">
        <f t="shared" ref="F29:F71" si="16">D29/E29-1</f>
        <v>-0.29093796712791153</v>
      </c>
      <c r="G29" s="278"/>
      <c r="H29" s="278"/>
      <c r="I29" s="278"/>
      <c r="J29" s="30"/>
      <c r="K29" s="30"/>
      <c r="L29" s="30"/>
      <c r="M29" s="26"/>
    </row>
    <row r="30" spans="2:13" ht="20.2" customHeight="1" x14ac:dyDescent="0.45">
      <c r="B30" s="23" t="s">
        <v>35</v>
      </c>
      <c r="C30" s="23" t="s">
        <v>30</v>
      </c>
      <c r="D30" s="29">
        <v>0</v>
      </c>
      <c r="E30" s="29">
        <v>0</v>
      </c>
      <c r="F30" s="24" t="str">
        <f>IFERROR(D30/E30-1,"")</f>
        <v/>
      </c>
      <c r="G30" s="274" t="str">
        <f>IFERROR($D$29/D30,"")</f>
        <v/>
      </c>
      <c r="H30" s="274" t="str">
        <f>IFERROR($E$29/E30,"")</f>
        <v/>
      </c>
      <c r="I30" s="274" t="str">
        <f t="shared" si="6"/>
        <v/>
      </c>
      <c r="J30" s="30"/>
      <c r="K30" s="30"/>
      <c r="L30" s="30"/>
      <c r="M30" s="26"/>
    </row>
    <row r="31" spans="2:13" ht="20.2" customHeight="1" x14ac:dyDescent="0.45">
      <c r="B31" s="23" t="s">
        <v>55</v>
      </c>
      <c r="C31" s="23" t="s">
        <v>30</v>
      </c>
      <c r="D31" s="29">
        <v>3952396</v>
      </c>
      <c r="E31" s="29">
        <v>7500000</v>
      </c>
      <c r="F31" s="24">
        <f t="shared" ref="F31:F34" si="17">IFERROR(D31/E31-1,"")</f>
        <v>-0.47301386666666667</v>
      </c>
      <c r="G31" s="274">
        <f>IFERROR($D$29/$D31,"")</f>
        <v>0.24589052223005992</v>
      </c>
      <c r="H31" s="274">
        <f>IFERROR($E$29/E31,"")</f>
        <v>0.18274973066666667</v>
      </c>
      <c r="I31" s="274">
        <f>IFERROR(G31-H31,"")</f>
        <v>6.314079156339325E-2</v>
      </c>
      <c r="J31" s="30"/>
      <c r="K31" s="30"/>
      <c r="L31" s="30"/>
      <c r="M31" s="26"/>
    </row>
    <row r="32" spans="2:13" ht="20.2" customHeight="1" x14ac:dyDescent="0.45">
      <c r="B32" s="23" t="s">
        <v>56</v>
      </c>
      <c r="C32" s="23" t="s">
        <v>30</v>
      </c>
      <c r="D32" s="29">
        <v>1200000</v>
      </c>
      <c r="E32" s="29">
        <v>0</v>
      </c>
      <c r="F32" s="24" t="str">
        <f t="shared" si="17"/>
        <v/>
      </c>
      <c r="G32" s="274">
        <f>IFERROR($D$29/$D32,"")</f>
        <v>0.80988059708333326</v>
      </c>
      <c r="H32" s="274" t="str">
        <f t="shared" ref="H32" si="18">IFERROR($E$29/E32,"")</f>
        <v/>
      </c>
      <c r="I32" s="274" t="str">
        <f t="shared" si="6"/>
        <v/>
      </c>
      <c r="J32" s="30"/>
      <c r="K32" s="30"/>
      <c r="L32" s="30"/>
      <c r="M32" s="26"/>
    </row>
    <row r="33" spans="2:13" ht="20.2" customHeight="1" x14ac:dyDescent="0.45">
      <c r="B33" s="23" t="s">
        <v>57</v>
      </c>
      <c r="C33" s="23" t="s">
        <v>30</v>
      </c>
      <c r="D33" s="29">
        <v>8802155</v>
      </c>
      <c r="E33" s="29">
        <v>10832000</v>
      </c>
      <c r="F33" s="24">
        <f t="shared" si="17"/>
        <v>-0.18739337149187596</v>
      </c>
      <c r="G33" s="274">
        <f>IFERROR($D$29/$D33,"")</f>
        <v>0.11041122503523283</v>
      </c>
      <c r="H33" s="274">
        <f>IFERROR($E$29/E33,"")</f>
        <v>0.12653461779911374</v>
      </c>
      <c r="I33" s="274">
        <f t="shared" si="6"/>
        <v>-1.6123392763880903E-2</v>
      </c>
      <c r="J33" s="30"/>
      <c r="K33" s="30"/>
      <c r="L33" s="30"/>
      <c r="M33" s="26"/>
    </row>
    <row r="34" spans="2:13" ht="20.2" customHeight="1" x14ac:dyDescent="0.45">
      <c r="B34" s="307" t="s">
        <v>58</v>
      </c>
      <c r="C34" s="307" t="s">
        <v>30</v>
      </c>
      <c r="D34" s="308">
        <f t="shared" ref="D34:E34" si="19">SUM(D29:D33)</f>
        <v>14926407.716499999</v>
      </c>
      <c r="E34" s="308">
        <f t="shared" si="19"/>
        <v>19702622.98</v>
      </c>
      <c r="F34" s="309">
        <f t="shared" si="17"/>
        <v>-0.2424151986437697</v>
      </c>
      <c r="G34" s="310">
        <f>IFERROR($D$29/$D34,"")</f>
        <v>6.5109886783119741E-2</v>
      </c>
      <c r="H34" s="310">
        <f>IFERROR($E$29/E34,"")</f>
        <v>6.9565508175805327E-2</v>
      </c>
      <c r="I34" s="310">
        <f t="shared" si="6"/>
        <v>-4.4556213926855853E-3</v>
      </c>
      <c r="M34" s="26"/>
    </row>
    <row r="35" spans="2:13" ht="20.2" customHeight="1" x14ac:dyDescent="0.45">
      <c r="B35" s="19" t="s">
        <v>53</v>
      </c>
      <c r="C35" s="19" t="s">
        <v>46</v>
      </c>
      <c r="D35" s="28">
        <v>727503.29299999983</v>
      </c>
      <c r="E35" s="28">
        <v>1087473.50999999</v>
      </c>
      <c r="F35" s="20">
        <f>D35/E35-1</f>
        <v>-0.33101515916465263</v>
      </c>
      <c r="G35" s="278"/>
      <c r="H35" s="278"/>
      <c r="I35" s="278"/>
      <c r="M35" s="26"/>
    </row>
    <row r="36" spans="2:13" ht="20.2" customHeight="1" x14ac:dyDescent="0.45">
      <c r="B36" s="23" t="s">
        <v>35</v>
      </c>
      <c r="C36" s="23" t="s">
        <v>46</v>
      </c>
      <c r="D36" s="29"/>
      <c r="E36" s="29">
        <v>0</v>
      </c>
      <c r="F36" s="24" t="str">
        <f>IFERROR(D36/E36-1,"")</f>
        <v/>
      </c>
      <c r="G36" s="274" t="str">
        <f>IFERROR($D$35/D36,"")</f>
        <v/>
      </c>
      <c r="H36" s="274" t="str">
        <f>IFERROR($E$35/E36,"")</f>
        <v/>
      </c>
      <c r="I36" s="274" t="str">
        <f t="shared" si="6"/>
        <v/>
      </c>
      <c r="M36" s="26"/>
    </row>
    <row r="37" spans="2:13" ht="20.2" customHeight="1" x14ac:dyDescent="0.45">
      <c r="B37" s="23" t="s">
        <v>55</v>
      </c>
      <c r="C37" s="23" t="s">
        <v>46</v>
      </c>
      <c r="D37" s="29">
        <v>5225290</v>
      </c>
      <c r="E37" s="29">
        <v>7200000</v>
      </c>
      <c r="F37" s="24">
        <f>IFERROR(D37/E37-1,"")</f>
        <v>-0.27426527777777776</v>
      </c>
      <c r="G37" s="274">
        <f>IFERROR($D$35/D37,"")</f>
        <v>0.13922735254885371</v>
      </c>
      <c r="H37" s="274">
        <f>IFERROR($E$35/E37,"")</f>
        <v>0.15103798749999861</v>
      </c>
      <c r="I37" s="274">
        <f t="shared" si="6"/>
        <v>-1.1810634951144899E-2</v>
      </c>
      <c r="M37" s="26"/>
    </row>
    <row r="38" spans="2:13" ht="20.2" customHeight="1" x14ac:dyDescent="0.45">
      <c r="B38" s="23" t="s">
        <v>56</v>
      </c>
      <c r="C38" s="23" t="s">
        <v>46</v>
      </c>
      <c r="D38" s="29">
        <v>1350000</v>
      </c>
      <c r="E38" s="29">
        <v>0</v>
      </c>
      <c r="F38" s="24" t="str">
        <f t="shared" ref="F38:F82" si="20">IFERROR(D38/E38-1,"")</f>
        <v/>
      </c>
      <c r="G38" s="274">
        <f t="shared" ref="G38:G40" si="21">IFERROR($D$35/D38,"")</f>
        <v>0.538891328148148</v>
      </c>
      <c r="H38" s="274" t="str">
        <f t="shared" ref="H38" si="22">IFERROR($E$35/E38,"")</f>
        <v/>
      </c>
      <c r="I38" s="274" t="str">
        <f t="shared" si="6"/>
        <v/>
      </c>
      <c r="M38" s="26"/>
    </row>
    <row r="39" spans="2:13" ht="20.2" customHeight="1" x14ac:dyDescent="0.45">
      <c r="B39" s="23" t="s">
        <v>57</v>
      </c>
      <c r="C39" s="23" t="s">
        <v>46</v>
      </c>
      <c r="D39" s="29">
        <v>11262583</v>
      </c>
      <c r="E39" s="29">
        <v>18500000</v>
      </c>
      <c r="F39" s="24">
        <f>IFERROR(D39/E39-1,"")</f>
        <v>-0.39121172972972973</v>
      </c>
      <c r="G39" s="274">
        <f>IFERROR($D$35/D39,"")</f>
        <v>6.4594710911342432E-2</v>
      </c>
      <c r="H39" s="274">
        <f>IFERROR($E$35/E39,"")</f>
        <v>5.8782351891891349E-2</v>
      </c>
      <c r="I39" s="274">
        <f t="shared" si="6"/>
        <v>5.8123590194510827E-3</v>
      </c>
      <c r="M39" s="26"/>
    </row>
    <row r="40" spans="2:13" ht="20.2" customHeight="1" x14ac:dyDescent="0.45">
      <c r="B40" s="307" t="s">
        <v>58</v>
      </c>
      <c r="C40" s="307" t="s">
        <v>46</v>
      </c>
      <c r="D40" s="308">
        <f t="shared" ref="D40:E40" si="23">SUM(D35:D39)</f>
        <v>18565376.292999998</v>
      </c>
      <c r="E40" s="308">
        <f t="shared" si="23"/>
        <v>26787473.50999999</v>
      </c>
      <c r="F40" s="309">
        <f t="shared" si="20"/>
        <v>-0.30693813710839934</v>
      </c>
      <c r="G40" s="310">
        <f t="shared" si="21"/>
        <v>3.9186024647090083E-2</v>
      </c>
      <c r="H40" s="310">
        <f>IFERROR($E$35/E40,"")</f>
        <v>4.0596344765176415E-2</v>
      </c>
      <c r="I40" s="310">
        <f t="shared" si="6"/>
        <v>-1.410320118086332E-3</v>
      </c>
      <c r="M40" s="26"/>
    </row>
    <row r="41" spans="2:13" ht="20.2" customHeight="1" x14ac:dyDescent="0.45">
      <c r="B41" s="19" t="s">
        <v>53</v>
      </c>
      <c r="C41" s="19" t="s">
        <v>45</v>
      </c>
      <c r="D41" s="28"/>
      <c r="E41" s="28">
        <v>1277523.0070000007</v>
      </c>
      <c r="F41" s="20">
        <f t="shared" si="16"/>
        <v>-1</v>
      </c>
      <c r="G41" s="278"/>
      <c r="H41" s="278"/>
      <c r="I41" s="278"/>
      <c r="M41" s="26"/>
    </row>
    <row r="42" spans="2:13" ht="20.2" customHeight="1" x14ac:dyDescent="0.45">
      <c r="B42" s="23" t="s">
        <v>35</v>
      </c>
      <c r="C42" s="23" t="s">
        <v>45</v>
      </c>
      <c r="D42" s="29"/>
      <c r="E42" s="29" t="s">
        <v>107</v>
      </c>
      <c r="F42" s="24" t="str">
        <f t="shared" si="20"/>
        <v/>
      </c>
      <c r="G42" s="274" t="str">
        <f>IFERROR($D$41/D42,"")</f>
        <v/>
      </c>
      <c r="H42" s="274" t="str">
        <f>IFERROR($E$41/E42,"")</f>
        <v/>
      </c>
      <c r="I42" s="274" t="str">
        <f t="shared" si="6"/>
        <v/>
      </c>
      <c r="M42" s="26"/>
    </row>
    <row r="43" spans="2:13" ht="20.2" customHeight="1" x14ac:dyDescent="0.45">
      <c r="B43" s="23" t="s">
        <v>55</v>
      </c>
      <c r="C43" s="23" t="s">
        <v>45</v>
      </c>
      <c r="D43" s="29"/>
      <c r="E43" s="29">
        <v>5260000</v>
      </c>
      <c r="F43" s="24">
        <f t="shared" si="20"/>
        <v>-1</v>
      </c>
      <c r="G43" s="274" t="str">
        <f t="shared" ref="G43:G46" si="24">IFERROR($D$41/D43,"")</f>
        <v/>
      </c>
      <c r="H43" s="274">
        <f>IFERROR($E$41/E43,"")</f>
        <v>0.24287509638783283</v>
      </c>
      <c r="I43" s="274" t="str">
        <f t="shared" si="6"/>
        <v/>
      </c>
      <c r="M43" s="26"/>
    </row>
    <row r="44" spans="2:13" ht="20.2" customHeight="1" x14ac:dyDescent="0.45">
      <c r="B44" s="23" t="s">
        <v>56</v>
      </c>
      <c r="C44" s="23" t="s">
        <v>45</v>
      </c>
      <c r="D44" s="29"/>
      <c r="E44" s="29" t="s">
        <v>107</v>
      </c>
      <c r="F44" s="24" t="str">
        <f t="shared" si="20"/>
        <v/>
      </c>
      <c r="G44" s="274" t="str">
        <f t="shared" si="24"/>
        <v/>
      </c>
      <c r="H44" s="274" t="str">
        <f t="shared" ref="H44" si="25">IFERROR($E$41/E44,"")</f>
        <v/>
      </c>
      <c r="I44" s="274" t="str">
        <f t="shared" si="6"/>
        <v/>
      </c>
      <c r="M44" s="26"/>
    </row>
    <row r="45" spans="2:13" ht="20.2" customHeight="1" x14ac:dyDescent="0.45">
      <c r="B45" s="23" t="s">
        <v>57</v>
      </c>
      <c r="C45" s="23" t="s">
        <v>45</v>
      </c>
      <c r="D45" s="29"/>
      <c r="E45" s="29">
        <v>11600000</v>
      </c>
      <c r="F45" s="24">
        <f t="shared" si="20"/>
        <v>-1</v>
      </c>
      <c r="G45" s="274" t="str">
        <f t="shared" si="24"/>
        <v/>
      </c>
      <c r="H45" s="274">
        <f>IFERROR($E$41/E45,"")</f>
        <v>0.11013129370689662</v>
      </c>
      <c r="I45" s="274" t="str">
        <f t="shared" si="6"/>
        <v/>
      </c>
      <c r="M45" s="26"/>
    </row>
    <row r="46" spans="2:13" ht="20.2" customHeight="1" x14ac:dyDescent="0.45">
      <c r="B46" s="307" t="s">
        <v>58</v>
      </c>
      <c r="C46" s="307" t="s">
        <v>45</v>
      </c>
      <c r="D46" s="308">
        <f t="shared" ref="D46:E46" si="26">SUM(D41:D45)</f>
        <v>0</v>
      </c>
      <c r="E46" s="308">
        <f t="shared" si="26"/>
        <v>18137523.006999999</v>
      </c>
      <c r="F46" s="309">
        <f t="shared" si="20"/>
        <v>-1</v>
      </c>
      <c r="G46" s="310" t="str">
        <f t="shared" si="24"/>
        <v/>
      </c>
      <c r="H46" s="310">
        <f>IFERROR($E$41/E46,"")</f>
        <v>7.0435362453128425E-2</v>
      </c>
      <c r="I46" s="310" t="str">
        <f t="shared" si="6"/>
        <v/>
      </c>
      <c r="M46" s="26"/>
    </row>
    <row r="47" spans="2:13" ht="20.2" customHeight="1" x14ac:dyDescent="0.45">
      <c r="B47" s="19" t="s">
        <v>53</v>
      </c>
      <c r="C47" s="19" t="s">
        <v>48</v>
      </c>
      <c r="D47" s="28"/>
      <c r="E47" s="28">
        <v>562290.70250000001</v>
      </c>
      <c r="F47" s="20">
        <f t="shared" si="16"/>
        <v>-1</v>
      </c>
      <c r="G47" s="278"/>
      <c r="H47" s="278"/>
      <c r="I47" s="278"/>
      <c r="M47" s="26"/>
    </row>
    <row r="48" spans="2:13" ht="20.2" customHeight="1" x14ac:dyDescent="0.45">
      <c r="B48" s="23" t="s">
        <v>35</v>
      </c>
      <c r="C48" s="23" t="s">
        <v>48</v>
      </c>
      <c r="D48" s="29"/>
      <c r="E48" s="29" t="s">
        <v>107</v>
      </c>
      <c r="F48" s="24" t="str">
        <f t="shared" si="20"/>
        <v/>
      </c>
      <c r="G48" s="274" t="str">
        <f>IFERROR($D$47/D48,"")</f>
        <v/>
      </c>
      <c r="H48" s="274" t="str">
        <f>IFERROR($E$47/E48,"")</f>
        <v/>
      </c>
      <c r="I48" s="274" t="str">
        <f t="shared" si="6"/>
        <v/>
      </c>
      <c r="M48" s="26"/>
    </row>
    <row r="49" spans="2:13" ht="20.2" customHeight="1" x14ac:dyDescent="0.45">
      <c r="B49" s="23" t="s">
        <v>55</v>
      </c>
      <c r="C49" s="23" t="s">
        <v>48</v>
      </c>
      <c r="D49" s="29"/>
      <c r="E49" s="29">
        <v>7000000</v>
      </c>
      <c r="F49" s="24">
        <f t="shared" si="20"/>
        <v>-1</v>
      </c>
      <c r="G49" s="274" t="str">
        <f>IFERROR($D$47/D49,"")</f>
        <v/>
      </c>
      <c r="H49" s="274">
        <f>IFERROR($E$47/E49,"")</f>
        <v>8.0327243214285721E-2</v>
      </c>
      <c r="I49" s="274" t="str">
        <f t="shared" si="6"/>
        <v/>
      </c>
      <c r="M49" s="26"/>
    </row>
    <row r="50" spans="2:13" ht="20.2" customHeight="1" x14ac:dyDescent="0.45">
      <c r="B50" s="23" t="s">
        <v>56</v>
      </c>
      <c r="C50" s="23" t="s">
        <v>48</v>
      </c>
      <c r="D50" s="29"/>
      <c r="E50" s="29" t="s">
        <v>107</v>
      </c>
      <c r="F50" s="24" t="str">
        <f t="shared" si="20"/>
        <v/>
      </c>
      <c r="G50" s="274" t="str">
        <f t="shared" ref="G50:G52" si="27">IFERROR($D$47/D50,"")</f>
        <v/>
      </c>
      <c r="H50" s="274" t="str">
        <f>IFERROR($E$47/E50,"")</f>
        <v/>
      </c>
      <c r="I50" s="274" t="str">
        <f t="shared" si="6"/>
        <v/>
      </c>
      <c r="M50" s="26"/>
    </row>
    <row r="51" spans="2:13" ht="20.2" customHeight="1" x14ac:dyDescent="0.45">
      <c r="B51" s="23" t="s">
        <v>57</v>
      </c>
      <c r="C51" s="23" t="s">
        <v>48</v>
      </c>
      <c r="D51" s="29"/>
      <c r="E51" s="29">
        <v>11000000</v>
      </c>
      <c r="F51" s="24">
        <f t="shared" si="20"/>
        <v>-1</v>
      </c>
      <c r="G51" s="274" t="str">
        <f t="shared" si="27"/>
        <v/>
      </c>
      <c r="H51" s="274">
        <f>IFERROR($E$47/E51,"")</f>
        <v>5.1117336590909092E-2</v>
      </c>
      <c r="I51" s="274" t="str">
        <f t="shared" si="6"/>
        <v/>
      </c>
      <c r="M51" s="26"/>
    </row>
    <row r="52" spans="2:13" ht="20.2" customHeight="1" x14ac:dyDescent="0.45">
      <c r="B52" s="307" t="s">
        <v>58</v>
      </c>
      <c r="C52" s="307" t="s">
        <v>48</v>
      </c>
      <c r="D52" s="308">
        <f>SUM(D47:D51)</f>
        <v>0</v>
      </c>
      <c r="E52" s="308">
        <f t="shared" ref="E52" si="28">SUM(E47:E51)</f>
        <v>18562290.702500001</v>
      </c>
      <c r="F52" s="309">
        <f t="shared" si="20"/>
        <v>-1</v>
      </c>
      <c r="G52" s="310" t="str">
        <f t="shared" si="27"/>
        <v/>
      </c>
      <c r="H52" s="310">
        <f>IFERROR($E$47/E52,"")</f>
        <v>3.0292096568893288E-2</v>
      </c>
      <c r="I52" s="310" t="str">
        <f t="shared" si="6"/>
        <v/>
      </c>
      <c r="M52" s="26"/>
    </row>
    <row r="53" spans="2:13" ht="20.2" customHeight="1" x14ac:dyDescent="0.45">
      <c r="B53" s="19" t="s">
        <v>53</v>
      </c>
      <c r="C53" s="19" t="s">
        <v>49</v>
      </c>
      <c r="D53" s="28"/>
      <c r="E53" s="28">
        <v>1577706.216</v>
      </c>
      <c r="F53" s="279">
        <f t="shared" si="16"/>
        <v>-1</v>
      </c>
      <c r="G53" s="278"/>
      <c r="H53" s="278"/>
      <c r="I53" s="278"/>
      <c r="M53" s="26"/>
    </row>
    <row r="54" spans="2:13" ht="20.2" customHeight="1" x14ac:dyDescent="0.45">
      <c r="B54" s="23" t="s">
        <v>35</v>
      </c>
      <c r="C54" s="23" t="s">
        <v>49</v>
      </c>
      <c r="D54" s="29"/>
      <c r="E54" s="29">
        <v>0</v>
      </c>
      <c r="F54" s="24" t="str">
        <f t="shared" si="20"/>
        <v/>
      </c>
      <c r="G54" s="274" t="str">
        <f>IFERROR($D$53/D54,"")</f>
        <v/>
      </c>
      <c r="H54" s="274" t="str">
        <f>IFERROR($E$53/E54,"")</f>
        <v/>
      </c>
      <c r="I54" s="274" t="str">
        <f t="shared" si="6"/>
        <v/>
      </c>
      <c r="M54" s="26"/>
    </row>
    <row r="55" spans="2:13" ht="20.2" customHeight="1" x14ac:dyDescent="0.45">
      <c r="B55" s="23" t="s">
        <v>55</v>
      </c>
      <c r="C55" s="23" t="s">
        <v>49</v>
      </c>
      <c r="D55" s="29"/>
      <c r="E55" s="29">
        <v>7600000</v>
      </c>
      <c r="F55" s="24">
        <f t="shared" si="20"/>
        <v>-1</v>
      </c>
      <c r="G55" s="274" t="str">
        <f>IFERROR($D$53/D55,"")</f>
        <v/>
      </c>
      <c r="H55" s="274">
        <f>IFERROR($E$53/E55,"")</f>
        <v>0.20759292315789474</v>
      </c>
      <c r="I55" s="274" t="str">
        <f t="shared" si="6"/>
        <v/>
      </c>
      <c r="M55" s="26"/>
    </row>
    <row r="56" spans="2:13" ht="20.2" customHeight="1" x14ac:dyDescent="0.45">
      <c r="B56" s="23" t="s">
        <v>56</v>
      </c>
      <c r="C56" s="23" t="s">
        <v>49</v>
      </c>
      <c r="D56" s="29"/>
      <c r="E56" s="29">
        <v>0</v>
      </c>
      <c r="F56" s="24" t="str">
        <f t="shared" si="20"/>
        <v/>
      </c>
      <c r="G56" s="274" t="str">
        <f>IFERROR($D$53/D56,"")</f>
        <v/>
      </c>
      <c r="H56" s="274" t="str">
        <f>IFERROR($E$53/E56,"")</f>
        <v/>
      </c>
      <c r="I56" s="274" t="str">
        <f t="shared" si="6"/>
        <v/>
      </c>
      <c r="M56" s="26"/>
    </row>
    <row r="57" spans="2:13" ht="20.2" customHeight="1" x14ac:dyDescent="0.45">
      <c r="B57" s="23" t="s">
        <v>57</v>
      </c>
      <c r="C57" s="23" t="s">
        <v>49</v>
      </c>
      <c r="D57" s="29"/>
      <c r="E57" s="29">
        <v>15255000</v>
      </c>
      <c r="F57" s="24">
        <f t="shared" si="20"/>
        <v>-1</v>
      </c>
      <c r="G57" s="274" t="str">
        <f>IFERROR($D$53/D57,"")</f>
        <v/>
      </c>
      <c r="H57" s="274">
        <f>IFERROR($E$53/E57,"")</f>
        <v>0.10342223638151427</v>
      </c>
      <c r="I57" s="274" t="str">
        <f t="shared" si="6"/>
        <v/>
      </c>
      <c r="M57" s="26"/>
    </row>
    <row r="58" spans="2:13" ht="20.2" customHeight="1" x14ac:dyDescent="0.45">
      <c r="B58" s="307" t="s">
        <v>58</v>
      </c>
      <c r="C58" s="307" t="s">
        <v>49</v>
      </c>
      <c r="D58" s="308">
        <f t="shared" ref="D58:E58" si="29">SUM(D53:D57)</f>
        <v>0</v>
      </c>
      <c r="E58" s="308">
        <f t="shared" si="29"/>
        <v>24432706.215999998</v>
      </c>
      <c r="F58" s="309">
        <f t="shared" si="20"/>
        <v>-1</v>
      </c>
      <c r="G58" s="310" t="str">
        <f>IFERROR($D$53/D58,"")</f>
        <v/>
      </c>
      <c r="H58" s="310">
        <f>IFERROR($E$53/E58,"")</f>
        <v>6.4573535246243971E-2</v>
      </c>
      <c r="I58" s="310" t="str">
        <f t="shared" si="6"/>
        <v/>
      </c>
      <c r="M58" s="26"/>
    </row>
    <row r="59" spans="2:13" ht="20.2" customHeight="1" x14ac:dyDescent="0.45">
      <c r="B59" s="19" t="s">
        <v>53</v>
      </c>
      <c r="C59" s="19" t="s">
        <v>51</v>
      </c>
      <c r="D59" s="28"/>
      <c r="E59" s="28">
        <v>356476.98</v>
      </c>
      <c r="F59" s="20">
        <f t="shared" si="16"/>
        <v>-1</v>
      </c>
      <c r="G59" s="278"/>
      <c r="H59" s="278"/>
      <c r="I59" s="278"/>
      <c r="M59" s="26"/>
    </row>
    <row r="60" spans="2:13" ht="20.2" customHeight="1" x14ac:dyDescent="0.45">
      <c r="B60" s="23" t="s">
        <v>35</v>
      </c>
      <c r="C60" s="23" t="s">
        <v>51</v>
      </c>
      <c r="D60" s="29"/>
      <c r="E60" s="29" t="s">
        <v>107</v>
      </c>
      <c r="F60" s="24" t="str">
        <f t="shared" si="20"/>
        <v/>
      </c>
      <c r="G60" s="274" t="str">
        <f>IFERROR($D$59/D60,"")</f>
        <v/>
      </c>
      <c r="H60" s="274" t="str">
        <f>IFERROR($E$59/E60,"")</f>
        <v/>
      </c>
      <c r="I60" s="274" t="str">
        <f t="shared" si="6"/>
        <v/>
      </c>
      <c r="M60" s="26"/>
    </row>
    <row r="61" spans="2:13" ht="20.2" customHeight="1" x14ac:dyDescent="0.45">
      <c r="B61" s="23" t="s">
        <v>55</v>
      </c>
      <c r="C61" s="23" t="s">
        <v>51</v>
      </c>
      <c r="D61" s="29"/>
      <c r="E61" s="29">
        <v>4830000</v>
      </c>
      <c r="F61" s="24">
        <f t="shared" si="20"/>
        <v>-1</v>
      </c>
      <c r="G61" s="274" t="str">
        <f>IFERROR($D$59/D61,"")</f>
        <v/>
      </c>
      <c r="H61" s="274">
        <f>IFERROR($E$59/E61,"")</f>
        <v>7.3804757763975146E-2</v>
      </c>
      <c r="I61" s="274" t="str">
        <f t="shared" si="6"/>
        <v/>
      </c>
      <c r="M61" s="26"/>
    </row>
    <row r="62" spans="2:13" ht="20.2" customHeight="1" x14ac:dyDescent="0.45">
      <c r="B62" s="23" t="s">
        <v>56</v>
      </c>
      <c r="C62" s="23" t="s">
        <v>51</v>
      </c>
      <c r="D62" s="29"/>
      <c r="E62" s="29" t="s">
        <v>107</v>
      </c>
      <c r="F62" s="24" t="str">
        <f t="shared" si="20"/>
        <v/>
      </c>
      <c r="G62" s="274" t="str">
        <f t="shared" ref="G62:G64" si="30">IFERROR($D$59/D62,"")</f>
        <v/>
      </c>
      <c r="H62" s="274" t="str">
        <f>IFERROR($E$59/E62,"")</f>
        <v/>
      </c>
      <c r="I62" s="274" t="str">
        <f t="shared" si="6"/>
        <v/>
      </c>
      <c r="M62" s="26"/>
    </row>
    <row r="63" spans="2:13" ht="20.2" customHeight="1" x14ac:dyDescent="0.45">
      <c r="B63" s="23" t="s">
        <v>57</v>
      </c>
      <c r="C63" s="23" t="s">
        <v>51</v>
      </c>
      <c r="D63" s="29"/>
      <c r="E63" s="29">
        <v>11300000</v>
      </c>
      <c r="F63" s="24">
        <f t="shared" si="20"/>
        <v>-1</v>
      </c>
      <c r="G63" s="274" t="str">
        <f t="shared" si="30"/>
        <v/>
      </c>
      <c r="H63" s="274">
        <f>IFERROR($E$59/E63,"")</f>
        <v>3.1546635398230084E-2</v>
      </c>
      <c r="I63" s="274" t="str">
        <f t="shared" si="6"/>
        <v/>
      </c>
      <c r="M63" s="26"/>
    </row>
    <row r="64" spans="2:13" ht="20.2" customHeight="1" x14ac:dyDescent="0.45">
      <c r="B64" s="307" t="s">
        <v>58</v>
      </c>
      <c r="C64" s="307" t="s">
        <v>51</v>
      </c>
      <c r="D64" s="308">
        <f t="shared" ref="D64:E64" si="31">SUM(D59:D63)</f>
        <v>0</v>
      </c>
      <c r="E64" s="308">
        <f t="shared" si="31"/>
        <v>16486476.98</v>
      </c>
      <c r="F64" s="309">
        <f t="shared" si="20"/>
        <v>-1</v>
      </c>
      <c r="G64" s="310" t="str">
        <f t="shared" si="30"/>
        <v/>
      </c>
      <c r="H64" s="310">
        <f>IFERROR($E$59/E64,"")</f>
        <v>2.1622386664685713E-2</v>
      </c>
      <c r="I64" s="310" t="str">
        <f t="shared" si="6"/>
        <v/>
      </c>
      <c r="M64" s="26"/>
    </row>
    <row r="65" spans="2:13" ht="20.2" customHeight="1" x14ac:dyDescent="0.45">
      <c r="B65" s="19" t="s">
        <v>53</v>
      </c>
      <c r="C65" s="19" t="s">
        <v>66</v>
      </c>
      <c r="D65" s="28"/>
      <c r="E65" s="28">
        <v>477774.35150000005</v>
      </c>
      <c r="F65" s="20">
        <f t="shared" si="16"/>
        <v>-1</v>
      </c>
      <c r="G65" s="278"/>
      <c r="H65" s="278"/>
      <c r="I65" s="278"/>
      <c r="M65" s="26"/>
    </row>
    <row r="66" spans="2:13" ht="20.2" customHeight="1" x14ac:dyDescent="0.45">
      <c r="B66" s="23" t="s">
        <v>35</v>
      </c>
      <c r="C66" s="23" t="s">
        <v>66</v>
      </c>
      <c r="D66" s="29"/>
      <c r="E66" s="29">
        <v>0</v>
      </c>
      <c r="F66" s="24" t="str">
        <f t="shared" si="20"/>
        <v/>
      </c>
      <c r="G66" s="274" t="str">
        <f>IFERROR($D$65/D66,"")</f>
        <v/>
      </c>
      <c r="H66" s="274" t="str">
        <f>IFERROR($E$65/E66,"")</f>
        <v/>
      </c>
      <c r="I66" s="274" t="str">
        <f t="shared" si="6"/>
        <v/>
      </c>
      <c r="M66" s="26"/>
    </row>
    <row r="67" spans="2:13" ht="20.2" customHeight="1" x14ac:dyDescent="0.45">
      <c r="B67" s="23" t="s">
        <v>55</v>
      </c>
      <c r="C67" s="23" t="s">
        <v>66</v>
      </c>
      <c r="D67" s="29"/>
      <c r="E67" s="29">
        <v>5000000</v>
      </c>
      <c r="F67" s="24">
        <f t="shared" si="20"/>
        <v>-1</v>
      </c>
      <c r="G67" s="274" t="str">
        <f>IFERROR($D$65/D67,"")</f>
        <v/>
      </c>
      <c r="H67" s="274">
        <f>IFERROR($E$65/E67,"")</f>
        <v>9.5554870300000011E-2</v>
      </c>
      <c r="I67" s="274" t="str">
        <f t="shared" si="6"/>
        <v/>
      </c>
      <c r="M67" s="26"/>
    </row>
    <row r="68" spans="2:13" ht="20.2" customHeight="1" x14ac:dyDescent="0.45">
      <c r="B68" s="23" t="s">
        <v>56</v>
      </c>
      <c r="C68" s="23" t="s">
        <v>66</v>
      </c>
      <c r="D68" s="29"/>
      <c r="E68" s="29">
        <v>0</v>
      </c>
      <c r="F68" s="24" t="str">
        <f t="shared" si="20"/>
        <v/>
      </c>
      <c r="G68" s="274" t="str">
        <f>IFERROR($D$65/D68,"")</f>
        <v/>
      </c>
      <c r="H68" s="274" t="str">
        <f t="shared" ref="H68:H70" si="32">IFERROR($E$65/E68,"")</f>
        <v/>
      </c>
      <c r="I68" s="274" t="str">
        <f t="shared" si="6"/>
        <v/>
      </c>
      <c r="M68" s="26"/>
    </row>
    <row r="69" spans="2:13" ht="20.2" customHeight="1" x14ac:dyDescent="0.45">
      <c r="B69" s="23" t="s">
        <v>57</v>
      </c>
      <c r="C69" s="23" t="s">
        <v>66</v>
      </c>
      <c r="D69" s="29"/>
      <c r="E69" s="29">
        <v>14500000</v>
      </c>
      <c r="F69" s="24">
        <f t="shared" si="20"/>
        <v>-1</v>
      </c>
      <c r="G69" s="274" t="str">
        <f>IFERROR($D$65/D69,"")</f>
        <v/>
      </c>
      <c r="H69" s="274">
        <f t="shared" si="32"/>
        <v>3.2949955275862072E-2</v>
      </c>
      <c r="I69" s="274" t="str">
        <f t="shared" si="6"/>
        <v/>
      </c>
      <c r="M69" s="26"/>
    </row>
    <row r="70" spans="2:13" ht="20.2" customHeight="1" x14ac:dyDescent="0.45">
      <c r="B70" s="307" t="s">
        <v>58</v>
      </c>
      <c r="C70" s="307" t="s">
        <v>66</v>
      </c>
      <c r="D70" s="308">
        <f t="shared" ref="D70:E70" si="33">SUM(D65:D69)</f>
        <v>0</v>
      </c>
      <c r="E70" s="308">
        <f t="shared" si="33"/>
        <v>19977774.351500001</v>
      </c>
      <c r="F70" s="309">
        <f t="shared" si="20"/>
        <v>-1</v>
      </c>
      <c r="G70" s="310" t="str">
        <f>IFERROR($D$65/D70,"")</f>
        <v/>
      </c>
      <c r="H70" s="310">
        <f t="shared" si="32"/>
        <v>2.3915294221156676E-2</v>
      </c>
      <c r="I70" s="310" t="str">
        <f t="shared" si="6"/>
        <v/>
      </c>
      <c r="M70" s="26"/>
    </row>
    <row r="71" spans="2:13" ht="20.2" customHeight="1" x14ac:dyDescent="0.45">
      <c r="B71" s="19" t="s">
        <v>53</v>
      </c>
      <c r="C71" s="19" t="s">
        <v>67</v>
      </c>
      <c r="D71" s="28"/>
      <c r="E71" s="28">
        <v>2522972</v>
      </c>
      <c r="F71" s="20">
        <f t="shared" si="16"/>
        <v>-1</v>
      </c>
      <c r="G71" s="278"/>
      <c r="H71" s="278"/>
      <c r="I71" s="278"/>
      <c r="M71" s="26"/>
    </row>
    <row r="72" spans="2:13" ht="20.2" customHeight="1" x14ac:dyDescent="0.45">
      <c r="B72" s="23" t="s">
        <v>35</v>
      </c>
      <c r="C72" s="23" t="s">
        <v>67</v>
      </c>
      <c r="D72" s="29"/>
      <c r="E72" s="29"/>
      <c r="F72" s="24" t="str">
        <f t="shared" si="20"/>
        <v/>
      </c>
      <c r="G72" s="274" t="str">
        <f>IFERROR($D$71/D72,"")</f>
        <v/>
      </c>
      <c r="H72" s="274" t="str">
        <f>IFERROR($E$71/E72,"")</f>
        <v/>
      </c>
      <c r="I72" s="274" t="str">
        <f t="shared" si="6"/>
        <v/>
      </c>
      <c r="M72" s="26"/>
    </row>
    <row r="73" spans="2:13" ht="20.2" customHeight="1" x14ac:dyDescent="0.45">
      <c r="B73" s="23" t="s">
        <v>55</v>
      </c>
      <c r="C73" s="23" t="s">
        <v>67</v>
      </c>
      <c r="D73" s="29"/>
      <c r="E73" s="29">
        <v>6500000</v>
      </c>
      <c r="F73" s="24">
        <f t="shared" si="20"/>
        <v>-1</v>
      </c>
      <c r="G73" s="274" t="str">
        <f>IFERROR($D$71/D73,"")</f>
        <v/>
      </c>
      <c r="H73" s="274">
        <f>IFERROR($E$71/E73,"")</f>
        <v>0.38814953846153843</v>
      </c>
      <c r="I73" s="274" t="str">
        <f t="shared" si="6"/>
        <v/>
      </c>
      <c r="M73" s="26"/>
    </row>
    <row r="74" spans="2:13" ht="20.2" customHeight="1" x14ac:dyDescent="0.45">
      <c r="B74" s="23" t="s">
        <v>56</v>
      </c>
      <c r="C74" s="23" t="s">
        <v>67</v>
      </c>
      <c r="D74" s="29"/>
      <c r="E74" s="29"/>
      <c r="F74" s="24" t="str">
        <f t="shared" si="20"/>
        <v/>
      </c>
      <c r="G74" s="274" t="str">
        <f>IFERROR($D$71/D74,"")</f>
        <v/>
      </c>
      <c r="H74" s="274" t="str">
        <f>IFERROR($E$71/E74,"")</f>
        <v/>
      </c>
      <c r="I74" s="274" t="str">
        <f t="shared" si="6"/>
        <v/>
      </c>
      <c r="M74" s="26"/>
    </row>
    <row r="75" spans="2:13" ht="20.2" customHeight="1" x14ac:dyDescent="0.45">
      <c r="B75" s="23" t="s">
        <v>57</v>
      </c>
      <c r="C75" s="23" t="s">
        <v>67</v>
      </c>
      <c r="D75" s="29"/>
      <c r="E75" s="29">
        <v>13500000</v>
      </c>
      <c r="F75" s="24">
        <f t="shared" si="20"/>
        <v>-1</v>
      </c>
      <c r="G75" s="274" t="str">
        <f>IFERROR($D$71/D75,"")</f>
        <v/>
      </c>
      <c r="H75" s="274">
        <f>IFERROR($E$71/E75,"")</f>
        <v>0.18688681481481481</v>
      </c>
      <c r="I75" s="274" t="str">
        <f t="shared" si="6"/>
        <v/>
      </c>
      <c r="M75" s="26"/>
    </row>
    <row r="76" spans="2:13" ht="20.2" customHeight="1" x14ac:dyDescent="0.45">
      <c r="B76" s="307" t="s">
        <v>58</v>
      </c>
      <c r="C76" s="307" t="s">
        <v>67</v>
      </c>
      <c r="D76" s="308">
        <f t="shared" ref="D76:E76" si="34">SUM(D71:D75)</f>
        <v>0</v>
      </c>
      <c r="E76" s="308">
        <f t="shared" si="34"/>
        <v>22522972</v>
      </c>
      <c r="F76" s="309">
        <f t="shared" si="20"/>
        <v>-1</v>
      </c>
      <c r="G76" s="310" t="str">
        <f>IFERROR($D$71/D76,"")</f>
        <v/>
      </c>
      <c r="H76" s="310">
        <f>IFERROR($E$71/E76,"")</f>
        <v>0.11201772128473987</v>
      </c>
      <c r="I76" s="310" t="str">
        <f t="shared" si="6"/>
        <v/>
      </c>
      <c r="M76" s="26"/>
    </row>
    <row r="77" spans="2:13" ht="20.2" customHeight="1" x14ac:dyDescent="0.45">
      <c r="B77" s="19" t="s">
        <v>53</v>
      </c>
      <c r="C77" s="19" t="s">
        <v>68</v>
      </c>
      <c r="D77" s="28"/>
      <c r="E77" s="28">
        <v>1108438.1215000001</v>
      </c>
      <c r="F77" s="20">
        <f t="shared" ref="F77" si="35">D77/E77-1</f>
        <v>-1</v>
      </c>
      <c r="G77" s="278"/>
      <c r="H77" s="278"/>
      <c r="I77" s="278"/>
      <c r="M77" s="26"/>
    </row>
    <row r="78" spans="2:13" ht="20.2" customHeight="1" x14ac:dyDescent="0.45">
      <c r="B78" s="23" t="s">
        <v>35</v>
      </c>
      <c r="C78" s="23" t="s">
        <v>68</v>
      </c>
      <c r="D78" s="29"/>
      <c r="E78" s="29">
        <v>0</v>
      </c>
      <c r="F78" s="24" t="str">
        <f t="shared" si="20"/>
        <v/>
      </c>
      <c r="G78" s="274" t="str">
        <f>IFERROR($D$77/D78,"")</f>
        <v/>
      </c>
      <c r="H78" s="274" t="str">
        <f>IFERROR($E$77/E78,"")</f>
        <v/>
      </c>
      <c r="I78" s="274" t="str">
        <f t="shared" ref="I78:I82" si="36">IFERROR(G78-H78,"")</f>
        <v/>
      </c>
      <c r="M78" s="26"/>
    </row>
    <row r="79" spans="2:13" ht="20.2" customHeight="1" x14ac:dyDescent="0.45">
      <c r="B79" s="23" t="s">
        <v>55</v>
      </c>
      <c r="C79" s="23" t="s">
        <v>68</v>
      </c>
      <c r="D79" s="29"/>
      <c r="E79" s="29">
        <v>6000000</v>
      </c>
      <c r="F79" s="24">
        <f t="shared" si="20"/>
        <v>-1</v>
      </c>
      <c r="G79" s="274" t="str">
        <f>IFERROR($D$77/D79,"")</f>
        <v/>
      </c>
      <c r="H79" s="274">
        <f>IFERROR($E$77/E79,"")</f>
        <v>0.1847396869166667</v>
      </c>
      <c r="I79" s="274" t="str">
        <f t="shared" si="36"/>
        <v/>
      </c>
      <c r="M79" s="26"/>
    </row>
    <row r="80" spans="2:13" ht="20.2" customHeight="1" x14ac:dyDescent="0.45">
      <c r="B80" s="23" t="s">
        <v>56</v>
      </c>
      <c r="C80" s="23" t="s">
        <v>68</v>
      </c>
      <c r="D80" s="29"/>
      <c r="E80" s="29">
        <v>1200000</v>
      </c>
      <c r="F80" s="24">
        <f t="shared" si="20"/>
        <v>-1</v>
      </c>
      <c r="G80" s="274" t="str">
        <f>IFERROR($D$77/D80,"")</f>
        <v/>
      </c>
      <c r="H80" s="274">
        <f>IFERROR($E$77/E80,"")</f>
        <v>0.92369843458333345</v>
      </c>
      <c r="I80" s="274" t="str">
        <f t="shared" si="36"/>
        <v/>
      </c>
      <c r="M80" s="26"/>
    </row>
    <row r="81" spans="2:13" ht="20.2" customHeight="1" x14ac:dyDescent="0.45">
      <c r="B81" s="23" t="s">
        <v>57</v>
      </c>
      <c r="C81" s="23" t="s">
        <v>68</v>
      </c>
      <c r="D81" s="29"/>
      <c r="E81" s="29">
        <v>14600000</v>
      </c>
      <c r="F81" s="24">
        <f t="shared" si="20"/>
        <v>-1</v>
      </c>
      <c r="G81" s="274" t="str">
        <f>IFERROR($D$77/D81,"")</f>
        <v/>
      </c>
      <c r="H81" s="274">
        <f>IFERROR($E$77/E81,"")</f>
        <v>7.5920419280821924E-2</v>
      </c>
      <c r="I81" s="274" t="str">
        <f t="shared" si="36"/>
        <v/>
      </c>
      <c r="M81" s="26"/>
    </row>
    <row r="82" spans="2:13" ht="20.2" customHeight="1" x14ac:dyDescent="0.45">
      <c r="B82" s="307" t="s">
        <v>58</v>
      </c>
      <c r="C82" s="307" t="s">
        <v>68</v>
      </c>
      <c r="D82" s="308">
        <f t="shared" ref="D82" si="37">SUM(D77:D81)</f>
        <v>0</v>
      </c>
      <c r="E82" s="308">
        <f t="shared" ref="E82" si="38">SUM(E77:E81)</f>
        <v>22908438.1215</v>
      </c>
      <c r="F82" s="309">
        <f t="shared" si="20"/>
        <v>-1</v>
      </c>
      <c r="G82" s="310" t="str">
        <f>IFERROR($D$77/D82,"")</f>
        <v/>
      </c>
      <c r="H82" s="310">
        <f>IFERROR($E$77/E82,"")</f>
        <v>4.8385582448753246E-2</v>
      </c>
      <c r="I82" s="310" t="str">
        <f t="shared" si="36"/>
        <v/>
      </c>
      <c r="M82" s="26"/>
    </row>
    <row r="83" spans="2:13" ht="20.2" customHeight="1" x14ac:dyDescent="0.45"/>
  </sheetData>
  <phoneticPr fontId="28" type="noConversion"/>
  <conditionalFormatting sqref="I3:I7">
    <cfRule type="cellIs" dxfId="1" priority="1" operator="lessThan">
      <formula>0</formula>
    </cfRule>
    <cfRule type="cellIs" priority="2" operator="equal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122"/>
  <sheetViews>
    <sheetView tabSelected="1" workbookViewId="0">
      <pane xSplit="4" ySplit="1" topLeftCell="E17" activePane="bottomRight" state="frozen"/>
      <selection activeCell="D2" sqref="D2:E2"/>
      <selection pane="topRight" activeCell="D2" sqref="D2:E2"/>
      <selection pane="bottomLeft" activeCell="D2" sqref="D2:E2"/>
      <selection pane="bottomRight" activeCell="K18" sqref="K18"/>
    </sheetView>
  </sheetViews>
  <sheetFormatPr defaultColWidth="8.5859375" defaultRowHeight="12" customHeight="1" x14ac:dyDescent="0.45"/>
  <cols>
    <col min="1" max="1" width="3.5859375" style="12" customWidth="1"/>
    <col min="2" max="2" width="10.5859375" style="12" customWidth="1"/>
    <col min="3" max="3" width="6.41015625" style="12" customWidth="1"/>
    <col min="4" max="4" width="8.234375" style="13" customWidth="1"/>
    <col min="5" max="5" width="19.76171875" style="13" customWidth="1"/>
    <col min="6" max="6" width="9.64453125" style="13" customWidth="1"/>
    <col min="7" max="16384" width="8.5859375" style="13"/>
  </cols>
  <sheetData>
    <row r="1" spans="1:6" s="11" customFormat="1" ht="10.35" x14ac:dyDescent="0.45">
      <c r="A1" s="18"/>
      <c r="B1" s="18" t="s">
        <v>175</v>
      </c>
      <c r="C1" s="18" t="s">
        <v>176</v>
      </c>
      <c r="D1" s="130" t="s">
        <v>1</v>
      </c>
      <c r="E1" s="148" t="s">
        <v>177</v>
      </c>
    </row>
    <row r="2" spans="1:6" ht="11.35" x14ac:dyDescent="0.45">
      <c r="B2" s="315">
        <v>45292</v>
      </c>
      <c r="C2" s="318" t="s">
        <v>74</v>
      </c>
      <c r="D2" s="19" t="s">
        <v>53</v>
      </c>
      <c r="E2" s="28">
        <v>720453.06000000017</v>
      </c>
      <c r="F2" s="26"/>
    </row>
    <row r="3" spans="1:6" ht="11.35" x14ac:dyDescent="0.45">
      <c r="B3" s="317">
        <v>45292</v>
      </c>
      <c r="C3" s="320" t="s">
        <v>74</v>
      </c>
      <c r="D3" s="23" t="s">
        <v>35</v>
      </c>
      <c r="E3" s="29">
        <v>10000000</v>
      </c>
      <c r="F3" s="26"/>
    </row>
    <row r="4" spans="1:6" ht="11.35" x14ac:dyDescent="0.45">
      <c r="B4" s="317">
        <v>45292</v>
      </c>
      <c r="C4" s="320" t="s">
        <v>74</v>
      </c>
      <c r="D4" s="23" t="s">
        <v>55</v>
      </c>
      <c r="E4" s="29"/>
      <c r="F4" s="26"/>
    </row>
    <row r="5" spans="1:6" ht="11.35" x14ac:dyDescent="0.45">
      <c r="B5" s="317">
        <v>45292</v>
      </c>
      <c r="C5" s="320" t="s">
        <v>74</v>
      </c>
      <c r="D5" s="23" t="s">
        <v>56</v>
      </c>
      <c r="E5" s="29">
        <v>5000000</v>
      </c>
      <c r="F5" s="26"/>
    </row>
    <row r="6" spans="1:6" ht="11.35" x14ac:dyDescent="0.45">
      <c r="B6" s="317">
        <v>45292</v>
      </c>
      <c r="C6" s="320" t="s">
        <v>74</v>
      </c>
      <c r="D6" s="23" t="s">
        <v>57</v>
      </c>
      <c r="E6" s="29"/>
      <c r="F6" s="26"/>
    </row>
    <row r="7" spans="1:6" ht="11.35" x14ac:dyDescent="0.45">
      <c r="B7" s="315">
        <v>45323</v>
      </c>
      <c r="C7" s="318" t="s">
        <v>74</v>
      </c>
      <c r="D7" s="19" t="s">
        <v>53</v>
      </c>
      <c r="E7" s="28">
        <v>1444337</v>
      </c>
      <c r="F7" s="26"/>
    </row>
    <row r="8" spans="1:6" ht="11.35" x14ac:dyDescent="0.45">
      <c r="B8" s="317">
        <v>45323</v>
      </c>
      <c r="C8" s="320" t="s">
        <v>74</v>
      </c>
      <c r="D8" s="23" t="s">
        <v>35</v>
      </c>
      <c r="E8" s="29">
        <v>24000000</v>
      </c>
      <c r="F8" s="26"/>
    </row>
    <row r="9" spans="1:6" ht="11.35" x14ac:dyDescent="0.45">
      <c r="B9" s="317">
        <v>45323</v>
      </c>
      <c r="C9" s="320" t="s">
        <v>74</v>
      </c>
      <c r="D9" s="23" t="s">
        <v>55</v>
      </c>
      <c r="E9" s="29"/>
      <c r="F9" s="26"/>
    </row>
    <row r="10" spans="1:6" ht="11.35" x14ac:dyDescent="0.45">
      <c r="B10" s="317">
        <v>45323</v>
      </c>
      <c r="C10" s="320" t="s">
        <v>74</v>
      </c>
      <c r="D10" s="23" t="s">
        <v>56</v>
      </c>
      <c r="E10" s="29">
        <v>6200000</v>
      </c>
      <c r="F10" s="26"/>
    </row>
    <row r="11" spans="1:6" ht="11.35" x14ac:dyDescent="0.45">
      <c r="B11" s="317">
        <v>45323</v>
      </c>
      <c r="C11" s="320" t="s">
        <v>74</v>
      </c>
      <c r="D11" s="23" t="s">
        <v>57</v>
      </c>
      <c r="E11" s="29"/>
      <c r="F11" s="26"/>
    </row>
    <row r="12" spans="1:6" ht="11.35" x14ac:dyDescent="0.45">
      <c r="B12" s="315">
        <v>45352</v>
      </c>
      <c r="C12" s="318" t="s">
        <v>74</v>
      </c>
      <c r="D12" s="19" t="s">
        <v>53</v>
      </c>
      <c r="E12" s="28">
        <v>586931.81000000017</v>
      </c>
      <c r="F12" s="26"/>
    </row>
    <row r="13" spans="1:6" ht="11.35" x14ac:dyDescent="0.45">
      <c r="B13" s="317">
        <v>45352</v>
      </c>
      <c r="C13" s="320" t="s">
        <v>74</v>
      </c>
      <c r="D13" s="23" t="s">
        <v>35</v>
      </c>
      <c r="E13" s="29">
        <v>16000000</v>
      </c>
      <c r="F13" s="26"/>
    </row>
    <row r="14" spans="1:6" ht="11.35" x14ac:dyDescent="0.45">
      <c r="B14" s="317">
        <v>45352</v>
      </c>
      <c r="C14" s="320" t="s">
        <v>74</v>
      </c>
      <c r="D14" s="23" t="s">
        <v>55</v>
      </c>
      <c r="E14" s="29"/>
      <c r="F14" s="26"/>
    </row>
    <row r="15" spans="1:6" ht="11.35" x14ac:dyDescent="0.45">
      <c r="B15" s="317">
        <v>45352</v>
      </c>
      <c r="C15" s="320" t="s">
        <v>74</v>
      </c>
      <c r="D15" s="23" t="s">
        <v>56</v>
      </c>
      <c r="E15" s="29">
        <v>4800000</v>
      </c>
      <c r="F15" s="26"/>
    </row>
    <row r="16" spans="1:6" ht="11.35" x14ac:dyDescent="0.45">
      <c r="B16" s="317">
        <v>45352</v>
      </c>
      <c r="C16" s="320" t="s">
        <v>74</v>
      </c>
      <c r="D16" s="23" t="s">
        <v>57</v>
      </c>
      <c r="E16" s="29"/>
      <c r="F16" s="26"/>
    </row>
    <row r="17" spans="2:6" ht="11.35" x14ac:dyDescent="0.45">
      <c r="B17" s="315">
        <v>45383</v>
      </c>
      <c r="C17" s="318" t="s">
        <v>74</v>
      </c>
      <c r="D17" s="19" t="s">
        <v>53</v>
      </c>
      <c r="E17" s="28">
        <v>1869885.87</v>
      </c>
      <c r="F17" s="26"/>
    </row>
    <row r="18" spans="2:6" ht="11.35" x14ac:dyDescent="0.45">
      <c r="B18" s="317">
        <v>45383</v>
      </c>
      <c r="C18" s="320" t="s">
        <v>74</v>
      </c>
      <c r="D18" s="23" t="s">
        <v>35</v>
      </c>
      <c r="E18" s="29">
        <v>16500000</v>
      </c>
      <c r="F18" s="26"/>
    </row>
    <row r="19" spans="2:6" ht="11.35" x14ac:dyDescent="0.45">
      <c r="B19" s="317">
        <v>45383</v>
      </c>
      <c r="C19" s="320" t="s">
        <v>74</v>
      </c>
      <c r="D19" s="23" t="s">
        <v>55</v>
      </c>
      <c r="E19" s="29"/>
      <c r="F19" s="26"/>
    </row>
    <row r="20" spans="2:6" ht="11.35" x14ac:dyDescent="0.45">
      <c r="B20" s="317">
        <v>45383</v>
      </c>
      <c r="C20" s="320" t="s">
        <v>74</v>
      </c>
      <c r="D20" s="23" t="s">
        <v>56</v>
      </c>
      <c r="E20" s="29">
        <v>3100000</v>
      </c>
      <c r="F20" s="26"/>
    </row>
    <row r="21" spans="2:6" ht="11.35" x14ac:dyDescent="0.45">
      <c r="B21" s="317">
        <v>45383</v>
      </c>
      <c r="C21" s="320" t="s">
        <v>74</v>
      </c>
      <c r="D21" s="23" t="s">
        <v>57</v>
      </c>
      <c r="E21" s="29"/>
      <c r="F21" s="26"/>
    </row>
    <row r="22" spans="2:6" ht="11.35" x14ac:dyDescent="0.45">
      <c r="B22" s="315">
        <v>45413</v>
      </c>
      <c r="C22" s="318" t="s">
        <v>74</v>
      </c>
      <c r="D22" s="19" t="s">
        <v>53</v>
      </c>
      <c r="E22" s="28">
        <v>1361089.44</v>
      </c>
      <c r="F22" s="26"/>
    </row>
    <row r="23" spans="2:6" ht="11.35" x14ac:dyDescent="0.45">
      <c r="B23" s="317">
        <v>45413</v>
      </c>
      <c r="C23" s="320" t="s">
        <v>74</v>
      </c>
      <c r="D23" s="23" t="s">
        <v>35</v>
      </c>
      <c r="E23" s="29">
        <v>19000000</v>
      </c>
      <c r="F23" s="26"/>
    </row>
    <row r="24" spans="2:6" ht="11.35" x14ac:dyDescent="0.45">
      <c r="B24" s="317">
        <v>45413</v>
      </c>
      <c r="C24" s="320" t="s">
        <v>74</v>
      </c>
      <c r="D24" s="23" t="s">
        <v>55</v>
      </c>
      <c r="E24" s="29"/>
      <c r="F24" s="26"/>
    </row>
    <row r="25" spans="2:6" ht="11.35" x14ac:dyDescent="0.45">
      <c r="B25" s="317">
        <v>45413</v>
      </c>
      <c r="C25" s="320" t="s">
        <v>74</v>
      </c>
      <c r="D25" s="23" t="s">
        <v>56</v>
      </c>
      <c r="E25" s="29">
        <v>5260000</v>
      </c>
      <c r="F25" s="26"/>
    </row>
    <row r="26" spans="2:6" ht="11.35" x14ac:dyDescent="0.45">
      <c r="B26" s="317">
        <v>45413</v>
      </c>
      <c r="C26" s="320" t="s">
        <v>74</v>
      </c>
      <c r="D26" s="23" t="s">
        <v>57</v>
      </c>
      <c r="E26" s="29"/>
      <c r="F26" s="26"/>
    </row>
    <row r="27" spans="2:6" ht="11.35" x14ac:dyDescent="0.45">
      <c r="B27" s="315">
        <v>45444</v>
      </c>
      <c r="C27" s="318" t="s">
        <v>74</v>
      </c>
      <c r="D27" s="19" t="s">
        <v>53</v>
      </c>
      <c r="E27" s="28">
        <v>654196.87549999985</v>
      </c>
      <c r="F27" s="26"/>
    </row>
    <row r="28" spans="2:6" ht="11.35" x14ac:dyDescent="0.45">
      <c r="B28" s="317">
        <v>45444</v>
      </c>
      <c r="C28" s="320" t="s">
        <v>74</v>
      </c>
      <c r="D28" s="23" t="s">
        <v>35</v>
      </c>
      <c r="E28" s="29">
        <v>14000000</v>
      </c>
      <c r="F28" s="26"/>
    </row>
    <row r="29" spans="2:6" ht="11.35" x14ac:dyDescent="0.45">
      <c r="B29" s="317">
        <v>45444</v>
      </c>
      <c r="C29" s="320" t="s">
        <v>74</v>
      </c>
      <c r="D29" s="23" t="s">
        <v>55</v>
      </c>
      <c r="E29" s="29"/>
      <c r="F29" s="26"/>
    </row>
    <row r="30" spans="2:6" ht="11.35" x14ac:dyDescent="0.45">
      <c r="B30" s="317">
        <v>45444</v>
      </c>
      <c r="C30" s="320" t="s">
        <v>74</v>
      </c>
      <c r="D30" s="23" t="s">
        <v>56</v>
      </c>
      <c r="E30" s="29">
        <v>2700000</v>
      </c>
      <c r="F30" s="26"/>
    </row>
    <row r="31" spans="2:6" ht="11.35" x14ac:dyDescent="0.45">
      <c r="B31" s="317">
        <v>45444</v>
      </c>
      <c r="C31" s="320" t="s">
        <v>74</v>
      </c>
      <c r="D31" s="23" t="s">
        <v>57</v>
      </c>
      <c r="E31" s="29"/>
      <c r="F31" s="26"/>
    </row>
    <row r="32" spans="2:6" ht="11.35" x14ac:dyDescent="0.45">
      <c r="B32" s="315">
        <v>45474</v>
      </c>
      <c r="C32" s="318" t="s">
        <v>74</v>
      </c>
      <c r="D32" s="19" t="s">
        <v>53</v>
      </c>
      <c r="E32" s="28">
        <v>1204558.0100000014</v>
      </c>
      <c r="F32" s="26"/>
    </row>
    <row r="33" spans="2:6" ht="11.35" x14ac:dyDescent="0.45">
      <c r="B33" s="317">
        <v>45474</v>
      </c>
      <c r="C33" s="320" t="s">
        <v>74</v>
      </c>
      <c r="D33" s="23" t="s">
        <v>35</v>
      </c>
      <c r="E33" s="29">
        <v>13500000</v>
      </c>
      <c r="F33" s="26"/>
    </row>
    <row r="34" spans="2:6" ht="11.35" x14ac:dyDescent="0.45">
      <c r="B34" s="317">
        <v>45474</v>
      </c>
      <c r="C34" s="320" t="s">
        <v>74</v>
      </c>
      <c r="D34" s="23" t="s">
        <v>55</v>
      </c>
      <c r="E34" s="29"/>
      <c r="F34" s="26"/>
    </row>
    <row r="35" spans="2:6" ht="11.35" x14ac:dyDescent="0.45">
      <c r="B35" s="317">
        <v>45474</v>
      </c>
      <c r="C35" s="320" t="s">
        <v>74</v>
      </c>
      <c r="D35" s="23" t="s">
        <v>56</v>
      </c>
      <c r="E35" s="29">
        <v>4000000</v>
      </c>
      <c r="F35" s="26"/>
    </row>
    <row r="36" spans="2:6" ht="11.35" x14ac:dyDescent="0.45">
      <c r="B36" s="317">
        <v>45474</v>
      </c>
      <c r="C36" s="320" t="s">
        <v>74</v>
      </c>
      <c r="D36" s="23" t="s">
        <v>57</v>
      </c>
      <c r="E36" s="29"/>
      <c r="F36" s="26"/>
    </row>
    <row r="37" spans="2:6" ht="11.35" x14ac:dyDescent="0.45">
      <c r="B37" s="315">
        <v>45505</v>
      </c>
      <c r="C37" s="318" t="s">
        <v>74</v>
      </c>
      <c r="D37" s="19" t="s">
        <v>53</v>
      </c>
      <c r="E37" s="28">
        <v>1643449.5890000002</v>
      </c>
      <c r="F37" s="26"/>
    </row>
    <row r="38" spans="2:6" ht="11.35" x14ac:dyDescent="0.45">
      <c r="B38" s="317">
        <v>45505</v>
      </c>
      <c r="C38" s="320" t="s">
        <v>74</v>
      </c>
      <c r="D38" s="23" t="s">
        <v>35</v>
      </c>
      <c r="E38" s="29">
        <v>22000000</v>
      </c>
      <c r="F38" s="26"/>
    </row>
    <row r="39" spans="2:6" ht="11.35" x14ac:dyDescent="0.45">
      <c r="B39" s="317">
        <v>45505</v>
      </c>
      <c r="C39" s="320" t="s">
        <v>74</v>
      </c>
      <c r="D39" s="23" t="s">
        <v>55</v>
      </c>
      <c r="E39" s="29"/>
      <c r="F39" s="26"/>
    </row>
    <row r="40" spans="2:6" ht="11.35" x14ac:dyDescent="0.45">
      <c r="B40" s="317">
        <v>45505</v>
      </c>
      <c r="C40" s="320" t="s">
        <v>74</v>
      </c>
      <c r="D40" s="23" t="s">
        <v>56</v>
      </c>
      <c r="E40" s="29">
        <v>5000000</v>
      </c>
      <c r="F40" s="26"/>
    </row>
    <row r="41" spans="2:6" ht="11.35" x14ac:dyDescent="0.45">
      <c r="B41" s="317">
        <v>45505</v>
      </c>
      <c r="C41" s="320" t="s">
        <v>74</v>
      </c>
      <c r="D41" s="23" t="s">
        <v>57</v>
      </c>
      <c r="E41" s="29"/>
      <c r="F41" s="26"/>
    </row>
    <row r="42" spans="2:6" ht="11.35" x14ac:dyDescent="0.45">
      <c r="B42" s="315">
        <v>45536</v>
      </c>
      <c r="C42" s="318" t="s">
        <v>74</v>
      </c>
      <c r="D42" s="19" t="s">
        <v>53</v>
      </c>
      <c r="E42" s="28">
        <v>2222714.1800000002</v>
      </c>
      <c r="F42" s="26"/>
    </row>
    <row r="43" spans="2:6" ht="11.35" x14ac:dyDescent="0.45">
      <c r="B43" s="317">
        <v>45536</v>
      </c>
      <c r="C43" s="320" t="s">
        <v>74</v>
      </c>
      <c r="D43" s="23" t="s">
        <v>35</v>
      </c>
      <c r="E43" s="29">
        <v>9200000</v>
      </c>
      <c r="F43" s="26"/>
    </row>
    <row r="44" spans="2:6" ht="11.35" x14ac:dyDescent="0.45">
      <c r="B44" s="317">
        <v>45536</v>
      </c>
      <c r="C44" s="320" t="s">
        <v>74</v>
      </c>
      <c r="D44" s="23" t="s">
        <v>55</v>
      </c>
      <c r="E44" s="29"/>
      <c r="F44" s="26"/>
    </row>
    <row r="45" spans="2:6" ht="11.35" x14ac:dyDescent="0.45">
      <c r="B45" s="317">
        <v>45536</v>
      </c>
      <c r="C45" s="320" t="s">
        <v>74</v>
      </c>
      <c r="D45" s="23" t="s">
        <v>56</v>
      </c>
      <c r="E45" s="29">
        <v>4300000</v>
      </c>
      <c r="F45" s="26"/>
    </row>
    <row r="46" spans="2:6" ht="11.35" x14ac:dyDescent="0.45">
      <c r="B46" s="317">
        <v>45536</v>
      </c>
      <c r="C46" s="320" t="s">
        <v>74</v>
      </c>
      <c r="D46" s="23" t="s">
        <v>57</v>
      </c>
      <c r="E46" s="29"/>
      <c r="F46" s="26"/>
    </row>
    <row r="47" spans="2:6" ht="11.35" x14ac:dyDescent="0.45">
      <c r="B47" s="315">
        <v>45566</v>
      </c>
      <c r="C47" s="318" t="s">
        <v>74</v>
      </c>
      <c r="D47" s="19" t="s">
        <v>53</v>
      </c>
      <c r="E47" s="28">
        <v>1147246.8755000003</v>
      </c>
      <c r="F47" s="26"/>
    </row>
    <row r="48" spans="2:6" ht="11.35" x14ac:dyDescent="0.45">
      <c r="B48" s="317">
        <v>45566</v>
      </c>
      <c r="C48" s="320" t="s">
        <v>74</v>
      </c>
      <c r="D48" s="23" t="s">
        <v>35</v>
      </c>
      <c r="E48" s="29">
        <v>15000000</v>
      </c>
      <c r="F48" s="26"/>
    </row>
    <row r="49" spans="2:6" ht="11.35" x14ac:dyDescent="0.45">
      <c r="B49" s="317">
        <v>45566</v>
      </c>
      <c r="C49" s="320" t="s">
        <v>74</v>
      </c>
      <c r="D49" s="23" t="s">
        <v>55</v>
      </c>
      <c r="E49" s="29"/>
      <c r="F49" s="26"/>
    </row>
    <row r="50" spans="2:6" ht="11.35" x14ac:dyDescent="0.45">
      <c r="B50" s="317">
        <v>45566</v>
      </c>
      <c r="C50" s="320" t="s">
        <v>74</v>
      </c>
      <c r="D50" s="23" t="s">
        <v>56</v>
      </c>
      <c r="E50" s="29">
        <v>2200000</v>
      </c>
      <c r="F50" s="26"/>
    </row>
    <row r="51" spans="2:6" ht="11.35" x14ac:dyDescent="0.45">
      <c r="B51" s="317">
        <v>45566</v>
      </c>
      <c r="C51" s="320" t="s">
        <v>74</v>
      </c>
      <c r="D51" s="23" t="s">
        <v>57</v>
      </c>
      <c r="E51" s="29"/>
      <c r="F51" s="26"/>
    </row>
    <row r="52" spans="2:6" ht="11.35" x14ac:dyDescent="0.45">
      <c r="B52" s="315">
        <v>45597</v>
      </c>
      <c r="C52" s="318" t="s">
        <v>74</v>
      </c>
      <c r="D52" s="19" t="s">
        <v>53</v>
      </c>
      <c r="E52" s="28">
        <v>1692328.3185000001</v>
      </c>
      <c r="F52" s="26"/>
    </row>
    <row r="53" spans="2:6" ht="11.35" x14ac:dyDescent="0.45">
      <c r="B53" s="317">
        <v>45597</v>
      </c>
      <c r="C53" s="320" t="s">
        <v>74</v>
      </c>
      <c r="D53" s="23" t="s">
        <v>35</v>
      </c>
      <c r="E53" s="29">
        <v>10000000</v>
      </c>
      <c r="F53" s="26"/>
    </row>
    <row r="54" spans="2:6" ht="11.35" x14ac:dyDescent="0.45">
      <c r="B54" s="317">
        <v>45597</v>
      </c>
      <c r="C54" s="320" t="s">
        <v>74</v>
      </c>
      <c r="D54" s="23" t="s">
        <v>55</v>
      </c>
      <c r="E54" s="29"/>
      <c r="F54" s="26"/>
    </row>
    <row r="55" spans="2:6" ht="11.35" x14ac:dyDescent="0.45">
      <c r="B55" s="317">
        <v>45597</v>
      </c>
      <c r="C55" s="320" t="s">
        <v>74</v>
      </c>
      <c r="D55" s="23" t="s">
        <v>56</v>
      </c>
      <c r="E55" s="29">
        <v>1900000</v>
      </c>
      <c r="F55" s="26"/>
    </row>
    <row r="56" spans="2:6" ht="11.35" x14ac:dyDescent="0.45">
      <c r="B56" s="317">
        <v>45597</v>
      </c>
      <c r="C56" s="320" t="s">
        <v>74</v>
      </c>
      <c r="D56" s="23" t="s">
        <v>57</v>
      </c>
      <c r="E56" s="29"/>
      <c r="F56" s="26"/>
    </row>
    <row r="57" spans="2:6" ht="11.35" x14ac:dyDescent="0.45">
      <c r="B57" s="315">
        <v>45627</v>
      </c>
      <c r="C57" s="318" t="s">
        <v>74</v>
      </c>
      <c r="D57" s="19" t="s">
        <v>53</v>
      </c>
      <c r="E57" s="28">
        <v>1194023.8684999999</v>
      </c>
      <c r="F57" s="26"/>
    </row>
    <row r="58" spans="2:6" ht="11.35" x14ac:dyDescent="0.45">
      <c r="B58" s="317">
        <v>45627</v>
      </c>
      <c r="C58" s="320" t="s">
        <v>74</v>
      </c>
      <c r="D58" s="23" t="s">
        <v>35</v>
      </c>
      <c r="E58" s="29">
        <v>12350000</v>
      </c>
      <c r="F58" s="26"/>
    </row>
    <row r="59" spans="2:6" ht="11.35" x14ac:dyDescent="0.45">
      <c r="B59" s="317">
        <v>45627</v>
      </c>
      <c r="C59" s="320" t="s">
        <v>74</v>
      </c>
      <c r="D59" s="23" t="s">
        <v>55</v>
      </c>
      <c r="E59" s="29"/>
      <c r="F59" s="26"/>
    </row>
    <row r="60" spans="2:6" ht="11.35" x14ac:dyDescent="0.45">
      <c r="B60" s="317">
        <v>45627</v>
      </c>
      <c r="C60" s="320" t="s">
        <v>74</v>
      </c>
      <c r="D60" s="23" t="s">
        <v>56</v>
      </c>
      <c r="E60" s="29">
        <v>5500000</v>
      </c>
      <c r="F60" s="26"/>
    </row>
    <row r="61" spans="2:6" ht="11.35" x14ac:dyDescent="0.45">
      <c r="B61" s="317">
        <v>45627</v>
      </c>
      <c r="C61" s="320" t="s">
        <v>74</v>
      </c>
      <c r="D61" s="23" t="s">
        <v>57</v>
      </c>
      <c r="E61" s="29"/>
      <c r="F61" s="26"/>
    </row>
    <row r="62" spans="2:6" ht="11.35" x14ac:dyDescent="0.45">
      <c r="B62" s="316">
        <v>45658</v>
      </c>
      <c r="C62" s="319" t="s">
        <v>74</v>
      </c>
      <c r="D62" s="19" t="s">
        <v>53</v>
      </c>
      <c r="E62" s="28">
        <v>842616.37000000023</v>
      </c>
    </row>
    <row r="63" spans="2:6" ht="11.35" x14ac:dyDescent="0.45">
      <c r="B63" s="316">
        <v>45658</v>
      </c>
      <c r="C63" s="319" t="s">
        <v>74</v>
      </c>
      <c r="D63" s="23" t="s">
        <v>35</v>
      </c>
      <c r="E63" s="29">
        <v>16500000</v>
      </c>
    </row>
    <row r="64" spans="2:6" ht="11.35" x14ac:dyDescent="0.45">
      <c r="B64" s="316">
        <v>45658</v>
      </c>
      <c r="C64" s="319" t="s">
        <v>74</v>
      </c>
      <c r="D64" s="23" t="s">
        <v>55</v>
      </c>
      <c r="E64" s="29"/>
    </row>
    <row r="65" spans="2:5" ht="11.35" x14ac:dyDescent="0.45">
      <c r="B65" s="316">
        <v>45658</v>
      </c>
      <c r="C65" s="319" t="s">
        <v>74</v>
      </c>
      <c r="D65" s="23" t="s">
        <v>56</v>
      </c>
      <c r="E65" s="29">
        <v>8000000</v>
      </c>
    </row>
    <row r="66" spans="2:5" ht="11.35" x14ac:dyDescent="0.45">
      <c r="B66" s="316">
        <v>45658</v>
      </c>
      <c r="C66" s="319" t="s">
        <v>74</v>
      </c>
      <c r="D66" s="23" t="s">
        <v>57</v>
      </c>
      <c r="E66" s="29"/>
    </row>
    <row r="67" spans="2:5" ht="11.35" x14ac:dyDescent="0.45">
      <c r="B67" s="316">
        <v>45689</v>
      </c>
      <c r="C67" s="319" t="s">
        <v>74</v>
      </c>
      <c r="D67" s="19" t="s">
        <v>53</v>
      </c>
      <c r="E67" s="28">
        <v>1465740.7035000001</v>
      </c>
    </row>
    <row r="68" spans="2:5" ht="11.35" x14ac:dyDescent="0.45">
      <c r="B68" s="316">
        <v>45689</v>
      </c>
      <c r="C68" s="319" t="s">
        <v>74</v>
      </c>
      <c r="D68" s="23" t="s">
        <v>35</v>
      </c>
      <c r="E68" s="29">
        <v>13700000</v>
      </c>
    </row>
    <row r="69" spans="2:5" ht="11.35" x14ac:dyDescent="0.45">
      <c r="B69" s="316">
        <v>45689</v>
      </c>
      <c r="C69" s="319" t="s">
        <v>74</v>
      </c>
      <c r="D69" s="23" t="s">
        <v>55</v>
      </c>
      <c r="E69" s="29"/>
    </row>
    <row r="70" spans="2:5" ht="11.35" x14ac:dyDescent="0.45">
      <c r="B70" s="316">
        <v>45689</v>
      </c>
      <c r="C70" s="319" t="s">
        <v>74</v>
      </c>
      <c r="D70" s="23" t="s">
        <v>56</v>
      </c>
      <c r="E70" s="29">
        <v>7700000</v>
      </c>
    </row>
    <row r="71" spans="2:5" ht="11.35" x14ac:dyDescent="0.45">
      <c r="B71" s="316">
        <v>45689</v>
      </c>
      <c r="C71" s="319" t="s">
        <v>74</v>
      </c>
      <c r="D71" s="23" t="s">
        <v>57</v>
      </c>
      <c r="E71" s="29"/>
    </row>
    <row r="72" spans="2:5" ht="11.35" x14ac:dyDescent="0.45">
      <c r="B72" s="316">
        <v>45717</v>
      </c>
      <c r="C72" s="319" t="s">
        <v>74</v>
      </c>
      <c r="D72" s="19" t="s">
        <v>53</v>
      </c>
      <c r="E72" s="28">
        <v>1318995.1335</v>
      </c>
    </row>
    <row r="73" spans="2:5" ht="11.35" x14ac:dyDescent="0.45">
      <c r="B73" s="316">
        <v>45717</v>
      </c>
      <c r="C73" s="319" t="s">
        <v>74</v>
      </c>
      <c r="D73" s="23" t="s">
        <v>35</v>
      </c>
      <c r="E73" s="29">
        <v>11400000</v>
      </c>
    </row>
    <row r="74" spans="2:5" ht="11.35" x14ac:dyDescent="0.45">
      <c r="B74" s="316">
        <v>45717</v>
      </c>
      <c r="C74" s="319" t="s">
        <v>74</v>
      </c>
      <c r="D74" s="23" t="s">
        <v>55</v>
      </c>
      <c r="E74" s="29"/>
    </row>
    <row r="75" spans="2:5" ht="11.35" x14ac:dyDescent="0.45">
      <c r="B75" s="316">
        <v>45717</v>
      </c>
      <c r="C75" s="319" t="s">
        <v>74</v>
      </c>
      <c r="D75" s="23" t="s">
        <v>56</v>
      </c>
      <c r="E75" s="29">
        <v>9000000</v>
      </c>
    </row>
    <row r="76" spans="2:5" ht="11.35" x14ac:dyDescent="0.45">
      <c r="B76" s="316">
        <v>45717</v>
      </c>
      <c r="C76" s="319" t="s">
        <v>74</v>
      </c>
      <c r="D76" s="23" t="s">
        <v>57</v>
      </c>
      <c r="E76" s="29"/>
    </row>
    <row r="77" spans="2:5" ht="11.35" x14ac:dyDescent="0.45">
      <c r="B77" s="316">
        <f>B79</f>
        <v>45748</v>
      </c>
      <c r="C77" s="319" t="s">
        <v>74</v>
      </c>
      <c r="D77" s="19" t="s">
        <v>53</v>
      </c>
      <c r="E77" s="28">
        <v>1334361.9214999995</v>
      </c>
    </row>
    <row r="78" spans="2:5" ht="11.35" x14ac:dyDescent="0.45">
      <c r="B78" s="316">
        <v>45748</v>
      </c>
      <c r="C78" s="319" t="s">
        <v>74</v>
      </c>
      <c r="D78" s="23" t="s">
        <v>35</v>
      </c>
      <c r="E78" s="29">
        <v>12400000</v>
      </c>
    </row>
    <row r="79" spans="2:5" ht="11.35" x14ac:dyDescent="0.45">
      <c r="B79" s="316">
        <v>45748</v>
      </c>
      <c r="C79" s="319" t="s">
        <v>74</v>
      </c>
      <c r="D79" s="23" t="s">
        <v>55</v>
      </c>
      <c r="E79" s="29"/>
    </row>
    <row r="80" spans="2:5" ht="11.35" x14ac:dyDescent="0.45">
      <c r="B80" s="316">
        <v>45748</v>
      </c>
      <c r="C80" s="319" t="s">
        <v>74</v>
      </c>
      <c r="D80" s="23" t="s">
        <v>56</v>
      </c>
      <c r="E80" s="29">
        <v>5200000</v>
      </c>
    </row>
    <row r="81" spans="2:5" ht="11.35" x14ac:dyDescent="0.45">
      <c r="B81" s="316">
        <v>45748</v>
      </c>
      <c r="C81" s="319" t="s">
        <v>74</v>
      </c>
      <c r="D81" s="23" t="s">
        <v>57</v>
      </c>
      <c r="E81" s="29"/>
    </row>
    <row r="82" spans="2:5" ht="11.35" x14ac:dyDescent="0.45">
      <c r="B82" s="316">
        <v>45778</v>
      </c>
      <c r="C82" s="319" t="s">
        <v>74</v>
      </c>
      <c r="D82" s="19" t="s">
        <v>53</v>
      </c>
      <c r="E82" s="28">
        <v>1400821.2555000002</v>
      </c>
    </row>
    <row r="83" spans="2:5" ht="11.35" x14ac:dyDescent="0.45">
      <c r="B83" s="316">
        <v>45778</v>
      </c>
      <c r="C83" s="319" t="s">
        <v>74</v>
      </c>
      <c r="D83" s="23" t="s">
        <v>35</v>
      </c>
      <c r="E83" s="29">
        <v>22000000</v>
      </c>
    </row>
    <row r="84" spans="2:5" ht="11.35" x14ac:dyDescent="0.45">
      <c r="B84" s="316">
        <v>45778</v>
      </c>
      <c r="C84" s="319" t="s">
        <v>74</v>
      </c>
      <c r="D84" s="23" t="s">
        <v>55</v>
      </c>
      <c r="E84" s="29"/>
    </row>
    <row r="85" spans="2:5" ht="11.35" x14ac:dyDescent="0.45">
      <c r="B85" s="316">
        <v>45778</v>
      </c>
      <c r="C85" s="319" t="s">
        <v>74</v>
      </c>
      <c r="D85" s="23" t="s">
        <v>56</v>
      </c>
      <c r="E85" s="29">
        <v>8500000</v>
      </c>
    </row>
    <row r="86" spans="2:5" ht="11.35" x14ac:dyDescent="0.45">
      <c r="B86" s="316">
        <v>45778</v>
      </c>
      <c r="C86" s="319" t="s">
        <v>74</v>
      </c>
      <c r="D86" s="23" t="s">
        <v>57</v>
      </c>
      <c r="E86" s="29"/>
    </row>
    <row r="87" spans="2:5" ht="11.35" x14ac:dyDescent="0.45">
      <c r="B87" s="316">
        <v>45809</v>
      </c>
      <c r="C87" s="319" t="s">
        <v>74</v>
      </c>
      <c r="D87" s="19" t="s">
        <v>53</v>
      </c>
      <c r="E87" s="28"/>
    </row>
    <row r="88" spans="2:5" ht="11.35" x14ac:dyDescent="0.45">
      <c r="B88" s="316">
        <v>45809</v>
      </c>
      <c r="C88" s="319" t="s">
        <v>74</v>
      </c>
      <c r="D88" s="23" t="s">
        <v>35</v>
      </c>
      <c r="E88" s="29"/>
    </row>
    <row r="89" spans="2:5" ht="11.35" x14ac:dyDescent="0.45">
      <c r="B89" s="316">
        <v>45809</v>
      </c>
      <c r="C89" s="319" t="s">
        <v>74</v>
      </c>
      <c r="D89" s="23" t="s">
        <v>55</v>
      </c>
      <c r="E89" s="29"/>
    </row>
    <row r="90" spans="2:5" ht="11.35" x14ac:dyDescent="0.45">
      <c r="B90" s="316">
        <v>45809</v>
      </c>
      <c r="C90" s="319" t="s">
        <v>74</v>
      </c>
      <c r="D90" s="23" t="s">
        <v>56</v>
      </c>
      <c r="E90" s="29"/>
    </row>
    <row r="91" spans="2:5" ht="11.35" x14ac:dyDescent="0.45">
      <c r="B91" s="316">
        <v>45809</v>
      </c>
      <c r="C91" s="319" t="s">
        <v>74</v>
      </c>
      <c r="D91" s="23" t="s">
        <v>57</v>
      </c>
      <c r="E91" s="29"/>
    </row>
    <row r="92" spans="2:5" ht="11.35" x14ac:dyDescent="0.45">
      <c r="B92" s="316">
        <v>45839</v>
      </c>
      <c r="C92" s="319" t="s">
        <v>74</v>
      </c>
      <c r="D92" s="19" t="s">
        <v>53</v>
      </c>
      <c r="E92" s="28"/>
    </row>
    <row r="93" spans="2:5" ht="11.35" x14ac:dyDescent="0.45">
      <c r="B93" s="316">
        <v>45839</v>
      </c>
      <c r="C93" s="319" t="s">
        <v>74</v>
      </c>
      <c r="D93" s="23" t="s">
        <v>35</v>
      </c>
      <c r="E93" s="29"/>
    </row>
    <row r="94" spans="2:5" ht="11.35" x14ac:dyDescent="0.45">
      <c r="B94" s="316">
        <v>45839</v>
      </c>
      <c r="C94" s="319" t="s">
        <v>74</v>
      </c>
      <c r="D94" s="23" t="s">
        <v>55</v>
      </c>
      <c r="E94" s="29"/>
    </row>
    <row r="95" spans="2:5" ht="11.35" x14ac:dyDescent="0.45">
      <c r="B95" s="316">
        <v>45839</v>
      </c>
      <c r="C95" s="319" t="s">
        <v>74</v>
      </c>
      <c r="D95" s="23" t="s">
        <v>56</v>
      </c>
      <c r="E95" s="29"/>
    </row>
    <row r="96" spans="2:5" ht="11.35" x14ac:dyDescent="0.45">
      <c r="B96" s="316">
        <v>45839</v>
      </c>
      <c r="C96" s="319" t="s">
        <v>74</v>
      </c>
      <c r="D96" s="23" t="s">
        <v>57</v>
      </c>
      <c r="E96" s="29"/>
    </row>
    <row r="97" spans="2:5" ht="11.35" x14ac:dyDescent="0.45">
      <c r="B97" s="316">
        <v>45870</v>
      </c>
      <c r="C97" s="319" t="s">
        <v>74</v>
      </c>
      <c r="D97" s="19" t="s">
        <v>53</v>
      </c>
      <c r="E97" s="28"/>
    </row>
    <row r="98" spans="2:5" ht="11.35" x14ac:dyDescent="0.45">
      <c r="B98" s="316">
        <v>45870</v>
      </c>
      <c r="C98" s="319" t="s">
        <v>74</v>
      </c>
      <c r="D98" s="23" t="s">
        <v>35</v>
      </c>
      <c r="E98" s="29"/>
    </row>
    <row r="99" spans="2:5" ht="11.35" x14ac:dyDescent="0.45">
      <c r="B99" s="316">
        <v>45870</v>
      </c>
      <c r="C99" s="319" t="s">
        <v>74</v>
      </c>
      <c r="D99" s="23" t="s">
        <v>55</v>
      </c>
      <c r="E99" s="29"/>
    </row>
    <row r="100" spans="2:5" ht="11.35" x14ac:dyDescent="0.45">
      <c r="B100" s="316">
        <v>45870</v>
      </c>
      <c r="C100" s="319" t="s">
        <v>74</v>
      </c>
      <c r="D100" s="23" t="s">
        <v>56</v>
      </c>
      <c r="E100" s="29"/>
    </row>
    <row r="101" spans="2:5" ht="11.35" x14ac:dyDescent="0.45">
      <c r="B101" s="316">
        <v>45870</v>
      </c>
      <c r="C101" s="319" t="s">
        <v>74</v>
      </c>
      <c r="D101" s="23" t="s">
        <v>57</v>
      </c>
      <c r="E101" s="29"/>
    </row>
    <row r="102" spans="2:5" ht="11.35" x14ac:dyDescent="0.45">
      <c r="B102" s="316">
        <v>45901</v>
      </c>
      <c r="C102" s="319" t="s">
        <v>74</v>
      </c>
      <c r="D102" s="19" t="s">
        <v>53</v>
      </c>
      <c r="E102" s="28"/>
    </row>
    <row r="103" spans="2:5" ht="11.35" x14ac:dyDescent="0.45">
      <c r="B103" s="316">
        <v>45901</v>
      </c>
      <c r="C103" s="319" t="s">
        <v>74</v>
      </c>
      <c r="D103" s="23" t="s">
        <v>35</v>
      </c>
      <c r="E103" s="29"/>
    </row>
    <row r="104" spans="2:5" ht="11.35" x14ac:dyDescent="0.45">
      <c r="B104" s="316">
        <v>45901</v>
      </c>
      <c r="C104" s="319" t="s">
        <v>74</v>
      </c>
      <c r="D104" s="23" t="s">
        <v>55</v>
      </c>
      <c r="E104" s="29"/>
    </row>
    <row r="105" spans="2:5" ht="11.35" x14ac:dyDescent="0.45">
      <c r="B105" s="316">
        <v>45901</v>
      </c>
      <c r="C105" s="319" t="s">
        <v>74</v>
      </c>
      <c r="D105" s="23" t="s">
        <v>56</v>
      </c>
      <c r="E105" s="29"/>
    </row>
    <row r="106" spans="2:5" ht="11.35" x14ac:dyDescent="0.45">
      <c r="B106" s="316">
        <v>45901</v>
      </c>
      <c r="C106" s="319" t="s">
        <v>74</v>
      </c>
      <c r="D106" s="23" t="s">
        <v>57</v>
      </c>
      <c r="E106" s="29"/>
    </row>
    <row r="107" spans="2:5" ht="11.35" x14ac:dyDescent="0.45">
      <c r="B107" s="316">
        <v>45931</v>
      </c>
      <c r="C107" s="319" t="s">
        <v>74</v>
      </c>
      <c r="D107" s="19" t="s">
        <v>53</v>
      </c>
      <c r="E107" s="28"/>
    </row>
    <row r="108" spans="2:5" ht="11.35" x14ac:dyDescent="0.45">
      <c r="B108" s="316">
        <v>45931</v>
      </c>
      <c r="C108" s="319" t="s">
        <v>74</v>
      </c>
      <c r="D108" s="23" t="s">
        <v>35</v>
      </c>
      <c r="E108" s="29"/>
    </row>
    <row r="109" spans="2:5" ht="11.35" x14ac:dyDescent="0.45">
      <c r="B109" s="316">
        <v>45931</v>
      </c>
      <c r="C109" s="319" t="s">
        <v>74</v>
      </c>
      <c r="D109" s="23" t="s">
        <v>55</v>
      </c>
      <c r="E109" s="29"/>
    </row>
    <row r="110" spans="2:5" ht="11.35" x14ac:dyDescent="0.45">
      <c r="B110" s="316">
        <v>45931</v>
      </c>
      <c r="C110" s="319" t="s">
        <v>74</v>
      </c>
      <c r="D110" s="23" t="s">
        <v>56</v>
      </c>
      <c r="E110" s="29"/>
    </row>
    <row r="111" spans="2:5" ht="11.35" x14ac:dyDescent="0.45">
      <c r="B111" s="316">
        <v>45931</v>
      </c>
      <c r="C111" s="319" t="s">
        <v>74</v>
      </c>
      <c r="D111" s="23" t="s">
        <v>57</v>
      </c>
      <c r="E111" s="29"/>
    </row>
    <row r="112" spans="2:5" ht="11.35" x14ac:dyDescent="0.45">
      <c r="B112" s="316">
        <v>45962</v>
      </c>
      <c r="C112" s="319" t="s">
        <v>74</v>
      </c>
      <c r="D112" s="19" t="s">
        <v>53</v>
      </c>
      <c r="E112" s="28"/>
    </row>
    <row r="113" spans="2:5" ht="11.35" x14ac:dyDescent="0.45">
      <c r="B113" s="316">
        <v>45962</v>
      </c>
      <c r="C113" s="319" t="s">
        <v>74</v>
      </c>
      <c r="D113" s="23" t="s">
        <v>35</v>
      </c>
      <c r="E113" s="29"/>
    </row>
    <row r="114" spans="2:5" ht="11.35" x14ac:dyDescent="0.45">
      <c r="B114" s="316">
        <v>45962</v>
      </c>
      <c r="C114" s="319" t="s">
        <v>74</v>
      </c>
      <c r="D114" s="23" t="s">
        <v>55</v>
      </c>
      <c r="E114" s="29"/>
    </row>
    <row r="115" spans="2:5" ht="11.35" x14ac:dyDescent="0.45">
      <c r="B115" s="316">
        <v>45962</v>
      </c>
      <c r="C115" s="319" t="s">
        <v>74</v>
      </c>
      <c r="D115" s="23" t="s">
        <v>56</v>
      </c>
      <c r="E115" s="29"/>
    </row>
    <row r="116" spans="2:5" ht="11.35" x14ac:dyDescent="0.45">
      <c r="B116" s="316">
        <v>45962</v>
      </c>
      <c r="C116" s="319" t="s">
        <v>74</v>
      </c>
      <c r="D116" s="23" t="s">
        <v>57</v>
      </c>
      <c r="E116" s="29"/>
    </row>
    <row r="117" spans="2:5" ht="11.35" x14ac:dyDescent="0.45">
      <c r="B117" s="316">
        <v>45992</v>
      </c>
      <c r="C117" s="319" t="s">
        <v>74</v>
      </c>
      <c r="D117" s="19" t="s">
        <v>53</v>
      </c>
      <c r="E117" s="28"/>
    </row>
    <row r="118" spans="2:5" ht="11.35" x14ac:dyDescent="0.45">
      <c r="B118" s="316">
        <v>45992</v>
      </c>
      <c r="C118" s="319" t="s">
        <v>74</v>
      </c>
      <c r="D118" s="23" t="s">
        <v>35</v>
      </c>
      <c r="E118" s="29"/>
    </row>
    <row r="119" spans="2:5" ht="11.35" x14ac:dyDescent="0.45">
      <c r="B119" s="316">
        <v>45992</v>
      </c>
      <c r="C119" s="319" t="s">
        <v>74</v>
      </c>
      <c r="D119" s="23" t="s">
        <v>55</v>
      </c>
      <c r="E119" s="29"/>
    </row>
    <row r="120" spans="2:5" ht="11.35" x14ac:dyDescent="0.45">
      <c r="B120" s="316">
        <v>45992</v>
      </c>
      <c r="C120" s="319" t="s">
        <v>74</v>
      </c>
      <c r="D120" s="23" t="s">
        <v>56</v>
      </c>
      <c r="E120" s="29"/>
    </row>
    <row r="121" spans="2:5" ht="11.35" x14ac:dyDescent="0.45">
      <c r="B121" s="316">
        <v>45992</v>
      </c>
      <c r="C121" s="319" t="s">
        <v>74</v>
      </c>
      <c r="D121" s="23" t="s">
        <v>57</v>
      </c>
      <c r="E121" s="29"/>
    </row>
    <row r="122" spans="2:5" ht="11.35" x14ac:dyDescent="0.45"/>
  </sheetData>
  <autoFilter ref="B1:E121" xr:uid="{00000000-0001-0000-0600-000000000000}">
    <filterColumn colId="3">
      <filters>
        <filter val="-"/>
      </filters>
    </filterColumn>
    <sortState xmlns:xlrd2="http://schemas.microsoft.com/office/spreadsheetml/2017/richdata2" ref="B2:E121">
      <sortCondition ref="B1"/>
    </sortState>
  </autoFilter>
  <phoneticPr fontId="28" type="noConversion"/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1"/>
  <sheetViews>
    <sheetView workbookViewId="0">
      <pane xSplit="4" ySplit="1" topLeftCell="E17" activePane="bottomRight" state="frozen"/>
      <selection activeCell="J8" sqref="J8"/>
      <selection pane="topRight" activeCell="J8" sqref="J8"/>
      <selection pane="bottomLeft" activeCell="J8" sqref="J8"/>
      <selection pane="bottomRight" activeCell="E1" sqref="E1"/>
    </sheetView>
  </sheetViews>
  <sheetFormatPr defaultColWidth="8.5859375" defaultRowHeight="12" customHeight="1" x14ac:dyDescent="0.45"/>
  <cols>
    <col min="1" max="1" width="3.5859375" style="12" customWidth="1"/>
    <col min="2" max="2" width="10.64453125" style="12" customWidth="1"/>
    <col min="3" max="3" width="7.5859375" style="12" customWidth="1"/>
    <col min="4" max="4" width="7.5859375" style="13" customWidth="1"/>
    <col min="5" max="5" width="19.76171875" style="13" customWidth="1"/>
    <col min="6" max="16384" width="8.5859375" style="13"/>
  </cols>
  <sheetData>
    <row r="1" spans="1:5" s="11" customFormat="1" ht="17.5" customHeight="1" x14ac:dyDescent="0.45">
      <c r="A1" s="18"/>
      <c r="B1" s="18" t="s">
        <v>175</v>
      </c>
      <c r="C1" s="18" t="s">
        <v>176</v>
      </c>
      <c r="D1" s="130" t="s">
        <v>1</v>
      </c>
      <c r="E1" s="148" t="s">
        <v>177</v>
      </c>
    </row>
    <row r="2" spans="1:5" ht="17.5" customHeight="1" x14ac:dyDescent="0.45">
      <c r="B2" s="318">
        <v>45292</v>
      </c>
      <c r="C2" s="314" t="s">
        <v>75</v>
      </c>
      <c r="D2" s="19" t="s">
        <v>53</v>
      </c>
      <c r="E2" s="28">
        <v>1675186</v>
      </c>
    </row>
    <row r="3" spans="1:5" ht="17.5" customHeight="1" x14ac:dyDescent="0.45">
      <c r="B3" s="320">
        <v>45292</v>
      </c>
      <c r="C3" s="314" t="s">
        <v>75</v>
      </c>
      <c r="D3" s="23" t="s">
        <v>35</v>
      </c>
      <c r="E3" s="29">
        <v>11000000</v>
      </c>
    </row>
    <row r="4" spans="1:5" ht="17.5" customHeight="1" x14ac:dyDescent="0.45">
      <c r="B4" s="320">
        <v>45292</v>
      </c>
      <c r="C4" s="314" t="s">
        <v>75</v>
      </c>
      <c r="D4" s="23" t="s">
        <v>55</v>
      </c>
      <c r="E4" s="29">
        <v>2530000</v>
      </c>
    </row>
    <row r="5" spans="1:5" ht="17.5" customHeight="1" x14ac:dyDescent="0.45">
      <c r="B5" s="320">
        <v>45292</v>
      </c>
      <c r="C5" s="314" t="s">
        <v>75</v>
      </c>
      <c r="D5" s="23" t="s">
        <v>56</v>
      </c>
      <c r="E5" s="29">
        <v>4500000</v>
      </c>
    </row>
    <row r="6" spans="1:5" ht="20.2" customHeight="1" x14ac:dyDescent="0.45">
      <c r="B6" s="320">
        <v>45292</v>
      </c>
      <c r="C6" s="314" t="s">
        <v>75</v>
      </c>
      <c r="D6" s="23" t="s">
        <v>57</v>
      </c>
      <c r="E6" s="29">
        <v>5830000</v>
      </c>
    </row>
    <row r="7" spans="1:5" ht="20.2" customHeight="1" x14ac:dyDescent="0.45">
      <c r="B7" s="318">
        <v>45323</v>
      </c>
      <c r="C7" s="314" t="s">
        <v>75</v>
      </c>
      <c r="D7" s="19" t="s">
        <v>53</v>
      </c>
      <c r="E7" s="28">
        <v>3735375</v>
      </c>
    </row>
    <row r="8" spans="1:5" ht="20.2" customHeight="1" x14ac:dyDescent="0.45">
      <c r="B8" s="320">
        <v>45323</v>
      </c>
      <c r="C8" s="314" t="s">
        <v>75</v>
      </c>
      <c r="D8" s="23" t="s">
        <v>35</v>
      </c>
      <c r="E8" s="29">
        <v>11200000</v>
      </c>
    </row>
    <row r="9" spans="1:5" ht="20.2" customHeight="1" x14ac:dyDescent="0.45">
      <c r="B9" s="320">
        <v>45323</v>
      </c>
      <c r="C9" s="314" t="s">
        <v>75</v>
      </c>
      <c r="D9" s="23" t="s">
        <v>55</v>
      </c>
      <c r="E9" s="29">
        <v>4070000</v>
      </c>
    </row>
    <row r="10" spans="1:5" ht="20.2" customHeight="1" x14ac:dyDescent="0.45">
      <c r="B10" s="320">
        <v>45323</v>
      </c>
      <c r="C10" s="314" t="s">
        <v>75</v>
      </c>
      <c r="D10" s="23" t="s">
        <v>56</v>
      </c>
      <c r="E10" s="29">
        <v>5200000</v>
      </c>
    </row>
    <row r="11" spans="1:5" ht="20.2" customHeight="1" x14ac:dyDescent="0.45">
      <c r="B11" s="320">
        <v>45323</v>
      </c>
      <c r="C11" s="314" t="s">
        <v>75</v>
      </c>
      <c r="D11" s="23" t="s">
        <v>57</v>
      </c>
      <c r="E11" s="29">
        <v>8710000</v>
      </c>
    </row>
    <row r="12" spans="1:5" ht="20.2" customHeight="1" x14ac:dyDescent="0.45">
      <c r="B12" s="318">
        <v>45352</v>
      </c>
      <c r="C12" s="314" t="s">
        <v>75</v>
      </c>
      <c r="D12" s="19" t="s">
        <v>53</v>
      </c>
      <c r="E12" s="28">
        <v>963022</v>
      </c>
    </row>
    <row r="13" spans="1:5" ht="20.2" customHeight="1" x14ac:dyDescent="0.45">
      <c r="B13" s="320">
        <v>45352</v>
      </c>
      <c r="C13" s="314" t="s">
        <v>75</v>
      </c>
      <c r="D13" s="23" t="s">
        <v>35</v>
      </c>
      <c r="E13" s="29">
        <v>16000000</v>
      </c>
    </row>
    <row r="14" spans="1:5" ht="20.2" customHeight="1" x14ac:dyDescent="0.45">
      <c r="B14" s="320">
        <v>45352</v>
      </c>
      <c r="C14" s="314" t="s">
        <v>75</v>
      </c>
      <c r="D14" s="23" t="s">
        <v>55</v>
      </c>
      <c r="E14" s="29">
        <v>10850000</v>
      </c>
    </row>
    <row r="15" spans="1:5" ht="20.2" customHeight="1" x14ac:dyDescent="0.45">
      <c r="B15" s="320">
        <v>45352</v>
      </c>
      <c r="C15" s="314" t="s">
        <v>75</v>
      </c>
      <c r="D15" s="23" t="s">
        <v>56</v>
      </c>
      <c r="E15" s="29">
        <v>7600000</v>
      </c>
    </row>
    <row r="16" spans="1:5" ht="20.2" customHeight="1" x14ac:dyDescent="0.45">
      <c r="B16" s="320">
        <v>45352</v>
      </c>
      <c r="C16" s="314" t="s">
        <v>75</v>
      </c>
      <c r="D16" s="23" t="s">
        <v>57</v>
      </c>
      <c r="E16" s="29">
        <v>10100000</v>
      </c>
    </row>
    <row r="17" spans="2:5" ht="20.2" customHeight="1" x14ac:dyDescent="0.45">
      <c r="B17" s="318">
        <v>45383</v>
      </c>
      <c r="C17" s="314" t="s">
        <v>75</v>
      </c>
      <c r="D17" s="19" t="s">
        <v>53</v>
      </c>
      <c r="E17" s="28">
        <v>10425585.559999991</v>
      </c>
    </row>
    <row r="18" spans="2:5" ht="20.2" customHeight="1" x14ac:dyDescent="0.45">
      <c r="B18" s="320">
        <v>45383</v>
      </c>
      <c r="C18" s="314" t="s">
        <v>75</v>
      </c>
      <c r="D18" s="23" t="s">
        <v>35</v>
      </c>
      <c r="E18" s="29">
        <v>10020000</v>
      </c>
    </row>
    <row r="19" spans="2:5" ht="20.2" customHeight="1" x14ac:dyDescent="0.45">
      <c r="B19" s="320">
        <v>45383</v>
      </c>
      <c r="C19" s="314" t="s">
        <v>75</v>
      </c>
      <c r="D19" s="23" t="s">
        <v>55</v>
      </c>
      <c r="E19" s="29">
        <v>12600000</v>
      </c>
    </row>
    <row r="20" spans="2:5" ht="20.2" customHeight="1" x14ac:dyDescent="0.45">
      <c r="B20" s="320">
        <v>45383</v>
      </c>
      <c r="C20" s="314" t="s">
        <v>75</v>
      </c>
      <c r="D20" s="23" t="s">
        <v>56</v>
      </c>
      <c r="E20" s="29">
        <v>17180000</v>
      </c>
    </row>
    <row r="21" spans="2:5" ht="20.2" customHeight="1" x14ac:dyDescent="0.45">
      <c r="B21" s="320">
        <v>45383</v>
      </c>
      <c r="C21" s="314" t="s">
        <v>75</v>
      </c>
      <c r="D21" s="23" t="s">
        <v>57</v>
      </c>
      <c r="E21" s="29">
        <v>9200000</v>
      </c>
    </row>
    <row r="22" spans="2:5" ht="20.2" customHeight="1" x14ac:dyDescent="0.45">
      <c r="B22" s="318">
        <v>45413</v>
      </c>
      <c r="C22" s="314" t="s">
        <v>75</v>
      </c>
      <c r="D22" s="19" t="s">
        <v>53</v>
      </c>
      <c r="E22" s="28">
        <v>1914077.66</v>
      </c>
    </row>
    <row r="23" spans="2:5" ht="20.2" customHeight="1" x14ac:dyDescent="0.45">
      <c r="B23" s="320">
        <v>45413</v>
      </c>
      <c r="C23" s="314" t="s">
        <v>75</v>
      </c>
      <c r="D23" s="23" t="s">
        <v>35</v>
      </c>
      <c r="E23" s="29">
        <v>8870000</v>
      </c>
    </row>
    <row r="24" spans="2:5" ht="20.2" customHeight="1" x14ac:dyDescent="0.45">
      <c r="B24" s="320">
        <v>45413</v>
      </c>
      <c r="C24" s="314" t="s">
        <v>75</v>
      </c>
      <c r="D24" s="23" t="s">
        <v>55</v>
      </c>
      <c r="E24" s="29">
        <v>3510000</v>
      </c>
    </row>
    <row r="25" spans="2:5" ht="20.2" customHeight="1" x14ac:dyDescent="0.45">
      <c r="B25" s="320">
        <v>45413</v>
      </c>
      <c r="C25" s="314" t="s">
        <v>75</v>
      </c>
      <c r="D25" s="23" t="s">
        <v>56</v>
      </c>
      <c r="E25" s="29">
        <v>3828000</v>
      </c>
    </row>
    <row r="26" spans="2:5" ht="20.2" customHeight="1" x14ac:dyDescent="0.45">
      <c r="B26" s="320">
        <v>45413</v>
      </c>
      <c r="C26" s="314" t="s">
        <v>75</v>
      </c>
      <c r="D26" s="23" t="s">
        <v>57</v>
      </c>
      <c r="E26" s="29">
        <v>11880000</v>
      </c>
    </row>
    <row r="27" spans="2:5" ht="20.2" customHeight="1" x14ac:dyDescent="0.45">
      <c r="B27" s="318">
        <v>45444</v>
      </c>
      <c r="C27" s="314" t="s">
        <v>75</v>
      </c>
      <c r="D27" s="19" t="s">
        <v>53</v>
      </c>
      <c r="E27" s="28">
        <v>497076.97399999999</v>
      </c>
    </row>
    <row r="28" spans="2:5" ht="20.2" customHeight="1" x14ac:dyDescent="0.45">
      <c r="B28" s="320">
        <v>45444</v>
      </c>
      <c r="C28" s="314" t="s">
        <v>75</v>
      </c>
      <c r="D28" s="23" t="s">
        <v>35</v>
      </c>
      <c r="E28" s="29">
        <v>6500000</v>
      </c>
    </row>
    <row r="29" spans="2:5" ht="20.2" customHeight="1" x14ac:dyDescent="0.45">
      <c r="B29" s="320">
        <v>45444</v>
      </c>
      <c r="C29" s="314" t="s">
        <v>75</v>
      </c>
      <c r="D29" s="23" t="s">
        <v>55</v>
      </c>
      <c r="E29" s="29">
        <v>1800000</v>
      </c>
    </row>
    <row r="30" spans="2:5" ht="20.2" customHeight="1" x14ac:dyDescent="0.45">
      <c r="B30" s="320">
        <v>45444</v>
      </c>
      <c r="C30" s="314" t="s">
        <v>75</v>
      </c>
      <c r="D30" s="23" t="s">
        <v>56</v>
      </c>
      <c r="E30" s="29">
        <v>4450000</v>
      </c>
    </row>
    <row r="31" spans="2:5" ht="20.2" customHeight="1" x14ac:dyDescent="0.45">
      <c r="B31" s="320">
        <v>45444</v>
      </c>
      <c r="C31" s="314" t="s">
        <v>75</v>
      </c>
      <c r="D31" s="23" t="s">
        <v>57</v>
      </c>
      <c r="E31" s="29">
        <v>6614000</v>
      </c>
    </row>
    <row r="32" spans="2:5" ht="20.2" customHeight="1" x14ac:dyDescent="0.45">
      <c r="B32" s="318">
        <v>45474</v>
      </c>
      <c r="C32" s="314" t="s">
        <v>75</v>
      </c>
      <c r="D32" s="19" t="s">
        <v>53</v>
      </c>
      <c r="E32" s="28">
        <v>3312616.3414999992</v>
      </c>
    </row>
    <row r="33" spans="2:5" ht="20.2" customHeight="1" x14ac:dyDescent="0.45">
      <c r="B33" s="320">
        <v>45474</v>
      </c>
      <c r="C33" s="314" t="s">
        <v>75</v>
      </c>
      <c r="D33" s="23" t="s">
        <v>35</v>
      </c>
      <c r="E33" s="29">
        <v>6300000</v>
      </c>
    </row>
    <row r="34" spans="2:5" ht="20.2" customHeight="1" x14ac:dyDescent="0.45">
      <c r="B34" s="320">
        <v>45474</v>
      </c>
      <c r="C34" s="314" t="s">
        <v>75</v>
      </c>
      <c r="D34" s="23" t="s">
        <v>55</v>
      </c>
      <c r="E34" s="29">
        <v>5610000</v>
      </c>
    </row>
    <row r="35" spans="2:5" ht="20.2" customHeight="1" x14ac:dyDescent="0.45">
      <c r="B35" s="320">
        <v>45474</v>
      </c>
      <c r="C35" s="314" t="s">
        <v>75</v>
      </c>
      <c r="D35" s="23" t="s">
        <v>56</v>
      </c>
      <c r="E35" s="29">
        <v>5550000</v>
      </c>
    </row>
    <row r="36" spans="2:5" ht="20.2" customHeight="1" x14ac:dyDescent="0.45">
      <c r="B36" s="320">
        <v>45474</v>
      </c>
      <c r="C36" s="314" t="s">
        <v>75</v>
      </c>
      <c r="D36" s="23" t="s">
        <v>57</v>
      </c>
      <c r="E36" s="29">
        <v>6000000</v>
      </c>
    </row>
    <row r="37" spans="2:5" ht="20.2" customHeight="1" x14ac:dyDescent="0.45">
      <c r="B37" s="318">
        <v>45505</v>
      </c>
      <c r="C37" s="314" t="s">
        <v>75</v>
      </c>
      <c r="D37" s="19" t="s">
        <v>53</v>
      </c>
      <c r="E37" s="28">
        <v>4008058.3564999867</v>
      </c>
    </row>
    <row r="38" spans="2:5" ht="20.2" customHeight="1" x14ac:dyDescent="0.45">
      <c r="B38" s="320">
        <v>45505</v>
      </c>
      <c r="C38" s="314" t="s">
        <v>75</v>
      </c>
      <c r="D38" s="23" t="s">
        <v>35</v>
      </c>
      <c r="E38" s="29">
        <v>8130000</v>
      </c>
    </row>
    <row r="39" spans="2:5" ht="20.2" customHeight="1" x14ac:dyDescent="0.45">
      <c r="B39" s="320">
        <v>45505</v>
      </c>
      <c r="C39" s="314" t="s">
        <v>75</v>
      </c>
      <c r="D39" s="23" t="s">
        <v>55</v>
      </c>
      <c r="E39" s="29">
        <v>6750000</v>
      </c>
    </row>
    <row r="40" spans="2:5" ht="20.2" customHeight="1" x14ac:dyDescent="0.45">
      <c r="B40" s="320">
        <v>45505</v>
      </c>
      <c r="C40" s="314" t="s">
        <v>75</v>
      </c>
      <c r="D40" s="23" t="s">
        <v>56</v>
      </c>
      <c r="E40" s="29">
        <v>6430000</v>
      </c>
    </row>
    <row r="41" spans="2:5" ht="20.2" customHeight="1" x14ac:dyDescent="0.45">
      <c r="B41" s="320">
        <v>45505</v>
      </c>
      <c r="C41" s="314" t="s">
        <v>75</v>
      </c>
      <c r="D41" s="23" t="s">
        <v>57</v>
      </c>
      <c r="E41" s="29">
        <v>6780000</v>
      </c>
    </row>
    <row r="42" spans="2:5" ht="20.2" customHeight="1" x14ac:dyDescent="0.45">
      <c r="B42" s="318">
        <v>45536</v>
      </c>
      <c r="C42" s="314" t="s">
        <v>75</v>
      </c>
      <c r="D42" s="19" t="s">
        <v>53</v>
      </c>
      <c r="E42" s="28">
        <v>1769000.8400000005</v>
      </c>
    </row>
    <row r="43" spans="2:5" ht="20.2" customHeight="1" x14ac:dyDescent="0.45">
      <c r="B43" s="320">
        <v>45536</v>
      </c>
      <c r="C43" s="314" t="s">
        <v>75</v>
      </c>
      <c r="D43" s="23" t="s">
        <v>35</v>
      </c>
      <c r="E43" s="29">
        <v>5700000</v>
      </c>
    </row>
    <row r="44" spans="2:5" ht="20.2" customHeight="1" x14ac:dyDescent="0.45">
      <c r="B44" s="320">
        <v>45536</v>
      </c>
      <c r="C44" s="314" t="s">
        <v>75</v>
      </c>
      <c r="D44" s="23" t="s">
        <v>55</v>
      </c>
      <c r="E44" s="29">
        <v>2040000</v>
      </c>
    </row>
    <row r="45" spans="2:5" ht="20.2" customHeight="1" x14ac:dyDescent="0.45">
      <c r="B45" s="320">
        <v>45536</v>
      </c>
      <c r="C45" s="314" t="s">
        <v>75</v>
      </c>
      <c r="D45" s="23" t="s">
        <v>56</v>
      </c>
      <c r="E45" s="29">
        <v>3800000</v>
      </c>
    </row>
    <row r="46" spans="2:5" ht="20.2" customHeight="1" x14ac:dyDescent="0.45">
      <c r="B46" s="320">
        <v>45536</v>
      </c>
      <c r="C46" s="314" t="s">
        <v>75</v>
      </c>
      <c r="D46" s="23" t="s">
        <v>57</v>
      </c>
      <c r="E46" s="29">
        <v>7200000</v>
      </c>
    </row>
    <row r="47" spans="2:5" ht="20.2" customHeight="1" x14ac:dyDescent="0.45">
      <c r="B47" s="318">
        <v>45566</v>
      </c>
      <c r="C47" s="314" t="s">
        <v>75</v>
      </c>
      <c r="D47" s="19" t="s">
        <v>53</v>
      </c>
      <c r="E47" s="28">
        <v>4119477.4380000029</v>
      </c>
    </row>
    <row r="48" spans="2:5" ht="20.2" customHeight="1" x14ac:dyDescent="0.45">
      <c r="B48" s="320">
        <v>45566</v>
      </c>
      <c r="C48" s="314" t="s">
        <v>75</v>
      </c>
      <c r="D48" s="23" t="s">
        <v>35</v>
      </c>
      <c r="E48" s="29">
        <v>7200000</v>
      </c>
    </row>
    <row r="49" spans="2:5" ht="20.2" customHeight="1" x14ac:dyDescent="0.45">
      <c r="B49" s="320">
        <v>45566</v>
      </c>
      <c r="C49" s="314" t="s">
        <v>75</v>
      </c>
      <c r="D49" s="23" t="s">
        <v>55</v>
      </c>
      <c r="E49" s="29">
        <v>2950000</v>
      </c>
    </row>
    <row r="50" spans="2:5" ht="20.2" customHeight="1" x14ac:dyDescent="0.45">
      <c r="B50" s="320">
        <v>45566</v>
      </c>
      <c r="C50" s="314" t="s">
        <v>75</v>
      </c>
      <c r="D50" s="23" t="s">
        <v>56</v>
      </c>
      <c r="E50" s="29">
        <v>2780000</v>
      </c>
    </row>
    <row r="51" spans="2:5" ht="20.2" customHeight="1" x14ac:dyDescent="0.45">
      <c r="B51" s="320">
        <v>45566</v>
      </c>
      <c r="C51" s="314" t="s">
        <v>75</v>
      </c>
      <c r="D51" s="23" t="s">
        <v>57</v>
      </c>
      <c r="E51" s="29">
        <v>6380000</v>
      </c>
    </row>
    <row r="52" spans="2:5" ht="20.2" customHeight="1" x14ac:dyDescent="0.45">
      <c r="B52" s="318">
        <v>45597</v>
      </c>
      <c r="C52" s="314" t="s">
        <v>75</v>
      </c>
      <c r="D52" s="19" t="s">
        <v>53</v>
      </c>
      <c r="E52" s="28">
        <v>5125443.4204999842</v>
      </c>
    </row>
    <row r="53" spans="2:5" ht="20.2" customHeight="1" x14ac:dyDescent="0.45">
      <c r="B53" s="320">
        <v>45597</v>
      </c>
      <c r="C53" s="314" t="s">
        <v>75</v>
      </c>
      <c r="D53" s="23" t="s">
        <v>35</v>
      </c>
      <c r="E53" s="29">
        <v>7000000</v>
      </c>
    </row>
    <row r="54" spans="2:5" ht="20.2" customHeight="1" x14ac:dyDescent="0.45">
      <c r="B54" s="320">
        <v>45597</v>
      </c>
      <c r="C54" s="314" t="s">
        <v>75</v>
      </c>
      <c r="D54" s="23" t="s">
        <v>55</v>
      </c>
      <c r="E54" s="29">
        <v>30000000</v>
      </c>
    </row>
    <row r="55" spans="2:5" ht="20.2" customHeight="1" x14ac:dyDescent="0.45">
      <c r="B55" s="320">
        <v>45597</v>
      </c>
      <c r="C55" s="314" t="s">
        <v>75</v>
      </c>
      <c r="D55" s="23" t="s">
        <v>56</v>
      </c>
      <c r="E55" s="29">
        <v>8500000</v>
      </c>
    </row>
    <row r="56" spans="2:5" ht="20.2" customHeight="1" x14ac:dyDescent="0.45">
      <c r="B56" s="320">
        <v>45597</v>
      </c>
      <c r="C56" s="314" t="s">
        <v>75</v>
      </c>
      <c r="D56" s="23" t="s">
        <v>57</v>
      </c>
      <c r="E56" s="29">
        <v>8800000</v>
      </c>
    </row>
    <row r="57" spans="2:5" ht="20.2" customHeight="1" x14ac:dyDescent="0.45">
      <c r="B57" s="318">
        <v>45627</v>
      </c>
      <c r="C57" s="314" t="s">
        <v>75</v>
      </c>
      <c r="D57" s="19" t="s">
        <v>53</v>
      </c>
      <c r="E57" s="28">
        <v>1043125.1940000001</v>
      </c>
    </row>
    <row r="58" spans="2:5" ht="20.2" customHeight="1" x14ac:dyDescent="0.45">
      <c r="B58" s="320">
        <v>45627</v>
      </c>
      <c r="C58" s="314" t="s">
        <v>75</v>
      </c>
      <c r="D58" s="23" t="s">
        <v>35</v>
      </c>
      <c r="E58" s="29">
        <v>3770000</v>
      </c>
    </row>
    <row r="59" spans="2:5" ht="20.2" customHeight="1" x14ac:dyDescent="0.45">
      <c r="B59" s="320">
        <v>45627</v>
      </c>
      <c r="C59" s="314" t="s">
        <v>75</v>
      </c>
      <c r="D59" s="23" t="s">
        <v>55</v>
      </c>
      <c r="E59" s="29">
        <v>2880000</v>
      </c>
    </row>
    <row r="60" spans="2:5" ht="20.2" customHeight="1" x14ac:dyDescent="0.45">
      <c r="B60" s="320">
        <v>45627</v>
      </c>
      <c r="C60" s="314" t="s">
        <v>75</v>
      </c>
      <c r="D60" s="23" t="s">
        <v>56</v>
      </c>
      <c r="E60" s="29">
        <v>3360000</v>
      </c>
    </row>
    <row r="61" spans="2:5" ht="20.2" customHeight="1" x14ac:dyDescent="0.45">
      <c r="B61" s="320">
        <v>45627</v>
      </c>
      <c r="C61" s="314" t="s">
        <v>75</v>
      </c>
      <c r="D61" s="23" t="s">
        <v>57</v>
      </c>
      <c r="E61" s="29">
        <v>6600000</v>
      </c>
    </row>
    <row r="62" spans="2:5" ht="20.2" customHeight="1" x14ac:dyDescent="0.45">
      <c r="B62" s="313">
        <v>45658</v>
      </c>
      <c r="C62" s="12" t="s">
        <v>75</v>
      </c>
      <c r="D62" s="19" t="s">
        <v>53</v>
      </c>
      <c r="E62" s="28">
        <v>1444282</v>
      </c>
    </row>
    <row r="63" spans="2:5" ht="12" customHeight="1" x14ac:dyDescent="0.45">
      <c r="B63" s="313">
        <v>45658</v>
      </c>
      <c r="C63" s="12" t="s">
        <v>75</v>
      </c>
      <c r="D63" s="23" t="s">
        <v>35</v>
      </c>
      <c r="E63" s="29">
        <v>6200000</v>
      </c>
    </row>
    <row r="64" spans="2:5" ht="12" customHeight="1" x14ac:dyDescent="0.45">
      <c r="B64" s="313">
        <v>45658</v>
      </c>
      <c r="C64" s="12" t="s">
        <v>75</v>
      </c>
      <c r="D64" s="23" t="s">
        <v>55</v>
      </c>
      <c r="E64" s="29">
        <v>4900000</v>
      </c>
    </row>
    <row r="65" spans="2:5" ht="12" customHeight="1" x14ac:dyDescent="0.45">
      <c r="B65" s="313">
        <v>45658</v>
      </c>
      <c r="C65" s="12" t="s">
        <v>75</v>
      </c>
      <c r="D65" s="23" t="s">
        <v>56</v>
      </c>
      <c r="E65" s="29">
        <v>2810000</v>
      </c>
    </row>
    <row r="66" spans="2:5" ht="12" customHeight="1" x14ac:dyDescent="0.45">
      <c r="B66" s="313">
        <v>45658</v>
      </c>
      <c r="C66" s="12" t="s">
        <v>75</v>
      </c>
      <c r="D66" s="23" t="s">
        <v>57</v>
      </c>
      <c r="E66" s="29">
        <v>7000000</v>
      </c>
    </row>
    <row r="67" spans="2:5" ht="12" customHeight="1" x14ac:dyDescent="0.45">
      <c r="B67" s="313">
        <v>45689</v>
      </c>
      <c r="C67" s="12" t="s">
        <v>75</v>
      </c>
      <c r="D67" s="19" t="s">
        <v>53</v>
      </c>
      <c r="E67" s="28">
        <v>2028830</v>
      </c>
    </row>
    <row r="68" spans="2:5" ht="12" customHeight="1" x14ac:dyDescent="0.45">
      <c r="B68" s="313">
        <v>45689</v>
      </c>
      <c r="C68" s="12" t="s">
        <v>75</v>
      </c>
      <c r="D68" s="23" t="s">
        <v>35</v>
      </c>
      <c r="E68" s="29">
        <v>6880000</v>
      </c>
    </row>
    <row r="69" spans="2:5" ht="12" customHeight="1" x14ac:dyDescent="0.45">
      <c r="B69" s="313">
        <v>45689</v>
      </c>
      <c r="C69" s="12" t="s">
        <v>75</v>
      </c>
      <c r="D69" s="23" t="s">
        <v>55</v>
      </c>
      <c r="E69" s="29">
        <v>5500000</v>
      </c>
    </row>
    <row r="70" spans="2:5" ht="12" customHeight="1" x14ac:dyDescent="0.45">
      <c r="B70" s="313">
        <v>45689</v>
      </c>
      <c r="C70" s="12" t="s">
        <v>75</v>
      </c>
      <c r="D70" s="23" t="s">
        <v>56</v>
      </c>
      <c r="E70" s="29">
        <v>4050000</v>
      </c>
    </row>
    <row r="71" spans="2:5" ht="12" customHeight="1" x14ac:dyDescent="0.45">
      <c r="B71" s="313">
        <v>45689</v>
      </c>
      <c r="C71" s="12" t="s">
        <v>75</v>
      </c>
      <c r="D71" s="23" t="s">
        <v>57</v>
      </c>
      <c r="E71" s="29">
        <v>8350000</v>
      </c>
    </row>
    <row r="72" spans="2:5" ht="12" customHeight="1" x14ac:dyDescent="0.45">
      <c r="B72" s="313">
        <v>45717</v>
      </c>
      <c r="C72" s="12" t="s">
        <v>75</v>
      </c>
      <c r="D72" s="19" t="s">
        <v>53</v>
      </c>
      <c r="E72" s="28">
        <v>4433095.1810000017</v>
      </c>
    </row>
    <row r="73" spans="2:5" ht="12" customHeight="1" x14ac:dyDescent="0.45">
      <c r="B73" s="313">
        <v>45717</v>
      </c>
      <c r="C73" s="12" t="s">
        <v>75</v>
      </c>
      <c r="D73" s="23" t="s">
        <v>35</v>
      </c>
      <c r="E73" s="29">
        <v>6750000</v>
      </c>
    </row>
    <row r="74" spans="2:5" ht="12" customHeight="1" x14ac:dyDescent="0.45">
      <c r="B74" s="313">
        <v>45717</v>
      </c>
      <c r="C74" s="12" t="s">
        <v>75</v>
      </c>
      <c r="D74" s="23" t="s">
        <v>55</v>
      </c>
      <c r="E74" s="29">
        <v>8000000</v>
      </c>
    </row>
    <row r="75" spans="2:5" ht="12" customHeight="1" x14ac:dyDescent="0.45">
      <c r="B75" s="313">
        <v>45717</v>
      </c>
      <c r="C75" s="12" t="s">
        <v>75</v>
      </c>
      <c r="D75" s="23" t="s">
        <v>56</v>
      </c>
      <c r="E75" s="29">
        <v>3300000</v>
      </c>
    </row>
    <row r="76" spans="2:5" ht="12" customHeight="1" x14ac:dyDescent="0.45">
      <c r="B76" s="313">
        <v>45717</v>
      </c>
      <c r="C76" s="12" t="s">
        <v>75</v>
      </c>
      <c r="D76" s="23" t="s">
        <v>57</v>
      </c>
      <c r="E76" s="29">
        <v>7200000</v>
      </c>
    </row>
    <row r="77" spans="2:5" ht="12" customHeight="1" x14ac:dyDescent="0.45">
      <c r="B77" s="313">
        <f>B79</f>
        <v>45748</v>
      </c>
      <c r="C77" s="12" t="s">
        <v>75</v>
      </c>
      <c r="D77" s="19" t="s">
        <v>53</v>
      </c>
      <c r="E77" s="28">
        <v>6466059.3569999924</v>
      </c>
    </row>
    <row r="78" spans="2:5" ht="12" customHeight="1" x14ac:dyDescent="0.45">
      <c r="B78" s="313">
        <v>45748</v>
      </c>
      <c r="C78" s="12" t="s">
        <v>75</v>
      </c>
      <c r="D78" s="23" t="s">
        <v>35</v>
      </c>
      <c r="E78" s="29">
        <v>10000000</v>
      </c>
    </row>
    <row r="79" spans="2:5" ht="12" customHeight="1" x14ac:dyDescent="0.45">
      <c r="B79" s="313">
        <v>45748</v>
      </c>
      <c r="C79" s="12" t="s">
        <v>75</v>
      </c>
      <c r="D79" s="23" t="s">
        <v>55</v>
      </c>
      <c r="E79" s="29">
        <v>9300000</v>
      </c>
    </row>
    <row r="80" spans="2:5" ht="12" customHeight="1" x14ac:dyDescent="0.45">
      <c r="B80" s="313">
        <v>45748</v>
      </c>
      <c r="C80" s="12" t="s">
        <v>75</v>
      </c>
      <c r="D80" s="23" t="s">
        <v>56</v>
      </c>
      <c r="E80" s="29">
        <v>8000000</v>
      </c>
    </row>
    <row r="81" spans="2:5" ht="12" customHeight="1" x14ac:dyDescent="0.45">
      <c r="B81" s="313">
        <v>45748</v>
      </c>
      <c r="C81" s="12" t="s">
        <v>75</v>
      </c>
      <c r="D81" s="23" t="s">
        <v>57</v>
      </c>
      <c r="E81" s="29">
        <v>10000000</v>
      </c>
    </row>
    <row r="82" spans="2:5" ht="12" customHeight="1" x14ac:dyDescent="0.45">
      <c r="B82" s="313">
        <v>45778</v>
      </c>
      <c r="C82" s="12" t="s">
        <v>75</v>
      </c>
      <c r="D82" s="19" t="s">
        <v>53</v>
      </c>
      <c r="E82" s="28">
        <v>1834844.6970000004</v>
      </c>
    </row>
    <row r="83" spans="2:5" ht="12" customHeight="1" x14ac:dyDescent="0.45">
      <c r="B83" s="313">
        <v>45778</v>
      </c>
      <c r="C83" s="12" t="s">
        <v>75</v>
      </c>
      <c r="D83" s="23" t="s">
        <v>35</v>
      </c>
      <c r="E83" s="29">
        <v>10000000</v>
      </c>
    </row>
    <row r="84" spans="2:5" ht="12" customHeight="1" x14ac:dyDescent="0.45">
      <c r="B84" s="313">
        <v>45778</v>
      </c>
      <c r="C84" s="12" t="s">
        <v>75</v>
      </c>
      <c r="D84" s="23" t="s">
        <v>55</v>
      </c>
      <c r="E84" s="29">
        <v>3800000</v>
      </c>
    </row>
    <row r="85" spans="2:5" ht="12" customHeight="1" x14ac:dyDescent="0.45">
      <c r="B85" s="313">
        <v>45778</v>
      </c>
      <c r="C85" s="12" t="s">
        <v>75</v>
      </c>
      <c r="D85" s="23" t="s">
        <v>56</v>
      </c>
      <c r="E85" s="29">
        <v>3500000</v>
      </c>
    </row>
    <row r="86" spans="2:5" ht="12" customHeight="1" x14ac:dyDescent="0.45">
      <c r="B86" s="313">
        <v>45778</v>
      </c>
      <c r="C86" s="12" t="s">
        <v>75</v>
      </c>
      <c r="D86" s="23" t="s">
        <v>57</v>
      </c>
      <c r="E86" s="29">
        <v>9000000</v>
      </c>
    </row>
    <row r="87" spans="2:5" ht="12" customHeight="1" x14ac:dyDescent="0.45">
      <c r="B87" s="313">
        <v>45809</v>
      </c>
      <c r="C87" s="12" t="s">
        <v>75</v>
      </c>
      <c r="D87" s="19" t="s">
        <v>53</v>
      </c>
      <c r="E87" s="28"/>
    </row>
    <row r="88" spans="2:5" ht="12" customHeight="1" x14ac:dyDescent="0.45">
      <c r="B88" s="313">
        <v>45809</v>
      </c>
      <c r="C88" s="12" t="s">
        <v>75</v>
      </c>
      <c r="D88" s="23" t="s">
        <v>35</v>
      </c>
      <c r="E88" s="29"/>
    </row>
    <row r="89" spans="2:5" ht="12" customHeight="1" x14ac:dyDescent="0.45">
      <c r="B89" s="313">
        <v>45809</v>
      </c>
      <c r="C89" s="12" t="s">
        <v>75</v>
      </c>
      <c r="D89" s="23" t="s">
        <v>55</v>
      </c>
      <c r="E89" s="29"/>
    </row>
    <row r="90" spans="2:5" ht="12" customHeight="1" x14ac:dyDescent="0.45">
      <c r="B90" s="313">
        <v>45809</v>
      </c>
      <c r="C90" s="12" t="s">
        <v>75</v>
      </c>
      <c r="D90" s="23" t="s">
        <v>56</v>
      </c>
      <c r="E90" s="29"/>
    </row>
    <row r="91" spans="2:5" ht="12" customHeight="1" x14ac:dyDescent="0.45">
      <c r="B91" s="313">
        <v>45809</v>
      </c>
      <c r="C91" s="12" t="s">
        <v>75</v>
      </c>
      <c r="D91" s="23" t="s">
        <v>57</v>
      </c>
      <c r="E91" s="29"/>
    </row>
    <row r="92" spans="2:5" ht="12" customHeight="1" x14ac:dyDescent="0.45">
      <c r="B92" s="313">
        <v>45839</v>
      </c>
      <c r="C92" s="12" t="s">
        <v>75</v>
      </c>
      <c r="D92" s="19" t="s">
        <v>53</v>
      </c>
      <c r="E92" s="28"/>
    </row>
    <row r="93" spans="2:5" ht="12" customHeight="1" x14ac:dyDescent="0.45">
      <c r="B93" s="313">
        <v>45839</v>
      </c>
      <c r="C93" s="12" t="s">
        <v>75</v>
      </c>
      <c r="D93" s="23" t="s">
        <v>35</v>
      </c>
      <c r="E93" s="29"/>
    </row>
    <row r="94" spans="2:5" ht="12" customHeight="1" x14ac:dyDescent="0.45">
      <c r="B94" s="313">
        <v>45839</v>
      </c>
      <c r="C94" s="12" t="s">
        <v>75</v>
      </c>
      <c r="D94" s="23" t="s">
        <v>55</v>
      </c>
      <c r="E94" s="29"/>
    </row>
    <row r="95" spans="2:5" ht="12" customHeight="1" x14ac:dyDescent="0.45">
      <c r="B95" s="313">
        <v>45839</v>
      </c>
      <c r="C95" s="12" t="s">
        <v>75</v>
      </c>
      <c r="D95" s="23" t="s">
        <v>56</v>
      </c>
      <c r="E95" s="29"/>
    </row>
    <row r="96" spans="2:5" ht="12" customHeight="1" x14ac:dyDescent="0.45">
      <c r="B96" s="313">
        <v>45839</v>
      </c>
      <c r="C96" s="12" t="s">
        <v>75</v>
      </c>
      <c r="D96" s="23" t="s">
        <v>57</v>
      </c>
      <c r="E96" s="29"/>
    </row>
    <row r="97" spans="2:5" ht="12" customHeight="1" x14ac:dyDescent="0.45">
      <c r="B97" s="313">
        <v>45870</v>
      </c>
      <c r="C97" s="12" t="s">
        <v>75</v>
      </c>
      <c r="D97" s="19" t="s">
        <v>53</v>
      </c>
      <c r="E97" s="28"/>
    </row>
    <row r="98" spans="2:5" ht="12" customHeight="1" x14ac:dyDescent="0.45">
      <c r="B98" s="313">
        <v>45870</v>
      </c>
      <c r="C98" s="12" t="s">
        <v>75</v>
      </c>
      <c r="D98" s="23" t="s">
        <v>35</v>
      </c>
      <c r="E98" s="29"/>
    </row>
    <row r="99" spans="2:5" ht="12" customHeight="1" x14ac:dyDescent="0.45">
      <c r="B99" s="313">
        <v>45870</v>
      </c>
      <c r="C99" s="12" t="s">
        <v>75</v>
      </c>
      <c r="D99" s="23" t="s">
        <v>55</v>
      </c>
      <c r="E99" s="29"/>
    </row>
    <row r="100" spans="2:5" ht="12" customHeight="1" x14ac:dyDescent="0.45">
      <c r="B100" s="313">
        <v>45870</v>
      </c>
      <c r="C100" s="12" t="s">
        <v>75</v>
      </c>
      <c r="D100" s="23" t="s">
        <v>56</v>
      </c>
      <c r="E100" s="29"/>
    </row>
    <row r="101" spans="2:5" ht="12" customHeight="1" x14ac:dyDescent="0.45">
      <c r="B101" s="313">
        <v>45870</v>
      </c>
      <c r="C101" s="12" t="s">
        <v>75</v>
      </c>
      <c r="D101" s="23" t="s">
        <v>57</v>
      </c>
      <c r="E101" s="29"/>
    </row>
    <row r="102" spans="2:5" ht="12" customHeight="1" x14ac:dyDescent="0.45">
      <c r="B102" s="313">
        <v>45901</v>
      </c>
      <c r="C102" s="12" t="s">
        <v>75</v>
      </c>
      <c r="D102" s="19" t="s">
        <v>53</v>
      </c>
      <c r="E102" s="28"/>
    </row>
    <row r="103" spans="2:5" ht="12" customHeight="1" x14ac:dyDescent="0.45">
      <c r="B103" s="313">
        <v>45901</v>
      </c>
      <c r="C103" s="12" t="s">
        <v>75</v>
      </c>
      <c r="D103" s="23" t="s">
        <v>35</v>
      </c>
      <c r="E103" s="29"/>
    </row>
    <row r="104" spans="2:5" ht="12" customHeight="1" x14ac:dyDescent="0.45">
      <c r="B104" s="313">
        <v>45901</v>
      </c>
      <c r="C104" s="12" t="s">
        <v>75</v>
      </c>
      <c r="D104" s="23" t="s">
        <v>55</v>
      </c>
      <c r="E104" s="29"/>
    </row>
    <row r="105" spans="2:5" ht="12" customHeight="1" x14ac:dyDescent="0.45">
      <c r="B105" s="313">
        <v>45901</v>
      </c>
      <c r="C105" s="12" t="s">
        <v>75</v>
      </c>
      <c r="D105" s="23" t="s">
        <v>56</v>
      </c>
      <c r="E105" s="29"/>
    </row>
    <row r="106" spans="2:5" ht="12" customHeight="1" x14ac:dyDescent="0.45">
      <c r="B106" s="313">
        <v>45901</v>
      </c>
      <c r="C106" s="12" t="s">
        <v>75</v>
      </c>
      <c r="D106" s="23" t="s">
        <v>57</v>
      </c>
      <c r="E106" s="29"/>
    </row>
    <row r="107" spans="2:5" ht="12" customHeight="1" x14ac:dyDescent="0.45">
      <c r="B107" s="313">
        <v>45931</v>
      </c>
      <c r="C107" s="12" t="s">
        <v>75</v>
      </c>
      <c r="D107" s="19" t="s">
        <v>53</v>
      </c>
      <c r="E107" s="28"/>
    </row>
    <row r="108" spans="2:5" ht="12" customHeight="1" x14ac:dyDescent="0.45">
      <c r="B108" s="313">
        <v>45931</v>
      </c>
      <c r="C108" s="12" t="s">
        <v>75</v>
      </c>
      <c r="D108" s="23" t="s">
        <v>35</v>
      </c>
      <c r="E108" s="29"/>
    </row>
    <row r="109" spans="2:5" ht="12" customHeight="1" x14ac:dyDescent="0.45">
      <c r="B109" s="313">
        <v>45931</v>
      </c>
      <c r="C109" s="12" t="s">
        <v>75</v>
      </c>
      <c r="D109" s="23" t="s">
        <v>55</v>
      </c>
      <c r="E109" s="29"/>
    </row>
    <row r="110" spans="2:5" ht="12" customHeight="1" x14ac:dyDescent="0.45">
      <c r="B110" s="313">
        <v>45931</v>
      </c>
      <c r="C110" s="12" t="s">
        <v>75</v>
      </c>
      <c r="D110" s="23" t="s">
        <v>56</v>
      </c>
      <c r="E110" s="29"/>
    </row>
    <row r="111" spans="2:5" ht="12" customHeight="1" x14ac:dyDescent="0.45">
      <c r="B111" s="313">
        <v>45931</v>
      </c>
      <c r="C111" s="12" t="s">
        <v>75</v>
      </c>
      <c r="D111" s="23" t="s">
        <v>57</v>
      </c>
      <c r="E111" s="29"/>
    </row>
    <row r="112" spans="2:5" ht="12" customHeight="1" x14ac:dyDescent="0.45">
      <c r="B112" s="313">
        <v>45962</v>
      </c>
      <c r="C112" s="12" t="s">
        <v>75</v>
      </c>
      <c r="D112" s="19" t="s">
        <v>53</v>
      </c>
      <c r="E112" s="28"/>
    </row>
    <row r="113" spans="2:5" ht="12" customHeight="1" x14ac:dyDescent="0.45">
      <c r="B113" s="313">
        <v>45962</v>
      </c>
      <c r="C113" s="12" t="s">
        <v>75</v>
      </c>
      <c r="D113" s="23" t="s">
        <v>35</v>
      </c>
      <c r="E113" s="29"/>
    </row>
    <row r="114" spans="2:5" ht="12" customHeight="1" x14ac:dyDescent="0.45">
      <c r="B114" s="313">
        <v>45962</v>
      </c>
      <c r="C114" s="12" t="s">
        <v>75</v>
      </c>
      <c r="D114" s="23" t="s">
        <v>55</v>
      </c>
      <c r="E114" s="29"/>
    </row>
    <row r="115" spans="2:5" ht="12" customHeight="1" x14ac:dyDescent="0.45">
      <c r="B115" s="313">
        <v>45962</v>
      </c>
      <c r="C115" s="12" t="s">
        <v>75</v>
      </c>
      <c r="D115" s="23" t="s">
        <v>56</v>
      </c>
      <c r="E115" s="29"/>
    </row>
    <row r="116" spans="2:5" ht="12" customHeight="1" x14ac:dyDescent="0.45">
      <c r="B116" s="313">
        <v>45962</v>
      </c>
      <c r="C116" s="12" t="s">
        <v>75</v>
      </c>
      <c r="D116" s="23" t="s">
        <v>57</v>
      </c>
      <c r="E116" s="29"/>
    </row>
    <row r="117" spans="2:5" ht="12" customHeight="1" x14ac:dyDescent="0.45">
      <c r="B117" s="313">
        <v>45992</v>
      </c>
      <c r="C117" s="12" t="s">
        <v>75</v>
      </c>
      <c r="D117" s="19" t="s">
        <v>53</v>
      </c>
      <c r="E117" s="28"/>
    </row>
    <row r="118" spans="2:5" ht="12" customHeight="1" x14ac:dyDescent="0.45">
      <c r="B118" s="313">
        <v>45992</v>
      </c>
      <c r="C118" s="12" t="s">
        <v>75</v>
      </c>
      <c r="D118" s="23" t="s">
        <v>35</v>
      </c>
      <c r="E118" s="29"/>
    </row>
    <row r="119" spans="2:5" ht="12" customHeight="1" x14ac:dyDescent="0.45">
      <c r="B119" s="313">
        <v>45992</v>
      </c>
      <c r="C119" s="12" t="s">
        <v>75</v>
      </c>
      <c r="D119" s="23" t="s">
        <v>55</v>
      </c>
      <c r="E119" s="29"/>
    </row>
    <row r="120" spans="2:5" ht="12" customHeight="1" x14ac:dyDescent="0.45">
      <c r="B120" s="313">
        <v>45992</v>
      </c>
      <c r="C120" s="12" t="s">
        <v>75</v>
      </c>
      <c r="D120" s="23" t="s">
        <v>56</v>
      </c>
      <c r="E120" s="29"/>
    </row>
    <row r="121" spans="2:5" ht="12" customHeight="1" x14ac:dyDescent="0.45">
      <c r="B121" s="313">
        <v>45992</v>
      </c>
      <c r="C121" s="12" t="s">
        <v>75</v>
      </c>
      <c r="D121" s="23" t="s">
        <v>57</v>
      </c>
      <c r="E121" s="29"/>
    </row>
  </sheetData>
  <autoFilter ref="A1:E61" xr:uid="{00000000-0001-0000-0700-000000000000}">
    <sortState xmlns:xlrd2="http://schemas.microsoft.com/office/spreadsheetml/2017/richdata2" ref="A2:E121">
      <sortCondition ref="B1:B61"/>
    </sortState>
  </autoFilter>
  <phoneticPr fontId="28" type="noConversion"/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1"/>
  <sheetViews>
    <sheetView workbookViewId="0">
      <pane xSplit="4" ySplit="1" topLeftCell="E90" activePane="bottomRight" state="frozen"/>
      <selection activeCell="J8" sqref="J8"/>
      <selection pane="topRight" activeCell="J8" sqref="J8"/>
      <selection pane="bottomLeft" activeCell="J8" sqref="J8"/>
      <selection pane="bottomRight" activeCell="B1" sqref="B1:E1"/>
    </sheetView>
  </sheetViews>
  <sheetFormatPr defaultColWidth="8.5859375" defaultRowHeight="12" customHeight="1" x14ac:dyDescent="0.45"/>
  <cols>
    <col min="1" max="1" width="3.5859375" style="12" customWidth="1"/>
    <col min="2" max="2" width="8.8203125" style="12" customWidth="1"/>
    <col min="3" max="3" width="6.17578125" style="12" customWidth="1"/>
    <col min="4" max="4" width="8.234375" style="13" customWidth="1"/>
    <col min="5" max="5" width="19.76171875" style="13" customWidth="1"/>
    <col min="6" max="6" width="9.64453125" style="13" customWidth="1"/>
    <col min="7" max="16384" width="8.5859375" style="13"/>
  </cols>
  <sheetData>
    <row r="1" spans="1:6" s="11" customFormat="1" ht="24" customHeight="1" x14ac:dyDescent="0.45">
      <c r="A1" s="18"/>
      <c r="B1" s="18" t="s">
        <v>175</v>
      </c>
      <c r="C1" s="18" t="s">
        <v>176</v>
      </c>
      <c r="D1" s="130" t="s">
        <v>1</v>
      </c>
      <c r="E1" s="148" t="s">
        <v>177</v>
      </c>
    </row>
    <row r="2" spans="1:6" ht="20.2" customHeight="1" x14ac:dyDescent="0.45">
      <c r="B2" s="313">
        <v>45658</v>
      </c>
      <c r="C2" s="12" t="s">
        <v>76</v>
      </c>
      <c r="D2" s="19" t="s">
        <v>53</v>
      </c>
      <c r="E2" s="28">
        <v>1159807.0400000003</v>
      </c>
      <c r="F2" s="26"/>
    </row>
    <row r="3" spans="1:6" ht="20.2" customHeight="1" x14ac:dyDescent="0.45">
      <c r="B3" s="313">
        <v>45658</v>
      </c>
      <c r="C3" s="12" t="s">
        <v>76</v>
      </c>
      <c r="D3" s="23" t="s">
        <v>35</v>
      </c>
      <c r="E3" s="29">
        <v>26200000</v>
      </c>
      <c r="F3" s="26"/>
    </row>
    <row r="4" spans="1:6" ht="20.2" customHeight="1" x14ac:dyDescent="0.45">
      <c r="B4" s="313">
        <v>45658</v>
      </c>
      <c r="C4" s="12" t="s">
        <v>76</v>
      </c>
      <c r="D4" s="23" t="s">
        <v>55</v>
      </c>
      <c r="E4" s="29">
        <v>13800000</v>
      </c>
      <c r="F4" s="26"/>
    </row>
    <row r="5" spans="1:6" ht="20.2" customHeight="1" x14ac:dyDescent="0.45">
      <c r="B5" s="313">
        <v>45658</v>
      </c>
      <c r="C5" s="12" t="s">
        <v>76</v>
      </c>
      <c r="D5" s="23" t="s">
        <v>56</v>
      </c>
      <c r="E5" s="29">
        <v>6630000</v>
      </c>
      <c r="F5" s="26"/>
    </row>
    <row r="6" spans="1:6" ht="20.2" customHeight="1" x14ac:dyDescent="0.45">
      <c r="B6" s="313">
        <v>45658</v>
      </c>
      <c r="C6" s="12" t="s">
        <v>76</v>
      </c>
      <c r="D6" s="23" t="s">
        <v>57</v>
      </c>
      <c r="E6" s="29">
        <v>21000000</v>
      </c>
      <c r="F6" s="26"/>
    </row>
    <row r="7" spans="1:6" ht="20.2" customHeight="1" x14ac:dyDescent="0.45">
      <c r="B7" s="313">
        <v>45689</v>
      </c>
      <c r="C7" s="12" t="s">
        <v>76</v>
      </c>
      <c r="D7" s="19" t="s">
        <v>53</v>
      </c>
      <c r="E7" s="28">
        <v>1492626.5710000002</v>
      </c>
      <c r="F7" s="26"/>
    </row>
    <row r="8" spans="1:6" ht="20.2" customHeight="1" x14ac:dyDescent="0.45">
      <c r="B8" s="313">
        <v>45689</v>
      </c>
      <c r="C8" s="12" t="s">
        <v>76</v>
      </c>
      <c r="D8" s="23" t="s">
        <v>35</v>
      </c>
      <c r="E8" s="29">
        <v>17000000</v>
      </c>
      <c r="F8" s="26"/>
    </row>
    <row r="9" spans="1:6" ht="20.2" customHeight="1" x14ac:dyDescent="0.45">
      <c r="B9" s="313">
        <v>45689</v>
      </c>
      <c r="C9" s="12" t="s">
        <v>76</v>
      </c>
      <c r="D9" s="23" t="s">
        <v>55</v>
      </c>
      <c r="E9" s="29">
        <v>10700000</v>
      </c>
      <c r="F9" s="26"/>
    </row>
    <row r="10" spans="1:6" ht="20.2" customHeight="1" x14ac:dyDescent="0.45">
      <c r="B10" s="313">
        <v>45689</v>
      </c>
      <c r="C10" s="12" t="s">
        <v>76</v>
      </c>
      <c r="D10" s="23" t="s">
        <v>56</v>
      </c>
      <c r="E10" s="29">
        <v>5965000</v>
      </c>
      <c r="F10" s="26"/>
    </row>
    <row r="11" spans="1:6" ht="20.2" customHeight="1" x14ac:dyDescent="0.45">
      <c r="B11" s="313">
        <v>45689</v>
      </c>
      <c r="C11" s="12" t="s">
        <v>76</v>
      </c>
      <c r="D11" s="23" t="s">
        <v>57</v>
      </c>
      <c r="E11" s="29">
        <v>13500000</v>
      </c>
      <c r="F11" s="26"/>
    </row>
    <row r="12" spans="1:6" ht="20.2" customHeight="1" x14ac:dyDescent="0.45">
      <c r="B12" s="313">
        <v>45717</v>
      </c>
      <c r="C12" s="12" t="s">
        <v>76</v>
      </c>
      <c r="D12" s="19" t="s">
        <v>53</v>
      </c>
      <c r="E12" s="28">
        <v>1669225.6200000003</v>
      </c>
      <c r="F12" s="26"/>
    </row>
    <row r="13" spans="1:6" ht="20.2" customHeight="1" x14ac:dyDescent="0.45">
      <c r="B13" s="313">
        <v>45717</v>
      </c>
      <c r="C13" s="12" t="s">
        <v>76</v>
      </c>
      <c r="D13" s="23" t="s">
        <v>35</v>
      </c>
      <c r="E13" s="29">
        <v>22000000</v>
      </c>
      <c r="F13" s="26"/>
    </row>
    <row r="14" spans="1:6" ht="20.2" customHeight="1" x14ac:dyDescent="0.45">
      <c r="B14" s="313">
        <v>45717</v>
      </c>
      <c r="C14" s="12" t="s">
        <v>76</v>
      </c>
      <c r="D14" s="23" t="s">
        <v>55</v>
      </c>
      <c r="E14" s="29">
        <v>6620000</v>
      </c>
      <c r="F14" s="26"/>
    </row>
    <row r="15" spans="1:6" ht="20.2" customHeight="1" x14ac:dyDescent="0.45">
      <c r="B15" s="313">
        <v>45717</v>
      </c>
      <c r="C15" s="12" t="s">
        <v>76</v>
      </c>
      <c r="D15" s="23" t="s">
        <v>56</v>
      </c>
      <c r="E15" s="29">
        <v>4250000</v>
      </c>
      <c r="F15" s="26"/>
    </row>
    <row r="16" spans="1:6" ht="20.2" customHeight="1" x14ac:dyDescent="0.45">
      <c r="B16" s="313">
        <v>45717</v>
      </c>
      <c r="C16" s="12" t="s">
        <v>76</v>
      </c>
      <c r="D16" s="23" t="s">
        <v>57</v>
      </c>
      <c r="E16" s="29">
        <v>12300000</v>
      </c>
      <c r="F16" s="26"/>
    </row>
    <row r="17" spans="2:6" ht="20.2" customHeight="1" x14ac:dyDescent="0.45">
      <c r="B17" s="313">
        <f>B19</f>
        <v>45748</v>
      </c>
      <c r="C17" s="12" t="s">
        <v>76</v>
      </c>
      <c r="D17" s="19" t="s">
        <v>53</v>
      </c>
      <c r="E17" s="28">
        <v>1359820.7534999999</v>
      </c>
      <c r="F17" s="26"/>
    </row>
    <row r="18" spans="2:6" ht="20.2" customHeight="1" x14ac:dyDescent="0.45">
      <c r="B18" s="313">
        <v>45748</v>
      </c>
      <c r="C18" s="12" t="s">
        <v>76</v>
      </c>
      <c r="D18" s="23" t="s">
        <v>35</v>
      </c>
      <c r="E18" s="29">
        <v>20400000</v>
      </c>
      <c r="F18" s="26"/>
    </row>
    <row r="19" spans="2:6" ht="20.2" customHeight="1" x14ac:dyDescent="0.45">
      <c r="B19" s="313">
        <v>45748</v>
      </c>
      <c r="C19" s="12" t="s">
        <v>76</v>
      </c>
      <c r="D19" s="23" t="s">
        <v>55</v>
      </c>
      <c r="E19" s="29">
        <v>6340000</v>
      </c>
      <c r="F19" s="26"/>
    </row>
    <row r="20" spans="2:6" ht="20.2" customHeight="1" x14ac:dyDescent="0.45">
      <c r="B20" s="313">
        <v>45748</v>
      </c>
      <c r="C20" s="12" t="s">
        <v>76</v>
      </c>
      <c r="D20" s="23" t="s">
        <v>56</v>
      </c>
      <c r="E20" s="29">
        <v>4150000</v>
      </c>
      <c r="F20" s="26"/>
    </row>
    <row r="21" spans="2:6" ht="20.2" customHeight="1" x14ac:dyDescent="0.45">
      <c r="B21" s="313">
        <v>45748</v>
      </c>
      <c r="C21" s="12" t="s">
        <v>76</v>
      </c>
      <c r="D21" s="23" t="s">
        <v>57</v>
      </c>
      <c r="E21" s="29">
        <v>14000000</v>
      </c>
      <c r="F21" s="26"/>
    </row>
    <row r="22" spans="2:6" ht="20.2" customHeight="1" x14ac:dyDescent="0.45">
      <c r="B22" s="313">
        <v>45778</v>
      </c>
      <c r="C22" s="12" t="s">
        <v>76</v>
      </c>
      <c r="D22" s="19" t="s">
        <v>53</v>
      </c>
      <c r="E22" s="28">
        <v>1492618.1310000003</v>
      </c>
      <c r="F22" s="26"/>
    </row>
    <row r="23" spans="2:6" ht="20.2" customHeight="1" x14ac:dyDescent="0.45">
      <c r="B23" s="313">
        <v>45778</v>
      </c>
      <c r="C23" s="12" t="s">
        <v>76</v>
      </c>
      <c r="D23" s="23" t="s">
        <v>35</v>
      </c>
      <c r="E23" s="29">
        <v>28000000</v>
      </c>
      <c r="F23" s="26"/>
    </row>
    <row r="24" spans="2:6" ht="20.2" customHeight="1" x14ac:dyDescent="0.45">
      <c r="B24" s="313">
        <v>45778</v>
      </c>
      <c r="C24" s="12" t="s">
        <v>76</v>
      </c>
      <c r="D24" s="23" t="s">
        <v>55</v>
      </c>
      <c r="E24" s="29">
        <v>10250000</v>
      </c>
      <c r="F24" s="26"/>
    </row>
    <row r="25" spans="2:6" ht="20.2" customHeight="1" x14ac:dyDescent="0.45">
      <c r="B25" s="313">
        <v>45778</v>
      </c>
      <c r="C25" s="12" t="s">
        <v>76</v>
      </c>
      <c r="D25" s="23" t="s">
        <v>56</v>
      </c>
      <c r="E25" s="29">
        <v>6550000</v>
      </c>
      <c r="F25" s="26"/>
    </row>
    <row r="26" spans="2:6" ht="20.2" customHeight="1" x14ac:dyDescent="0.45">
      <c r="B26" s="313">
        <v>45778</v>
      </c>
      <c r="C26" s="12" t="s">
        <v>76</v>
      </c>
      <c r="D26" s="23" t="s">
        <v>57</v>
      </c>
      <c r="E26" s="29">
        <v>13500000</v>
      </c>
      <c r="F26" s="26"/>
    </row>
    <row r="27" spans="2:6" ht="20.2" customHeight="1" x14ac:dyDescent="0.45">
      <c r="B27" s="313">
        <v>45809</v>
      </c>
      <c r="C27" s="12" t="s">
        <v>76</v>
      </c>
      <c r="D27" s="19" t="s">
        <v>53</v>
      </c>
      <c r="E27" s="28"/>
      <c r="F27" s="26"/>
    </row>
    <row r="28" spans="2:6" ht="20.2" customHeight="1" x14ac:dyDescent="0.45">
      <c r="B28" s="313">
        <v>45809</v>
      </c>
      <c r="C28" s="12" t="s">
        <v>76</v>
      </c>
      <c r="D28" s="23" t="s">
        <v>35</v>
      </c>
      <c r="E28" s="29"/>
      <c r="F28" s="26"/>
    </row>
    <row r="29" spans="2:6" ht="20.2" customHeight="1" x14ac:dyDescent="0.45">
      <c r="B29" s="313">
        <v>45809</v>
      </c>
      <c r="C29" s="12" t="s">
        <v>76</v>
      </c>
      <c r="D29" s="23" t="s">
        <v>55</v>
      </c>
      <c r="E29" s="29"/>
      <c r="F29" s="26"/>
    </row>
    <row r="30" spans="2:6" ht="20.2" customHeight="1" x14ac:dyDescent="0.45">
      <c r="B30" s="313">
        <v>45809</v>
      </c>
      <c r="C30" s="12" t="s">
        <v>76</v>
      </c>
      <c r="D30" s="23" t="s">
        <v>56</v>
      </c>
      <c r="E30" s="29"/>
      <c r="F30" s="26"/>
    </row>
    <row r="31" spans="2:6" ht="20.2" customHeight="1" x14ac:dyDescent="0.45">
      <c r="B31" s="313">
        <v>45809</v>
      </c>
      <c r="C31" s="12" t="s">
        <v>76</v>
      </c>
      <c r="D31" s="23" t="s">
        <v>57</v>
      </c>
      <c r="E31" s="29"/>
      <c r="F31" s="26"/>
    </row>
    <row r="32" spans="2:6" ht="20.2" customHeight="1" x14ac:dyDescent="0.45">
      <c r="B32" s="313">
        <v>45839</v>
      </c>
      <c r="C32" s="12" t="s">
        <v>76</v>
      </c>
      <c r="D32" s="19" t="s">
        <v>53</v>
      </c>
      <c r="E32" s="28"/>
      <c r="F32" s="26"/>
    </row>
    <row r="33" spans="2:6" ht="20.2" customHeight="1" x14ac:dyDescent="0.45">
      <c r="B33" s="313">
        <v>45839</v>
      </c>
      <c r="C33" s="12" t="s">
        <v>76</v>
      </c>
      <c r="D33" s="23" t="s">
        <v>35</v>
      </c>
      <c r="E33" s="29"/>
      <c r="F33" s="26"/>
    </row>
    <row r="34" spans="2:6" ht="20.2" customHeight="1" x14ac:dyDescent="0.45">
      <c r="B34" s="313">
        <v>45839</v>
      </c>
      <c r="C34" s="12" t="s">
        <v>76</v>
      </c>
      <c r="D34" s="23" t="s">
        <v>55</v>
      </c>
      <c r="E34" s="29"/>
      <c r="F34" s="26"/>
    </row>
    <row r="35" spans="2:6" ht="20.2" customHeight="1" x14ac:dyDescent="0.45">
      <c r="B35" s="313">
        <v>45839</v>
      </c>
      <c r="C35" s="12" t="s">
        <v>76</v>
      </c>
      <c r="D35" s="23" t="s">
        <v>56</v>
      </c>
      <c r="E35" s="29"/>
      <c r="F35" s="26"/>
    </row>
    <row r="36" spans="2:6" ht="20.2" customHeight="1" x14ac:dyDescent="0.45">
      <c r="B36" s="313">
        <v>45839</v>
      </c>
      <c r="C36" s="12" t="s">
        <v>76</v>
      </c>
      <c r="D36" s="23" t="s">
        <v>57</v>
      </c>
      <c r="E36" s="29"/>
      <c r="F36" s="26"/>
    </row>
    <row r="37" spans="2:6" ht="20.2" customHeight="1" x14ac:dyDescent="0.45">
      <c r="B37" s="313">
        <v>45870</v>
      </c>
      <c r="C37" s="12" t="s">
        <v>76</v>
      </c>
      <c r="D37" s="19" t="s">
        <v>53</v>
      </c>
      <c r="E37" s="28"/>
      <c r="F37" s="26"/>
    </row>
    <row r="38" spans="2:6" ht="20.2" customHeight="1" x14ac:dyDescent="0.45">
      <c r="B38" s="313">
        <v>45870</v>
      </c>
      <c r="C38" s="12" t="s">
        <v>76</v>
      </c>
      <c r="D38" s="23" t="s">
        <v>35</v>
      </c>
      <c r="E38" s="29"/>
      <c r="F38" s="26"/>
    </row>
    <row r="39" spans="2:6" ht="20.2" customHeight="1" x14ac:dyDescent="0.45">
      <c r="B39" s="313">
        <v>45870</v>
      </c>
      <c r="C39" s="12" t="s">
        <v>76</v>
      </c>
      <c r="D39" s="23" t="s">
        <v>55</v>
      </c>
      <c r="E39" s="29"/>
      <c r="F39" s="26"/>
    </row>
    <row r="40" spans="2:6" ht="20.2" customHeight="1" x14ac:dyDescent="0.45">
      <c r="B40" s="313">
        <v>45870</v>
      </c>
      <c r="C40" s="12" t="s">
        <v>76</v>
      </c>
      <c r="D40" s="23" t="s">
        <v>56</v>
      </c>
      <c r="E40" s="29"/>
      <c r="F40" s="26"/>
    </row>
    <row r="41" spans="2:6" ht="20.2" customHeight="1" x14ac:dyDescent="0.45">
      <c r="B41" s="313">
        <v>45870</v>
      </c>
      <c r="C41" s="12" t="s">
        <v>76</v>
      </c>
      <c r="D41" s="23" t="s">
        <v>57</v>
      </c>
      <c r="E41" s="29"/>
      <c r="F41" s="26"/>
    </row>
    <row r="42" spans="2:6" ht="20.2" customHeight="1" x14ac:dyDescent="0.45">
      <c r="B42" s="313">
        <v>45901</v>
      </c>
      <c r="C42" s="12" t="s">
        <v>76</v>
      </c>
      <c r="D42" s="19" t="s">
        <v>53</v>
      </c>
      <c r="E42" s="28"/>
      <c r="F42" s="26"/>
    </row>
    <row r="43" spans="2:6" ht="20.2" customHeight="1" x14ac:dyDescent="0.45">
      <c r="B43" s="313">
        <v>45901</v>
      </c>
      <c r="C43" s="12" t="s">
        <v>76</v>
      </c>
      <c r="D43" s="23" t="s">
        <v>35</v>
      </c>
      <c r="E43" s="29"/>
      <c r="F43" s="26"/>
    </row>
    <row r="44" spans="2:6" ht="20.2" customHeight="1" x14ac:dyDescent="0.45">
      <c r="B44" s="313">
        <v>45901</v>
      </c>
      <c r="C44" s="12" t="s">
        <v>76</v>
      </c>
      <c r="D44" s="23" t="s">
        <v>55</v>
      </c>
      <c r="E44" s="29"/>
      <c r="F44" s="26"/>
    </row>
    <row r="45" spans="2:6" ht="20.2" customHeight="1" x14ac:dyDescent="0.45">
      <c r="B45" s="313">
        <v>45901</v>
      </c>
      <c r="C45" s="12" t="s">
        <v>76</v>
      </c>
      <c r="D45" s="23" t="s">
        <v>56</v>
      </c>
      <c r="E45" s="29"/>
      <c r="F45" s="26"/>
    </row>
    <row r="46" spans="2:6" ht="20.2" customHeight="1" x14ac:dyDescent="0.45">
      <c r="B46" s="313">
        <v>45901</v>
      </c>
      <c r="C46" s="12" t="s">
        <v>76</v>
      </c>
      <c r="D46" s="23" t="s">
        <v>57</v>
      </c>
      <c r="E46" s="29"/>
      <c r="F46" s="26"/>
    </row>
    <row r="47" spans="2:6" ht="20.2" customHeight="1" x14ac:dyDescent="0.45">
      <c r="B47" s="313">
        <v>45931</v>
      </c>
      <c r="C47" s="12" t="s">
        <v>76</v>
      </c>
      <c r="D47" s="19" t="s">
        <v>53</v>
      </c>
      <c r="E47" s="28"/>
      <c r="F47" s="26"/>
    </row>
    <row r="48" spans="2:6" ht="20.2" customHeight="1" x14ac:dyDescent="0.45">
      <c r="B48" s="313">
        <v>45931</v>
      </c>
      <c r="C48" s="12" t="s">
        <v>76</v>
      </c>
      <c r="D48" s="23" t="s">
        <v>35</v>
      </c>
      <c r="E48" s="29"/>
      <c r="F48" s="26"/>
    </row>
    <row r="49" spans="2:6" ht="20.2" customHeight="1" x14ac:dyDescent="0.45">
      <c r="B49" s="313">
        <v>45931</v>
      </c>
      <c r="C49" s="12" t="s">
        <v>76</v>
      </c>
      <c r="D49" s="23" t="s">
        <v>55</v>
      </c>
      <c r="E49" s="29"/>
      <c r="F49" s="26"/>
    </row>
    <row r="50" spans="2:6" ht="20.2" customHeight="1" x14ac:dyDescent="0.45">
      <c r="B50" s="313">
        <v>45931</v>
      </c>
      <c r="C50" s="12" t="s">
        <v>76</v>
      </c>
      <c r="D50" s="23" t="s">
        <v>56</v>
      </c>
      <c r="E50" s="29"/>
      <c r="F50" s="26"/>
    </row>
    <row r="51" spans="2:6" ht="20.2" customHeight="1" x14ac:dyDescent="0.45">
      <c r="B51" s="313">
        <v>45931</v>
      </c>
      <c r="C51" s="12" t="s">
        <v>76</v>
      </c>
      <c r="D51" s="23" t="s">
        <v>57</v>
      </c>
      <c r="E51" s="29"/>
      <c r="F51" s="26"/>
    </row>
    <row r="52" spans="2:6" ht="20.2" customHeight="1" x14ac:dyDescent="0.45">
      <c r="B52" s="313">
        <v>45962</v>
      </c>
      <c r="C52" s="12" t="s">
        <v>76</v>
      </c>
      <c r="D52" s="19" t="s">
        <v>53</v>
      </c>
      <c r="E52" s="28"/>
      <c r="F52" s="26"/>
    </row>
    <row r="53" spans="2:6" ht="20.2" customHeight="1" x14ac:dyDescent="0.45">
      <c r="B53" s="313">
        <v>45962</v>
      </c>
      <c r="C53" s="12" t="s">
        <v>76</v>
      </c>
      <c r="D53" s="23" t="s">
        <v>35</v>
      </c>
      <c r="E53" s="29"/>
      <c r="F53" s="26"/>
    </row>
    <row r="54" spans="2:6" ht="20.2" customHeight="1" x14ac:dyDescent="0.45">
      <c r="B54" s="313">
        <v>45962</v>
      </c>
      <c r="C54" s="12" t="s">
        <v>76</v>
      </c>
      <c r="D54" s="23" t="s">
        <v>55</v>
      </c>
      <c r="E54" s="29"/>
      <c r="F54" s="26"/>
    </row>
    <row r="55" spans="2:6" ht="20.2" customHeight="1" x14ac:dyDescent="0.45">
      <c r="B55" s="313">
        <v>45962</v>
      </c>
      <c r="C55" s="12" t="s">
        <v>76</v>
      </c>
      <c r="D55" s="23" t="s">
        <v>56</v>
      </c>
      <c r="E55" s="29"/>
      <c r="F55" s="26"/>
    </row>
    <row r="56" spans="2:6" ht="20.2" customHeight="1" x14ac:dyDescent="0.45">
      <c r="B56" s="313">
        <v>45962</v>
      </c>
      <c r="C56" s="12" t="s">
        <v>76</v>
      </c>
      <c r="D56" s="23" t="s">
        <v>57</v>
      </c>
      <c r="E56" s="29"/>
      <c r="F56" s="26"/>
    </row>
    <row r="57" spans="2:6" ht="20.2" customHeight="1" x14ac:dyDescent="0.45">
      <c r="B57" s="313">
        <v>45992</v>
      </c>
      <c r="C57" s="12" t="s">
        <v>76</v>
      </c>
      <c r="D57" s="19" t="s">
        <v>53</v>
      </c>
      <c r="E57" s="28"/>
      <c r="F57" s="26"/>
    </row>
    <row r="58" spans="2:6" ht="20.2" customHeight="1" x14ac:dyDescent="0.45">
      <c r="B58" s="313">
        <v>45992</v>
      </c>
      <c r="C58" s="12" t="s">
        <v>76</v>
      </c>
      <c r="D58" s="23" t="s">
        <v>35</v>
      </c>
      <c r="E58" s="29"/>
      <c r="F58" s="26"/>
    </row>
    <row r="59" spans="2:6" ht="20.2" customHeight="1" x14ac:dyDescent="0.45">
      <c r="B59" s="313">
        <v>45992</v>
      </c>
      <c r="C59" s="12" t="s">
        <v>76</v>
      </c>
      <c r="D59" s="23" t="s">
        <v>55</v>
      </c>
      <c r="E59" s="29"/>
      <c r="F59" s="26"/>
    </row>
    <row r="60" spans="2:6" ht="20.2" customHeight="1" x14ac:dyDescent="0.45">
      <c r="B60" s="313">
        <v>45992</v>
      </c>
      <c r="C60" s="12" t="s">
        <v>76</v>
      </c>
      <c r="D60" s="23" t="s">
        <v>56</v>
      </c>
      <c r="E60" s="29"/>
      <c r="F60" s="26"/>
    </row>
    <row r="61" spans="2:6" ht="20.2" customHeight="1" x14ac:dyDescent="0.45">
      <c r="B61" s="313">
        <v>45992</v>
      </c>
      <c r="C61" s="12" t="s">
        <v>76</v>
      </c>
      <c r="D61" s="23" t="s">
        <v>57</v>
      </c>
      <c r="E61" s="29"/>
      <c r="F61" s="26"/>
    </row>
    <row r="62" spans="2:6" ht="12" customHeight="1" x14ac:dyDescent="0.45">
      <c r="B62" s="318">
        <v>45292</v>
      </c>
      <c r="C62" s="12" t="s">
        <v>76</v>
      </c>
      <c r="D62" s="19" t="s">
        <v>53</v>
      </c>
      <c r="E62" s="28">
        <v>4558318.4699999969</v>
      </c>
    </row>
    <row r="63" spans="2:6" ht="12" customHeight="1" x14ac:dyDescent="0.45">
      <c r="B63" s="320">
        <v>45292</v>
      </c>
      <c r="C63" s="12" t="s">
        <v>76</v>
      </c>
      <c r="D63" s="23" t="s">
        <v>35</v>
      </c>
      <c r="E63" s="29">
        <v>30200000</v>
      </c>
    </row>
    <row r="64" spans="2:6" ht="12" customHeight="1" x14ac:dyDescent="0.45">
      <c r="B64" s="320">
        <v>45292</v>
      </c>
      <c r="C64" s="12" t="s">
        <v>76</v>
      </c>
      <c r="D64" s="23" t="s">
        <v>55</v>
      </c>
      <c r="E64" s="29">
        <v>9840000</v>
      </c>
    </row>
    <row r="65" spans="2:5" ht="12" customHeight="1" x14ac:dyDescent="0.45">
      <c r="B65" s="320">
        <v>45292</v>
      </c>
      <c r="C65" s="12" t="s">
        <v>76</v>
      </c>
      <c r="D65" s="23" t="s">
        <v>56</v>
      </c>
      <c r="E65" s="29">
        <v>6050000</v>
      </c>
    </row>
    <row r="66" spans="2:5" ht="12" customHeight="1" x14ac:dyDescent="0.45">
      <c r="B66" s="320">
        <v>45292</v>
      </c>
      <c r="C66" s="12" t="s">
        <v>76</v>
      </c>
      <c r="D66" s="23" t="s">
        <v>57</v>
      </c>
      <c r="E66" s="29">
        <v>11400000</v>
      </c>
    </row>
    <row r="67" spans="2:5" ht="12" customHeight="1" x14ac:dyDescent="0.45">
      <c r="B67" s="318">
        <v>45323</v>
      </c>
      <c r="C67" s="12" t="s">
        <v>76</v>
      </c>
      <c r="D67" s="19" t="s">
        <v>53</v>
      </c>
      <c r="E67" s="28">
        <v>3125654</v>
      </c>
    </row>
    <row r="68" spans="2:5" ht="12" customHeight="1" x14ac:dyDescent="0.45">
      <c r="B68" s="320">
        <v>45323</v>
      </c>
      <c r="C68" s="12" t="s">
        <v>76</v>
      </c>
      <c r="D68" s="23" t="s">
        <v>35</v>
      </c>
      <c r="E68" s="29">
        <v>22400000</v>
      </c>
    </row>
    <row r="69" spans="2:5" ht="12" customHeight="1" x14ac:dyDescent="0.45">
      <c r="B69" s="320">
        <v>45323</v>
      </c>
      <c r="C69" s="12" t="s">
        <v>76</v>
      </c>
      <c r="D69" s="23" t="s">
        <v>55</v>
      </c>
      <c r="E69" s="29">
        <v>11010000</v>
      </c>
    </row>
    <row r="70" spans="2:5" ht="12" customHeight="1" x14ac:dyDescent="0.45">
      <c r="B70" s="320">
        <v>45323</v>
      </c>
      <c r="C70" s="12" t="s">
        <v>76</v>
      </c>
      <c r="D70" s="23" t="s">
        <v>56</v>
      </c>
      <c r="E70" s="29">
        <v>8060000</v>
      </c>
    </row>
    <row r="71" spans="2:5" ht="12" customHeight="1" x14ac:dyDescent="0.45">
      <c r="B71" s="320">
        <v>45323</v>
      </c>
      <c r="C71" s="12" t="s">
        <v>76</v>
      </c>
      <c r="D71" s="23" t="s">
        <v>57</v>
      </c>
      <c r="E71" s="29">
        <v>12500000</v>
      </c>
    </row>
    <row r="72" spans="2:5" ht="12" customHeight="1" x14ac:dyDescent="0.45">
      <c r="B72" s="318">
        <v>45352</v>
      </c>
      <c r="C72" s="12" t="s">
        <v>76</v>
      </c>
      <c r="D72" s="19" t="s">
        <v>53</v>
      </c>
      <c r="E72" s="28">
        <v>2785897.21</v>
      </c>
    </row>
    <row r="73" spans="2:5" ht="12" customHeight="1" x14ac:dyDescent="0.45">
      <c r="B73" s="320">
        <v>45352</v>
      </c>
      <c r="C73" s="12" t="s">
        <v>76</v>
      </c>
      <c r="D73" s="23" t="s">
        <v>35</v>
      </c>
      <c r="E73" s="29">
        <v>24000000</v>
      </c>
    </row>
    <row r="74" spans="2:5" ht="12" customHeight="1" x14ac:dyDescent="0.45">
      <c r="B74" s="320">
        <v>45352</v>
      </c>
      <c r="C74" s="12" t="s">
        <v>76</v>
      </c>
      <c r="D74" s="23" t="s">
        <v>55</v>
      </c>
      <c r="E74" s="29">
        <v>7470000</v>
      </c>
    </row>
    <row r="75" spans="2:5" ht="12" customHeight="1" x14ac:dyDescent="0.45">
      <c r="B75" s="320">
        <v>45352</v>
      </c>
      <c r="C75" s="12" t="s">
        <v>76</v>
      </c>
      <c r="D75" s="23" t="s">
        <v>56</v>
      </c>
      <c r="E75" s="29">
        <v>5160000</v>
      </c>
    </row>
    <row r="76" spans="2:5" ht="12" customHeight="1" x14ac:dyDescent="0.45">
      <c r="B76" s="320">
        <v>45352</v>
      </c>
      <c r="C76" s="12" t="s">
        <v>76</v>
      </c>
      <c r="D76" s="23" t="s">
        <v>57</v>
      </c>
      <c r="E76" s="29">
        <v>10000000</v>
      </c>
    </row>
    <row r="77" spans="2:5" ht="12" customHeight="1" x14ac:dyDescent="0.45">
      <c r="B77" s="318">
        <v>45383</v>
      </c>
      <c r="C77" s="12" t="s">
        <v>76</v>
      </c>
      <c r="D77" s="19" t="s">
        <v>53</v>
      </c>
      <c r="E77" s="28">
        <v>2946169.4699999997</v>
      </c>
    </row>
    <row r="78" spans="2:5" ht="12" customHeight="1" x14ac:dyDescent="0.45">
      <c r="B78" s="320">
        <v>45383</v>
      </c>
      <c r="C78" s="12" t="s">
        <v>76</v>
      </c>
      <c r="D78" s="23" t="s">
        <v>35</v>
      </c>
      <c r="E78" s="29">
        <v>24500000</v>
      </c>
    </row>
    <row r="79" spans="2:5" ht="12" customHeight="1" x14ac:dyDescent="0.45">
      <c r="B79" s="320">
        <v>45383</v>
      </c>
      <c r="C79" s="12" t="s">
        <v>76</v>
      </c>
      <c r="D79" s="23" t="s">
        <v>55</v>
      </c>
      <c r="E79" s="29">
        <v>8700000</v>
      </c>
    </row>
    <row r="80" spans="2:5" ht="12" customHeight="1" x14ac:dyDescent="0.45">
      <c r="B80" s="320">
        <v>45383</v>
      </c>
      <c r="C80" s="12" t="s">
        <v>76</v>
      </c>
      <c r="D80" s="23" t="s">
        <v>56</v>
      </c>
      <c r="E80" s="29">
        <v>5390000</v>
      </c>
    </row>
    <row r="81" spans="2:5" ht="12" customHeight="1" x14ac:dyDescent="0.45">
      <c r="B81" s="320">
        <v>45383</v>
      </c>
      <c r="C81" s="12" t="s">
        <v>76</v>
      </c>
      <c r="D81" s="23" t="s">
        <v>57</v>
      </c>
      <c r="E81" s="29">
        <v>10000000</v>
      </c>
    </row>
    <row r="82" spans="2:5" ht="12" customHeight="1" x14ac:dyDescent="0.45">
      <c r="B82" s="318">
        <v>45413</v>
      </c>
      <c r="C82" s="12" t="s">
        <v>76</v>
      </c>
      <c r="D82" s="19" t="s">
        <v>53</v>
      </c>
      <c r="E82" s="28">
        <v>2661387.1564999977</v>
      </c>
    </row>
    <row r="83" spans="2:5" ht="12" customHeight="1" x14ac:dyDescent="0.45">
      <c r="B83" s="320">
        <v>45413</v>
      </c>
      <c r="C83" s="12" t="s">
        <v>76</v>
      </c>
      <c r="D83" s="23" t="s">
        <v>35</v>
      </c>
      <c r="E83" s="29">
        <v>31000000</v>
      </c>
    </row>
    <row r="84" spans="2:5" ht="12" customHeight="1" x14ac:dyDescent="0.45">
      <c r="B84" s="320">
        <v>45413</v>
      </c>
      <c r="C84" s="12" t="s">
        <v>76</v>
      </c>
      <c r="D84" s="23" t="s">
        <v>55</v>
      </c>
      <c r="E84" s="29">
        <v>13000000</v>
      </c>
    </row>
    <row r="85" spans="2:5" ht="12" customHeight="1" x14ac:dyDescent="0.45">
      <c r="B85" s="320">
        <v>45413</v>
      </c>
      <c r="C85" s="12" t="s">
        <v>76</v>
      </c>
      <c r="D85" s="23" t="s">
        <v>56</v>
      </c>
      <c r="E85" s="29">
        <v>8510000</v>
      </c>
    </row>
    <row r="86" spans="2:5" ht="12" customHeight="1" x14ac:dyDescent="0.45">
      <c r="B86" s="320">
        <v>45413</v>
      </c>
      <c r="C86" s="12" t="s">
        <v>76</v>
      </c>
      <c r="D86" s="23" t="s">
        <v>57</v>
      </c>
      <c r="E86" s="29">
        <v>14500000</v>
      </c>
    </row>
    <row r="87" spans="2:5" ht="12" customHeight="1" x14ac:dyDescent="0.45">
      <c r="B87" s="318">
        <v>45444</v>
      </c>
      <c r="C87" s="12" t="s">
        <v>76</v>
      </c>
      <c r="D87" s="19" t="s">
        <v>53</v>
      </c>
      <c r="E87" s="28">
        <v>4053263.2085000006</v>
      </c>
    </row>
    <row r="88" spans="2:5" ht="12" customHeight="1" x14ac:dyDescent="0.45">
      <c r="B88" s="320">
        <v>45444</v>
      </c>
      <c r="C88" s="12" t="s">
        <v>76</v>
      </c>
      <c r="D88" s="23" t="s">
        <v>35</v>
      </c>
      <c r="E88" s="29">
        <v>15840000</v>
      </c>
    </row>
    <row r="89" spans="2:5" ht="12" customHeight="1" x14ac:dyDescent="0.45">
      <c r="B89" s="320">
        <v>45444</v>
      </c>
      <c r="C89" s="12" t="s">
        <v>76</v>
      </c>
      <c r="D89" s="23" t="s">
        <v>55</v>
      </c>
      <c r="E89" s="29">
        <v>8210000</v>
      </c>
    </row>
    <row r="90" spans="2:5" ht="12" customHeight="1" x14ac:dyDescent="0.45">
      <c r="B90" s="320">
        <v>45444</v>
      </c>
      <c r="C90" s="12" t="s">
        <v>76</v>
      </c>
      <c r="D90" s="23" t="s">
        <v>56</v>
      </c>
      <c r="E90" s="29">
        <v>5550000</v>
      </c>
    </row>
    <row r="91" spans="2:5" ht="12" customHeight="1" x14ac:dyDescent="0.45">
      <c r="B91" s="320">
        <v>45444</v>
      </c>
      <c r="C91" s="12" t="s">
        <v>76</v>
      </c>
      <c r="D91" s="23" t="s">
        <v>57</v>
      </c>
      <c r="E91" s="29">
        <v>10050000</v>
      </c>
    </row>
    <row r="92" spans="2:5" ht="12" customHeight="1" x14ac:dyDescent="0.45">
      <c r="B92" s="318">
        <v>45474</v>
      </c>
      <c r="C92" s="12" t="s">
        <v>76</v>
      </c>
      <c r="D92" s="19" t="s">
        <v>53</v>
      </c>
      <c r="E92" s="28">
        <v>1693530.5340000009</v>
      </c>
    </row>
    <row r="93" spans="2:5" ht="12" customHeight="1" x14ac:dyDescent="0.45">
      <c r="B93" s="320">
        <v>45474</v>
      </c>
      <c r="C93" s="12" t="s">
        <v>76</v>
      </c>
      <c r="D93" s="23" t="s">
        <v>35</v>
      </c>
      <c r="E93" s="29">
        <v>19100000</v>
      </c>
    </row>
    <row r="94" spans="2:5" ht="12" customHeight="1" x14ac:dyDescent="0.45">
      <c r="B94" s="320">
        <v>45474</v>
      </c>
      <c r="C94" s="12" t="s">
        <v>76</v>
      </c>
      <c r="D94" s="23" t="s">
        <v>55</v>
      </c>
      <c r="E94" s="29">
        <v>8200000</v>
      </c>
    </row>
    <row r="95" spans="2:5" ht="12" customHeight="1" x14ac:dyDescent="0.45">
      <c r="B95" s="320">
        <v>45474</v>
      </c>
      <c r="C95" s="12" t="s">
        <v>76</v>
      </c>
      <c r="D95" s="23" t="s">
        <v>56</v>
      </c>
      <c r="E95" s="29">
        <v>4610000</v>
      </c>
    </row>
    <row r="96" spans="2:5" ht="12" customHeight="1" x14ac:dyDescent="0.45">
      <c r="B96" s="320">
        <v>45474</v>
      </c>
      <c r="C96" s="12" t="s">
        <v>76</v>
      </c>
      <c r="D96" s="23" t="s">
        <v>57</v>
      </c>
      <c r="E96" s="29">
        <v>10000000</v>
      </c>
    </row>
    <row r="97" spans="2:5" ht="12" customHeight="1" x14ac:dyDescent="0.45">
      <c r="B97" s="318">
        <v>45505</v>
      </c>
      <c r="C97" s="12" t="s">
        <v>76</v>
      </c>
      <c r="D97" s="19" t="s">
        <v>53</v>
      </c>
      <c r="E97" s="28">
        <v>3325983.6705000009</v>
      </c>
    </row>
    <row r="98" spans="2:5" ht="12" customHeight="1" x14ac:dyDescent="0.45">
      <c r="B98" s="320">
        <v>45505</v>
      </c>
      <c r="C98" s="12" t="s">
        <v>76</v>
      </c>
      <c r="D98" s="23" t="s">
        <v>35</v>
      </c>
      <c r="E98" s="29">
        <v>28900000</v>
      </c>
    </row>
    <row r="99" spans="2:5" ht="12" customHeight="1" x14ac:dyDescent="0.45">
      <c r="B99" s="320">
        <v>45505</v>
      </c>
      <c r="C99" s="12" t="s">
        <v>76</v>
      </c>
      <c r="D99" s="23" t="s">
        <v>55</v>
      </c>
      <c r="E99" s="29">
        <v>9650000</v>
      </c>
    </row>
    <row r="100" spans="2:5" ht="12" customHeight="1" x14ac:dyDescent="0.45">
      <c r="B100" s="320">
        <v>45505</v>
      </c>
      <c r="C100" s="12" t="s">
        <v>76</v>
      </c>
      <c r="D100" s="23" t="s">
        <v>56</v>
      </c>
      <c r="E100" s="29">
        <v>6900000</v>
      </c>
    </row>
    <row r="101" spans="2:5" ht="12" customHeight="1" x14ac:dyDescent="0.45">
      <c r="B101" s="320">
        <v>45505</v>
      </c>
      <c r="C101" s="12" t="s">
        <v>76</v>
      </c>
      <c r="D101" s="23" t="s">
        <v>57</v>
      </c>
      <c r="E101" s="29">
        <v>13400000</v>
      </c>
    </row>
    <row r="102" spans="2:5" ht="12" customHeight="1" x14ac:dyDescent="0.45">
      <c r="B102" s="318">
        <v>45536</v>
      </c>
      <c r="C102" s="12" t="s">
        <v>76</v>
      </c>
      <c r="D102" s="19" t="s">
        <v>53</v>
      </c>
      <c r="E102" s="28">
        <v>1383889.3600000006</v>
      </c>
    </row>
    <row r="103" spans="2:5" ht="12" customHeight="1" x14ac:dyDescent="0.45">
      <c r="B103" s="320">
        <v>45536</v>
      </c>
      <c r="C103" s="12" t="s">
        <v>76</v>
      </c>
      <c r="D103" s="23" t="s">
        <v>35</v>
      </c>
      <c r="E103" s="29">
        <v>17100000</v>
      </c>
    </row>
    <row r="104" spans="2:5" ht="12" customHeight="1" x14ac:dyDescent="0.45">
      <c r="B104" s="320">
        <v>45536</v>
      </c>
      <c r="C104" s="12" t="s">
        <v>76</v>
      </c>
      <c r="D104" s="23" t="s">
        <v>55</v>
      </c>
      <c r="E104" s="29">
        <v>6660000</v>
      </c>
    </row>
    <row r="105" spans="2:5" ht="12" customHeight="1" x14ac:dyDescent="0.45">
      <c r="B105" s="320">
        <v>45536</v>
      </c>
      <c r="C105" s="12" t="s">
        <v>76</v>
      </c>
      <c r="D105" s="23" t="s">
        <v>56</v>
      </c>
      <c r="E105" s="29">
        <v>5950000</v>
      </c>
    </row>
    <row r="106" spans="2:5" ht="12" customHeight="1" x14ac:dyDescent="0.45">
      <c r="B106" s="320">
        <v>45536</v>
      </c>
      <c r="C106" s="12" t="s">
        <v>76</v>
      </c>
      <c r="D106" s="23" t="s">
        <v>57</v>
      </c>
      <c r="E106" s="29">
        <v>10000000</v>
      </c>
    </row>
    <row r="107" spans="2:5" ht="12" customHeight="1" x14ac:dyDescent="0.45">
      <c r="B107" s="318">
        <v>45566</v>
      </c>
      <c r="C107" s="12" t="s">
        <v>76</v>
      </c>
      <c r="D107" s="19" t="s">
        <v>53</v>
      </c>
      <c r="E107" s="28">
        <v>1042657.4729999999</v>
      </c>
    </row>
    <row r="108" spans="2:5" ht="12" customHeight="1" x14ac:dyDescent="0.45">
      <c r="B108" s="320">
        <v>45566</v>
      </c>
      <c r="C108" s="12" t="s">
        <v>76</v>
      </c>
      <c r="D108" s="23" t="s">
        <v>35</v>
      </c>
      <c r="E108" s="29">
        <v>24500000</v>
      </c>
    </row>
    <row r="109" spans="2:5" ht="12" customHeight="1" x14ac:dyDescent="0.45">
      <c r="B109" s="320">
        <v>45566</v>
      </c>
      <c r="C109" s="12" t="s">
        <v>76</v>
      </c>
      <c r="D109" s="23" t="s">
        <v>55</v>
      </c>
      <c r="E109" s="29">
        <v>7160000</v>
      </c>
    </row>
    <row r="110" spans="2:5" ht="12" customHeight="1" x14ac:dyDescent="0.45">
      <c r="B110" s="320">
        <v>45566</v>
      </c>
      <c r="C110" s="12" t="s">
        <v>76</v>
      </c>
      <c r="D110" s="23" t="s">
        <v>56</v>
      </c>
      <c r="E110" s="29">
        <v>4520000</v>
      </c>
    </row>
    <row r="111" spans="2:5" ht="12" customHeight="1" x14ac:dyDescent="0.45">
      <c r="B111" s="320">
        <v>45566</v>
      </c>
      <c r="C111" s="12" t="s">
        <v>76</v>
      </c>
      <c r="D111" s="23" t="s">
        <v>57</v>
      </c>
      <c r="E111" s="29">
        <v>13000000</v>
      </c>
    </row>
    <row r="112" spans="2:5" ht="12" customHeight="1" x14ac:dyDescent="0.45">
      <c r="B112" s="318">
        <v>45597</v>
      </c>
      <c r="C112" s="12" t="s">
        <v>76</v>
      </c>
      <c r="D112" s="19" t="s">
        <v>53</v>
      </c>
      <c r="E112" s="28">
        <v>8126224.2945000008</v>
      </c>
    </row>
    <row r="113" spans="2:5" ht="12" customHeight="1" x14ac:dyDescent="0.45">
      <c r="B113" s="320">
        <v>45597</v>
      </c>
      <c r="C113" s="12" t="s">
        <v>76</v>
      </c>
      <c r="D113" s="23" t="s">
        <v>35</v>
      </c>
      <c r="E113" s="29">
        <v>20500000</v>
      </c>
    </row>
    <row r="114" spans="2:5" ht="12" customHeight="1" x14ac:dyDescent="0.45">
      <c r="B114" s="320">
        <v>45597</v>
      </c>
      <c r="C114" s="12" t="s">
        <v>76</v>
      </c>
      <c r="D114" s="23" t="s">
        <v>55</v>
      </c>
      <c r="E114" s="29">
        <v>6500000</v>
      </c>
    </row>
    <row r="115" spans="2:5" ht="12" customHeight="1" x14ac:dyDescent="0.45">
      <c r="B115" s="320">
        <v>45597</v>
      </c>
      <c r="C115" s="12" t="s">
        <v>76</v>
      </c>
      <c r="D115" s="23" t="s">
        <v>56</v>
      </c>
      <c r="E115" s="29">
        <v>4670000</v>
      </c>
    </row>
    <row r="116" spans="2:5" ht="12" customHeight="1" x14ac:dyDescent="0.45">
      <c r="B116" s="320">
        <v>45597</v>
      </c>
      <c r="C116" s="12" t="s">
        <v>76</v>
      </c>
      <c r="D116" s="23" t="s">
        <v>57</v>
      </c>
      <c r="E116" s="29">
        <v>15000000</v>
      </c>
    </row>
    <row r="117" spans="2:5" ht="12" customHeight="1" x14ac:dyDescent="0.45">
      <c r="B117" s="318">
        <v>45627</v>
      </c>
      <c r="C117" s="12" t="s">
        <v>76</v>
      </c>
      <c r="D117" s="19" t="s">
        <v>53</v>
      </c>
      <c r="E117" s="28">
        <v>1473147.3489999999</v>
      </c>
    </row>
    <row r="118" spans="2:5" ht="12" customHeight="1" x14ac:dyDescent="0.45">
      <c r="B118" s="320">
        <v>45627</v>
      </c>
      <c r="C118" s="12" t="s">
        <v>76</v>
      </c>
      <c r="D118" s="23" t="s">
        <v>35</v>
      </c>
      <c r="E118" s="29">
        <v>24600000</v>
      </c>
    </row>
    <row r="119" spans="2:5" ht="12" customHeight="1" x14ac:dyDescent="0.45">
      <c r="B119" s="320">
        <v>45627</v>
      </c>
      <c r="C119" s="12" t="s">
        <v>76</v>
      </c>
      <c r="D119" s="23" t="s">
        <v>55</v>
      </c>
      <c r="E119" s="29">
        <v>11360000</v>
      </c>
    </row>
    <row r="120" spans="2:5" ht="12" customHeight="1" x14ac:dyDescent="0.45">
      <c r="B120" s="320">
        <v>45627</v>
      </c>
      <c r="C120" s="12" t="s">
        <v>76</v>
      </c>
      <c r="D120" s="23" t="s">
        <v>56</v>
      </c>
      <c r="E120" s="29">
        <v>6777000</v>
      </c>
    </row>
    <row r="121" spans="2:5" ht="12" customHeight="1" x14ac:dyDescent="0.45">
      <c r="B121" s="320">
        <v>45627</v>
      </c>
      <c r="C121" s="12" t="s">
        <v>76</v>
      </c>
      <c r="D121" s="23" t="s">
        <v>57</v>
      </c>
      <c r="E121" s="29">
        <v>19000000</v>
      </c>
    </row>
  </sheetData>
  <autoFilter ref="B1:E1" xr:uid="{00000000-0001-0000-0800-000000000000}"/>
  <phoneticPr fontId="28" type="noConversion"/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1"/>
  <sheetViews>
    <sheetView zoomScale="96" zoomScaleNormal="96" workbookViewId="0">
      <pane xSplit="4" ySplit="1" topLeftCell="E2" activePane="bottomRight" state="frozen"/>
      <selection activeCell="J8" sqref="J8"/>
      <selection pane="topRight" activeCell="J8" sqref="J8"/>
      <selection pane="bottomLeft" activeCell="J8" sqref="J8"/>
      <selection pane="bottomRight" activeCell="J8" sqref="J8"/>
    </sheetView>
  </sheetViews>
  <sheetFormatPr defaultColWidth="8.5859375" defaultRowHeight="12" customHeight="1" x14ac:dyDescent="0.45"/>
  <cols>
    <col min="1" max="1" width="3.5859375" style="12" customWidth="1"/>
    <col min="2" max="2" width="8" style="12" customWidth="1"/>
    <col min="3" max="3" width="9.76171875" style="12" customWidth="1"/>
    <col min="4" max="4" width="8.234375" style="13" customWidth="1"/>
    <col min="5" max="5" width="19.76171875" style="13" customWidth="1"/>
    <col min="6" max="16384" width="8.5859375" style="13"/>
  </cols>
  <sheetData>
    <row r="1" spans="1:5" s="11" customFormat="1" ht="24" customHeight="1" x14ac:dyDescent="0.45">
      <c r="A1" s="18"/>
      <c r="B1" s="18" t="s">
        <v>175</v>
      </c>
      <c r="C1" s="18" t="s">
        <v>176</v>
      </c>
      <c r="D1" s="130" t="s">
        <v>1</v>
      </c>
      <c r="E1" s="148" t="s">
        <v>177</v>
      </c>
    </row>
    <row r="2" spans="1:5" ht="20.2" customHeight="1" x14ac:dyDescent="0.45">
      <c r="B2" s="313">
        <v>45658</v>
      </c>
      <c r="C2" s="314" t="s">
        <v>77</v>
      </c>
      <c r="D2" s="19" t="s">
        <v>53</v>
      </c>
      <c r="E2" s="28">
        <v>1162626.5400000003</v>
      </c>
    </row>
    <row r="3" spans="1:5" ht="20.2" customHeight="1" x14ac:dyDescent="0.45">
      <c r="B3" s="313">
        <v>45658</v>
      </c>
      <c r="C3" s="314" t="s">
        <v>77</v>
      </c>
      <c r="D3" s="23" t="s">
        <v>35</v>
      </c>
      <c r="E3" s="29">
        <v>15700000</v>
      </c>
    </row>
    <row r="4" spans="1:5" ht="20.2" customHeight="1" x14ac:dyDescent="0.45">
      <c r="B4" s="313">
        <v>45658</v>
      </c>
      <c r="C4" s="314" t="s">
        <v>77</v>
      </c>
      <c r="D4" s="23" t="s">
        <v>55</v>
      </c>
      <c r="E4" s="29">
        <v>4800000</v>
      </c>
    </row>
    <row r="5" spans="1:5" ht="20.2" customHeight="1" x14ac:dyDescent="0.45">
      <c r="B5" s="313">
        <v>45658</v>
      </c>
      <c r="C5" s="314" t="s">
        <v>77</v>
      </c>
      <c r="D5" s="23" t="s">
        <v>56</v>
      </c>
      <c r="E5" s="29">
        <v>4080000</v>
      </c>
    </row>
    <row r="6" spans="1:5" ht="20.2" customHeight="1" x14ac:dyDescent="0.45">
      <c r="B6" s="313">
        <v>45658</v>
      </c>
      <c r="C6" s="314" t="s">
        <v>77</v>
      </c>
      <c r="D6" s="23" t="s">
        <v>57</v>
      </c>
      <c r="E6" s="29">
        <v>20000000</v>
      </c>
    </row>
    <row r="7" spans="1:5" ht="20.2" customHeight="1" x14ac:dyDescent="0.45">
      <c r="B7" s="313">
        <v>45689</v>
      </c>
      <c r="C7" s="314" t="s">
        <v>77</v>
      </c>
      <c r="D7" s="19" t="s">
        <v>53</v>
      </c>
      <c r="E7" s="28">
        <v>3673166.399999999</v>
      </c>
    </row>
    <row r="8" spans="1:5" ht="20.2" customHeight="1" x14ac:dyDescent="0.45">
      <c r="B8" s="313">
        <v>45689</v>
      </c>
      <c r="C8" s="314" t="s">
        <v>77</v>
      </c>
      <c r="D8" s="23" t="s">
        <v>35</v>
      </c>
      <c r="E8" s="29">
        <v>17130000</v>
      </c>
    </row>
    <row r="9" spans="1:5" ht="20.2" customHeight="1" x14ac:dyDescent="0.45">
      <c r="B9" s="313">
        <v>45689</v>
      </c>
      <c r="C9" s="314" t="s">
        <v>77</v>
      </c>
      <c r="D9" s="23" t="s">
        <v>55</v>
      </c>
      <c r="E9" s="29">
        <v>4750000</v>
      </c>
    </row>
    <row r="10" spans="1:5" ht="20.2" customHeight="1" x14ac:dyDescent="0.45">
      <c r="B10" s="313">
        <v>45689</v>
      </c>
      <c r="C10" s="314" t="s">
        <v>77</v>
      </c>
      <c r="D10" s="23" t="s">
        <v>56</v>
      </c>
      <c r="E10" s="29">
        <v>4080000</v>
      </c>
    </row>
    <row r="11" spans="1:5" ht="20.2" customHeight="1" x14ac:dyDescent="0.45">
      <c r="B11" s="313">
        <v>45689</v>
      </c>
      <c r="C11" s="314" t="s">
        <v>77</v>
      </c>
      <c r="D11" s="23" t="s">
        <v>57</v>
      </c>
      <c r="E11" s="29">
        <v>17720000</v>
      </c>
    </row>
    <row r="12" spans="1:5" ht="20.2" customHeight="1" x14ac:dyDescent="0.45">
      <c r="B12" s="313">
        <v>45717</v>
      </c>
      <c r="C12" s="314" t="s">
        <v>77</v>
      </c>
      <c r="D12" s="19" t="s">
        <v>53</v>
      </c>
      <c r="E12" s="28">
        <v>1727785.0025000002</v>
      </c>
    </row>
    <row r="13" spans="1:5" ht="20.2" customHeight="1" x14ac:dyDescent="0.45">
      <c r="B13" s="313">
        <v>45717</v>
      </c>
      <c r="C13" s="314" t="s">
        <v>77</v>
      </c>
      <c r="D13" s="23" t="s">
        <v>35</v>
      </c>
      <c r="E13" s="29">
        <v>11800000</v>
      </c>
    </row>
    <row r="14" spans="1:5" ht="20.2" customHeight="1" x14ac:dyDescent="0.45">
      <c r="B14" s="313">
        <v>45717</v>
      </c>
      <c r="C14" s="314" t="s">
        <v>77</v>
      </c>
      <c r="D14" s="23" t="s">
        <v>55</v>
      </c>
      <c r="E14" s="29">
        <v>3750000</v>
      </c>
    </row>
    <row r="15" spans="1:5" ht="20.2" customHeight="1" x14ac:dyDescent="0.45">
      <c r="B15" s="313">
        <v>45717</v>
      </c>
      <c r="C15" s="314" t="s">
        <v>77</v>
      </c>
      <c r="D15" s="23" t="s">
        <v>56</v>
      </c>
      <c r="E15" s="29">
        <v>3700000</v>
      </c>
    </row>
    <row r="16" spans="1:5" ht="20.2" customHeight="1" x14ac:dyDescent="0.45">
      <c r="B16" s="313">
        <v>45717</v>
      </c>
      <c r="C16" s="314" t="s">
        <v>77</v>
      </c>
      <c r="D16" s="23" t="s">
        <v>57</v>
      </c>
      <c r="E16" s="29">
        <v>17840000</v>
      </c>
    </row>
    <row r="17" spans="2:5" ht="20.2" customHeight="1" x14ac:dyDescent="0.45">
      <c r="B17" s="313">
        <f>B19</f>
        <v>45748</v>
      </c>
      <c r="C17" s="314" t="s">
        <v>77</v>
      </c>
      <c r="D17" s="19" t="s">
        <v>53</v>
      </c>
      <c r="E17" s="28">
        <v>3333901.8529999987</v>
      </c>
    </row>
    <row r="18" spans="2:5" ht="20.2" customHeight="1" x14ac:dyDescent="0.45">
      <c r="B18" s="313">
        <v>45748</v>
      </c>
      <c r="C18" s="314" t="s">
        <v>77</v>
      </c>
      <c r="D18" s="23" t="s">
        <v>35</v>
      </c>
      <c r="E18" s="29">
        <v>15500000</v>
      </c>
    </row>
    <row r="19" spans="2:5" ht="20.2" customHeight="1" x14ac:dyDescent="0.45">
      <c r="B19" s="313">
        <v>45748</v>
      </c>
      <c r="C19" s="314" t="s">
        <v>77</v>
      </c>
      <c r="D19" s="23" t="s">
        <v>55</v>
      </c>
      <c r="E19" s="29">
        <v>4730000</v>
      </c>
    </row>
    <row r="20" spans="2:5" ht="20.2" customHeight="1" x14ac:dyDescent="0.45">
      <c r="B20" s="313">
        <v>45748</v>
      </c>
      <c r="C20" s="314" t="s">
        <v>77</v>
      </c>
      <c r="D20" s="23" t="s">
        <v>56</v>
      </c>
      <c r="E20" s="29">
        <v>2300000</v>
      </c>
    </row>
    <row r="21" spans="2:5" ht="20.2" customHeight="1" x14ac:dyDescent="0.45">
      <c r="B21" s="313">
        <v>45748</v>
      </c>
      <c r="C21" s="314" t="s">
        <v>77</v>
      </c>
      <c r="D21" s="23" t="s">
        <v>57</v>
      </c>
      <c r="E21" s="29">
        <v>23700000</v>
      </c>
    </row>
    <row r="22" spans="2:5" ht="20.2" customHeight="1" x14ac:dyDescent="0.45">
      <c r="B22" s="313">
        <v>45778</v>
      </c>
      <c r="C22" s="314" t="s">
        <v>77</v>
      </c>
      <c r="D22" s="19" t="s">
        <v>53</v>
      </c>
      <c r="E22" s="28">
        <v>3793661.067999999</v>
      </c>
    </row>
    <row r="23" spans="2:5" ht="20.2" customHeight="1" x14ac:dyDescent="0.45">
      <c r="B23" s="313">
        <v>45778</v>
      </c>
      <c r="C23" s="314" t="s">
        <v>77</v>
      </c>
      <c r="D23" s="23" t="s">
        <v>35</v>
      </c>
      <c r="E23" s="29">
        <v>17110000</v>
      </c>
    </row>
    <row r="24" spans="2:5" ht="20.2" customHeight="1" x14ac:dyDescent="0.45">
      <c r="B24" s="313">
        <v>45778</v>
      </c>
      <c r="C24" s="314" t="s">
        <v>77</v>
      </c>
      <c r="D24" s="23" t="s">
        <v>55</v>
      </c>
      <c r="E24" s="29">
        <v>5500000</v>
      </c>
    </row>
    <row r="25" spans="2:5" ht="20.2" customHeight="1" x14ac:dyDescent="0.45">
      <c r="B25" s="313">
        <v>45778</v>
      </c>
      <c r="C25" s="314" t="s">
        <v>77</v>
      </c>
      <c r="D25" s="23" t="s">
        <v>56</v>
      </c>
      <c r="E25" s="29">
        <v>4600000</v>
      </c>
    </row>
    <row r="26" spans="2:5" ht="20.2" customHeight="1" x14ac:dyDescent="0.45">
      <c r="B26" s="313">
        <v>45778</v>
      </c>
      <c r="C26" s="314" t="s">
        <v>77</v>
      </c>
      <c r="D26" s="23" t="s">
        <v>57</v>
      </c>
      <c r="E26" s="29">
        <v>22290000</v>
      </c>
    </row>
    <row r="27" spans="2:5" ht="20.2" customHeight="1" x14ac:dyDescent="0.45">
      <c r="B27" s="313">
        <v>45809</v>
      </c>
      <c r="C27" s="314" t="s">
        <v>77</v>
      </c>
      <c r="D27" s="19" t="s">
        <v>53</v>
      </c>
      <c r="E27" s="28"/>
    </row>
    <row r="28" spans="2:5" ht="20.2" customHeight="1" x14ac:dyDescent="0.45">
      <c r="B28" s="313">
        <v>45809</v>
      </c>
      <c r="C28" s="314" t="s">
        <v>77</v>
      </c>
      <c r="D28" s="23" t="s">
        <v>35</v>
      </c>
      <c r="E28" s="29"/>
    </row>
    <row r="29" spans="2:5" ht="20.2" customHeight="1" x14ac:dyDescent="0.45">
      <c r="B29" s="313">
        <v>45809</v>
      </c>
      <c r="C29" s="314" t="s">
        <v>77</v>
      </c>
      <c r="D29" s="23" t="s">
        <v>55</v>
      </c>
      <c r="E29" s="29"/>
    </row>
    <row r="30" spans="2:5" ht="20.2" customHeight="1" x14ac:dyDescent="0.45">
      <c r="B30" s="313">
        <v>45809</v>
      </c>
      <c r="C30" s="314" t="s">
        <v>77</v>
      </c>
      <c r="D30" s="23" t="s">
        <v>56</v>
      </c>
      <c r="E30" s="29"/>
    </row>
    <row r="31" spans="2:5" ht="20.2" customHeight="1" x14ac:dyDescent="0.45">
      <c r="B31" s="313">
        <v>45809</v>
      </c>
      <c r="C31" s="314" t="s">
        <v>77</v>
      </c>
      <c r="D31" s="23" t="s">
        <v>57</v>
      </c>
      <c r="E31" s="29"/>
    </row>
    <row r="32" spans="2:5" ht="20.2" customHeight="1" x14ac:dyDescent="0.45">
      <c r="B32" s="313">
        <v>45839</v>
      </c>
      <c r="C32" s="314" t="s">
        <v>77</v>
      </c>
      <c r="D32" s="19" t="s">
        <v>53</v>
      </c>
      <c r="E32" s="28"/>
    </row>
    <row r="33" spans="2:5" ht="20.2" customHeight="1" x14ac:dyDescent="0.45">
      <c r="B33" s="313">
        <v>45839</v>
      </c>
      <c r="C33" s="314" t="s">
        <v>77</v>
      </c>
      <c r="D33" s="23" t="s">
        <v>35</v>
      </c>
      <c r="E33" s="29"/>
    </row>
    <row r="34" spans="2:5" ht="20.2" customHeight="1" x14ac:dyDescent="0.45">
      <c r="B34" s="313">
        <v>45839</v>
      </c>
      <c r="C34" s="314" t="s">
        <v>77</v>
      </c>
      <c r="D34" s="23" t="s">
        <v>55</v>
      </c>
      <c r="E34" s="29"/>
    </row>
    <row r="35" spans="2:5" ht="20.2" customHeight="1" x14ac:dyDescent="0.45">
      <c r="B35" s="313">
        <v>45839</v>
      </c>
      <c r="C35" s="314" t="s">
        <v>77</v>
      </c>
      <c r="D35" s="23" t="s">
        <v>56</v>
      </c>
      <c r="E35" s="29"/>
    </row>
    <row r="36" spans="2:5" ht="20.2" customHeight="1" x14ac:dyDescent="0.45">
      <c r="B36" s="313">
        <v>45839</v>
      </c>
      <c r="C36" s="314" t="s">
        <v>77</v>
      </c>
      <c r="D36" s="23" t="s">
        <v>57</v>
      </c>
      <c r="E36" s="29"/>
    </row>
    <row r="37" spans="2:5" ht="20.2" customHeight="1" x14ac:dyDescent="0.45">
      <c r="B37" s="313">
        <v>45870</v>
      </c>
      <c r="C37" s="314" t="s">
        <v>77</v>
      </c>
      <c r="D37" s="19" t="s">
        <v>53</v>
      </c>
      <c r="E37" s="28"/>
    </row>
    <row r="38" spans="2:5" ht="20.2" customHeight="1" x14ac:dyDescent="0.45">
      <c r="B38" s="313">
        <v>45870</v>
      </c>
      <c r="C38" s="314" t="s">
        <v>77</v>
      </c>
      <c r="D38" s="23" t="s">
        <v>35</v>
      </c>
      <c r="E38" s="29"/>
    </row>
    <row r="39" spans="2:5" ht="20.2" customHeight="1" x14ac:dyDescent="0.45">
      <c r="B39" s="313">
        <v>45870</v>
      </c>
      <c r="C39" s="314" t="s">
        <v>77</v>
      </c>
      <c r="D39" s="23" t="s">
        <v>55</v>
      </c>
      <c r="E39" s="29"/>
    </row>
    <row r="40" spans="2:5" ht="20.2" customHeight="1" x14ac:dyDescent="0.45">
      <c r="B40" s="313">
        <v>45870</v>
      </c>
      <c r="C40" s="314" t="s">
        <v>77</v>
      </c>
      <c r="D40" s="23" t="s">
        <v>56</v>
      </c>
      <c r="E40" s="29"/>
    </row>
    <row r="41" spans="2:5" ht="20.2" customHeight="1" x14ac:dyDescent="0.45">
      <c r="B41" s="313">
        <v>45870</v>
      </c>
      <c r="C41" s="314" t="s">
        <v>77</v>
      </c>
      <c r="D41" s="23" t="s">
        <v>57</v>
      </c>
      <c r="E41" s="29"/>
    </row>
    <row r="42" spans="2:5" ht="20.2" customHeight="1" x14ac:dyDescent="0.45">
      <c r="B42" s="313">
        <v>45901</v>
      </c>
      <c r="C42" s="314" t="s">
        <v>77</v>
      </c>
      <c r="D42" s="19" t="s">
        <v>53</v>
      </c>
      <c r="E42" s="28"/>
    </row>
    <row r="43" spans="2:5" ht="20.2" customHeight="1" x14ac:dyDescent="0.45">
      <c r="B43" s="313">
        <v>45901</v>
      </c>
      <c r="C43" s="314" t="s">
        <v>77</v>
      </c>
      <c r="D43" s="23" t="s">
        <v>35</v>
      </c>
      <c r="E43" s="29"/>
    </row>
    <row r="44" spans="2:5" ht="20.2" customHeight="1" x14ac:dyDescent="0.45">
      <c r="B44" s="313">
        <v>45901</v>
      </c>
      <c r="C44" s="314" t="s">
        <v>77</v>
      </c>
      <c r="D44" s="23" t="s">
        <v>55</v>
      </c>
      <c r="E44" s="29"/>
    </row>
    <row r="45" spans="2:5" ht="20.2" customHeight="1" x14ac:dyDescent="0.45">
      <c r="B45" s="313">
        <v>45901</v>
      </c>
      <c r="C45" s="314" t="s">
        <v>77</v>
      </c>
      <c r="D45" s="23" t="s">
        <v>56</v>
      </c>
      <c r="E45" s="29"/>
    </row>
    <row r="46" spans="2:5" ht="20.2" customHeight="1" x14ac:dyDescent="0.45">
      <c r="B46" s="313">
        <v>45901</v>
      </c>
      <c r="C46" s="314" t="s">
        <v>77</v>
      </c>
      <c r="D46" s="23" t="s">
        <v>57</v>
      </c>
      <c r="E46" s="29"/>
    </row>
    <row r="47" spans="2:5" ht="20.2" customHeight="1" x14ac:dyDescent="0.45">
      <c r="B47" s="313">
        <v>45931</v>
      </c>
      <c r="C47" s="314" t="s">
        <v>77</v>
      </c>
      <c r="D47" s="19" t="s">
        <v>53</v>
      </c>
      <c r="E47" s="28"/>
    </row>
    <row r="48" spans="2:5" ht="20.2" customHeight="1" x14ac:dyDescent="0.45">
      <c r="B48" s="313">
        <v>45931</v>
      </c>
      <c r="C48" s="314" t="s">
        <v>77</v>
      </c>
      <c r="D48" s="23" t="s">
        <v>35</v>
      </c>
      <c r="E48" s="29"/>
    </row>
    <row r="49" spans="2:5" ht="20.2" customHeight="1" x14ac:dyDescent="0.45">
      <c r="B49" s="313">
        <v>45931</v>
      </c>
      <c r="C49" s="314" t="s">
        <v>77</v>
      </c>
      <c r="D49" s="23" t="s">
        <v>55</v>
      </c>
      <c r="E49" s="29"/>
    </row>
    <row r="50" spans="2:5" ht="20.2" customHeight="1" x14ac:dyDescent="0.45">
      <c r="B50" s="313">
        <v>45931</v>
      </c>
      <c r="C50" s="314" t="s">
        <v>77</v>
      </c>
      <c r="D50" s="23" t="s">
        <v>56</v>
      </c>
      <c r="E50" s="29"/>
    </row>
    <row r="51" spans="2:5" ht="20.2" customHeight="1" x14ac:dyDescent="0.45">
      <c r="B51" s="313">
        <v>45931</v>
      </c>
      <c r="C51" s="314" t="s">
        <v>77</v>
      </c>
      <c r="D51" s="23" t="s">
        <v>57</v>
      </c>
      <c r="E51" s="29"/>
    </row>
    <row r="52" spans="2:5" ht="20.2" customHeight="1" x14ac:dyDescent="0.45">
      <c r="B52" s="313">
        <v>45962</v>
      </c>
      <c r="C52" s="314" t="s">
        <v>77</v>
      </c>
      <c r="D52" s="19" t="s">
        <v>53</v>
      </c>
      <c r="E52" s="28"/>
    </row>
    <row r="53" spans="2:5" ht="20.2" customHeight="1" x14ac:dyDescent="0.45">
      <c r="B53" s="313">
        <v>45962</v>
      </c>
      <c r="C53" s="314" t="s">
        <v>77</v>
      </c>
      <c r="D53" s="23" t="s">
        <v>35</v>
      </c>
      <c r="E53" s="29"/>
    </row>
    <row r="54" spans="2:5" ht="20.2" customHeight="1" x14ac:dyDescent="0.45">
      <c r="B54" s="313">
        <v>45962</v>
      </c>
      <c r="C54" s="314" t="s">
        <v>77</v>
      </c>
      <c r="D54" s="23" t="s">
        <v>55</v>
      </c>
      <c r="E54" s="29"/>
    </row>
    <row r="55" spans="2:5" ht="20.2" customHeight="1" x14ac:dyDescent="0.45">
      <c r="B55" s="313">
        <v>45962</v>
      </c>
      <c r="C55" s="314" t="s">
        <v>77</v>
      </c>
      <c r="D55" s="23" t="s">
        <v>56</v>
      </c>
      <c r="E55" s="29"/>
    </row>
    <row r="56" spans="2:5" ht="20.2" customHeight="1" x14ac:dyDescent="0.45">
      <c r="B56" s="313">
        <v>45962</v>
      </c>
      <c r="C56" s="314" t="s">
        <v>77</v>
      </c>
      <c r="D56" s="23" t="s">
        <v>57</v>
      </c>
      <c r="E56" s="29"/>
    </row>
    <row r="57" spans="2:5" ht="20.2" customHeight="1" x14ac:dyDescent="0.45">
      <c r="B57" s="313">
        <v>45992</v>
      </c>
      <c r="C57" s="314" t="s">
        <v>77</v>
      </c>
      <c r="D57" s="19" t="s">
        <v>53</v>
      </c>
      <c r="E57" s="28"/>
    </row>
    <row r="58" spans="2:5" ht="20.2" customHeight="1" x14ac:dyDescent="0.45">
      <c r="B58" s="313">
        <v>45992</v>
      </c>
      <c r="C58" s="314" t="s">
        <v>77</v>
      </c>
      <c r="D58" s="23" t="s">
        <v>35</v>
      </c>
      <c r="E58" s="29"/>
    </row>
    <row r="59" spans="2:5" ht="20.2" customHeight="1" x14ac:dyDescent="0.45">
      <c r="B59" s="313">
        <v>45992</v>
      </c>
      <c r="C59" s="314" t="s">
        <v>77</v>
      </c>
      <c r="D59" s="23" t="s">
        <v>55</v>
      </c>
      <c r="E59" s="29"/>
    </row>
    <row r="60" spans="2:5" ht="20.2" customHeight="1" x14ac:dyDescent="0.45">
      <c r="B60" s="313">
        <v>45992</v>
      </c>
      <c r="C60" s="314" t="s">
        <v>77</v>
      </c>
      <c r="D60" s="23" t="s">
        <v>56</v>
      </c>
      <c r="E60" s="29"/>
    </row>
    <row r="61" spans="2:5" ht="20.2" customHeight="1" x14ac:dyDescent="0.45">
      <c r="B61" s="313">
        <v>45992</v>
      </c>
      <c r="C61" s="314" t="s">
        <v>77</v>
      </c>
      <c r="D61" s="23" t="s">
        <v>57</v>
      </c>
      <c r="E61" s="29"/>
    </row>
    <row r="62" spans="2:5" ht="20.2" customHeight="1" x14ac:dyDescent="0.45">
      <c r="B62" s="318">
        <v>45292</v>
      </c>
      <c r="C62" s="314" t="s">
        <v>77</v>
      </c>
      <c r="D62" s="28"/>
      <c r="E62" s="28">
        <v>2347846</v>
      </c>
    </row>
    <row r="63" spans="2:5" ht="12" customHeight="1" x14ac:dyDescent="0.45">
      <c r="B63" s="320">
        <v>45292</v>
      </c>
      <c r="C63" s="314" t="s">
        <v>77</v>
      </c>
      <c r="D63" s="29"/>
      <c r="E63" s="29">
        <v>14830000</v>
      </c>
    </row>
    <row r="64" spans="2:5" ht="12" customHeight="1" x14ac:dyDescent="0.45">
      <c r="B64" s="320">
        <v>45292</v>
      </c>
      <c r="C64" s="314" t="s">
        <v>77</v>
      </c>
      <c r="D64" s="29"/>
      <c r="E64" s="29">
        <v>7970000</v>
      </c>
    </row>
    <row r="65" spans="2:5" ht="12" customHeight="1" x14ac:dyDescent="0.45">
      <c r="B65" s="320">
        <v>45292</v>
      </c>
      <c r="C65" s="314" t="s">
        <v>77</v>
      </c>
      <c r="D65" s="29"/>
      <c r="E65" s="29">
        <v>5130000</v>
      </c>
    </row>
    <row r="66" spans="2:5" ht="12" customHeight="1" x14ac:dyDescent="0.45">
      <c r="B66" s="320">
        <v>45292</v>
      </c>
      <c r="C66" s="314" t="s">
        <v>77</v>
      </c>
      <c r="D66" s="29"/>
      <c r="E66" s="29">
        <v>14770000</v>
      </c>
    </row>
    <row r="67" spans="2:5" ht="12" customHeight="1" x14ac:dyDescent="0.45">
      <c r="B67" s="318">
        <v>45323</v>
      </c>
      <c r="C67" s="314" t="s">
        <v>77</v>
      </c>
      <c r="D67" s="28"/>
      <c r="E67" s="28">
        <v>1768580.5435000004</v>
      </c>
    </row>
    <row r="68" spans="2:5" ht="12" customHeight="1" x14ac:dyDescent="0.45">
      <c r="B68" s="320">
        <v>45323</v>
      </c>
      <c r="C68" s="314" t="s">
        <v>77</v>
      </c>
      <c r="D68" s="29"/>
      <c r="E68" s="29">
        <v>15330000</v>
      </c>
    </row>
    <row r="69" spans="2:5" ht="12" customHeight="1" x14ac:dyDescent="0.45">
      <c r="B69" s="320">
        <v>45323</v>
      </c>
      <c r="C69" s="314" t="s">
        <v>77</v>
      </c>
      <c r="D69" s="29"/>
      <c r="E69" s="29">
        <v>4170000</v>
      </c>
    </row>
    <row r="70" spans="2:5" ht="12" customHeight="1" x14ac:dyDescent="0.45">
      <c r="B70" s="320">
        <v>45323</v>
      </c>
      <c r="C70" s="314" t="s">
        <v>77</v>
      </c>
      <c r="D70" s="29"/>
      <c r="E70" s="29">
        <v>4900000</v>
      </c>
    </row>
    <row r="71" spans="2:5" ht="12" customHeight="1" x14ac:dyDescent="0.45">
      <c r="B71" s="320">
        <v>45323</v>
      </c>
      <c r="C71" s="314" t="s">
        <v>77</v>
      </c>
      <c r="D71" s="29"/>
      <c r="E71" s="29">
        <v>17340000</v>
      </c>
    </row>
    <row r="72" spans="2:5" ht="12" customHeight="1" x14ac:dyDescent="0.45">
      <c r="B72" s="318">
        <v>45352</v>
      </c>
      <c r="C72" s="314" t="s">
        <v>77</v>
      </c>
      <c r="D72" s="28"/>
      <c r="E72" s="28">
        <v>2485587.629999999</v>
      </c>
    </row>
    <row r="73" spans="2:5" ht="12" customHeight="1" x14ac:dyDescent="0.45">
      <c r="B73" s="320">
        <v>45352</v>
      </c>
      <c r="C73" s="314" t="s">
        <v>77</v>
      </c>
      <c r="D73" s="29"/>
      <c r="E73" s="29">
        <v>11770000</v>
      </c>
    </row>
    <row r="74" spans="2:5" ht="12" customHeight="1" x14ac:dyDescent="0.45">
      <c r="B74" s="320">
        <v>45352</v>
      </c>
      <c r="C74" s="314" t="s">
        <v>77</v>
      </c>
      <c r="D74" s="29"/>
      <c r="E74" s="29">
        <v>4140000</v>
      </c>
    </row>
    <row r="75" spans="2:5" ht="12" customHeight="1" x14ac:dyDescent="0.45">
      <c r="B75" s="320">
        <v>45352</v>
      </c>
      <c r="C75" s="314" t="s">
        <v>77</v>
      </c>
      <c r="D75" s="29"/>
      <c r="E75" s="29">
        <v>2990000</v>
      </c>
    </row>
    <row r="76" spans="2:5" ht="12" customHeight="1" x14ac:dyDescent="0.45">
      <c r="B76" s="320">
        <v>45352</v>
      </c>
      <c r="C76" s="314" t="s">
        <v>77</v>
      </c>
      <c r="D76" s="29"/>
      <c r="E76" s="29">
        <v>17070000</v>
      </c>
    </row>
    <row r="77" spans="2:5" ht="12" customHeight="1" x14ac:dyDescent="0.45">
      <c r="B77" s="318">
        <v>45383</v>
      </c>
      <c r="C77" s="314" t="s">
        <v>77</v>
      </c>
      <c r="D77" s="28"/>
      <c r="E77" s="28">
        <v>1571637.139999999</v>
      </c>
    </row>
    <row r="78" spans="2:5" ht="12" customHeight="1" x14ac:dyDescent="0.45">
      <c r="B78" s="320">
        <v>45383</v>
      </c>
      <c r="C78" s="314" t="s">
        <v>77</v>
      </c>
      <c r="D78" s="29"/>
      <c r="E78" s="29">
        <v>14786800</v>
      </c>
    </row>
    <row r="79" spans="2:5" ht="12" customHeight="1" x14ac:dyDescent="0.45">
      <c r="B79" s="320">
        <v>45383</v>
      </c>
      <c r="C79" s="314" t="s">
        <v>77</v>
      </c>
      <c r="D79" s="29"/>
      <c r="E79" s="29">
        <v>3190000</v>
      </c>
    </row>
    <row r="80" spans="2:5" ht="12" customHeight="1" x14ac:dyDescent="0.45">
      <c r="B80" s="320">
        <v>45383</v>
      </c>
      <c r="C80" s="314" t="s">
        <v>77</v>
      </c>
      <c r="D80" s="29"/>
      <c r="E80" s="29">
        <v>4160000</v>
      </c>
    </row>
    <row r="81" spans="2:5" ht="12" customHeight="1" x14ac:dyDescent="0.45">
      <c r="B81" s="320">
        <v>45383</v>
      </c>
      <c r="C81" s="314" t="s">
        <v>77</v>
      </c>
      <c r="D81" s="29"/>
      <c r="E81" s="29">
        <v>16020000</v>
      </c>
    </row>
    <row r="82" spans="2:5" ht="12" customHeight="1" x14ac:dyDescent="0.45">
      <c r="B82" s="318">
        <v>45413</v>
      </c>
      <c r="C82" s="314" t="s">
        <v>77</v>
      </c>
      <c r="D82" s="28"/>
      <c r="E82" s="28">
        <v>2274368.11</v>
      </c>
    </row>
    <row r="83" spans="2:5" ht="12" customHeight="1" x14ac:dyDescent="0.45">
      <c r="B83" s="320">
        <v>45413</v>
      </c>
      <c r="C83" s="314" t="s">
        <v>77</v>
      </c>
      <c r="D83" s="29"/>
      <c r="E83" s="29">
        <v>16800000</v>
      </c>
    </row>
    <row r="84" spans="2:5" ht="12" customHeight="1" x14ac:dyDescent="0.45">
      <c r="B84" s="320">
        <v>45413</v>
      </c>
      <c r="C84" s="314" t="s">
        <v>77</v>
      </c>
      <c r="D84" s="29"/>
      <c r="E84" s="29">
        <v>4350000</v>
      </c>
    </row>
    <row r="85" spans="2:5" ht="12" customHeight="1" x14ac:dyDescent="0.45">
      <c r="B85" s="320">
        <v>45413</v>
      </c>
      <c r="C85" s="314" t="s">
        <v>77</v>
      </c>
      <c r="D85" s="29"/>
      <c r="E85" s="29">
        <v>5140000</v>
      </c>
    </row>
    <row r="86" spans="2:5" ht="12" customHeight="1" x14ac:dyDescent="0.45">
      <c r="B86" s="320">
        <v>45413</v>
      </c>
      <c r="C86" s="314" t="s">
        <v>77</v>
      </c>
      <c r="D86" s="29"/>
      <c r="E86" s="29">
        <v>26350000</v>
      </c>
    </row>
    <row r="87" spans="2:5" ht="12" customHeight="1" x14ac:dyDescent="0.45">
      <c r="B87" s="318">
        <v>45444</v>
      </c>
      <c r="C87" s="314" t="s">
        <v>77</v>
      </c>
      <c r="D87" s="28"/>
      <c r="E87" s="28">
        <v>1947784.5235000013</v>
      </c>
    </row>
    <row r="88" spans="2:5" ht="12" customHeight="1" x14ac:dyDescent="0.45">
      <c r="B88" s="320">
        <v>45444</v>
      </c>
      <c r="C88" s="314" t="s">
        <v>77</v>
      </c>
      <c r="D88" s="29"/>
      <c r="E88" s="29">
        <v>10120000</v>
      </c>
    </row>
    <row r="89" spans="2:5" ht="12" customHeight="1" x14ac:dyDescent="0.45">
      <c r="B89" s="320">
        <v>45444</v>
      </c>
      <c r="C89" s="314" t="s">
        <v>77</v>
      </c>
      <c r="D89" s="29"/>
      <c r="E89" s="29">
        <v>3210000</v>
      </c>
    </row>
    <row r="90" spans="2:5" ht="12" customHeight="1" x14ac:dyDescent="0.45">
      <c r="B90" s="320">
        <v>45444</v>
      </c>
      <c r="C90" s="314" t="s">
        <v>77</v>
      </c>
      <c r="D90" s="29"/>
      <c r="E90" s="29">
        <v>4300000</v>
      </c>
    </row>
    <row r="91" spans="2:5" ht="12" customHeight="1" x14ac:dyDescent="0.45">
      <c r="B91" s="320">
        <v>45444</v>
      </c>
      <c r="C91" s="314" t="s">
        <v>77</v>
      </c>
      <c r="D91" s="29"/>
      <c r="E91" s="29">
        <v>11800000</v>
      </c>
    </row>
    <row r="92" spans="2:5" ht="12" customHeight="1" x14ac:dyDescent="0.45">
      <c r="B92" s="318">
        <v>45474</v>
      </c>
      <c r="C92" s="314" t="s">
        <v>77</v>
      </c>
      <c r="D92" s="28"/>
      <c r="E92" s="28">
        <v>1695305.2955000005</v>
      </c>
    </row>
    <row r="93" spans="2:5" ht="12" customHeight="1" x14ac:dyDescent="0.45">
      <c r="B93" s="320">
        <v>45474</v>
      </c>
      <c r="C93" s="314" t="s">
        <v>77</v>
      </c>
      <c r="D93" s="29"/>
      <c r="E93" s="29">
        <v>14000000</v>
      </c>
    </row>
    <row r="94" spans="2:5" ht="12" customHeight="1" x14ac:dyDescent="0.45">
      <c r="B94" s="320">
        <v>45474</v>
      </c>
      <c r="C94" s="314" t="s">
        <v>77</v>
      </c>
      <c r="D94" s="29"/>
      <c r="E94" s="29">
        <v>4000000</v>
      </c>
    </row>
    <row r="95" spans="2:5" ht="12" customHeight="1" x14ac:dyDescent="0.45">
      <c r="B95" s="320">
        <v>45474</v>
      </c>
      <c r="C95" s="314" t="s">
        <v>77</v>
      </c>
      <c r="D95" s="29"/>
      <c r="E95" s="29">
        <v>3000000</v>
      </c>
    </row>
    <row r="96" spans="2:5" ht="12" customHeight="1" x14ac:dyDescent="0.45">
      <c r="B96" s="320">
        <v>45474</v>
      </c>
      <c r="C96" s="314" t="s">
        <v>77</v>
      </c>
      <c r="D96" s="29"/>
      <c r="E96" s="29">
        <v>16370000</v>
      </c>
    </row>
    <row r="97" spans="2:5" ht="12" customHeight="1" x14ac:dyDescent="0.45">
      <c r="B97" s="318">
        <v>45505</v>
      </c>
      <c r="C97" s="314" t="s">
        <v>77</v>
      </c>
      <c r="D97" s="28"/>
      <c r="E97" s="28">
        <v>3806457.595999998</v>
      </c>
    </row>
    <row r="98" spans="2:5" ht="12" customHeight="1" x14ac:dyDescent="0.45">
      <c r="B98" s="320">
        <v>45505</v>
      </c>
      <c r="C98" s="314" t="s">
        <v>77</v>
      </c>
      <c r="D98" s="29"/>
      <c r="E98" s="29">
        <v>14800000</v>
      </c>
    </row>
    <row r="99" spans="2:5" ht="12" customHeight="1" x14ac:dyDescent="0.45">
      <c r="B99" s="320">
        <v>45505</v>
      </c>
      <c r="C99" s="314" t="s">
        <v>77</v>
      </c>
      <c r="D99" s="29"/>
      <c r="E99" s="29">
        <v>4350000</v>
      </c>
    </row>
    <row r="100" spans="2:5" ht="12" customHeight="1" x14ac:dyDescent="0.45">
      <c r="B100" s="320">
        <v>45505</v>
      </c>
      <c r="C100" s="314" t="s">
        <v>77</v>
      </c>
      <c r="D100" s="29"/>
      <c r="E100" s="29">
        <v>4500000</v>
      </c>
    </row>
    <row r="101" spans="2:5" ht="12" customHeight="1" x14ac:dyDescent="0.45">
      <c r="B101" s="320">
        <v>45505</v>
      </c>
      <c r="C101" s="314" t="s">
        <v>77</v>
      </c>
      <c r="D101" s="29"/>
      <c r="E101" s="29">
        <v>23900000</v>
      </c>
    </row>
    <row r="102" spans="2:5" ht="12" customHeight="1" x14ac:dyDescent="0.45">
      <c r="B102" s="318">
        <v>45536</v>
      </c>
      <c r="C102" s="314" t="s">
        <v>77</v>
      </c>
      <c r="D102" s="28"/>
      <c r="E102" s="28">
        <v>2336108.8700000006</v>
      </c>
    </row>
    <row r="103" spans="2:5" ht="12" customHeight="1" x14ac:dyDescent="0.45">
      <c r="B103" s="320">
        <v>45536</v>
      </c>
      <c r="C103" s="314" t="s">
        <v>77</v>
      </c>
      <c r="D103" s="29"/>
      <c r="E103" s="29">
        <v>11870000</v>
      </c>
    </row>
    <row r="104" spans="2:5" ht="12" customHeight="1" x14ac:dyDescent="0.45">
      <c r="B104" s="320">
        <v>45536</v>
      </c>
      <c r="C104" s="314" t="s">
        <v>77</v>
      </c>
      <c r="D104" s="29"/>
      <c r="E104" s="29">
        <v>3100000</v>
      </c>
    </row>
    <row r="105" spans="2:5" ht="12" customHeight="1" x14ac:dyDescent="0.45">
      <c r="B105" s="320">
        <v>45536</v>
      </c>
      <c r="C105" s="314" t="s">
        <v>77</v>
      </c>
      <c r="D105" s="29"/>
      <c r="E105" s="29">
        <v>3500000</v>
      </c>
    </row>
    <row r="106" spans="2:5" ht="12" customHeight="1" x14ac:dyDescent="0.45">
      <c r="B106" s="320">
        <v>45536</v>
      </c>
      <c r="C106" s="314" t="s">
        <v>77</v>
      </c>
      <c r="D106" s="29"/>
      <c r="E106" s="29">
        <v>19390000</v>
      </c>
    </row>
    <row r="107" spans="2:5" ht="12" customHeight="1" x14ac:dyDescent="0.45">
      <c r="B107" s="318">
        <v>45566</v>
      </c>
      <c r="C107" s="314" t="s">
        <v>77</v>
      </c>
      <c r="D107" s="28"/>
      <c r="E107" s="28">
        <v>5906511.5225000009</v>
      </c>
    </row>
    <row r="108" spans="2:5" ht="12" customHeight="1" x14ac:dyDescent="0.45">
      <c r="B108" s="320">
        <v>45566</v>
      </c>
      <c r="C108" s="314" t="s">
        <v>77</v>
      </c>
      <c r="D108" s="29"/>
      <c r="E108" s="29">
        <v>9800000</v>
      </c>
    </row>
    <row r="109" spans="2:5" ht="12" customHeight="1" x14ac:dyDescent="0.45">
      <c r="B109" s="320">
        <v>45566</v>
      </c>
      <c r="C109" s="314" t="s">
        <v>77</v>
      </c>
      <c r="D109" s="29"/>
      <c r="E109" s="29">
        <v>2900000</v>
      </c>
    </row>
    <row r="110" spans="2:5" ht="12" customHeight="1" x14ac:dyDescent="0.45">
      <c r="B110" s="320">
        <v>45566</v>
      </c>
      <c r="C110" s="314" t="s">
        <v>77</v>
      </c>
      <c r="D110" s="29"/>
      <c r="E110" s="29">
        <v>3230000</v>
      </c>
    </row>
    <row r="111" spans="2:5" ht="12" customHeight="1" x14ac:dyDescent="0.45">
      <c r="B111" s="320">
        <v>45566</v>
      </c>
      <c r="C111" s="314" t="s">
        <v>77</v>
      </c>
      <c r="D111" s="29"/>
      <c r="E111" s="29">
        <v>20140000</v>
      </c>
    </row>
    <row r="112" spans="2:5" ht="12" customHeight="1" x14ac:dyDescent="0.45">
      <c r="B112" s="318">
        <v>45597</v>
      </c>
      <c r="C112" s="314" t="s">
        <v>77</v>
      </c>
      <c r="D112" s="28"/>
      <c r="E112" s="28">
        <v>4869834</v>
      </c>
    </row>
    <row r="113" spans="2:5" ht="12" customHeight="1" x14ac:dyDescent="0.45">
      <c r="B113" s="320">
        <v>45597</v>
      </c>
      <c r="C113" s="314" t="s">
        <v>77</v>
      </c>
      <c r="D113" s="29"/>
      <c r="E113" s="29">
        <v>13900000</v>
      </c>
    </row>
    <row r="114" spans="2:5" ht="12" customHeight="1" x14ac:dyDescent="0.45">
      <c r="B114" s="320">
        <v>45597</v>
      </c>
      <c r="C114" s="314" t="s">
        <v>77</v>
      </c>
      <c r="D114" s="29"/>
      <c r="E114" s="29">
        <v>2870000</v>
      </c>
    </row>
    <row r="115" spans="2:5" ht="12" customHeight="1" x14ac:dyDescent="0.45">
      <c r="B115" s="320">
        <v>45597</v>
      </c>
      <c r="C115" s="314" t="s">
        <v>77</v>
      </c>
      <c r="D115" s="29"/>
      <c r="E115" s="29">
        <v>2880000</v>
      </c>
    </row>
    <row r="116" spans="2:5" ht="12" customHeight="1" x14ac:dyDescent="0.45">
      <c r="B116" s="320">
        <v>45597</v>
      </c>
      <c r="C116" s="314" t="s">
        <v>77</v>
      </c>
      <c r="D116" s="29"/>
      <c r="E116" s="29">
        <v>21900000</v>
      </c>
    </row>
    <row r="117" spans="2:5" ht="12" customHeight="1" x14ac:dyDescent="0.45">
      <c r="B117" s="318">
        <v>45627</v>
      </c>
      <c r="C117" s="314" t="s">
        <v>77</v>
      </c>
      <c r="D117" s="28"/>
      <c r="E117" s="28">
        <v>3920960.6160000004</v>
      </c>
    </row>
    <row r="118" spans="2:5" ht="12" customHeight="1" x14ac:dyDescent="0.45">
      <c r="B118" s="320">
        <v>45627</v>
      </c>
      <c r="C118" s="314" t="s">
        <v>77</v>
      </c>
      <c r="D118" s="29"/>
      <c r="E118" s="29">
        <v>16900000</v>
      </c>
    </row>
    <row r="119" spans="2:5" ht="12" customHeight="1" x14ac:dyDescent="0.45">
      <c r="B119" s="320">
        <v>45627</v>
      </c>
      <c r="C119" s="314" t="s">
        <v>77</v>
      </c>
      <c r="D119" s="29"/>
      <c r="E119" s="29">
        <v>7140000</v>
      </c>
    </row>
    <row r="120" spans="2:5" ht="12" customHeight="1" x14ac:dyDescent="0.45">
      <c r="B120" s="320">
        <v>45627</v>
      </c>
      <c r="C120" s="314" t="s">
        <v>77</v>
      </c>
      <c r="D120" s="29"/>
      <c r="E120" s="29">
        <v>5600000</v>
      </c>
    </row>
    <row r="121" spans="2:5" ht="12" customHeight="1" x14ac:dyDescent="0.45">
      <c r="B121" s="320">
        <v>45627</v>
      </c>
      <c r="C121" s="314" t="s">
        <v>77</v>
      </c>
      <c r="D121" s="29"/>
      <c r="E121" s="29">
        <v>23450000</v>
      </c>
    </row>
  </sheetData>
  <autoFilter ref="B1:E1" xr:uid="{00000000-0001-0000-0900-000000000000}"/>
  <phoneticPr fontId="28" type="noConversion"/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1"/>
  <sheetViews>
    <sheetView workbookViewId="0">
      <pane xSplit="4" ySplit="1" topLeftCell="E65" activePane="bottomRight" state="frozen"/>
      <selection activeCell="J8" sqref="J8"/>
      <selection pane="topRight" activeCell="J8" sqref="J8"/>
      <selection pane="bottomLeft" activeCell="J8" sqref="J8"/>
      <selection pane="bottomRight" activeCell="J68" sqref="J68"/>
    </sheetView>
  </sheetViews>
  <sheetFormatPr defaultColWidth="8.5859375" defaultRowHeight="12" customHeight="1" x14ac:dyDescent="0.45"/>
  <cols>
    <col min="1" max="1" width="3.5859375" style="12" customWidth="1"/>
    <col min="2" max="2" width="8.17578125" style="12" customWidth="1"/>
    <col min="3" max="3" width="9.17578125" style="12" customWidth="1"/>
    <col min="4" max="4" width="8.234375" style="13" customWidth="1"/>
    <col min="5" max="5" width="19.76171875" style="13" customWidth="1"/>
    <col min="6" max="16384" width="8.5859375" style="13"/>
  </cols>
  <sheetData>
    <row r="1" spans="1:5" s="11" customFormat="1" ht="24" customHeight="1" x14ac:dyDescent="0.45">
      <c r="A1" s="18"/>
      <c r="B1" s="18" t="s">
        <v>175</v>
      </c>
      <c r="C1" s="18" t="s">
        <v>176</v>
      </c>
      <c r="D1" s="130" t="s">
        <v>1</v>
      </c>
      <c r="E1" s="148" t="s">
        <v>177</v>
      </c>
    </row>
    <row r="2" spans="1:5" ht="20.2" customHeight="1" x14ac:dyDescent="0.45">
      <c r="B2" s="313">
        <v>45658</v>
      </c>
      <c r="C2" s="12" t="s">
        <v>78</v>
      </c>
      <c r="D2" s="19" t="s">
        <v>53</v>
      </c>
      <c r="E2" s="28">
        <v>2455069.0199999991</v>
      </c>
    </row>
    <row r="3" spans="1:5" ht="20.2" customHeight="1" x14ac:dyDescent="0.45">
      <c r="B3" s="313">
        <v>45658</v>
      </c>
      <c r="C3" s="12" t="s">
        <v>78</v>
      </c>
      <c r="D3" s="23" t="s">
        <v>35</v>
      </c>
      <c r="E3" s="29">
        <v>12800000</v>
      </c>
    </row>
    <row r="4" spans="1:5" ht="20.2" customHeight="1" x14ac:dyDescent="0.45">
      <c r="B4" s="313">
        <v>45658</v>
      </c>
      <c r="C4" s="12" t="s">
        <v>78</v>
      </c>
      <c r="D4" s="23" t="s">
        <v>55</v>
      </c>
      <c r="E4" s="29">
        <v>7000000</v>
      </c>
    </row>
    <row r="5" spans="1:5" ht="20.2" customHeight="1" x14ac:dyDescent="0.45">
      <c r="B5" s="313">
        <v>45658</v>
      </c>
      <c r="C5" s="12" t="s">
        <v>78</v>
      </c>
      <c r="D5" s="23" t="s">
        <v>136</v>
      </c>
      <c r="E5" s="29">
        <v>3900000</v>
      </c>
    </row>
    <row r="6" spans="1:5" ht="20.2" customHeight="1" x14ac:dyDescent="0.45">
      <c r="B6" s="313">
        <v>45658</v>
      </c>
      <c r="C6" s="12" t="s">
        <v>78</v>
      </c>
      <c r="D6" s="23" t="s">
        <v>57</v>
      </c>
      <c r="E6" s="29">
        <v>0</v>
      </c>
    </row>
    <row r="7" spans="1:5" ht="20.2" customHeight="1" x14ac:dyDescent="0.45">
      <c r="B7" s="313">
        <v>45689</v>
      </c>
      <c r="C7" s="12" t="s">
        <v>78</v>
      </c>
      <c r="D7" s="19" t="s">
        <v>53</v>
      </c>
      <c r="E7" s="28">
        <v>2103602.6754999994</v>
      </c>
    </row>
    <row r="8" spans="1:5" ht="20.2" customHeight="1" x14ac:dyDescent="0.45">
      <c r="B8" s="313">
        <v>45689</v>
      </c>
      <c r="C8" s="12" t="s">
        <v>78</v>
      </c>
      <c r="D8" s="23" t="s">
        <v>35</v>
      </c>
      <c r="E8" s="29">
        <v>11700000</v>
      </c>
    </row>
    <row r="9" spans="1:5" ht="20.2" customHeight="1" x14ac:dyDescent="0.45">
      <c r="B9" s="313">
        <v>45689</v>
      </c>
      <c r="C9" s="12" t="s">
        <v>78</v>
      </c>
      <c r="D9" s="23" t="s">
        <v>55</v>
      </c>
      <c r="E9" s="29">
        <v>5180000</v>
      </c>
    </row>
    <row r="10" spans="1:5" ht="20.2" customHeight="1" x14ac:dyDescent="0.45">
      <c r="B10" s="313">
        <v>45689</v>
      </c>
      <c r="C10" s="12" t="s">
        <v>78</v>
      </c>
      <c r="D10" s="23" t="s">
        <v>56</v>
      </c>
      <c r="E10" s="29">
        <v>2670000</v>
      </c>
    </row>
    <row r="11" spans="1:5" ht="20.2" customHeight="1" x14ac:dyDescent="0.45">
      <c r="B11" s="313">
        <v>45689</v>
      </c>
      <c r="C11" s="12" t="s">
        <v>78</v>
      </c>
      <c r="D11" s="23" t="s">
        <v>57</v>
      </c>
      <c r="E11" s="29">
        <v>0</v>
      </c>
    </row>
    <row r="12" spans="1:5" ht="20.2" customHeight="1" x14ac:dyDescent="0.45">
      <c r="B12" s="313">
        <v>45717</v>
      </c>
      <c r="C12" s="12" t="s">
        <v>78</v>
      </c>
      <c r="D12" s="19" t="s">
        <v>53</v>
      </c>
      <c r="E12" s="28">
        <v>2082042.5104999996</v>
      </c>
    </row>
    <row r="13" spans="1:5" ht="20.2" customHeight="1" x14ac:dyDescent="0.45">
      <c r="B13" s="313">
        <v>45717</v>
      </c>
      <c r="C13" s="12" t="s">
        <v>78</v>
      </c>
      <c r="D13" s="23" t="s">
        <v>35</v>
      </c>
      <c r="E13" s="29">
        <v>19310000</v>
      </c>
    </row>
    <row r="14" spans="1:5" ht="20.2" customHeight="1" x14ac:dyDescent="0.45">
      <c r="B14" s="313">
        <v>45717</v>
      </c>
      <c r="C14" s="12" t="s">
        <v>78</v>
      </c>
      <c r="D14" s="23" t="s">
        <v>55</v>
      </c>
      <c r="E14" s="29">
        <v>5360000</v>
      </c>
    </row>
    <row r="15" spans="1:5" ht="20.2" customHeight="1" x14ac:dyDescent="0.45">
      <c r="B15" s="313">
        <v>45717</v>
      </c>
      <c r="C15" s="12" t="s">
        <v>78</v>
      </c>
      <c r="D15" s="23" t="s">
        <v>56</v>
      </c>
      <c r="E15" s="29">
        <v>8300000</v>
      </c>
    </row>
    <row r="16" spans="1:5" ht="20.2" customHeight="1" x14ac:dyDescent="0.45">
      <c r="B16" s="313">
        <v>45717</v>
      </c>
      <c r="C16" s="12" t="s">
        <v>78</v>
      </c>
      <c r="D16" s="23" t="s">
        <v>57</v>
      </c>
      <c r="E16" s="29">
        <v>0</v>
      </c>
    </row>
    <row r="17" spans="2:5" ht="20.2" customHeight="1" x14ac:dyDescent="0.45">
      <c r="B17" s="313">
        <f>B19</f>
        <v>45748</v>
      </c>
      <c r="C17" s="12" t="s">
        <v>78</v>
      </c>
      <c r="D17" s="19" t="s">
        <v>53</v>
      </c>
      <c r="E17" s="28">
        <v>1216261.9429999997</v>
      </c>
    </row>
    <row r="18" spans="2:5" ht="20.2" customHeight="1" x14ac:dyDescent="0.45">
      <c r="B18" s="313">
        <v>45748</v>
      </c>
      <c r="C18" s="12" t="s">
        <v>78</v>
      </c>
      <c r="D18" s="23" t="s">
        <v>35</v>
      </c>
      <c r="E18" s="29">
        <v>10020000</v>
      </c>
    </row>
    <row r="19" spans="2:5" ht="20.2" customHeight="1" x14ac:dyDescent="0.45">
      <c r="B19" s="313">
        <v>45748</v>
      </c>
      <c r="C19" s="12" t="s">
        <v>78</v>
      </c>
      <c r="D19" s="23" t="s">
        <v>55</v>
      </c>
      <c r="E19" s="29">
        <v>3900000</v>
      </c>
    </row>
    <row r="20" spans="2:5" ht="20.2" customHeight="1" x14ac:dyDescent="0.45">
      <c r="B20" s="313">
        <v>45748</v>
      </c>
      <c r="C20" s="12" t="s">
        <v>78</v>
      </c>
      <c r="D20" s="23" t="s">
        <v>56</v>
      </c>
      <c r="E20" s="29">
        <v>2950000</v>
      </c>
    </row>
    <row r="21" spans="2:5" ht="20.2" customHeight="1" x14ac:dyDescent="0.45">
      <c r="B21" s="313">
        <v>45748</v>
      </c>
      <c r="C21" s="12" t="s">
        <v>78</v>
      </c>
      <c r="D21" s="23" t="s">
        <v>57</v>
      </c>
      <c r="E21" s="29"/>
    </row>
    <row r="22" spans="2:5" ht="20.2" customHeight="1" x14ac:dyDescent="0.45">
      <c r="B22" s="313">
        <v>45778</v>
      </c>
      <c r="C22" s="12" t="s">
        <v>78</v>
      </c>
      <c r="D22" s="19" t="s">
        <v>53</v>
      </c>
      <c r="E22" s="28">
        <v>2974332.3045000001</v>
      </c>
    </row>
    <row r="23" spans="2:5" ht="20.2" customHeight="1" x14ac:dyDescent="0.45">
      <c r="B23" s="313">
        <v>45778</v>
      </c>
      <c r="C23" s="12" t="s">
        <v>78</v>
      </c>
      <c r="D23" s="23" t="s">
        <v>35</v>
      </c>
      <c r="E23" s="29">
        <v>15070000</v>
      </c>
    </row>
    <row r="24" spans="2:5" ht="20.2" customHeight="1" x14ac:dyDescent="0.45">
      <c r="B24" s="313">
        <v>45778</v>
      </c>
      <c r="C24" s="12" t="s">
        <v>78</v>
      </c>
      <c r="D24" s="23" t="s">
        <v>55</v>
      </c>
      <c r="E24" s="29">
        <v>3200000</v>
      </c>
    </row>
    <row r="25" spans="2:5" ht="20.2" customHeight="1" x14ac:dyDescent="0.45">
      <c r="B25" s="313">
        <v>45778</v>
      </c>
      <c r="C25" s="12" t="s">
        <v>78</v>
      </c>
      <c r="D25" s="23" t="s">
        <v>56</v>
      </c>
      <c r="E25" s="29">
        <v>3780000</v>
      </c>
    </row>
    <row r="26" spans="2:5" ht="20.2" customHeight="1" x14ac:dyDescent="0.45">
      <c r="B26" s="313">
        <v>45778</v>
      </c>
      <c r="C26" s="12" t="s">
        <v>78</v>
      </c>
      <c r="D26" s="23" t="s">
        <v>57</v>
      </c>
      <c r="E26" s="29"/>
    </row>
    <row r="27" spans="2:5" ht="20.2" customHeight="1" x14ac:dyDescent="0.45">
      <c r="B27" s="313">
        <v>45809</v>
      </c>
      <c r="C27" s="12" t="s">
        <v>78</v>
      </c>
      <c r="D27" s="19" t="s">
        <v>53</v>
      </c>
      <c r="E27" s="28"/>
    </row>
    <row r="28" spans="2:5" ht="20.2" customHeight="1" x14ac:dyDescent="0.45">
      <c r="B28" s="313">
        <v>45809</v>
      </c>
      <c r="C28" s="12" t="s">
        <v>78</v>
      </c>
      <c r="D28" s="23" t="s">
        <v>35</v>
      </c>
      <c r="E28" s="29"/>
    </row>
    <row r="29" spans="2:5" ht="20.2" customHeight="1" x14ac:dyDescent="0.45">
      <c r="B29" s="313">
        <v>45809</v>
      </c>
      <c r="C29" s="12" t="s">
        <v>78</v>
      </c>
      <c r="D29" s="23" t="s">
        <v>55</v>
      </c>
      <c r="E29" s="29"/>
    </row>
    <row r="30" spans="2:5" ht="20.2" customHeight="1" x14ac:dyDescent="0.45">
      <c r="B30" s="313">
        <v>45809</v>
      </c>
      <c r="C30" s="12" t="s">
        <v>78</v>
      </c>
      <c r="D30" s="23" t="s">
        <v>56</v>
      </c>
      <c r="E30" s="29"/>
    </row>
    <row r="31" spans="2:5" ht="20.2" customHeight="1" x14ac:dyDescent="0.45">
      <c r="B31" s="313">
        <v>45809</v>
      </c>
      <c r="C31" s="12" t="s">
        <v>78</v>
      </c>
      <c r="D31" s="23" t="s">
        <v>57</v>
      </c>
      <c r="E31" s="29"/>
    </row>
    <row r="32" spans="2:5" ht="20.2" customHeight="1" x14ac:dyDescent="0.45">
      <c r="B32" s="313">
        <v>45839</v>
      </c>
      <c r="C32" s="12" t="s">
        <v>78</v>
      </c>
      <c r="D32" s="19" t="s">
        <v>53</v>
      </c>
      <c r="E32" s="28"/>
    </row>
    <row r="33" spans="2:5" ht="20.2" customHeight="1" x14ac:dyDescent="0.45">
      <c r="B33" s="313">
        <v>45839</v>
      </c>
      <c r="C33" s="12" t="s">
        <v>78</v>
      </c>
      <c r="D33" s="23" t="s">
        <v>35</v>
      </c>
      <c r="E33" s="29"/>
    </row>
    <row r="34" spans="2:5" ht="20.2" customHeight="1" x14ac:dyDescent="0.45">
      <c r="B34" s="313">
        <v>45839</v>
      </c>
      <c r="C34" s="12" t="s">
        <v>78</v>
      </c>
      <c r="D34" s="23" t="s">
        <v>55</v>
      </c>
      <c r="E34" s="29"/>
    </row>
    <row r="35" spans="2:5" ht="20.2" customHeight="1" x14ac:dyDescent="0.45">
      <c r="B35" s="313">
        <v>45839</v>
      </c>
      <c r="C35" s="12" t="s">
        <v>78</v>
      </c>
      <c r="D35" s="23" t="s">
        <v>56</v>
      </c>
      <c r="E35" s="29"/>
    </row>
    <row r="36" spans="2:5" ht="20.2" customHeight="1" x14ac:dyDescent="0.45">
      <c r="B36" s="313">
        <v>45839</v>
      </c>
      <c r="C36" s="12" t="s">
        <v>78</v>
      </c>
      <c r="D36" s="23" t="s">
        <v>57</v>
      </c>
      <c r="E36" s="29"/>
    </row>
    <row r="37" spans="2:5" ht="20.2" customHeight="1" x14ac:dyDescent="0.45">
      <c r="B37" s="313">
        <v>45870</v>
      </c>
      <c r="C37" s="12" t="s">
        <v>78</v>
      </c>
      <c r="D37" s="19" t="s">
        <v>53</v>
      </c>
      <c r="E37" s="28"/>
    </row>
    <row r="38" spans="2:5" ht="20.2" customHeight="1" x14ac:dyDescent="0.45">
      <c r="B38" s="313">
        <v>45870</v>
      </c>
      <c r="C38" s="12" t="s">
        <v>78</v>
      </c>
      <c r="D38" s="23" t="s">
        <v>35</v>
      </c>
      <c r="E38" s="29"/>
    </row>
    <row r="39" spans="2:5" ht="20.2" customHeight="1" x14ac:dyDescent="0.45">
      <c r="B39" s="313">
        <v>45870</v>
      </c>
      <c r="C39" s="12" t="s">
        <v>78</v>
      </c>
      <c r="D39" s="23" t="s">
        <v>55</v>
      </c>
      <c r="E39" s="29"/>
    </row>
    <row r="40" spans="2:5" ht="20.2" customHeight="1" x14ac:dyDescent="0.45">
      <c r="B40" s="313">
        <v>45870</v>
      </c>
      <c r="C40" s="12" t="s">
        <v>78</v>
      </c>
      <c r="D40" s="23" t="s">
        <v>56</v>
      </c>
      <c r="E40" s="29"/>
    </row>
    <row r="41" spans="2:5" ht="20.2" customHeight="1" x14ac:dyDescent="0.45">
      <c r="B41" s="313">
        <v>45870</v>
      </c>
      <c r="C41" s="12" t="s">
        <v>78</v>
      </c>
      <c r="D41" s="23" t="s">
        <v>57</v>
      </c>
      <c r="E41" s="29"/>
    </row>
    <row r="42" spans="2:5" ht="20.2" customHeight="1" x14ac:dyDescent="0.45">
      <c r="B42" s="313">
        <v>45901</v>
      </c>
      <c r="C42" s="12" t="s">
        <v>78</v>
      </c>
      <c r="D42" s="19" t="s">
        <v>53</v>
      </c>
      <c r="E42" s="28"/>
    </row>
    <row r="43" spans="2:5" ht="20.2" customHeight="1" x14ac:dyDescent="0.45">
      <c r="B43" s="313">
        <v>45901</v>
      </c>
      <c r="C43" s="12" t="s">
        <v>78</v>
      </c>
      <c r="D43" s="23" t="s">
        <v>35</v>
      </c>
      <c r="E43" s="29"/>
    </row>
    <row r="44" spans="2:5" ht="20.2" customHeight="1" x14ac:dyDescent="0.45">
      <c r="B44" s="313">
        <v>45901</v>
      </c>
      <c r="C44" s="12" t="s">
        <v>78</v>
      </c>
      <c r="D44" s="23" t="s">
        <v>55</v>
      </c>
      <c r="E44" s="29"/>
    </row>
    <row r="45" spans="2:5" ht="20.2" customHeight="1" x14ac:dyDescent="0.45">
      <c r="B45" s="313">
        <v>45901</v>
      </c>
      <c r="C45" s="12" t="s">
        <v>78</v>
      </c>
      <c r="D45" s="23" t="s">
        <v>56</v>
      </c>
      <c r="E45" s="29"/>
    </row>
    <row r="46" spans="2:5" ht="20.2" customHeight="1" x14ac:dyDescent="0.45">
      <c r="B46" s="313">
        <v>45901</v>
      </c>
      <c r="C46" s="12" t="s">
        <v>78</v>
      </c>
      <c r="D46" s="23" t="s">
        <v>57</v>
      </c>
      <c r="E46" s="29"/>
    </row>
    <row r="47" spans="2:5" ht="20.2" customHeight="1" x14ac:dyDescent="0.45">
      <c r="B47" s="313">
        <v>45931</v>
      </c>
      <c r="C47" s="12" t="s">
        <v>78</v>
      </c>
      <c r="D47" s="19" t="s">
        <v>53</v>
      </c>
      <c r="E47" s="28"/>
    </row>
    <row r="48" spans="2:5" ht="20.2" customHeight="1" x14ac:dyDescent="0.45">
      <c r="B48" s="313">
        <v>45931</v>
      </c>
      <c r="C48" s="12" t="s">
        <v>78</v>
      </c>
      <c r="D48" s="23" t="s">
        <v>35</v>
      </c>
      <c r="E48" s="29"/>
    </row>
    <row r="49" spans="2:5" ht="20.2" customHeight="1" x14ac:dyDescent="0.45">
      <c r="B49" s="313">
        <v>45931</v>
      </c>
      <c r="C49" s="12" t="s">
        <v>78</v>
      </c>
      <c r="D49" s="23" t="s">
        <v>55</v>
      </c>
      <c r="E49" s="29"/>
    </row>
    <row r="50" spans="2:5" ht="20.2" customHeight="1" x14ac:dyDescent="0.45">
      <c r="B50" s="313">
        <v>45931</v>
      </c>
      <c r="C50" s="12" t="s">
        <v>78</v>
      </c>
      <c r="D50" s="23" t="s">
        <v>56</v>
      </c>
      <c r="E50" s="29"/>
    </row>
    <row r="51" spans="2:5" ht="20.2" customHeight="1" x14ac:dyDescent="0.45">
      <c r="B51" s="313">
        <v>45931</v>
      </c>
      <c r="C51" s="12" t="s">
        <v>78</v>
      </c>
      <c r="D51" s="23" t="s">
        <v>57</v>
      </c>
      <c r="E51" s="29"/>
    </row>
    <row r="52" spans="2:5" ht="20.2" customHeight="1" x14ac:dyDescent="0.45">
      <c r="B52" s="313">
        <v>45962</v>
      </c>
      <c r="C52" s="12" t="s">
        <v>78</v>
      </c>
      <c r="D52" s="19" t="s">
        <v>53</v>
      </c>
      <c r="E52" s="28"/>
    </row>
    <row r="53" spans="2:5" ht="20.2" customHeight="1" x14ac:dyDescent="0.45">
      <c r="B53" s="313">
        <v>45962</v>
      </c>
      <c r="C53" s="12" t="s">
        <v>78</v>
      </c>
      <c r="D53" s="23" t="s">
        <v>35</v>
      </c>
      <c r="E53" s="29"/>
    </row>
    <row r="54" spans="2:5" ht="20.2" customHeight="1" x14ac:dyDescent="0.45">
      <c r="B54" s="313">
        <v>45962</v>
      </c>
      <c r="C54" s="12" t="s">
        <v>78</v>
      </c>
      <c r="D54" s="23" t="s">
        <v>55</v>
      </c>
      <c r="E54" s="29"/>
    </row>
    <row r="55" spans="2:5" ht="20.2" customHeight="1" x14ac:dyDescent="0.45">
      <c r="B55" s="313">
        <v>45962</v>
      </c>
      <c r="C55" s="12" t="s">
        <v>78</v>
      </c>
      <c r="D55" s="23" t="s">
        <v>56</v>
      </c>
      <c r="E55" s="29"/>
    </row>
    <row r="56" spans="2:5" ht="20.2" customHeight="1" x14ac:dyDescent="0.45">
      <c r="B56" s="313">
        <v>45962</v>
      </c>
      <c r="C56" s="12" t="s">
        <v>78</v>
      </c>
      <c r="D56" s="23" t="s">
        <v>57</v>
      </c>
      <c r="E56" s="29"/>
    </row>
    <row r="57" spans="2:5" ht="20.2" customHeight="1" x14ac:dyDescent="0.45">
      <c r="B57" s="313">
        <v>45992</v>
      </c>
      <c r="C57" s="12" t="s">
        <v>78</v>
      </c>
      <c r="D57" s="19" t="s">
        <v>53</v>
      </c>
      <c r="E57" s="28"/>
    </row>
    <row r="58" spans="2:5" ht="20.2" customHeight="1" x14ac:dyDescent="0.45">
      <c r="B58" s="313">
        <v>45992</v>
      </c>
      <c r="C58" s="12" t="s">
        <v>78</v>
      </c>
      <c r="D58" s="23" t="s">
        <v>35</v>
      </c>
      <c r="E58" s="29"/>
    </row>
    <row r="59" spans="2:5" ht="20.2" customHeight="1" x14ac:dyDescent="0.45">
      <c r="B59" s="313">
        <v>45992</v>
      </c>
      <c r="C59" s="12" t="s">
        <v>78</v>
      </c>
      <c r="D59" s="23" t="s">
        <v>55</v>
      </c>
      <c r="E59" s="29"/>
    </row>
    <row r="60" spans="2:5" ht="20.2" customHeight="1" x14ac:dyDescent="0.45">
      <c r="B60" s="313">
        <v>45992</v>
      </c>
      <c r="C60" s="12" t="s">
        <v>78</v>
      </c>
      <c r="D60" s="23" t="s">
        <v>56</v>
      </c>
      <c r="E60" s="29"/>
    </row>
    <row r="61" spans="2:5" ht="20.2" customHeight="1" x14ac:dyDescent="0.45">
      <c r="B61" s="313">
        <v>45992</v>
      </c>
      <c r="C61" s="12" t="s">
        <v>78</v>
      </c>
      <c r="D61" s="23" t="s">
        <v>57</v>
      </c>
      <c r="E61" s="29"/>
    </row>
    <row r="62" spans="2:5" ht="20.2" customHeight="1" x14ac:dyDescent="0.45">
      <c r="B62" s="318">
        <v>45292</v>
      </c>
      <c r="C62" s="314" t="s">
        <v>78</v>
      </c>
      <c r="D62" s="19" t="s">
        <v>53</v>
      </c>
      <c r="E62" s="28">
        <v>2732074.709999999</v>
      </c>
    </row>
    <row r="63" spans="2:5" ht="12" customHeight="1" x14ac:dyDescent="0.45">
      <c r="B63" s="320">
        <v>45292</v>
      </c>
      <c r="C63" s="314" t="s">
        <v>78</v>
      </c>
      <c r="D63" s="23" t="s">
        <v>35</v>
      </c>
      <c r="E63" s="29">
        <v>15000000</v>
      </c>
    </row>
    <row r="64" spans="2:5" ht="12" customHeight="1" x14ac:dyDescent="0.45">
      <c r="B64" s="320">
        <v>45292</v>
      </c>
      <c r="C64" s="314" t="s">
        <v>78</v>
      </c>
      <c r="D64" s="23" t="s">
        <v>55</v>
      </c>
      <c r="E64" s="29">
        <v>3200000</v>
      </c>
    </row>
    <row r="65" spans="2:5" ht="12" customHeight="1" x14ac:dyDescent="0.45">
      <c r="B65" s="320">
        <v>45292</v>
      </c>
      <c r="C65" s="314" t="s">
        <v>78</v>
      </c>
      <c r="D65" s="23" t="s">
        <v>136</v>
      </c>
      <c r="E65" s="29">
        <v>4400000</v>
      </c>
    </row>
    <row r="66" spans="2:5" ht="12" customHeight="1" x14ac:dyDescent="0.45">
      <c r="B66" s="320">
        <v>45292</v>
      </c>
      <c r="C66" s="314" t="s">
        <v>78</v>
      </c>
      <c r="D66" s="23" t="s">
        <v>57</v>
      </c>
      <c r="E66" s="29"/>
    </row>
    <row r="67" spans="2:5" ht="12" customHeight="1" x14ac:dyDescent="0.45">
      <c r="B67" s="318">
        <v>45323</v>
      </c>
      <c r="C67" s="314" t="s">
        <v>78</v>
      </c>
      <c r="D67" s="19" t="s">
        <v>53</v>
      </c>
      <c r="E67" s="28">
        <v>857976.12199999997</v>
      </c>
    </row>
    <row r="68" spans="2:5" ht="12" customHeight="1" x14ac:dyDescent="0.45">
      <c r="B68" s="320">
        <v>45323</v>
      </c>
      <c r="C68" s="314" t="s">
        <v>78</v>
      </c>
      <c r="D68" s="23" t="s">
        <v>35</v>
      </c>
      <c r="E68" s="29">
        <v>10700000</v>
      </c>
    </row>
    <row r="69" spans="2:5" ht="12" customHeight="1" x14ac:dyDescent="0.45">
      <c r="B69" s="320">
        <v>45323</v>
      </c>
      <c r="C69" s="314" t="s">
        <v>78</v>
      </c>
      <c r="D69" s="23" t="s">
        <v>55</v>
      </c>
      <c r="E69" s="29">
        <v>2800000</v>
      </c>
    </row>
    <row r="70" spans="2:5" ht="12" customHeight="1" x14ac:dyDescent="0.45">
      <c r="B70" s="320">
        <v>45323</v>
      </c>
      <c r="C70" s="314" t="s">
        <v>78</v>
      </c>
      <c r="D70" s="23" t="s">
        <v>56</v>
      </c>
      <c r="E70" s="29">
        <v>7300000</v>
      </c>
    </row>
    <row r="71" spans="2:5" ht="12" customHeight="1" x14ac:dyDescent="0.45">
      <c r="B71" s="320">
        <v>45323</v>
      </c>
      <c r="C71" s="314" t="s">
        <v>78</v>
      </c>
      <c r="D71" s="23" t="s">
        <v>57</v>
      </c>
      <c r="E71" s="29"/>
    </row>
    <row r="72" spans="2:5" ht="12" customHeight="1" x14ac:dyDescent="0.45">
      <c r="B72" s="318">
        <v>45352</v>
      </c>
      <c r="C72" s="314" t="s">
        <v>78</v>
      </c>
      <c r="D72" s="19" t="s">
        <v>53</v>
      </c>
      <c r="E72" s="28">
        <v>1327360.1599999999</v>
      </c>
    </row>
    <row r="73" spans="2:5" ht="12" customHeight="1" x14ac:dyDescent="0.45">
      <c r="B73" s="320">
        <v>45352</v>
      </c>
      <c r="C73" s="314" t="s">
        <v>78</v>
      </c>
      <c r="D73" s="23" t="s">
        <v>35</v>
      </c>
      <c r="E73" s="29">
        <v>11500000</v>
      </c>
    </row>
    <row r="74" spans="2:5" ht="12" customHeight="1" x14ac:dyDescent="0.45">
      <c r="B74" s="320">
        <v>45352</v>
      </c>
      <c r="C74" s="314" t="s">
        <v>78</v>
      </c>
      <c r="D74" s="23" t="s">
        <v>55</v>
      </c>
      <c r="E74" s="29">
        <v>3300000</v>
      </c>
    </row>
    <row r="75" spans="2:5" ht="12" customHeight="1" x14ac:dyDescent="0.45">
      <c r="B75" s="320">
        <v>45352</v>
      </c>
      <c r="C75" s="314" t="s">
        <v>78</v>
      </c>
      <c r="D75" s="23" t="s">
        <v>56</v>
      </c>
      <c r="E75" s="29">
        <v>4890000</v>
      </c>
    </row>
    <row r="76" spans="2:5" ht="12" customHeight="1" x14ac:dyDescent="0.45">
      <c r="B76" s="320">
        <v>45352</v>
      </c>
      <c r="C76" s="314" t="s">
        <v>78</v>
      </c>
      <c r="D76" s="23" t="s">
        <v>57</v>
      </c>
      <c r="E76" s="29"/>
    </row>
    <row r="77" spans="2:5" ht="12" customHeight="1" x14ac:dyDescent="0.45">
      <c r="B77" s="318">
        <v>45383</v>
      </c>
      <c r="C77" s="314" t="s">
        <v>78</v>
      </c>
      <c r="D77" s="19" t="s">
        <v>53</v>
      </c>
      <c r="E77" s="28">
        <v>970395.53000000014</v>
      </c>
    </row>
    <row r="78" spans="2:5" ht="12" customHeight="1" x14ac:dyDescent="0.45">
      <c r="B78" s="320">
        <v>45383</v>
      </c>
      <c r="C78" s="314" t="s">
        <v>78</v>
      </c>
      <c r="D78" s="23" t="s">
        <v>35</v>
      </c>
      <c r="E78" s="29">
        <v>9500000</v>
      </c>
    </row>
    <row r="79" spans="2:5" ht="12" customHeight="1" x14ac:dyDescent="0.45">
      <c r="B79" s="320">
        <v>45383</v>
      </c>
      <c r="C79" s="314" t="s">
        <v>78</v>
      </c>
      <c r="D79" s="23" t="s">
        <v>55</v>
      </c>
      <c r="E79" s="29">
        <v>1700000</v>
      </c>
    </row>
    <row r="80" spans="2:5" ht="12" customHeight="1" x14ac:dyDescent="0.45">
      <c r="B80" s="320">
        <v>45383</v>
      </c>
      <c r="C80" s="314" t="s">
        <v>78</v>
      </c>
      <c r="D80" s="23" t="s">
        <v>56</v>
      </c>
      <c r="E80" s="29">
        <v>2840000</v>
      </c>
    </row>
    <row r="81" spans="2:5" ht="12" customHeight="1" x14ac:dyDescent="0.45">
      <c r="B81" s="320">
        <v>45383</v>
      </c>
      <c r="C81" s="314" t="s">
        <v>78</v>
      </c>
      <c r="D81" s="23" t="s">
        <v>57</v>
      </c>
      <c r="E81" s="29"/>
    </row>
    <row r="82" spans="2:5" ht="12" customHeight="1" x14ac:dyDescent="0.45">
      <c r="B82" s="318">
        <v>45413</v>
      </c>
      <c r="C82" s="314" t="s">
        <v>78</v>
      </c>
      <c r="D82" s="19" t="s">
        <v>53</v>
      </c>
      <c r="E82" s="28">
        <v>7479157.0134999957</v>
      </c>
    </row>
    <row r="83" spans="2:5" ht="12" customHeight="1" x14ac:dyDescent="0.45">
      <c r="B83" s="320">
        <v>45413</v>
      </c>
      <c r="C83" s="314" t="s">
        <v>78</v>
      </c>
      <c r="D83" s="23" t="s">
        <v>35</v>
      </c>
      <c r="E83" s="29">
        <v>13150000</v>
      </c>
    </row>
    <row r="84" spans="2:5" ht="12" customHeight="1" x14ac:dyDescent="0.45">
      <c r="B84" s="320">
        <v>45413</v>
      </c>
      <c r="C84" s="314" t="s">
        <v>78</v>
      </c>
      <c r="D84" s="23" t="s">
        <v>55</v>
      </c>
      <c r="E84" s="29">
        <v>3600000</v>
      </c>
    </row>
    <row r="85" spans="2:5" ht="12" customHeight="1" x14ac:dyDescent="0.45">
      <c r="B85" s="320">
        <v>45413</v>
      </c>
      <c r="C85" s="314" t="s">
        <v>78</v>
      </c>
      <c r="D85" s="23" t="s">
        <v>56</v>
      </c>
      <c r="E85" s="29">
        <v>5000000</v>
      </c>
    </row>
    <row r="86" spans="2:5" ht="12" customHeight="1" x14ac:dyDescent="0.45">
      <c r="B86" s="320">
        <v>45413</v>
      </c>
      <c r="C86" s="314" t="s">
        <v>78</v>
      </c>
      <c r="D86" s="23" t="s">
        <v>57</v>
      </c>
      <c r="E86" s="29"/>
    </row>
    <row r="87" spans="2:5" ht="12" customHeight="1" x14ac:dyDescent="0.45">
      <c r="B87" s="318">
        <v>45444</v>
      </c>
      <c r="C87" s="314" t="s">
        <v>78</v>
      </c>
      <c r="D87" s="19" t="s">
        <v>53</v>
      </c>
      <c r="E87" s="28">
        <v>1300802.2060000005</v>
      </c>
    </row>
    <row r="88" spans="2:5" ht="12" customHeight="1" x14ac:dyDescent="0.45">
      <c r="B88" s="320">
        <v>45444</v>
      </c>
      <c r="C88" s="314" t="s">
        <v>78</v>
      </c>
      <c r="D88" s="23" t="s">
        <v>35</v>
      </c>
      <c r="E88" s="29">
        <v>9500000</v>
      </c>
    </row>
    <row r="89" spans="2:5" ht="12" customHeight="1" x14ac:dyDescent="0.45">
      <c r="B89" s="320">
        <v>45444</v>
      </c>
      <c r="C89" s="314" t="s">
        <v>78</v>
      </c>
      <c r="D89" s="23" t="s">
        <v>55</v>
      </c>
      <c r="E89" s="29">
        <v>2950000</v>
      </c>
    </row>
    <row r="90" spans="2:5" ht="12" customHeight="1" x14ac:dyDescent="0.45">
      <c r="B90" s="320">
        <v>45444</v>
      </c>
      <c r="C90" s="314" t="s">
        <v>78</v>
      </c>
      <c r="D90" s="23" t="s">
        <v>56</v>
      </c>
      <c r="E90" s="29">
        <v>5000000</v>
      </c>
    </row>
    <row r="91" spans="2:5" ht="12" customHeight="1" x14ac:dyDescent="0.45">
      <c r="B91" s="320">
        <v>45444</v>
      </c>
      <c r="C91" s="314" t="s">
        <v>78</v>
      </c>
      <c r="D91" s="23" t="s">
        <v>57</v>
      </c>
      <c r="E91" s="29"/>
    </row>
    <row r="92" spans="2:5" ht="12" customHeight="1" x14ac:dyDescent="0.45">
      <c r="B92" s="318">
        <v>45474</v>
      </c>
      <c r="C92" s="314" t="s">
        <v>78</v>
      </c>
      <c r="D92" s="19" t="s">
        <v>53</v>
      </c>
      <c r="E92" s="28">
        <v>2510320.3654999998</v>
      </c>
    </row>
    <row r="93" spans="2:5" ht="12" customHeight="1" x14ac:dyDescent="0.45">
      <c r="B93" s="320">
        <v>45474</v>
      </c>
      <c r="C93" s="314" t="s">
        <v>78</v>
      </c>
      <c r="D93" s="23" t="s">
        <v>35</v>
      </c>
      <c r="E93" s="29">
        <v>11500000</v>
      </c>
    </row>
    <row r="94" spans="2:5" ht="12" customHeight="1" x14ac:dyDescent="0.45">
      <c r="B94" s="320">
        <v>45474</v>
      </c>
      <c r="C94" s="314" t="s">
        <v>78</v>
      </c>
      <c r="D94" s="23" t="s">
        <v>55</v>
      </c>
      <c r="E94" s="29">
        <v>4000000</v>
      </c>
    </row>
    <row r="95" spans="2:5" ht="12" customHeight="1" x14ac:dyDescent="0.45">
      <c r="B95" s="320">
        <v>45474</v>
      </c>
      <c r="C95" s="314" t="s">
        <v>78</v>
      </c>
      <c r="D95" s="23" t="s">
        <v>56</v>
      </c>
      <c r="E95" s="29">
        <v>3630000</v>
      </c>
    </row>
    <row r="96" spans="2:5" ht="12" customHeight="1" x14ac:dyDescent="0.45">
      <c r="B96" s="320">
        <v>45474</v>
      </c>
      <c r="C96" s="314" t="s">
        <v>78</v>
      </c>
      <c r="D96" s="23" t="s">
        <v>57</v>
      </c>
      <c r="E96" s="29"/>
    </row>
    <row r="97" spans="2:5" ht="12" customHeight="1" x14ac:dyDescent="0.45">
      <c r="B97" s="318">
        <v>45505</v>
      </c>
      <c r="C97" s="314" t="s">
        <v>78</v>
      </c>
      <c r="D97" s="19" t="s">
        <v>53</v>
      </c>
      <c r="E97" s="28">
        <v>2221158.8205000004</v>
      </c>
    </row>
    <row r="98" spans="2:5" ht="12" customHeight="1" x14ac:dyDescent="0.45">
      <c r="B98" s="320">
        <v>45505</v>
      </c>
      <c r="C98" s="314" t="s">
        <v>78</v>
      </c>
      <c r="D98" s="23" t="s">
        <v>35</v>
      </c>
      <c r="E98" s="29">
        <v>12000000</v>
      </c>
    </row>
    <row r="99" spans="2:5" ht="12" customHeight="1" x14ac:dyDescent="0.45">
      <c r="B99" s="320">
        <v>45505</v>
      </c>
      <c r="C99" s="314" t="s">
        <v>78</v>
      </c>
      <c r="D99" s="23" t="s">
        <v>55</v>
      </c>
      <c r="E99" s="29">
        <v>4220000</v>
      </c>
    </row>
    <row r="100" spans="2:5" ht="12" customHeight="1" x14ac:dyDescent="0.45">
      <c r="B100" s="320">
        <v>45505</v>
      </c>
      <c r="C100" s="314" t="s">
        <v>78</v>
      </c>
      <c r="D100" s="23" t="s">
        <v>56</v>
      </c>
      <c r="E100" s="29">
        <v>23570000</v>
      </c>
    </row>
    <row r="101" spans="2:5" ht="12" customHeight="1" x14ac:dyDescent="0.45">
      <c r="B101" s="320">
        <v>45505</v>
      </c>
      <c r="C101" s="314" t="s">
        <v>78</v>
      </c>
      <c r="D101" s="23" t="s">
        <v>57</v>
      </c>
      <c r="E101" s="29"/>
    </row>
    <row r="102" spans="2:5" ht="12" customHeight="1" x14ac:dyDescent="0.45">
      <c r="B102" s="318">
        <v>45536</v>
      </c>
      <c r="C102" s="314" t="s">
        <v>78</v>
      </c>
      <c r="D102" s="19" t="s">
        <v>53</v>
      </c>
      <c r="E102" s="28">
        <v>2172582.7700000005</v>
      </c>
    </row>
    <row r="103" spans="2:5" ht="12" customHeight="1" x14ac:dyDescent="0.45">
      <c r="B103" s="320">
        <v>45536</v>
      </c>
      <c r="C103" s="314" t="s">
        <v>78</v>
      </c>
      <c r="D103" s="23" t="s">
        <v>35</v>
      </c>
      <c r="E103" s="29">
        <v>8350000</v>
      </c>
    </row>
    <row r="104" spans="2:5" ht="12" customHeight="1" x14ac:dyDescent="0.45">
      <c r="B104" s="320">
        <v>45536</v>
      </c>
      <c r="C104" s="314" t="s">
        <v>78</v>
      </c>
      <c r="D104" s="23" t="s">
        <v>55</v>
      </c>
      <c r="E104" s="29">
        <v>3590000</v>
      </c>
    </row>
    <row r="105" spans="2:5" ht="12" customHeight="1" x14ac:dyDescent="0.45">
      <c r="B105" s="320">
        <v>45536</v>
      </c>
      <c r="C105" s="314" t="s">
        <v>78</v>
      </c>
      <c r="D105" s="23" t="s">
        <v>56</v>
      </c>
      <c r="E105" s="29">
        <v>3200000</v>
      </c>
    </row>
    <row r="106" spans="2:5" ht="12" customHeight="1" x14ac:dyDescent="0.45">
      <c r="B106" s="320">
        <v>45536</v>
      </c>
      <c r="C106" s="314" t="s">
        <v>78</v>
      </c>
      <c r="D106" s="23" t="s">
        <v>57</v>
      </c>
      <c r="E106" s="29"/>
    </row>
    <row r="107" spans="2:5" ht="12" customHeight="1" x14ac:dyDescent="0.45">
      <c r="B107" s="318">
        <v>45566</v>
      </c>
      <c r="C107" s="314" t="s">
        <v>78</v>
      </c>
      <c r="D107" s="19" t="s">
        <v>53</v>
      </c>
      <c r="E107" s="28">
        <v>2059801.8275000006</v>
      </c>
    </row>
    <row r="108" spans="2:5" ht="12" customHeight="1" x14ac:dyDescent="0.45">
      <c r="B108" s="320">
        <v>45566</v>
      </c>
      <c r="C108" s="314" t="s">
        <v>78</v>
      </c>
      <c r="D108" s="23" t="s">
        <v>35</v>
      </c>
      <c r="E108" s="29">
        <v>8920000</v>
      </c>
    </row>
    <row r="109" spans="2:5" ht="12" customHeight="1" x14ac:dyDescent="0.45">
      <c r="B109" s="320">
        <v>45566</v>
      </c>
      <c r="C109" s="314" t="s">
        <v>78</v>
      </c>
      <c r="D109" s="23" t="s">
        <v>55</v>
      </c>
      <c r="E109" s="29">
        <v>2100000</v>
      </c>
    </row>
    <row r="110" spans="2:5" ht="12" customHeight="1" x14ac:dyDescent="0.45">
      <c r="B110" s="320">
        <v>45566</v>
      </c>
      <c r="C110" s="314" t="s">
        <v>78</v>
      </c>
      <c r="D110" s="23" t="s">
        <v>56</v>
      </c>
      <c r="E110" s="29">
        <v>2580000</v>
      </c>
    </row>
    <row r="111" spans="2:5" ht="12" customHeight="1" x14ac:dyDescent="0.45">
      <c r="B111" s="320">
        <v>45566</v>
      </c>
      <c r="C111" s="314" t="s">
        <v>78</v>
      </c>
      <c r="D111" s="23" t="s">
        <v>57</v>
      </c>
      <c r="E111" s="29"/>
    </row>
    <row r="112" spans="2:5" ht="12" customHeight="1" x14ac:dyDescent="0.45">
      <c r="B112" s="318">
        <v>45597</v>
      </c>
      <c r="C112" s="314" t="s">
        <v>78</v>
      </c>
      <c r="D112" s="19" t="s">
        <v>53</v>
      </c>
      <c r="E112" s="28">
        <v>2078289</v>
      </c>
    </row>
    <row r="113" spans="2:5" ht="12" customHeight="1" x14ac:dyDescent="0.45">
      <c r="B113" s="320">
        <v>45597</v>
      </c>
      <c r="C113" s="314" t="s">
        <v>78</v>
      </c>
      <c r="D113" s="23" t="s">
        <v>35</v>
      </c>
      <c r="E113" s="29">
        <v>10200000</v>
      </c>
    </row>
    <row r="114" spans="2:5" ht="12" customHeight="1" x14ac:dyDescent="0.45">
      <c r="B114" s="320">
        <v>45597</v>
      </c>
      <c r="C114" s="314" t="s">
        <v>78</v>
      </c>
      <c r="D114" s="23" t="s">
        <v>55</v>
      </c>
      <c r="E114" s="29">
        <v>4200000</v>
      </c>
    </row>
    <row r="115" spans="2:5" ht="12" customHeight="1" x14ac:dyDescent="0.45">
      <c r="B115" s="320">
        <v>45597</v>
      </c>
      <c r="C115" s="314" t="s">
        <v>78</v>
      </c>
      <c r="D115" s="23" t="s">
        <v>56</v>
      </c>
      <c r="E115" s="29">
        <v>4700000</v>
      </c>
    </row>
    <row r="116" spans="2:5" ht="12" customHeight="1" x14ac:dyDescent="0.45">
      <c r="B116" s="320">
        <v>45597</v>
      </c>
      <c r="C116" s="314" t="s">
        <v>78</v>
      </c>
      <c r="D116" s="23" t="s">
        <v>57</v>
      </c>
      <c r="E116" s="29"/>
    </row>
    <row r="117" spans="2:5" ht="12" customHeight="1" x14ac:dyDescent="0.45">
      <c r="B117" s="318">
        <v>45627</v>
      </c>
      <c r="C117" s="314" t="s">
        <v>78</v>
      </c>
      <c r="D117" s="19" t="s">
        <v>53</v>
      </c>
      <c r="E117" s="28">
        <v>1871735.4005000002</v>
      </c>
    </row>
    <row r="118" spans="2:5" ht="12" customHeight="1" x14ac:dyDescent="0.45">
      <c r="B118" s="320">
        <v>45627</v>
      </c>
      <c r="C118" s="314" t="s">
        <v>78</v>
      </c>
      <c r="D118" s="23" t="s">
        <v>35</v>
      </c>
      <c r="E118" s="29">
        <v>15500000</v>
      </c>
    </row>
    <row r="119" spans="2:5" ht="12" customHeight="1" x14ac:dyDescent="0.45">
      <c r="B119" s="320">
        <v>45627</v>
      </c>
      <c r="C119" s="314" t="s">
        <v>78</v>
      </c>
      <c r="D119" s="23" t="s">
        <v>55</v>
      </c>
      <c r="E119" s="29">
        <v>5950000</v>
      </c>
    </row>
    <row r="120" spans="2:5" ht="12" customHeight="1" x14ac:dyDescent="0.45">
      <c r="B120" s="320">
        <v>45627</v>
      </c>
      <c r="C120" s="314" t="s">
        <v>78</v>
      </c>
      <c r="D120" s="23" t="s">
        <v>56</v>
      </c>
      <c r="E120" s="29">
        <v>5960000</v>
      </c>
    </row>
    <row r="121" spans="2:5" ht="12" customHeight="1" x14ac:dyDescent="0.45">
      <c r="B121" s="320">
        <v>45627</v>
      </c>
      <c r="C121" s="314" t="s">
        <v>78</v>
      </c>
      <c r="D121" s="23" t="s">
        <v>57</v>
      </c>
      <c r="E121" s="29"/>
    </row>
  </sheetData>
  <autoFilter ref="A1:E121" xr:uid="{00000000-0001-0000-0A00-000000000000}"/>
  <phoneticPr fontId="28" type="noConversion"/>
  <pageMargins left="0.7" right="0.7" top="0.75" bottom="0.75" header="0.3" footer="0.3"/>
  <pageSetup paperSize="9" orientation="portrait" r:id="rId1"/>
  <headerFooter>
    <oddHeader>&amp;L&amp;"Calibri"&amp;10&amp;K000000General Information&amp;1#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8"/>
  <sheetViews>
    <sheetView workbookViewId="0"/>
  </sheetViews>
  <sheetFormatPr defaultColWidth="10" defaultRowHeight="14" x14ac:dyDescent="0.45"/>
  <cols>
    <col min="1" max="1" width="8.76171875" customWidth="1"/>
    <col min="2" max="2" width="9.234375" customWidth="1"/>
    <col min="3" max="3" width="31.76171875" customWidth="1"/>
    <col min="4" max="4" width="32.05859375" customWidth="1"/>
    <col min="5" max="5" width="31.76171875" customWidth="1"/>
    <col min="6" max="6" width="22.05859375" customWidth="1"/>
    <col min="7" max="11" width="10" customWidth="1"/>
    <col min="12" max="12" width="4.76171875" customWidth="1"/>
  </cols>
  <sheetData>
    <row r="1" spans="1:7" x14ac:dyDescent="0.45">
      <c r="A1" s="5" t="s">
        <v>108</v>
      </c>
    </row>
    <row r="3" spans="1:7" x14ac:dyDescent="0.45">
      <c r="B3" s="6" t="s">
        <v>1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</row>
    <row r="4" spans="1:7" x14ac:dyDescent="0.45">
      <c r="B4" s="7" t="s">
        <v>35</v>
      </c>
      <c r="C4">
        <v>26485083</v>
      </c>
      <c r="D4">
        <v>56823936.256637201</v>
      </c>
      <c r="E4">
        <v>7</v>
      </c>
      <c r="F4" s="8">
        <f>C4/E4</f>
        <v>3783583.2857142901</v>
      </c>
    </row>
    <row r="5" spans="1:7" x14ac:dyDescent="0.45">
      <c r="B5" s="7" t="s">
        <v>33</v>
      </c>
      <c r="C5">
        <v>10534924.743362799</v>
      </c>
      <c r="D5">
        <v>37222142.630088501</v>
      </c>
      <c r="E5">
        <v>7</v>
      </c>
      <c r="F5" s="8">
        <f t="shared" ref="F5:F6" si="0">C5/E5</f>
        <v>1504989.24905183</v>
      </c>
      <c r="G5" s="9">
        <f>F4/F5</f>
        <v>2.5140267866351902</v>
      </c>
    </row>
    <row r="6" spans="1:7" x14ac:dyDescent="0.45">
      <c r="B6" s="7" t="s">
        <v>42</v>
      </c>
      <c r="C6">
        <v>20959727</v>
      </c>
      <c r="D6">
        <v>11442291</v>
      </c>
      <c r="E6">
        <v>7</v>
      </c>
      <c r="F6" s="8">
        <f t="shared" si="0"/>
        <v>2994246.7142857099</v>
      </c>
      <c r="G6" s="9">
        <f>F4/F6</f>
        <v>1.2636177465479399</v>
      </c>
    </row>
    <row r="7" spans="1:7" x14ac:dyDescent="0.45">
      <c r="B7" s="7" t="s">
        <v>114</v>
      </c>
      <c r="C7">
        <v>57979734.743362799</v>
      </c>
      <c r="D7">
        <v>105488369.88672601</v>
      </c>
      <c r="E7">
        <v>21</v>
      </c>
    </row>
    <row r="8" spans="1:7" x14ac:dyDescent="0.45">
      <c r="B8" s="7"/>
    </row>
    <row r="9" spans="1:7" x14ac:dyDescent="0.45">
      <c r="A9" s="10" t="s">
        <v>115</v>
      </c>
      <c r="B9" s="7" t="s">
        <v>116</v>
      </c>
      <c r="C9" t="s">
        <v>112</v>
      </c>
    </row>
    <row r="10" spans="1:7" x14ac:dyDescent="0.45">
      <c r="A10">
        <v>3</v>
      </c>
      <c r="B10" s="7" t="s">
        <v>117</v>
      </c>
      <c r="C10" s="8">
        <f>F6</f>
        <v>2994246.7142857099</v>
      </c>
    </row>
    <row r="11" spans="1:7" x14ac:dyDescent="0.45">
      <c r="A11">
        <v>2</v>
      </c>
      <c r="B11" s="7" t="s">
        <v>33</v>
      </c>
      <c r="C11" s="8">
        <f>F5</f>
        <v>1504989.24905183</v>
      </c>
    </row>
    <row r="12" spans="1:7" x14ac:dyDescent="0.45">
      <c r="A12">
        <v>1</v>
      </c>
      <c r="B12" s="7" t="s">
        <v>35</v>
      </c>
      <c r="C12" s="8">
        <f>F4</f>
        <v>3783583.2857142901</v>
      </c>
    </row>
    <row r="22" spans="1:7" x14ac:dyDescent="0.45">
      <c r="A22" s="5" t="s">
        <v>118</v>
      </c>
    </row>
    <row r="23" spans="1:7" x14ac:dyDescent="0.45">
      <c r="B23" s="6" t="s">
        <v>119</v>
      </c>
      <c r="C23" t="s">
        <v>109</v>
      </c>
      <c r="D23" t="s">
        <v>110</v>
      </c>
      <c r="E23" t="s">
        <v>120</v>
      </c>
      <c r="F23" t="s">
        <v>112</v>
      </c>
      <c r="G23" t="s">
        <v>113</v>
      </c>
    </row>
    <row r="24" spans="1:7" x14ac:dyDescent="0.45">
      <c r="B24" s="7" t="s">
        <v>35</v>
      </c>
      <c r="C24">
        <v>10880231</v>
      </c>
      <c r="D24">
        <v>55398843.433628298</v>
      </c>
      <c r="E24">
        <v>3</v>
      </c>
      <c r="F24" s="8">
        <f>C24/E24</f>
        <v>3626743.6666666698</v>
      </c>
    </row>
    <row r="25" spans="1:7" x14ac:dyDescent="0.45">
      <c r="B25" s="7" t="s">
        <v>121</v>
      </c>
      <c r="C25">
        <v>27800000</v>
      </c>
      <c r="D25">
        <v>92890000</v>
      </c>
      <c r="E25">
        <v>3</v>
      </c>
      <c r="F25" s="8">
        <f>C25/E25</f>
        <v>9266666.6666666698</v>
      </c>
      <c r="G25" s="9">
        <f>$F$24/F25</f>
        <v>0.39137521582733797</v>
      </c>
    </row>
    <row r="26" spans="1:7" x14ac:dyDescent="0.45">
      <c r="B26" s="7" t="s">
        <v>122</v>
      </c>
      <c r="C26">
        <v>35630000</v>
      </c>
      <c r="D26">
        <v>126925239.23</v>
      </c>
      <c r="E26">
        <v>4</v>
      </c>
      <c r="F26" s="8">
        <f t="shared" ref="F26:F28" si="1">C26/E26</f>
        <v>8907500</v>
      </c>
      <c r="G26" s="9">
        <f>$F$24/F26</f>
        <v>0.40715617924969599</v>
      </c>
    </row>
    <row r="27" spans="1:7" x14ac:dyDescent="0.45">
      <c r="B27" s="7" t="s">
        <v>117</v>
      </c>
      <c r="C27">
        <v>5389469.0265486697</v>
      </c>
      <c r="D27">
        <v>17930000</v>
      </c>
      <c r="E27">
        <v>4</v>
      </c>
      <c r="F27" s="8">
        <f t="shared" si="1"/>
        <v>1347367.25663717</v>
      </c>
      <c r="G27" s="9">
        <f t="shared" ref="G27:G29" si="2">$F$24/F27</f>
        <v>2.6917261413331999</v>
      </c>
    </row>
    <row r="28" spans="1:7" x14ac:dyDescent="0.45">
      <c r="B28" s="7" t="s">
        <v>85</v>
      </c>
      <c r="C28">
        <v>1160000</v>
      </c>
      <c r="E28">
        <v>1</v>
      </c>
      <c r="F28" s="8">
        <f t="shared" si="1"/>
        <v>1160000</v>
      </c>
      <c r="G28" s="9">
        <f t="shared" si="2"/>
        <v>3.1265031609195399</v>
      </c>
    </row>
    <row r="29" spans="1:7" x14ac:dyDescent="0.45">
      <c r="B29" s="7" t="s">
        <v>123</v>
      </c>
      <c r="C29">
        <v>1800000</v>
      </c>
      <c r="E29">
        <v>1</v>
      </c>
      <c r="F29" s="8">
        <f t="shared" ref="F29" si="3">C29/E29</f>
        <v>1800000</v>
      </c>
      <c r="G29" s="9">
        <f t="shared" si="2"/>
        <v>2.0148575925925898</v>
      </c>
    </row>
    <row r="30" spans="1:7" x14ac:dyDescent="0.45">
      <c r="B30" s="7" t="s">
        <v>114</v>
      </c>
      <c r="C30">
        <v>82659700.026548699</v>
      </c>
      <c r="D30">
        <v>293144082.66362798</v>
      </c>
      <c r="E30">
        <v>16</v>
      </c>
    </row>
    <row r="32" spans="1:7" x14ac:dyDescent="0.45">
      <c r="A32" t="s">
        <v>124</v>
      </c>
      <c r="B32" t="s">
        <v>116</v>
      </c>
      <c r="C32" t="s">
        <v>112</v>
      </c>
    </row>
    <row r="33" spans="1:3" x14ac:dyDescent="0.45">
      <c r="A33">
        <v>6</v>
      </c>
      <c r="B33" t="s">
        <v>123</v>
      </c>
      <c r="C33" s="8">
        <v>1800000</v>
      </c>
    </row>
    <row r="34" spans="1:3" x14ac:dyDescent="0.45">
      <c r="A34">
        <v>5</v>
      </c>
      <c r="B34" t="s">
        <v>85</v>
      </c>
      <c r="C34" s="8">
        <v>1160000</v>
      </c>
    </row>
    <row r="35" spans="1:3" x14ac:dyDescent="0.45">
      <c r="A35">
        <v>4</v>
      </c>
      <c r="B35" t="s">
        <v>117</v>
      </c>
      <c r="C35" s="8">
        <v>1347367.25663717</v>
      </c>
    </row>
    <row r="36" spans="1:3" x14ac:dyDescent="0.45">
      <c r="A36">
        <v>3</v>
      </c>
      <c r="B36" t="s">
        <v>122</v>
      </c>
      <c r="C36" s="8">
        <v>8907500</v>
      </c>
    </row>
    <row r="37" spans="1:3" x14ac:dyDescent="0.45">
      <c r="A37">
        <v>2</v>
      </c>
      <c r="B37" t="s">
        <v>121</v>
      </c>
      <c r="C37" s="8">
        <v>9266666.6666666698</v>
      </c>
    </row>
    <row r="38" spans="1:3" x14ac:dyDescent="0.45">
      <c r="A38">
        <v>1</v>
      </c>
      <c r="B38" t="s">
        <v>35</v>
      </c>
      <c r="C38" s="8">
        <v>3626743.6666666698</v>
      </c>
    </row>
  </sheetData>
  <autoFilter ref="A32:C38" xr:uid="{00000000-0009-0000-0000-00000B000000}"/>
  <phoneticPr fontId="28" type="noConversion"/>
  <pageMargins left="0.7" right="0.7" top="0.75" bottom="0.75" header="0.3" footer="0.3"/>
  <headerFooter>
    <oddHeader>&amp;L&amp;"Calibri"&amp;10&amp;K000000General Information&amp;1#</oddHeader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/>
  </sheetViews>
  <sheetFormatPr defaultColWidth="10" defaultRowHeight="14" x14ac:dyDescent="0.45"/>
  <cols>
    <col min="2" max="2" width="15.234375" customWidth="1"/>
    <col min="3" max="3" width="20.05859375" customWidth="1"/>
  </cols>
  <sheetData>
    <row r="1" spans="1:4" x14ac:dyDescent="0.45">
      <c r="A1" t="s">
        <v>1</v>
      </c>
      <c r="B1" t="s">
        <v>125</v>
      </c>
      <c r="C1" t="s">
        <v>126</v>
      </c>
    </row>
    <row r="2" spans="1:4" x14ac:dyDescent="0.45">
      <c r="A2" t="s">
        <v>122</v>
      </c>
      <c r="B2" s="1" t="e">
        <f>#REF!+CDIFS!#REF!</f>
        <v>#REF!</v>
      </c>
      <c r="C2" s="1" t="e">
        <f>#REF!+CDIFS!#REF!</f>
        <v>#REF!</v>
      </c>
      <c r="D2" s="2" t="e">
        <f>B2/C2-1</f>
        <v>#REF!</v>
      </c>
    </row>
    <row r="3" spans="1:4" x14ac:dyDescent="0.45">
      <c r="A3" t="s">
        <v>121</v>
      </c>
      <c r="B3" s="1" t="e">
        <f>#REF!+CDIFS!#REF!</f>
        <v>#REF!</v>
      </c>
      <c r="C3" s="1" t="e">
        <f>#REF!+CDIFS!#REF!</f>
        <v>#REF!</v>
      </c>
      <c r="D3" s="2" t="e">
        <f t="shared" ref="D3:D7" si="0">B3/C3-1</f>
        <v>#REF!</v>
      </c>
    </row>
    <row r="4" spans="1:4" x14ac:dyDescent="0.45">
      <c r="A4" t="s">
        <v>117</v>
      </c>
      <c r="B4" s="1" t="e">
        <f>#REF!+#REF!+CDIFS!#REF!</f>
        <v>#REF!</v>
      </c>
      <c r="C4" s="1" t="e">
        <f>#REF!+#REF!+CDIFS!#REF!</f>
        <v>#REF!</v>
      </c>
      <c r="D4" s="2" t="e">
        <f t="shared" si="0"/>
        <v>#REF!</v>
      </c>
    </row>
    <row r="5" spans="1:4" x14ac:dyDescent="0.45">
      <c r="A5" t="s">
        <v>33</v>
      </c>
      <c r="B5" s="1" t="e">
        <f>#REF!</f>
        <v>#REF!</v>
      </c>
      <c r="C5" s="1" t="e">
        <f>#REF!</f>
        <v>#REF!</v>
      </c>
      <c r="D5" s="2" t="e">
        <f t="shared" si="0"/>
        <v>#REF!</v>
      </c>
    </row>
    <row r="6" spans="1:4" x14ac:dyDescent="0.45">
      <c r="A6" s="3" t="s">
        <v>127</v>
      </c>
      <c r="B6" s="3" t="e">
        <f>#REF!</f>
        <v>#REF!</v>
      </c>
      <c r="C6" s="3" t="e">
        <f>#REF!</f>
        <v>#REF!</v>
      </c>
      <c r="D6" s="4" t="e">
        <f t="shared" si="0"/>
        <v>#REF!</v>
      </c>
    </row>
    <row r="7" spans="1:4" x14ac:dyDescent="0.45">
      <c r="A7" s="3" t="s">
        <v>128</v>
      </c>
      <c r="B7" s="3" t="e">
        <f>#REF!</f>
        <v>#REF!</v>
      </c>
      <c r="C7" s="3" t="e">
        <f>#REF!</f>
        <v>#REF!</v>
      </c>
      <c r="D7" s="4" t="e">
        <f t="shared" si="0"/>
        <v>#REF!</v>
      </c>
    </row>
  </sheetData>
  <phoneticPr fontId="28" type="noConversion"/>
  <pageMargins left="0.7" right="0.7" top="0.75" bottom="0.75" header="0.3" footer="0.3"/>
  <headerFooter>
    <oddHeader>&amp;L&amp;"Calibri"&amp;10&amp;K000000General Information&amp;1#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4AF3DF79E642448FB1F5CF210A2C8F" ma:contentTypeVersion="4" ma:contentTypeDescription="Create a new document." ma:contentTypeScope="" ma:versionID="658a876819233a17f3ecfe3d5f509cc8">
  <xsd:schema xmlns:xsd="http://www.w3.org/2001/XMLSchema" xmlns:xs="http://www.w3.org/2001/XMLSchema" xmlns:p="http://schemas.microsoft.com/office/2006/metadata/properties" xmlns:ns2="e335835a-1583-4753-8c17-d1bc12eca863" xmlns:ns3="bc6a7202-8c63-4333-aeda-614a88a849ff" targetNamespace="http://schemas.microsoft.com/office/2006/metadata/properties" ma:root="true" ma:fieldsID="32d89159c05b9f367f6dd1f37fa7d2c5" ns2:_="" ns3:_="">
    <xsd:import namespace="e335835a-1583-4753-8c17-d1bc12eca863"/>
    <xsd:import namespace="bc6a7202-8c63-4333-aeda-614a88a84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5835a-1583-4753-8c17-d1bc12eca8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a7202-8c63-4333-aeda-614a88a849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3194D2-6ABF-4D23-AAA6-9FF5E2FA7D34}">
  <ds:schemaRefs/>
</ds:datastoreItem>
</file>

<file path=customXml/itemProps2.xml><?xml version="1.0" encoding="utf-8"?>
<ds:datastoreItem xmlns:ds="http://schemas.openxmlformats.org/officeDocument/2006/customXml" ds:itemID="{D8097479-C5F4-44BB-987F-92D3A3DE6C04}">
  <ds:schemaRefs/>
</ds:datastoreItem>
</file>

<file path=customXml/itemProps3.xml><?xml version="1.0" encoding="utf-8"?>
<ds:datastoreItem xmlns:ds="http://schemas.openxmlformats.org/officeDocument/2006/customXml" ds:itemID="{F42E4F49-03B9-4414-9C3B-92FA9D9C5BC2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335835a-1583-4753-8c17-d1bc12eca863"/>
    <ds:schemaRef ds:uri="http://schemas.microsoft.com/office/2006/documentManagement/types"/>
    <ds:schemaRef ds:uri="http://schemas.microsoft.com/office/2006/metadata/properties"/>
    <ds:schemaRef ds:uri="http://purl.org/dc/terms/"/>
    <ds:schemaRef ds:uri="bc6a7202-8c63-4333-aeda-614a88a849ff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Rowdata-EB</vt:lpstr>
      <vt:lpstr>weekly</vt:lpstr>
      <vt:lpstr>Dashboard </vt:lpstr>
      <vt:lpstr>South</vt:lpstr>
      <vt:lpstr>CDIFS</vt:lpstr>
      <vt:lpstr>CDTKL</vt:lpstr>
      <vt:lpstr>CDSKP</vt:lpstr>
      <vt:lpstr>GZTKH</vt:lpstr>
      <vt:lpstr>SZBAY</vt:lpstr>
      <vt:lpstr>SZLH</vt:lpstr>
      <vt:lpstr>Sheet1</vt:lpstr>
      <vt:lpstr>competitor</vt:lpstr>
      <vt:lpstr>'Dashboard '!Print_Area</vt:lpstr>
    </vt:vector>
  </TitlesOfParts>
  <Company>Richemont International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</dc:creator>
  <cp:lastModifiedBy>Emma Wang</cp:lastModifiedBy>
  <cp:lastPrinted>2024-11-14T07:32:05Z</cp:lastPrinted>
  <dcterms:created xsi:type="dcterms:W3CDTF">2022-10-30T22:42:00Z</dcterms:created>
  <dcterms:modified xsi:type="dcterms:W3CDTF">2025-07-13T13:59:07Z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a14748-72d4-4075-91da-a3aef68197d4_SiteId">
    <vt:lpwstr>94b3f1b2-8b3a-49e3-ba33-8b8fb6d18361</vt:lpwstr>
  </property>
  <property fmtid="{D5CDD505-2E9C-101B-9397-08002B2CF9AE}" pid="3" name="MSIP_Label_98a14748-72d4-4075-91da-a3aef68197d4_Enabled">
    <vt:lpwstr>true</vt:lpwstr>
  </property>
  <property fmtid="{D5CDD505-2E9C-101B-9397-08002B2CF9AE}" pid="4" name="MSIP_Label_98a14748-72d4-4075-91da-a3aef68197d4_ContentBits">
    <vt:lpwstr>1</vt:lpwstr>
  </property>
  <property fmtid="{D5CDD505-2E9C-101B-9397-08002B2CF9AE}" pid="5" name="ContentTypeId">
    <vt:lpwstr>0x010100D14AF3DF79E642448FB1F5CF210A2C8F</vt:lpwstr>
  </property>
  <property fmtid="{D5CDD505-2E9C-101B-9397-08002B2CF9AE}" pid="6" name="MSIP_Label_98a14748-72d4-4075-91da-a3aef68197d4_SetDate">
    <vt:lpwstr>2023-06-07T03:53:51Z</vt:lpwstr>
  </property>
  <property fmtid="{D5CDD505-2E9C-101B-9397-08002B2CF9AE}" pid="7" name="MSIP_Label_98a14748-72d4-4075-91da-a3aef68197d4_Method">
    <vt:lpwstr>Standard</vt:lpwstr>
  </property>
  <property fmtid="{D5CDD505-2E9C-101B-9397-08002B2CF9AE}" pid="8" name="MSIP_Label_98a14748-72d4-4075-91da-a3aef68197d4_Name">
    <vt:lpwstr>Internal</vt:lpwstr>
  </property>
  <property fmtid="{D5CDD505-2E9C-101B-9397-08002B2CF9AE}" pid="9" name="MSIP_Label_98a14748-72d4-4075-91da-a3aef68197d4_ActionId">
    <vt:lpwstr>30f7860c-b2fc-4f67-a85f-3911ee4d9855</vt:lpwstr>
  </property>
  <property fmtid="{D5CDD505-2E9C-101B-9397-08002B2CF9AE}" pid="10" name="ICV">
    <vt:lpwstr>63c84f06c2c54a5e9c754d5625087b9e</vt:lpwstr>
  </property>
  <property fmtid="{D5CDD505-2E9C-101B-9397-08002B2CF9AE}" pid="11" name="KSOProductBuildVer">
    <vt:lpwstr>2052-12.1.0.17140</vt:lpwstr>
  </property>
  <property fmtid="{D5CDD505-2E9C-101B-9397-08002B2CF9AE}" pid="12" name="KSOReadingLayout">
    <vt:bool>true</vt:bool>
  </property>
</Properties>
</file>