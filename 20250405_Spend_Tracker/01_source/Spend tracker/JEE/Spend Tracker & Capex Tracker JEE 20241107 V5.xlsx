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Power BI缓存\New folder (7)\Spend tracker\JEE\"/>
    </mc:Choice>
  </mc:AlternateContent>
  <bookViews>
    <workbookView xWindow="-105" yWindow="-105" windowWidth="19425" windowHeight="10305" activeTab="2"/>
  </bookViews>
  <sheets>
    <sheet name="Sheet2" sheetId="6" r:id="rId1"/>
    <sheet name="Sheet3" sheetId="7" r:id="rId2"/>
    <sheet name="Spend Track (part)" sheetId="4" r:id="rId3"/>
    <sheet name="Capex tracker" sheetId="2" r:id="rId4"/>
    <sheet name="Sheet1" sheetId="3" state="hidden" r:id="rId5"/>
    <sheet name="Capex summary Dec 2024" sheetId="5" state="hidden" r:id="rId6"/>
  </sheets>
  <definedNames>
    <definedName name="_xlnm._FilterDatabase" localSheetId="3" hidden="1">'Capex tracker'!$A$3:$V$3</definedName>
    <definedName name="_xlnm._FilterDatabase" localSheetId="2" hidden="1">'Spend Track (part)'!$A$3:$AG$756</definedName>
  </definedNames>
  <calcPr calcId="162913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8" i="2" l="1"/>
  <c r="O615" i="4"/>
  <c r="O599" i="4"/>
  <c r="O596" i="4"/>
  <c r="R120" i="2"/>
  <c r="R119" i="2"/>
  <c r="N627" i="4"/>
  <c r="O627" i="4" s="1"/>
  <c r="N626" i="4"/>
  <c r="O626" i="4" s="1"/>
  <c r="N623" i="4"/>
  <c r="O623" i="4" s="1"/>
  <c r="N622" i="4"/>
  <c r="O622" i="4" s="1"/>
  <c r="Q638" i="4"/>
  <c r="Q641" i="4"/>
  <c r="Q640" i="4"/>
  <c r="Q639" i="4"/>
  <c r="N641" i="4"/>
  <c r="O641" i="4" s="1"/>
  <c r="N640" i="4"/>
  <c r="O640" i="4" s="1"/>
  <c r="N639" i="4"/>
  <c r="O639" i="4" s="1"/>
  <c r="N638" i="4"/>
  <c r="O638" i="4" s="1"/>
  <c r="Q637" i="4"/>
  <c r="Q636" i="4"/>
  <c r="Q635" i="4"/>
  <c r="Q634" i="4"/>
  <c r="Q633" i="4"/>
  <c r="Q632" i="4"/>
  <c r="Q631" i="4"/>
  <c r="Q630" i="4"/>
  <c r="Q629" i="4"/>
  <c r="Q628" i="4"/>
  <c r="Q627" i="4"/>
  <c r="Q626" i="4"/>
  <c r="Q625" i="4"/>
  <c r="Q624" i="4"/>
  <c r="Q623" i="4"/>
  <c r="Q622" i="4"/>
  <c r="Q621" i="4"/>
  <c r="Q620" i="4"/>
  <c r="Q619" i="4"/>
  <c r="Q618" i="4"/>
  <c r="Q617" i="4"/>
  <c r="Q616" i="4"/>
  <c r="Q615" i="4"/>
  <c r="Q614" i="4"/>
  <c r="Q613" i="4"/>
  <c r="Q612" i="4"/>
  <c r="Q611" i="4"/>
  <c r="Q610" i="4"/>
  <c r="Q609" i="4"/>
  <c r="Q608" i="4"/>
  <c r="Q607" i="4"/>
  <c r="Q606" i="4"/>
  <c r="Q605" i="4"/>
  <c r="Q604" i="4"/>
  <c r="Q603" i="4"/>
  <c r="Q602" i="4"/>
  <c r="Q601" i="4"/>
  <c r="Q600" i="4"/>
  <c r="Q599" i="4"/>
  <c r="Q598" i="4"/>
  <c r="Q597" i="4"/>
  <c r="Q596" i="4"/>
  <c r="Q595" i="4"/>
  <c r="Q594" i="4"/>
  <c r="Q593" i="4"/>
  <c r="Q592" i="4"/>
  <c r="Q591" i="4"/>
  <c r="Q590" i="4"/>
  <c r="Q589" i="4"/>
  <c r="Q588" i="4"/>
  <c r="Q587" i="4"/>
  <c r="Q586" i="4"/>
  <c r="Q585" i="4"/>
  <c r="Q584" i="4"/>
  <c r="Q583" i="4"/>
  <c r="Q582" i="4"/>
  <c r="Q581" i="4"/>
  <c r="Q580" i="4"/>
  <c r="Q579" i="4"/>
  <c r="Q578" i="4"/>
  <c r="Q577" i="4"/>
  <c r="Q576" i="4"/>
  <c r="Q575" i="4"/>
  <c r="Q574" i="4"/>
  <c r="Q573" i="4"/>
  <c r="Q572" i="4"/>
  <c r="Q571" i="4"/>
  <c r="Q570" i="4"/>
  <c r="Q569" i="4"/>
  <c r="Q568" i="4"/>
  <c r="Q567" i="4"/>
  <c r="Q566" i="4"/>
  <c r="Q565" i="4"/>
  <c r="Q564" i="4"/>
  <c r="Q563" i="4"/>
  <c r="Q562" i="4"/>
  <c r="Q561" i="4"/>
  <c r="Q560" i="4"/>
  <c r="Q559" i="4"/>
  <c r="Q558" i="4"/>
  <c r="Q557" i="4"/>
  <c r="Q556" i="4"/>
  <c r="Q555" i="4"/>
  <c r="Q554" i="4"/>
  <c r="Q553" i="4"/>
  <c r="Q552" i="4"/>
  <c r="Q551" i="4"/>
  <c r="Q550" i="4"/>
  <c r="Q549" i="4"/>
  <c r="Q548" i="4"/>
  <c r="Q547" i="4"/>
  <c r="Q546" i="4"/>
  <c r="Q545" i="4"/>
  <c r="Q544" i="4"/>
  <c r="Q543" i="4"/>
  <c r="Q542" i="4"/>
  <c r="Q541" i="4"/>
  <c r="Q540" i="4"/>
  <c r="Q539" i="4"/>
  <c r="Q538" i="4"/>
  <c r="Q537" i="4"/>
  <c r="Q536" i="4"/>
  <c r="Q535" i="4"/>
  <c r="Q534" i="4"/>
  <c r="Q533" i="4"/>
  <c r="Q532" i="4"/>
  <c r="O637" i="4"/>
  <c r="O636" i="4"/>
  <c r="O635" i="4"/>
  <c r="O634" i="4"/>
  <c r="O633" i="4"/>
  <c r="O632" i="4"/>
  <c r="O631" i="4"/>
  <c r="O630" i="4"/>
  <c r="O629" i="4"/>
  <c r="O628" i="4"/>
  <c r="O625" i="4"/>
  <c r="O624" i="4"/>
  <c r="O621" i="4"/>
  <c r="O620" i="4"/>
  <c r="O619" i="4"/>
  <c r="O618" i="4"/>
  <c r="O617" i="4"/>
  <c r="O616" i="4"/>
  <c r="O614" i="4"/>
  <c r="O613" i="4"/>
  <c r="O612" i="4"/>
  <c r="O611" i="4"/>
  <c r="O610" i="4"/>
  <c r="O609" i="4"/>
  <c r="O608" i="4"/>
  <c r="O607" i="4"/>
  <c r="O606" i="4"/>
  <c r="O605" i="4"/>
  <c r="O604" i="4"/>
  <c r="O603" i="4"/>
  <c r="O602" i="4"/>
  <c r="O601" i="4"/>
  <c r="O600" i="4"/>
  <c r="O598" i="4"/>
  <c r="O597" i="4"/>
  <c r="O595" i="4"/>
  <c r="O594" i="4"/>
  <c r="O593" i="4"/>
  <c r="O592" i="4"/>
  <c r="O591" i="4"/>
  <c r="O590" i="4"/>
  <c r="O589" i="4"/>
  <c r="O588" i="4"/>
  <c r="O587" i="4"/>
  <c r="O586" i="4"/>
  <c r="O585" i="4"/>
  <c r="O584" i="4"/>
  <c r="O583" i="4"/>
  <c r="O582" i="4"/>
  <c r="O581" i="4"/>
  <c r="O580" i="4"/>
  <c r="O579" i="4"/>
  <c r="O578" i="4"/>
  <c r="O577" i="4"/>
  <c r="O576" i="4"/>
  <c r="O575" i="4"/>
  <c r="O574" i="4"/>
  <c r="O573" i="4"/>
  <c r="O572" i="4"/>
  <c r="O571" i="4"/>
  <c r="O570" i="4"/>
  <c r="O569" i="4"/>
  <c r="O568" i="4"/>
  <c r="O567" i="4"/>
  <c r="O566" i="4"/>
  <c r="O565" i="4"/>
  <c r="O564" i="4"/>
  <c r="O563" i="4"/>
  <c r="O562" i="4"/>
  <c r="O561" i="4"/>
  <c r="O560" i="4"/>
  <c r="O559" i="4"/>
  <c r="O558" i="4"/>
  <c r="O557" i="4"/>
  <c r="O556" i="4"/>
  <c r="O555" i="4"/>
  <c r="O554" i="4"/>
  <c r="O553" i="4"/>
  <c r="O552" i="4"/>
  <c r="O551" i="4"/>
  <c r="O550" i="4"/>
  <c r="O549" i="4"/>
  <c r="O548" i="4"/>
  <c r="O547" i="4"/>
  <c r="O546" i="4"/>
  <c r="O545" i="4"/>
  <c r="O544" i="4"/>
  <c r="O543" i="4"/>
  <c r="O542" i="4"/>
  <c r="O541" i="4"/>
  <c r="O540" i="4"/>
  <c r="O539" i="4"/>
  <c r="O538" i="4"/>
  <c r="O537" i="4"/>
  <c r="O536" i="4"/>
  <c r="O535" i="4"/>
  <c r="O534" i="4"/>
  <c r="O533" i="4"/>
  <c r="O532" i="4"/>
  <c r="AD531" i="4"/>
  <c r="AC531" i="4"/>
  <c r="AB531" i="4"/>
  <c r="Q531" i="4"/>
  <c r="AD530" i="4"/>
  <c r="AC530" i="4"/>
  <c r="AB530" i="4"/>
  <c r="Q530" i="4"/>
  <c r="AD529" i="4"/>
  <c r="AC529" i="4"/>
  <c r="AB529" i="4"/>
  <c r="Q529" i="4"/>
  <c r="AD528" i="4"/>
  <c r="AC528" i="4"/>
  <c r="AB528" i="4"/>
  <c r="Q528" i="4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5" i="2"/>
  <c r="R96" i="2"/>
  <c r="R97" i="2"/>
  <c r="R98" i="2"/>
  <c r="R94" i="2"/>
  <c r="AB437" i="4"/>
  <c r="AB54" i="4"/>
  <c r="AB452" i="4"/>
  <c r="AB451" i="4"/>
  <c r="AB450" i="4"/>
  <c r="AB449" i="4"/>
  <c r="AB448" i="4"/>
  <c r="AB447" i="4"/>
  <c r="AB446" i="4"/>
  <c r="AB445" i="4"/>
  <c r="AB444" i="4"/>
  <c r="AB443" i="4"/>
  <c r="AB442" i="4"/>
  <c r="AB441" i="4"/>
  <c r="AB440" i="4"/>
  <c r="AB439" i="4"/>
  <c r="AB438" i="4"/>
  <c r="AB436" i="4"/>
  <c r="AB435" i="4"/>
  <c r="AB434" i="4"/>
  <c r="AB433" i="4"/>
  <c r="AB432" i="4"/>
  <c r="AB431" i="4"/>
  <c r="AB430" i="4"/>
  <c r="AB429" i="4"/>
  <c r="AB428" i="4"/>
  <c r="AB427" i="4"/>
  <c r="AB426" i="4"/>
  <c r="AB425" i="4"/>
  <c r="AB424" i="4"/>
  <c r="AB423" i="4"/>
  <c r="AB422" i="4"/>
  <c r="AB421" i="4"/>
  <c r="AB420" i="4"/>
  <c r="AB419" i="4"/>
  <c r="AB418" i="4"/>
  <c r="AB417" i="4"/>
  <c r="AB416" i="4"/>
  <c r="AB415" i="4"/>
  <c r="AB414" i="4"/>
  <c r="AB413" i="4"/>
  <c r="AB412" i="4"/>
  <c r="AB411" i="4"/>
  <c r="AB410" i="4"/>
  <c r="AB409" i="4"/>
  <c r="AB404" i="4"/>
  <c r="AB403" i="4"/>
  <c r="AB402" i="4"/>
  <c r="AB401" i="4"/>
  <c r="AB400" i="4"/>
  <c r="AB399" i="4"/>
  <c r="AB398" i="4"/>
  <c r="AB397" i="4"/>
  <c r="AB396" i="4"/>
  <c r="AB395" i="4"/>
  <c r="AB394" i="4"/>
  <c r="AB393" i="4"/>
  <c r="AB392" i="4"/>
  <c r="AB391" i="4"/>
  <c r="AB390" i="4"/>
  <c r="AB389" i="4"/>
  <c r="AB388" i="4"/>
  <c r="AB387" i="4"/>
  <c r="AB386" i="4"/>
  <c r="AB385" i="4"/>
  <c r="AB384" i="4"/>
  <c r="AB383" i="4"/>
  <c r="AB382" i="4"/>
  <c r="AB381" i="4"/>
  <c r="AB380" i="4"/>
  <c r="AB379" i="4"/>
  <c r="AB378" i="4"/>
  <c r="AB377" i="4"/>
  <c r="AB376" i="4"/>
  <c r="AB375" i="4"/>
  <c r="AB374" i="4"/>
  <c r="AB373" i="4"/>
  <c r="AB372" i="4"/>
  <c r="AB287" i="4"/>
  <c r="AB286" i="4"/>
  <c r="AB285" i="4"/>
  <c r="AB284" i="4"/>
  <c r="AB283" i="4"/>
  <c r="AB282" i="4"/>
  <c r="AB281" i="4"/>
  <c r="AB280" i="4"/>
  <c r="AB279" i="4"/>
  <c r="AB278" i="4"/>
  <c r="AB277" i="4"/>
  <c r="AB276" i="4"/>
  <c r="AB275" i="4"/>
  <c r="AB274" i="4"/>
  <c r="AB273" i="4"/>
  <c r="AB272" i="4"/>
  <c r="AB271" i="4"/>
  <c r="AB270" i="4"/>
  <c r="AB269" i="4"/>
  <c r="AB268" i="4"/>
  <c r="AB267" i="4"/>
  <c r="AB266" i="4"/>
  <c r="AB265" i="4"/>
  <c r="AB264" i="4"/>
  <c r="AB263" i="4"/>
  <c r="AB262" i="4"/>
  <c r="AB261" i="4"/>
  <c r="AB260" i="4"/>
  <c r="AB259" i="4"/>
  <c r="AB258" i="4"/>
  <c r="AB257" i="4"/>
  <c r="AB256" i="4"/>
  <c r="AB255" i="4"/>
  <c r="AB254" i="4"/>
  <c r="AB253" i="4"/>
  <c r="AB252" i="4"/>
  <c r="AB251" i="4"/>
  <c r="AB250" i="4"/>
  <c r="AB249" i="4"/>
  <c r="AB248" i="4"/>
  <c r="AB247" i="4"/>
  <c r="AB246" i="4"/>
  <c r="AB245" i="4"/>
  <c r="AB244" i="4"/>
  <c r="AB243" i="4"/>
  <c r="AB242" i="4"/>
  <c r="AB241" i="4"/>
  <c r="AB240" i="4"/>
  <c r="AB239" i="4"/>
  <c r="AB238" i="4"/>
  <c r="AB237" i="4"/>
  <c r="AB236" i="4"/>
  <c r="AB235" i="4"/>
  <c r="AB234" i="4"/>
  <c r="AB233" i="4"/>
  <c r="AB232" i="4"/>
  <c r="AB231" i="4"/>
  <c r="AB230" i="4"/>
  <c r="AB229" i="4"/>
  <c r="AB228" i="4"/>
  <c r="AB227" i="4"/>
  <c r="AB226" i="4"/>
  <c r="AB225" i="4"/>
  <c r="AB224" i="4"/>
  <c r="AB223" i="4"/>
  <c r="AB222" i="4"/>
  <c r="AB221" i="4"/>
  <c r="AB220" i="4"/>
  <c r="AB219" i="4"/>
  <c r="AB218" i="4"/>
  <c r="AB217" i="4"/>
  <c r="AB216" i="4"/>
  <c r="AB215" i="4"/>
  <c r="AB214" i="4"/>
  <c r="AB213" i="4"/>
  <c r="AB212" i="4"/>
  <c r="AB211" i="4"/>
  <c r="AB210" i="4"/>
  <c r="AB209" i="4"/>
  <c r="AB208" i="4"/>
  <c r="AB207" i="4"/>
  <c r="AB206" i="4"/>
  <c r="AB205" i="4"/>
  <c r="AB204" i="4"/>
  <c r="AB203" i="4"/>
  <c r="AB202" i="4"/>
  <c r="AB201" i="4"/>
  <c r="AB200" i="4"/>
  <c r="AB199" i="4"/>
  <c r="AB198" i="4"/>
  <c r="AB197" i="4"/>
  <c r="AB196" i="4"/>
  <c r="AB195" i="4"/>
  <c r="AB194" i="4"/>
  <c r="AB193" i="4"/>
  <c r="AB192" i="4"/>
  <c r="AB191" i="4"/>
  <c r="AB190" i="4"/>
  <c r="AB189" i="4"/>
  <c r="AB188" i="4"/>
  <c r="AB187" i="4"/>
  <c r="AB186" i="4"/>
  <c r="AB185" i="4"/>
  <c r="AB184" i="4"/>
  <c r="AB183" i="4"/>
  <c r="AB182" i="4"/>
  <c r="AB181" i="4"/>
  <c r="AB180" i="4"/>
  <c r="AB179" i="4"/>
  <c r="AB178" i="4"/>
  <c r="AB177" i="4"/>
  <c r="AB176" i="4"/>
  <c r="AB175" i="4"/>
  <c r="AB174" i="4"/>
  <c r="AB173" i="4"/>
  <c r="AB172" i="4"/>
  <c r="AB171" i="4"/>
  <c r="AB170" i="4"/>
  <c r="AB169" i="4"/>
  <c r="AB168" i="4"/>
  <c r="AB167" i="4"/>
  <c r="AB166" i="4"/>
  <c r="AB165" i="4"/>
  <c r="AB164" i="4"/>
  <c r="AB163" i="4"/>
  <c r="AB162" i="4"/>
  <c r="AB161" i="4"/>
  <c r="AB160" i="4"/>
  <c r="AB159" i="4"/>
  <c r="AB158" i="4"/>
  <c r="AB157" i="4"/>
  <c r="AB156" i="4"/>
  <c r="AB155" i="4"/>
  <c r="AB154" i="4"/>
  <c r="AB153" i="4"/>
  <c r="AB152" i="4"/>
  <c r="AB151" i="4"/>
  <c r="AB150" i="4"/>
  <c r="AB149" i="4"/>
  <c r="AB148" i="4"/>
  <c r="AB147" i="4"/>
  <c r="AB146" i="4"/>
  <c r="AB145" i="4"/>
  <c r="AB144" i="4"/>
  <c r="AB143" i="4"/>
  <c r="AB142" i="4"/>
  <c r="AB141" i="4"/>
  <c r="AB140" i="4"/>
  <c r="AB139" i="4"/>
  <c r="AB138" i="4"/>
  <c r="AB137" i="4"/>
  <c r="AB136" i="4"/>
  <c r="AB135" i="4"/>
  <c r="AB134" i="4"/>
  <c r="AB133" i="4"/>
  <c r="AB132" i="4"/>
  <c r="AB131" i="4"/>
  <c r="AB130" i="4"/>
  <c r="AB129" i="4"/>
  <c r="AB128" i="4"/>
  <c r="AB127" i="4"/>
  <c r="AB126" i="4"/>
  <c r="AB125" i="4"/>
  <c r="AB124" i="4"/>
  <c r="AB123" i="4"/>
  <c r="AB122" i="4"/>
  <c r="AB121" i="4"/>
  <c r="AB120" i="4"/>
  <c r="AB119" i="4"/>
  <c r="AB118" i="4"/>
  <c r="AB117" i="4"/>
  <c r="AB116" i="4"/>
  <c r="AB115" i="4"/>
  <c r="AB114" i="4"/>
  <c r="AB113" i="4"/>
  <c r="AB112" i="4"/>
  <c r="AB111" i="4"/>
  <c r="AB110" i="4"/>
  <c r="AB109" i="4"/>
  <c r="AB108" i="4"/>
  <c r="AB107" i="4"/>
  <c r="AB106" i="4"/>
  <c r="AB105" i="4"/>
  <c r="AB104" i="4"/>
  <c r="AB103" i="4"/>
  <c r="AB102" i="4"/>
  <c r="AB101" i="4"/>
  <c r="AB100" i="4"/>
  <c r="AB99" i="4"/>
  <c r="AB98" i="4"/>
  <c r="AB97" i="4"/>
  <c r="AB96" i="4"/>
  <c r="AB95" i="4"/>
  <c r="AB94" i="4"/>
  <c r="AB93" i="4"/>
  <c r="AB92" i="4"/>
  <c r="AB91" i="4"/>
  <c r="AB90" i="4"/>
  <c r="AB89" i="4"/>
  <c r="AB88" i="4"/>
  <c r="AB87" i="4"/>
  <c r="AB86" i="4"/>
  <c r="AB85" i="4"/>
  <c r="AB84" i="4"/>
  <c r="AB83" i="4"/>
  <c r="AB82" i="4"/>
  <c r="AB81" i="4"/>
  <c r="AB80" i="4"/>
  <c r="AB79" i="4"/>
  <c r="AB78" i="4"/>
  <c r="AB77" i="4"/>
  <c r="AB76" i="4"/>
  <c r="AB75" i="4"/>
  <c r="AB74" i="4"/>
  <c r="AB73" i="4"/>
  <c r="AB72" i="4"/>
  <c r="AB71" i="4"/>
  <c r="AB70" i="4"/>
  <c r="AB69" i="4"/>
  <c r="AB68" i="4"/>
  <c r="AB67" i="4"/>
  <c r="AB66" i="4"/>
  <c r="AB65" i="4"/>
  <c r="AB64" i="4"/>
  <c r="AB63" i="4"/>
  <c r="AB62" i="4"/>
  <c r="AB61" i="4"/>
  <c r="AB60" i="4"/>
  <c r="AB59" i="4"/>
  <c r="AB58" i="4"/>
  <c r="AB57" i="4"/>
  <c r="AB56" i="4"/>
  <c r="AB55" i="4"/>
  <c r="AB53" i="4"/>
  <c r="AB52" i="4"/>
  <c r="AB51" i="4"/>
  <c r="AB50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7" i="4"/>
  <c r="AB36" i="4"/>
  <c r="AB35" i="4"/>
  <c r="AB34" i="4"/>
  <c r="AB33" i="4"/>
  <c r="AB32" i="4"/>
  <c r="AB31" i="4"/>
  <c r="AB30" i="4"/>
  <c r="AB29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3" i="4"/>
  <c r="AB12" i="4"/>
  <c r="AB11" i="4"/>
  <c r="AB10" i="4"/>
  <c r="AB9" i="4"/>
  <c r="AB8" i="4"/>
  <c r="AB7" i="4"/>
  <c r="AB6" i="4"/>
  <c r="AB5" i="4"/>
  <c r="AB4" i="4"/>
  <c r="AB492" i="4"/>
  <c r="AD485" i="4"/>
  <c r="AC485" i="4"/>
  <c r="AB485" i="4"/>
  <c r="Q485" i="4"/>
  <c r="O485" i="4"/>
  <c r="AD484" i="4"/>
  <c r="AC484" i="4"/>
  <c r="AB484" i="4"/>
  <c r="Q484" i="4"/>
  <c r="O484" i="4"/>
  <c r="AD483" i="4"/>
  <c r="AC483" i="4"/>
  <c r="AB483" i="4"/>
  <c r="Q483" i="4"/>
  <c r="O483" i="4"/>
  <c r="AD482" i="4"/>
  <c r="AC482" i="4"/>
  <c r="AB482" i="4"/>
  <c r="Q482" i="4"/>
  <c r="O482" i="4"/>
  <c r="AD481" i="4"/>
  <c r="AC481" i="4"/>
  <c r="AB481" i="4"/>
  <c r="Q481" i="4"/>
  <c r="O481" i="4"/>
  <c r="AD480" i="4"/>
  <c r="AC480" i="4"/>
  <c r="AB480" i="4"/>
  <c r="Q480" i="4"/>
  <c r="O480" i="4"/>
  <c r="AD479" i="4"/>
  <c r="AC479" i="4"/>
  <c r="AB479" i="4"/>
  <c r="Q479" i="4"/>
  <c r="O479" i="4"/>
  <c r="AD478" i="4"/>
  <c r="AC478" i="4"/>
  <c r="AB478" i="4"/>
  <c r="Q478" i="4"/>
  <c r="O478" i="4"/>
  <c r="AD477" i="4"/>
  <c r="AC477" i="4"/>
  <c r="AB477" i="4"/>
  <c r="Q477" i="4"/>
  <c r="O477" i="4"/>
  <c r="AD476" i="4"/>
  <c r="AC476" i="4"/>
  <c r="AB476" i="4"/>
  <c r="Q476" i="4"/>
  <c r="O476" i="4"/>
  <c r="AD475" i="4"/>
  <c r="AC475" i="4"/>
  <c r="AB475" i="4"/>
  <c r="Q475" i="4"/>
  <c r="O475" i="4"/>
  <c r="AD474" i="4"/>
  <c r="AC474" i="4"/>
  <c r="AB474" i="4"/>
  <c r="Q474" i="4"/>
  <c r="O474" i="4"/>
  <c r="AD473" i="4"/>
  <c r="AC473" i="4"/>
  <c r="AB473" i="4"/>
  <c r="Q473" i="4"/>
  <c r="O473" i="4"/>
  <c r="AD472" i="4"/>
  <c r="AC472" i="4"/>
  <c r="AB472" i="4"/>
  <c r="Q472" i="4"/>
  <c r="O472" i="4"/>
  <c r="AD471" i="4"/>
  <c r="AC471" i="4"/>
  <c r="AB471" i="4"/>
  <c r="Q471" i="4"/>
  <c r="O471" i="4"/>
  <c r="AD470" i="4"/>
  <c r="AC470" i="4"/>
  <c r="AB470" i="4"/>
  <c r="Q470" i="4"/>
  <c r="O470" i="4"/>
  <c r="AD469" i="4"/>
  <c r="AC469" i="4"/>
  <c r="AB469" i="4"/>
  <c r="Q469" i="4"/>
  <c r="O469" i="4"/>
  <c r="AD468" i="4"/>
  <c r="AC468" i="4"/>
  <c r="AB468" i="4"/>
  <c r="Q468" i="4"/>
  <c r="O468" i="4"/>
  <c r="AD467" i="4"/>
  <c r="AC467" i="4"/>
  <c r="AB467" i="4"/>
  <c r="Q467" i="4"/>
  <c r="O467" i="4"/>
  <c r="AD466" i="4"/>
  <c r="AC466" i="4"/>
  <c r="AB466" i="4"/>
  <c r="Q466" i="4"/>
  <c r="O466" i="4"/>
  <c r="AD465" i="4"/>
  <c r="AC465" i="4"/>
  <c r="AB465" i="4"/>
  <c r="Q465" i="4"/>
  <c r="O465" i="4"/>
  <c r="AD464" i="4"/>
  <c r="AC464" i="4"/>
  <c r="AB464" i="4"/>
  <c r="Q464" i="4"/>
  <c r="O464" i="4"/>
  <c r="AD463" i="4"/>
  <c r="AC463" i="4"/>
  <c r="AB463" i="4"/>
  <c r="Q463" i="4"/>
  <c r="O463" i="4"/>
  <c r="AD462" i="4"/>
  <c r="AC462" i="4"/>
  <c r="AB462" i="4"/>
  <c r="Q462" i="4"/>
  <c r="O462" i="4"/>
  <c r="AD461" i="4"/>
  <c r="AC461" i="4"/>
  <c r="AB461" i="4"/>
  <c r="Q461" i="4"/>
  <c r="O461" i="4"/>
  <c r="AD460" i="4"/>
  <c r="AC460" i="4"/>
  <c r="AB460" i="4"/>
  <c r="Q460" i="4"/>
  <c r="O460" i="4"/>
  <c r="AD459" i="4"/>
  <c r="AC459" i="4"/>
  <c r="AB459" i="4"/>
  <c r="Q459" i="4"/>
  <c r="O459" i="4"/>
  <c r="AD458" i="4"/>
  <c r="AC458" i="4"/>
  <c r="AB458" i="4"/>
  <c r="Q458" i="4"/>
  <c r="O458" i="4"/>
  <c r="AD457" i="4"/>
  <c r="AC457" i="4"/>
  <c r="AB457" i="4"/>
  <c r="Q457" i="4"/>
  <c r="O457" i="4"/>
  <c r="O487" i="4"/>
  <c r="AD527" i="4"/>
  <c r="AD526" i="4"/>
  <c r="AD525" i="4"/>
  <c r="AD524" i="4"/>
  <c r="AD522" i="4"/>
  <c r="AD521" i="4"/>
  <c r="AD520" i="4"/>
  <c r="AD519" i="4"/>
  <c r="AD518" i="4"/>
  <c r="AD517" i="4"/>
  <c r="AD516" i="4"/>
  <c r="AD515" i="4"/>
  <c r="AD514" i="4"/>
  <c r="AD513" i="4"/>
  <c r="AD512" i="4"/>
  <c r="AD511" i="4"/>
  <c r="AD510" i="4"/>
  <c r="AD509" i="4"/>
  <c r="AD508" i="4"/>
  <c r="AD507" i="4"/>
  <c r="AD506" i="4"/>
  <c r="AD505" i="4"/>
  <c r="AD504" i="4"/>
  <c r="AD503" i="4"/>
  <c r="AD502" i="4"/>
  <c r="AD501" i="4"/>
  <c r="AD500" i="4"/>
  <c r="AD499" i="4"/>
  <c r="AD498" i="4"/>
  <c r="AD497" i="4"/>
  <c r="AD496" i="4"/>
  <c r="AD495" i="4"/>
  <c r="AD494" i="4"/>
  <c r="AD493" i="4"/>
  <c r="AD492" i="4"/>
  <c r="AD491" i="4"/>
  <c r="AD490" i="4"/>
  <c r="AD489" i="4"/>
  <c r="AD488" i="4"/>
  <c r="AD487" i="4"/>
  <c r="AD486" i="4"/>
  <c r="AC489" i="4"/>
  <c r="AC490" i="4"/>
  <c r="AC491" i="4"/>
  <c r="AC492" i="4"/>
  <c r="AC493" i="4"/>
  <c r="AC494" i="4"/>
  <c r="AC495" i="4"/>
  <c r="AC496" i="4"/>
  <c r="AC497" i="4"/>
  <c r="AC498" i="4"/>
  <c r="AC499" i="4"/>
  <c r="AC500" i="4"/>
  <c r="AC501" i="4"/>
  <c r="AC502" i="4"/>
  <c r="AC503" i="4"/>
  <c r="AC504" i="4"/>
  <c r="AC505" i="4"/>
  <c r="AC506" i="4"/>
  <c r="AC507" i="4"/>
  <c r="AC508" i="4"/>
  <c r="AC509" i="4"/>
  <c r="AC510" i="4"/>
  <c r="AC511" i="4"/>
  <c r="AC512" i="4"/>
  <c r="AC513" i="4"/>
  <c r="AC514" i="4"/>
  <c r="AC515" i="4"/>
  <c r="AC516" i="4"/>
  <c r="AC517" i="4"/>
  <c r="AC518" i="4"/>
  <c r="AC519" i="4"/>
  <c r="AC520" i="4"/>
  <c r="AC521" i="4"/>
  <c r="AC522" i="4"/>
  <c r="AC524" i="4"/>
  <c r="AC525" i="4"/>
  <c r="AC526" i="4"/>
  <c r="AC527" i="4"/>
  <c r="AC486" i="4"/>
  <c r="AC487" i="4"/>
  <c r="AC488" i="4"/>
  <c r="AB486" i="4"/>
  <c r="AB487" i="4"/>
  <c r="AB488" i="4"/>
  <c r="AB489" i="4"/>
  <c r="AB490" i="4"/>
  <c r="AB491" i="4"/>
  <c r="AB493" i="4"/>
  <c r="AB494" i="4"/>
  <c r="AB495" i="4"/>
  <c r="AB496" i="4"/>
  <c r="AB497" i="4"/>
  <c r="AB498" i="4"/>
  <c r="AB499" i="4"/>
  <c r="AB500" i="4"/>
  <c r="AB501" i="4"/>
  <c r="AB502" i="4"/>
  <c r="AB503" i="4"/>
  <c r="AB504" i="4"/>
  <c r="AB505" i="4"/>
  <c r="AB506" i="4"/>
  <c r="AB507" i="4"/>
  <c r="AB508" i="4"/>
  <c r="AB509" i="4"/>
  <c r="AB510" i="4"/>
  <c r="AB511" i="4"/>
  <c r="AB512" i="4"/>
  <c r="AB513" i="4"/>
  <c r="AB514" i="4"/>
  <c r="AB515" i="4"/>
  <c r="AB516" i="4"/>
  <c r="AB517" i="4"/>
  <c r="AB518" i="4"/>
  <c r="AB519" i="4"/>
  <c r="AB520" i="4"/>
  <c r="AB521" i="4"/>
  <c r="AB522" i="4"/>
  <c r="U520" i="4"/>
  <c r="U518" i="4"/>
  <c r="T527" i="4"/>
  <c r="T526" i="4"/>
  <c r="T525" i="4"/>
  <c r="T524" i="4"/>
  <c r="T522" i="4"/>
  <c r="U522" i="4" s="1"/>
  <c r="T521" i="4"/>
  <c r="U521" i="4" s="1"/>
  <c r="U519" i="4"/>
  <c r="T514" i="4"/>
  <c r="T513" i="4"/>
  <c r="T512" i="4"/>
  <c r="T510" i="4"/>
  <c r="T509" i="4"/>
  <c r="O527" i="4"/>
  <c r="O526" i="4"/>
  <c r="O525" i="4"/>
  <c r="O524" i="4"/>
  <c r="O522" i="4"/>
  <c r="O521" i="4"/>
  <c r="O520" i="4"/>
  <c r="O519" i="4"/>
  <c r="O518" i="4"/>
  <c r="O517" i="4"/>
  <c r="O516" i="4"/>
  <c r="O515" i="4"/>
  <c r="O514" i="4"/>
  <c r="O513" i="4"/>
  <c r="O512" i="4"/>
  <c r="O511" i="4"/>
  <c r="O510" i="4"/>
  <c r="O509" i="4"/>
  <c r="O508" i="4"/>
  <c r="O507" i="4"/>
  <c r="O498" i="4"/>
  <c r="O497" i="4"/>
  <c r="O496" i="4"/>
  <c r="O495" i="4"/>
  <c r="O494" i="4"/>
  <c r="O493" i="4"/>
  <c r="O492" i="4"/>
  <c r="O491" i="4"/>
  <c r="O490" i="4"/>
  <c r="O489" i="4"/>
  <c r="O488" i="4"/>
  <c r="O486" i="4"/>
  <c r="O404" i="4"/>
  <c r="O449" i="4"/>
  <c r="O448" i="4"/>
  <c r="N499" i="4"/>
  <c r="O499" i="4" s="1"/>
  <c r="N506" i="4"/>
  <c r="U506" i="4" s="1"/>
  <c r="N505" i="4"/>
  <c r="U505" i="4" s="1"/>
  <c r="N504" i="4"/>
  <c r="N503" i="4"/>
  <c r="O503" i="4" s="1"/>
  <c r="N502" i="4"/>
  <c r="O502" i="4" s="1"/>
  <c r="N501" i="4"/>
  <c r="N500" i="4"/>
  <c r="O500" i="4" s="1"/>
  <c r="L518" i="4"/>
  <c r="Q518" i="4" s="1"/>
  <c r="AB527" i="4"/>
  <c r="AB526" i="4"/>
  <c r="Q526" i="4"/>
  <c r="AB525" i="4"/>
  <c r="Q525" i="4"/>
  <c r="AB524" i="4"/>
  <c r="Q524" i="4"/>
  <c r="L522" i="4"/>
  <c r="Q522" i="4" s="1"/>
  <c r="L521" i="4"/>
  <c r="Q521" i="4" s="1"/>
  <c r="L520" i="4"/>
  <c r="Q520" i="4" s="1"/>
  <c r="L519" i="4"/>
  <c r="Q519" i="4" s="1"/>
  <c r="Q486" i="4"/>
  <c r="Q527" i="4"/>
  <c r="Q517" i="4"/>
  <c r="Q516" i="4"/>
  <c r="Q515" i="4"/>
  <c r="Q514" i="4"/>
  <c r="Q513" i="4"/>
  <c r="Q512" i="4"/>
  <c r="Q511" i="4"/>
  <c r="Q510" i="4"/>
  <c r="Q509" i="4"/>
  <c r="Q508" i="4"/>
  <c r="Q507" i="4"/>
  <c r="Q506" i="4"/>
  <c r="Q505" i="4"/>
  <c r="Q504" i="4"/>
  <c r="Q503" i="4"/>
  <c r="Q502" i="4"/>
  <c r="Q501" i="4"/>
  <c r="Q500" i="4"/>
  <c r="Q499" i="4"/>
  <c r="Q498" i="4"/>
  <c r="Q497" i="4"/>
  <c r="Q496" i="4"/>
  <c r="Q495" i="4"/>
  <c r="Q494" i="4"/>
  <c r="Q493" i="4"/>
  <c r="Q492" i="4"/>
  <c r="Q491" i="4"/>
  <c r="Q490" i="4"/>
  <c r="Q489" i="4"/>
  <c r="Q488" i="4"/>
  <c r="Q487" i="4"/>
  <c r="B128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4" i="2"/>
  <c r="AC456" i="4"/>
  <c r="AC455" i="4"/>
  <c r="AC454" i="4"/>
  <c r="AC453" i="4"/>
  <c r="AC452" i="4"/>
  <c r="AC451" i="4"/>
  <c r="AC450" i="4"/>
  <c r="AC449" i="4"/>
  <c r="AC448" i="4"/>
  <c r="AC447" i="4"/>
  <c r="AC446" i="4"/>
  <c r="AC445" i="4"/>
  <c r="AC444" i="4"/>
  <c r="AC443" i="4"/>
  <c r="AC442" i="4"/>
  <c r="AC441" i="4"/>
  <c r="AC440" i="4"/>
  <c r="AC437" i="4"/>
  <c r="AC439" i="4"/>
  <c r="AC438" i="4"/>
  <c r="AC436" i="4"/>
  <c r="AC435" i="4"/>
  <c r="AC434" i="4"/>
  <c r="AC433" i="4"/>
  <c r="AC432" i="4"/>
  <c r="AC431" i="4"/>
  <c r="AC430" i="4"/>
  <c r="AC429" i="4"/>
  <c r="AC428" i="4"/>
  <c r="AC427" i="4"/>
  <c r="AC426" i="4"/>
  <c r="AC425" i="4"/>
  <c r="AC424" i="4"/>
  <c r="AC423" i="4"/>
  <c r="AC422" i="4"/>
  <c r="AC421" i="4"/>
  <c r="AC420" i="4"/>
  <c r="AC419" i="4"/>
  <c r="AC418" i="4"/>
  <c r="AC417" i="4"/>
  <c r="AC416" i="4"/>
  <c r="AC415" i="4"/>
  <c r="AC414" i="4"/>
  <c r="AC413" i="4"/>
  <c r="AC412" i="4"/>
  <c r="AC411" i="4"/>
  <c r="AC410" i="4"/>
  <c r="AC409" i="4"/>
  <c r="L428" i="4"/>
  <c r="Q428" i="4" s="1"/>
  <c r="L427" i="4"/>
  <c r="Q427" i="4" s="1"/>
  <c r="L426" i="4"/>
  <c r="Q426" i="4" s="1"/>
  <c r="L425" i="4"/>
  <c r="Q425" i="4" s="1"/>
  <c r="L424" i="4"/>
  <c r="Q424" i="4" s="1"/>
  <c r="L423" i="4"/>
  <c r="Q423" i="4" s="1"/>
  <c r="L422" i="4"/>
  <c r="Q422" i="4" s="1"/>
  <c r="L421" i="4"/>
  <c r="Q421" i="4" s="1"/>
  <c r="L420" i="4"/>
  <c r="Q420" i="4" s="1"/>
  <c r="L419" i="4"/>
  <c r="Q419" i="4" s="1"/>
  <c r="L418" i="4"/>
  <c r="Q418" i="4" s="1"/>
  <c r="L417" i="4"/>
  <c r="Q417" i="4" s="1"/>
  <c r="L416" i="4"/>
  <c r="Q416" i="4" s="1"/>
  <c r="L415" i="4"/>
  <c r="Q415" i="4" s="1"/>
  <c r="L414" i="4"/>
  <c r="Q414" i="4" s="1"/>
  <c r="L413" i="4"/>
  <c r="Q413" i="4" s="1"/>
  <c r="L412" i="4"/>
  <c r="Q412" i="4" s="1"/>
  <c r="L411" i="4"/>
  <c r="Q411" i="4" s="1"/>
  <c r="L410" i="4"/>
  <c r="Q410" i="4" s="1"/>
  <c r="L409" i="4"/>
  <c r="Q409" i="4" s="1"/>
  <c r="O428" i="4"/>
  <c r="O427" i="4"/>
  <c r="O426" i="4"/>
  <c r="O425" i="4"/>
  <c r="O424" i="4"/>
  <c r="O423" i="4"/>
  <c r="O422" i="4"/>
  <c r="O421" i="4"/>
  <c r="O420" i="4"/>
  <c r="O419" i="4"/>
  <c r="O418" i="4"/>
  <c r="O417" i="4"/>
  <c r="O416" i="4"/>
  <c r="O415" i="4"/>
  <c r="O414" i="4"/>
  <c r="O413" i="4"/>
  <c r="O412" i="4"/>
  <c r="O411" i="4"/>
  <c r="O410" i="4"/>
  <c r="O409" i="4"/>
  <c r="U450" i="4"/>
  <c r="U448" i="4"/>
  <c r="T452" i="4"/>
  <c r="U452" i="4" s="1"/>
  <c r="T451" i="4"/>
  <c r="U451" i="4" s="1"/>
  <c r="T449" i="4"/>
  <c r="U449" i="4" s="1"/>
  <c r="T444" i="4"/>
  <c r="T443" i="4"/>
  <c r="T442" i="4"/>
  <c r="T440" i="4"/>
  <c r="T439" i="4"/>
  <c r="O452" i="4"/>
  <c r="L452" i="4"/>
  <c r="Q452" i="4" s="1"/>
  <c r="O451" i="4"/>
  <c r="L451" i="4"/>
  <c r="Q451" i="4" s="1"/>
  <c r="O450" i="4"/>
  <c r="L450" i="4"/>
  <c r="Q450" i="4" s="1"/>
  <c r="L449" i="4"/>
  <c r="Q449" i="4" s="1"/>
  <c r="L448" i="4"/>
  <c r="Q448" i="4" s="1"/>
  <c r="O447" i="4"/>
  <c r="O446" i="4"/>
  <c r="O445" i="4"/>
  <c r="O444" i="4"/>
  <c r="O443" i="4"/>
  <c r="O442" i="4"/>
  <c r="O441" i="4"/>
  <c r="O440" i="4"/>
  <c r="O439" i="4"/>
  <c r="O438" i="4"/>
  <c r="O437" i="4"/>
  <c r="N436" i="4"/>
  <c r="O436" i="4" s="1"/>
  <c r="N435" i="4"/>
  <c r="O435" i="4" s="1"/>
  <c r="N434" i="4"/>
  <c r="U434" i="4" s="1"/>
  <c r="N385" i="4"/>
  <c r="O385" i="4" s="1"/>
  <c r="N433" i="4"/>
  <c r="N432" i="4"/>
  <c r="O432" i="4" s="1"/>
  <c r="N431" i="4"/>
  <c r="O431" i="4" s="1"/>
  <c r="N430" i="4"/>
  <c r="O430" i="4" s="1"/>
  <c r="N429" i="4"/>
  <c r="O429" i="4" s="1"/>
  <c r="P117" i="2"/>
  <c r="P116" i="2"/>
  <c r="R116" i="2" s="1"/>
  <c r="P115" i="2"/>
  <c r="P114" i="2"/>
  <c r="P21" i="2"/>
  <c r="P20" i="2"/>
  <c r="R20" i="2" s="1"/>
  <c r="P19" i="2"/>
  <c r="R19" i="2" s="1"/>
  <c r="P18" i="2"/>
  <c r="R18" i="2" s="1"/>
  <c r="AC405" i="4"/>
  <c r="AC371" i="4"/>
  <c r="AC408" i="4"/>
  <c r="AC407" i="4"/>
  <c r="AC406" i="4"/>
  <c r="U408" i="4"/>
  <c r="U407" i="4"/>
  <c r="U406" i="4"/>
  <c r="U405" i="4"/>
  <c r="N456" i="4"/>
  <c r="N455" i="4"/>
  <c r="N454" i="4"/>
  <c r="N453" i="4"/>
  <c r="M453" i="4"/>
  <c r="AB453" i="4" s="1"/>
  <c r="T456" i="4"/>
  <c r="T455" i="4"/>
  <c r="T454" i="4"/>
  <c r="T453" i="4"/>
  <c r="T408" i="4"/>
  <c r="T407" i="4"/>
  <c r="T406" i="4"/>
  <c r="T405" i="4"/>
  <c r="T371" i="4"/>
  <c r="T370" i="4"/>
  <c r="T369" i="4"/>
  <c r="T368" i="4"/>
  <c r="T367" i="4"/>
  <c r="T366" i="4"/>
  <c r="T365" i="4"/>
  <c r="T364" i="4"/>
  <c r="T363" i="4"/>
  <c r="T362" i="4"/>
  <c r="T361" i="4"/>
  <c r="T360" i="4"/>
  <c r="T359" i="4"/>
  <c r="T358" i="4"/>
  <c r="T357" i="4"/>
  <c r="T356" i="4"/>
  <c r="T355" i="4"/>
  <c r="T354" i="4"/>
  <c r="T353" i="4"/>
  <c r="T352" i="4"/>
  <c r="T351" i="4"/>
  <c r="T350" i="4"/>
  <c r="T349" i="4"/>
  <c r="T348" i="4"/>
  <c r="T347" i="4"/>
  <c r="T346" i="4"/>
  <c r="T345" i="4"/>
  <c r="T344" i="4"/>
  <c r="T343" i="4"/>
  <c r="T342" i="4"/>
  <c r="T341" i="4"/>
  <c r="T340" i="4"/>
  <c r="T339" i="4"/>
  <c r="T338" i="4"/>
  <c r="T337" i="4"/>
  <c r="T336" i="4"/>
  <c r="T335" i="4"/>
  <c r="T334" i="4"/>
  <c r="T333" i="4"/>
  <c r="T332" i="4"/>
  <c r="T331" i="4"/>
  <c r="T330" i="4"/>
  <c r="T329" i="4"/>
  <c r="T328" i="4"/>
  <c r="T327" i="4"/>
  <c r="T326" i="4"/>
  <c r="T325" i="4"/>
  <c r="T324" i="4"/>
  <c r="T323" i="4"/>
  <c r="T322" i="4"/>
  <c r="T321" i="4"/>
  <c r="T320" i="4"/>
  <c r="T319" i="4"/>
  <c r="T318" i="4"/>
  <c r="T317" i="4"/>
  <c r="T316" i="4"/>
  <c r="T315" i="4"/>
  <c r="T314" i="4"/>
  <c r="T313" i="4"/>
  <c r="T312" i="4"/>
  <c r="T311" i="4"/>
  <c r="T310" i="4"/>
  <c r="T309" i="4"/>
  <c r="T308" i="4"/>
  <c r="T307" i="4"/>
  <c r="T306" i="4"/>
  <c r="T305" i="4"/>
  <c r="T304" i="4"/>
  <c r="T303" i="4"/>
  <c r="T302" i="4"/>
  <c r="T301" i="4"/>
  <c r="T300" i="4"/>
  <c r="T299" i="4"/>
  <c r="T298" i="4"/>
  <c r="T297" i="4"/>
  <c r="T296" i="4"/>
  <c r="T295" i="4"/>
  <c r="T294" i="4"/>
  <c r="T293" i="4"/>
  <c r="T292" i="4"/>
  <c r="T291" i="4"/>
  <c r="T290" i="4"/>
  <c r="T289" i="4"/>
  <c r="T288" i="4"/>
  <c r="M456" i="4"/>
  <c r="M455" i="4"/>
  <c r="AB455" i="4" s="1"/>
  <c r="M454" i="4"/>
  <c r="AB454" i="4" s="1"/>
  <c r="N408" i="4"/>
  <c r="O408" i="4" s="1"/>
  <c r="M408" i="4"/>
  <c r="AB408" i="4" s="1"/>
  <c r="N407" i="4"/>
  <c r="O407" i="4" s="1"/>
  <c r="M407" i="4"/>
  <c r="N406" i="4"/>
  <c r="O406" i="4" s="1"/>
  <c r="M406" i="4"/>
  <c r="AB406" i="4" s="1"/>
  <c r="N405" i="4"/>
  <c r="O405" i="4" s="1"/>
  <c r="M405" i="4"/>
  <c r="AB405" i="4" s="1"/>
  <c r="N371" i="4"/>
  <c r="O371" i="4" s="1"/>
  <c r="M371" i="4"/>
  <c r="AB371" i="4" s="1"/>
  <c r="N370" i="4"/>
  <c r="O370" i="4" s="1"/>
  <c r="M370" i="4"/>
  <c r="N369" i="4"/>
  <c r="M369" i="4"/>
  <c r="N368" i="4"/>
  <c r="O368" i="4" s="1"/>
  <c r="M368" i="4"/>
  <c r="AB368" i="4" s="1"/>
  <c r="N367" i="4"/>
  <c r="O367" i="4" s="1"/>
  <c r="M367" i="4"/>
  <c r="N366" i="4"/>
  <c r="O366" i="4" s="1"/>
  <c r="M366" i="4"/>
  <c r="N365" i="4"/>
  <c r="O365" i="4" s="1"/>
  <c r="M365" i="4"/>
  <c r="AB365" i="4" s="1"/>
  <c r="N364" i="4"/>
  <c r="O364" i="4" s="1"/>
  <c r="M364" i="4"/>
  <c r="AB364" i="4" s="1"/>
  <c r="L364" i="4"/>
  <c r="Q364" i="4" s="1"/>
  <c r="N363" i="4"/>
  <c r="O363" i="4" s="1"/>
  <c r="M363" i="4"/>
  <c r="N362" i="4"/>
  <c r="O362" i="4" s="1"/>
  <c r="M362" i="4"/>
  <c r="N361" i="4"/>
  <c r="O361" i="4" s="1"/>
  <c r="M361" i="4"/>
  <c r="AB361" i="4" s="1"/>
  <c r="N360" i="4"/>
  <c r="O360" i="4" s="1"/>
  <c r="M360" i="4"/>
  <c r="AB360" i="4" s="1"/>
  <c r="N359" i="4"/>
  <c r="O359" i="4" s="1"/>
  <c r="M359" i="4"/>
  <c r="AB359" i="4" s="1"/>
  <c r="N358" i="4"/>
  <c r="O358" i="4" s="1"/>
  <c r="M358" i="4"/>
  <c r="N357" i="4"/>
  <c r="O357" i="4" s="1"/>
  <c r="M357" i="4"/>
  <c r="AB357" i="4" s="1"/>
  <c r="N356" i="4"/>
  <c r="O356" i="4" s="1"/>
  <c r="M356" i="4"/>
  <c r="AB356" i="4" s="1"/>
  <c r="N355" i="4"/>
  <c r="O355" i="4" s="1"/>
  <c r="M355" i="4"/>
  <c r="AB355" i="4" s="1"/>
  <c r="N354" i="4"/>
  <c r="O354" i="4" s="1"/>
  <c r="M354" i="4"/>
  <c r="N353" i="4"/>
  <c r="M353" i="4"/>
  <c r="N352" i="4"/>
  <c r="O352" i="4" s="1"/>
  <c r="M352" i="4"/>
  <c r="AB352" i="4" s="1"/>
  <c r="N351" i="4"/>
  <c r="O351" i="4" s="1"/>
  <c r="M351" i="4"/>
  <c r="N350" i="4"/>
  <c r="O350" i="4" s="1"/>
  <c r="M350" i="4"/>
  <c r="N349" i="4"/>
  <c r="O349" i="4" s="1"/>
  <c r="M349" i="4"/>
  <c r="N348" i="4"/>
  <c r="O348" i="4" s="1"/>
  <c r="M348" i="4"/>
  <c r="AB348" i="4" s="1"/>
  <c r="N347" i="4"/>
  <c r="O347" i="4" s="1"/>
  <c r="M347" i="4"/>
  <c r="N346" i="4"/>
  <c r="O346" i="4" s="1"/>
  <c r="M346" i="4"/>
  <c r="N345" i="4"/>
  <c r="O345" i="4" s="1"/>
  <c r="M345" i="4"/>
  <c r="AB345" i="4" s="1"/>
  <c r="N344" i="4"/>
  <c r="O344" i="4" s="1"/>
  <c r="M344" i="4"/>
  <c r="AB344" i="4" s="1"/>
  <c r="N343" i="4"/>
  <c r="O343" i="4" s="1"/>
  <c r="M343" i="4"/>
  <c r="AB343" i="4" s="1"/>
  <c r="N342" i="4"/>
  <c r="O342" i="4" s="1"/>
  <c r="M342" i="4"/>
  <c r="N341" i="4"/>
  <c r="O341" i="4" s="1"/>
  <c r="M341" i="4"/>
  <c r="AB341" i="4" s="1"/>
  <c r="N340" i="4"/>
  <c r="O340" i="4" s="1"/>
  <c r="M340" i="4"/>
  <c r="AB340" i="4" s="1"/>
  <c r="N339" i="4"/>
  <c r="O339" i="4" s="1"/>
  <c r="M339" i="4"/>
  <c r="AB339" i="4" s="1"/>
  <c r="N338" i="4"/>
  <c r="O338" i="4" s="1"/>
  <c r="M338" i="4"/>
  <c r="AB338" i="4" s="1"/>
  <c r="N337" i="4"/>
  <c r="M337" i="4"/>
  <c r="N336" i="4"/>
  <c r="O336" i="4" s="1"/>
  <c r="M336" i="4"/>
  <c r="AB336" i="4" s="1"/>
  <c r="N335" i="4"/>
  <c r="O335" i="4" s="1"/>
  <c r="M335" i="4"/>
  <c r="N334" i="4"/>
  <c r="O334" i="4" s="1"/>
  <c r="M334" i="4"/>
  <c r="N333" i="4"/>
  <c r="O333" i="4" s="1"/>
  <c r="M333" i="4"/>
  <c r="N332" i="4"/>
  <c r="O332" i="4" s="1"/>
  <c r="M332" i="4"/>
  <c r="AB332" i="4" s="1"/>
  <c r="N331" i="4"/>
  <c r="O331" i="4" s="1"/>
  <c r="M331" i="4"/>
  <c r="N330" i="4"/>
  <c r="O330" i="4" s="1"/>
  <c r="M330" i="4"/>
  <c r="N329" i="4"/>
  <c r="M329" i="4"/>
  <c r="AB329" i="4" s="1"/>
  <c r="N328" i="4"/>
  <c r="O328" i="4" s="1"/>
  <c r="M328" i="4"/>
  <c r="AB328" i="4" s="1"/>
  <c r="N327" i="4"/>
  <c r="O327" i="4" s="1"/>
  <c r="M327" i="4"/>
  <c r="AB327" i="4" s="1"/>
  <c r="N326" i="4"/>
  <c r="O326" i="4" s="1"/>
  <c r="M326" i="4"/>
  <c r="N325" i="4"/>
  <c r="M325" i="4"/>
  <c r="AB325" i="4" s="1"/>
  <c r="N324" i="4"/>
  <c r="O324" i="4" s="1"/>
  <c r="M324" i="4"/>
  <c r="AB324" i="4" s="1"/>
  <c r="N323" i="4"/>
  <c r="O323" i="4" s="1"/>
  <c r="M323" i="4"/>
  <c r="AB323" i="4" s="1"/>
  <c r="N322" i="4"/>
  <c r="O322" i="4" s="1"/>
  <c r="M322" i="4"/>
  <c r="AB322" i="4" s="1"/>
  <c r="N321" i="4"/>
  <c r="O321" i="4" s="1"/>
  <c r="M321" i="4"/>
  <c r="N320" i="4"/>
  <c r="O320" i="4" s="1"/>
  <c r="M320" i="4"/>
  <c r="AB320" i="4" s="1"/>
  <c r="N319" i="4"/>
  <c r="O319" i="4" s="1"/>
  <c r="M319" i="4"/>
  <c r="N318" i="4"/>
  <c r="O318" i="4" s="1"/>
  <c r="M318" i="4"/>
  <c r="N317" i="4"/>
  <c r="O317" i="4" s="1"/>
  <c r="M317" i="4"/>
  <c r="N316" i="4"/>
  <c r="O316" i="4" s="1"/>
  <c r="M316" i="4"/>
  <c r="AB316" i="4" s="1"/>
  <c r="L316" i="4"/>
  <c r="Q316" i="4" s="1"/>
  <c r="N315" i="4"/>
  <c r="O315" i="4" s="1"/>
  <c r="M315" i="4"/>
  <c r="N314" i="4"/>
  <c r="O314" i="4" s="1"/>
  <c r="M314" i="4"/>
  <c r="N313" i="4"/>
  <c r="O313" i="4" s="1"/>
  <c r="M313" i="4"/>
  <c r="AB313" i="4" s="1"/>
  <c r="N312" i="4"/>
  <c r="O312" i="4" s="1"/>
  <c r="M312" i="4"/>
  <c r="AB312" i="4" s="1"/>
  <c r="N311" i="4"/>
  <c r="O311" i="4" s="1"/>
  <c r="M311" i="4"/>
  <c r="AB311" i="4" s="1"/>
  <c r="N310" i="4"/>
  <c r="O310" i="4" s="1"/>
  <c r="M310" i="4"/>
  <c r="N309" i="4"/>
  <c r="O309" i="4" s="1"/>
  <c r="M309" i="4"/>
  <c r="AB309" i="4" s="1"/>
  <c r="N308" i="4"/>
  <c r="O308" i="4" s="1"/>
  <c r="M308" i="4"/>
  <c r="AB308" i="4" s="1"/>
  <c r="N307" i="4"/>
  <c r="O307" i="4" s="1"/>
  <c r="M307" i="4"/>
  <c r="AB307" i="4" s="1"/>
  <c r="N306" i="4"/>
  <c r="O306" i="4" s="1"/>
  <c r="M306" i="4"/>
  <c r="AB306" i="4" s="1"/>
  <c r="N305" i="4"/>
  <c r="O305" i="4" s="1"/>
  <c r="M305" i="4"/>
  <c r="N304" i="4"/>
  <c r="O304" i="4" s="1"/>
  <c r="M304" i="4"/>
  <c r="AB304" i="4" s="1"/>
  <c r="N303" i="4"/>
  <c r="O303" i="4" s="1"/>
  <c r="M303" i="4"/>
  <c r="N302" i="4"/>
  <c r="O302" i="4" s="1"/>
  <c r="M302" i="4"/>
  <c r="N301" i="4"/>
  <c r="O301" i="4" s="1"/>
  <c r="M301" i="4"/>
  <c r="N300" i="4"/>
  <c r="O300" i="4" s="1"/>
  <c r="M300" i="4"/>
  <c r="AB300" i="4" s="1"/>
  <c r="N299" i="4"/>
  <c r="O299" i="4" s="1"/>
  <c r="M299" i="4"/>
  <c r="N298" i="4"/>
  <c r="O298" i="4" s="1"/>
  <c r="M298" i="4"/>
  <c r="N297" i="4"/>
  <c r="O297" i="4" s="1"/>
  <c r="M297" i="4"/>
  <c r="AB297" i="4" s="1"/>
  <c r="N296" i="4"/>
  <c r="O296" i="4" s="1"/>
  <c r="M296" i="4"/>
  <c r="AB296" i="4" s="1"/>
  <c r="N295" i="4"/>
  <c r="O295" i="4" s="1"/>
  <c r="M295" i="4"/>
  <c r="AB295" i="4" s="1"/>
  <c r="N294" i="4"/>
  <c r="O294" i="4" s="1"/>
  <c r="M294" i="4"/>
  <c r="N293" i="4"/>
  <c r="O293" i="4" s="1"/>
  <c r="M293" i="4"/>
  <c r="AB293" i="4" s="1"/>
  <c r="N292" i="4"/>
  <c r="O292" i="4" s="1"/>
  <c r="M292" i="4"/>
  <c r="N291" i="4"/>
  <c r="O291" i="4" s="1"/>
  <c r="M291" i="4"/>
  <c r="AB291" i="4" s="1"/>
  <c r="N290" i="4"/>
  <c r="O290" i="4" s="1"/>
  <c r="M290" i="4"/>
  <c r="AB290" i="4" s="1"/>
  <c r="N289" i="4"/>
  <c r="O289" i="4" s="1"/>
  <c r="M289" i="4"/>
  <c r="AB289" i="4" s="1"/>
  <c r="N288" i="4"/>
  <c r="O288" i="4" s="1"/>
  <c r="M288" i="4"/>
  <c r="AB288" i="4" s="1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240" i="4"/>
  <c r="Q241" i="4"/>
  <c r="Q242" i="4"/>
  <c r="Q243" i="4"/>
  <c r="Q244" i="4"/>
  <c r="Q245" i="4"/>
  <c r="Q246" i="4"/>
  <c r="Q247" i="4"/>
  <c r="Q248" i="4"/>
  <c r="Q249" i="4"/>
  <c r="Q250" i="4"/>
  <c r="Q256" i="4"/>
  <c r="Q257" i="4"/>
  <c r="Q258" i="4"/>
  <c r="Q259" i="4"/>
  <c r="Q260" i="4"/>
  <c r="Q261" i="4"/>
  <c r="Q262" i="4"/>
  <c r="Q263" i="4"/>
  <c r="Q264" i="4"/>
  <c r="Q265" i="4"/>
  <c r="Q266" i="4"/>
  <c r="Q272" i="4"/>
  <c r="Q273" i="4"/>
  <c r="Q274" i="4"/>
  <c r="Q275" i="4"/>
  <c r="Q276" i="4"/>
  <c r="Q277" i="4"/>
  <c r="Q278" i="4"/>
  <c r="Q279" i="4"/>
  <c r="Q280" i="4"/>
  <c r="Q281" i="4"/>
  <c r="Q282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" i="4"/>
  <c r="R115" i="2"/>
  <c r="R114" i="2"/>
  <c r="R117" i="2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C204" i="4"/>
  <c r="AC205" i="4"/>
  <c r="AC206" i="4"/>
  <c r="AC207" i="4"/>
  <c r="AC208" i="4"/>
  <c r="AC209" i="4"/>
  <c r="AC210" i="4"/>
  <c r="AC211" i="4"/>
  <c r="AC212" i="4"/>
  <c r="AC213" i="4"/>
  <c r="AC214" i="4"/>
  <c r="AC215" i="4"/>
  <c r="AC216" i="4"/>
  <c r="AC217" i="4"/>
  <c r="AC218" i="4"/>
  <c r="AC219" i="4"/>
  <c r="AC220" i="4"/>
  <c r="AC221" i="4"/>
  <c r="AC222" i="4"/>
  <c r="AC223" i="4"/>
  <c r="AC224" i="4"/>
  <c r="AC225" i="4"/>
  <c r="AC226" i="4"/>
  <c r="AC227" i="4"/>
  <c r="AC228" i="4"/>
  <c r="AC229" i="4"/>
  <c r="AC230" i="4"/>
  <c r="AC231" i="4"/>
  <c r="AC232" i="4"/>
  <c r="AC233" i="4"/>
  <c r="AC234" i="4"/>
  <c r="AC235" i="4"/>
  <c r="AC236" i="4"/>
  <c r="AC237" i="4"/>
  <c r="AC238" i="4"/>
  <c r="AC239" i="4"/>
  <c r="AC240" i="4"/>
  <c r="AC241" i="4"/>
  <c r="AC242" i="4"/>
  <c r="AC243" i="4"/>
  <c r="AC244" i="4"/>
  <c r="AC245" i="4"/>
  <c r="AC246" i="4"/>
  <c r="AC247" i="4"/>
  <c r="AC248" i="4"/>
  <c r="AC249" i="4"/>
  <c r="AC250" i="4"/>
  <c r="AC251" i="4"/>
  <c r="AC252" i="4"/>
  <c r="AC253" i="4"/>
  <c r="AC254" i="4"/>
  <c r="AC255" i="4"/>
  <c r="AC256" i="4"/>
  <c r="AC257" i="4"/>
  <c r="AC258" i="4"/>
  <c r="AC259" i="4"/>
  <c r="AC260" i="4"/>
  <c r="AC261" i="4"/>
  <c r="AC262" i="4"/>
  <c r="AC263" i="4"/>
  <c r="AC264" i="4"/>
  <c r="AC265" i="4"/>
  <c r="AC266" i="4"/>
  <c r="AC267" i="4"/>
  <c r="AC268" i="4"/>
  <c r="AC269" i="4"/>
  <c r="AC270" i="4"/>
  <c r="AC271" i="4"/>
  <c r="AC272" i="4"/>
  <c r="AC273" i="4"/>
  <c r="AC274" i="4"/>
  <c r="AC275" i="4"/>
  <c r="AC276" i="4"/>
  <c r="AC277" i="4"/>
  <c r="AC278" i="4"/>
  <c r="AC279" i="4"/>
  <c r="AC280" i="4"/>
  <c r="AC281" i="4"/>
  <c r="AC282" i="4"/>
  <c r="AC283" i="4"/>
  <c r="AC284" i="4"/>
  <c r="AC285" i="4"/>
  <c r="AC286" i="4"/>
  <c r="AC287" i="4"/>
  <c r="AC288" i="4"/>
  <c r="AC289" i="4"/>
  <c r="AC290" i="4"/>
  <c r="AC291" i="4"/>
  <c r="AC293" i="4"/>
  <c r="AC294" i="4"/>
  <c r="AC295" i="4"/>
  <c r="AC296" i="4"/>
  <c r="AC297" i="4"/>
  <c r="AC298" i="4"/>
  <c r="AC299" i="4"/>
  <c r="AC300" i="4"/>
  <c r="AC301" i="4"/>
  <c r="AC302" i="4"/>
  <c r="AC303" i="4"/>
  <c r="AC304" i="4"/>
  <c r="AC305" i="4"/>
  <c r="AC306" i="4"/>
  <c r="AC307" i="4"/>
  <c r="AC308" i="4"/>
  <c r="AC309" i="4"/>
  <c r="AC310" i="4"/>
  <c r="AC311" i="4"/>
  <c r="AC312" i="4"/>
  <c r="AC313" i="4"/>
  <c r="AC314" i="4"/>
  <c r="AC315" i="4"/>
  <c r="AC316" i="4"/>
  <c r="AC317" i="4"/>
  <c r="AC318" i="4"/>
  <c r="AC319" i="4"/>
  <c r="AC320" i="4"/>
  <c r="AC321" i="4"/>
  <c r="AC322" i="4"/>
  <c r="AC323" i="4"/>
  <c r="AC324" i="4"/>
  <c r="AC325" i="4"/>
  <c r="AC326" i="4"/>
  <c r="AC327" i="4"/>
  <c r="AC328" i="4"/>
  <c r="AC329" i="4"/>
  <c r="AC330" i="4"/>
  <c r="AC331" i="4"/>
  <c r="AC332" i="4"/>
  <c r="AC333" i="4"/>
  <c r="AC334" i="4"/>
  <c r="AC335" i="4"/>
  <c r="AC336" i="4"/>
  <c r="AC337" i="4"/>
  <c r="AC338" i="4"/>
  <c r="AC339" i="4"/>
  <c r="AC340" i="4"/>
  <c r="AC341" i="4"/>
  <c r="AC342" i="4"/>
  <c r="AC343" i="4"/>
  <c r="AC344" i="4"/>
  <c r="AC345" i="4"/>
  <c r="AC346" i="4"/>
  <c r="AC347" i="4"/>
  <c r="AC348" i="4"/>
  <c r="AC349" i="4"/>
  <c r="AC350" i="4"/>
  <c r="AC351" i="4"/>
  <c r="AC352" i="4"/>
  <c r="AC353" i="4"/>
  <c r="AC354" i="4"/>
  <c r="AC355" i="4"/>
  <c r="AC356" i="4"/>
  <c r="AC357" i="4"/>
  <c r="AC358" i="4"/>
  <c r="AC359" i="4"/>
  <c r="AC360" i="4"/>
  <c r="AC361" i="4"/>
  <c r="AC362" i="4"/>
  <c r="AC363" i="4"/>
  <c r="AC364" i="4"/>
  <c r="AC365" i="4"/>
  <c r="AC366" i="4"/>
  <c r="AC367" i="4"/>
  <c r="AC368" i="4"/>
  <c r="AC369" i="4"/>
  <c r="AC370" i="4"/>
  <c r="AC372" i="4"/>
  <c r="AC373" i="4"/>
  <c r="AC374" i="4"/>
  <c r="AC375" i="4"/>
  <c r="AC376" i="4"/>
  <c r="AC377" i="4"/>
  <c r="AC378" i="4"/>
  <c r="AC379" i="4"/>
  <c r="AC380" i="4"/>
  <c r="AC381" i="4"/>
  <c r="AC382" i="4"/>
  <c r="AC383" i="4"/>
  <c r="AC384" i="4"/>
  <c r="AC385" i="4"/>
  <c r="AC386" i="4"/>
  <c r="AC389" i="4"/>
  <c r="AC390" i="4"/>
  <c r="AC391" i="4"/>
  <c r="AC392" i="4"/>
  <c r="AC393" i="4"/>
  <c r="AC394" i="4"/>
  <c r="AC395" i="4"/>
  <c r="AC396" i="4"/>
  <c r="AC397" i="4"/>
  <c r="AC398" i="4"/>
  <c r="AC399" i="4"/>
  <c r="AC400" i="4"/>
  <c r="AC401" i="4"/>
  <c r="AC402" i="4"/>
  <c r="AC403" i="4"/>
  <c r="AC404" i="4"/>
  <c r="AC4" i="4"/>
  <c r="R113" i="2"/>
  <c r="L113" i="2"/>
  <c r="R112" i="2"/>
  <c r="L112" i="2"/>
  <c r="R111" i="2"/>
  <c r="L111" i="2"/>
  <c r="R110" i="2"/>
  <c r="L110" i="2"/>
  <c r="R109" i="2"/>
  <c r="L109" i="2"/>
  <c r="R108" i="2"/>
  <c r="L108" i="2"/>
  <c r="R107" i="2"/>
  <c r="L107" i="2"/>
  <c r="R106" i="2"/>
  <c r="L106" i="2"/>
  <c r="R105" i="2"/>
  <c r="L105" i="2"/>
  <c r="R104" i="2"/>
  <c r="L104" i="2"/>
  <c r="R103" i="2"/>
  <c r="L103" i="2"/>
  <c r="R102" i="2"/>
  <c r="L102" i="2"/>
  <c r="R101" i="2"/>
  <c r="L101" i="2"/>
  <c r="R100" i="2"/>
  <c r="L100" i="2"/>
  <c r="R99" i="2"/>
  <c r="L99" i="2"/>
  <c r="L98" i="2"/>
  <c r="L97" i="2"/>
  <c r="L96" i="2"/>
  <c r="L95" i="2"/>
  <c r="L94" i="2"/>
  <c r="R93" i="2"/>
  <c r="L93" i="2"/>
  <c r="R47" i="2"/>
  <c r="L47" i="2"/>
  <c r="R46" i="2"/>
  <c r="L46" i="2"/>
  <c r="R45" i="2"/>
  <c r="L45" i="2"/>
  <c r="R44" i="2"/>
  <c r="L44" i="2"/>
  <c r="R43" i="2"/>
  <c r="L43" i="2"/>
  <c r="R42" i="2"/>
  <c r="L42" i="2"/>
  <c r="R41" i="2"/>
  <c r="L41" i="2"/>
  <c r="R40" i="2"/>
  <c r="L40" i="2"/>
  <c r="R39" i="2"/>
  <c r="L39" i="2"/>
  <c r="R38" i="2"/>
  <c r="L38" i="2"/>
  <c r="R37" i="2"/>
  <c r="L37" i="2"/>
  <c r="R36" i="2"/>
  <c r="L36" i="2"/>
  <c r="R35" i="2"/>
  <c r="L35" i="2"/>
  <c r="R34" i="2"/>
  <c r="L34" i="2"/>
  <c r="R33" i="2"/>
  <c r="L33" i="2"/>
  <c r="R32" i="2"/>
  <c r="L32" i="2"/>
  <c r="R31" i="2"/>
  <c r="L31" i="2"/>
  <c r="R30" i="2"/>
  <c r="L30" i="2"/>
  <c r="R29" i="2"/>
  <c r="L29" i="2"/>
  <c r="R28" i="2"/>
  <c r="L28" i="2"/>
  <c r="R27" i="2"/>
  <c r="L27" i="2"/>
  <c r="R26" i="2"/>
  <c r="L26" i="2"/>
  <c r="R25" i="2"/>
  <c r="L25" i="2"/>
  <c r="R24" i="2"/>
  <c r="L24" i="2"/>
  <c r="R23" i="2"/>
  <c r="P23" i="2"/>
  <c r="L23" i="2"/>
  <c r="R22" i="2"/>
  <c r="P22" i="2"/>
  <c r="L22" i="2"/>
  <c r="R21" i="2"/>
  <c r="L21" i="2"/>
  <c r="L20" i="2"/>
  <c r="L19" i="2"/>
  <c r="L18" i="2"/>
  <c r="R17" i="2"/>
  <c r="L17" i="2"/>
  <c r="R16" i="2"/>
  <c r="L16" i="2"/>
  <c r="R15" i="2"/>
  <c r="L15" i="2"/>
  <c r="R14" i="2"/>
  <c r="L14" i="2"/>
  <c r="R13" i="2"/>
  <c r="L13" i="2"/>
  <c r="R12" i="2"/>
  <c r="L12" i="2"/>
  <c r="R11" i="2"/>
  <c r="L11" i="2"/>
  <c r="R10" i="2"/>
  <c r="L10" i="2"/>
  <c r="R9" i="2"/>
  <c r="L9" i="2"/>
  <c r="R8" i="2"/>
  <c r="L8" i="2"/>
  <c r="R7" i="2"/>
  <c r="L7" i="2"/>
  <c r="R6" i="2"/>
  <c r="L6" i="2"/>
  <c r="R5" i="2"/>
  <c r="L5" i="2"/>
  <c r="R4" i="2"/>
  <c r="L4" i="2"/>
  <c r="AD408" i="4"/>
  <c r="AD407" i="4"/>
  <c r="AD406" i="4"/>
  <c r="AD405" i="4"/>
  <c r="AD404" i="4"/>
  <c r="T404" i="4"/>
  <c r="L404" i="4"/>
  <c r="Q404" i="4" s="1"/>
  <c r="AD403" i="4"/>
  <c r="T403" i="4"/>
  <c r="O403" i="4"/>
  <c r="L403" i="4"/>
  <c r="Q403" i="4" s="1"/>
  <c r="AD402" i="4"/>
  <c r="O402" i="4"/>
  <c r="L402" i="4"/>
  <c r="Q402" i="4" s="1"/>
  <c r="AD401" i="4"/>
  <c r="T401" i="4"/>
  <c r="O401" i="4"/>
  <c r="L401" i="4"/>
  <c r="Q401" i="4" s="1"/>
  <c r="AD400" i="4"/>
  <c r="O400" i="4"/>
  <c r="L400" i="4"/>
  <c r="Q400" i="4" s="1"/>
  <c r="AD399" i="4"/>
  <c r="O399" i="4"/>
  <c r="AD398" i="4"/>
  <c r="O398" i="4"/>
  <c r="AD397" i="4"/>
  <c r="O397" i="4"/>
  <c r="AD396" i="4"/>
  <c r="T396" i="4"/>
  <c r="O396" i="4"/>
  <c r="AD395" i="4"/>
  <c r="T395" i="4"/>
  <c r="O395" i="4"/>
  <c r="AD394" i="4"/>
  <c r="T394" i="4"/>
  <c r="O394" i="4"/>
  <c r="AD393" i="4"/>
  <c r="O393" i="4"/>
  <c r="AD392" i="4"/>
  <c r="T392" i="4"/>
  <c r="O392" i="4"/>
  <c r="AD391" i="4"/>
  <c r="T391" i="4"/>
  <c r="O391" i="4"/>
  <c r="AD390" i="4"/>
  <c r="O390" i="4"/>
  <c r="AD389" i="4"/>
  <c r="O389" i="4"/>
  <c r="AD388" i="4"/>
  <c r="AA388" i="4"/>
  <c r="AC388" i="4" s="1"/>
  <c r="T388" i="4"/>
  <c r="N388" i="4"/>
  <c r="O388" i="4" s="1"/>
  <c r="AD387" i="4"/>
  <c r="AA387" i="4"/>
  <c r="AC387" i="4" s="1"/>
  <c r="T387" i="4"/>
  <c r="S387" i="4"/>
  <c r="N387" i="4"/>
  <c r="O387" i="4" s="1"/>
  <c r="AD386" i="4"/>
  <c r="N386" i="4"/>
  <c r="O386" i="4" s="1"/>
  <c r="AD385" i="4"/>
  <c r="AD384" i="4"/>
  <c r="N384" i="4"/>
  <c r="O384" i="4" s="1"/>
  <c r="AD383" i="4"/>
  <c r="N383" i="4"/>
  <c r="O383" i="4" s="1"/>
  <c r="AD382" i="4"/>
  <c r="N382" i="4"/>
  <c r="O382" i="4" s="1"/>
  <c r="AD381" i="4"/>
  <c r="N381" i="4"/>
  <c r="AD380" i="4"/>
  <c r="N380" i="4"/>
  <c r="O380" i="4" s="1"/>
  <c r="AD379" i="4"/>
  <c r="N379" i="4"/>
  <c r="O379" i="4" s="1"/>
  <c r="AD378" i="4"/>
  <c r="N378" i="4"/>
  <c r="O378" i="4" s="1"/>
  <c r="AD377" i="4"/>
  <c r="N377" i="4"/>
  <c r="O377" i="4" s="1"/>
  <c r="AD376" i="4"/>
  <c r="N376" i="4"/>
  <c r="O376" i="4" s="1"/>
  <c r="AD375" i="4"/>
  <c r="N375" i="4"/>
  <c r="O375" i="4" s="1"/>
  <c r="AD374" i="4"/>
  <c r="N374" i="4"/>
  <c r="O374" i="4" s="1"/>
  <c r="AD373" i="4"/>
  <c r="N373" i="4"/>
  <c r="O373" i="4" s="1"/>
  <c r="AD372" i="4"/>
  <c r="N372" i="4"/>
  <c r="O372" i="4" s="1"/>
  <c r="AD371" i="4"/>
  <c r="AD370" i="4"/>
  <c r="AD369" i="4"/>
  <c r="O369" i="4"/>
  <c r="AD368" i="4"/>
  <c r="AD367" i="4"/>
  <c r="AD366" i="4"/>
  <c r="AD365" i="4"/>
  <c r="AD364" i="4"/>
  <c r="AD363" i="4"/>
  <c r="AD362" i="4"/>
  <c r="AD361" i="4"/>
  <c r="AD360" i="4"/>
  <c r="AD359" i="4"/>
  <c r="AD358" i="4"/>
  <c r="AD357" i="4"/>
  <c r="AD356" i="4"/>
  <c r="AD355" i="4"/>
  <c r="AD354" i="4"/>
  <c r="AD353" i="4"/>
  <c r="O353" i="4"/>
  <c r="AD352" i="4"/>
  <c r="AD351" i="4"/>
  <c r="AD350" i="4"/>
  <c r="AD349" i="4"/>
  <c r="AD348" i="4"/>
  <c r="AD347" i="4"/>
  <c r="AD346" i="4"/>
  <c r="AD345" i="4"/>
  <c r="AD344" i="4"/>
  <c r="AD343" i="4"/>
  <c r="AD342" i="4"/>
  <c r="AD341" i="4"/>
  <c r="AD340" i="4"/>
  <c r="AD339" i="4"/>
  <c r="AD338" i="4"/>
  <c r="AD337" i="4"/>
  <c r="O337" i="4"/>
  <c r="AD336" i="4"/>
  <c r="AD335" i="4"/>
  <c r="AD334" i="4"/>
  <c r="AD333" i="4"/>
  <c r="AD332" i="4"/>
  <c r="AD331" i="4"/>
  <c r="AD330" i="4"/>
  <c r="AD329" i="4"/>
  <c r="O329" i="4"/>
  <c r="AD328" i="4"/>
  <c r="AD327" i="4"/>
  <c r="AD326" i="4"/>
  <c r="AD325" i="4"/>
  <c r="O325" i="4"/>
  <c r="AD324" i="4"/>
  <c r="AD323" i="4"/>
  <c r="AD322" i="4"/>
  <c r="AD321" i="4"/>
  <c r="AD320" i="4"/>
  <c r="AD319" i="4"/>
  <c r="AD318" i="4"/>
  <c r="AD317" i="4"/>
  <c r="AD316" i="4"/>
  <c r="AD315" i="4"/>
  <c r="AD314" i="4"/>
  <c r="AD313" i="4"/>
  <c r="AD312" i="4"/>
  <c r="AD311" i="4"/>
  <c r="AD310" i="4"/>
  <c r="AD309" i="4"/>
  <c r="AD308" i="4"/>
  <c r="AD307" i="4"/>
  <c r="AD306" i="4"/>
  <c r="AD305" i="4"/>
  <c r="AD304" i="4"/>
  <c r="AD303" i="4"/>
  <c r="AD302" i="4"/>
  <c r="AD301" i="4"/>
  <c r="AD300" i="4"/>
  <c r="AD299" i="4"/>
  <c r="AD298" i="4"/>
  <c r="AD297" i="4"/>
  <c r="AD296" i="4"/>
  <c r="AD295" i="4"/>
  <c r="AD294" i="4"/>
  <c r="AD293" i="4"/>
  <c r="R292" i="4"/>
  <c r="AD292" i="4" s="1"/>
  <c r="AD291" i="4"/>
  <c r="S291" i="4"/>
  <c r="AD290" i="4"/>
  <c r="S290" i="4"/>
  <c r="S294" i="4" s="1"/>
  <c r="S298" i="4" s="1"/>
  <c r="AD289" i="4"/>
  <c r="S289" i="4"/>
  <c r="L289" i="4"/>
  <c r="Q289" i="4" s="1"/>
  <c r="AD288" i="4"/>
  <c r="S288" i="4"/>
  <c r="AD287" i="4"/>
  <c r="T287" i="4"/>
  <c r="O287" i="4"/>
  <c r="L287" i="4"/>
  <c r="Q287" i="4" s="1"/>
  <c r="AD286" i="4"/>
  <c r="T286" i="4"/>
  <c r="O286" i="4"/>
  <c r="L286" i="4"/>
  <c r="Q286" i="4" s="1"/>
  <c r="AD285" i="4"/>
  <c r="O285" i="4"/>
  <c r="L285" i="4"/>
  <c r="Q285" i="4" s="1"/>
  <c r="AD284" i="4"/>
  <c r="T284" i="4"/>
  <c r="O284" i="4"/>
  <c r="L284" i="4"/>
  <c r="Q284" i="4" s="1"/>
  <c r="AD283" i="4"/>
  <c r="O283" i="4"/>
  <c r="L283" i="4"/>
  <c r="Q283" i="4" s="1"/>
  <c r="AD282" i="4"/>
  <c r="O282" i="4"/>
  <c r="AD281" i="4"/>
  <c r="O281" i="4"/>
  <c r="AD280" i="4"/>
  <c r="O280" i="4"/>
  <c r="AD279" i="4"/>
  <c r="T279" i="4"/>
  <c r="O279" i="4"/>
  <c r="AD278" i="4"/>
  <c r="T278" i="4"/>
  <c r="O278" i="4"/>
  <c r="AD277" i="4"/>
  <c r="T277" i="4"/>
  <c r="O277" i="4"/>
  <c r="AD276" i="4"/>
  <c r="O276" i="4"/>
  <c r="AD275" i="4"/>
  <c r="T275" i="4"/>
  <c r="O275" i="4"/>
  <c r="AD274" i="4"/>
  <c r="T274" i="4"/>
  <c r="O274" i="4"/>
  <c r="AD273" i="4"/>
  <c r="O273" i="4"/>
  <c r="AD272" i="4"/>
  <c r="O272" i="4"/>
  <c r="AD271" i="4"/>
  <c r="T271" i="4"/>
  <c r="O271" i="4"/>
  <c r="L271" i="4"/>
  <c r="Q271" i="4" s="1"/>
  <c r="AD270" i="4"/>
  <c r="T270" i="4"/>
  <c r="O270" i="4"/>
  <c r="L270" i="4"/>
  <c r="Q270" i="4" s="1"/>
  <c r="AD269" i="4"/>
  <c r="O269" i="4"/>
  <c r="L269" i="4"/>
  <c r="Q269" i="4" s="1"/>
  <c r="AD268" i="4"/>
  <c r="T268" i="4"/>
  <c r="O268" i="4"/>
  <c r="L268" i="4"/>
  <c r="Q268" i="4" s="1"/>
  <c r="AD267" i="4"/>
  <c r="O267" i="4"/>
  <c r="L267" i="4"/>
  <c r="Q267" i="4" s="1"/>
  <c r="AD266" i="4"/>
  <c r="O266" i="4"/>
  <c r="AD265" i="4"/>
  <c r="O265" i="4"/>
  <c r="AD264" i="4"/>
  <c r="O264" i="4"/>
  <c r="AD263" i="4"/>
  <c r="T263" i="4"/>
  <c r="O263" i="4"/>
  <c r="AD262" i="4"/>
  <c r="T262" i="4"/>
  <c r="O262" i="4"/>
  <c r="AD261" i="4"/>
  <c r="T261" i="4"/>
  <c r="O261" i="4"/>
  <c r="AD260" i="4"/>
  <c r="O260" i="4"/>
  <c r="AD259" i="4"/>
  <c r="T259" i="4"/>
  <c r="O259" i="4"/>
  <c r="AD258" i="4"/>
  <c r="T258" i="4"/>
  <c r="O258" i="4"/>
  <c r="AD257" i="4"/>
  <c r="O257" i="4"/>
  <c r="AD256" i="4"/>
  <c r="O256" i="4"/>
  <c r="AD255" i="4"/>
  <c r="T255" i="4"/>
  <c r="O255" i="4"/>
  <c r="L255" i="4"/>
  <c r="Q255" i="4" s="1"/>
  <c r="AD254" i="4"/>
  <c r="T254" i="4"/>
  <c r="O254" i="4"/>
  <c r="L254" i="4"/>
  <c r="Q254" i="4" s="1"/>
  <c r="AD253" i="4"/>
  <c r="O253" i="4"/>
  <c r="L253" i="4"/>
  <c r="Q253" i="4" s="1"/>
  <c r="AD252" i="4"/>
  <c r="T252" i="4"/>
  <c r="O252" i="4"/>
  <c r="L252" i="4"/>
  <c r="Q252" i="4" s="1"/>
  <c r="AD251" i="4"/>
  <c r="O251" i="4"/>
  <c r="L251" i="4"/>
  <c r="Q251" i="4" s="1"/>
  <c r="AD250" i="4"/>
  <c r="O250" i="4"/>
  <c r="AD249" i="4"/>
  <c r="O249" i="4"/>
  <c r="AD248" i="4"/>
  <c r="O248" i="4"/>
  <c r="AD247" i="4"/>
  <c r="T247" i="4"/>
  <c r="O247" i="4"/>
  <c r="AD246" i="4"/>
  <c r="T246" i="4"/>
  <c r="O246" i="4"/>
  <c r="AD245" i="4"/>
  <c r="T245" i="4"/>
  <c r="O245" i="4"/>
  <c r="AD244" i="4"/>
  <c r="O244" i="4"/>
  <c r="AD243" i="4"/>
  <c r="T243" i="4"/>
  <c r="O243" i="4"/>
  <c r="AD242" i="4"/>
  <c r="T242" i="4"/>
  <c r="O242" i="4"/>
  <c r="AD241" i="4"/>
  <c r="O241" i="4"/>
  <c r="AD240" i="4"/>
  <c r="O240" i="4"/>
  <c r="AD239" i="4"/>
  <c r="T239" i="4"/>
  <c r="O239" i="4"/>
  <c r="L239" i="4"/>
  <c r="Q239" i="4" s="1"/>
  <c r="AD238" i="4"/>
  <c r="T238" i="4"/>
  <c r="O238" i="4"/>
  <c r="L238" i="4"/>
  <c r="Q238" i="4" s="1"/>
  <c r="AD237" i="4"/>
  <c r="O237" i="4"/>
  <c r="L237" i="4"/>
  <c r="Q237" i="4" s="1"/>
  <c r="AD236" i="4"/>
  <c r="T236" i="4"/>
  <c r="O236" i="4"/>
  <c r="L236" i="4"/>
  <c r="Q236" i="4" s="1"/>
  <c r="AD235" i="4"/>
  <c r="O235" i="4"/>
  <c r="L235" i="4"/>
  <c r="Q235" i="4" s="1"/>
  <c r="AD234" i="4"/>
  <c r="O234" i="4"/>
  <c r="L234" i="4"/>
  <c r="Q234" i="4" s="1"/>
  <c r="AD233" i="4"/>
  <c r="O233" i="4"/>
  <c r="L233" i="4"/>
  <c r="Q233" i="4" s="1"/>
  <c r="AD232" i="4"/>
  <c r="O232" i="4"/>
  <c r="L232" i="4"/>
  <c r="Q232" i="4" s="1"/>
  <c r="AD231" i="4"/>
  <c r="T231" i="4"/>
  <c r="O231" i="4"/>
  <c r="L231" i="4"/>
  <c r="Q231" i="4" s="1"/>
  <c r="AD230" i="4"/>
  <c r="T230" i="4"/>
  <c r="O230" i="4"/>
  <c r="L230" i="4"/>
  <c r="Q230" i="4" s="1"/>
  <c r="AD229" i="4"/>
  <c r="T229" i="4"/>
  <c r="O229" i="4"/>
  <c r="L229" i="4"/>
  <c r="Q229" i="4" s="1"/>
  <c r="AD228" i="4"/>
  <c r="O228" i="4"/>
  <c r="L228" i="4"/>
  <c r="Q228" i="4" s="1"/>
  <c r="AD227" i="4"/>
  <c r="T227" i="4"/>
  <c r="O227" i="4"/>
  <c r="L227" i="4"/>
  <c r="Q227" i="4" s="1"/>
  <c r="AD226" i="4"/>
  <c r="T226" i="4"/>
  <c r="O226" i="4"/>
  <c r="L226" i="4"/>
  <c r="Q226" i="4" s="1"/>
  <c r="AD225" i="4"/>
  <c r="O225" i="4"/>
  <c r="L225" i="4"/>
  <c r="Q225" i="4" s="1"/>
  <c r="AD224" i="4"/>
  <c r="O224" i="4"/>
  <c r="L224" i="4"/>
  <c r="Q224" i="4" s="1"/>
  <c r="AD223" i="4"/>
  <c r="T223" i="4"/>
  <c r="O223" i="4"/>
  <c r="L223" i="4"/>
  <c r="Q223" i="4" s="1"/>
  <c r="AD222" i="4"/>
  <c r="T222" i="4"/>
  <c r="O222" i="4"/>
  <c r="L222" i="4"/>
  <c r="Q222" i="4" s="1"/>
  <c r="AD221" i="4"/>
  <c r="O221" i="4"/>
  <c r="L221" i="4"/>
  <c r="Q221" i="4" s="1"/>
  <c r="AD220" i="4"/>
  <c r="T220" i="4"/>
  <c r="O220" i="4"/>
  <c r="L220" i="4"/>
  <c r="Q220" i="4" s="1"/>
  <c r="AD219" i="4"/>
  <c r="O219" i="4"/>
  <c r="L219" i="4"/>
  <c r="Q219" i="4" s="1"/>
  <c r="AD218" i="4"/>
  <c r="O218" i="4"/>
  <c r="L218" i="4"/>
  <c r="Q218" i="4" s="1"/>
  <c r="AD217" i="4"/>
  <c r="O217" i="4"/>
  <c r="L217" i="4"/>
  <c r="Q217" i="4" s="1"/>
  <c r="AD216" i="4"/>
  <c r="O216" i="4"/>
  <c r="L216" i="4"/>
  <c r="Q216" i="4" s="1"/>
  <c r="AD215" i="4"/>
  <c r="T215" i="4"/>
  <c r="O215" i="4"/>
  <c r="L215" i="4"/>
  <c r="Q215" i="4" s="1"/>
  <c r="AD214" i="4"/>
  <c r="T214" i="4"/>
  <c r="O214" i="4"/>
  <c r="L214" i="4"/>
  <c r="Q214" i="4" s="1"/>
  <c r="AD213" i="4"/>
  <c r="T213" i="4"/>
  <c r="O213" i="4"/>
  <c r="L213" i="4"/>
  <c r="Q213" i="4" s="1"/>
  <c r="AD212" i="4"/>
  <c r="O212" i="4"/>
  <c r="L212" i="4"/>
  <c r="Q212" i="4" s="1"/>
  <c r="AD211" i="4"/>
  <c r="T211" i="4"/>
  <c r="O211" i="4"/>
  <c r="L211" i="4"/>
  <c r="Q211" i="4" s="1"/>
  <c r="AD210" i="4"/>
  <c r="T210" i="4"/>
  <c r="O210" i="4"/>
  <c r="L210" i="4"/>
  <c r="Q210" i="4" s="1"/>
  <c r="AD209" i="4"/>
  <c r="O209" i="4"/>
  <c r="L209" i="4"/>
  <c r="Q209" i="4" s="1"/>
  <c r="AD208" i="4"/>
  <c r="O208" i="4"/>
  <c r="L208" i="4"/>
  <c r="Q208" i="4" s="1"/>
  <c r="AD207" i="4"/>
  <c r="T207" i="4"/>
  <c r="O207" i="4"/>
  <c r="L207" i="4"/>
  <c r="Q207" i="4" s="1"/>
  <c r="AD206" i="4"/>
  <c r="T206" i="4"/>
  <c r="O206" i="4"/>
  <c r="L206" i="4"/>
  <c r="Q206" i="4" s="1"/>
  <c r="AD205" i="4"/>
  <c r="O205" i="4"/>
  <c r="L205" i="4"/>
  <c r="Q205" i="4" s="1"/>
  <c r="AD204" i="4"/>
  <c r="T204" i="4"/>
  <c r="O204" i="4"/>
  <c r="L204" i="4"/>
  <c r="Q204" i="4" s="1"/>
  <c r="AD203" i="4"/>
  <c r="O203" i="4"/>
  <c r="L203" i="4"/>
  <c r="Q203" i="4" s="1"/>
  <c r="AD202" i="4"/>
  <c r="O202" i="4"/>
  <c r="L202" i="4"/>
  <c r="Q202" i="4" s="1"/>
  <c r="AD201" i="4"/>
  <c r="O201" i="4"/>
  <c r="L201" i="4"/>
  <c r="Q201" i="4" s="1"/>
  <c r="AD200" i="4"/>
  <c r="O200" i="4"/>
  <c r="L200" i="4"/>
  <c r="Q200" i="4" s="1"/>
  <c r="AD199" i="4"/>
  <c r="T199" i="4"/>
  <c r="O199" i="4"/>
  <c r="L199" i="4"/>
  <c r="Q199" i="4" s="1"/>
  <c r="AD198" i="4"/>
  <c r="T198" i="4"/>
  <c r="O198" i="4"/>
  <c r="L198" i="4"/>
  <c r="Q198" i="4" s="1"/>
  <c r="AD197" i="4"/>
  <c r="T197" i="4"/>
  <c r="O197" i="4"/>
  <c r="L197" i="4"/>
  <c r="Q197" i="4" s="1"/>
  <c r="AD196" i="4"/>
  <c r="O196" i="4"/>
  <c r="L196" i="4"/>
  <c r="Q196" i="4" s="1"/>
  <c r="AD195" i="4"/>
  <c r="T195" i="4"/>
  <c r="O195" i="4"/>
  <c r="L195" i="4"/>
  <c r="Q195" i="4" s="1"/>
  <c r="AD194" i="4"/>
  <c r="T194" i="4"/>
  <c r="O194" i="4"/>
  <c r="L194" i="4"/>
  <c r="Q194" i="4" s="1"/>
  <c r="AD193" i="4"/>
  <c r="O193" i="4"/>
  <c r="L193" i="4"/>
  <c r="Q193" i="4" s="1"/>
  <c r="AD192" i="4"/>
  <c r="O192" i="4"/>
  <c r="L192" i="4"/>
  <c r="Q192" i="4" s="1"/>
  <c r="AD191" i="4"/>
  <c r="T191" i="4"/>
  <c r="O191" i="4"/>
  <c r="L191" i="4"/>
  <c r="Q191" i="4" s="1"/>
  <c r="AD190" i="4"/>
  <c r="T190" i="4"/>
  <c r="O190" i="4"/>
  <c r="L190" i="4"/>
  <c r="Q190" i="4" s="1"/>
  <c r="AD189" i="4"/>
  <c r="O189" i="4"/>
  <c r="L189" i="4"/>
  <c r="Q189" i="4" s="1"/>
  <c r="AD188" i="4"/>
  <c r="T188" i="4"/>
  <c r="O188" i="4"/>
  <c r="L188" i="4"/>
  <c r="Q188" i="4" s="1"/>
  <c r="AD187" i="4"/>
  <c r="O187" i="4"/>
  <c r="L187" i="4"/>
  <c r="Q187" i="4" s="1"/>
  <c r="AD186" i="4"/>
  <c r="O186" i="4"/>
  <c r="L186" i="4"/>
  <c r="Q186" i="4" s="1"/>
  <c r="AD185" i="4"/>
  <c r="O185" i="4"/>
  <c r="L185" i="4"/>
  <c r="Q185" i="4" s="1"/>
  <c r="AD184" i="4"/>
  <c r="O184" i="4"/>
  <c r="L184" i="4"/>
  <c r="Q184" i="4" s="1"/>
  <c r="AD183" i="4"/>
  <c r="O183" i="4"/>
  <c r="L183" i="4"/>
  <c r="Q183" i="4" s="1"/>
  <c r="AD182" i="4"/>
  <c r="O182" i="4"/>
  <c r="L182" i="4"/>
  <c r="Q182" i="4" s="1"/>
  <c r="AD181" i="4"/>
  <c r="O181" i="4"/>
  <c r="L181" i="4"/>
  <c r="Q181" i="4" s="1"/>
  <c r="AD180" i="4"/>
  <c r="O180" i="4"/>
  <c r="L180" i="4"/>
  <c r="Q180" i="4" s="1"/>
  <c r="AD179" i="4"/>
  <c r="T179" i="4"/>
  <c r="O179" i="4"/>
  <c r="L179" i="4"/>
  <c r="Q179" i="4" s="1"/>
  <c r="AD178" i="4"/>
  <c r="O178" i="4"/>
  <c r="L178" i="4"/>
  <c r="Q178" i="4" s="1"/>
  <c r="AD177" i="4"/>
  <c r="O177" i="4"/>
  <c r="L177" i="4"/>
  <c r="Q177" i="4" s="1"/>
  <c r="AD176" i="4"/>
  <c r="O176" i="4"/>
  <c r="L176" i="4"/>
  <c r="Q176" i="4" s="1"/>
  <c r="AD175" i="4"/>
  <c r="T175" i="4"/>
  <c r="O175" i="4"/>
  <c r="L175" i="4"/>
  <c r="Q175" i="4" s="1"/>
  <c r="AD174" i="4"/>
  <c r="T174" i="4"/>
  <c r="O174" i="4"/>
  <c r="L174" i="4"/>
  <c r="Q174" i="4" s="1"/>
  <c r="AD173" i="4"/>
  <c r="O173" i="4"/>
  <c r="L173" i="4"/>
  <c r="Q173" i="4" s="1"/>
  <c r="AD172" i="4"/>
  <c r="T172" i="4"/>
  <c r="O172" i="4"/>
  <c r="L172" i="4"/>
  <c r="Q172" i="4" s="1"/>
  <c r="AD171" i="4"/>
  <c r="O171" i="4"/>
  <c r="L171" i="4"/>
  <c r="Q171" i="4" s="1"/>
  <c r="AD170" i="4"/>
  <c r="O170" i="4"/>
  <c r="L170" i="4"/>
  <c r="Q170" i="4" s="1"/>
  <c r="AD169" i="4"/>
  <c r="O169" i="4"/>
  <c r="L169" i="4"/>
  <c r="Q169" i="4" s="1"/>
  <c r="AD168" i="4"/>
  <c r="O168" i="4"/>
  <c r="L168" i="4"/>
  <c r="Q168" i="4" s="1"/>
  <c r="AD167" i="4"/>
  <c r="O167" i="4"/>
  <c r="L167" i="4"/>
  <c r="Q167" i="4" s="1"/>
  <c r="AD166" i="4"/>
  <c r="O166" i="4"/>
  <c r="L166" i="4"/>
  <c r="Q166" i="4" s="1"/>
  <c r="AD165" i="4"/>
  <c r="O165" i="4"/>
  <c r="L165" i="4"/>
  <c r="Q165" i="4" s="1"/>
  <c r="AD164" i="4"/>
  <c r="O164" i="4"/>
  <c r="L164" i="4"/>
  <c r="Q164" i="4" s="1"/>
  <c r="AD163" i="4"/>
  <c r="T163" i="4"/>
  <c r="O163" i="4"/>
  <c r="L163" i="4"/>
  <c r="Q163" i="4" s="1"/>
  <c r="AD162" i="4"/>
  <c r="O162" i="4"/>
  <c r="L162" i="4"/>
  <c r="Q162" i="4" s="1"/>
  <c r="AD161" i="4"/>
  <c r="O161" i="4"/>
  <c r="L161" i="4"/>
  <c r="Q161" i="4" s="1"/>
  <c r="AD160" i="4"/>
  <c r="O160" i="4"/>
  <c r="L160" i="4"/>
  <c r="Q160" i="4" s="1"/>
  <c r="AD159" i="4"/>
  <c r="T159" i="4"/>
  <c r="O159" i="4"/>
  <c r="L159" i="4"/>
  <c r="Q159" i="4" s="1"/>
  <c r="AD158" i="4"/>
  <c r="T158" i="4"/>
  <c r="O158" i="4"/>
  <c r="L158" i="4"/>
  <c r="Q158" i="4" s="1"/>
  <c r="AD157" i="4"/>
  <c r="O157" i="4"/>
  <c r="L157" i="4"/>
  <c r="Q157" i="4" s="1"/>
  <c r="AD156" i="4"/>
  <c r="T156" i="4"/>
  <c r="O156" i="4"/>
  <c r="L156" i="4"/>
  <c r="Q156" i="4" s="1"/>
  <c r="AD155" i="4"/>
  <c r="O155" i="4"/>
  <c r="L155" i="4"/>
  <c r="Q155" i="4" s="1"/>
  <c r="AD154" i="4"/>
  <c r="O154" i="4"/>
  <c r="L154" i="4"/>
  <c r="Q154" i="4" s="1"/>
  <c r="AD153" i="4"/>
  <c r="O153" i="4"/>
  <c r="L153" i="4"/>
  <c r="Q153" i="4" s="1"/>
  <c r="AD152" i="4"/>
  <c r="O152" i="4"/>
  <c r="L152" i="4"/>
  <c r="Q152" i="4" s="1"/>
  <c r="AD151" i="4"/>
  <c r="O151" i="4"/>
  <c r="L151" i="4"/>
  <c r="Q151" i="4" s="1"/>
  <c r="AD150" i="4"/>
  <c r="O150" i="4"/>
  <c r="L150" i="4"/>
  <c r="Q150" i="4" s="1"/>
  <c r="AD149" i="4"/>
  <c r="O149" i="4"/>
  <c r="L149" i="4"/>
  <c r="Q149" i="4" s="1"/>
  <c r="AD148" i="4"/>
  <c r="O148" i="4"/>
  <c r="L148" i="4"/>
  <c r="Q148" i="4" s="1"/>
  <c r="AD147" i="4"/>
  <c r="T147" i="4"/>
  <c r="O147" i="4"/>
  <c r="L147" i="4"/>
  <c r="Q147" i="4" s="1"/>
  <c r="AD146" i="4"/>
  <c r="O146" i="4"/>
  <c r="L146" i="4"/>
  <c r="Q146" i="4" s="1"/>
  <c r="AD145" i="4"/>
  <c r="O145" i="4"/>
  <c r="L145" i="4"/>
  <c r="Q145" i="4" s="1"/>
  <c r="AD144" i="4"/>
  <c r="O144" i="4"/>
  <c r="L144" i="4"/>
  <c r="Q144" i="4" s="1"/>
  <c r="AD143" i="4"/>
  <c r="T143" i="4"/>
  <c r="S143" i="4"/>
  <c r="U143" i="4" s="1"/>
  <c r="O143" i="4"/>
  <c r="L143" i="4"/>
  <c r="Q143" i="4" s="1"/>
  <c r="AD142" i="4"/>
  <c r="T142" i="4"/>
  <c r="S142" i="4"/>
  <c r="U142" i="4" s="1"/>
  <c r="O142" i="4"/>
  <c r="L142" i="4"/>
  <c r="Q142" i="4" s="1"/>
  <c r="AD141" i="4"/>
  <c r="S141" i="4"/>
  <c r="O141" i="4"/>
  <c r="L141" i="4"/>
  <c r="Q141" i="4" s="1"/>
  <c r="AD140" i="4"/>
  <c r="T140" i="4"/>
  <c r="S140" i="4"/>
  <c r="O140" i="4"/>
  <c r="L140" i="4"/>
  <c r="Q140" i="4" s="1"/>
  <c r="AD139" i="4"/>
  <c r="S139" i="4"/>
  <c r="U139" i="4" s="1"/>
  <c r="O139" i="4"/>
  <c r="L139" i="4"/>
  <c r="Q139" i="4" s="1"/>
  <c r="AD138" i="4"/>
  <c r="S138" i="4"/>
  <c r="O138" i="4"/>
  <c r="L138" i="4"/>
  <c r="Q138" i="4" s="1"/>
  <c r="AD137" i="4"/>
  <c r="S137" i="4"/>
  <c r="U137" i="4" s="1"/>
  <c r="O137" i="4"/>
  <c r="L137" i="4"/>
  <c r="Q137" i="4" s="1"/>
  <c r="AD136" i="4"/>
  <c r="S136" i="4"/>
  <c r="S152" i="4" s="1"/>
  <c r="O136" i="4"/>
  <c r="L136" i="4"/>
  <c r="Q136" i="4" s="1"/>
  <c r="AD135" i="4"/>
  <c r="S135" i="4"/>
  <c r="S151" i="4" s="1"/>
  <c r="U151" i="4" s="1"/>
  <c r="O135" i="4"/>
  <c r="L135" i="4"/>
  <c r="Q135" i="4" s="1"/>
  <c r="AD134" i="4"/>
  <c r="S134" i="4"/>
  <c r="S150" i="4" s="1"/>
  <c r="S166" i="4" s="1"/>
  <c r="S182" i="4" s="1"/>
  <c r="O134" i="4"/>
  <c r="L134" i="4"/>
  <c r="Q134" i="4" s="1"/>
  <c r="AD133" i="4"/>
  <c r="S133" i="4"/>
  <c r="U133" i="4" s="1"/>
  <c r="O133" i="4"/>
  <c r="L133" i="4"/>
  <c r="Q133" i="4" s="1"/>
  <c r="AD132" i="4"/>
  <c r="S132" i="4"/>
  <c r="O132" i="4"/>
  <c r="L132" i="4"/>
  <c r="Q132" i="4" s="1"/>
  <c r="AD131" i="4"/>
  <c r="T131" i="4"/>
  <c r="S131" i="4"/>
  <c r="O131" i="4"/>
  <c r="L131" i="4"/>
  <c r="Q131" i="4" s="1"/>
  <c r="AD130" i="4"/>
  <c r="S130" i="4"/>
  <c r="S146" i="4" s="1"/>
  <c r="U146" i="4" s="1"/>
  <c r="O130" i="4"/>
  <c r="L130" i="4"/>
  <c r="Q130" i="4" s="1"/>
  <c r="AD129" i="4"/>
  <c r="S129" i="4"/>
  <c r="U129" i="4" s="1"/>
  <c r="O129" i="4"/>
  <c r="L129" i="4"/>
  <c r="Q129" i="4" s="1"/>
  <c r="AD128" i="4"/>
  <c r="S128" i="4"/>
  <c r="O128" i="4"/>
  <c r="L128" i="4"/>
  <c r="Q128" i="4" s="1"/>
  <c r="AD127" i="4"/>
  <c r="T127" i="4"/>
  <c r="S127" i="4"/>
  <c r="N127" i="4"/>
  <c r="AD126" i="4"/>
  <c r="T126" i="4"/>
  <c r="S126" i="4"/>
  <c r="S388" i="4" s="1"/>
  <c r="N126" i="4"/>
  <c r="AD125" i="4"/>
  <c r="N125" i="4"/>
  <c r="O125" i="4" s="1"/>
  <c r="AD124" i="4"/>
  <c r="N124" i="4"/>
  <c r="O124" i="4" s="1"/>
  <c r="AD123" i="4"/>
  <c r="N123" i="4"/>
  <c r="AD122" i="4"/>
  <c r="N122" i="4"/>
  <c r="O122" i="4" s="1"/>
  <c r="AD121" i="4"/>
  <c r="N121" i="4"/>
  <c r="O121" i="4" s="1"/>
  <c r="AD120" i="4"/>
  <c r="N120" i="4"/>
  <c r="AD119" i="4"/>
  <c r="S119" i="4"/>
  <c r="S120" i="4" s="1"/>
  <c r="S121" i="4" s="1"/>
  <c r="N119" i="4"/>
  <c r="O119" i="4" s="1"/>
  <c r="AD118" i="4"/>
  <c r="N118" i="4"/>
  <c r="O118" i="4" s="1"/>
  <c r="AD117" i="4"/>
  <c r="N117" i="4"/>
  <c r="O117" i="4" s="1"/>
  <c r="AD116" i="4"/>
  <c r="N116" i="4"/>
  <c r="O116" i="4" s="1"/>
  <c r="AD115" i="4"/>
  <c r="N115" i="4"/>
  <c r="O115" i="4" s="1"/>
  <c r="AD114" i="4"/>
  <c r="N114" i="4"/>
  <c r="O114" i="4" s="1"/>
  <c r="AD113" i="4"/>
  <c r="N113" i="4"/>
  <c r="O113" i="4" s="1"/>
  <c r="AD112" i="4"/>
  <c r="N112" i="4"/>
  <c r="O112" i="4" s="1"/>
  <c r="AD111" i="4"/>
  <c r="N111" i="4"/>
  <c r="O111" i="4" s="1"/>
  <c r="AD110" i="4"/>
  <c r="N110" i="4"/>
  <c r="O110" i="4" s="1"/>
  <c r="AD109" i="4"/>
  <c r="N109" i="4"/>
  <c r="O109" i="4" s="1"/>
  <c r="AD108" i="4"/>
  <c r="N108" i="4"/>
  <c r="AD107" i="4"/>
  <c r="N107" i="4"/>
  <c r="AD106" i="4"/>
  <c r="N106" i="4"/>
  <c r="O106" i="4" s="1"/>
  <c r="AD105" i="4"/>
  <c r="N105" i="4"/>
  <c r="O105" i="4" s="1"/>
  <c r="AD104" i="4"/>
  <c r="N104" i="4"/>
  <c r="O104" i="4" s="1"/>
  <c r="AD103" i="4"/>
  <c r="N103" i="4"/>
  <c r="O103" i="4" s="1"/>
  <c r="AD102" i="4"/>
  <c r="N102" i="4"/>
  <c r="O102" i="4" s="1"/>
  <c r="AD101" i="4"/>
  <c r="N101" i="4"/>
  <c r="O101" i="4" s="1"/>
  <c r="AD100" i="4"/>
  <c r="N100" i="4"/>
  <c r="AD99" i="4"/>
  <c r="N99" i="4"/>
  <c r="O99" i="4" s="1"/>
  <c r="AD98" i="4"/>
  <c r="S98" i="4"/>
  <c r="S103" i="4" s="1"/>
  <c r="S108" i="4" s="1"/>
  <c r="S113" i="4" s="1"/>
  <c r="S118" i="4" s="1"/>
  <c r="N98" i="4"/>
  <c r="O98" i="4" s="1"/>
  <c r="AD97" i="4"/>
  <c r="S97" i="4"/>
  <c r="S102" i="4" s="1"/>
  <c r="N97" i="4"/>
  <c r="AD96" i="4"/>
  <c r="S96" i="4"/>
  <c r="S101" i="4" s="1"/>
  <c r="S106" i="4" s="1"/>
  <c r="S111" i="4" s="1"/>
  <c r="S116" i="4" s="1"/>
  <c r="S383" i="4" s="1"/>
  <c r="N96" i="4"/>
  <c r="O96" i="4" s="1"/>
  <c r="AD95" i="4"/>
  <c r="S95" i="4"/>
  <c r="S100" i="4" s="1"/>
  <c r="S105" i="4" s="1"/>
  <c r="S110" i="4" s="1"/>
  <c r="S115" i="4" s="1"/>
  <c r="S382" i="4" s="1"/>
  <c r="N95" i="4"/>
  <c r="AD94" i="4"/>
  <c r="S94" i="4"/>
  <c r="S99" i="4" s="1"/>
  <c r="N94" i="4"/>
  <c r="O94" i="4" s="1"/>
  <c r="AD93" i="4"/>
  <c r="N93" i="4"/>
  <c r="O93" i="4" s="1"/>
  <c r="AD92" i="4"/>
  <c r="N92" i="4"/>
  <c r="O92" i="4" s="1"/>
  <c r="AD91" i="4"/>
  <c r="N91" i="4"/>
  <c r="O91" i="4" s="1"/>
  <c r="AD90" i="4"/>
  <c r="N90" i="4"/>
  <c r="O90" i="4" s="1"/>
  <c r="AD89" i="4"/>
  <c r="N89" i="4"/>
  <c r="O89" i="4" s="1"/>
  <c r="AD88" i="4"/>
  <c r="N88" i="4"/>
  <c r="O88" i="4" s="1"/>
  <c r="AD87" i="4"/>
  <c r="N87" i="4"/>
  <c r="O87" i="4" s="1"/>
  <c r="AD86" i="4"/>
  <c r="N86" i="4"/>
  <c r="O86" i="4" s="1"/>
  <c r="AD85" i="4"/>
  <c r="N85" i="4"/>
  <c r="O85" i="4" s="1"/>
  <c r="AD84" i="4"/>
  <c r="N84" i="4"/>
  <c r="O84" i="4" s="1"/>
  <c r="AD83" i="4"/>
  <c r="N83" i="4"/>
  <c r="O83" i="4" s="1"/>
  <c r="AD82" i="4"/>
  <c r="N82" i="4"/>
  <c r="O82" i="4" s="1"/>
  <c r="AD81" i="4"/>
  <c r="N81" i="4"/>
  <c r="O81" i="4" s="1"/>
  <c r="AD80" i="4"/>
  <c r="N80" i="4"/>
  <c r="O80" i="4" s="1"/>
  <c r="AD79" i="4"/>
  <c r="N79" i="4"/>
  <c r="O79" i="4" s="1"/>
  <c r="AD78" i="4"/>
  <c r="N78" i="4"/>
  <c r="O78" i="4" s="1"/>
  <c r="AD77" i="4"/>
  <c r="N77" i="4"/>
  <c r="O77" i="4" s="1"/>
  <c r="AD76" i="4"/>
  <c r="N76" i="4"/>
  <c r="O76" i="4" s="1"/>
  <c r="AD75" i="4"/>
  <c r="N75" i="4"/>
  <c r="O75" i="4" s="1"/>
  <c r="AD74" i="4"/>
  <c r="N74" i="4"/>
  <c r="O74" i="4" s="1"/>
  <c r="AD73" i="4"/>
  <c r="N73" i="4"/>
  <c r="O73" i="4" s="1"/>
  <c r="AD72" i="4"/>
  <c r="N72" i="4"/>
  <c r="O72" i="4" s="1"/>
  <c r="AD71" i="4"/>
  <c r="N71" i="4"/>
  <c r="O71" i="4" s="1"/>
  <c r="AD70" i="4"/>
  <c r="N70" i="4"/>
  <c r="O70" i="4" s="1"/>
  <c r="AD69" i="4"/>
  <c r="N69" i="4"/>
  <c r="O69" i="4" s="1"/>
  <c r="AD68" i="4"/>
  <c r="N68" i="4"/>
  <c r="O68" i="4" s="1"/>
  <c r="AD67" i="4"/>
  <c r="N67" i="4"/>
  <c r="O67" i="4" s="1"/>
  <c r="AD66" i="4"/>
  <c r="N66" i="4"/>
  <c r="O66" i="4" s="1"/>
  <c r="AD65" i="4"/>
  <c r="N65" i="4"/>
  <c r="O65" i="4" s="1"/>
  <c r="AD64" i="4"/>
  <c r="N64" i="4"/>
  <c r="O64" i="4" s="1"/>
  <c r="AD63" i="4"/>
  <c r="N63" i="4"/>
  <c r="O63" i="4" s="1"/>
  <c r="AD62" i="4"/>
  <c r="N62" i="4"/>
  <c r="O62" i="4" s="1"/>
  <c r="AD61" i="4"/>
  <c r="N61" i="4"/>
  <c r="O61" i="4" s="1"/>
  <c r="AD60" i="4"/>
  <c r="N60" i="4"/>
  <c r="O60" i="4" s="1"/>
  <c r="AD59" i="4"/>
  <c r="N59" i="4"/>
  <c r="O59" i="4" s="1"/>
  <c r="AD58" i="4"/>
  <c r="N58" i="4"/>
  <c r="O58" i="4" s="1"/>
  <c r="AD57" i="4"/>
  <c r="S57" i="4"/>
  <c r="S61" i="4" s="1"/>
  <c r="S65" i="4" s="1"/>
  <c r="S69" i="4" s="1"/>
  <c r="S73" i="4" s="1"/>
  <c r="S77" i="4" s="1"/>
  <c r="S81" i="4" s="1"/>
  <c r="S85" i="4" s="1"/>
  <c r="S89" i="4" s="1"/>
  <c r="S93" i="4" s="1"/>
  <c r="S380" i="4" s="1"/>
  <c r="N57" i="4"/>
  <c r="O57" i="4" s="1"/>
  <c r="AD56" i="4"/>
  <c r="S56" i="4"/>
  <c r="S60" i="4" s="1"/>
  <c r="S64" i="4" s="1"/>
  <c r="S68" i="4" s="1"/>
  <c r="S72" i="4" s="1"/>
  <c r="S76" i="4" s="1"/>
  <c r="S80" i="4" s="1"/>
  <c r="S84" i="4" s="1"/>
  <c r="S88" i="4" s="1"/>
  <c r="S92" i="4" s="1"/>
  <c r="S379" i="4" s="1"/>
  <c r="N56" i="4"/>
  <c r="O56" i="4" s="1"/>
  <c r="AD55" i="4"/>
  <c r="S55" i="4"/>
  <c r="S59" i="4" s="1"/>
  <c r="S63" i="4" s="1"/>
  <c r="S67" i="4" s="1"/>
  <c r="S71" i="4" s="1"/>
  <c r="S75" i="4" s="1"/>
  <c r="S79" i="4" s="1"/>
  <c r="S83" i="4" s="1"/>
  <c r="S87" i="4" s="1"/>
  <c r="S91" i="4" s="1"/>
  <c r="S378" i="4" s="1"/>
  <c r="N55" i="4"/>
  <c r="O55" i="4" s="1"/>
  <c r="AD54" i="4"/>
  <c r="S54" i="4"/>
  <c r="S58" i="4" s="1"/>
  <c r="S62" i="4" s="1"/>
  <c r="S66" i="4" s="1"/>
  <c r="S70" i="4" s="1"/>
  <c r="S74" i="4" s="1"/>
  <c r="S78" i="4" s="1"/>
  <c r="S82" i="4" s="1"/>
  <c r="S86" i="4" s="1"/>
  <c r="S90" i="4" s="1"/>
  <c r="S377" i="4" s="1"/>
  <c r="N54" i="4"/>
  <c r="O54" i="4" s="1"/>
  <c r="AD53" i="4"/>
  <c r="N53" i="4"/>
  <c r="O53" i="4" s="1"/>
  <c r="AD52" i="4"/>
  <c r="N52" i="4"/>
  <c r="O52" i="4" s="1"/>
  <c r="AD51" i="4"/>
  <c r="N51" i="4"/>
  <c r="O51" i="4" s="1"/>
  <c r="AD50" i="4"/>
  <c r="N50" i="4"/>
  <c r="AD49" i="4"/>
  <c r="N49" i="4"/>
  <c r="O49" i="4" s="1"/>
  <c r="AD48" i="4"/>
  <c r="N48" i="4"/>
  <c r="O48" i="4" s="1"/>
  <c r="AD47" i="4"/>
  <c r="N47" i="4"/>
  <c r="O47" i="4" s="1"/>
  <c r="AD46" i="4"/>
  <c r="N46" i="4"/>
  <c r="O46" i="4" s="1"/>
  <c r="AD45" i="4"/>
  <c r="N45" i="4"/>
  <c r="O45" i="4" s="1"/>
  <c r="AD44" i="4"/>
  <c r="N44" i="4"/>
  <c r="O44" i="4" s="1"/>
  <c r="AD43" i="4"/>
  <c r="N43" i="4"/>
  <c r="O43" i="4" s="1"/>
  <c r="AD42" i="4"/>
  <c r="N42" i="4"/>
  <c r="O42" i="4" s="1"/>
  <c r="AD41" i="4"/>
  <c r="N41" i="4"/>
  <c r="O41" i="4" s="1"/>
  <c r="AD40" i="4"/>
  <c r="N40" i="4"/>
  <c r="AD39" i="4"/>
  <c r="N39" i="4"/>
  <c r="O39" i="4" s="1"/>
  <c r="AD38" i="4"/>
  <c r="N38" i="4"/>
  <c r="O38" i="4" s="1"/>
  <c r="AD37" i="4"/>
  <c r="N37" i="4"/>
  <c r="O37" i="4" s="1"/>
  <c r="AD36" i="4"/>
  <c r="N36" i="4"/>
  <c r="O36" i="4" s="1"/>
  <c r="AD35" i="4"/>
  <c r="N35" i="4"/>
  <c r="O35" i="4" s="1"/>
  <c r="AD34" i="4"/>
  <c r="N34" i="4"/>
  <c r="O34" i="4" s="1"/>
  <c r="AD33" i="4"/>
  <c r="N33" i="4"/>
  <c r="O33" i="4" s="1"/>
  <c r="AD32" i="4"/>
  <c r="N32" i="4"/>
  <c r="O32" i="4" s="1"/>
  <c r="AD31" i="4"/>
  <c r="N31" i="4"/>
  <c r="O31" i="4" s="1"/>
  <c r="AD30" i="4"/>
  <c r="N30" i="4"/>
  <c r="AD29" i="4"/>
  <c r="N29" i="4"/>
  <c r="O29" i="4" s="1"/>
  <c r="AD28" i="4"/>
  <c r="N28" i="4"/>
  <c r="O28" i="4" s="1"/>
  <c r="AD27" i="4"/>
  <c r="N27" i="4"/>
  <c r="O27" i="4" s="1"/>
  <c r="AD26" i="4"/>
  <c r="N26" i="4"/>
  <c r="O26" i="4" s="1"/>
  <c r="AD25" i="4"/>
  <c r="N25" i="4"/>
  <c r="O25" i="4" s="1"/>
  <c r="AD24" i="4"/>
  <c r="N24" i="4"/>
  <c r="O24" i="4" s="1"/>
  <c r="AD23" i="4"/>
  <c r="N23" i="4"/>
  <c r="O23" i="4" s="1"/>
  <c r="AD22" i="4"/>
  <c r="N22" i="4"/>
  <c r="O22" i="4" s="1"/>
  <c r="AD21" i="4"/>
  <c r="N21" i="4"/>
  <c r="O21" i="4" s="1"/>
  <c r="AD20" i="4"/>
  <c r="N20" i="4"/>
  <c r="O20" i="4" s="1"/>
  <c r="AD19" i="4"/>
  <c r="N19" i="4"/>
  <c r="O19" i="4" s="1"/>
  <c r="AD18" i="4"/>
  <c r="N18" i="4"/>
  <c r="O18" i="4" s="1"/>
  <c r="AD17" i="4"/>
  <c r="N17" i="4"/>
  <c r="O17" i="4" s="1"/>
  <c r="AD16" i="4"/>
  <c r="N16" i="4"/>
  <c r="AD15" i="4"/>
  <c r="N15" i="4"/>
  <c r="O15" i="4" s="1"/>
  <c r="AD14" i="4"/>
  <c r="N14" i="4"/>
  <c r="AD13" i="4"/>
  <c r="N13" i="4"/>
  <c r="O13" i="4" s="1"/>
  <c r="AD12" i="4"/>
  <c r="N12" i="4"/>
  <c r="O12" i="4" s="1"/>
  <c r="AD11" i="4"/>
  <c r="N11" i="4"/>
  <c r="O11" i="4" s="1"/>
  <c r="AD10" i="4"/>
  <c r="N10" i="4"/>
  <c r="O10" i="4" s="1"/>
  <c r="AD9" i="4"/>
  <c r="N9" i="4"/>
  <c r="O9" i="4" s="1"/>
  <c r="AD8" i="4"/>
  <c r="S8" i="4"/>
  <c r="S13" i="4" s="1"/>
  <c r="N8" i="4"/>
  <c r="O8" i="4" s="1"/>
  <c r="AD7" i="4"/>
  <c r="S7" i="4"/>
  <c r="S12" i="4" s="1"/>
  <c r="S17" i="4" s="1"/>
  <c r="S22" i="4" s="1"/>
  <c r="S27" i="4" s="1"/>
  <c r="S32" i="4" s="1"/>
  <c r="N7" i="4"/>
  <c r="AD6" i="4"/>
  <c r="S6" i="4"/>
  <c r="S11" i="4" s="1"/>
  <c r="S16" i="4" s="1"/>
  <c r="S21" i="4" s="1"/>
  <c r="S26" i="4" s="1"/>
  <c r="N6" i="4"/>
  <c r="AD5" i="4"/>
  <c r="S5" i="4"/>
  <c r="S10" i="4" s="1"/>
  <c r="N5" i="4"/>
  <c r="O5" i="4" s="1"/>
  <c r="AD4" i="4"/>
  <c r="S4" i="4"/>
  <c r="S9" i="4" s="1"/>
  <c r="S14" i="4" s="1"/>
  <c r="S19" i="4" s="1"/>
  <c r="S24" i="4" s="1"/>
  <c r="S29" i="4" s="1"/>
  <c r="S34" i="4" s="1"/>
  <c r="N4" i="4"/>
  <c r="L290" i="4" l="1"/>
  <c r="Q290" i="4" s="1"/>
  <c r="L455" i="4"/>
  <c r="Q455" i="4" s="1"/>
  <c r="U291" i="4"/>
  <c r="L300" i="4"/>
  <c r="Q300" i="4" s="1"/>
  <c r="L332" i="4"/>
  <c r="Q332" i="4" s="1"/>
  <c r="U131" i="4"/>
  <c r="L348" i="4"/>
  <c r="Q348" i="4" s="1"/>
  <c r="U4" i="4"/>
  <c r="U26" i="4"/>
  <c r="AB292" i="4"/>
  <c r="L294" i="4"/>
  <c r="Q294" i="4" s="1"/>
  <c r="AB294" i="4"/>
  <c r="L298" i="4"/>
  <c r="Q298" i="4" s="1"/>
  <c r="AB298" i="4"/>
  <c r="L299" i="4"/>
  <c r="Q299" i="4" s="1"/>
  <c r="AB299" i="4"/>
  <c r="L301" i="4"/>
  <c r="Q301" i="4" s="1"/>
  <c r="AB301" i="4"/>
  <c r="L302" i="4"/>
  <c r="Q302" i="4" s="1"/>
  <c r="AB302" i="4"/>
  <c r="L303" i="4"/>
  <c r="Q303" i="4" s="1"/>
  <c r="AB303" i="4"/>
  <c r="L305" i="4"/>
  <c r="Q305" i="4" s="1"/>
  <c r="AB305" i="4"/>
  <c r="L310" i="4"/>
  <c r="Q310" i="4" s="1"/>
  <c r="AB310" i="4"/>
  <c r="L314" i="4"/>
  <c r="Q314" i="4" s="1"/>
  <c r="AB314" i="4"/>
  <c r="L315" i="4"/>
  <c r="Q315" i="4" s="1"/>
  <c r="AB315" i="4"/>
  <c r="L317" i="4"/>
  <c r="Q317" i="4" s="1"/>
  <c r="AB317" i="4"/>
  <c r="L318" i="4"/>
  <c r="Q318" i="4" s="1"/>
  <c r="AB318" i="4"/>
  <c r="L319" i="4"/>
  <c r="Q319" i="4" s="1"/>
  <c r="AB319" i="4"/>
  <c r="L321" i="4"/>
  <c r="Q321" i="4" s="1"/>
  <c r="AB321" i="4"/>
  <c r="L326" i="4"/>
  <c r="Q326" i="4" s="1"/>
  <c r="AB326" i="4"/>
  <c r="L330" i="4"/>
  <c r="Q330" i="4" s="1"/>
  <c r="AB330" i="4"/>
  <c r="L331" i="4"/>
  <c r="Q331" i="4" s="1"/>
  <c r="AB331" i="4"/>
  <c r="L333" i="4"/>
  <c r="Q333" i="4" s="1"/>
  <c r="AB333" i="4"/>
  <c r="L334" i="4"/>
  <c r="Q334" i="4" s="1"/>
  <c r="AB334" i="4"/>
  <c r="L335" i="4"/>
  <c r="Q335" i="4" s="1"/>
  <c r="AB335" i="4"/>
  <c r="L337" i="4"/>
  <c r="Q337" i="4" s="1"/>
  <c r="AB337" i="4"/>
  <c r="L342" i="4"/>
  <c r="Q342" i="4" s="1"/>
  <c r="AB342" i="4"/>
  <c r="L346" i="4"/>
  <c r="Q346" i="4" s="1"/>
  <c r="AB346" i="4"/>
  <c r="L347" i="4"/>
  <c r="Q347" i="4" s="1"/>
  <c r="AB347" i="4"/>
  <c r="L349" i="4"/>
  <c r="Q349" i="4" s="1"/>
  <c r="AB349" i="4"/>
  <c r="L350" i="4"/>
  <c r="Q350" i="4" s="1"/>
  <c r="AB350" i="4"/>
  <c r="L351" i="4"/>
  <c r="Q351" i="4" s="1"/>
  <c r="AB351" i="4"/>
  <c r="L353" i="4"/>
  <c r="Q353" i="4" s="1"/>
  <c r="AB353" i="4"/>
  <c r="L354" i="4"/>
  <c r="Q354" i="4" s="1"/>
  <c r="AB354" i="4"/>
  <c r="L358" i="4"/>
  <c r="Q358" i="4" s="1"/>
  <c r="AB358" i="4"/>
  <c r="L362" i="4"/>
  <c r="Q362" i="4" s="1"/>
  <c r="AB362" i="4"/>
  <c r="L363" i="4"/>
  <c r="Q363" i="4" s="1"/>
  <c r="AB363" i="4"/>
  <c r="L366" i="4"/>
  <c r="Q366" i="4" s="1"/>
  <c r="AB366" i="4"/>
  <c r="L367" i="4"/>
  <c r="Q367" i="4" s="1"/>
  <c r="AB367" i="4"/>
  <c r="L369" i="4"/>
  <c r="Q369" i="4" s="1"/>
  <c r="AB369" i="4"/>
  <c r="L370" i="4"/>
  <c r="Q370" i="4" s="1"/>
  <c r="AB370" i="4"/>
  <c r="L407" i="4"/>
  <c r="Q407" i="4" s="1"/>
  <c r="AB407" i="4"/>
  <c r="L456" i="4"/>
  <c r="Q456" i="4" s="1"/>
  <c r="AB456" i="4"/>
  <c r="L408" i="4"/>
  <c r="Q408" i="4" s="1"/>
  <c r="U501" i="4"/>
  <c r="O501" i="4"/>
  <c r="U504" i="4"/>
  <c r="O504" i="4"/>
  <c r="O506" i="4"/>
  <c r="L295" i="4"/>
  <c r="Q295" i="4" s="1"/>
  <c r="L311" i="4"/>
  <c r="Q311" i="4" s="1"/>
  <c r="L327" i="4"/>
  <c r="Q327" i="4" s="1"/>
  <c r="L343" i="4"/>
  <c r="Q343" i="4" s="1"/>
  <c r="L359" i="4"/>
  <c r="Q359" i="4" s="1"/>
  <c r="L306" i="4"/>
  <c r="Q306" i="4" s="1"/>
  <c r="L322" i="4"/>
  <c r="Q322" i="4" s="1"/>
  <c r="L338" i="4"/>
  <c r="Q338" i="4" s="1"/>
  <c r="U499" i="4"/>
  <c r="L296" i="4"/>
  <c r="Q296" i="4" s="1"/>
  <c r="L312" i="4"/>
  <c r="Q312" i="4" s="1"/>
  <c r="L328" i="4"/>
  <c r="Q328" i="4" s="1"/>
  <c r="L344" i="4"/>
  <c r="Q344" i="4" s="1"/>
  <c r="L360" i="4"/>
  <c r="Q360" i="4" s="1"/>
  <c r="L365" i="4"/>
  <c r="Q365" i="4" s="1"/>
  <c r="L454" i="4"/>
  <c r="Q454" i="4" s="1"/>
  <c r="U500" i="4"/>
  <c r="L307" i="4"/>
  <c r="Q307" i="4" s="1"/>
  <c r="L323" i="4"/>
  <c r="Q323" i="4" s="1"/>
  <c r="L339" i="4"/>
  <c r="Q339" i="4" s="1"/>
  <c r="L355" i="4"/>
  <c r="Q355" i="4" s="1"/>
  <c r="L371" i="4"/>
  <c r="Q371" i="4" s="1"/>
  <c r="L453" i="4"/>
  <c r="Q453" i="4" s="1"/>
  <c r="U502" i="4"/>
  <c r="O505" i="4"/>
  <c r="L292" i="4"/>
  <c r="Q292" i="4" s="1"/>
  <c r="L297" i="4"/>
  <c r="Q297" i="4" s="1"/>
  <c r="L308" i="4"/>
  <c r="Q308" i="4" s="1"/>
  <c r="L313" i="4"/>
  <c r="Q313" i="4" s="1"/>
  <c r="L324" i="4"/>
  <c r="Q324" i="4" s="1"/>
  <c r="L329" i="4"/>
  <c r="Q329" i="4" s="1"/>
  <c r="L340" i="4"/>
  <c r="Q340" i="4" s="1"/>
  <c r="L345" i="4"/>
  <c r="Q345" i="4" s="1"/>
  <c r="L356" i="4"/>
  <c r="Q356" i="4" s="1"/>
  <c r="L361" i="4"/>
  <c r="Q361" i="4" s="1"/>
  <c r="L405" i="4"/>
  <c r="Q405" i="4" s="1"/>
  <c r="U503" i="4"/>
  <c r="L293" i="4"/>
  <c r="Q293" i="4" s="1"/>
  <c r="L304" i="4"/>
  <c r="Q304" i="4" s="1"/>
  <c r="L309" i="4"/>
  <c r="Q309" i="4" s="1"/>
  <c r="L320" i="4"/>
  <c r="Q320" i="4" s="1"/>
  <c r="L325" i="4"/>
  <c r="Q325" i="4" s="1"/>
  <c r="L336" i="4"/>
  <c r="Q336" i="4" s="1"/>
  <c r="L341" i="4"/>
  <c r="Q341" i="4" s="1"/>
  <c r="L352" i="4"/>
  <c r="Q352" i="4" s="1"/>
  <c r="L357" i="4"/>
  <c r="Q357" i="4" s="1"/>
  <c r="L368" i="4"/>
  <c r="Q368" i="4" s="1"/>
  <c r="L406" i="4"/>
  <c r="Q406" i="4" s="1"/>
  <c r="AC292" i="4"/>
  <c r="L288" i="4"/>
  <c r="Q288" i="4" s="1"/>
  <c r="S295" i="4"/>
  <c r="U295" i="4" s="1"/>
  <c r="L291" i="4"/>
  <c r="AA127" i="4" s="1"/>
  <c r="AC127" i="4" s="1"/>
  <c r="S292" i="4"/>
  <c r="S296" i="4" s="1"/>
  <c r="S300" i="4" s="1"/>
  <c r="S304" i="4" s="1"/>
  <c r="U431" i="4"/>
  <c r="S167" i="4"/>
  <c r="S183" i="4" s="1"/>
  <c r="U183" i="4" s="1"/>
  <c r="U119" i="4"/>
  <c r="U8" i="4"/>
  <c r="U126" i="4"/>
  <c r="U136" i="4"/>
  <c r="U97" i="4"/>
  <c r="S149" i="4"/>
  <c r="U149" i="4" s="1"/>
  <c r="S158" i="4"/>
  <c r="U288" i="4"/>
  <c r="U96" i="4"/>
  <c r="U101" i="4"/>
  <c r="U435" i="4"/>
  <c r="O97" i="4"/>
  <c r="S155" i="4"/>
  <c r="U155" i="4" s="1"/>
  <c r="U436" i="4"/>
  <c r="U387" i="4"/>
  <c r="O126" i="4"/>
  <c r="S107" i="4"/>
  <c r="S112" i="4" s="1"/>
  <c r="U112" i="4" s="1"/>
  <c r="U102" i="4"/>
  <c r="S147" i="4"/>
  <c r="S163" i="4" s="1"/>
  <c r="U163" i="4" s="1"/>
  <c r="U290" i="4"/>
  <c r="U388" i="4"/>
  <c r="U429" i="4"/>
  <c r="O434" i="4"/>
  <c r="S37" i="4"/>
  <c r="S42" i="4" s="1"/>
  <c r="U32" i="4"/>
  <c r="U12" i="4"/>
  <c r="U152" i="4"/>
  <c r="S168" i="4"/>
  <c r="U182" i="4"/>
  <c r="S198" i="4"/>
  <c r="S214" i="4" s="1"/>
  <c r="U383" i="4"/>
  <c r="U134" i="4"/>
  <c r="O4" i="4"/>
  <c r="S145" i="4"/>
  <c r="U14" i="4"/>
  <c r="U100" i="4"/>
  <c r="U430" i="4"/>
  <c r="U111" i="4"/>
  <c r="U106" i="4"/>
  <c r="U294" i="4"/>
  <c r="U9" i="4"/>
  <c r="U98" i="4"/>
  <c r="U34" i="4"/>
  <c r="S39" i="4"/>
  <c r="S385" i="4"/>
  <c r="U385" i="4" s="1"/>
  <c r="U118" i="4"/>
  <c r="U105" i="4"/>
  <c r="U29" i="4"/>
  <c r="O95" i="4"/>
  <c r="U95" i="4"/>
  <c r="U108" i="4"/>
  <c r="O108" i="4"/>
  <c r="U141" i="4"/>
  <c r="S157" i="4"/>
  <c r="U94" i="4"/>
  <c r="U103" i="4"/>
  <c r="U116" i="4"/>
  <c r="U289" i="4"/>
  <c r="S293" i="4"/>
  <c r="U135" i="4"/>
  <c r="U6" i="4"/>
  <c r="O6" i="4"/>
  <c r="U127" i="4"/>
  <c r="O127" i="4"/>
  <c r="S148" i="4"/>
  <c r="U132" i="4"/>
  <c r="O30" i="4"/>
  <c r="U130" i="4"/>
  <c r="S31" i="4"/>
  <c r="S104" i="4"/>
  <c r="U99" i="4"/>
  <c r="S162" i="4"/>
  <c r="U24" i="4"/>
  <c r="O14" i="4"/>
  <c r="U110" i="4"/>
  <c r="U13" i="4"/>
  <c r="S18" i="4"/>
  <c r="U16" i="4"/>
  <c r="O16" i="4"/>
  <c r="U10" i="4"/>
  <c r="S15" i="4"/>
  <c r="U7" i="4"/>
  <c r="O7" i="4"/>
  <c r="O40" i="4"/>
  <c r="S144" i="4"/>
  <c r="U128" i="4"/>
  <c r="S154" i="4"/>
  <c r="U138" i="4"/>
  <c r="U22" i="4"/>
  <c r="U27" i="4"/>
  <c r="U433" i="4"/>
  <c r="O433" i="4"/>
  <c r="U17" i="4"/>
  <c r="U115" i="4"/>
  <c r="O120" i="4"/>
  <c r="U120" i="4"/>
  <c r="U19" i="4"/>
  <c r="O50" i="4"/>
  <c r="O100" i="4"/>
  <c r="U113" i="4"/>
  <c r="O123" i="4"/>
  <c r="O381" i="4"/>
  <c r="O107" i="4"/>
  <c r="S153" i="4"/>
  <c r="U298" i="4"/>
  <c r="S302" i="4"/>
  <c r="S159" i="4"/>
  <c r="S156" i="4"/>
  <c r="U140" i="4"/>
  <c r="U150" i="4"/>
  <c r="U432" i="4"/>
  <c r="S122" i="4"/>
  <c r="S123" i="4" s="1"/>
  <c r="S124" i="4" s="1"/>
  <c r="U121" i="4"/>
  <c r="U11" i="4"/>
  <c r="U382" i="4"/>
  <c r="U166" i="4"/>
  <c r="U21" i="4"/>
  <c r="U5" i="4"/>
  <c r="U292" i="4" l="1"/>
  <c r="U167" i="4"/>
  <c r="AA126" i="4"/>
  <c r="AC126" i="4" s="1"/>
  <c r="S299" i="4"/>
  <c r="S303" i="4" s="1"/>
  <c r="U303" i="4" s="1"/>
  <c r="Q291" i="4"/>
  <c r="S165" i="4"/>
  <c r="S181" i="4" s="1"/>
  <c r="S199" i="4"/>
  <c r="S215" i="4" s="1"/>
  <c r="S171" i="4"/>
  <c r="S187" i="4" s="1"/>
  <c r="U158" i="4"/>
  <c r="S174" i="4"/>
  <c r="S179" i="4"/>
  <c r="S195" i="4" s="1"/>
  <c r="U107" i="4"/>
  <c r="U300" i="4"/>
  <c r="S117" i="4"/>
  <c r="S384" i="4" s="1"/>
  <c r="U384" i="4" s="1"/>
  <c r="U147" i="4"/>
  <c r="U37" i="4"/>
  <c r="U198" i="4"/>
  <c r="S184" i="4"/>
  <c r="U168" i="4"/>
  <c r="U145" i="4"/>
  <c r="S161" i="4"/>
  <c r="U296" i="4"/>
  <c r="U123" i="4"/>
  <c r="S169" i="4"/>
  <c r="U153" i="4"/>
  <c r="S170" i="4"/>
  <c r="U154" i="4"/>
  <c r="U162" i="4"/>
  <c r="S178" i="4"/>
  <c r="S47" i="4"/>
  <c r="U42" i="4"/>
  <c r="S125" i="4"/>
  <c r="U124" i="4"/>
  <c r="S160" i="4"/>
  <c r="U144" i="4"/>
  <c r="U157" i="4"/>
  <c r="S173" i="4"/>
  <c r="S23" i="4"/>
  <c r="U18" i="4"/>
  <c r="S109" i="4"/>
  <c r="U104" i="4"/>
  <c r="S36" i="4"/>
  <c r="U31" i="4"/>
  <c r="S230" i="4"/>
  <c r="U214" i="4"/>
  <c r="U122" i="4"/>
  <c r="U15" i="4"/>
  <c r="S20" i="4"/>
  <c r="U39" i="4"/>
  <c r="S44" i="4"/>
  <c r="U156" i="4"/>
  <c r="S172" i="4"/>
  <c r="S164" i="4"/>
  <c r="U148" i="4"/>
  <c r="S175" i="4"/>
  <c r="U159" i="4"/>
  <c r="U293" i="4"/>
  <c r="S297" i="4"/>
  <c r="S306" i="4"/>
  <c r="U302" i="4"/>
  <c r="U304" i="4"/>
  <c r="S308" i="4"/>
  <c r="U165" i="4" l="1"/>
  <c r="U299" i="4"/>
  <c r="S307" i="4"/>
  <c r="S311" i="4" s="1"/>
  <c r="U179" i="4"/>
  <c r="U199" i="4"/>
  <c r="U171" i="4"/>
  <c r="U174" i="4"/>
  <c r="S190" i="4"/>
  <c r="U117" i="4"/>
  <c r="S177" i="4"/>
  <c r="U161" i="4"/>
  <c r="U187" i="4"/>
  <c r="S203" i="4"/>
  <c r="U184" i="4"/>
  <c r="S200" i="4"/>
  <c r="S49" i="4"/>
  <c r="U44" i="4"/>
  <c r="S176" i="4"/>
  <c r="U160" i="4"/>
  <c r="S25" i="4"/>
  <c r="U20" i="4"/>
  <c r="S386" i="4"/>
  <c r="U386" i="4" s="1"/>
  <c r="U125" i="4"/>
  <c r="U175" i="4"/>
  <c r="S191" i="4"/>
  <c r="S28" i="4"/>
  <c r="U23" i="4"/>
  <c r="U306" i="4"/>
  <c r="S310" i="4"/>
  <c r="U173" i="4"/>
  <c r="S189" i="4"/>
  <c r="S231" i="4"/>
  <c r="U215" i="4"/>
  <c r="S186" i="4"/>
  <c r="U170" i="4"/>
  <c r="U36" i="4"/>
  <c r="S41" i="4"/>
  <c r="U109" i="4"/>
  <c r="S114" i="4"/>
  <c r="S312" i="4"/>
  <c r="U308" i="4"/>
  <c r="U47" i="4"/>
  <c r="S52" i="4"/>
  <c r="S211" i="4"/>
  <c r="U195" i="4"/>
  <c r="S194" i="4"/>
  <c r="U178" i="4"/>
  <c r="U230" i="4"/>
  <c r="S246" i="4"/>
  <c r="S262" i="4" s="1"/>
  <c r="S278" i="4" s="1"/>
  <c r="S395" i="4" s="1"/>
  <c r="S180" i="4"/>
  <c r="U164" i="4"/>
  <c r="U297" i="4"/>
  <c r="S301" i="4"/>
  <c r="S188" i="4"/>
  <c r="U172" i="4"/>
  <c r="S197" i="4"/>
  <c r="U181" i="4"/>
  <c r="U169" i="4"/>
  <c r="S185" i="4"/>
  <c r="U307" i="4" l="1"/>
  <c r="U190" i="4"/>
  <c r="S206" i="4"/>
  <c r="S219" i="4"/>
  <c r="U203" i="4"/>
  <c r="S216" i="4"/>
  <c r="U200" i="4"/>
  <c r="U177" i="4"/>
  <c r="S193" i="4"/>
  <c r="S205" i="4"/>
  <c r="U189" i="4"/>
  <c r="U312" i="4"/>
  <c r="S316" i="4"/>
  <c r="S201" i="4"/>
  <c r="U185" i="4"/>
  <c r="U41" i="4"/>
  <c r="S46" i="4"/>
  <c r="U231" i="4"/>
  <c r="S247" i="4"/>
  <c r="S263" i="4" s="1"/>
  <c r="S279" i="4" s="1"/>
  <c r="S396" i="4" s="1"/>
  <c r="U52" i="4"/>
  <c r="S375" i="4"/>
  <c r="U311" i="4"/>
  <c r="S315" i="4"/>
  <c r="U114" i="4"/>
  <c r="S381" i="4"/>
  <c r="U381" i="4" s="1"/>
  <c r="S33" i="4"/>
  <c r="U28" i="4"/>
  <c r="S207" i="4"/>
  <c r="U191" i="4"/>
  <c r="S204" i="4"/>
  <c r="U188" i="4"/>
  <c r="S227" i="4"/>
  <c r="U211" i="4"/>
  <c r="U301" i="4"/>
  <c r="S305" i="4"/>
  <c r="S30" i="4"/>
  <c r="U25" i="4"/>
  <c r="U310" i="4"/>
  <c r="S314" i="4"/>
  <c r="U180" i="4"/>
  <c r="S196" i="4"/>
  <c r="S192" i="4"/>
  <c r="U176" i="4"/>
  <c r="U197" i="4"/>
  <c r="S213" i="4"/>
  <c r="S210" i="4"/>
  <c r="U194" i="4"/>
  <c r="U186" i="4"/>
  <c r="S202" i="4"/>
  <c r="S372" i="4"/>
  <c r="U49" i="4"/>
  <c r="U206" i="4" l="1"/>
  <c r="S222" i="4"/>
  <c r="S232" i="4"/>
  <c r="U216" i="4"/>
  <c r="S209" i="4"/>
  <c r="U193" i="4"/>
  <c r="U219" i="4"/>
  <c r="S235" i="4"/>
  <c r="S223" i="4"/>
  <c r="U207" i="4"/>
  <c r="S218" i="4"/>
  <c r="U202" i="4"/>
  <c r="S51" i="4"/>
  <c r="U46" i="4"/>
  <c r="U33" i="4"/>
  <c r="S38" i="4"/>
  <c r="S35" i="4"/>
  <c r="U30" i="4"/>
  <c r="U201" i="4"/>
  <c r="S217" i="4"/>
  <c r="S229" i="4"/>
  <c r="U213" i="4"/>
  <c r="S309" i="4"/>
  <c r="U305" i="4"/>
  <c r="U316" i="4"/>
  <c r="S320" i="4"/>
  <c r="S319" i="4"/>
  <c r="U315" i="4"/>
  <c r="U192" i="4"/>
  <c r="S208" i="4"/>
  <c r="S212" i="4"/>
  <c r="U196" i="4"/>
  <c r="U314" i="4"/>
  <c r="S318" i="4"/>
  <c r="S226" i="4"/>
  <c r="U210" i="4"/>
  <c r="U227" i="4"/>
  <c r="S243" i="4"/>
  <c r="S259" i="4" s="1"/>
  <c r="S275" i="4" s="1"/>
  <c r="S392" i="4" s="1"/>
  <c r="U205" i="4"/>
  <c r="S221" i="4"/>
  <c r="S220" i="4"/>
  <c r="U204" i="4"/>
  <c r="U222" i="4" l="1"/>
  <c r="S238" i="4"/>
  <c r="U209" i="4"/>
  <c r="S225" i="4"/>
  <c r="U232" i="4"/>
  <c r="S248" i="4"/>
  <c r="S264" i="4" s="1"/>
  <c r="S280" i="4" s="1"/>
  <c r="S397" i="4" s="1"/>
  <c r="S251" i="4"/>
  <c r="U235" i="4"/>
  <c r="U217" i="4"/>
  <c r="S233" i="4"/>
  <c r="U212" i="4"/>
  <c r="S228" i="4"/>
  <c r="U221" i="4"/>
  <c r="S237" i="4"/>
  <c r="S40" i="4"/>
  <c r="U35" i="4"/>
  <c r="S324" i="4"/>
  <c r="U320" i="4"/>
  <c r="S242" i="4"/>
  <c r="S258" i="4" s="1"/>
  <c r="S274" i="4" s="1"/>
  <c r="S391" i="4" s="1"/>
  <c r="U226" i="4"/>
  <c r="U51" i="4"/>
  <c r="S374" i="4"/>
  <c r="S236" i="4"/>
  <c r="U220" i="4"/>
  <c r="U208" i="4"/>
  <c r="S224" i="4"/>
  <c r="S43" i="4"/>
  <c r="U38" i="4"/>
  <c r="S323" i="4"/>
  <c r="U319" i="4"/>
  <c r="S313" i="4"/>
  <c r="U309" i="4"/>
  <c r="U218" i="4"/>
  <c r="S234" i="4"/>
  <c r="U318" i="4"/>
  <c r="S322" i="4"/>
  <c r="S245" i="4"/>
  <c r="S261" i="4" s="1"/>
  <c r="S277" i="4" s="1"/>
  <c r="S394" i="4" s="1"/>
  <c r="U229" i="4"/>
  <c r="S239" i="4"/>
  <c r="U223" i="4"/>
  <c r="S254" i="4" l="1"/>
  <c r="U238" i="4"/>
  <c r="U251" i="4"/>
  <c r="S267" i="4"/>
  <c r="U225" i="4"/>
  <c r="S241" i="4"/>
  <c r="S257" i="4" s="1"/>
  <c r="S273" i="4" s="1"/>
  <c r="S390" i="4" s="1"/>
  <c r="S328" i="4"/>
  <c r="U324" i="4"/>
  <c r="S255" i="4"/>
  <c r="U239" i="4"/>
  <c r="U323" i="4"/>
  <c r="S327" i="4"/>
  <c r="S326" i="4"/>
  <c r="U322" i="4"/>
  <c r="S48" i="4"/>
  <c r="U43" i="4"/>
  <c r="S45" i="4"/>
  <c r="U40" i="4"/>
  <c r="U224" i="4"/>
  <c r="S240" i="4"/>
  <c r="S256" i="4" s="1"/>
  <c r="S272" i="4" s="1"/>
  <c r="S389" i="4" s="1"/>
  <c r="U237" i="4"/>
  <c r="S253" i="4"/>
  <c r="U234" i="4"/>
  <c r="S250" i="4"/>
  <c r="S266" i="4" s="1"/>
  <c r="S282" i="4" s="1"/>
  <c r="S399" i="4" s="1"/>
  <c r="U228" i="4"/>
  <c r="S244" i="4"/>
  <c r="S260" i="4" s="1"/>
  <c r="S276" i="4" s="1"/>
  <c r="S393" i="4" s="1"/>
  <c r="U236" i="4"/>
  <c r="S252" i="4"/>
  <c r="U233" i="4"/>
  <c r="S249" i="4"/>
  <c r="S265" i="4" s="1"/>
  <c r="S281" i="4" s="1"/>
  <c r="S398" i="4" s="1"/>
  <c r="U313" i="4"/>
  <c r="S317" i="4"/>
  <c r="S270" i="4" l="1"/>
  <c r="U254" i="4"/>
  <c r="S283" i="4"/>
  <c r="U267" i="4"/>
  <c r="U326" i="4"/>
  <c r="S330" i="4"/>
  <c r="U48" i="4"/>
  <c r="S53" i="4"/>
  <c r="U253" i="4"/>
  <c r="S269" i="4"/>
  <c r="S331" i="4"/>
  <c r="U327" i="4"/>
  <c r="S321" i="4"/>
  <c r="U317" i="4"/>
  <c r="S271" i="4"/>
  <c r="U255" i="4"/>
  <c r="U252" i="4"/>
  <c r="S268" i="4"/>
  <c r="S50" i="4"/>
  <c r="U45" i="4"/>
  <c r="S332" i="4"/>
  <c r="U328" i="4"/>
  <c r="S286" i="4" l="1"/>
  <c r="U270" i="4"/>
  <c r="S400" i="4"/>
  <c r="U400" i="4" s="1"/>
  <c r="U283" i="4"/>
  <c r="S285" i="4"/>
  <c r="U269" i="4"/>
  <c r="U330" i="4"/>
  <c r="S334" i="4"/>
  <c r="S287" i="4"/>
  <c r="U271" i="4"/>
  <c r="S325" i="4"/>
  <c r="U321" i="4"/>
  <c r="S335" i="4"/>
  <c r="U331" i="4"/>
  <c r="S336" i="4"/>
  <c r="U332" i="4"/>
  <c r="S376" i="4"/>
  <c r="U53" i="4"/>
  <c r="S373" i="4"/>
  <c r="U50" i="4"/>
  <c r="U268" i="4"/>
  <c r="S284" i="4"/>
  <c r="U286" i="4" l="1"/>
  <c r="S403" i="4"/>
  <c r="U403" i="4" s="1"/>
  <c r="U336" i="4"/>
  <c r="S340" i="4"/>
  <c r="S344" i="4" s="1"/>
  <c r="S348" i="4" s="1"/>
  <c r="S352" i="4" s="1"/>
  <c r="S356" i="4" s="1"/>
  <c r="S360" i="4" s="1"/>
  <c r="S364" i="4" s="1"/>
  <c r="S368" i="4" s="1"/>
  <c r="S405" i="4" s="1"/>
  <c r="S339" i="4"/>
  <c r="U335" i="4"/>
  <c r="S329" i="4"/>
  <c r="U325" i="4"/>
  <c r="U284" i="4"/>
  <c r="S401" i="4"/>
  <c r="U401" i="4" s="1"/>
  <c r="U287" i="4"/>
  <c r="S404" i="4"/>
  <c r="U404" i="4" s="1"/>
  <c r="U334" i="4"/>
  <c r="S338" i="4"/>
  <c r="S402" i="4"/>
  <c r="U402" i="4" s="1"/>
  <c r="U285" i="4"/>
  <c r="S342" i="4" l="1"/>
  <c r="S346" i="4" s="1"/>
  <c r="S350" i="4" s="1"/>
  <c r="S354" i="4" s="1"/>
  <c r="S358" i="4" s="1"/>
  <c r="S362" i="4" s="1"/>
  <c r="S366" i="4" s="1"/>
  <c r="S370" i="4" s="1"/>
  <c r="S407" i="4" s="1"/>
  <c r="U338" i="4"/>
  <c r="S333" i="4"/>
  <c r="U329" i="4"/>
  <c r="U339" i="4"/>
  <c r="S343" i="4"/>
  <c r="S347" i="4" s="1"/>
  <c r="S351" i="4" s="1"/>
  <c r="S355" i="4" s="1"/>
  <c r="S359" i="4" s="1"/>
  <c r="S363" i="4" s="1"/>
  <c r="S367" i="4" s="1"/>
  <c r="S371" i="4" s="1"/>
  <c r="S408" i="4" s="1"/>
  <c r="S337" i="4" l="1"/>
  <c r="U333" i="4"/>
  <c r="U337" i="4" l="1"/>
  <c r="S341" i="4"/>
  <c r="S345" i="4" s="1"/>
  <c r="S349" i="4" s="1"/>
  <c r="S353" i="4" s="1"/>
  <c r="S357" i="4" s="1"/>
  <c r="S361" i="4" s="1"/>
  <c r="S365" i="4" s="1"/>
  <c r="S369" i="4" s="1"/>
  <c r="S406" i="4" s="1"/>
</calcChain>
</file>

<file path=xl/comments1.xml><?xml version="1.0" encoding="utf-8"?>
<comments xmlns="http://schemas.openxmlformats.org/spreadsheetml/2006/main">
  <authors>
    <author>tc={F4D985FD-F0E8-43CE-A3E5-5ED5F32AC551}</author>
    <author>tc={85ACBDA2-6C75-4563-8A8E-8CE092D1B57F}</author>
    <author>admin</author>
    <author>WU ZHENG</author>
  </authors>
  <commentList>
    <comment ref="V3" authorId="0" shapeId="0">
      <text>
        <r>
          <rPr>
            <sz val="11"/>
            <color theme="1"/>
            <rFont val="等线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Follow with the description in latest 2D drawings.</t>
        </r>
      </text>
    </comment>
    <comment ref="Z3" authorId="1" shapeId="0">
      <text>
        <r>
          <rPr>
            <sz val="11"/>
            <color theme="1"/>
            <rFont val="等线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Painting, anodizing, printing or others</t>
        </r>
      </text>
    </comment>
    <comment ref="T54" authorId="2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Tooling cost has been paid in NPI</t>
        </r>
      </text>
    </comment>
    <comment ref="T126" authorId="2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6"/>
            <rFont val="宋体"/>
            <family val="3"/>
            <charset val="134"/>
          </rPr>
          <t>此价格去除重复分摊喷涂280W，黑色占比70%，白色占比30%，按计算剩余分摊管Remaining Capex</t>
        </r>
      </text>
    </comment>
    <comment ref="T127" authorId="2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6"/>
            <rFont val="宋体"/>
            <family val="3"/>
            <charset val="134"/>
          </rPr>
          <t xml:space="preserve">此价格去除重复分摊喷涂280W，黑色占比70%，白色占比30%，按计算剩余分摊管Remaining Capex
</t>
        </r>
      </text>
    </comment>
    <comment ref="N288" authorId="2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23年前有一半产品是冷流道，分摊价格按平均值</t>
        </r>
      </text>
    </comment>
    <comment ref="N289" authorId="2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23年前有一半产品是冷流道，分摊价格按平均值
</t>
        </r>
      </text>
    </comment>
    <comment ref="N290" authorId="2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23年前有一半产品是冷流道，分摊价格按平均值
</t>
        </r>
      </text>
    </comment>
    <comment ref="N291" authorId="2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23年前有一半产品是冷流道，分摊价格按平均值
</t>
        </r>
      </text>
    </comment>
    <comment ref="T387" authorId="2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6"/>
            <rFont val="宋体"/>
            <family val="3"/>
            <charset val="134"/>
          </rPr>
          <t>此价格去除重复分摊喷涂280W，黑色占比70%，白色占比30%，按计算剩余分摊管Remaining Capex</t>
        </r>
      </text>
    </comment>
    <comment ref="T388" authorId="2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6"/>
            <rFont val="宋体"/>
            <family val="3"/>
            <charset val="134"/>
          </rPr>
          <t xml:space="preserve">此价格去除重复分摊喷涂280W，黑色占比70%，白色占比30%，按计算剩余分摊管Remaining Capex
</t>
        </r>
      </text>
    </comment>
    <comment ref="U408" authorId="3" shapeId="0">
      <text>
        <r>
          <rPr>
            <sz val="9"/>
            <rFont val="宋体"/>
            <family val="3"/>
            <charset val="134"/>
          </rPr>
          <t>ALto 无法按照数据计算，根据Candy提供数据进行填写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N22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Machine-coating line &amp; Lasering Machine
</t>
        </r>
      </text>
    </comment>
    <comment ref="P22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6"/>
            <rFont val="宋体"/>
            <family val="3"/>
            <charset val="134"/>
          </rPr>
          <t>此价格去除重复分摊喷涂280W，黑色占比70%，白色占比30%，按计算剩余分摊管Remaining Capex</t>
        </r>
      </text>
    </comment>
    <comment ref="R22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6"/>
            <rFont val="宋体"/>
            <family val="3"/>
            <charset val="134"/>
          </rPr>
          <t>此价格去除重复分摊喷涂280W，黑色占比70%，白色占比30%，按计算剩余分摊管Remaining Capex</t>
        </r>
      </text>
    </comment>
    <comment ref="N23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Machine-coating line &amp; Lasering Machine</t>
        </r>
      </text>
    </comment>
    <comment ref="P23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6"/>
            <rFont val="宋体"/>
            <family val="3"/>
            <charset val="134"/>
          </rPr>
          <t xml:space="preserve">此价格去除重复分摊喷涂280W，黑色占比70%，白色占比30%，按计算剩余分摊管Remaining Capex
</t>
        </r>
      </text>
    </comment>
    <comment ref="R23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6"/>
            <rFont val="宋体"/>
            <family val="3"/>
            <charset val="134"/>
          </rPr>
          <t xml:space="preserve">此价格去除重复分摊喷涂280W，黑色占比70%，白色占比30%，按计算剩余分摊管Remaining Capex
</t>
        </r>
      </text>
    </comment>
    <comment ref="R24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Fixture cost</t>
        </r>
      </text>
    </comment>
    <comment ref="P41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ECN
</t>
        </r>
      </text>
    </comment>
    <comment ref="P42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ECN</t>
        </r>
      </text>
    </comment>
    <comment ref="P43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ECN</t>
        </r>
      </text>
    </comment>
    <comment ref="P44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ECN</t>
        </r>
      </text>
    </comment>
    <comment ref="P45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ECN</t>
        </r>
      </text>
    </comment>
    <comment ref="P46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ECN</t>
        </r>
      </text>
    </comment>
    <comment ref="P47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ECN</t>
        </r>
      </text>
    </comment>
    <comment ref="P94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ECN</t>
        </r>
      </text>
    </comment>
    <comment ref="P98" authorId="0" shapeId="0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ECN</t>
        </r>
      </text>
    </comment>
  </commentList>
</comments>
</file>

<file path=xl/sharedStrings.xml><?xml version="1.0" encoding="utf-8"?>
<sst xmlns="http://schemas.openxmlformats.org/spreadsheetml/2006/main" count="10009" uniqueCount="402">
  <si>
    <t>Product category</t>
  </si>
  <si>
    <t>RCS POD</t>
  </si>
  <si>
    <t>RCS DEVICE</t>
  </si>
  <si>
    <t>MODI</t>
  </si>
  <si>
    <t>HP</t>
  </si>
  <si>
    <t>MO</t>
  </si>
  <si>
    <t>Update date：2025/3/12</t>
  </si>
  <si>
    <t>请确保和最新的2D 图纸一样，包括大小写. 字体请用Calibri， 10 号字体</t>
  </si>
  <si>
    <t>Project</t>
  </si>
  <si>
    <t>Product Category</t>
  </si>
  <si>
    <t>Part Name</t>
  </si>
  <si>
    <t>Part No.</t>
  </si>
  <si>
    <t xml:space="preserve">Supplier </t>
  </si>
  <si>
    <t>Commonality</t>
  </si>
  <si>
    <t>Commodity</t>
  </si>
  <si>
    <t>Year</t>
  </si>
  <si>
    <t>Month</t>
  </si>
  <si>
    <t>Data Submit Date</t>
  </si>
  <si>
    <t>Split</t>
  </si>
  <si>
    <t>Unit price w/o amortization</t>
  </si>
  <si>
    <t>Unit Price with Amortization</t>
  </si>
  <si>
    <t>Amortization Cost</t>
  </si>
  <si>
    <t>Blended Amortization Cost</t>
  </si>
  <si>
    <t>Usage in BOM</t>
  </si>
  <si>
    <t>BOM cost</t>
  </si>
  <si>
    <t>Shipped Volume</t>
  </si>
  <si>
    <t>Cum Shipped Volume</t>
  </si>
  <si>
    <t>Total Capex Cost</t>
  </si>
  <si>
    <t>Remaining Capex Cost</t>
  </si>
  <si>
    <t>Material Type</t>
  </si>
  <si>
    <t>Color</t>
  </si>
  <si>
    <t>Material Usage/part (g)</t>
  </si>
  <si>
    <t>Material Supplier</t>
  </si>
  <si>
    <t>CMF Type</t>
  </si>
  <si>
    <t>CMF Cost/part</t>
  </si>
  <si>
    <t>Total Spend</t>
  </si>
  <si>
    <t>Total CMF Cost</t>
  </si>
  <si>
    <t>Total Material Usage (kg)</t>
  </si>
  <si>
    <t>Remark</t>
  </si>
  <si>
    <t>Vega</t>
  </si>
  <si>
    <t>Mouth Piece</t>
  </si>
  <si>
    <t>310493191000</t>
  </si>
  <si>
    <t>JEE</t>
  </si>
  <si>
    <t>unique</t>
  </si>
  <si>
    <t>Plastic</t>
  </si>
  <si>
    <t>PCTG TX1501HF</t>
  </si>
  <si>
    <t>Eastman</t>
  </si>
  <si>
    <t>Top Plastic Bracket</t>
  </si>
  <si>
    <t>310493192000</t>
  </si>
  <si>
    <t xml:space="preserve"> Bottom Plastic Bracket</t>
  </si>
  <si>
    <t>310493193000</t>
  </si>
  <si>
    <t xml:space="preserve"> Bottom cap</t>
  </si>
  <si>
    <t>310493194000</t>
  </si>
  <si>
    <t>LUPOY ER1000MA</t>
  </si>
  <si>
    <t> Ruicheng</t>
  </si>
  <si>
    <t>Air Flow slider</t>
  </si>
  <si>
    <t>310493195000</t>
  </si>
  <si>
    <t>KUMA E-Box NZ</t>
  </si>
  <si>
    <t>Top cover</t>
  </si>
  <si>
    <t>130040670021260</t>
  </si>
  <si>
    <t>Unique</t>
  </si>
  <si>
    <t>LUPOY GP1000ML</t>
  </si>
  <si>
    <t>LG</t>
  </si>
  <si>
    <t>Printing</t>
  </si>
  <si>
    <t>Bottom cover</t>
  </si>
  <si>
    <t>130040670021261</t>
  </si>
  <si>
    <t>Button</t>
  </si>
  <si>
    <t>130040670021263</t>
  </si>
  <si>
    <t>PCB holder</t>
  </si>
  <si>
    <t>130040670021262</t>
  </si>
  <si>
    <t>PC Makrolon 2456</t>
  </si>
  <si>
    <t>Makrolon</t>
  </si>
  <si>
    <t>KUMA E-Pen 1.0 ROW</t>
  </si>
  <si>
    <t>Battery tube</t>
  </si>
  <si>
    <t>120020670031773</t>
  </si>
  <si>
    <t>PC LUPOY GP1000ML</t>
  </si>
  <si>
    <t>Bottom cap</t>
  </si>
  <si>
    <t>130020670031775</t>
  </si>
  <si>
    <t>Holder</t>
  </si>
  <si>
    <t>130020670031776</t>
  </si>
  <si>
    <t>130020670031777</t>
  </si>
  <si>
    <t>Light guide</t>
  </si>
  <si>
    <t>130020670035243</t>
  </si>
  <si>
    <t>Prismatic Pod</t>
  </si>
  <si>
    <t>Cartomizer tube</t>
  </si>
  <si>
    <t>130010390000214</t>
  </si>
  <si>
    <t>China- Black (Capex no including mold injection tools)</t>
  </si>
  <si>
    <t>Indonesia- Black (Capex no including mold injection tools)</t>
  </si>
  <si>
    <t>Indonesia- White(Capex no including mold injection tools)</t>
  </si>
  <si>
    <t xml:space="preserve">Hyper Pro </t>
  </si>
  <si>
    <t>Botton cover</t>
  </si>
  <si>
    <t>X3 Pro/unibody/Core</t>
  </si>
  <si>
    <t>RTP 299 AX 152528（PA+GF）(panting(5 color))</t>
  </si>
  <si>
    <t>Painting</t>
  </si>
  <si>
    <t>Cleanout door</t>
  </si>
  <si>
    <t>PC:LG LUPOY SC1004L(panting(5 color))+
TPU:BASF ELASTONLLAN 1190A</t>
  </si>
  <si>
    <t>X3 Pro/unibody</t>
  </si>
  <si>
    <t>PC:LG LUPOY SC1004L-Colored</t>
  </si>
  <si>
    <t>Crown Support</t>
  </si>
  <si>
    <t>X3 Pro</t>
  </si>
  <si>
    <t>POM C9021 black</t>
  </si>
  <si>
    <t>Connector frame</t>
  </si>
  <si>
    <t>PC(PCR):LUPOY ER1000MA_RC00101</t>
  </si>
  <si>
    <t>Spin Wheel</t>
  </si>
  <si>
    <t>Display bracket</t>
  </si>
  <si>
    <t>PC  PCRLUPOY GP1000MA BC90515 40%半透黑</t>
  </si>
  <si>
    <t xml:space="preserve"> PCBA Bracket </t>
  </si>
  <si>
    <t>PC+50%PCR LUPOY ER1004N BC90513 black</t>
  </si>
  <si>
    <t xml:space="preserve"> Shut Door</t>
  </si>
  <si>
    <t>X3 Hyper Pro/uinbody pro/core</t>
  </si>
  <si>
    <t>Hyper Core</t>
  </si>
  <si>
    <t>X3 uinbody /core</t>
  </si>
  <si>
    <t>PC LG LUPOY SC1004L</t>
  </si>
  <si>
    <t>X3 Hyper core/unibody</t>
  </si>
  <si>
    <t>PC+50%PCR LUPOY ER1000MA BC90515 （80%）
透光</t>
  </si>
  <si>
    <t>Battery carrier</t>
  </si>
  <si>
    <t>X3 Core</t>
  </si>
  <si>
    <t>PC+75%PCR LUPOY ER1006FZ BC90513</t>
  </si>
  <si>
    <t>Shutter Door Support</t>
  </si>
  <si>
    <t>X3 uinbody pro/core</t>
  </si>
  <si>
    <t>PC+50%PCR LUPOY ER1004N BC90513+
BASF TPU 60A ELASTOLLAN  SP9324 BLACK</t>
  </si>
  <si>
    <t>Button Bracket</t>
  </si>
  <si>
    <t xml:space="preserve">LUPOY ER1000MA E6098
</t>
  </si>
  <si>
    <t xml:space="preserve">PC:LG LUPOY GP1000M  透明（1st shot) 
BASF TPU 60A ELASTOLLAN  SP9324 BLACK（2nd shot)
</t>
  </si>
  <si>
    <t xml:space="preserve">Alto Pod </t>
  </si>
  <si>
    <t>Indonesia</t>
  </si>
  <si>
    <t>Heating holder</t>
  </si>
  <si>
    <t>130010390000215</t>
  </si>
  <si>
    <t>Heater top cover</t>
  </si>
  <si>
    <t>130010390000216</t>
  </si>
  <si>
    <t>Cartomizer holder tap</t>
  </si>
  <si>
    <t>130010390000221</t>
  </si>
  <si>
    <t>PC2456</t>
  </si>
  <si>
    <t>Covestro</t>
  </si>
  <si>
    <t xml:space="preserve"> ¥-   </t>
  </si>
  <si>
    <t>cartomizer bottom cover</t>
  </si>
  <si>
    <t>N/A</t>
  </si>
  <si>
    <t>Metal</t>
  </si>
  <si>
    <t xml:space="preserve"> Al6063 </t>
  </si>
  <si>
    <t xml:space="preserve"> Jinqiao </t>
  </si>
  <si>
    <t>SPCC</t>
  </si>
  <si>
    <t xml:space="preserve"> ¥4,760,000.0000 </t>
  </si>
  <si>
    <t xml:space="preserve"> Eastman </t>
  </si>
  <si>
    <t xml:space="preserve"> ¥3,450,000.0000 </t>
  </si>
  <si>
    <t xml:space="preserve"> ¥3,740,000.0000 </t>
  </si>
  <si>
    <t xml:space="preserve">  Ruicheng </t>
  </si>
  <si>
    <t xml:space="preserve"> ¥3,400,000.0000 </t>
  </si>
  <si>
    <t xml:space="preserve"> LG </t>
  </si>
  <si>
    <t xml:space="preserve"> -   </t>
  </si>
  <si>
    <t xml:space="preserve"> Makrolon </t>
  </si>
  <si>
    <t>Light guide</t>
  </si>
  <si>
    <t xml:space="preserve"> PCTG TX1501HF </t>
  </si>
  <si>
    <t xml:space="preserve"> PC:LG LUPOY SC1004L-Colored </t>
  </si>
  <si>
    <t xml:space="preserve"> Ruicheng</t>
  </si>
  <si>
    <t>LUPOY ER1000MA E6098</t>
  </si>
  <si>
    <t>PC:LG LUPOY GP1000M  透明（1st shot)
BASF TPU 60A ELASTOLLAN  SP9324 BLACK（2nd shot)</t>
  </si>
  <si>
    <t xml:space="preserve"> ¥0.0066 </t>
  </si>
  <si>
    <t xml:space="preserve"> ¥0.0027 </t>
  </si>
  <si>
    <t xml:space="preserve"> ¥0.0014 </t>
  </si>
  <si>
    <t>Prismatic Device</t>
  </si>
  <si>
    <t xml:space="preserve"> Prismatic Silver Device</t>
  </si>
  <si>
    <t xml:space="preserve"> Weihua </t>
  </si>
  <si>
    <t xml:space="preserve"> Prismatic  Device</t>
  </si>
  <si>
    <t>Alto Device</t>
  </si>
  <si>
    <t>Alto Device-normal color</t>
  </si>
  <si>
    <t xml:space="preserve"> Kecheng </t>
  </si>
  <si>
    <t>Anodizing</t>
  </si>
  <si>
    <t>Hyper Pro</t>
  </si>
  <si>
    <r>
      <t>RTP 299 AX 152528</t>
    </r>
    <r>
      <rPr>
        <sz val="10"/>
        <color rgb="FF000000"/>
        <rFont val="宋体"/>
        <family val="3"/>
        <charset val="134"/>
      </rPr>
      <t>（</t>
    </r>
    <r>
      <rPr>
        <sz val="10"/>
        <color rgb="FF000000"/>
        <rFont val="Calibri"/>
        <family val="2"/>
      </rPr>
      <t>PA+GF</t>
    </r>
    <r>
      <rPr>
        <sz val="10"/>
        <color rgb="FF000000"/>
        <rFont val="宋体"/>
        <family val="3"/>
        <charset val="134"/>
      </rPr>
      <t>）</t>
    </r>
    <r>
      <rPr>
        <sz val="10"/>
        <color rgb="FF000000"/>
        <rFont val="Calibri"/>
        <family val="2"/>
      </rPr>
      <t>(panting(5 color))</t>
    </r>
  </si>
  <si>
    <r>
      <t>PC  PCRLUPOY GP1000MA BC90515 40%</t>
    </r>
    <r>
      <rPr>
        <sz val="10"/>
        <color rgb="FF000000"/>
        <rFont val="宋体"/>
        <family val="3"/>
        <charset val="134"/>
      </rPr>
      <t>半透黑</t>
    </r>
  </si>
  <si>
    <r>
      <rPr>
        <sz val="10"/>
        <color rgb="FF000000"/>
        <rFont val="Calibri"/>
        <family val="2"/>
      </rPr>
      <t xml:space="preserve">PC+50%PCR LUPOY ER1000MA BC90515 </t>
    </r>
    <r>
      <rPr>
        <sz val="10"/>
        <color rgb="FF000000"/>
        <rFont val="宋体"/>
        <family val="3"/>
        <charset val="134"/>
      </rPr>
      <t>（</t>
    </r>
    <r>
      <rPr>
        <sz val="10"/>
        <color rgb="FF000000"/>
        <rFont val="Calibri"/>
        <family val="2"/>
      </rPr>
      <t>80%</t>
    </r>
    <r>
      <rPr>
        <sz val="10"/>
        <color rgb="FF000000"/>
        <rFont val="宋体"/>
        <family val="3"/>
        <charset val="134"/>
      </rPr>
      <t>）透光</t>
    </r>
  </si>
  <si>
    <r>
      <t xml:space="preserve">PC:LG LUPOY GP1000M  </t>
    </r>
    <r>
      <rPr>
        <sz val="10"/>
        <color rgb="FF000000"/>
        <rFont val="宋体"/>
        <family val="3"/>
        <charset val="134"/>
      </rPr>
      <t>透明（</t>
    </r>
    <r>
      <rPr>
        <sz val="10"/>
        <color rgb="FF000000"/>
        <rFont val="Calibri"/>
        <family val="2"/>
      </rPr>
      <t>1st shot)
BASF TPU 60A ELASTOLLAN  SP9324 BLACK</t>
    </r>
    <r>
      <rPr>
        <sz val="10"/>
        <color rgb="FF000000"/>
        <rFont val="宋体"/>
        <family val="3"/>
        <charset val="134"/>
      </rPr>
      <t>（</t>
    </r>
    <r>
      <rPr>
        <sz val="10"/>
        <color rgb="FF000000"/>
        <rFont val="Calibri"/>
        <family val="2"/>
      </rPr>
      <t>2nd shot)</t>
    </r>
  </si>
  <si>
    <t>ECN cost pending for amortized
no indicated to product</t>
  </si>
  <si>
    <t>Indonesia-New tool</t>
  </si>
  <si>
    <t>Black silver</t>
  </si>
  <si>
    <t>Black gold</t>
  </si>
  <si>
    <t>transparent</t>
  </si>
  <si>
    <t>Black</t>
  </si>
  <si>
    <t>purple red</t>
  </si>
  <si>
    <t>Light green</t>
  </si>
  <si>
    <t>Light blue</t>
  </si>
  <si>
    <t>yellow</t>
  </si>
  <si>
    <t>purple</t>
  </si>
  <si>
    <t>Forest green</t>
  </si>
  <si>
    <t>blue</t>
  </si>
  <si>
    <t xml:space="preserve"> Printing </t>
  </si>
  <si>
    <t>cyan</t>
  </si>
  <si>
    <t>peach</t>
  </si>
  <si>
    <t>red</t>
  </si>
  <si>
    <t>Light red</t>
  </si>
  <si>
    <t>fuchsin</t>
  </si>
  <si>
    <t>orange</t>
  </si>
  <si>
    <t>white</t>
  </si>
  <si>
    <t>22150202014-14401849-00</t>
  </si>
  <si>
    <t>RTP 299 AX 152528（PA+GF）</t>
  </si>
  <si>
    <t xml:space="preserve"> Painting </t>
  </si>
  <si>
    <t>22150202014-15389489-00</t>
  </si>
  <si>
    <t>22150202014-15389491-00</t>
  </si>
  <si>
    <t>green</t>
  </si>
  <si>
    <t>22150202014-15389512-00</t>
  </si>
  <si>
    <t>22150202014-17214720-00</t>
  </si>
  <si>
    <t>remove coating process</t>
  </si>
  <si>
    <t>22150202015-16061490-00</t>
  </si>
  <si>
    <t>Azure blue</t>
  </si>
  <si>
    <t>22150202015-16061372-00</t>
  </si>
  <si>
    <t>22150202015-16061560-00</t>
  </si>
  <si>
    <t>22150202015-16061491-00</t>
  </si>
  <si>
    <t>Mint green</t>
  </si>
  <si>
    <t>22150202010-15185126-00</t>
  </si>
  <si>
    <t>22150202010-15918613-00</t>
  </si>
  <si>
    <t>Vine violet</t>
  </si>
  <si>
    <t>22150202008-14416668-00</t>
  </si>
  <si>
    <t>22150202017-15038886-00</t>
  </si>
  <si>
    <t>22150202009-14416414-00</t>
  </si>
  <si>
    <t>22150202021-14416669-00</t>
  </si>
  <si>
    <t>22150202018-14416761-00</t>
  </si>
  <si>
    <t>22150202007-14416663-00</t>
  </si>
  <si>
    <t>23590202001-15365695-00</t>
  </si>
  <si>
    <t>23590202001-15038886-00</t>
  </si>
  <si>
    <t>PC+50%PCR LUPOY ER1000MA BC90515 （80%）透光</t>
  </si>
  <si>
    <t>23480202012-16562410-00</t>
  </si>
  <si>
    <t>23480202005-16562024-00</t>
  </si>
  <si>
    <t>23480202011-16562262-00</t>
  </si>
  <si>
    <t>23480202017-16869567-00</t>
  </si>
  <si>
    <t>transparent black</t>
  </si>
  <si>
    <t>23480202017-16917637-00</t>
  </si>
  <si>
    <t>transparent grey</t>
  </si>
  <si>
    <t>23480202018-16562213-00</t>
  </si>
  <si>
    <t>Box 800 Full 2.0</t>
  </si>
  <si>
    <t>protective shell</t>
  </si>
  <si>
    <t>Primary colour</t>
  </si>
  <si>
    <t>From Jan -Dec 2024</t>
  </si>
  <si>
    <t>Box 5000 Full 2.0</t>
  </si>
  <si>
    <t>Pen 800 Full 2.0</t>
  </si>
  <si>
    <t>Battery holder</t>
  </si>
  <si>
    <t>Adonis 1P</t>
  </si>
  <si>
    <t>Housing</t>
  </si>
  <si>
    <t>240000090201004</t>
  </si>
  <si>
    <t>Al6063</t>
  </si>
  <si>
    <t>weihua</t>
  </si>
  <si>
    <t>240000090201003</t>
  </si>
  <si>
    <t>jinqiao</t>
  </si>
  <si>
    <t>Slider bracket</t>
  </si>
  <si>
    <t>240000090201001</t>
  </si>
  <si>
    <t>Slider cover</t>
  </si>
  <si>
    <t>120020670049784</t>
  </si>
  <si>
    <t>120020670039294</t>
  </si>
  <si>
    <t>2025年2月11日确认新单价-Srikanth</t>
  </si>
  <si>
    <t>DP</t>
  </si>
  <si>
    <t>Blue</t>
  </si>
  <si>
    <t>gold</t>
  </si>
  <si>
    <t>Tool type</t>
  </si>
  <si>
    <t>Soft tool</t>
  </si>
  <si>
    <t>Soft tool EC</t>
  </si>
  <si>
    <t>Hard tool</t>
  </si>
  <si>
    <t>Hard tool EC</t>
  </si>
  <si>
    <t>Stage</t>
  </si>
  <si>
    <t>Cavity</t>
  </si>
  <si>
    <t>Tooling Capacity Per Month</t>
  </si>
  <si>
    <t>Total Capacity Per Month</t>
  </si>
  <si>
    <t>Tooling life</t>
  </si>
  <si>
    <t>Kick off date</t>
  </si>
  <si>
    <t>Tool Unit cost</t>
  </si>
  <si>
    <t>Q'ty</t>
  </si>
  <si>
    <t>Total Tool cost</t>
  </si>
  <si>
    <t>Requested by Whom</t>
  </si>
  <si>
    <t>Approval Status</t>
  </si>
  <si>
    <t>Payment Status</t>
  </si>
  <si>
    <t>VEGA</t>
  </si>
  <si>
    <t>MP</t>
  </si>
  <si>
    <t>Srikanth Naule</t>
  </si>
  <si>
    <t>Approved</t>
  </si>
  <si>
    <t>Yes</t>
  </si>
  <si>
    <t>Chris</t>
  </si>
  <si>
    <t>No</t>
  </si>
  <si>
    <t>Smoore</t>
  </si>
  <si>
    <t>China</t>
  </si>
  <si>
    <t>Hyper Pro 2P</t>
  </si>
  <si>
    <t>Connect frame</t>
  </si>
  <si>
    <t>POC</t>
  </si>
  <si>
    <t>Spin wheel</t>
  </si>
  <si>
    <t>shut door</t>
  </si>
  <si>
    <t>Button bracket</t>
  </si>
  <si>
    <t>PCBA bracket</t>
  </si>
  <si>
    <t>Crown support</t>
  </si>
  <si>
    <t>botton</t>
  </si>
  <si>
    <t>Botton bracket</t>
  </si>
  <si>
    <t>Artemis 1P</t>
  </si>
  <si>
    <t>0600201003</t>
  </si>
  <si>
    <t>POP</t>
  </si>
  <si>
    <t xml:space="preserve">MAIN CHASISS </t>
  </si>
  <si>
    <t>0600202009</t>
  </si>
  <si>
    <t>0600201010</t>
  </si>
  <si>
    <t>Artemis 2P</t>
  </si>
  <si>
    <t>0620201006</t>
  </si>
  <si>
    <t>Heat transferring tube</t>
  </si>
  <si>
    <t>06002010034</t>
  </si>
  <si>
    <t>cap pogo pin</t>
  </si>
  <si>
    <t>0620201009</t>
  </si>
  <si>
    <t>SLIDER RAIL</t>
  </si>
  <si>
    <t>06202021007</t>
  </si>
  <si>
    <t>HOUSING</t>
  </si>
  <si>
    <t xml:space="preserve">MAIN_CHASISS </t>
  </si>
  <si>
    <t>TOP_COVER</t>
  </si>
  <si>
    <t>HEATING PIN LSR SUB</t>
  </si>
  <si>
    <t>0600204088</t>
  </si>
  <si>
    <t>Candy</t>
  </si>
  <si>
    <t>JEE agree no tooling cost to BAT for 3K/5K</t>
  </si>
  <si>
    <t>130020390000222</t>
  </si>
  <si>
    <t>smoore</t>
  </si>
  <si>
    <t>Not Approved</t>
  </si>
  <si>
    <t>Metal parts ，Metal tool&amp; fixtures</t>
  </si>
  <si>
    <t>NPI COST</t>
  </si>
  <si>
    <t>USB Deco</t>
  </si>
  <si>
    <t>Adonis 2P</t>
  </si>
  <si>
    <t>HOUSING_NMT</t>
  </si>
  <si>
    <t>NPI-POC</t>
  </si>
  <si>
    <t>DECO_RING</t>
  </si>
  <si>
    <t>SLIDER_BRACKET NMT</t>
  </si>
  <si>
    <t>SLIDER_RAIL  NMT</t>
  </si>
  <si>
    <t>SLIDER_COVER</t>
  </si>
  <si>
    <t>POGO_PIN_CAP</t>
  </si>
  <si>
    <t>USB_BTB_CAP</t>
  </si>
  <si>
    <t>PEN_TOP_COVER</t>
  </si>
  <si>
    <t>BUTTON</t>
  </si>
  <si>
    <t>PEN_BATTERY_CONNECTOR_HOLDER</t>
  </si>
  <si>
    <t>PEN_HOUSING</t>
  </si>
  <si>
    <t>Housing-Smp/Global</t>
  </si>
  <si>
    <t>NPI-SMP</t>
  </si>
  <si>
    <t>CASE_DECO_RING</t>
  </si>
  <si>
    <t>CASE_SLIDER_BRACKET</t>
  </si>
  <si>
    <t>CASE_POGO_PIN_CAP</t>
  </si>
  <si>
    <t>CASE_SLIDER_RAIL</t>
  </si>
  <si>
    <t>CASE_METAL_PLAT</t>
  </si>
  <si>
    <t>Requested by Who</t>
  </si>
  <si>
    <t xml:space="preserve">Box 8000 1.0 </t>
  </si>
  <si>
    <t>DP1500</t>
  </si>
  <si>
    <t>POA</t>
  </si>
  <si>
    <t>Pen 800 Default 2.0</t>
  </si>
  <si>
    <t>Silicone</t>
  </si>
  <si>
    <t>Charlie</t>
  </si>
  <si>
    <t>Die-cut</t>
  </si>
  <si>
    <t>DP-SP</t>
  </si>
  <si>
    <t>Others</t>
  </si>
  <si>
    <t>Box 800 Default 2.0</t>
  </si>
  <si>
    <t>Magnet</t>
  </si>
  <si>
    <t>Box 3000 Full 2.0</t>
  </si>
  <si>
    <t>Sensa 5K</t>
  </si>
  <si>
    <t>Box 8000 Full 2.0</t>
  </si>
  <si>
    <t>ePod/epod2 cartridge</t>
  </si>
  <si>
    <t>before</t>
  </si>
  <si>
    <t>after</t>
  </si>
  <si>
    <t>X3 2P</t>
  </si>
  <si>
    <t>X3 1P</t>
  </si>
  <si>
    <t>Artemis BRUSH</t>
  </si>
  <si>
    <t>Artemis 1.1 CORE</t>
  </si>
  <si>
    <t>Artemis 1.1 PRO</t>
  </si>
  <si>
    <t>Clyde POD</t>
  </si>
  <si>
    <t>Clyde RCS DEVICE</t>
  </si>
  <si>
    <t>Bacchus</t>
  </si>
  <si>
    <t>1K BOX ESG</t>
  </si>
  <si>
    <t>1K BOX SEMI</t>
  </si>
  <si>
    <t>HYPER BESPOKE</t>
  </si>
  <si>
    <t>X2</t>
  </si>
  <si>
    <t>X2 Air</t>
  </si>
  <si>
    <t>Modi Max</t>
  </si>
  <si>
    <t>Hestia 1.0</t>
  </si>
  <si>
    <t>Alto PUK</t>
  </si>
  <si>
    <t>Echo</t>
  </si>
  <si>
    <t>ePod 1</t>
  </si>
  <si>
    <t>ePod 2</t>
  </si>
  <si>
    <t>ePod 2+</t>
  </si>
  <si>
    <t>ePod 3</t>
  </si>
  <si>
    <t>ePod 3+</t>
  </si>
  <si>
    <t>ePod2 Catridges</t>
  </si>
  <si>
    <t>ePod2 device(Wave1)</t>
  </si>
  <si>
    <t>ePod2+ device</t>
  </si>
  <si>
    <t>ePod 3 Device</t>
  </si>
  <si>
    <t>ePod 3 descope</t>
  </si>
  <si>
    <t>ePod 3+ Device</t>
  </si>
  <si>
    <t>KUMA E-Box ROW</t>
  </si>
  <si>
    <t>US Aquila</t>
  </si>
  <si>
    <t>MIMOSA 1.0</t>
  </si>
  <si>
    <t>MIMOSA 1.0 US</t>
  </si>
  <si>
    <t>HESTIA XL US (Smart) 2ml / 2.4ml</t>
  </si>
  <si>
    <t>HESTIA 1.1 (non smart)</t>
  </si>
  <si>
    <t>HESTIA 1.1 (smart)</t>
  </si>
  <si>
    <t>KUMA-E 2.0 Pen</t>
  </si>
  <si>
    <t>KUMA-E 2.0 BOX</t>
  </si>
  <si>
    <t>ePod4+ (Pre-POP Study)</t>
  </si>
  <si>
    <t>HESTIA MAX (smart)</t>
  </si>
  <si>
    <t>HESTIA MAX (non smart)</t>
  </si>
  <si>
    <t>KUMA MAX</t>
  </si>
  <si>
    <t>MIMOSA MAX</t>
  </si>
  <si>
    <t>Column Labels</t>
  </si>
  <si>
    <t>Grand Total</t>
  </si>
  <si>
    <t>Sum of Total Tool cost</t>
  </si>
  <si>
    <t>Row Labels</t>
  </si>
  <si>
    <t>Sum of Total Capex Cost</t>
  </si>
  <si>
    <t>Sum of Remaining Capex Cost</t>
  </si>
  <si>
    <t>Sum of Total Spend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</si>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</sst>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 * #,##0.00_ ;_ * \-#,##0.00_ ;_ * &quot;-&quot;??_ ;_ @_ "/>
    <numFmt numFmtId="176" formatCode="[$¥-804]#,##0;[Red][$¥-804]\-#,##0"/>
    <numFmt numFmtId="177" formatCode="#,##0_ "/>
    <numFmt numFmtId="178" formatCode="_ &quot;￥&quot;* #,##0.00_ ;_ &quot;￥&quot;* \-#,##0.00_ ;_ &quot;￥&quot;* &quot;-&quot;??_ ;_ @_ "/>
    <numFmt numFmtId="179" formatCode="[$-409]mmmm\ d\,\ yyyy;@"/>
    <numFmt numFmtId="180" formatCode="[$-409]dd\-mmm\-yy;@"/>
    <numFmt numFmtId="181" formatCode="[$$-409]#,##0.0000000"/>
    <numFmt numFmtId="182" formatCode="0.00_ "/>
    <numFmt numFmtId="183" formatCode="_-* #,##0.00_-;\-* #,##0.00_-;_-* &quot;-&quot;??_-;_-@_-"/>
    <numFmt numFmtId="184" formatCode="_ [$¥-804]* #,##0_ ;_ [$¥-804]* \-#,##0_ ;_ [$¥-804]* &quot;-&quot;??_ ;_ @_ "/>
    <numFmt numFmtId="185" formatCode="0_);[Red]\(0\)"/>
    <numFmt numFmtId="186" formatCode="\$#,##0.00;\-\$#,##0.00"/>
    <numFmt numFmtId="187" formatCode="_ [$¥-804]* #,##0.0000_ ;_ [$¥-804]* \-#,##0.0000_ ;_ [$¥-804]* &quot;-&quot;??_ ;_ @_ "/>
    <numFmt numFmtId="188" formatCode="_-* #,##0_-;\-* #,##0_-;_-* &quot;-&quot;??_-;_-@_-"/>
    <numFmt numFmtId="189" formatCode="0.000_ "/>
    <numFmt numFmtId="190" formatCode="_ [$¥-804]* #,##0.00_ ;_ [$¥-804]* \-#,##0.00_ ;_ [$¥-804]* &quot;-&quot;??_ ;_ @_ "/>
    <numFmt numFmtId="191" formatCode="[$¥-804]#,##0.0000"/>
    <numFmt numFmtId="192" formatCode="_ [$¥-804]* #,##0.000_ ;_ [$¥-804]* \-#,##0.000_ ;_ [$¥-804]* &quot;-&quot;??_ ;_ @_ "/>
    <numFmt numFmtId="193" formatCode="_ [$¥-804]* #,##0.0_ ;_ [$¥-804]* \-#,##0.0_ ;_ [$¥-804]* &quot;-&quot;??_ ;_ @_ "/>
  </numFmts>
  <fonts count="34" x14ac:knownFonts="1">
    <font>
      <sz val="11"/>
      <color theme="1"/>
      <name val="等线"/>
      <charset val="134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4"/>
      <color theme="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name val="Calibri"/>
      <family val="2"/>
    </font>
    <font>
      <sz val="10"/>
      <color rgb="FF000000"/>
      <name val="Calibri"/>
      <family val="2"/>
    </font>
    <font>
      <sz val="1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2"/>
      <color theme="1"/>
      <name val="Segoe UI"/>
      <family val="2"/>
    </font>
    <font>
      <sz val="12"/>
      <name val="宋体"/>
      <family val="3"/>
      <charset val="134"/>
    </font>
    <font>
      <sz val="10"/>
      <name val="Arial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6"/>
      <name val="宋体"/>
      <family val="3"/>
      <charset val="134"/>
    </font>
    <font>
      <sz val="11"/>
      <color theme="1"/>
      <name val="等线"/>
      <family val="2"/>
      <scheme val="minor"/>
    </font>
    <font>
      <sz val="11"/>
      <color rgb="FF000000"/>
      <name val="等线"/>
      <family val="3"/>
      <charset val="134"/>
    </font>
    <font>
      <sz val="9"/>
      <color rgb="FF000000"/>
      <name val="Calibri"/>
      <family val="2"/>
    </font>
    <font>
      <sz val="11"/>
      <color rgb="FF000000"/>
      <name val="等线"/>
      <family val="2"/>
      <scheme val="minor"/>
    </font>
    <font>
      <sz val="11"/>
      <color rgb="FF000000"/>
      <name val="等线"/>
      <family val="2"/>
      <scheme val="minor"/>
    </font>
    <font>
      <sz val="10"/>
      <color rgb="FF000000"/>
      <name val="宋体"/>
      <family val="3"/>
      <charset val="134"/>
    </font>
    <font>
      <sz val="10"/>
      <color rgb="FFFF0000"/>
      <name val="Calibri"/>
      <family val="2"/>
    </font>
    <font>
      <sz val="11"/>
      <color rgb="FFFF0000"/>
      <name val="等线"/>
      <family val="2"/>
      <scheme val="minor"/>
    </font>
    <font>
      <b/>
      <sz val="10"/>
      <color rgb="FF000000"/>
      <name val="Calibri"/>
      <family val="2"/>
    </font>
    <font>
      <b/>
      <sz val="10"/>
      <color rgb="FF808080"/>
      <name val="Calibri"/>
      <family val="2"/>
    </font>
    <font>
      <sz val="10"/>
      <color rgb="FF808080"/>
      <name val="Calibri"/>
      <family val="2"/>
    </font>
    <font>
      <sz val="10"/>
      <color rgb="FF4472C4"/>
      <name val="Calibri"/>
      <family val="2"/>
    </font>
    <font>
      <sz val="10"/>
      <color theme="1"/>
      <name val="等线"/>
      <family val="2"/>
      <scheme val="minor"/>
    </font>
    <font>
      <sz val="10"/>
      <color theme="1" tint="0.499984740745262"/>
      <name val="Calibri"/>
      <family val="2"/>
    </font>
    <font>
      <sz val="10"/>
      <color theme="8"/>
      <name val="Calibri"/>
      <family val="2"/>
    </font>
    <font>
      <sz val="10"/>
      <color rgb="FFFF0000"/>
      <name val="等线"/>
      <family val="2"/>
      <scheme val="minor"/>
    </font>
    <font>
      <sz val="9"/>
      <color rgb="FFFF0000"/>
      <name val="Calibri"/>
      <family val="2"/>
    </font>
    <font>
      <b/>
      <sz val="10"/>
      <color rgb="FFFF0000"/>
      <name val="Calibri"/>
      <family val="2"/>
    </font>
    <font>
      <sz val="9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2">
    <xf numFmtId="0" fontId="0" fillId="0" borderId="0"/>
    <xf numFmtId="178" fontId="15" fillId="0" borderId="0" applyFont="0" applyFill="0" applyBorder="0" applyAlignment="0" applyProtection="0">
      <alignment vertical="center"/>
    </xf>
    <xf numFmtId="183" fontId="15" fillId="0" borderId="0" applyFont="0" applyFill="0" applyBorder="0" applyAlignment="0" applyProtection="0"/>
    <xf numFmtId="0" fontId="10" fillId="0" borderId="0">
      <alignment vertical="center"/>
    </xf>
    <xf numFmtId="0" fontId="15" fillId="0" borderId="0"/>
    <xf numFmtId="176" fontId="11" fillId="0" borderId="0"/>
    <xf numFmtId="181" fontId="15" fillId="0" borderId="0"/>
    <xf numFmtId="0" fontId="10" fillId="0" borderId="0">
      <alignment vertical="center"/>
    </xf>
    <xf numFmtId="0" fontId="10" fillId="0" borderId="0">
      <alignment vertical="center"/>
    </xf>
    <xf numFmtId="179" fontId="11" fillId="0" borderId="0"/>
    <xf numFmtId="43" fontId="10" fillId="0" borderId="0" applyFont="0" applyFill="0" applyBorder="0" applyAlignment="0" applyProtection="0"/>
    <xf numFmtId="181" fontId="15" fillId="0" borderId="0"/>
  </cellStyleXfs>
  <cellXfs count="337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Protection="1">
      <protection locked="0"/>
    </xf>
    <xf numFmtId="0" fontId="0" fillId="2" borderId="0" xfId="0" applyFill="1" applyAlignment="1" applyProtection="1">
      <alignment wrapText="1"/>
      <protection locked="0"/>
    </xf>
    <xf numFmtId="0" fontId="0" fillId="2" borderId="0" xfId="0" applyFill="1" applyAlignment="1" applyProtection="1">
      <alignment horizontal="center" wrapText="1"/>
      <protection locked="0"/>
    </xf>
    <xf numFmtId="184" fontId="0" fillId="2" borderId="0" xfId="0" applyNumberFormat="1" applyFill="1"/>
    <xf numFmtId="0" fontId="0" fillId="2" borderId="0" xfId="0" applyFill="1" applyAlignment="1">
      <alignment horizontal="center" vertical="center"/>
    </xf>
    <xf numFmtId="0" fontId="3" fillId="3" borderId="0" xfId="0" applyFont="1" applyFill="1"/>
    <xf numFmtId="0" fontId="4" fillId="4" borderId="0" xfId="0" applyFont="1" applyFill="1"/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 vertical="center"/>
    </xf>
    <xf numFmtId="0" fontId="2" fillId="0" borderId="1" xfId="9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0" borderId="1" xfId="9" applyNumberFormat="1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/>
    </xf>
    <xf numFmtId="0" fontId="2" fillId="0" borderId="1" xfId="7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4" fontId="4" fillId="4" borderId="1" xfId="0" applyNumberFormat="1" applyFont="1" applyFill="1" applyBorder="1" applyAlignment="1" applyProtection="1">
      <alignment horizontal="center" vertical="center" wrapText="1"/>
      <protection hidden="1"/>
    </xf>
    <xf numFmtId="1" fontId="4" fillId="4" borderId="1" xfId="0" applyNumberFormat="1" applyFont="1" applyFill="1" applyBorder="1" applyAlignment="1" applyProtection="1">
      <alignment horizontal="center" vertical="center" wrapText="1"/>
      <protection hidden="1"/>
    </xf>
    <xf numFmtId="3" fontId="4" fillId="4" borderId="1" xfId="0" applyNumberFormat="1" applyFont="1" applyFill="1" applyBorder="1" applyAlignment="1" applyProtection="1">
      <alignment horizontal="center" vertical="center" wrapText="1"/>
      <protection hidden="1"/>
    </xf>
    <xf numFmtId="184" fontId="4" fillId="5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 applyProtection="1">
      <alignment horizontal="center" vertical="center"/>
      <protection locked="0"/>
    </xf>
    <xf numFmtId="1" fontId="1" fillId="0" borderId="1" xfId="0" applyNumberFormat="1" applyFont="1" applyBorder="1" applyAlignment="1">
      <alignment horizont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center"/>
    </xf>
    <xf numFmtId="184" fontId="1" fillId="2" borderId="1" xfId="0" applyNumberFormat="1" applyFont="1" applyFill="1" applyBorder="1" applyAlignment="1">
      <alignment horizontal="right" vertical="center"/>
    </xf>
    <xf numFmtId="177" fontId="1" fillId="0" borderId="1" xfId="0" applyNumberFormat="1" applyFont="1" applyBorder="1" applyAlignment="1">
      <alignment horizontal="center" wrapText="1"/>
    </xf>
    <xf numFmtId="184" fontId="2" fillId="0" borderId="1" xfId="11" applyNumberFormat="1" applyFont="1" applyBorder="1" applyAlignment="1">
      <alignment horizontal="right" vertical="center"/>
    </xf>
    <xf numFmtId="177" fontId="1" fillId="2" borderId="0" xfId="0" applyNumberFormat="1" applyFont="1" applyFill="1" applyAlignment="1">
      <alignment horizontal="center"/>
    </xf>
    <xf numFmtId="184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80" fontId="5" fillId="2" borderId="1" xfId="0" applyNumberFormat="1" applyFont="1" applyFill="1" applyBorder="1" applyAlignment="1">
      <alignment horizontal="center"/>
    </xf>
    <xf numFmtId="185" fontId="1" fillId="0" borderId="1" xfId="6" applyNumberFormat="1" applyFont="1" applyBorder="1" applyAlignment="1">
      <alignment horizontal="center" vertical="center"/>
    </xf>
    <xf numFmtId="184" fontId="1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84" fontId="2" fillId="2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wrapText="1"/>
    </xf>
    <xf numFmtId="185" fontId="2" fillId="0" borderId="1" xfId="5" applyNumberFormat="1" applyFont="1" applyBorder="1" applyAlignment="1" applyProtection="1">
      <alignment horizontal="center" vertical="center"/>
      <protection locked="0"/>
    </xf>
    <xf numFmtId="185" fontId="2" fillId="2" borderId="1" xfId="5" applyNumberFormat="1" applyFont="1" applyFill="1" applyBorder="1" applyAlignment="1" applyProtection="1">
      <alignment horizontal="center" vertical="center" wrapText="1"/>
      <protection locked="0"/>
    </xf>
    <xf numFmtId="185" fontId="7" fillId="0" borderId="1" xfId="5" applyNumberFormat="1" applyFont="1" applyBorder="1" applyAlignment="1" applyProtection="1">
      <alignment horizontal="center" vertical="center"/>
      <protection locked="0"/>
    </xf>
    <xf numFmtId="0" fontId="2" fillId="6" borderId="1" xfId="0" applyFont="1" applyFill="1" applyBorder="1" applyAlignment="1">
      <alignment horizontal="center" vertical="center" wrapText="1"/>
    </xf>
    <xf numFmtId="185" fontId="7" fillId="2" borderId="1" xfId="5" applyNumberFormat="1" applyFont="1" applyFill="1" applyBorder="1" applyAlignment="1" applyProtection="1">
      <alignment horizontal="center" vertical="center" wrapText="1"/>
      <protection locked="0"/>
    </xf>
    <xf numFmtId="0" fontId="0" fillId="2" borderId="1" xfId="0" applyFill="1" applyBorder="1"/>
    <xf numFmtId="184" fontId="1" fillId="0" borderId="1" xfId="0" applyNumberFormat="1" applyFont="1" applyBorder="1" applyAlignment="1">
      <alignment horizontal="right" vertical="center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" fontId="0" fillId="2" borderId="0" xfId="0" applyNumberFormat="1" applyFill="1" applyProtection="1">
      <protection locked="0"/>
    </xf>
    <xf numFmtId="187" fontId="0" fillId="2" borderId="0" xfId="0" applyNumberFormat="1" applyFill="1" applyProtection="1">
      <protection locked="0"/>
    </xf>
    <xf numFmtId="188" fontId="0" fillId="2" borderId="0" xfId="2" applyNumberFormat="1" applyFont="1" applyFill="1" applyProtection="1">
      <protection locked="0"/>
    </xf>
    <xf numFmtId="187" fontId="0" fillId="2" borderId="0" xfId="0" applyNumberFormat="1" applyFill="1" applyAlignment="1" applyProtection="1">
      <alignment horizontal="center"/>
      <protection locked="0"/>
    </xf>
    <xf numFmtId="190" fontId="0" fillId="2" borderId="0" xfId="0" applyNumberFormat="1" applyFill="1" applyProtection="1">
      <protection locked="0"/>
    </xf>
    <xf numFmtId="0" fontId="0" fillId="4" borderId="0" xfId="0" applyFill="1" applyAlignment="1" applyProtection="1">
      <alignment horizontal="center" vertical="center"/>
      <protection locked="0"/>
    </xf>
    <xf numFmtId="185" fontId="0" fillId="4" borderId="0" xfId="0" applyNumberFormat="1" applyFill="1" applyAlignment="1" applyProtection="1">
      <alignment horizontal="center" vertical="center"/>
      <protection locked="0"/>
    </xf>
    <xf numFmtId="187" fontId="0" fillId="4" borderId="0" xfId="0" applyNumberFormat="1" applyFill="1" applyAlignment="1" applyProtection="1">
      <alignment horizontal="center" vertical="center"/>
      <protection locked="0"/>
    </xf>
    <xf numFmtId="0" fontId="8" fillId="2" borderId="0" xfId="0" applyFont="1" applyFill="1" applyProtection="1">
      <protection locked="0"/>
    </xf>
    <xf numFmtId="1" fontId="4" fillId="4" borderId="1" xfId="0" applyNumberFormat="1" applyFont="1" applyFill="1" applyBorder="1" applyAlignment="1" applyProtection="1">
      <alignment horizontal="center" vertical="center"/>
      <protection hidden="1"/>
    </xf>
    <xf numFmtId="187" fontId="0" fillId="2" borderId="0" xfId="0" applyNumberFormat="1" applyFill="1" applyAlignment="1" applyProtection="1">
      <alignment horizontal="center" vertical="center"/>
      <protection locked="0"/>
    </xf>
    <xf numFmtId="190" fontId="1" fillId="2" borderId="1" xfId="0" applyNumberFormat="1" applyFont="1" applyFill="1" applyBorder="1" applyAlignment="1" applyProtection="1">
      <alignment horizontal="center" vertical="center"/>
      <protection locked="0"/>
    </xf>
    <xf numFmtId="190" fontId="2" fillId="2" borderId="1" xfId="0" applyNumberFormat="1" applyFont="1" applyFill="1" applyBorder="1" applyAlignment="1" applyProtection="1">
      <alignment horizontal="center" vertical="center"/>
      <protection locked="0"/>
    </xf>
    <xf numFmtId="1" fontId="0" fillId="2" borderId="0" xfId="0" applyNumberFormat="1" applyFill="1" applyAlignment="1" applyProtection="1">
      <alignment horizontal="center" vertical="center"/>
      <protection locked="0"/>
    </xf>
    <xf numFmtId="190" fontId="1" fillId="0" borderId="1" xfId="2" applyNumberFormat="1" applyFont="1" applyFill="1" applyBorder="1" applyAlignment="1">
      <alignment horizontal="center" vertical="center"/>
    </xf>
    <xf numFmtId="190" fontId="1" fillId="0" borderId="1" xfId="0" applyNumberFormat="1" applyFont="1" applyBorder="1" applyAlignment="1">
      <alignment horizontal="center" vertical="center"/>
    </xf>
    <xf numFmtId="190" fontId="1" fillId="2" borderId="1" xfId="0" applyNumberFormat="1" applyFont="1" applyFill="1" applyBorder="1" applyAlignment="1">
      <alignment horizontal="center" vertical="center"/>
    </xf>
    <xf numFmtId="190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/>
    <xf numFmtId="0" fontId="0" fillId="10" borderId="1" xfId="0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188" fontId="0" fillId="7" borderId="0" xfId="2" applyNumberFormat="1" applyFont="1" applyFill="1" applyAlignment="1" applyProtection="1">
      <alignment horizontal="center" vertical="center"/>
      <protection locked="0"/>
    </xf>
    <xf numFmtId="188" fontId="0" fillId="2" borderId="0" xfId="2" applyNumberFormat="1" applyFont="1" applyFill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14" fontId="6" fillId="6" borderId="2" xfId="0" applyNumberFormat="1" applyFont="1" applyFill="1" applyBorder="1" applyAlignment="1">
      <alignment horizontal="center" wrapText="1"/>
    </xf>
    <xf numFmtId="0" fontId="6" fillId="6" borderId="2" xfId="0" applyFont="1" applyFill="1" applyBorder="1" applyAlignment="1">
      <alignment horizontal="center" wrapText="1"/>
    </xf>
    <xf numFmtId="3" fontId="6" fillId="0" borderId="2" xfId="0" applyNumberFormat="1" applyFont="1" applyBorder="1" applyAlignment="1">
      <alignment horizontal="center" wrapText="1"/>
    </xf>
    <xf numFmtId="3" fontId="6" fillId="6" borderId="2" xfId="0" applyNumberFormat="1" applyFont="1" applyFill="1" applyBorder="1" applyAlignment="1">
      <alignment horizontal="center" wrapText="1"/>
    </xf>
    <xf numFmtId="15" fontId="6" fillId="6" borderId="2" xfId="0" applyNumberFormat="1" applyFont="1" applyFill="1" applyBorder="1" applyAlignment="1">
      <alignment horizontal="center"/>
    </xf>
    <xf numFmtId="190" fontId="6" fillId="6" borderId="2" xfId="0" applyNumberFormat="1" applyFont="1" applyFill="1" applyBorder="1" applyAlignment="1">
      <alignment horizontal="right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hidden="1"/>
    </xf>
    <xf numFmtId="1" fontId="4" fillId="4" borderId="2" xfId="0" applyNumberFormat="1" applyFont="1" applyFill="1" applyBorder="1" applyAlignment="1" applyProtection="1">
      <alignment horizontal="center" vertical="center"/>
      <protection hidden="1"/>
    </xf>
    <xf numFmtId="187" fontId="4" fillId="5" borderId="2" xfId="0" applyNumberFormat="1" applyFont="1" applyFill="1" applyBorder="1" applyAlignment="1" applyProtection="1">
      <alignment horizontal="center" vertical="center" wrapText="1"/>
      <protection locked="0"/>
    </xf>
    <xf numFmtId="187" fontId="4" fillId="4" borderId="2" xfId="0" applyNumberFormat="1" applyFont="1" applyFill="1" applyBorder="1" applyAlignment="1" applyProtection="1">
      <alignment horizontal="center" vertical="center" wrapText="1"/>
      <protection hidden="1"/>
    </xf>
    <xf numFmtId="1" fontId="4" fillId="8" borderId="2" xfId="0" applyNumberFormat="1" applyFont="1" applyFill="1" applyBorder="1" applyAlignment="1" applyProtection="1">
      <alignment horizontal="center" vertical="center" wrapText="1"/>
      <protection hidden="1"/>
    </xf>
    <xf numFmtId="187" fontId="4" fillId="8" borderId="2" xfId="0" applyNumberFormat="1" applyFont="1" applyFill="1" applyBorder="1" applyAlignment="1" applyProtection="1">
      <alignment horizontal="center" vertical="center" wrapText="1"/>
      <protection hidden="1"/>
    </xf>
    <xf numFmtId="188" fontId="4" fillId="5" borderId="2" xfId="2" applyNumberFormat="1" applyFont="1" applyFill="1" applyBorder="1" applyAlignment="1" applyProtection="1">
      <alignment horizontal="center" vertical="center" wrapText="1"/>
      <protection locked="0"/>
    </xf>
    <xf numFmtId="0" fontId="4" fillId="11" borderId="2" xfId="0" applyFont="1" applyFill="1" applyBorder="1" applyAlignment="1" applyProtection="1">
      <alignment horizontal="center" vertical="center" wrapText="1"/>
      <protection locked="0"/>
    </xf>
    <xf numFmtId="0" fontId="4" fillId="5" borderId="2" xfId="0" applyFont="1" applyFill="1" applyBorder="1" applyAlignment="1" applyProtection="1">
      <alignment horizontal="center" vertical="center" wrapText="1"/>
      <protection locked="0"/>
    </xf>
    <xf numFmtId="0" fontId="4" fillId="12" borderId="2" xfId="0" applyFont="1" applyFill="1" applyBorder="1" applyAlignment="1" applyProtection="1">
      <alignment horizontal="center" vertical="center" wrapText="1"/>
      <protection hidden="1"/>
    </xf>
    <xf numFmtId="0" fontId="4" fillId="5" borderId="3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vertical="center"/>
      <protection locked="0"/>
    </xf>
    <xf numFmtId="0" fontId="0" fillId="2" borderId="0" xfId="0" applyFill="1" applyAlignment="1" applyProtection="1">
      <alignment vertical="center"/>
      <protection locked="0"/>
    </xf>
    <xf numFmtId="3" fontId="6" fillId="0" borderId="2" xfId="0" applyNumberFormat="1" applyFont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17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0" fillId="0" borderId="0" xfId="0" applyAlignment="1" applyProtection="1">
      <alignment horizontal="center"/>
      <protection locked="0"/>
    </xf>
    <xf numFmtId="0" fontId="6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8" fillId="2" borderId="0" xfId="0" applyFont="1" applyFill="1" applyAlignment="1" applyProtection="1">
      <alignment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vertical="center"/>
      <protection locked="0"/>
    </xf>
    <xf numFmtId="0" fontId="6" fillId="0" borderId="1" xfId="9" applyNumberFormat="1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vertical="center"/>
      <protection locked="0"/>
    </xf>
    <xf numFmtId="14" fontId="6" fillId="2" borderId="2" xfId="0" applyNumberFormat="1" applyFont="1" applyFill="1" applyBorder="1" applyAlignment="1" applyProtection="1">
      <alignment vertical="center"/>
      <protection locked="0"/>
    </xf>
    <xf numFmtId="9" fontId="6" fillId="2" borderId="2" xfId="0" applyNumberFormat="1" applyFont="1" applyFill="1" applyBorder="1" applyAlignment="1" applyProtection="1">
      <alignment vertical="center"/>
      <protection locked="0"/>
    </xf>
    <xf numFmtId="187" fontId="6" fillId="2" borderId="2" xfId="0" applyNumberFormat="1" applyFont="1" applyFill="1" applyBorder="1" applyAlignment="1" applyProtection="1">
      <alignment vertical="center"/>
      <protection locked="0"/>
    </xf>
    <xf numFmtId="1" fontId="6" fillId="2" borderId="2" xfId="0" applyNumberFormat="1" applyFont="1" applyFill="1" applyBorder="1" applyAlignment="1" applyProtection="1">
      <alignment vertical="center"/>
      <protection locked="0"/>
    </xf>
    <xf numFmtId="177" fontId="6" fillId="0" borderId="2" xfId="2" applyNumberFormat="1" applyFont="1" applyFill="1" applyBorder="1" applyAlignment="1" applyProtection="1">
      <alignment vertical="center"/>
      <protection locked="0"/>
    </xf>
    <xf numFmtId="177" fontId="6" fillId="2" borderId="2" xfId="2" applyNumberFormat="1" applyFont="1" applyFill="1" applyBorder="1" applyAlignment="1" applyProtection="1">
      <alignment vertical="center"/>
      <protection locked="0"/>
    </xf>
    <xf numFmtId="0" fontId="6" fillId="2" borderId="2" xfId="0" applyFont="1" applyFill="1" applyBorder="1" applyAlignment="1" applyProtection="1">
      <alignment vertical="center"/>
      <protection locked="0"/>
    </xf>
    <xf numFmtId="183" fontId="6" fillId="2" borderId="2" xfId="2" applyFont="1" applyFill="1" applyBorder="1" applyAlignment="1" applyProtection="1">
      <alignment vertical="center"/>
      <protection locked="0"/>
    </xf>
    <xf numFmtId="190" fontId="6" fillId="2" borderId="2" xfId="2" applyNumberFormat="1" applyFont="1" applyFill="1" applyBorder="1" applyAlignment="1" applyProtection="1">
      <alignment vertical="center"/>
      <protection locked="0"/>
    </xf>
    <xf numFmtId="190" fontId="6" fillId="2" borderId="2" xfId="0" applyNumberFormat="1" applyFont="1" applyFill="1" applyBorder="1" applyAlignment="1" applyProtection="1">
      <alignment vertical="center"/>
      <protection locked="0"/>
    </xf>
    <xf numFmtId="188" fontId="6" fillId="2" borderId="2" xfId="2" applyNumberFormat="1" applyFont="1" applyFill="1" applyBorder="1" applyAlignment="1" applyProtection="1">
      <alignment vertical="center"/>
      <protection locked="0"/>
    </xf>
    <xf numFmtId="0" fontId="6" fillId="0" borderId="1" xfId="9" applyNumberFormat="1" applyFont="1" applyBorder="1" applyAlignment="1" applyProtection="1">
      <alignment vertical="center" wrapText="1"/>
      <protection locked="0"/>
    </xf>
    <xf numFmtId="0" fontId="19" fillId="2" borderId="0" xfId="0" applyFont="1" applyFill="1" applyAlignment="1" applyProtection="1">
      <alignment vertical="center"/>
      <protection locked="0"/>
    </xf>
    <xf numFmtId="0" fontId="6" fillId="0" borderId="1" xfId="7" applyFont="1" applyBorder="1">
      <alignment vertical="center"/>
    </xf>
    <xf numFmtId="182" fontId="6" fillId="2" borderId="2" xfId="0" applyNumberFormat="1" applyFont="1" applyFill="1" applyBorder="1" applyAlignment="1" applyProtection="1">
      <alignment vertical="center"/>
      <protection locked="0"/>
    </xf>
    <xf numFmtId="43" fontId="6" fillId="0" borderId="2" xfId="2" applyNumberFormat="1" applyFont="1" applyFill="1" applyBorder="1" applyAlignment="1" applyProtection="1">
      <alignment vertical="center"/>
      <protection locked="0"/>
    </xf>
    <xf numFmtId="183" fontId="6" fillId="0" borderId="2" xfId="2" applyFont="1" applyFill="1" applyBorder="1" applyAlignment="1">
      <alignment vertical="center"/>
    </xf>
    <xf numFmtId="0" fontId="6" fillId="2" borderId="2" xfId="0" applyFont="1" applyFill="1" applyBorder="1" applyAlignment="1" applyProtection="1">
      <alignment vertical="center" wrapText="1"/>
      <protection locked="0"/>
    </xf>
    <xf numFmtId="190" fontId="6" fillId="0" borderId="2" xfId="2" applyNumberFormat="1" applyFont="1" applyFill="1" applyBorder="1" applyAlignment="1" applyProtection="1">
      <alignment vertical="center"/>
      <protection locked="0"/>
    </xf>
    <xf numFmtId="43" fontId="6" fillId="0" borderId="2" xfId="2" applyNumberFormat="1" applyFont="1" applyFill="1" applyBorder="1" applyAlignment="1" applyProtection="1">
      <alignment vertical="center" wrapText="1"/>
      <protection locked="0"/>
    </xf>
    <xf numFmtId="189" fontId="6" fillId="0" borderId="2" xfId="2" applyNumberFormat="1" applyFont="1" applyFill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8" fillId="2" borderId="2" xfId="0" applyFont="1" applyFill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187" fontId="6" fillId="0" borderId="2" xfId="0" applyNumberFormat="1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vertical="center" wrapText="1"/>
      <protection locked="0"/>
    </xf>
    <xf numFmtId="183" fontId="6" fillId="0" borderId="2" xfId="2" applyFont="1" applyFill="1" applyBorder="1" applyAlignment="1" applyProtection="1">
      <alignment vertical="center"/>
      <protection locked="0"/>
    </xf>
    <xf numFmtId="188" fontId="6" fillId="0" borderId="2" xfId="2" applyNumberFormat="1" applyFont="1" applyFill="1" applyBorder="1" applyAlignment="1" applyProtection="1">
      <alignment vertical="center"/>
      <protection locked="0"/>
    </xf>
    <xf numFmtId="0" fontId="18" fillId="0" borderId="2" xfId="0" applyFont="1" applyBorder="1" applyAlignment="1" applyProtection="1">
      <alignment vertical="center"/>
      <protection locked="0"/>
    </xf>
    <xf numFmtId="191" fontId="6" fillId="0" borderId="2" xfId="0" applyNumberFormat="1" applyFont="1" applyBorder="1" applyAlignment="1" applyProtection="1">
      <alignment vertical="center"/>
      <protection locked="0"/>
    </xf>
    <xf numFmtId="177" fontId="6" fillId="2" borderId="2" xfId="2" applyNumberFormat="1" applyFont="1" applyFill="1" applyBorder="1" applyAlignment="1">
      <alignment vertical="center"/>
    </xf>
    <xf numFmtId="190" fontId="6" fillId="0" borderId="2" xfId="2" applyNumberFormat="1" applyFont="1" applyFill="1" applyBorder="1" applyAlignment="1">
      <alignment vertical="center"/>
    </xf>
    <xf numFmtId="190" fontId="6" fillId="0" borderId="2" xfId="0" applyNumberFormat="1" applyFont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177" fontId="6" fillId="0" borderId="2" xfId="2" applyNumberFormat="1" applyFont="1" applyFill="1" applyBorder="1" applyAlignment="1">
      <alignment vertical="center"/>
    </xf>
    <xf numFmtId="186" fontId="6" fillId="2" borderId="2" xfId="0" applyNumberFormat="1" applyFont="1" applyFill="1" applyBorder="1" applyAlignment="1" applyProtection="1">
      <alignment vertical="center"/>
      <protection locked="0"/>
    </xf>
    <xf numFmtId="192" fontId="6" fillId="2" borderId="2" xfId="2" applyNumberFormat="1" applyFont="1" applyFill="1" applyBorder="1" applyAlignment="1" applyProtection="1">
      <alignment vertical="center"/>
      <protection locked="0"/>
    </xf>
    <xf numFmtId="0" fontId="16" fillId="0" borderId="0" xfId="0" applyFont="1" applyAlignment="1">
      <alignment vertical="center"/>
    </xf>
    <xf numFmtId="0" fontId="16" fillId="6" borderId="2" xfId="0" applyFont="1" applyFill="1" applyBorder="1" applyAlignment="1">
      <alignment vertical="center"/>
    </xf>
    <xf numFmtId="1" fontId="6" fillId="6" borderId="2" xfId="0" applyNumberFormat="1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14" fontId="6" fillId="6" borderId="2" xfId="0" applyNumberFormat="1" applyFont="1" applyFill="1" applyBorder="1" applyAlignment="1">
      <alignment vertical="center"/>
    </xf>
    <xf numFmtId="9" fontId="6" fillId="6" borderId="2" xfId="0" applyNumberFormat="1" applyFont="1" applyFill="1" applyBorder="1" applyAlignment="1">
      <alignment vertical="center"/>
    </xf>
    <xf numFmtId="0" fontId="6" fillId="0" borderId="1" xfId="0" quotePrefix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2" borderId="1" xfId="0" quotePrefix="1" applyFont="1" applyFill="1" applyBorder="1" applyAlignment="1">
      <alignment vertical="center"/>
    </xf>
    <xf numFmtId="190" fontId="6" fillId="6" borderId="2" xfId="0" applyNumberFormat="1" applyFont="1" applyFill="1" applyBorder="1" applyAlignment="1">
      <alignment vertical="center"/>
    </xf>
    <xf numFmtId="190" fontId="16" fillId="0" borderId="2" xfId="0" applyNumberFormat="1" applyFont="1" applyBorder="1" applyAlignment="1">
      <alignment vertical="center"/>
    </xf>
    <xf numFmtId="1" fontId="6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16" fillId="0" borderId="2" xfId="0" applyFont="1" applyBorder="1" applyAlignment="1">
      <alignment vertical="center"/>
    </xf>
    <xf numFmtId="2" fontId="6" fillId="0" borderId="2" xfId="0" applyNumberFormat="1" applyFont="1" applyBorder="1" applyAlignment="1">
      <alignment vertical="center"/>
    </xf>
    <xf numFmtId="184" fontId="6" fillId="2" borderId="1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0" fontId="21" fillId="6" borderId="2" xfId="0" applyFont="1" applyFill="1" applyBorder="1" applyAlignment="1">
      <alignment vertical="center"/>
    </xf>
    <xf numFmtId="9" fontId="21" fillId="6" borderId="2" xfId="0" applyNumberFormat="1" applyFont="1" applyFill="1" applyBorder="1" applyAlignment="1">
      <alignment vertical="center"/>
    </xf>
    <xf numFmtId="0" fontId="21" fillId="0" borderId="2" xfId="0" applyFont="1" applyBorder="1" applyAlignment="1">
      <alignment vertical="center" wrapText="1"/>
    </xf>
    <xf numFmtId="190" fontId="6" fillId="2" borderId="2" xfId="0" applyNumberFormat="1" applyFont="1" applyFill="1" applyBorder="1" applyAlignment="1">
      <alignment vertical="center"/>
    </xf>
    <xf numFmtId="0" fontId="0" fillId="0" borderId="0" xfId="0" pivotButton="1"/>
    <xf numFmtId="184" fontId="0" fillId="0" borderId="1" xfId="0" applyNumberFormat="1" applyBorder="1"/>
    <xf numFmtId="0" fontId="23" fillId="0" borderId="2" xfId="0" applyFont="1" applyBorder="1"/>
    <xf numFmtId="0" fontId="23" fillId="6" borderId="2" xfId="0" applyFont="1" applyFill="1" applyBorder="1"/>
    <xf numFmtId="0" fontId="23" fillId="0" borderId="4" xfId="0" applyFont="1" applyBorder="1"/>
    <xf numFmtId="9" fontId="23" fillId="0" borderId="2" xfId="0" applyNumberFormat="1" applyFont="1" applyBorder="1"/>
    <xf numFmtId="0" fontId="21" fillId="0" borderId="2" xfId="0" applyFont="1" applyBorder="1"/>
    <xf numFmtId="1" fontId="6" fillId="6" borderId="2" xfId="0" applyNumberFormat="1" applyFont="1" applyFill="1" applyBorder="1" applyAlignment="1">
      <alignment horizontal="right" vertical="center"/>
    </xf>
    <xf numFmtId="0" fontId="23" fillId="0" borderId="2" xfId="0" applyFont="1" applyBorder="1" applyAlignment="1">
      <alignment horizontal="right" vertical="center"/>
    </xf>
    <xf numFmtId="0" fontId="21" fillId="0" borderId="2" xfId="0" applyFont="1" applyBorder="1" applyAlignment="1">
      <alignment horizontal="right" vertical="center"/>
    </xf>
    <xf numFmtId="0" fontId="6" fillId="6" borderId="2" xfId="0" applyFont="1" applyFill="1" applyBorder="1" applyAlignment="1">
      <alignment vertical="center" wrapText="1"/>
    </xf>
    <xf numFmtId="1" fontId="6" fillId="6" borderId="2" xfId="0" applyNumberFormat="1" applyFont="1" applyFill="1" applyBorder="1" applyAlignment="1">
      <alignment horizontal="center" wrapText="1"/>
    </xf>
    <xf numFmtId="49" fontId="6" fillId="6" borderId="2" xfId="0" applyNumberFormat="1" applyFont="1" applyFill="1" applyBorder="1" applyAlignment="1">
      <alignment horizontal="right"/>
    </xf>
    <xf numFmtId="2" fontId="6" fillId="6" borderId="2" xfId="0" applyNumberFormat="1" applyFont="1" applyFill="1" applyBorder="1" applyAlignment="1">
      <alignment horizontal="right"/>
    </xf>
    <xf numFmtId="0" fontId="0" fillId="2" borderId="2" xfId="0" applyFill="1" applyBorder="1" applyProtection="1">
      <protection locked="0"/>
    </xf>
    <xf numFmtId="187" fontId="0" fillId="2" borderId="2" xfId="0" applyNumberFormat="1" applyFill="1" applyBorder="1" applyProtection="1">
      <protection locked="0"/>
    </xf>
    <xf numFmtId="1" fontId="0" fillId="2" borderId="2" xfId="0" applyNumberFormat="1" applyFill="1" applyBorder="1" applyProtection="1">
      <protection locked="0"/>
    </xf>
    <xf numFmtId="188" fontId="0" fillId="2" borderId="2" xfId="2" applyNumberFormat="1" applyFont="1" applyFill="1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190" fontId="0" fillId="2" borderId="2" xfId="0" applyNumberFormat="1" applyFill="1" applyBorder="1" applyProtection="1">
      <protection locked="0"/>
    </xf>
    <xf numFmtId="0" fontId="0" fillId="2" borderId="2" xfId="0" applyFill="1" applyBorder="1" applyAlignment="1" applyProtection="1">
      <alignment vertical="center"/>
      <protection locked="0"/>
    </xf>
    <xf numFmtId="0" fontId="0" fillId="0" borderId="2" xfId="0" applyBorder="1" applyAlignment="1" applyProtection="1">
      <alignment horizontal="center"/>
      <protection locked="0"/>
    </xf>
    <xf numFmtId="1" fontId="6" fillId="6" borderId="7" xfId="0" applyNumberFormat="1" applyFont="1" applyFill="1" applyBorder="1" applyAlignment="1">
      <alignment horizontal="right" vertical="center"/>
    </xf>
    <xf numFmtId="187" fontId="6" fillId="2" borderId="7" xfId="0" applyNumberFormat="1" applyFont="1" applyFill="1" applyBorder="1" applyAlignment="1" applyProtection="1">
      <alignment vertical="center"/>
      <protection locked="0"/>
    </xf>
    <xf numFmtId="190" fontId="6" fillId="0" borderId="7" xfId="0" applyNumberFormat="1" applyFont="1" applyBorder="1" applyAlignment="1">
      <alignment vertical="center"/>
    </xf>
    <xf numFmtId="187" fontId="6" fillId="0" borderId="7" xfId="0" applyNumberFormat="1" applyFont="1" applyBorder="1" applyAlignment="1" applyProtection="1">
      <alignment vertical="center"/>
      <protection locked="0"/>
    </xf>
    <xf numFmtId="190" fontId="6" fillId="2" borderId="7" xfId="2" applyNumberFormat="1" applyFont="1" applyFill="1" applyBorder="1" applyAlignment="1" applyProtection="1">
      <alignment vertical="center"/>
      <protection locked="0"/>
    </xf>
    <xf numFmtId="190" fontId="6" fillId="2" borderId="7" xfId="0" applyNumberFormat="1" applyFont="1" applyFill="1" applyBorder="1" applyAlignment="1" applyProtection="1">
      <alignment vertical="center"/>
      <protection locked="0"/>
    </xf>
    <xf numFmtId="188" fontId="6" fillId="2" borderId="7" xfId="2" applyNumberFormat="1" applyFont="1" applyFill="1" applyBorder="1" applyAlignment="1" applyProtection="1">
      <alignment vertical="center"/>
      <protection locked="0"/>
    </xf>
    <xf numFmtId="0" fontId="6" fillId="6" borderId="7" xfId="0" applyFont="1" applyFill="1" applyBorder="1" applyAlignment="1">
      <alignment vertical="center"/>
    </xf>
    <xf numFmtId="0" fontId="6" fillId="6" borderId="2" xfId="0" applyFont="1" applyFill="1" applyBorder="1" applyAlignment="1">
      <alignment horizontal="left"/>
    </xf>
    <xf numFmtId="0" fontId="2" fillId="0" borderId="2" xfId="9" applyNumberFormat="1" applyFont="1" applyBorder="1" applyAlignment="1" applyProtection="1">
      <alignment horizontal="left" vertical="center"/>
      <protection locked="0"/>
    </xf>
    <xf numFmtId="0" fontId="6" fillId="0" borderId="2" xfId="0" applyFont="1" applyBorder="1" applyAlignment="1">
      <alignment horizontal="left"/>
    </xf>
    <xf numFmtId="14" fontId="0" fillId="2" borderId="0" xfId="0" applyNumberFormat="1" applyFill="1" applyProtection="1">
      <protection locked="0"/>
    </xf>
    <xf numFmtId="188" fontId="0" fillId="2" borderId="7" xfId="2" applyNumberFormat="1" applyFont="1" applyFill="1" applyBorder="1" applyAlignment="1" applyProtection="1">
      <alignment horizontal="center" vertical="center"/>
      <protection locked="0"/>
    </xf>
    <xf numFmtId="0" fontId="2" fillId="13" borderId="1" xfId="7" applyFont="1" applyFill="1" applyBorder="1" applyAlignment="1">
      <alignment horizontal="center" vertical="center"/>
    </xf>
    <xf numFmtId="193" fontId="1" fillId="2" borderId="1" xfId="0" applyNumberFormat="1" applyFont="1" applyFill="1" applyBorder="1" applyAlignment="1">
      <alignment horizontal="center" vertical="center"/>
    </xf>
    <xf numFmtId="193" fontId="2" fillId="2" borderId="1" xfId="0" applyNumberFormat="1" applyFont="1" applyFill="1" applyBorder="1" applyAlignment="1">
      <alignment horizontal="center" vertical="center"/>
    </xf>
    <xf numFmtId="193" fontId="6" fillId="2" borderId="1" xfId="0" applyNumberFormat="1" applyFont="1" applyFill="1" applyBorder="1" applyAlignment="1">
      <alignment horizontal="center" vertical="center"/>
    </xf>
    <xf numFmtId="188" fontId="0" fillId="2" borderId="0" xfId="2" applyNumberFormat="1" applyFont="1" applyFill="1" applyAlignment="1" applyProtection="1">
      <alignment wrapText="1"/>
      <protection locked="0"/>
    </xf>
    <xf numFmtId="3" fontId="21" fillId="0" borderId="2" xfId="0" applyNumberFormat="1" applyFont="1" applyBorder="1" applyAlignment="1">
      <alignment wrapText="1"/>
    </xf>
    <xf numFmtId="3" fontId="21" fillId="0" borderId="2" xfId="0" applyNumberFormat="1" applyFont="1" applyBorder="1"/>
    <xf numFmtId="190" fontId="24" fillId="2" borderId="2" xfId="0" applyNumberFormat="1" applyFont="1" applyFill="1" applyBorder="1" applyAlignment="1">
      <alignment vertical="center"/>
    </xf>
    <xf numFmtId="190" fontId="25" fillId="2" borderId="2" xfId="0" applyNumberFormat="1" applyFont="1" applyFill="1" applyBorder="1" applyAlignment="1">
      <alignment vertical="center"/>
    </xf>
    <xf numFmtId="190" fontId="26" fillId="2" borderId="2" xfId="0" applyNumberFormat="1" applyFont="1" applyFill="1" applyBorder="1" applyAlignment="1">
      <alignment vertical="center"/>
    </xf>
    <xf numFmtId="190" fontId="6" fillId="0" borderId="4" xfId="0" applyNumberFormat="1" applyFont="1" applyBorder="1" applyAlignment="1">
      <alignment vertical="center"/>
    </xf>
    <xf numFmtId="187" fontId="0" fillId="2" borderId="2" xfId="0" applyNumberFormat="1" applyFill="1" applyBorder="1" applyAlignment="1" applyProtection="1">
      <alignment horizontal="center"/>
      <protection locked="0"/>
    </xf>
    <xf numFmtId="188" fontId="0" fillId="2" borderId="2" xfId="2" applyNumberFormat="1" applyFont="1" applyFill="1" applyBorder="1" applyProtection="1">
      <protection locked="0"/>
    </xf>
    <xf numFmtId="0" fontId="6" fillId="6" borderId="7" xfId="0" applyFont="1" applyFill="1" applyBorder="1" applyAlignment="1">
      <alignment horizontal="left"/>
    </xf>
    <xf numFmtId="0" fontId="2" fillId="0" borderId="7" xfId="9" applyNumberFormat="1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>
      <alignment horizontal="left"/>
    </xf>
    <xf numFmtId="1" fontId="6" fillId="6" borderId="7" xfId="0" applyNumberFormat="1" applyFont="1" applyFill="1" applyBorder="1" applyAlignment="1">
      <alignment horizontal="right"/>
    </xf>
    <xf numFmtId="0" fontId="0" fillId="2" borderId="7" xfId="0" applyFill="1" applyBorder="1" applyProtection="1">
      <protection locked="0"/>
    </xf>
    <xf numFmtId="190" fontId="6" fillId="0" borderId="8" xfId="0" applyNumberFormat="1" applyFont="1" applyBorder="1" applyAlignment="1">
      <alignment vertical="center"/>
    </xf>
    <xf numFmtId="0" fontId="0" fillId="2" borderId="2" xfId="0" applyFill="1" applyBorder="1" applyAlignment="1" applyProtection="1">
      <alignment wrapText="1"/>
      <protection locked="0"/>
    </xf>
    <xf numFmtId="49" fontId="0" fillId="2" borderId="2" xfId="0" applyNumberFormat="1" applyFill="1" applyBorder="1" applyAlignment="1" applyProtection="1">
      <alignment horizontal="right"/>
      <protection locked="0"/>
    </xf>
    <xf numFmtId="49" fontId="27" fillId="2" borderId="2" xfId="0" applyNumberFormat="1" applyFont="1" applyFill="1" applyBorder="1" applyAlignment="1" applyProtection="1">
      <alignment horizontal="right"/>
      <protection locked="0"/>
    </xf>
    <xf numFmtId="1" fontId="27" fillId="2" borderId="2" xfId="0" applyNumberFormat="1" applyFont="1" applyFill="1" applyBorder="1" applyAlignment="1" applyProtection="1">
      <alignment horizontal="right"/>
      <protection locked="0"/>
    </xf>
    <xf numFmtId="0" fontId="6" fillId="2" borderId="2" xfId="0" applyFont="1" applyFill="1" applyBorder="1" applyAlignment="1">
      <alignment vertical="center" wrapText="1"/>
    </xf>
    <xf numFmtId="187" fontId="6" fillId="0" borderId="2" xfId="0" applyNumberFormat="1" applyFont="1" applyBorder="1" applyAlignment="1" applyProtection="1">
      <alignment vertical="center" wrapText="1"/>
      <protection locked="0"/>
    </xf>
    <xf numFmtId="187" fontId="28" fillId="0" borderId="2" xfId="0" applyNumberFormat="1" applyFont="1" applyBorder="1" applyAlignment="1" applyProtection="1">
      <alignment vertical="center"/>
      <protection locked="0"/>
    </xf>
    <xf numFmtId="187" fontId="29" fillId="0" borderId="2" xfId="0" applyNumberFormat="1" applyFont="1" applyBorder="1" applyAlignment="1" applyProtection="1">
      <alignment vertical="center"/>
      <protection locked="0"/>
    </xf>
    <xf numFmtId="186" fontId="18" fillId="0" borderId="2" xfId="1" applyNumberFormat="1" applyFont="1" applyFill="1" applyBorder="1" applyAlignment="1">
      <alignment vertical="center"/>
    </xf>
    <xf numFmtId="0" fontId="6" fillId="0" borderId="2" xfId="0" applyFont="1" applyBorder="1"/>
    <xf numFmtId="0" fontId="6" fillId="6" borderId="2" xfId="0" applyFont="1" applyFill="1" applyBorder="1"/>
    <xf numFmtId="0" fontId="6" fillId="0" borderId="4" xfId="0" applyFont="1" applyBorder="1"/>
    <xf numFmtId="14" fontId="6" fillId="6" borderId="7" xfId="0" applyNumberFormat="1" applyFont="1" applyFill="1" applyBorder="1"/>
    <xf numFmtId="9" fontId="6" fillId="6" borderId="2" xfId="0" applyNumberFormat="1" applyFont="1" applyFill="1" applyBorder="1"/>
    <xf numFmtId="3" fontId="6" fillId="6" borderId="2" xfId="0" applyNumberFormat="1" applyFont="1" applyFill="1" applyBorder="1"/>
    <xf numFmtId="9" fontId="6" fillId="0" borderId="2" xfId="0" applyNumberFormat="1" applyFont="1" applyBorder="1"/>
    <xf numFmtId="3" fontId="6" fillId="0" borderId="2" xfId="0" applyNumberFormat="1" applyFont="1" applyBorder="1"/>
    <xf numFmtId="0" fontId="6" fillId="0" borderId="2" xfId="0" applyFont="1" applyBorder="1" applyAlignment="1">
      <alignment horizontal="right" vertical="center"/>
    </xf>
    <xf numFmtId="0" fontId="17" fillId="0" borderId="2" xfId="0" applyFont="1" applyBorder="1"/>
    <xf numFmtId="0" fontId="6" fillId="0" borderId="5" xfId="0" applyFont="1" applyBorder="1"/>
    <xf numFmtId="0" fontId="6" fillId="6" borderId="7" xfId="0" applyFont="1" applyFill="1" applyBorder="1"/>
    <xf numFmtId="0" fontId="6" fillId="6" borderId="7" xfId="0" applyFont="1" applyFill="1" applyBorder="1" applyAlignment="1">
      <alignment vertical="center" wrapText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9" fontId="6" fillId="6" borderId="7" xfId="0" applyNumberFormat="1" applyFont="1" applyFill="1" applyBorder="1"/>
    <xf numFmtId="0" fontId="6" fillId="6" borderId="8" xfId="0" applyFont="1" applyFill="1" applyBorder="1"/>
    <xf numFmtId="0" fontId="6" fillId="6" borderId="5" xfId="0" applyFont="1" applyFill="1" applyBorder="1"/>
    <xf numFmtId="0" fontId="6" fillId="6" borderId="4" xfId="0" applyFont="1" applyFill="1" applyBorder="1"/>
    <xf numFmtId="0" fontId="6" fillId="6" borderId="8" xfId="0" applyFont="1" applyFill="1" applyBorder="1" applyAlignment="1">
      <alignment vertical="center"/>
    </xf>
    <xf numFmtId="0" fontId="6" fillId="6" borderId="6" xfId="0" applyFont="1" applyFill="1" applyBorder="1"/>
    <xf numFmtId="3" fontId="6" fillId="6" borderId="8" xfId="0" applyNumberFormat="1" applyFont="1" applyFill="1" applyBorder="1"/>
    <xf numFmtId="188" fontId="6" fillId="6" borderId="8" xfId="2" applyNumberFormat="1" applyFont="1" applyFill="1" applyBorder="1"/>
    <xf numFmtId="0" fontId="0" fillId="4" borderId="0" xfId="0" applyFill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4" fillId="5" borderId="1" xfId="0" applyFont="1" applyFill="1" applyBorder="1" applyAlignment="1" applyProtection="1">
      <alignment horizontal="left" vertical="center"/>
      <protection locked="0"/>
    </xf>
    <xf numFmtId="0" fontId="0" fillId="2" borderId="2" xfId="0" applyFill="1" applyBorder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22" fillId="2" borderId="2" xfId="0" applyFont="1" applyFill="1" applyBorder="1" applyAlignment="1" applyProtection="1">
      <alignment horizontal="center" vertical="center"/>
      <protection locked="0"/>
    </xf>
    <xf numFmtId="0" fontId="22" fillId="2" borderId="2" xfId="0" applyFont="1" applyFill="1" applyBorder="1" applyAlignment="1" applyProtection="1">
      <alignment vertical="center"/>
      <protection locked="0"/>
    </xf>
    <xf numFmtId="0" fontId="22" fillId="2" borderId="2" xfId="0" applyFont="1" applyFill="1" applyBorder="1" applyProtection="1">
      <protection locked="0"/>
    </xf>
    <xf numFmtId="1" fontId="30" fillId="2" borderId="2" xfId="0" applyNumberFormat="1" applyFont="1" applyFill="1" applyBorder="1" applyAlignment="1" applyProtection="1">
      <alignment horizontal="right"/>
      <protection locked="0"/>
    </xf>
    <xf numFmtId="0" fontId="21" fillId="0" borderId="7" xfId="0" applyFont="1" applyBorder="1"/>
    <xf numFmtId="14" fontId="21" fillId="6" borderId="7" xfId="0" applyNumberFormat="1" applyFont="1" applyFill="1" applyBorder="1"/>
    <xf numFmtId="9" fontId="21" fillId="6" borderId="7" xfId="0" applyNumberFormat="1" applyFont="1" applyFill="1" applyBorder="1"/>
    <xf numFmtId="187" fontId="21" fillId="2" borderId="7" xfId="0" applyNumberFormat="1" applyFont="1" applyFill="1" applyBorder="1" applyAlignment="1" applyProtection="1">
      <alignment vertical="center"/>
      <protection locked="0"/>
    </xf>
    <xf numFmtId="1" fontId="22" fillId="2" borderId="2" xfId="0" applyNumberFormat="1" applyFont="1" applyFill="1" applyBorder="1" applyProtection="1">
      <protection locked="0"/>
    </xf>
    <xf numFmtId="188" fontId="22" fillId="2" borderId="7" xfId="2" applyNumberFormat="1" applyFont="1" applyFill="1" applyBorder="1" applyAlignment="1" applyProtection="1">
      <alignment horizontal="center" vertical="center"/>
      <protection locked="0"/>
    </xf>
    <xf numFmtId="0" fontId="21" fillId="6" borderId="8" xfId="0" applyFont="1" applyFill="1" applyBorder="1"/>
    <xf numFmtId="190" fontId="21" fillId="0" borderId="4" xfId="0" applyNumberFormat="1" applyFont="1" applyBorder="1" applyAlignment="1">
      <alignment vertical="center"/>
    </xf>
    <xf numFmtId="187" fontId="21" fillId="0" borderId="2" xfId="0" applyNumberFormat="1" applyFont="1" applyBorder="1" applyAlignment="1" applyProtection="1">
      <alignment vertical="center"/>
      <protection locked="0"/>
    </xf>
    <xf numFmtId="190" fontId="22" fillId="2" borderId="2" xfId="0" applyNumberFormat="1" applyFont="1" applyFill="1" applyBorder="1" applyProtection="1">
      <protection locked="0"/>
    </xf>
    <xf numFmtId="188" fontId="22" fillId="2" borderId="2" xfId="2" applyNumberFormat="1" applyFont="1" applyFill="1" applyBorder="1" applyProtection="1">
      <protection locked="0"/>
    </xf>
    <xf numFmtId="0" fontId="22" fillId="2" borderId="0" xfId="0" applyFont="1" applyFill="1" applyProtection="1">
      <protection locked="0"/>
    </xf>
    <xf numFmtId="0" fontId="31" fillId="0" borderId="2" xfId="0" applyFont="1" applyBorder="1" applyAlignment="1">
      <alignment vertical="center"/>
    </xf>
    <xf numFmtId="0" fontId="21" fillId="2" borderId="1" xfId="0" applyFont="1" applyFill="1" applyBorder="1" applyAlignment="1" applyProtection="1">
      <alignment vertical="center"/>
      <protection locked="0"/>
    </xf>
    <xf numFmtId="0" fontId="21" fillId="0" borderId="4" xfId="0" applyFont="1" applyBorder="1" applyAlignment="1">
      <alignment vertical="center"/>
    </xf>
    <xf numFmtId="14" fontId="21" fillId="6" borderId="2" xfId="0" applyNumberFormat="1" applyFont="1" applyFill="1" applyBorder="1" applyAlignment="1">
      <alignment vertical="center"/>
    </xf>
    <xf numFmtId="191" fontId="21" fillId="0" borderId="2" xfId="0" applyNumberFormat="1" applyFont="1" applyBorder="1" applyAlignment="1" applyProtection="1">
      <alignment vertical="center"/>
      <protection locked="0"/>
    </xf>
    <xf numFmtId="1" fontId="21" fillId="6" borderId="2" xfId="0" applyNumberFormat="1" applyFont="1" applyFill="1" applyBorder="1" applyAlignment="1">
      <alignment vertical="center"/>
    </xf>
    <xf numFmtId="187" fontId="21" fillId="2" borderId="2" xfId="0" applyNumberFormat="1" applyFont="1" applyFill="1" applyBorder="1" applyAlignment="1" applyProtection="1">
      <alignment vertical="center"/>
      <protection locked="0"/>
    </xf>
    <xf numFmtId="1" fontId="21" fillId="6" borderId="2" xfId="0" applyNumberFormat="1" applyFont="1" applyFill="1" applyBorder="1" applyAlignment="1">
      <alignment horizontal="right" vertical="center"/>
    </xf>
    <xf numFmtId="0" fontId="21" fillId="0" borderId="4" xfId="0" applyFont="1" applyBorder="1"/>
    <xf numFmtId="9" fontId="21" fillId="0" borderId="2" xfId="0" applyNumberFormat="1" applyFont="1" applyBorder="1"/>
    <xf numFmtId="0" fontId="0" fillId="2" borderId="0" xfId="0" applyFill="1" applyAlignment="1" applyProtection="1">
      <alignment vertical="center" wrapText="1"/>
      <protection locked="0"/>
    </xf>
    <xf numFmtId="0" fontId="4" fillId="11" borderId="2" xfId="0" applyFont="1" applyFill="1" applyBorder="1" applyAlignment="1" applyProtection="1">
      <alignment vertical="center" wrapText="1"/>
      <protection locked="0"/>
    </xf>
    <xf numFmtId="0" fontId="0" fillId="2" borderId="2" xfId="0" applyFill="1" applyBorder="1" applyAlignment="1" applyProtection="1">
      <alignment vertical="center" wrapText="1"/>
      <protection locked="0"/>
    </xf>
    <xf numFmtId="0" fontId="22" fillId="2" borderId="2" xfId="0" applyFont="1" applyFill="1" applyBorder="1" applyAlignment="1" applyProtection="1">
      <alignment vertical="center" wrapText="1"/>
      <protection locked="0"/>
    </xf>
    <xf numFmtId="0" fontId="4" fillId="4" borderId="0" xfId="0" applyFont="1" applyFill="1" applyAlignment="1">
      <alignment horizontal="left"/>
    </xf>
    <xf numFmtId="0" fontId="4" fillId="5" borderId="1" xfId="0" applyFont="1" applyFill="1" applyBorder="1" applyAlignment="1">
      <alignment horizontal="left" vertical="center"/>
    </xf>
    <xf numFmtId="0" fontId="1" fillId="2" borderId="1" xfId="0" quotePrefix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left"/>
    </xf>
    <xf numFmtId="49" fontId="6" fillId="6" borderId="2" xfId="0" applyNumberFormat="1" applyFont="1" applyFill="1" applyBorder="1" applyAlignment="1">
      <alignment horizontal="left"/>
    </xf>
    <xf numFmtId="2" fontId="6" fillId="6" borderId="2" xfId="0" applyNumberFormat="1" applyFont="1" applyFill="1" applyBorder="1" applyAlignment="1">
      <alignment horizontal="left"/>
    </xf>
    <xf numFmtId="1" fontId="6" fillId="6" borderId="2" xfId="0" applyNumberFormat="1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32" fillId="0" borderId="2" xfId="0" applyFont="1" applyBorder="1"/>
    <xf numFmtId="0" fontId="32" fillId="6" borderId="2" xfId="0" applyFont="1" applyFill="1" applyBorder="1"/>
    <xf numFmtId="0" fontId="32" fillId="0" borderId="2" xfId="0" applyFont="1" applyBorder="1" applyAlignment="1">
      <alignment horizontal="right" vertical="center"/>
    </xf>
    <xf numFmtId="0" fontId="32" fillId="0" borderId="4" xfId="0" applyFont="1" applyBorder="1"/>
    <xf numFmtId="9" fontId="32" fillId="0" borderId="2" xfId="0" applyNumberFormat="1" applyFont="1" applyBorder="1"/>
    <xf numFmtId="190" fontId="32" fillId="2" borderId="2" xfId="0" applyNumberFormat="1" applyFont="1" applyFill="1" applyBorder="1" applyAlignment="1">
      <alignment vertical="center"/>
    </xf>
    <xf numFmtId="190" fontId="21" fillId="2" borderId="2" xfId="0" applyNumberFormat="1" applyFont="1" applyFill="1" applyBorder="1" applyAlignment="1">
      <alignment vertical="center"/>
    </xf>
    <xf numFmtId="3" fontId="32" fillId="0" borderId="2" xfId="0" applyNumberFormat="1" applyFont="1" applyBorder="1"/>
    <xf numFmtId="190" fontId="21" fillId="0" borderId="2" xfId="0" applyNumberFormat="1" applyFont="1" applyBorder="1" applyAlignment="1">
      <alignment vertical="center"/>
    </xf>
    <xf numFmtId="0" fontId="21" fillId="6" borderId="2" xfId="0" applyFont="1" applyFill="1" applyBorder="1" applyAlignment="1">
      <alignment vertical="center" wrapText="1"/>
    </xf>
    <xf numFmtId="190" fontId="21" fillId="2" borderId="2" xfId="2" applyNumberFormat="1" applyFont="1" applyFill="1" applyBorder="1" applyAlignment="1" applyProtection="1">
      <alignment vertical="center"/>
      <protection locked="0"/>
    </xf>
    <xf numFmtId="190" fontId="21" fillId="2" borderId="2" xfId="0" applyNumberFormat="1" applyFont="1" applyFill="1" applyBorder="1" applyAlignment="1" applyProtection="1">
      <alignment vertical="center"/>
      <protection locked="0"/>
    </xf>
    <xf numFmtId="188" fontId="21" fillId="2" borderId="2" xfId="2" applyNumberFormat="1" applyFont="1" applyFill="1" applyBorder="1" applyAlignment="1" applyProtection="1">
      <alignment vertical="center"/>
      <protection locked="0"/>
    </xf>
    <xf numFmtId="0" fontId="0" fillId="2" borderId="0" xfId="0" applyFill="1" applyAlignment="1" applyProtection="1">
      <alignment horizontal="right" vertical="center"/>
      <protection locked="0"/>
    </xf>
    <xf numFmtId="0" fontId="4" fillId="5" borderId="2" xfId="0" applyFont="1" applyFill="1" applyBorder="1" applyAlignment="1" applyProtection="1">
      <alignment horizontal="right" vertical="center" wrapText="1"/>
      <protection locked="0"/>
    </xf>
    <xf numFmtId="0" fontId="6" fillId="6" borderId="2" xfId="0" applyFont="1" applyFill="1" applyBorder="1" applyAlignment="1">
      <alignment horizontal="right" vertical="center"/>
    </xf>
    <xf numFmtId="0" fontId="21" fillId="6" borderId="2" xfId="0" applyFont="1" applyFill="1" applyBorder="1" applyAlignment="1">
      <alignment horizontal="right" vertical="center"/>
    </xf>
    <xf numFmtId="0" fontId="6" fillId="6" borderId="7" xfId="0" applyFont="1" applyFill="1" applyBorder="1" applyAlignment="1">
      <alignment horizontal="right" vertical="center"/>
    </xf>
    <xf numFmtId="0" fontId="0" fillId="2" borderId="2" xfId="0" applyFill="1" applyBorder="1" applyAlignment="1" applyProtection="1">
      <alignment horizontal="right" vertical="center"/>
      <protection locked="0"/>
    </xf>
    <xf numFmtId="0" fontId="22" fillId="2" borderId="2" xfId="0" applyFont="1" applyFill="1" applyBorder="1" applyAlignment="1" applyProtection="1">
      <alignment horizontal="right" vertical="center"/>
      <protection locked="0"/>
    </xf>
    <xf numFmtId="190" fontId="23" fillId="2" borderId="2" xfId="0" applyNumberFormat="1" applyFont="1" applyFill="1" applyBorder="1" applyAlignment="1">
      <alignment vertical="center"/>
    </xf>
    <xf numFmtId="3" fontId="23" fillId="0" borderId="2" xfId="0" applyNumberFormat="1" applyFont="1" applyBorder="1"/>
    <xf numFmtId="1" fontId="6" fillId="0" borderId="2" xfId="0" applyNumberFormat="1" applyFont="1" applyBorder="1"/>
    <xf numFmtId="1" fontId="6" fillId="0" borderId="2" xfId="0" applyNumberFormat="1" applyFont="1" applyBorder="1" applyAlignment="1">
      <alignment horizontal="left"/>
    </xf>
    <xf numFmtId="3" fontId="6" fillId="0" borderId="2" xfId="0" applyNumberFormat="1" applyFont="1" applyBorder="1" applyAlignment="1">
      <alignment wrapText="1"/>
    </xf>
    <xf numFmtId="3" fontId="6" fillId="6" borderId="2" xfId="0" applyNumberFormat="1" applyFont="1" applyFill="1" applyBorder="1" applyAlignment="1">
      <alignment wrapText="1"/>
    </xf>
    <xf numFmtId="0" fontId="0" fillId="0" borderId="0" xfId="0" applyAlignment="1">
      <alignment horizontal="left"/>
    </xf>
    <xf numFmtId="183" fontId="0" fillId="0" borderId="0" xfId="0" applyNumberFormat="1"/>
    <xf numFmtId="188" fontId="0" fillId="0" borderId="0" xfId="0" applyNumberFormat="1"/>
  </cellXfs>
  <cellStyles count="12">
    <cellStyle name="Normal 18" xfId="5"/>
    <cellStyle name="Normal 2" xfId="7"/>
    <cellStyle name="Normal 2 2" xfId="4"/>
    <cellStyle name="Normal 3" xfId="9"/>
    <cellStyle name="常规" xfId="0" builtinId="0"/>
    <cellStyle name="常规 2 2" xfId="8"/>
    <cellStyle name="常规 3" xfId="11"/>
    <cellStyle name="常规 3 2" xfId="6"/>
    <cellStyle name="常规 6" xfId="3"/>
    <cellStyle name="货币" xfId="1" builtinId="4"/>
    <cellStyle name="千位分隔" xfId="2" builtinId="3"/>
    <cellStyle name="千位分隔 2" xfId="10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4" formatCode="_ [$¥-804]* #,##0_ ;_ [$¥-804]* \-#,##0_ ;_ [$¥-804]* &quot;-&quot;??_ ;_ @_ "/>
    </dxf>
    <dxf>
      <numFmt numFmtId="184" formatCode="_ [$¥-804]* #,##0_ ;_ [$¥-804]* \-#,##0_ ;_ [$¥-804]* &quot;-&quot;??_ ;_ @_ "/>
    </dxf>
    <dxf>
      <numFmt numFmtId="184" formatCode="_ [$¥-804]* #,##0_ ;_ [$¥-804]* \-#,##0_ ;_ [$¥-804]* &quot;-&quot;??_ ;_ @_ "/>
    </dxf>
    <dxf>
      <numFmt numFmtId="188" formatCode="_-* #,##0_-;\-* #,##0_-;_-* &quot;-&quot;??_-;_-@_-"/>
    </dxf>
    <dxf>
      <numFmt numFmtId="183" formatCode="_-* #,##0.00_-;\-* #,##0.00_-;_-* &quot;-&quot;??_-;_-@_-"/>
    </dxf>
  </dxfs>
  <tableStyles count="0" defaultTableStyle="TableStyleMedium2" defaultPivotStyle="PivotStyleLight16"/>
  <colors>
    <mruColors>
      <color rgb="FF92D050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247650</xdr:colOff>
      <xdr:row>13</xdr:row>
      <xdr:rowOff>0</xdr:rowOff>
    </xdr:from>
    <xdr:to>
      <xdr:col>21</xdr:col>
      <xdr:colOff>2169584</xdr:colOff>
      <xdr:row>17</xdr:row>
      <xdr:rowOff>22163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525A207-C781-0766-3DF6-ED0FDB5D2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15358" y="2587625"/>
          <a:ext cx="1921934" cy="678330"/>
        </a:xfrm>
        <a:prstGeom prst="rect">
          <a:avLst/>
        </a:prstGeom>
      </xdr:spPr>
    </xdr:pic>
    <xdr:clientData/>
  </xdr:twoCellAnchor>
  <xdr:twoCellAnchor editAs="oneCell">
    <xdr:from>
      <xdr:col>21</xdr:col>
      <xdr:colOff>258929</xdr:colOff>
      <xdr:row>177</xdr:row>
      <xdr:rowOff>142226</xdr:rowOff>
    </xdr:from>
    <xdr:to>
      <xdr:col>21</xdr:col>
      <xdr:colOff>1751543</xdr:colOff>
      <xdr:row>179</xdr:row>
      <xdr:rowOff>227542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C52AFA4-F1B7-AAB8-A5CE-2AA222A01C1F}"/>
            </a:ext>
            <a:ext uri="{147F2762-F138-4A5C-976F-8EAC2B608ADB}">
              <a16:predDERef xmlns:a16="http://schemas.microsoft.com/office/drawing/2014/main" pred="{1525A207-C781-0766-3DF6-ED0FDB5D2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526637" y="35755143"/>
          <a:ext cx="1492614" cy="574266"/>
        </a:xfrm>
        <a:prstGeom prst="rect">
          <a:avLst/>
        </a:prstGeom>
      </xdr:spPr>
    </xdr:pic>
    <xdr:clientData/>
  </xdr:twoCellAnchor>
  <xdr:twoCellAnchor editAs="oneCell">
    <xdr:from>
      <xdr:col>21</xdr:col>
      <xdr:colOff>415925</xdr:colOff>
      <xdr:row>119</xdr:row>
      <xdr:rowOff>79376</xdr:rowOff>
    </xdr:from>
    <xdr:to>
      <xdr:col>21</xdr:col>
      <xdr:colOff>2016125</xdr:colOff>
      <xdr:row>121</xdr:row>
      <xdr:rowOff>29593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55B7F44-BD1B-88D5-57EC-208870428EDF}"/>
            </a:ext>
            <a:ext uri="{147F2762-F138-4A5C-976F-8EAC2B608ADB}">
              <a16:predDERef xmlns:a16="http://schemas.microsoft.com/office/drawing/2014/main" pred="{BC52AFA4-F1B7-AAB8-A5CE-2AA222A01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683633" y="22187959"/>
          <a:ext cx="1600200" cy="415883"/>
        </a:xfrm>
        <a:prstGeom prst="rect">
          <a:avLst/>
        </a:prstGeom>
      </xdr:spPr>
    </xdr:pic>
    <xdr:clientData/>
  </xdr:twoCellAnchor>
  <xdr:twoCellAnchor editAs="oneCell">
    <xdr:from>
      <xdr:col>21</xdr:col>
      <xdr:colOff>58209</xdr:colOff>
      <xdr:row>26</xdr:row>
      <xdr:rowOff>31750</xdr:rowOff>
    </xdr:from>
    <xdr:to>
      <xdr:col>22</xdr:col>
      <xdr:colOff>87040</xdr:colOff>
      <xdr:row>30</xdr:row>
      <xdr:rowOff>40216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19756BCF-B884-F9DC-B432-0D3589A8833E}"/>
            </a:ext>
            <a:ext uri="{147F2762-F138-4A5C-976F-8EAC2B608ADB}">
              <a16:predDERef xmlns:a16="http://schemas.microsoft.com/office/drawing/2014/main" pred="{B55B7F44-BD1B-88D5-57EC-208870428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325917" y="4751917"/>
          <a:ext cx="2537081" cy="664633"/>
        </a:xfrm>
        <a:prstGeom prst="rect">
          <a:avLst/>
        </a:prstGeom>
      </xdr:spPr>
    </xdr:pic>
    <xdr:clientData/>
  </xdr:twoCellAnchor>
  <xdr:twoCellAnchor editAs="oneCell">
    <xdr:from>
      <xdr:col>21</xdr:col>
      <xdr:colOff>666750</xdr:colOff>
      <xdr:row>133</xdr:row>
      <xdr:rowOff>142875</xdr:rowOff>
    </xdr:from>
    <xdr:to>
      <xdr:col>21</xdr:col>
      <xdr:colOff>1541493</xdr:colOff>
      <xdr:row>135</xdr:row>
      <xdr:rowOff>141817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234583A5-8CAE-50D8-D563-4B8BA77F1049}"/>
            </a:ext>
            <a:ext uri="{147F2762-F138-4A5C-976F-8EAC2B608ADB}">
              <a16:predDERef xmlns:a16="http://schemas.microsoft.com/office/drawing/2014/main" pred="{19756BCF-B884-F9DC-B432-0D3589A88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934458" y="25511125"/>
          <a:ext cx="874743" cy="483658"/>
        </a:xfrm>
        <a:prstGeom prst="rect">
          <a:avLst/>
        </a:prstGeom>
      </xdr:spPr>
    </xdr:pic>
    <xdr:clientData/>
  </xdr:twoCellAnchor>
  <xdr:twoCellAnchor editAs="oneCell">
    <xdr:from>
      <xdr:col>21</xdr:col>
      <xdr:colOff>450850</xdr:colOff>
      <xdr:row>116</xdr:row>
      <xdr:rowOff>237067</xdr:rowOff>
    </xdr:from>
    <xdr:to>
      <xdr:col>21</xdr:col>
      <xdr:colOff>1327150</xdr:colOff>
      <xdr:row>117</xdr:row>
      <xdr:rowOff>227541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5D217AAF-4CB8-7436-E986-1841E4F361A9}"/>
            </a:ext>
            <a:ext uri="{147F2762-F138-4A5C-976F-8EAC2B608ADB}">
              <a16:predDERef xmlns:a16="http://schemas.microsoft.com/office/drawing/2014/main" pred="{234583A5-8CAE-50D8-D563-4B8BA77F1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718558" y="21488400"/>
          <a:ext cx="876300" cy="255057"/>
        </a:xfrm>
        <a:prstGeom prst="rect">
          <a:avLst/>
        </a:prstGeom>
      </xdr:spPr>
    </xdr:pic>
    <xdr:clientData/>
  </xdr:twoCellAnchor>
  <xdr:twoCellAnchor editAs="oneCell">
    <xdr:from>
      <xdr:col>21</xdr:col>
      <xdr:colOff>228600</xdr:colOff>
      <xdr:row>3</xdr:row>
      <xdr:rowOff>0</xdr:rowOff>
    </xdr:from>
    <xdr:to>
      <xdr:col>21</xdr:col>
      <xdr:colOff>2371725</xdr:colOff>
      <xdr:row>6</xdr:row>
      <xdr:rowOff>55034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2E43CE58-2BE8-6A50-DE78-4FEBA924F4F4}"/>
            </a:ext>
            <a:ext uri="{147F2762-F138-4A5C-976F-8EAC2B608ADB}">
              <a16:predDERef xmlns:a16="http://schemas.microsoft.com/office/drawing/2014/main" pred="{5D217AAF-4CB8-7436-E986-1841E4F36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03425" y="942975"/>
          <a:ext cx="2143125" cy="561975"/>
        </a:xfrm>
        <a:prstGeom prst="rect">
          <a:avLst/>
        </a:prstGeom>
      </xdr:spPr>
    </xdr:pic>
    <xdr:clientData/>
  </xdr:twoCellAnchor>
  <xdr:twoCellAnchor editAs="oneCell">
    <xdr:from>
      <xdr:col>20</xdr:col>
      <xdr:colOff>1295400</xdr:colOff>
      <xdr:row>43</xdr:row>
      <xdr:rowOff>19050</xdr:rowOff>
    </xdr:from>
    <xdr:to>
      <xdr:col>22</xdr:col>
      <xdr:colOff>10583</xdr:colOff>
      <xdr:row>50</xdr:row>
      <xdr:rowOff>33867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6E5A1EAE-24DE-46B8-8A36-A7CD8748AF6A}"/>
            </a:ext>
            <a:ext uri="{147F2762-F138-4A5C-976F-8EAC2B608ADB}">
              <a16:predDERef xmlns:a16="http://schemas.microsoft.com/office/drawing/2014/main" pred="{2E43CE58-2BE8-6A50-DE78-4FEBA924F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261358" y="7575550"/>
          <a:ext cx="2525183" cy="12477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harlie Ma" id="{1CBE432E-35F2-4228-AF81-55F4DEC935C1}" userId="S::85204634@bat.com::140d471d-47e3-45da-828c-9123639bb1f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harlie Ma" refreshedDate="45677.815064120368" createdVersion="8" refreshedVersion="8" minRefreshableVersion="3" recordCount="129">
  <cacheSource type="worksheet">
    <worksheetSource ref="A3:V117" sheet="Capex tracker"/>
  </cacheSource>
  <cacheFields count="22">
    <cacheField name="Project" numFmtId="0">
      <sharedItems/>
    </cacheField>
    <cacheField name="Product Category" numFmtId="0">
      <sharedItems/>
    </cacheField>
    <cacheField name="Part Name" numFmtId="0">
      <sharedItems/>
    </cacheField>
    <cacheField name="Part No." numFmtId="0">
      <sharedItems containsMixedTypes="1" containsNumber="1" containsInteger="1" minValue="22150202007" maxValue="23590202001"/>
    </cacheField>
    <cacheField name="Supplier " numFmtId="0">
      <sharedItems/>
    </cacheField>
    <cacheField name="Year" numFmtId="0">
      <sharedItems containsSemiMixedTypes="0" containsString="0" containsNumber="1" containsInteger="1" minValue="2022" maxValue="2024"/>
    </cacheField>
    <cacheField name="Month" numFmtId="0">
      <sharedItems containsSemiMixedTypes="0" containsString="0" containsNumber="1" containsInteger="1" minValue="1" maxValue="11"/>
    </cacheField>
    <cacheField name="Stage" numFmtId="0">
      <sharedItems/>
    </cacheField>
    <cacheField name="Data Submit Date" numFmtId="14">
      <sharedItems containsSemiMixedTypes="0" containsNonDate="0" containsDate="1" containsString="0" minDate="2024-10-25T00:00:00" maxDate="2024-11-13T00:00:00"/>
    </cacheField>
    <cacheField name="Cavity" numFmtId="0">
      <sharedItems containsString="0" containsBlank="1" containsNumber="1" containsInteger="1" minValue="1" maxValue="48"/>
    </cacheField>
    <cacheField name="Tooling Capacity Per Month" numFmtId="0">
      <sharedItems containsString="0" containsBlank="1" containsNumber="1" minValue="10000" maxValue="4447872"/>
    </cacheField>
    <cacheField name="Total Capacity Per Month" numFmtId="0">
      <sharedItems containsString="0" containsBlank="1" containsNumber="1" minValue="0" maxValue="23712000"/>
    </cacheField>
    <cacheField name="Tooling life" numFmtId="0">
      <sharedItems containsString="0" containsBlank="1" containsNumber="1" containsInteger="1" minValue="50000" maxValue="1000000"/>
    </cacheField>
    <cacheField name="Tool type" numFmtId="0">
      <sharedItems count="4">
        <s v="Hard tool"/>
        <s v="Soft tool"/>
        <s v="Hard tool EC"/>
        <s v="Soft tool EC"/>
      </sharedItems>
    </cacheField>
    <cacheField name="Kick off date" numFmtId="0">
      <sharedItems containsSemiMixedTypes="0" containsNonDate="0" containsDate="1" containsString="0" minDate="2022-06-01T00:00:00" maxDate="2024-11-03T00:00:00"/>
    </cacheField>
    <cacheField name="Tool Unit cost" numFmtId="0">
      <sharedItems containsSemiMixedTypes="0" containsString="0" containsNumber="1" minValue="3088" maxValue="4584750.8495575199"/>
    </cacheField>
    <cacheField name="Q'ty" numFmtId="0">
      <sharedItems containsSemiMixedTypes="0" containsString="0" containsNumber="1" containsInteger="1" minValue="1" maxValue="20"/>
    </cacheField>
    <cacheField name="Total Tool cost" numFmtId="0">
      <sharedItems containsSemiMixedTypes="0" containsString="0" containsNumber="1" minValue="2568" maxValue="24767520.959613003"/>
    </cacheField>
    <cacheField name="Requested by Whom" numFmtId="0">
      <sharedItems containsBlank="1"/>
    </cacheField>
    <cacheField name="Approval Status" numFmtId="0">
      <sharedItems/>
    </cacheField>
    <cacheField name="Payment Status" numFmtId="0">
      <sharedItems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hnny Yu (External)" refreshedDate="45748.602590625" createdVersion="8" refreshedVersion="8" minRefreshableVersion="3" recordCount="753">
  <cacheSource type="worksheet">
    <worksheetSource ref="A3:AE756" sheet="Spend Track (part)"/>
  </cacheSource>
  <cacheFields count="31">
    <cacheField name="Project" numFmtId="0">
      <sharedItems count="14">
        <s v="Vega"/>
        <s v="KUMA E-Box NZ"/>
        <s v="KUMA E-Pen 1.0 ROW"/>
        <s v="Prismatic Pod"/>
        <s v="Hyper Pro "/>
        <s v="Hyper Core"/>
        <s v="Alto Pod "/>
        <s v="Prismatic Device"/>
        <s v="Alto Device"/>
        <s v="Hyper Pro"/>
        <s v="Box 800 Full 2.0"/>
        <s v="Box 5000 Full 2.0"/>
        <s v="Pen 800 Full 2.0"/>
        <s v="Adonis 1P"/>
      </sharedItems>
    </cacheField>
    <cacheField name="Product Category" numFmtId="0">
      <sharedItems/>
    </cacheField>
    <cacheField name="Part Name" numFmtId="0">
      <sharedItems/>
    </cacheField>
    <cacheField name="Part No." numFmtId="0">
      <sharedItems containsMixedTypes="1" containsNumber="1" containsInteger="1" minValue="22150202007" maxValue="240000090201002"/>
    </cacheField>
    <cacheField name="Supplier " numFmtId="0">
      <sharedItems/>
    </cacheField>
    <cacheField name="Commonality" numFmtId="0">
      <sharedItems/>
    </cacheField>
    <cacheField name="Commodity" numFmtId="0">
      <sharedItems/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2"/>
        <n v="1"/>
        <n v="2"/>
        <n v="3"/>
        <n v="4"/>
        <n v="5"/>
        <n v="6"/>
        <n v="7"/>
        <n v="8"/>
        <n v="9"/>
        <n v="10"/>
        <n v="11"/>
      </sharedItems>
    </cacheField>
    <cacheField name="Data Submit Date" numFmtId="14">
      <sharedItems containsSemiMixedTypes="0" containsNonDate="0" containsDate="1" containsString="0" minDate="2024-10-25T00:00:00" maxDate="2025-03-08T00:00:00"/>
    </cacheField>
    <cacheField name="Split" numFmtId="9">
      <sharedItems containsSemiMixedTypes="0" containsString="0" containsNumber="1" minValue="0.2" maxValue="1"/>
    </cacheField>
    <cacheField name="Unit price w/o amortization" numFmtId="0">
      <sharedItems containsString="0" containsBlank="1" containsNumber="1" minValue="3.85E-2" maxValue="27.14"/>
    </cacheField>
    <cacheField name="Unit Price with Amortization" numFmtId="0">
      <sharedItems containsString="0" containsBlank="1" containsNumber="1" minValue="3.85E-2" maxValue="27.14"/>
    </cacheField>
    <cacheField name="Amortization Cost" numFmtId="0">
      <sharedItems containsString="0" containsBlank="1" containsNumber="1" minValue="0" maxValue="0.33350000000000002"/>
    </cacheField>
    <cacheField name="Blended Amortization Cost" numFmtId="0">
      <sharedItems containsBlank="1" containsMixedTypes="1" containsNumber="1" minValue="0" maxValue="0.2001"/>
    </cacheField>
    <cacheField name="Usage in BOM" numFmtId="0">
      <sharedItems containsString="0" containsBlank="1" containsNumber="1" containsInteger="1" minValue="1" maxValue="1"/>
    </cacheField>
    <cacheField name="BOM cost" numFmtId="0">
      <sharedItems containsString="0" containsBlank="1" containsNumber="1" minValue="0" maxValue="27.14"/>
    </cacheField>
    <cacheField name="Shipped Volume" numFmtId="0">
      <sharedItems containsString="0" containsBlank="1" containsNumber="1" containsInteger="1" minValue="-9680" maxValue="136763959"/>
    </cacheField>
    <cacheField name="Cum Shipped Volume" numFmtId="0">
      <sharedItems containsString="0" containsBlank="1" containsNumber="1" containsInteger="1" minValue="0" maxValue="535376511"/>
    </cacheField>
    <cacheField name="Total Capex Cost" numFmtId="0">
      <sharedItems containsBlank="1" containsMixedTypes="1" containsNumber="1" minValue="0" maxValue="24767520.960000001" count="55">
        <n v="4760000"/>
        <n v="3450000"/>
        <n v="3740000"/>
        <n v="3400000"/>
        <n v="0"/>
        <n v="280000"/>
        <n v="460000"/>
        <n v="420000"/>
        <n v="400000"/>
        <n v="98000"/>
        <n v="4584750.8495575199"/>
        <n v="3933456.3584070802"/>
        <n v="105000"/>
        <n v="376000"/>
        <n v="98350"/>
        <n v="110600"/>
        <n v="200100"/>
        <n v="130350"/>
        <n v="188000"/>
        <n v="640000"/>
        <n v="675296"/>
        <n v="370000"/>
        <n v="484014"/>
        <n v="452729"/>
        <n v="24767520.959613007"/>
        <n v="10280498.428111985"/>
        <n v="10334790.195710123"/>
        <n v="5210924.002799158"/>
        <s v=" ¥4,760,000.0000 "/>
        <s v=" ¥3,450,000.0000 "/>
        <s v=" ¥3,740,000.0000 "/>
        <s v=" ¥3,400,000.0000 "/>
        <s v=" ¥-   "/>
        <n v="4584750.8499999996"/>
        <n v="3933456.36"/>
        <n v="381308"/>
        <n v="7349092.6100000003"/>
        <n v="3669841.38"/>
        <n v="2493610.17"/>
        <m/>
        <n v="381309"/>
        <n v="14000"/>
        <n v="111000"/>
        <n v="600000"/>
        <n v="24767520.960000001"/>
        <n v="10280498.43"/>
        <n v="10334790.199999999"/>
        <n v="5210924"/>
        <n v="7349092.9655000009"/>
        <n v="3669841.5325000002"/>
        <n v="2493610.0475000003"/>
        <n v="776500"/>
        <n v="441700"/>
        <n v="51500"/>
        <n v="26500"/>
      </sharedItems>
    </cacheField>
    <cacheField name="Remaining Capex Cost" numFmtId="0">
      <sharedItems containsBlank="1" containsMixedTypes="1" containsNumber="1" minValue="-5751616.1900000004" maxValue="14512443.633677848" count="355">
        <n v="4102217.0875000004"/>
        <n v="3051505.6512500001"/>
        <n v="3270384.0638333345"/>
        <n v="3222961.0343749998"/>
        <n v="2800579.2916666656"/>
        <n v="4049537.5300000003"/>
        <n v="3015132.2868750002"/>
        <n v="3236343.721416668"/>
        <n v="3190489.9793750001"/>
        <n v="2775184.3233333323"/>
        <n v="4028227.6900000004"/>
        <n v="2992132.2868750002"/>
        <n v="3215586.721416668"/>
        <n v="3174743.1731250002"/>
        <n v="2757589.3516666656"/>
        <n v="3962898.9000000004"/>
        <n v="2969132.2868750002"/>
        <n v="3176055.4980000015"/>
        <n v="3131982.5218750001"/>
        <n v="2716231.0574999987"/>
        <n v="3904770.4600000004"/>
        <n v="2931216.6575000002"/>
        <n v="3121704.1350000016"/>
        <n v="3085173.4824999999"/>
        <n v="2668976.8799999985"/>
        <n v="3848794.1137500005"/>
        <n v="2900396.6575000002"/>
        <n v="3082808.1350000016"/>
        <n v="3061059.9087499999"/>
        <n v="2639159.3899999987"/>
        <n v="3817537.8925000005"/>
        <n v="2884181.83"/>
        <n v="3051797.3016666682"/>
        <n v="3039969.4693749999"/>
        <n v="2618735.3916666652"/>
        <n v="3802181.2612500004"/>
        <n v="2879877.2506249999"/>
        <n v="3039401.4145000018"/>
        <n v="3030663.1375000002"/>
        <n v="2610276.1066666651"/>
        <n v="3795119.3550000004"/>
        <n v="2874550.0625"/>
        <n v="3033868.5208333349"/>
        <n v="3025644.8537499998"/>
        <n v="2604889.8974999981"/>
        <n v="3792092.8450000007"/>
        <n v="2872266.9962499999"/>
        <n v="3031497.2985000014"/>
        <n v="3023490.07"/>
        <n v="2602581.5383333317"/>
        <n v="0"/>
        <n v="279862.20500000002"/>
        <n v="459772.875"/>
        <n v="419905.5"/>
        <n v="399901.25"/>
        <n v="399916.25"/>
        <n v="279781.70500000002"/>
        <n v="459640.625"/>
        <n v="419590.5"/>
        <n v="399856.25"/>
        <n v="278971.45500000002"/>
        <n v="453219.6"/>
        <n v="415941.75"/>
        <n v="396457.75"/>
        <n v="392086.25"/>
        <n v="271468.81999999995"/>
        <n v="428352.86249999999"/>
        <n v="392943.67874999996"/>
        <n v="379591.875"/>
        <n v="375758.125"/>
        <n v="262857.34999999992"/>
        <n v="407632.68"/>
        <n v="371074.27874999994"/>
        <n v="361243.02500000002"/>
        <n v="353870"/>
        <n v="97934.860625000001"/>
        <n v="88279.557624999754"/>
        <n v="82910.027374999612"/>
        <n v="81783.664374999586"/>
        <n v="75683.430812499428"/>
        <n v="69069.735437499257"/>
        <n v="66820.534374999203"/>
        <n v="4584750.8495575199"/>
        <n v="3933456.3584070802"/>
        <n v="90959.887499999997"/>
        <n v="344230.59619047621"/>
        <n v="-23552.612125"/>
        <n v="97796.804000000004"/>
        <n v="20894.335000000006"/>
        <n v="94105.76"/>
        <n v="49711.176500000001"/>
        <n v="82610.324999999997"/>
        <n v="111625.40871428573"/>
        <n v="95592"/>
        <n v="186934.04"/>
        <n v="631423.96"/>
        <n v="673704.68"/>
        <n v="360287.5"/>
        <n v="482814.53333333333"/>
        <n v="452729"/>
        <n v="81755.925000000003"/>
        <n v="338666.15428571426"/>
        <n v="-44766.215375"/>
        <n v="87467.603999999992"/>
        <n v="-18531.065000000002"/>
        <n v="86097.76"/>
        <n v="8934.7984999999753"/>
        <n v="80639.264999999999"/>
        <n v="99043.505314285751"/>
        <n v="94808"/>
        <n v="181785.34666666668"/>
        <n v="619675.96"/>
        <n v="666561.54"/>
        <n v="354651.78333333338"/>
        <n v="77423.55"/>
        <n v="329686.91619047621"/>
        <n v="-49351.292375000019"/>
        <n v="83827.603999999992"/>
        <n v="-59103.065000000002"/>
        <n v="82737.759999999995"/>
        <n v="-38543.262000000017"/>
        <n v="79368.764999999999"/>
        <n v="98416.708028571462"/>
        <n v="93548"/>
        <n v="666064.38600000006"/>
        <n v="70382.512500000012"/>
        <n v="325180.28761904762"/>
        <n v="-89281.638250000018"/>
        <n v="82707.603999999992"/>
        <n v="-82917.065000000002"/>
        <n v="77137.759999999995"/>
        <n v="-170518.21650000004"/>
        <n v="66727.289999999994"/>
        <n v="85880.762314285763"/>
        <n v="89068"/>
        <n v="173113.84666666668"/>
        <n v="651118.43799999997"/>
        <n v="482585.73333333334"/>
        <n v="451716.32"/>
        <n v="65256.337500000001"/>
        <n v="314736.97714285715"/>
        <n v="-131545.092"/>
        <n v="-93501.065000000002"/>
        <n v="75167.12"/>
        <n v="-294347.43350000004"/>
        <n v="58341.99"/>
        <n v="74693.380457142921"/>
        <n v="84323.959999999992"/>
        <n v="159662.44666666668"/>
        <n v="479072.61333333334"/>
        <n v="52897.012500000004"/>
        <n v="301419.05714285717"/>
        <n v="-212648.92775000003"/>
        <n v="79963.603999999992"/>
        <n v="-114228.065"/>
        <n v="65605.679999999993"/>
        <n v="-348108.63400000008"/>
        <n v="48432.09"/>
        <n v="62157.434742857222"/>
        <n v="73235.959999999992"/>
        <n v="148156.84666666668"/>
        <n v="592719.90700000001"/>
        <n v="619897.59400000004"/>
        <n v="321727.33333333349"/>
        <n v="475825.45600000001"/>
        <n v="440705.52666666667"/>
        <n v="42668.587500000001"/>
        <n v="275626.17333333334"/>
        <n v="-232301.71650000004"/>
        <n v="79347.603999999992"/>
        <n v="50569.68"/>
        <n v="-415369.91450000007"/>
        <n v="36997.589999999997"/>
        <n v="47342.226171428672"/>
        <n v="63491.96"/>
        <n v="126964.54666666669"/>
        <n v="524120.39799999999"/>
        <n v="569929.43400000001"/>
        <n v="295169.35000000021"/>
        <n v="458228.44800000003"/>
        <n v="428823.6733333334"/>
        <n v="275626.17333333299"/>
        <n v="-232301.71650000001"/>
        <n v="79347.604000000007"/>
        <n v="-415369.91450000001"/>
        <n v="47342.226171428701"/>
        <n v="126964.546666667"/>
        <n v="478184.65"/>
        <n v="535320.89399999997"/>
        <n v="268529.35000000027"/>
        <n v="449018.76266666671"/>
        <n v="415742.90000000008"/>
        <n v="461584.72600000002"/>
        <n v="501571.56"/>
        <n v="440106.72533333336"/>
        <n v="409236.14000000013"/>
        <n v="447429.72100000002"/>
        <n v="448588.08"/>
        <n v="246329.35000000033"/>
        <n v="429326.016"/>
        <n v="397180.98000000016"/>
        <n v="14512443.633677848"/>
        <n v="6333388.9968521539"/>
        <n v="6369731.7132581519"/>
        <n v="2577067.038859596"/>
        <n v="13344863.099950681"/>
        <n v="5890895.2816830883"/>
        <n v="5922094.6205570316"/>
        <n v="2280401.1184485699"/>
        <n v="12255473.093802281"/>
        <n v="5487883.0625268975"/>
        <n v="5507729.402989029"/>
        <n v="2012118.7002524906"/>
        <n v="11147489.249261405"/>
        <n v="5067876.2238928657"/>
        <n v="5083849.2201405745"/>
        <n v="1732171.829091365"/>
        <n v="10497389.58441323"/>
        <n v="4825445.9852173198"/>
        <n v="4818148.5659136157"/>
        <n v="1558371.479912166"/>
        <n v="9533290.088185994"/>
        <n v="4464281.6698109042"/>
        <n v="4452575.9949423689"/>
        <n v="1313417.9676461807"/>
        <n v="8852726.7559506465"/>
        <n v="4204534.9855156764"/>
        <n v="4184533.128729309"/>
        <n v="1143116.9543564958"/>
        <n v="8273929.9033018928"/>
        <n v="3989811.0598316211"/>
        <n v="3965225.3291004431"/>
        <n v="998477.73758991435"/>
        <n v="7860503.5799813531"/>
        <n v="3823573.1818826757"/>
        <n v="3791840.9575989889"/>
        <n v="887432.14536266774"/>
        <n v="7451171.5096634515"/>
        <n v="3673131.3944887463"/>
        <n v="3639172.5332317874"/>
        <n v="784784.95927025471"/>
        <n v="6916752.416570317"/>
        <n v="3464929.9966547713"/>
        <n v="3432341.3792548841"/>
        <n v="646911.12522340007"/>
        <n v="6159864.2246450223"/>
        <n v="3161903.3385570208"/>
        <n v="3115691.9031896265"/>
        <n v="448615.42481760308"/>
        <n v="5259953.6605375819"/>
        <n v="2828042.2670095544"/>
        <n v="2782044.1396516925"/>
        <n v="221158.59199918807"/>
        <m/>
        <n v="228809.73499999978"/>
        <n v="379591.2525"/>
        <n v="360004.52249999996"/>
        <n v="343408.8"/>
        <n v="330752.25"/>
        <n v="63963.34437499912"/>
        <n v="442988.97699999996"/>
        <n v="442126.68000000005"/>
        <n v="238929.35000000036"/>
        <n v="427549.21066666668"/>
        <n v="-4044816.8475000001"/>
        <n v="-1107825.1469999999"/>
        <n v="-1218526.3090000001"/>
        <n v="-1605525.9935000001"/>
        <s v=" ¥-   "/>
        <n v="214935.73499999975"/>
        <n v="358575.6925"/>
        <n v="349253.57249999995"/>
        <n v="332037.65000000002"/>
        <n v="322522.2"/>
        <n v="4584750.8499999996"/>
        <n v="3933456.36"/>
        <n v="275626.17330000002"/>
        <n v="47342.226199999997"/>
        <n v="126964.54670000001"/>
        <n v="419671.33299999998"/>
        <n v="410250.44"/>
        <n v="225214.68333333373"/>
        <n v="413749.79733333335"/>
        <n v="391241.08800000016"/>
        <n v="-4398001.5199999996"/>
        <n v="-1249372.8999999999"/>
        <n v="-1355364.35"/>
        <n v="-1671638.18"/>
        <n v="198809.32960069197"/>
        <n v="328709.7295856413"/>
        <n v="342152.238478838"/>
        <n v="319996.30825007259"/>
        <n v="311671.4957627753"/>
        <n v="63709.628499999119"/>
        <n v="409533.34299999999"/>
        <n v="352981.05200000003"/>
        <n v="225253.81449999998"/>
        <n v="405460.7868"/>
        <n v="382201.66850000003"/>
        <n v="381309"/>
        <n v="-4947562.9400000004"/>
        <n v="-1785095.01"/>
        <n v="-1476370.18"/>
        <n v="-1584214.22"/>
        <n v="7349092.6100000003"/>
        <n v="3669841.38"/>
        <n v="2493610.17"/>
        <n v="173777.36"/>
        <n v="321670.78999999998"/>
        <n v="341123.5"/>
        <n v="316839.87"/>
        <n v="286224.84999999998"/>
        <n v="37978.46"/>
        <n v="259475.72"/>
        <n v="-261822.21"/>
        <n v="66747.600000000006"/>
        <n v="-124812.07"/>
        <n v="46873.68"/>
        <n v="-447786.11"/>
        <n v="35472.99"/>
        <n v="41644.07"/>
        <n v="58493.96"/>
        <n v="116939.45"/>
        <n v="401497.71"/>
        <n v="21435.79"/>
        <n v="220676.02"/>
        <n v="137247.34"/>
        <n v="313724.77"/>
        <n v="14000"/>
        <n v="-1699.0204000000001"/>
        <n v="277470.40269999998"/>
        <n v="110798.9523"/>
        <n v="-5285265.3099999996"/>
        <n v="-1612959.49"/>
        <n v="-1728500.5"/>
        <n v="-1853125.83"/>
        <n v="776500"/>
        <n v="441700"/>
        <n v="51500"/>
        <n v="26500"/>
        <n v="163452.45000000001"/>
        <n v="319412.23"/>
        <n v="338975.16"/>
        <n v="316090.99"/>
        <n v="285895.23"/>
        <n v="398537.22"/>
        <n v="23158.83"/>
        <n v="214571.02"/>
        <n v="136446.20000000001"/>
        <n v="310323.31"/>
        <n v="110343.87"/>
        <n v="-5751616.1900000004"/>
        <n v="-1801376.29"/>
        <n v="-1928036.98"/>
        <n v="-1946098.71"/>
      </sharedItems>
    </cacheField>
    <cacheField name="Material Type" numFmtId="0">
      <sharedItems containsBlank="1"/>
    </cacheField>
    <cacheField name="Color" numFmtId="0">
      <sharedItems containsBlank="1"/>
    </cacheField>
    <cacheField name="Material Usage/part (g)" numFmtId="0">
      <sharedItems containsString="0" containsBlank="1" containsNumber="1" minValue="0.13" maxValue="20.6"/>
    </cacheField>
    <cacheField name="Material Supplier" numFmtId="0">
      <sharedItems containsBlank="1"/>
    </cacheField>
    <cacheField name="CMF Type" numFmtId="0">
      <sharedItems containsBlank="1"/>
    </cacheField>
    <cacheField name="CMF Cost/part" numFmtId="0">
      <sharedItems containsBlank="1" containsMixedTypes="1" containsNumber="1" minValue="0" maxValue="12.95"/>
    </cacheField>
    <cacheField name="Total Spend" numFmtId="190">
      <sharedItems containsBlank="1" containsMixedTypes="1" containsNumber="1" minValue="-133881.62" maxValue="46744973.040905267" count="558">
        <n v="10362788.967469621"/>
        <n v="1567058.085979654"/>
        <n v="2645733.8521265555"/>
        <n v="1272456.2746472659"/>
        <n v="2229262.8958217567"/>
        <n v="829919.91263102554"/>
        <n v="143036.34402074575"/>
        <n v="191777.3212827931"/>
        <n v="181986.37209883775"/>
        <n v="94444.619378393138"/>
        <n v="335717.7127196092"/>
        <n v="90446.291372989115"/>
        <n v="116941.29891942316"/>
        <n v="88254.11251900511"/>
        <n v="65436.206898149117"/>
        <n v="1029197.4014605308"/>
        <n v="222711.98218523475"/>
        <n v="239655.15717216861"/>
        <n v="153812.68838139725"/>
        <n v="915762.24508297758"/>
        <n v="149101.22008876153"/>
        <n v="306206.05035703984"/>
        <n v="262344.6407050186"/>
        <n v="175739.64847865319"/>
        <n v="881857.90833956865"/>
        <n v="121198.03043980541"/>
        <n v="219133.24482198217"/>
        <n v="135146.26503820915"/>
        <n v="110892.10495973095"/>
        <n v="492414.16670927819"/>
        <n v="63763.957070772034"/>
        <n v="174709.59823547455"/>
        <n v="118202.89016869728"/>
        <n v="75957.438633411803"/>
        <n v="241930.16551642213"/>
        <n v="16927.532190843885"/>
        <n v="69836.255071956839"/>
        <n v="52158.008893737031"/>
        <n v="31460.324799447495"/>
        <n v="111254.09734143065"/>
        <n v="20948.8873631512"/>
        <n v="31171.35290085513"/>
        <n v="28125.333587869281"/>
        <n v="20031.467177319922"/>
        <n v="47679.992657055351"/>
        <n v="8978.0380552755487"/>
        <n v="13359.05090748882"/>
        <n v="12076.641098357566"/>
        <n v="8584.8542917179511"/>
        <n v="7900.4418817964288"/>
        <n v="8788.9044845283861"/>
        <n v="1519.6201101569181"/>
        <n v="1517.0937964726641"/>
        <n v="475913.1855959759"/>
        <n v="423034.94500438473"/>
        <n v="69667.578846024495"/>
        <n v="108498.75558923376"/>
        <n v="24632.870285183191"/>
        <n v="255524.5411612819"/>
        <n v="17117.187672932065"/>
        <n v="12516.023820899478"/>
        <n v="209536.22709126293"/>
        <n v="53335.723998888127"/>
        <n v="28180.368469944136"/>
        <n v="0"/>
        <n v="400691.54551783297"/>
        <n v="462249.11872976599"/>
        <n v="72021.18273814315"/>
        <n v="110747.84714250447"/>
        <n v="218380.00531715446"/>
        <n v="307192.36552156688"/>
        <n v="44519.673301552066"/>
        <n v="103474.56358379107"/>
        <n v="81286.942109146301"/>
        <n v="17429.69626843014"/>
        <n v="15170.937964726641"/>
        <n v="79664.754258830857"/>
        <n v="7529.2826116085971"/>
        <n v="1306.8888097829772"/>
        <n v="830.81855951750879"/>
        <n v="573.78786266228963"/>
        <n v="494.08493951187558"/>
        <n v="4398.6156989331403"/>
        <n v="760.9732310128727"/>
        <n v="2769.3951983916963"/>
        <n v="261.47295007395479"/>
        <n v="44273.02323056617"/>
        <n v="36946.904655307611"/>
        <n v="32078.827714703813"/>
        <n v="19747.018240585228"/>
        <n v="46193.254643319233"/>
        <n v="409952.89558217692"/>
        <n v="143084.47319564436"/>
        <n v="202192.85108577812"/>
        <n v="97999.335373968046"/>
        <n v="96328.12719961007"/>
        <n v="470540.95817256859"/>
        <n v="119224.98468205205"/>
        <n v="192269.8773070075"/>
        <n v="106616.17644365523"/>
        <n v="129129.46766153279"/>
        <n v="20841.509698019854"/>
        <n v="3089238.8990809354"/>
        <n v="1717994.9420636287"/>
        <n v="360382.72378251614"/>
        <n v="1951785.3364885671"/>
        <n v="2116068.7571505187"/>
        <n v="719637.63479293918"/>
        <n v="881232.34109999996"/>
        <n v="579817.56034319894"/>
        <n v="576158.72109999997"/>
        <n v="71240.640599999999"/>
        <n v="131394.3475"/>
        <n v="21766.02"/>
        <n v="1306466.2652"/>
        <n v="86094.239000000001"/>
        <n v="80443.199999999997"/>
        <n v="13208.625671786447"/>
        <n v="4817.1424568621833"/>
        <n v="34550.002750258682"/>
        <n v="7066.4731639785787"/>
        <n v="32847.742873393479"/>
        <n v="19587.060000000001"/>
        <n v="577689.77429999993"/>
        <n v="101555.60832159256"/>
        <n v="100263.66379999999"/>
        <n v="57474.619999999995"/>
        <n v="67184.099999999991"/>
        <n v="44759"/>
        <n v="354234.84960000002"/>
        <n v="11026.6728"/>
        <n v="54053.440000000002"/>
        <n v="4300.4827768607038"/>
        <n v="23267.279497695297"/>
        <n v="47328.770890765314"/>
        <n v="31720.085913921743"/>
        <n v="19060.033150472573"/>
        <n v="271922.96100000001"/>
        <n v="163878.42709723493"/>
        <n v="21670.840799999998"/>
        <n v="20254"/>
        <n v="69138"/>
        <n v="18780"/>
        <n v="412454.08360000001"/>
        <n v="7107.54"/>
        <n v="2692.8"/>
        <n v="6911.4901770975594"/>
        <n v="2207.680038813442"/>
        <n v="441933.06569999998"/>
        <n v="82249.651247007045"/>
        <n v="188726.20209999999"/>
        <n v="6232"/>
        <n v="40581"/>
        <n v="31300"/>
        <n v="1146500.2644"/>
        <n v="70720.023000000001"/>
        <n v="53856"/>
        <n v="24574.187296346878"/>
        <n v="39187.071573680463"/>
        <n v="66369.517414611342"/>
        <n v="3736.26"/>
        <n v="4252.9628135338708"/>
        <n v="321746.08259999997"/>
        <n v="190598.94351546204"/>
        <n v="199753.36899999998"/>
        <n v="18036"/>
        <n v="11014.47"/>
        <n v="1075736.1544000001"/>
        <n v="46909.764000000003"/>
        <n v="48062.400000000001"/>
        <n v="26022.528460125322"/>
        <n v="60787.750050879935"/>
        <n v="57368.574000000008"/>
        <n v="775737.15339999995"/>
        <n v="243062.91454330066"/>
        <n v="383327.98179999995"/>
        <n v="15268.4"/>
        <n v="35320.5"/>
        <n v="53441.62"/>
        <n v="467037.33160000003"/>
        <n v="55438.811999999998"/>
        <n v="60821.113558458528"/>
        <n v="51994.553502639443"/>
        <n v="108596.9404627449"/>
        <n v="138640.4093977086"/>
        <n v="111350.71998433977"/>
        <n v="53025.454800000007"/>
        <n v="46242.144205645731"/>
        <n v="604698.69703546469"/>
        <n v="444360.20204581914"/>
        <n v="90573.89914317042"/>
        <n v="3427.6"/>
        <n v="84040.5"/>
        <n v="554995.86061640503"/>
        <n v="63967.86"/>
        <n v="63648"/>
        <n v="53448.857369554462"/>
        <n v="95769.379797141024"/>
        <n v="276364.52542390139"/>
        <n v="221890.41908188665"/>
        <n v="89819.285227202345"/>
        <n v="287355.75660000002"/>
        <n v="49900.344020352066"/>
        <n v="277277.53553782316"/>
        <n v="278240.26034970413"/>
        <n v="136051.22047824934"/>
        <n v="20658"/>
        <n v="267477.16789176367"/>
        <n v="8529.0480000000007"/>
        <n v="24480"/>
        <n v="27415.577702486986"/>
        <n v="45304.07786810863"/>
        <n v="185059.79679842791"/>
        <n v="153683.93481793682"/>
        <n v="90096.666167022122"/>
        <n v="150392.3904"/>
        <n v="54935.460914535848"/>
        <n v="203962.04740928861"/>
        <n v="378364.43288125604"/>
        <n v="220665.80352491117"/>
        <n v="6372.2199999999993"/>
        <n v="24799.5"/>
        <n v="43820"/>
        <n v="663739.63884252461"/>
        <n v="53306.55"/>
        <n v="45696"/>
        <n v="31834.170167040756"/>
        <n v="74551.014213343311"/>
        <n v="66875.553268651391"/>
        <n v="149868.51356933228"/>
        <n v="145531.85580000002"/>
        <n v="27326.508192706133"/>
        <n v="336759.07610294502"/>
        <n v="391993.89331844333"/>
        <n v="97472.609239299811"/>
        <n v="7478.4"/>
        <n v="21042"/>
        <n v="55025.4"/>
        <n v="528349.96126768133"/>
        <n v="53250.3554"/>
        <n v="64464"/>
        <n v="45154.915568366785"/>
        <n v="57025.790653952798"/>
        <n v="235280.3581644143"/>
        <n v="75080.555139185104"/>
        <n v="176046.91020000001"/>
        <n v="50628.181845401283"/>
        <n v="46744973.040905267"/>
        <n v="15815693.368150683"/>
        <n v="16939186.311276026"/>
        <n v="17939169.031699527"/>
        <n v="5322097.4194053812"/>
        <n v="1773030.375348381"/>
        <n v="1912357.1938876328"/>
        <n v="2020588.1204110226"/>
        <n v="4965687.2249663807"/>
        <n v="1614831.7630397819"/>
        <n v="1770215.9129204834"/>
        <n v="1827268.4181960754"/>
        <n v="5050442.1660320116"/>
        <n v="1682927.5924690994"/>
        <n v="1810864.9400014749"/>
        <n v="1906714.8711611221"/>
        <n v="2963302.0153222852"/>
        <n v="971394.98785981874"/>
        <n v="1135103.7834365414"/>
        <n v="1183752.1491791967"/>
        <n v="4394584.6069749519"/>
        <n v="1447151.1792270665"/>
        <n v="1561768.1094440566"/>
        <n v="1668375.5122659819"/>
        <n v="3102162.3345067236"/>
        <n v="1040780.34413552"/>
        <n v="1145109.9826864761"/>
        <n v="1159918.2132896825"/>
        <n v="2638287.5928982417"/>
        <n v="860378.41781869659"/>
        <n v="936908.16765257134"/>
        <n v="985136.01676657971"/>
        <n v="1884491.1377844582"/>
        <n v="666099.42024673277"/>
        <n v="740717.99579369964"/>
        <n v="756330.23222724511"/>
        <n v="1865828.6021303553"/>
        <n v="602805.98260977759"/>
        <n v="652217.08472903818"/>
        <n v="699128.78609241149"/>
        <n v="2436003.6794657311"/>
        <n v="834243.26695484901"/>
        <n v="883606.50106336258"/>
        <n v="939057.07404685265"/>
        <n v="3450068.390713085"/>
        <n v="1214199.096912236"/>
        <n v="1352763.0157728216"/>
        <n v="1350589.7004057949"/>
        <n v="4101996.8666683896"/>
        <n v="1337749.6689955217"/>
        <n v="1425381.6567705786"/>
        <n v="1549205.8328184118"/>
        <n v="4000919.6463731574"/>
        <n v="1332198.8404934655"/>
        <n v="1441397.1810039559"/>
        <n v="1525371.8969288976"/>
        <n v="4290841.359878459"/>
        <n v="1457092.4817897279"/>
        <n v="1565517.49381263"/>
        <n v="1588929.0593009351"/>
        <n v="2696271.9355993019"/>
        <n v="874255.48907383683"/>
        <n v="980950.85929435887"/>
        <n v="1056637.8244351218"/>
        <n v="5421518.6402854174"/>
        <n v="1714515.6228403938"/>
        <n v="1981174.1498204921"/>
        <n v="1914659.5164576268"/>
        <n v="2406350.2220940003"/>
        <n v="915886.70283925766"/>
        <n v="880853.83283575089"/>
        <n v="4482172.2885282421"/>
        <n v="1498033.3112602057"/>
        <n v="1604809.3303361258"/>
        <n v="1708098.7387485052"/>
        <n v="6818941.2993809702"/>
        <n v="2265435.3516694624"/>
        <n v="2465643.757880155"/>
        <n v="2598163.8334669122"/>
        <n v="1134161.5616481374"/>
        <n v="372000.91450263822"/>
        <n v="483844.00164429669"/>
        <n v="333623.19743725919"/>
        <n v="1860402.1596302046"/>
        <n v="161351.80103507164"/>
        <n v="97322.316844814181"/>
        <n v="103625.94273405947"/>
        <n v="136383.66698985864"/>
        <n v="914165.25095743313"/>
        <n v="192715.3140776873"/>
        <n v="182249.49892731392"/>
        <n v="36551.378590793262"/>
        <n v="3895"/>
        <n v="10274.674999999999"/>
        <n v="148254.44876716839"/>
        <n v="13504.326000000001"/>
        <n v="3071.7734120433597"/>
        <n v="17890.27539670929"/>
        <n v="28692.726605416377"/>
        <n v="25026.8517130617"/>
        <n v="29014.889400000004"/>
        <n v="1681754.7654953371"/>
        <n v="578558.22907888959"/>
        <n v="628984.69000927836"/>
        <n v="659405.55960988801"/>
        <n v="4177844.6969999997"/>
        <n v="2590503.9926999998"/>
        <n v="2869516.5447"/>
        <n v="1717966.9298999999"/>
        <n v="2979062.7125999997"/>
        <n v="2901171.9320999999"/>
        <n v="3618293.6906999997"/>
        <n v="1715759.4948"/>
        <n v="1357042.6544999999"/>
        <n v="1293575.2478999998"/>
        <n v="789665.75999999989"/>
        <n v="8418.1020000000008"/>
        <n v="1227.5136"/>
        <n v="6432.1535999999996"/>
        <n v="6739.6895999999997"/>
        <n v="3919.6080000000002"/>
        <n v="758091.85350308556"/>
        <n v="120924.60185062297"/>
        <n v="94519.45812110859"/>
        <n v="66072.180805187803"/>
        <n v="48553.358285727896"/>
        <n v="129806.32432457889"/>
        <n v="187331.43534697354"/>
        <n v="110007.68333315382"/>
        <n v="3116"/>
        <n v="4175"/>
        <n v="24007.1"/>
        <n v="301839.1781331675"/>
        <n v="69653.892000000007"/>
        <n v="19433.760000000002"/>
        <n v="15358.867060216799"/>
        <n v="58493.872690469369"/>
        <n v="93939.004987098102"/>
        <n v="141550.78458672081"/>
        <n v="46383.09850820768"/>
        <n v="225341.76600000003"/>
        <n v="24945.826709727979"/>
        <n v="1304647.7107738557"/>
        <n v="418243.36340388167"/>
        <n v="435422.06509494502"/>
        <n v="450289.25433039083"/>
        <n v="5961246.7199999997"/>
        <n v="1917603.8400000001"/>
        <n v="8239514.0200000005"/>
        <n v="9943363.2200000007"/>
        <n v="1401998.12"/>
        <n v="3626772.48"/>
        <n v="2046057.46"/>
        <n v="2834094.5"/>
        <n v="3199806"/>
        <n v="-7924.88"/>
        <n v="1106714.92"/>
        <n v="595180.20000000007"/>
        <n v="2971070.08"/>
        <n v="12589486.08"/>
        <n v="7213432.04"/>
        <n v="1748304.52"/>
        <n v="-32513.72"/>
        <n v="3707191.1321999999"/>
        <n v="-12909.903"/>
        <n v="5380501.4604000002"/>
        <n v="4098298.8933000001"/>
        <n v="532137.20279999997"/>
        <n v="2384019.5244"/>
        <n v="715090.94880000001"/>
        <n v="4071977.04"/>
        <n v="4507302.6399999997"/>
        <n v="1393916.4918"/>
        <n v="6707.9999999999991"/>
        <n v="4559.5439999999999"/>
        <n v="8946.8073999999997"/>
        <n v="762.62399999999991"/>
        <n v="770"/>
        <n v="875898.25657016446"/>
        <n v="172403.44835486423"/>
        <n v="61575.425189840571"/>
        <n v="70660.014239735421"/>
        <n v="64263.342017664152"/>
        <n v="81177.043368225335"/>
        <n v="418964.64912399306"/>
        <n v="240570.69582352304"/>
        <n v="221155.33091675214"/>
        <n v="11840.8"/>
        <n v="12303.725"/>
        <n v="41722.9"/>
        <n v="498844.91811813921"/>
        <n v="56370.82"/>
        <n v="40800"/>
        <n v="36669.295106267607"/>
        <n v="46451.016548313914"/>
        <n v="40842.577970962702"/>
        <n v="97575.821722650973"/>
        <n v="135974.95560000002"/>
        <n v="38039.303284829832"/>
        <m/>
        <n v="1633164.4000000001"/>
        <n v="525242.69999999995"/>
        <n v="562403"/>
        <n v="210600"/>
        <n v="-133881.62"/>
        <n v="-44292.480000000003"/>
        <n v="6708"/>
        <n v="27357.26"/>
        <n v="10269.950000000001"/>
        <n v="9119.09"/>
        <n v="5565.88"/>
        <n v="5775.02"/>
        <n v="1848.44"/>
        <n v="3340.26"/>
        <n v="783.9"/>
        <n v="875898.26"/>
        <n v="40532.080000000002"/>
        <n v="35573.839999999997"/>
        <n v="11608.48"/>
        <n v="2610.4699999999998"/>
        <n v="1895.82"/>
        <n v="32357.91"/>
        <n v="9033.07"/>
        <n v="12808.45"/>
        <n v="18367.89"/>
        <n v="12750.29"/>
        <n v="19610.47"/>
        <n v="6767.21"/>
        <n v="10332.540000000001"/>
        <n v="23242.04"/>
        <n v="150194.89000000001"/>
        <n v="13301.87"/>
        <n v="106414.98"/>
        <n v="33254.68"/>
        <n v="3116.29"/>
        <n v="19278.97"/>
        <n v="12060.92"/>
        <n v="17283.21"/>
        <n v="34609.61"/>
        <n v="54391.93"/>
        <n v="29126.880000000001"/>
        <n v="5764.6"/>
        <n v="45644.86"/>
        <n v="21910"/>
        <n v="347423.12"/>
        <n v="14090.75"/>
        <n v="25120"/>
        <n v="4755.72"/>
        <n v="38701.75"/>
        <n v="32372.880000000001"/>
        <n v="72309.62"/>
        <n v="15349.8"/>
        <n v="16145.17"/>
        <n v="27738.9"/>
        <n v="15751.71"/>
        <n v="5281103.04"/>
        <n v="183099.6"/>
        <n v="9113613.8399999999"/>
        <n v="-263.45"/>
        <n v="12154.61"/>
        <n v="70408.960000000006"/>
        <n v="5752271.0999999996"/>
        <n v="211350"/>
        <n v="2978970.44"/>
        <n v="948536.88"/>
        <n v="1055568.0900000001"/>
        <n v="1262349.6599999999"/>
        <n v="36476.35"/>
        <n v="12527.77"/>
        <n v="41035.9"/>
        <n v="10761.97"/>
        <n v="7580.83"/>
        <n v="66.2"/>
        <n v="8665.32"/>
        <n v="4300.18"/>
        <n v="5130.63"/>
        <n v="13005.36"/>
        <n v="26600.98"/>
        <n v="37717.800000000003"/>
        <n v="9753.36"/>
        <n v="39564.32"/>
        <n v="7484.01"/>
        <n v="18863.97"/>
        <n v="5106.53"/>
        <n v="4357.88"/>
        <n v="10168.39"/>
        <n v="4575.92"/>
        <n v="17605.849999999999"/>
        <n v="6762.13"/>
        <n v="1945.51"/>
        <n v="685.18"/>
        <n v="4381.62"/>
        <n v="969.6"/>
        <n v="675.33"/>
        <n v="4968.17"/>
        <n v="6579.2"/>
        <n v="290160"/>
        <n v="4560"/>
        <n v="4147.34"/>
        <n v="11926.85"/>
        <n v="-6790.52"/>
        <n v="20647.150000000001"/>
        <n v="6289.37"/>
        <n v="6793.2"/>
        <n v="14285.18"/>
        <s v=" ¥-   "/>
        <n v="178941.57"/>
        <n v="4145341.2"/>
        <n v="1308450"/>
        <n v="1459766.88"/>
        <n v="1725163.44"/>
      </sharedItems>
    </cacheField>
    <cacheField name="Total CMF Cost" numFmtId="190">
      <sharedItems containsBlank="1" containsMixedTypes="1" containsNumber="1" minValue="-63882.35" maxValue="6007142.3999999994"/>
    </cacheField>
    <cacheField name="Total Material Usage (kg)" numFmtId="0">
      <sharedItems containsBlank="1" containsMixedTypes="1" containsNumber="1" minValue="-26" maxValue="280701.96857999999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Johnny Yu (External)" refreshedDate="45748.603589583334" createdVersion="8" refreshedVersion="8" minRefreshableVersion="3" recordCount="323">
  <cacheSource type="worksheet">
    <worksheetSource ref="A3:V326" sheet="Capex tracker"/>
  </cacheSource>
  <cacheFields count="22">
    <cacheField name="Project" numFmtId="0">
      <sharedItems count="16">
        <s v="VEGA"/>
        <s v="KUMA E-Box NZ"/>
        <s v="KUMA E-Pen 1.0 ROW"/>
        <s v="Alto Pod "/>
        <s v="Prismatic Pod"/>
        <s v="Hyper Pro 2P"/>
        <s v="Hyper Core"/>
        <s v="Hyper Pro"/>
        <s v="Artemis 1P"/>
        <s v="Artemis 2P"/>
        <s v="Box 800 Full 2.0"/>
        <s v="Box 5000 Full 2.0"/>
        <s v="Pen 800 Full 2.0"/>
        <s v="Alto Device"/>
        <s v="Adonis 1P"/>
        <s v="Adonis 2P"/>
      </sharedItems>
    </cacheField>
    <cacheField name="Product Category" numFmtId="0">
      <sharedItems/>
    </cacheField>
    <cacheField name="Part Name" numFmtId="0">
      <sharedItems/>
    </cacheField>
    <cacheField name="Part No." numFmtId="0">
      <sharedItems containsMixedTypes="1" containsNumber="1" containsInteger="1" minValue="22150202007" maxValue="240000600201045"/>
    </cacheField>
    <cacheField name="Supplier " numFmtId="0">
      <sharedItems/>
    </cacheField>
    <cacheField name="Year" numFmtId="0">
      <sharedItems containsSemiMixedTypes="0" containsString="0" containsNumber="1" containsInteger="1" minValue="2020" maxValue="2024"/>
    </cacheField>
    <cacheField name="Month" numFmtId="0">
      <sharedItems containsSemiMixedTypes="0" containsString="0" containsNumber="1" containsInteger="1" minValue="1" maxValue="11"/>
    </cacheField>
    <cacheField name="Stage" numFmtId="0">
      <sharedItems/>
    </cacheField>
    <cacheField name="Data Submit Date" numFmtId="14">
      <sharedItems containsSemiMixedTypes="0" containsNonDate="0" containsDate="1" containsString="0" minDate="2024-10-25T00:00:00" maxDate="2025-02-19T00:00:00"/>
    </cacheField>
    <cacheField name="Cavity" numFmtId="0">
      <sharedItems containsString="0" containsBlank="1" containsNumber="1" containsInteger="1" minValue="1" maxValue="48"/>
    </cacheField>
    <cacheField name="Tooling Capacity Per Month" numFmtId="0">
      <sharedItems containsString="0" containsBlank="1" containsNumber="1" minValue="1000" maxValue="11108448"/>
    </cacheField>
    <cacheField name="Total Capacity Per Month" numFmtId="0">
      <sharedItems containsString="0" containsBlank="1" containsNumber="1" minValue="0" maxValue="44433792"/>
    </cacheField>
    <cacheField name="Tooling life" numFmtId="0">
      <sharedItems containsString="0" containsBlank="1" containsNumber="1" containsInteger="1" minValue="50000" maxValue="120000000"/>
    </cacheField>
    <cacheField name="Tool type" numFmtId="0">
      <sharedItems count="4">
        <s v="Hard tool"/>
        <s v="Soft tool"/>
        <s v="Hard tool EC"/>
        <s v="Soft tool EC"/>
      </sharedItems>
    </cacheField>
    <cacheField name="Kick off date" numFmtId="0">
      <sharedItems containsSemiMixedTypes="0" containsNonDate="0" containsDate="1" containsString="0" minDate="2020-01-01T00:00:00" maxDate="2024-12-02T00:00:00"/>
    </cacheField>
    <cacheField name="Tool Unit cost" numFmtId="0">
      <sharedItems containsSemiMixedTypes="0" containsString="0" containsNumber="1" minValue="0" maxValue="4584750.8495575199"/>
    </cacheField>
    <cacheField name="Q'ty" numFmtId="0">
      <sharedItems containsSemiMixedTypes="0" containsString="0" containsNumber="1" containsInteger="1" minValue="1" maxValue="58"/>
    </cacheField>
    <cacheField name="Total Tool cost" numFmtId="0">
      <sharedItems containsSemiMixedTypes="0" containsString="0" containsNumber="1" minValue="0" maxValue="24767520.959613003"/>
    </cacheField>
    <cacheField name="Requested by Whom" numFmtId="0">
      <sharedItems/>
    </cacheField>
    <cacheField name="Approval Status" numFmtId="0">
      <sharedItems/>
    </cacheField>
    <cacheField name="Payment Status" numFmtId="0">
      <sharedItems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s v="VEGA"/>
    <s v="MODI"/>
    <s v="Mouth Piece"/>
    <s v="310493191000"/>
    <s v="JEE"/>
    <n v="2023"/>
    <n v="3"/>
    <s v="MP"/>
    <d v="2024-10-25T00:00:00"/>
    <n v="32"/>
    <n v="1261807.65957447"/>
    <n v="8832653.6170212906"/>
    <n v="1000000"/>
    <x v="0"/>
    <d v="2023-03-27T00:00:00"/>
    <n v="680000"/>
    <n v="7"/>
    <n v="4760000"/>
    <s v="Srikanth Naule"/>
    <s v="Approved"/>
    <s v="No"/>
    <m/>
  </r>
  <r>
    <s v="VEGA"/>
    <s v="MODI"/>
    <s v="Top Plastic Bracket"/>
    <s v="310493192000"/>
    <s v="JEE"/>
    <n v="2023"/>
    <n v="3"/>
    <s v="MP"/>
    <d v="2024-10-25T00:00:00"/>
    <n v="48"/>
    <n v="4447872"/>
    <n v="22239360"/>
    <n v="1000000"/>
    <x v="0"/>
    <d v="2023-03-27T00:00:00"/>
    <n v="690000"/>
    <n v="5"/>
    <n v="3450000"/>
    <s v="Srikanth Naule"/>
    <s v="Approved"/>
    <s v="No"/>
    <m/>
  </r>
  <r>
    <s v="VEGA"/>
    <s v="MODI"/>
    <s v=" Bottom Plastic Bracket"/>
    <s v="310493193000"/>
    <s v="JEE"/>
    <n v="2023"/>
    <n v="3"/>
    <s v="MP"/>
    <d v="2024-10-25T00:00:00"/>
    <n v="48"/>
    <n v="2703873.556231"/>
    <n v="13519367.781155"/>
    <n v="1000000"/>
    <x v="0"/>
    <d v="2023-03-27T00:00:00"/>
    <n v="748000"/>
    <n v="5"/>
    <n v="3740000"/>
    <s v="Srikanth Naule"/>
    <s v="Approved"/>
    <s v="No"/>
    <m/>
  </r>
  <r>
    <s v="VEGA"/>
    <s v="MODI"/>
    <s v=" Bottom cap"/>
    <s v="310493194000"/>
    <s v="JEE"/>
    <n v="2023"/>
    <n v="3"/>
    <s v="MP"/>
    <d v="2024-10-25T00:00:00"/>
    <n v="48"/>
    <n v="3706560"/>
    <n v="18532800"/>
    <n v="1000000"/>
    <x v="0"/>
    <d v="2023-03-27T00:00:00"/>
    <n v="690000"/>
    <n v="5"/>
    <n v="3450000"/>
    <s v="Srikanth Naule"/>
    <s v="Approved"/>
    <s v="No"/>
    <m/>
  </r>
  <r>
    <s v="VEGA"/>
    <s v="MODI"/>
    <s v="Air Flow slider"/>
    <s v="310493195000"/>
    <s v="JEE"/>
    <n v="2023"/>
    <n v="3"/>
    <s v="MP"/>
    <d v="2024-10-25T00:00:00"/>
    <n v="48"/>
    <n v="3801600"/>
    <n v="19008000"/>
    <n v="1000000"/>
    <x v="0"/>
    <d v="2023-03-27T00:00:00"/>
    <n v="680000"/>
    <n v="5"/>
    <n v="3400000"/>
    <s v="Srikanth Naule"/>
    <s v="Approved"/>
    <s v="No"/>
    <m/>
  </r>
  <r>
    <s v="KUMA E-Box NZ"/>
    <s v="RCS DEVICE"/>
    <s v="Top cover"/>
    <s v="130040670021260"/>
    <s v="JEE"/>
    <n v="2024"/>
    <n v="1"/>
    <s v="MP"/>
    <d v="2024-10-25T00:00:00"/>
    <n v="4"/>
    <n v="211822"/>
    <n v="211822"/>
    <n v="300000"/>
    <x v="1"/>
    <d v="2023-11-01T00:00:00"/>
    <n v="160000"/>
    <n v="1"/>
    <n v="160000"/>
    <s v="Chris"/>
    <s v="Approved"/>
    <s v="No"/>
    <m/>
  </r>
  <r>
    <s v="KUMA E-Box NZ"/>
    <s v="RCS DEVICE"/>
    <s v="Bottom cover"/>
    <s v="130040670021261"/>
    <s v="JEE"/>
    <n v="2024"/>
    <n v="1"/>
    <s v="MP"/>
    <d v="2024-10-25T00:00:00"/>
    <n v="4"/>
    <n v="211822"/>
    <n v="211822"/>
    <n v="300000"/>
    <x v="1"/>
    <d v="2023-11-01T00:00:00"/>
    <n v="180000"/>
    <n v="1"/>
    <n v="180000"/>
    <s v="Chris"/>
    <s v="Approved"/>
    <s v="No"/>
    <m/>
  </r>
  <r>
    <s v="KUMA E-Box NZ"/>
    <s v="RCS DEVICE"/>
    <s v="Button"/>
    <s v="130040670021263"/>
    <s v="JEE"/>
    <n v="2024"/>
    <n v="1"/>
    <s v="MP"/>
    <d v="2024-10-25T00:00:00"/>
    <n v="4"/>
    <n v="296530"/>
    <n v="296530"/>
    <n v="300000"/>
    <x v="1"/>
    <d v="2023-11-01T00:00:00"/>
    <n v="140000"/>
    <n v="1"/>
    <n v="140000"/>
    <s v="Chris"/>
    <s v="Approved"/>
    <s v="No"/>
    <m/>
  </r>
  <r>
    <s v="KUMA E-Box NZ"/>
    <s v="RCS DEVICE"/>
    <s v="PCB holder"/>
    <s v="130040670021262"/>
    <s v="JEE"/>
    <n v="2024"/>
    <n v="1"/>
    <s v="MP"/>
    <d v="2024-10-25T00:00:00"/>
    <n v="4"/>
    <n v="296530"/>
    <n v="296530"/>
    <n v="300000"/>
    <x v="1"/>
    <d v="2023-11-01T00:00:00"/>
    <n v="180000"/>
    <n v="1"/>
    <n v="180000"/>
    <s v="Chris"/>
    <s v="Approved"/>
    <s v="No"/>
    <m/>
  </r>
  <r>
    <s v="KUMA E-Pen 1.0 ROW"/>
    <s v="RCS DEVICE"/>
    <s v="Battery tube"/>
    <s v="120020670031773"/>
    <s v="JEE"/>
    <n v="2024"/>
    <n v="6"/>
    <s v="MP"/>
    <d v="2024-10-25T00:00:00"/>
    <n v="8"/>
    <n v="356448"/>
    <n v="356448"/>
    <n v="1000000"/>
    <x v="0"/>
    <d v="2024-04-01T00:00:00"/>
    <n v="280000"/>
    <n v="1"/>
    <n v="280000"/>
    <s v="Chris"/>
    <s v="Approved"/>
    <s v="No"/>
    <m/>
  </r>
  <r>
    <s v="KUMA E-Pen 1.0 ROW"/>
    <s v="RCS DEVICE"/>
    <s v="Bottom cap"/>
    <s v="130020670031775"/>
    <s v="JEE"/>
    <n v="2024"/>
    <n v="6"/>
    <s v="MP"/>
    <d v="2024-10-25T00:00:00"/>
    <n v="16"/>
    <n v="750432"/>
    <n v="750432"/>
    <n v="1000000"/>
    <x v="0"/>
    <d v="2024-04-01T00:00:00"/>
    <n v="460000"/>
    <n v="1"/>
    <n v="460000"/>
    <s v="Chris"/>
    <s v="Approved"/>
    <s v="No"/>
    <m/>
  </r>
  <r>
    <s v="KUMA E-Pen 1.0 ROW"/>
    <s v="RCS DEVICE"/>
    <s v="Holder"/>
    <s v="130020670031776"/>
    <s v="JEE"/>
    <n v="2024"/>
    <n v="6"/>
    <s v="MP"/>
    <d v="2024-10-25T00:00:00"/>
    <n v="16"/>
    <n v="893952"/>
    <n v="893952"/>
    <n v="1000000"/>
    <x v="0"/>
    <d v="2024-04-01T00:00:00"/>
    <n v="420000"/>
    <n v="1"/>
    <n v="420000"/>
    <s v="Chris"/>
    <s v="Approved"/>
    <s v="No"/>
    <m/>
  </r>
  <r>
    <s v="KUMA E-Pen 1.0 ROW"/>
    <s v="RCS DEVICE"/>
    <s v="Button"/>
    <s v="130020670031777"/>
    <s v="JEE"/>
    <n v="2024"/>
    <n v="6"/>
    <s v="MP"/>
    <d v="2024-10-25T00:00:00"/>
    <n v="16"/>
    <n v="893952"/>
    <n v="893952"/>
    <n v="1000000"/>
    <x v="0"/>
    <d v="2024-04-01T00:00:00"/>
    <n v="400000"/>
    <n v="1"/>
    <n v="400000"/>
    <s v="Chris"/>
    <s v="Approved"/>
    <s v="No"/>
    <m/>
  </r>
  <r>
    <s v="KUMA E-Pen 1.0 ROW"/>
    <s v="RCS DEVICE"/>
    <s v="Light guide"/>
    <s v="130020670035243"/>
    <s v="JEE"/>
    <n v="2024"/>
    <n v="6"/>
    <s v="MP"/>
    <d v="2024-10-25T00:00:00"/>
    <n v="16"/>
    <n v="903168"/>
    <n v="903168"/>
    <n v="1000000"/>
    <x v="0"/>
    <d v="2024-04-01T00:00:00"/>
    <n v="400000"/>
    <n v="1"/>
    <n v="400000"/>
    <s v="Chris"/>
    <s v="Approved"/>
    <s v="No"/>
    <m/>
  </r>
  <r>
    <s v="Alto Pod "/>
    <s v="RCS POD"/>
    <s v="Cartomizer tube"/>
    <s v="130010390000214"/>
    <s v="JEE"/>
    <n v="2022"/>
    <n v="6"/>
    <s v="MP"/>
    <d v="2024-10-25T00:00:00"/>
    <n v="16"/>
    <n v="1185600"/>
    <n v="23712000"/>
    <n v="1000000"/>
    <x v="0"/>
    <d v="2022-06-01T00:00:00"/>
    <n v="1238376.0479806501"/>
    <n v="20"/>
    <n v="24767520.959613003"/>
    <m/>
    <s v="Approved"/>
    <s v="Yes"/>
    <m/>
  </r>
  <r>
    <s v="Alto Pod "/>
    <s v="RCS POD"/>
    <s v="Heating holder"/>
    <s v="130010390000215"/>
    <s v="JEE"/>
    <n v="2022"/>
    <n v="6"/>
    <s v="MP"/>
    <d v="2024-10-25T00:00:00"/>
    <n v="32"/>
    <n v="2695680"/>
    <n v="21565440"/>
    <n v="1000000"/>
    <x v="0"/>
    <d v="2022-06-01T00:00:00"/>
    <n v="1285062.3035139963"/>
    <n v="8"/>
    <n v="10280498.42811197"/>
    <m/>
    <s v="Approved"/>
    <s v="Yes"/>
    <m/>
  </r>
  <r>
    <s v="Alto Pod "/>
    <s v="RCS POD"/>
    <s v="Heater top cover"/>
    <s v="130010390000216"/>
    <s v="JEE"/>
    <n v="2022"/>
    <n v="6"/>
    <s v="MP"/>
    <d v="2024-10-25T00:00:00"/>
    <n v="32"/>
    <n v="2695680"/>
    <n v="21565440"/>
    <n v="1000000"/>
    <x v="0"/>
    <d v="2022-06-01T00:00:00"/>
    <n v="1291848.7744637618"/>
    <n v="8"/>
    <n v="10334790.195710095"/>
    <m/>
    <s v="Approved"/>
    <s v="Yes"/>
    <m/>
  </r>
  <r>
    <s v="Alto Pod "/>
    <s v="RCS POD"/>
    <s v="Cartomizer holder tap"/>
    <s v="130010390000221"/>
    <s v="JEE"/>
    <n v="2022"/>
    <n v="6"/>
    <s v="MP"/>
    <d v="2024-10-25T00:00:00"/>
    <n v="32"/>
    <n v="2526368"/>
    <n v="20210944"/>
    <n v="1000000"/>
    <x v="0"/>
    <d v="2022-06-01T00:00:00"/>
    <n v="651365.50034989498"/>
    <n v="8"/>
    <n v="5210924.0027991598"/>
    <m/>
    <s v="Approved"/>
    <s v="Yes"/>
    <m/>
  </r>
  <r>
    <s v="Prismatic Pod"/>
    <s v="RCS POD"/>
    <s v="Cartomizer tube"/>
    <s v="130010390000214"/>
    <s v="JEE"/>
    <n v="2023"/>
    <n v="6"/>
    <s v="MP"/>
    <d v="2024-10-25T00:00:00"/>
    <n v="16"/>
    <n v="1185600"/>
    <n v="1185600"/>
    <n v="1000000"/>
    <x v="0"/>
    <d v="2023-06-01T00:00:00"/>
    <n v="4584750.8495575199"/>
    <n v="1"/>
    <n v="4584750.8495575199"/>
    <s v="Chris"/>
    <s v="Approved"/>
    <s v="No"/>
    <s v="Indonesia"/>
  </r>
  <r>
    <s v="Prismatic Pod"/>
    <s v="RCS POD"/>
    <s v="Cartomizer tube"/>
    <s v="130010390000214"/>
    <s v="JEE"/>
    <n v="2023"/>
    <n v="6"/>
    <s v="MP"/>
    <d v="2024-10-25T00:00:00"/>
    <n v="16"/>
    <n v="1185600"/>
    <n v="1185600"/>
    <n v="1000000"/>
    <x v="0"/>
    <d v="2023-06-01T00:00:00"/>
    <n v="3933456.3584070802"/>
    <n v="1"/>
    <n v="3933456.3584070802"/>
    <s v="Chris"/>
    <s v="Approved"/>
    <s v="No"/>
    <s v="Indonesia"/>
  </r>
  <r>
    <s v="Prismatic Pod"/>
    <s v="RCS POD"/>
    <s v="Cartomizer tube"/>
    <s v="130010390000214"/>
    <s v="JEE"/>
    <n v="2023"/>
    <n v="6"/>
    <s v="MP"/>
    <d v="2024-10-25T00:00:00"/>
    <n v="16"/>
    <n v="1185600"/>
    <n v="1185600"/>
    <n v="1000000"/>
    <x v="1"/>
    <d v="2023-01-01T00:00:00"/>
    <n v="98000"/>
    <n v="1"/>
    <n v="98000"/>
    <s v="Chris"/>
    <s v="Approved"/>
    <s v="No"/>
    <s v="China"/>
  </r>
  <r>
    <s v="Hyper Pro 2P"/>
    <s v="HP"/>
    <s v="Botton cover"/>
    <n v="22150202014"/>
    <s v="JEE"/>
    <n v="2023"/>
    <n v="1"/>
    <s v="MP"/>
    <d v="2024-10-25T00:00:00"/>
    <n v="16"/>
    <n v="860860"/>
    <n v="860860"/>
    <n v="1000000"/>
    <x v="0"/>
    <d v="2023-01-01T00:00:00"/>
    <n v="105000"/>
    <n v="1"/>
    <n v="105000"/>
    <s v="Chris"/>
    <s v="Approved"/>
    <s v="Yes"/>
    <s v="China"/>
  </r>
  <r>
    <s v="Hyper Pro 2P"/>
    <s v="HP"/>
    <s v="Cleanout door"/>
    <n v="22150202015"/>
    <s v="JEE"/>
    <n v="2023"/>
    <n v="1"/>
    <s v="MP"/>
    <d v="2024-10-25T00:00:00"/>
    <n v="16"/>
    <n v="531960"/>
    <n v="531960"/>
    <n v="1000000"/>
    <x v="0"/>
    <d v="2023-01-01T00:00:00"/>
    <n v="376000"/>
    <n v="1"/>
    <n v="376000"/>
    <s v="Chris"/>
    <s v="Approved"/>
    <s v="Yes"/>
    <s v="China"/>
  </r>
  <r>
    <s v="Hyper Pro 2P"/>
    <s v="HP"/>
    <s v="Button"/>
    <n v="22150202010"/>
    <s v="JEE"/>
    <n v="2023"/>
    <n v="1"/>
    <s v="MP"/>
    <d v="2024-10-25T00:00:00"/>
    <n v="16"/>
    <n v="994136"/>
    <n v="994136"/>
    <n v="1000000"/>
    <x v="0"/>
    <d v="2023-01-01T00:00:00"/>
    <n v="98350"/>
    <n v="1"/>
    <n v="98350"/>
    <s v="Chris"/>
    <s v="Approved"/>
    <s v="Yes"/>
    <s v="China"/>
  </r>
  <r>
    <s v="Hyper Pro 2P"/>
    <s v="HP"/>
    <s v="Crown Support"/>
    <n v="22150202008"/>
    <s v="JEE"/>
    <n v="2023"/>
    <n v="1"/>
    <s v="MP"/>
    <d v="2024-10-25T00:00:00"/>
    <n v="16"/>
    <n v="1129700"/>
    <n v="1129700"/>
    <n v="1000000"/>
    <x v="0"/>
    <d v="2023-01-01T00:00:00"/>
    <n v="110600"/>
    <n v="1"/>
    <n v="110600"/>
    <s v="Chris"/>
    <s v="Approved"/>
    <s v="Yes"/>
    <s v="China"/>
  </r>
  <r>
    <s v="Hyper Pro 2P"/>
    <s v="HP"/>
    <s v="Connector frame"/>
    <n v="22150202017"/>
    <s v="JEE"/>
    <n v="2023"/>
    <n v="1"/>
    <s v="MP"/>
    <d v="2024-10-25T00:00:00"/>
    <n v="16"/>
    <n v="1141140"/>
    <n v="1141140"/>
    <n v="1000000"/>
    <x v="0"/>
    <d v="2023-01-01T00:00:00"/>
    <n v="98000"/>
    <n v="1"/>
    <n v="98000"/>
    <s v="Chris"/>
    <s v="Approved"/>
    <s v="Yes"/>
    <s v="China"/>
  </r>
  <r>
    <s v="Hyper Pro 2P"/>
    <s v="HP"/>
    <s v="Spin Wheel"/>
    <n v="22150202009"/>
    <s v="JEE"/>
    <n v="2023"/>
    <n v="1"/>
    <s v="MP"/>
    <d v="2024-10-25T00:00:00"/>
    <n v="16"/>
    <n v="988416"/>
    <n v="988416"/>
    <n v="1000000"/>
    <x v="0"/>
    <d v="2023-01-01T00:00:00"/>
    <n v="98000"/>
    <n v="1"/>
    <n v="98000"/>
    <s v="Chris"/>
    <s v="Approved"/>
    <s v="Yes"/>
    <s v="China"/>
  </r>
  <r>
    <s v="Hyper Pro 2P"/>
    <s v="HP"/>
    <s v="Display bracket"/>
    <n v="22150202021"/>
    <s v="JEE"/>
    <n v="2023"/>
    <n v="1"/>
    <s v="MP"/>
    <d v="2024-10-25T00:00:00"/>
    <n v="16"/>
    <n v="1251978"/>
    <n v="1251978"/>
    <n v="1000000"/>
    <x v="0"/>
    <d v="2023-01-01T00:00:00"/>
    <n v="200100"/>
    <n v="1"/>
    <n v="200100"/>
    <s v="Chris"/>
    <s v="Approved"/>
    <s v="Yes"/>
    <s v="China"/>
  </r>
  <r>
    <s v="Hyper Pro 2P"/>
    <s v="HP"/>
    <s v=" PCBA Bracket "/>
    <n v="22150202018"/>
    <s v="JEE"/>
    <n v="2023"/>
    <n v="1"/>
    <s v="MP"/>
    <d v="2024-10-25T00:00:00"/>
    <n v="16"/>
    <n v="1065064"/>
    <n v="1065064"/>
    <n v="1000000"/>
    <x v="0"/>
    <d v="2023-01-01T00:00:00"/>
    <n v="98000"/>
    <n v="1"/>
    <n v="98000"/>
    <s v="Chris"/>
    <s v="Approved"/>
    <s v="Yes"/>
    <s v="China"/>
  </r>
  <r>
    <s v="Hyper Pro 2P"/>
    <s v="HP"/>
    <s v=" Shut Door"/>
    <n v="22150202007"/>
    <s v="JEE"/>
    <n v="2023"/>
    <n v="1"/>
    <s v="MP"/>
    <d v="2024-10-25T00:00:00"/>
    <n v="16"/>
    <n v="1129700"/>
    <n v="1129700"/>
    <n v="1000000"/>
    <x v="0"/>
    <d v="2023-01-01T00:00:00"/>
    <n v="130350"/>
    <n v="1"/>
    <n v="130350"/>
    <s v="Chris"/>
    <s v="Approved"/>
    <s v="Yes"/>
    <s v="China"/>
  </r>
  <r>
    <s v="Hyper Core"/>
    <s v="HP"/>
    <s v="Crown Support"/>
    <n v="23590202001"/>
    <s v="JEE"/>
    <n v="2023"/>
    <n v="1"/>
    <s v="MP"/>
    <d v="2024-10-25T00:00:00"/>
    <n v="16"/>
    <n v="50284"/>
    <n v="50284"/>
    <n v="1000000"/>
    <x v="0"/>
    <d v="2023-01-01T00:00:00"/>
    <n v="98000"/>
    <n v="1"/>
    <n v="98000"/>
    <s v="Chris"/>
    <s v="Approved"/>
    <s v="Yes"/>
    <s v="China"/>
  </r>
  <r>
    <s v="Hyper Core"/>
    <s v="HP"/>
    <s v="Connector frame"/>
    <n v="23480202015"/>
    <s v="JEE"/>
    <n v="2023"/>
    <n v="1"/>
    <s v="MP"/>
    <d v="2024-10-25T00:00:00"/>
    <n v="16"/>
    <n v="1251978"/>
    <n v="1251978"/>
    <n v="1000000"/>
    <x v="0"/>
    <d v="2023-01-01T00:00:00"/>
    <n v="188000"/>
    <n v="1"/>
    <n v="188000"/>
    <s v="Chris"/>
    <s v="Approved"/>
    <s v="Yes"/>
    <s v="China"/>
  </r>
  <r>
    <s v="Hyper Core"/>
    <s v="HP"/>
    <s v="Battery carrier"/>
    <n v="23480202012"/>
    <s v="JEE"/>
    <n v="2023"/>
    <n v="1"/>
    <s v="MP"/>
    <d v="2024-10-25T00:00:00"/>
    <n v="4"/>
    <n v="260832"/>
    <n v="521664"/>
    <n v="1000000"/>
    <x v="0"/>
    <d v="2023-01-01T00:00:00"/>
    <n v="320000"/>
    <n v="2"/>
    <n v="640000"/>
    <s v="Chris"/>
    <s v="Approved"/>
    <s v="No"/>
    <s v="China"/>
  </r>
  <r>
    <s v="Hyper Core"/>
    <s v="HP"/>
    <s v="Shutter Door Support"/>
    <n v="23480202005"/>
    <s v="JEE"/>
    <n v="2023"/>
    <n v="1"/>
    <s v="MP"/>
    <d v="2024-10-25T00:00:00"/>
    <n v="8"/>
    <n v="387114"/>
    <n v="774228"/>
    <n v="1000000"/>
    <x v="0"/>
    <d v="2023-01-01T00:00:00"/>
    <n v="320000"/>
    <n v="2"/>
    <n v="640000"/>
    <s v="Chris"/>
    <s v="Approved"/>
    <s v="No"/>
    <s v="China"/>
  </r>
  <r>
    <s v="Hyper Core"/>
    <s v="HP"/>
    <s v="Button Bracket"/>
    <n v="23480202011"/>
    <s v="JEE"/>
    <n v="2023"/>
    <n v="1"/>
    <s v="MP"/>
    <d v="2024-10-25T00:00:00"/>
    <n v="16"/>
    <n v="1153152"/>
    <n v="1153152"/>
    <n v="1000000"/>
    <x v="0"/>
    <d v="2023-01-01T00:00:00"/>
    <n v="370000"/>
    <n v="1"/>
    <n v="370000"/>
    <s v="Chris"/>
    <s v="Approved"/>
    <s v="No"/>
    <s v="China"/>
  </r>
  <r>
    <s v="Hyper Core"/>
    <s v="HP"/>
    <s v="Button"/>
    <n v="23480202017"/>
    <s v="JEE"/>
    <n v="2023"/>
    <n v="1"/>
    <s v="MP"/>
    <d v="2024-10-25T00:00:00"/>
    <n v="16"/>
    <n v="781196"/>
    <n v="781196"/>
    <n v="1000000"/>
    <x v="0"/>
    <d v="2023-01-01T00:00:00"/>
    <n v="484014"/>
    <n v="1"/>
    <n v="484014"/>
    <s v="Chris"/>
    <s v="Approved"/>
    <s v="No"/>
    <s v="China"/>
  </r>
  <r>
    <s v="Hyper Core"/>
    <s v="HP"/>
    <s v="Light guide"/>
    <n v="23480202018"/>
    <s v="JEE"/>
    <n v="2023"/>
    <n v="1"/>
    <s v="MP"/>
    <d v="2024-10-25T00:00:00"/>
    <n v="16"/>
    <n v="665808"/>
    <n v="665808"/>
    <n v="1000000"/>
    <x v="0"/>
    <d v="2023-01-01T00:00:00"/>
    <n v="452729"/>
    <n v="1"/>
    <n v="452729"/>
    <s v="Chris"/>
    <s v="Approved"/>
    <s v="No"/>
    <s v="China"/>
  </r>
  <r>
    <s v="Hyper Pro 2P"/>
    <s v="HP"/>
    <s v="Crown Support"/>
    <n v="22150202008"/>
    <s v="JEE"/>
    <n v="2023"/>
    <n v="10"/>
    <s v="MP"/>
    <d v="2024-10-25T00:00:00"/>
    <m/>
    <m/>
    <n v="0"/>
    <m/>
    <x v="2"/>
    <d v="2023-10-11T00:00:00"/>
    <n v="12600"/>
    <n v="1"/>
    <n v="12600"/>
    <s v="Chris"/>
    <s v="Approved"/>
    <s v="No"/>
    <s v="China"/>
  </r>
  <r>
    <s v="Hyper Core"/>
    <s v="HP"/>
    <s v="Light guide"/>
    <n v="23480202018"/>
    <s v="JEE"/>
    <n v="2023"/>
    <n v="10"/>
    <s v="MP"/>
    <d v="2024-10-25T00:00:00"/>
    <m/>
    <m/>
    <n v="0"/>
    <m/>
    <x v="2"/>
    <d v="2023-10-21T00:00:00"/>
    <n v="53870"/>
    <n v="1"/>
    <n v="53870"/>
    <s v="Chris"/>
    <s v="Approved"/>
    <s v="No"/>
    <s v="China"/>
  </r>
  <r>
    <s v="Hyper Core"/>
    <s v="HP"/>
    <s v="Shutter Door Support"/>
    <n v="23480202005"/>
    <s v="JEE"/>
    <n v="2023"/>
    <n v="10"/>
    <s v="MP"/>
    <d v="2024-10-25T00:00:00"/>
    <m/>
    <m/>
    <n v="0"/>
    <m/>
    <x v="2"/>
    <d v="2023-10-24T00:00:00"/>
    <n v="35296"/>
    <n v="1"/>
    <n v="35296"/>
    <s v="Chris"/>
    <s v="Approved"/>
    <s v="No"/>
    <s v="China"/>
  </r>
  <r>
    <s v="Hyper Core"/>
    <s v="HP"/>
    <s v="Button"/>
    <n v="23480202017"/>
    <s v="JEE"/>
    <n v="2023"/>
    <n v="10"/>
    <s v="MP"/>
    <d v="2024-10-25T00:00:00"/>
    <m/>
    <m/>
    <n v="0"/>
    <m/>
    <x v="2"/>
    <d v="2023-10-10T00:00:00"/>
    <n v="207000"/>
    <n v="1"/>
    <n v="207000"/>
    <s v="Chris"/>
    <s v="Approved"/>
    <s v="No"/>
    <s v="China"/>
  </r>
  <r>
    <s v="Hyper Core"/>
    <s v="HP"/>
    <s v="Button"/>
    <n v="23480202017"/>
    <s v="JEE"/>
    <n v="2023"/>
    <n v="10"/>
    <s v="MP"/>
    <d v="2024-10-25T00:00:00"/>
    <m/>
    <m/>
    <n v="0"/>
    <m/>
    <x v="2"/>
    <d v="2023-10-21T00:00:00"/>
    <n v="35513"/>
    <n v="1"/>
    <n v="35513"/>
    <s v="Chris"/>
    <s v="Approved"/>
    <s v="No"/>
    <s v="China"/>
  </r>
  <r>
    <s v="Hyper Core"/>
    <s v="HP"/>
    <s v="Light guide"/>
    <n v="23480202018"/>
    <s v="JEE"/>
    <n v="2023"/>
    <n v="11"/>
    <s v="MP"/>
    <d v="2024-10-25T00:00:00"/>
    <m/>
    <m/>
    <n v="0"/>
    <m/>
    <x v="2"/>
    <d v="2023-11-24T00:00:00"/>
    <n v="10859"/>
    <n v="1"/>
    <n v="10859"/>
    <s v="Chris"/>
    <s v="Approved"/>
    <s v="No"/>
    <s v="China"/>
  </r>
  <r>
    <s v="Hyper Core"/>
    <s v="HP"/>
    <s v="Button"/>
    <n v="23480202017"/>
    <s v="JEE"/>
    <n v="2023"/>
    <n v="11"/>
    <s v="MP"/>
    <d v="2024-10-25T00:00:00"/>
    <m/>
    <m/>
    <n v="0"/>
    <m/>
    <x v="2"/>
    <d v="2023-11-24T00:00:00"/>
    <n v="26171"/>
    <n v="1"/>
    <n v="26171"/>
    <s v="Chris"/>
    <s v="Approved"/>
    <s v="No"/>
    <s v="China"/>
  </r>
  <r>
    <s v="Hyper Pro"/>
    <s v="HP"/>
    <s v="Connect frame"/>
    <n v="22150202017"/>
    <s v="JEE"/>
    <n v="2023"/>
    <n v="6"/>
    <s v="POC"/>
    <d v="2024-10-25T00:00:00"/>
    <m/>
    <m/>
    <m/>
    <m/>
    <x v="3"/>
    <d v="2023-06-01T00:00:00"/>
    <n v="6415"/>
    <n v="1"/>
    <n v="6415"/>
    <s v="Chris"/>
    <s v="Approved"/>
    <s v="Yes"/>
    <m/>
  </r>
  <r>
    <s v="Hyper Pro"/>
    <s v="HP"/>
    <s v="Connect frame"/>
    <n v="22150202017"/>
    <s v="JEE"/>
    <n v="2023"/>
    <n v="6"/>
    <s v="POC"/>
    <d v="2024-10-25T00:00:00"/>
    <m/>
    <m/>
    <m/>
    <m/>
    <x v="3"/>
    <d v="2023-06-01T00:00:00"/>
    <n v="3088"/>
    <n v="1"/>
    <n v="3088"/>
    <s v="Chris"/>
    <s v="Approved"/>
    <s v="Yes"/>
    <m/>
  </r>
  <r>
    <s v="Hyper Pro"/>
    <s v="HP"/>
    <s v="Connect frame"/>
    <n v="22150202017"/>
    <s v="JEE"/>
    <n v="2023"/>
    <n v="6"/>
    <s v="POC"/>
    <d v="2024-10-25T00:00:00"/>
    <m/>
    <m/>
    <m/>
    <m/>
    <x v="3"/>
    <d v="2023-06-01T00:00:00"/>
    <n v="10183"/>
    <n v="1"/>
    <n v="10183"/>
    <s v="Chris"/>
    <s v="Approved"/>
    <s v="Yes"/>
    <m/>
  </r>
  <r>
    <s v="Hyper Pro"/>
    <s v="HP"/>
    <s v="Display bracket"/>
    <n v="22150202021"/>
    <s v="JEE"/>
    <n v="2023"/>
    <n v="6"/>
    <s v="POC"/>
    <d v="2024-10-25T00:00:00"/>
    <m/>
    <m/>
    <m/>
    <m/>
    <x v="3"/>
    <d v="2023-06-01T00:00:00"/>
    <n v="9977"/>
    <n v="1"/>
    <n v="9977"/>
    <s v="Chris"/>
    <s v="Approved"/>
    <s v="Yes"/>
    <m/>
  </r>
  <r>
    <s v="Hyper Pro"/>
    <s v="HP"/>
    <s v="Spin Wheel"/>
    <n v="22150202009"/>
    <s v="JEE"/>
    <n v="2023"/>
    <n v="6"/>
    <s v="POC"/>
    <d v="2024-10-25T00:00:00"/>
    <m/>
    <m/>
    <m/>
    <m/>
    <x v="3"/>
    <d v="2023-06-01T00:00:00"/>
    <n v="9245"/>
    <n v="1"/>
    <n v="9245"/>
    <s v="Chris"/>
    <s v="Approved"/>
    <s v="Yes"/>
    <m/>
  </r>
  <r>
    <s v="Hyper Pro"/>
    <s v="HP"/>
    <s v="Botton cover"/>
    <n v="22150202014"/>
    <s v="JEE"/>
    <n v="2023"/>
    <n v="6"/>
    <s v="POC"/>
    <d v="2024-10-25T00:00:00"/>
    <m/>
    <m/>
    <m/>
    <m/>
    <x v="3"/>
    <d v="2023-06-01T00:00:00"/>
    <n v="6998"/>
    <n v="1"/>
    <n v="6998"/>
    <s v="Chris"/>
    <s v="Approved"/>
    <s v="Yes"/>
    <m/>
  </r>
  <r>
    <s v="Hyper Pro"/>
    <s v="HP"/>
    <s v="Cleanout door"/>
    <n v="22150202015"/>
    <s v="JEE"/>
    <n v="2023"/>
    <n v="6"/>
    <s v="POC"/>
    <d v="2024-10-25T00:00:00"/>
    <m/>
    <m/>
    <m/>
    <m/>
    <x v="3"/>
    <d v="2023-06-01T00:00:00"/>
    <n v="13970"/>
    <n v="1"/>
    <n v="13970"/>
    <s v="Chris"/>
    <s v="Approved"/>
    <s v="Yes"/>
    <m/>
  </r>
  <r>
    <s v="Hyper Pro"/>
    <s v="HP"/>
    <s v="shut door"/>
    <n v="22150202007"/>
    <s v="JEE"/>
    <n v="2023"/>
    <n v="6"/>
    <s v="POC"/>
    <d v="2024-10-25T00:00:00"/>
    <m/>
    <m/>
    <m/>
    <m/>
    <x v="3"/>
    <d v="2023-06-01T00:00:00"/>
    <n v="11686"/>
    <n v="1"/>
    <n v="11686"/>
    <s v="Chris"/>
    <s v="Approved"/>
    <s v="Yes"/>
    <m/>
  </r>
  <r>
    <s v="Hyper Core"/>
    <s v="HP"/>
    <s v="Button Bracket"/>
    <n v="23480202011"/>
    <s v="JEE"/>
    <n v="2023"/>
    <n v="7"/>
    <s v="POC"/>
    <d v="2024-10-25T00:00:00"/>
    <m/>
    <m/>
    <m/>
    <m/>
    <x v="3"/>
    <d v="2023-07-01T00:00:00"/>
    <n v="9201"/>
    <n v="1"/>
    <n v="9201"/>
    <s v="Chris"/>
    <s v="Approved"/>
    <s v="Yes"/>
    <m/>
  </r>
  <r>
    <s v="Hyper Core"/>
    <s v="HP"/>
    <s v="Button Bracket"/>
    <n v="23480202011"/>
    <s v="JEE"/>
    <n v="2023"/>
    <n v="7"/>
    <s v="POC"/>
    <d v="2024-10-25T00:00:00"/>
    <m/>
    <m/>
    <m/>
    <m/>
    <x v="3"/>
    <d v="2023-07-01T00:00:00"/>
    <n v="20444"/>
    <n v="1"/>
    <n v="20444"/>
    <s v="Chris"/>
    <s v="Approved"/>
    <s v="Yes"/>
    <m/>
  </r>
  <r>
    <s v="Hyper Pro"/>
    <s v="HP"/>
    <s v="Button"/>
    <n v="22150202010"/>
    <s v="JEE"/>
    <n v="2023"/>
    <n v="7"/>
    <s v="POC"/>
    <d v="2024-10-25T00:00:00"/>
    <m/>
    <m/>
    <m/>
    <m/>
    <x v="3"/>
    <d v="2023-07-01T00:00:00"/>
    <n v="6869"/>
    <n v="1"/>
    <n v="6869"/>
    <s v="Chris"/>
    <s v="Approved"/>
    <s v="Yes"/>
    <m/>
  </r>
  <r>
    <s v="Hyper Pro"/>
    <s v="HP"/>
    <s v="Connect frame"/>
    <n v="22150202017"/>
    <s v="JEE"/>
    <n v="2023"/>
    <n v="7"/>
    <s v="POC"/>
    <d v="2024-10-25T00:00:00"/>
    <m/>
    <m/>
    <m/>
    <m/>
    <x v="3"/>
    <d v="2023-07-01T00:00:00"/>
    <n v="32659"/>
    <n v="1"/>
    <n v="32659"/>
    <s v="Chris"/>
    <s v="Approved"/>
    <s v="Yes"/>
    <m/>
  </r>
  <r>
    <s v="Hyper Pro"/>
    <s v="HP"/>
    <s v="Crown Support"/>
    <n v="22150202008"/>
    <s v="JEE"/>
    <n v="2023"/>
    <n v="7"/>
    <s v="POC"/>
    <d v="2024-10-25T00:00:00"/>
    <m/>
    <m/>
    <m/>
    <m/>
    <x v="3"/>
    <d v="2023-07-01T00:00:00"/>
    <n v="47920"/>
    <n v="1"/>
    <n v="47920"/>
    <s v="Chris"/>
    <s v="Approved"/>
    <s v="Yes"/>
    <m/>
  </r>
  <r>
    <s v="Hyper Pro"/>
    <s v="HP"/>
    <s v="Display bracket"/>
    <n v="22150202021"/>
    <s v="JEE"/>
    <n v="2023"/>
    <n v="7"/>
    <s v="POC"/>
    <d v="2024-10-25T00:00:00"/>
    <m/>
    <m/>
    <m/>
    <m/>
    <x v="3"/>
    <d v="2023-07-01T00:00:00"/>
    <n v="86249"/>
    <n v="1"/>
    <n v="86249"/>
    <s v="Chris"/>
    <s v="Approved"/>
    <s v="Yes"/>
    <m/>
  </r>
  <r>
    <s v="Hyper Pro"/>
    <s v="HP"/>
    <s v="PCBA bracket"/>
    <n v="22150202018"/>
    <s v="JEE"/>
    <n v="2023"/>
    <n v="7"/>
    <s v="POC"/>
    <d v="2024-10-25T00:00:00"/>
    <m/>
    <m/>
    <m/>
    <m/>
    <x v="3"/>
    <d v="2023-07-01T00:00:00"/>
    <n v="17884"/>
    <n v="1"/>
    <n v="17884"/>
    <s v="Chris"/>
    <s v="Approved"/>
    <s v="Yes"/>
    <m/>
  </r>
  <r>
    <s v="Hyper Pro"/>
    <s v="HP"/>
    <s v="shut door"/>
    <n v="22150202007"/>
    <s v="JEE"/>
    <n v="2023"/>
    <n v="7"/>
    <s v="POC"/>
    <d v="2024-10-25T00:00:00"/>
    <m/>
    <m/>
    <m/>
    <m/>
    <x v="3"/>
    <d v="2023-07-01T00:00:00"/>
    <n v="44712"/>
    <n v="1"/>
    <n v="44712"/>
    <s v="Chris"/>
    <s v="Approved"/>
    <s v="Yes"/>
    <m/>
  </r>
  <r>
    <s v="Hyper Pro"/>
    <s v="HP"/>
    <s v="Spin wheel"/>
    <n v="22150202009"/>
    <s v="JEE"/>
    <n v="2023"/>
    <n v="7"/>
    <s v="POC"/>
    <d v="2024-10-25T00:00:00"/>
    <m/>
    <m/>
    <m/>
    <m/>
    <x v="3"/>
    <d v="2023-07-01T00:00:00"/>
    <n v="44732"/>
    <n v="1"/>
    <n v="44732"/>
    <s v="Chris"/>
    <s v="Approved"/>
    <s v="Yes"/>
    <m/>
  </r>
  <r>
    <s v="Hyper Core"/>
    <s v="HP"/>
    <s v="Shutter Door Support"/>
    <n v="23480202005"/>
    <s v="JEE"/>
    <n v="2023"/>
    <n v="7"/>
    <s v="POC"/>
    <d v="2024-10-25T00:00:00"/>
    <m/>
    <m/>
    <m/>
    <m/>
    <x v="3"/>
    <d v="2023-07-01T00:00:00"/>
    <n v="22032"/>
    <n v="1"/>
    <n v="22032"/>
    <s v="Chris"/>
    <s v="Approved"/>
    <s v="Yes"/>
    <m/>
  </r>
  <r>
    <s v="Hyper Core"/>
    <s v="HP"/>
    <s v="Top cover"/>
    <n v="23480202009"/>
    <s v="JEE"/>
    <n v="2023"/>
    <n v="7"/>
    <s v="POC"/>
    <d v="2024-10-25T00:00:00"/>
    <m/>
    <m/>
    <m/>
    <m/>
    <x v="3"/>
    <d v="2023-07-01T00:00:00"/>
    <n v="8510"/>
    <n v="1"/>
    <n v="8510"/>
    <s v="Chris"/>
    <s v="Approved"/>
    <s v="Yes"/>
    <m/>
  </r>
  <r>
    <s v="Hyper Pro"/>
    <s v="HP"/>
    <s v="PCBA bracket"/>
    <n v="22150202018"/>
    <s v="JEE"/>
    <n v="2023"/>
    <n v="7"/>
    <s v="POC"/>
    <d v="2024-10-25T00:00:00"/>
    <m/>
    <m/>
    <m/>
    <m/>
    <x v="3"/>
    <d v="2023-07-01T00:00:00"/>
    <n v="14701"/>
    <n v="1"/>
    <n v="14701"/>
    <s v="Chris"/>
    <s v="Approved"/>
    <s v="Yes"/>
    <m/>
  </r>
  <r>
    <s v="Hyper Pro"/>
    <s v="HP"/>
    <s v="Spin wheel"/>
    <n v="22150202009"/>
    <s v="JEE"/>
    <n v="2023"/>
    <n v="7"/>
    <s v="POC"/>
    <d v="2024-10-25T00:00:00"/>
    <m/>
    <m/>
    <m/>
    <m/>
    <x v="3"/>
    <d v="2023-07-01T00:00:00"/>
    <n v="5966"/>
    <n v="1"/>
    <n v="5966"/>
    <s v="Chris"/>
    <s v="Approved"/>
    <s v="Yes"/>
    <m/>
  </r>
  <r>
    <s v="Hyper Pro"/>
    <s v="HP"/>
    <s v="Botton cover"/>
    <n v="22150202014"/>
    <s v="JEE"/>
    <n v="2023"/>
    <n v="7"/>
    <s v="POC"/>
    <d v="2024-10-25T00:00:00"/>
    <m/>
    <m/>
    <m/>
    <m/>
    <x v="3"/>
    <d v="2023-07-01T00:00:00"/>
    <n v="6554"/>
    <n v="1"/>
    <n v="6554"/>
    <s v="Chris"/>
    <s v="Approved"/>
    <s v="Yes"/>
    <m/>
  </r>
  <r>
    <s v="Hyper Core"/>
    <s v="HP"/>
    <s v="Shutter Door Support"/>
    <n v="23480202005"/>
    <s v="JEE"/>
    <n v="2023"/>
    <n v="8"/>
    <s v="POC"/>
    <d v="2024-10-25T00:00:00"/>
    <m/>
    <m/>
    <m/>
    <m/>
    <x v="3"/>
    <d v="2023-08-01T00:00:00"/>
    <n v="20085"/>
    <n v="1"/>
    <n v="20085"/>
    <s v="Chris"/>
    <s v="Approved"/>
    <s v="Yes"/>
    <m/>
  </r>
  <r>
    <s v="Hyper Core"/>
    <s v="HP"/>
    <s v="Button"/>
    <n v="23480202010"/>
    <s v="JEE"/>
    <n v="2023"/>
    <n v="8"/>
    <s v="POC"/>
    <d v="2024-10-25T00:00:00"/>
    <m/>
    <m/>
    <m/>
    <m/>
    <x v="3"/>
    <d v="2023-08-01T00:00:00"/>
    <n v="31764"/>
    <n v="1"/>
    <n v="31764"/>
    <s v="Chris"/>
    <s v="Approved"/>
    <s v="Yes"/>
    <m/>
  </r>
  <r>
    <s v="Hyper Pro"/>
    <s v="HP"/>
    <s v="Top cover"/>
    <n v="23480202009"/>
    <s v="JEE"/>
    <n v="2023"/>
    <n v="8"/>
    <s v="POC"/>
    <d v="2024-10-25T00:00:00"/>
    <m/>
    <m/>
    <m/>
    <m/>
    <x v="3"/>
    <d v="2023-08-01T00:00:00"/>
    <n v="32073"/>
    <n v="1"/>
    <n v="32073"/>
    <s v="Chris"/>
    <s v="Approved"/>
    <s v="Yes"/>
    <m/>
  </r>
  <r>
    <s v="Hyper Core"/>
    <s v="HP"/>
    <s v="Battery carrier"/>
    <n v="23480202012"/>
    <s v="JEE"/>
    <n v="2023"/>
    <n v="8"/>
    <s v="POC"/>
    <d v="2024-10-25T00:00:00"/>
    <m/>
    <m/>
    <m/>
    <m/>
    <x v="3"/>
    <d v="2023-08-01T00:00:00"/>
    <n v="27115"/>
    <n v="1"/>
    <n v="27115"/>
    <s v="Chris"/>
    <s v="Approved"/>
    <s v="Yes"/>
    <m/>
  </r>
  <r>
    <s v="Hyper Core"/>
    <s v="HP"/>
    <s v="Button Bracket"/>
    <n v="23480202011"/>
    <s v="JEE"/>
    <n v="2023"/>
    <n v="8"/>
    <s v="POC"/>
    <d v="2024-10-25T00:00:00"/>
    <m/>
    <m/>
    <m/>
    <m/>
    <x v="3"/>
    <d v="2023-08-01T00:00:00"/>
    <n v="18633"/>
    <n v="1"/>
    <n v="18633"/>
    <s v="Chris"/>
    <s v="Approved"/>
    <s v="Yes"/>
    <m/>
  </r>
  <r>
    <s v="Hyper Core"/>
    <s v="HP"/>
    <s v="Connect frame"/>
    <n v="22150202015"/>
    <s v="JEE"/>
    <n v="2023"/>
    <n v="8"/>
    <s v="POC"/>
    <d v="2024-10-25T00:00:00"/>
    <m/>
    <m/>
    <m/>
    <m/>
    <x v="3"/>
    <d v="2023-08-01T00:00:00"/>
    <n v="5740"/>
    <n v="1"/>
    <n v="5740"/>
    <s v="Chris"/>
    <s v="Approved"/>
    <s v="Yes"/>
    <m/>
  </r>
  <r>
    <s v="Hyper Pro"/>
    <s v="HP"/>
    <s v="Crown support"/>
    <n v="22150202008"/>
    <s v="JEE"/>
    <n v="2023"/>
    <n v="8"/>
    <s v="POC"/>
    <d v="2024-10-25T00:00:00"/>
    <m/>
    <m/>
    <m/>
    <m/>
    <x v="3"/>
    <d v="2023-08-01T00:00:00"/>
    <n v="12359"/>
    <n v="1"/>
    <n v="12359"/>
    <s v="Chris"/>
    <s v="Approved"/>
    <s v="Yes"/>
    <m/>
  </r>
  <r>
    <s v="Hyper Pro"/>
    <s v="HP"/>
    <s v="PCBA bracket"/>
    <n v="22150202018"/>
    <s v="JEE"/>
    <n v="2023"/>
    <n v="8"/>
    <s v="POC"/>
    <d v="2024-10-25T00:00:00"/>
    <m/>
    <m/>
    <m/>
    <m/>
    <x v="3"/>
    <d v="2023-08-01T00:00:00"/>
    <n v="22070"/>
    <n v="1"/>
    <n v="22070"/>
    <s v="Chris"/>
    <s v="Approved"/>
    <s v="Yes"/>
    <m/>
  </r>
  <r>
    <s v="Hyper Pro"/>
    <s v="HP"/>
    <s v="Cleanout door"/>
    <n v="22150202015"/>
    <s v="JEE"/>
    <n v="2023"/>
    <n v="8"/>
    <s v="POC"/>
    <d v="2024-10-25T00:00:00"/>
    <m/>
    <m/>
    <m/>
    <m/>
    <x v="3"/>
    <d v="2023-08-01T00:00:00"/>
    <n v="13648"/>
    <n v="1"/>
    <n v="13648"/>
    <s v="Chris"/>
    <s v="Approved"/>
    <s v="Yes"/>
    <m/>
  </r>
  <r>
    <s v="Hyper Core"/>
    <s v="HP"/>
    <s v="botton"/>
    <n v="23480202010"/>
    <s v="JEE"/>
    <n v="2023"/>
    <n v="8"/>
    <s v="POC"/>
    <d v="2024-10-25T00:00:00"/>
    <m/>
    <m/>
    <m/>
    <m/>
    <x v="3"/>
    <d v="2023-08-01T00:00:00"/>
    <n v="10914"/>
    <n v="1"/>
    <n v="10914"/>
    <s v="Chris"/>
    <s v="Approved"/>
    <s v="Yes"/>
    <m/>
  </r>
  <r>
    <s v="Hyper Pro"/>
    <s v="HP"/>
    <s v="Connect frame"/>
    <n v="22150202017"/>
    <s v="JEE"/>
    <n v="2023"/>
    <n v="8"/>
    <s v="POC"/>
    <d v="2024-10-25T00:00:00"/>
    <m/>
    <m/>
    <m/>
    <m/>
    <x v="3"/>
    <d v="2023-08-01T00:00:00"/>
    <n v="10120"/>
    <n v="1"/>
    <n v="10120"/>
    <s v="Chris"/>
    <s v="Approved"/>
    <s v="Yes"/>
    <m/>
  </r>
  <r>
    <s v="Hyper Core"/>
    <s v="HP"/>
    <s v="Connect frame"/>
    <n v="22150202017"/>
    <s v="JEE"/>
    <n v="2023"/>
    <n v="8"/>
    <s v="POC"/>
    <d v="2024-10-25T00:00:00"/>
    <m/>
    <m/>
    <m/>
    <m/>
    <x v="3"/>
    <d v="2023-08-01T00:00:00"/>
    <n v="8639"/>
    <n v="1"/>
    <n v="8639"/>
    <s v="Chris"/>
    <s v="Approved"/>
    <s v="Yes"/>
    <m/>
  </r>
  <r>
    <s v="Hyper Core"/>
    <s v="HP"/>
    <s v="Battery carrier"/>
    <n v="23480202012"/>
    <s v="JEE"/>
    <n v="2023"/>
    <n v="8"/>
    <s v="POC"/>
    <d v="2024-10-25T00:00:00"/>
    <m/>
    <m/>
    <m/>
    <m/>
    <x v="3"/>
    <d v="2023-08-01T00:00:00"/>
    <n v="8944"/>
    <n v="1"/>
    <n v="8944"/>
    <s v="Chris"/>
    <s v="Approved"/>
    <s v="Yes"/>
    <m/>
  </r>
  <r>
    <s v="Hyper Core"/>
    <s v="HP"/>
    <s v="Botton bracket"/>
    <n v="23480202011"/>
    <s v="JEE"/>
    <n v="2023"/>
    <n v="8"/>
    <s v="POC"/>
    <d v="2024-10-25T00:00:00"/>
    <m/>
    <m/>
    <m/>
    <m/>
    <x v="3"/>
    <d v="2023-08-01T00:00:00"/>
    <n v="18874"/>
    <n v="1"/>
    <n v="18874"/>
    <s v="Chris"/>
    <s v="Approved"/>
    <s v="Yes"/>
    <m/>
  </r>
  <r>
    <s v="Hyper Core"/>
    <s v="HP"/>
    <s v="Button Bracket"/>
    <n v="23480202011"/>
    <s v="JEE"/>
    <n v="2023"/>
    <n v="8"/>
    <s v="POC"/>
    <d v="2024-10-25T00:00:00"/>
    <m/>
    <m/>
    <m/>
    <m/>
    <x v="3"/>
    <d v="2023-08-01T00:00:00"/>
    <n v="124820"/>
    <n v="1"/>
    <n v="124820"/>
    <s v="Chris"/>
    <s v="Approved"/>
    <s v="Yes"/>
    <m/>
  </r>
  <r>
    <s v="Hyper Core"/>
    <s v="HP"/>
    <s v="Top cover"/>
    <n v="23480202009"/>
    <s v="JEE"/>
    <n v="2023"/>
    <n v="8"/>
    <s v="POC"/>
    <d v="2024-10-25T00:00:00"/>
    <m/>
    <m/>
    <m/>
    <m/>
    <x v="3"/>
    <d v="2023-08-01T00:00:00"/>
    <n v="108927"/>
    <n v="1"/>
    <n v="108927"/>
    <s v="Chris"/>
    <s v="Approved"/>
    <s v="Yes"/>
    <m/>
  </r>
  <r>
    <s v="Hyper Core"/>
    <s v="HP"/>
    <s v="Shutter Door Support"/>
    <n v="23480202005"/>
    <s v="JEE"/>
    <n v="2023"/>
    <n v="8"/>
    <s v="POC"/>
    <d v="2024-10-25T00:00:00"/>
    <m/>
    <m/>
    <m/>
    <m/>
    <x v="3"/>
    <d v="2023-08-01T00:00:00"/>
    <n v="217479"/>
    <n v="1"/>
    <n v="217479"/>
    <s v="Chris"/>
    <s v="Approved"/>
    <s v="Yes"/>
    <m/>
  </r>
  <r>
    <s v="Hyper Core"/>
    <s v="HP"/>
    <s v="Button"/>
    <n v="23480202010"/>
    <s v="JEE"/>
    <n v="2023"/>
    <n v="8"/>
    <s v="POC"/>
    <d v="2024-10-25T00:00:00"/>
    <m/>
    <m/>
    <m/>
    <m/>
    <x v="3"/>
    <d v="2023-08-01T00:00:00"/>
    <n v="117994"/>
    <n v="1"/>
    <n v="117994"/>
    <s v="Chris"/>
    <s v="Approved"/>
    <s v="Yes"/>
    <m/>
  </r>
  <r>
    <s v="Hyper Core"/>
    <s v="HP"/>
    <s v="Battery carrier"/>
    <n v="23480202012"/>
    <s v="JEE"/>
    <n v="2023"/>
    <n v="8"/>
    <s v="POC"/>
    <d v="2024-10-25T00:00:00"/>
    <m/>
    <m/>
    <m/>
    <m/>
    <x v="3"/>
    <d v="2023-08-01T00:00:00"/>
    <n v="95483"/>
    <n v="1"/>
    <n v="95483"/>
    <s v="Chris"/>
    <s v="Approved"/>
    <s v="Yes"/>
    <m/>
  </r>
  <r>
    <s v="Hyper Core"/>
    <s v="HP"/>
    <s v="Connect frame"/>
    <n v="23480202015"/>
    <s v="JEE"/>
    <n v="2023"/>
    <n v="8"/>
    <s v="POC"/>
    <d v="2024-10-25T00:00:00"/>
    <m/>
    <m/>
    <m/>
    <m/>
    <x v="3"/>
    <d v="2023-08-01T00:00:00"/>
    <n v="95483"/>
    <n v="1"/>
    <n v="95483"/>
    <s v="Chris"/>
    <s v="Approved"/>
    <s v="Yes"/>
    <m/>
  </r>
  <r>
    <s v="Hyper Core"/>
    <s v="HP"/>
    <s v="Top cover"/>
    <n v="23480202009"/>
    <s v="JEE"/>
    <n v="2023"/>
    <n v="8"/>
    <s v="POC"/>
    <d v="2024-10-25T00:00:00"/>
    <m/>
    <m/>
    <m/>
    <m/>
    <x v="3"/>
    <d v="2023-08-01T00:00:00"/>
    <n v="230000"/>
    <n v="1"/>
    <n v="230000"/>
    <s v="Chris"/>
    <s v="Approved"/>
    <s v="Yes"/>
    <m/>
  </r>
  <r>
    <s v="Hyper Core"/>
    <s v="HP"/>
    <s v="Button"/>
    <n v="23480202010"/>
    <s v="JEE"/>
    <n v="2023"/>
    <n v="8"/>
    <s v="POC"/>
    <d v="2024-10-25T00:00:00"/>
    <m/>
    <m/>
    <m/>
    <m/>
    <x v="3"/>
    <d v="2023-08-01T00:00:00"/>
    <n v="315000"/>
    <n v="1"/>
    <n v="315000"/>
    <s v="Chris"/>
    <s v="Approved"/>
    <s v="Yes"/>
    <m/>
  </r>
  <r>
    <s v="Hyper Core"/>
    <s v="HP"/>
    <s v="Display bracket"/>
    <n v="23480202010"/>
    <s v="JEE"/>
    <n v="2023"/>
    <n v="8"/>
    <s v="POC"/>
    <d v="2024-10-25T00:00:00"/>
    <m/>
    <m/>
    <m/>
    <m/>
    <x v="3"/>
    <d v="2023-08-01T00:00:00"/>
    <n v="138000"/>
    <n v="1"/>
    <n v="138000"/>
    <s v="Chris"/>
    <s v="Approved"/>
    <s v="Yes"/>
    <m/>
  </r>
  <r>
    <s v="Hyper Core"/>
    <s v="HP"/>
    <s v="Button"/>
    <n v="23480202017"/>
    <s v="JEE"/>
    <n v="2023"/>
    <n v="3"/>
    <s v="POC"/>
    <d v="2024-10-25T00:00:00"/>
    <m/>
    <m/>
    <n v="0"/>
    <m/>
    <x v="3"/>
    <d v="2024-03-25T00:00:00"/>
    <n v="8471.1"/>
    <n v="1"/>
    <n v="8471.1"/>
    <s v="Chris"/>
    <s v="Approved"/>
    <s v="Yes"/>
    <s v="China"/>
  </r>
  <r>
    <s v="Hyper Core"/>
    <s v="HP"/>
    <s v="Shutter Door Support"/>
    <n v="23480202005"/>
    <s v="JEE"/>
    <n v="2023"/>
    <n v="3"/>
    <s v="POC"/>
    <d v="2024-10-25T00:00:00"/>
    <m/>
    <m/>
    <n v="0"/>
    <m/>
    <x v="3"/>
    <d v="2024-03-25T00:00:00"/>
    <n v="21437"/>
    <n v="1"/>
    <n v="21437"/>
    <s v="Chris"/>
    <s v="Approved"/>
    <s v="Yes"/>
    <s v="China"/>
  </r>
  <r>
    <s v="Hyper Core"/>
    <s v="HP"/>
    <s v="Battery carrier"/>
    <n v="23480202012"/>
    <s v="JEE"/>
    <n v="2023"/>
    <n v="3"/>
    <s v="POC"/>
    <d v="2024-10-25T00:00:00"/>
    <m/>
    <m/>
    <n v="0"/>
    <m/>
    <x v="3"/>
    <d v="2024-03-25T00:00:00"/>
    <n v="8396.2150000000001"/>
    <n v="1"/>
    <n v="8396.2150000000001"/>
    <s v="Chris"/>
    <s v="Approved"/>
    <s v="Yes"/>
    <s v="China"/>
  </r>
  <r>
    <s v="Hyper Core"/>
    <s v="HP"/>
    <s v="Battery carrier"/>
    <n v="23480202012"/>
    <s v="JEE"/>
    <n v="2023"/>
    <n v="3"/>
    <s v="POC"/>
    <d v="2024-10-25T00:00:00"/>
    <m/>
    <m/>
    <n v="0"/>
    <m/>
    <x v="3"/>
    <d v="2024-03-25T00:00:00"/>
    <n v="43769.9"/>
    <n v="1"/>
    <n v="43769.9"/>
    <s v="Chris"/>
    <s v="Approved"/>
    <s v="Yes"/>
    <s v="China"/>
  </r>
  <r>
    <s v="Hyper Core"/>
    <s v="HP"/>
    <s v="Button Bracket"/>
    <n v="23480202011"/>
    <s v="JEE"/>
    <n v="2023"/>
    <n v="3"/>
    <s v="POC"/>
    <d v="2024-10-25T00:00:00"/>
    <m/>
    <m/>
    <n v="0"/>
    <m/>
    <x v="3"/>
    <d v="2024-03-25T00:00:00"/>
    <n v="10892.07"/>
    <n v="1"/>
    <n v="10892.07"/>
    <s v="Chris"/>
    <s v="Approved"/>
    <s v="Yes"/>
    <s v="China"/>
  </r>
  <r>
    <s v="Hyper Core"/>
    <s v="HP"/>
    <s v="Light guide"/>
    <n v="23480202018"/>
    <s v="JEE"/>
    <n v="2023"/>
    <n v="3"/>
    <s v="POC"/>
    <d v="2024-10-25T00:00:00"/>
    <m/>
    <m/>
    <n v="0"/>
    <m/>
    <x v="3"/>
    <d v="2024-03-25T00:00:00"/>
    <n v="41897.01"/>
    <n v="1"/>
    <n v="41897.01"/>
    <s v="Chris"/>
    <s v="Approved"/>
    <s v="Yes"/>
    <s v="China"/>
  </r>
  <r>
    <s v="Artemis 1P"/>
    <s v="HP"/>
    <s v="Housing"/>
    <s v="0600201003"/>
    <s v="JEE"/>
    <n v="2023"/>
    <n v="5"/>
    <s v="POP"/>
    <d v="2024-10-25T00:00:00"/>
    <n v="1"/>
    <n v="10000"/>
    <n v="10000"/>
    <n v="50000"/>
    <x v="1"/>
    <d v="2024-05-10T00:00:00"/>
    <n v="672500"/>
    <n v="1"/>
    <n v="672500"/>
    <s v="Chris"/>
    <s v="Approved"/>
    <s v="No"/>
    <m/>
  </r>
  <r>
    <s v="Artemis 1P"/>
    <s v="HP"/>
    <s v="MAIN CHASISS "/>
    <s v="0600202009"/>
    <s v="JEE"/>
    <n v="2023"/>
    <n v="5"/>
    <s v="POP"/>
    <d v="2024-10-25T00:00:00"/>
    <n v="1"/>
    <n v="580882.36631039996"/>
    <n v="580882.36631039996"/>
    <n v="500000"/>
    <x v="1"/>
    <d v="2024-05-10T00:00:00"/>
    <n v="302500"/>
    <n v="1"/>
    <n v="302500"/>
    <s v="Chris"/>
    <s v="Approved"/>
    <s v="No"/>
    <m/>
  </r>
  <r>
    <s v="Artemis 1P"/>
    <s v="HP"/>
    <s v="Top cover"/>
    <s v="0600201010"/>
    <s v="JEE"/>
    <n v="2023"/>
    <n v="5"/>
    <s v="POP"/>
    <d v="2024-10-25T00:00:00"/>
    <n v="1"/>
    <n v="10000"/>
    <n v="10000"/>
    <n v="500000"/>
    <x v="1"/>
    <d v="2024-05-10T00:00:00"/>
    <n v="55400"/>
    <n v="1"/>
    <n v="55400"/>
    <s v="Chris"/>
    <s v="Approved"/>
    <s v="No"/>
    <m/>
  </r>
  <r>
    <s v="Artemis 2P"/>
    <s v="HP"/>
    <s v="Slider bracket"/>
    <s v="0620201006"/>
    <s v="JEE"/>
    <n v="2023"/>
    <n v="5"/>
    <s v="POP"/>
    <d v="2024-10-25T00:00:00"/>
    <n v="1"/>
    <n v="10000"/>
    <n v="10000"/>
    <n v="500000"/>
    <x v="1"/>
    <d v="2024-05-10T00:00:00"/>
    <n v="39200"/>
    <n v="1"/>
    <n v="39200"/>
    <s v="Chris"/>
    <s v="Approved"/>
    <s v="No"/>
    <m/>
  </r>
  <r>
    <s v="Artemis 2P"/>
    <s v="HP"/>
    <s v="Heat transferring tube"/>
    <s v="06002010034"/>
    <s v="JEE"/>
    <n v="2023"/>
    <n v="5"/>
    <s v="POP"/>
    <d v="2024-10-25T00:00:00"/>
    <n v="1"/>
    <n v="10000"/>
    <n v="10000"/>
    <n v="50000"/>
    <x v="1"/>
    <d v="2024-05-10T00:00:00"/>
    <n v="144981"/>
    <n v="1"/>
    <n v="144981"/>
    <s v="Chris"/>
    <s v="Approved"/>
    <s v="No"/>
    <m/>
  </r>
  <r>
    <s v="Artemis 2P"/>
    <s v="HP"/>
    <s v="Slider bracket"/>
    <s v="0620201006"/>
    <s v="JEE"/>
    <n v="2023"/>
    <n v="5"/>
    <s v="POP"/>
    <d v="2024-10-25T00:00:00"/>
    <n v="1"/>
    <n v="10000"/>
    <n v="10000"/>
    <n v="50000"/>
    <x v="1"/>
    <d v="2024-05-10T00:00:00"/>
    <n v="12500"/>
    <n v="1"/>
    <n v="12500"/>
    <s v="Chris"/>
    <s v="Approved"/>
    <s v="No"/>
    <m/>
  </r>
  <r>
    <s v="Artemis 2P"/>
    <s v="HP"/>
    <s v="Heat transferring tube"/>
    <s v="06002010034"/>
    <s v="JEE"/>
    <n v="2023"/>
    <n v="5"/>
    <s v="POP"/>
    <d v="2024-10-25T00:00:00"/>
    <n v="1"/>
    <n v="10000"/>
    <n v="10000"/>
    <n v="50000"/>
    <x v="1"/>
    <d v="2024-05-10T00:00:00"/>
    <n v="20500"/>
    <n v="1"/>
    <n v="20500"/>
    <s v="Chris"/>
    <s v="Approved"/>
    <s v="No"/>
    <m/>
  </r>
  <r>
    <s v="Artemis 2P"/>
    <s v="HP"/>
    <s v="cap pogo pin"/>
    <s v="0620201009"/>
    <s v="JEE"/>
    <n v="2023"/>
    <n v="5"/>
    <s v="POP"/>
    <d v="2024-10-25T00:00:00"/>
    <n v="1"/>
    <n v="10000"/>
    <n v="10000"/>
    <n v="50000"/>
    <x v="1"/>
    <d v="2024-05-10T00:00:00"/>
    <n v="63000"/>
    <n v="1"/>
    <n v="63000"/>
    <s v="Chris"/>
    <s v="Approved"/>
    <s v="No"/>
    <m/>
  </r>
  <r>
    <s v="Artemis 2P"/>
    <s v="HP"/>
    <s v="SLIDER RAIL"/>
    <s v="06202021007"/>
    <s v="JEE"/>
    <n v="2023"/>
    <n v="5"/>
    <s v="POP"/>
    <d v="2024-10-25T00:00:00"/>
    <n v="1"/>
    <n v="10000"/>
    <n v="10000"/>
    <n v="50000"/>
    <x v="1"/>
    <d v="2024-05-10T00:00:00"/>
    <n v="135260"/>
    <n v="1"/>
    <n v="135260"/>
    <s v="Chris"/>
    <s v="Approved"/>
    <s v="No"/>
    <m/>
  </r>
  <r>
    <s v="Artemis 1P"/>
    <s v="HP"/>
    <s v="HOUSING"/>
    <s v="0600201003"/>
    <s v="JEE"/>
    <n v="2023"/>
    <n v="5"/>
    <s v="POP"/>
    <d v="2024-10-25T00:00:00"/>
    <m/>
    <m/>
    <n v="0"/>
    <m/>
    <x v="1"/>
    <d v="2024-05-10T00:00:00"/>
    <n v="33452.212389380496"/>
    <n v="1"/>
    <n v="33452.212389380496"/>
    <s v="Chris"/>
    <s v="Approved"/>
    <s v="No"/>
    <m/>
  </r>
  <r>
    <s v="Artemis 1P"/>
    <s v="HP"/>
    <s v="MAIN_CHASISS "/>
    <s v="0600202009"/>
    <s v="JEE"/>
    <n v="2023"/>
    <n v="5"/>
    <s v="POP"/>
    <d v="2024-10-25T00:00:00"/>
    <m/>
    <m/>
    <n v="0"/>
    <m/>
    <x v="1"/>
    <d v="2024-05-10T00:00:00"/>
    <n v="89692.734513274307"/>
    <n v="1"/>
    <n v="89692.734513274307"/>
    <s v="Chris"/>
    <s v="Approved"/>
    <s v="No"/>
    <m/>
  </r>
  <r>
    <s v="Artemis 1P"/>
    <s v="HP"/>
    <s v="TOP_COVER"/>
    <s v="0600201010"/>
    <s v="JEE"/>
    <n v="2023"/>
    <n v="5"/>
    <s v="POP"/>
    <d v="2024-10-25T00:00:00"/>
    <m/>
    <m/>
    <n v="0"/>
    <m/>
    <x v="1"/>
    <d v="2024-05-10T00:00:00"/>
    <n v="3451.3274336283198"/>
    <n v="1"/>
    <n v="3451.3274336283198"/>
    <s v="Chris"/>
    <s v="Approved"/>
    <s v="No"/>
    <m/>
  </r>
  <r>
    <s v="Artemis 1P"/>
    <s v="HP"/>
    <s v="HEATING PIN LSR SUB"/>
    <s v="0600204088"/>
    <s v="JEE"/>
    <n v="2023"/>
    <n v="5"/>
    <s v="POP"/>
    <d v="2024-10-25T00:00:00"/>
    <m/>
    <m/>
    <n v="0"/>
    <m/>
    <x v="1"/>
    <d v="2024-05-10T00:00:00"/>
    <n v="20000"/>
    <n v="1"/>
    <n v="20000"/>
    <s v="Chris"/>
    <s v="Approved"/>
    <s v="No"/>
    <m/>
  </r>
  <r>
    <s v="Artemis 1P"/>
    <s v="HP"/>
    <s v="HEATING PIN LSR SUB"/>
    <s v="0600204088"/>
    <s v="JEE"/>
    <n v="2023"/>
    <n v="5"/>
    <s v="POP"/>
    <d v="2024-10-25T00:00:00"/>
    <m/>
    <m/>
    <n v="0"/>
    <m/>
    <x v="1"/>
    <d v="2024-05-10T00:00:00"/>
    <n v="6650"/>
    <n v="1"/>
    <n v="6650"/>
    <s v="Chris"/>
    <s v="Approved"/>
    <s v="No"/>
    <m/>
  </r>
  <r>
    <s v="Artemis 1P"/>
    <s v="HP"/>
    <s v="HEATING PIN LSR SUB"/>
    <s v="0600204088"/>
    <s v="JEE"/>
    <n v="2023"/>
    <n v="5"/>
    <s v="POP"/>
    <d v="2024-10-25T00:00:00"/>
    <m/>
    <m/>
    <n v="0"/>
    <m/>
    <x v="1"/>
    <d v="2024-05-10T00:00:00"/>
    <n v="38480"/>
    <n v="1"/>
    <n v="38480"/>
    <s v="Chris"/>
    <s v="Approved"/>
    <s v="No"/>
    <m/>
  </r>
  <r>
    <s v="Adonis 1P"/>
    <s v="HP"/>
    <s v="Housing"/>
    <s v="240000090201004"/>
    <s v="JEE"/>
    <n v="2024"/>
    <n v="5"/>
    <s v="POP"/>
    <d v="2024-10-29T00:00:00"/>
    <n v="1"/>
    <n v="68000"/>
    <n v="68000"/>
    <n v="1000000"/>
    <x v="1"/>
    <d v="2024-05-10T00:00:00"/>
    <n v="296454"/>
    <n v="1"/>
    <n v="296454"/>
    <s v="Srikanth Naule"/>
    <s v="Approved"/>
    <s v="No"/>
    <s v="Metal parts ,fixtures before SMP（SMP+POA）"/>
  </r>
  <r>
    <s v="Adonis 1P"/>
    <s v="HP"/>
    <s v="Top cover"/>
    <s v="240000090201003"/>
    <s v="JEE"/>
    <n v="2024"/>
    <n v="5"/>
    <s v="POP"/>
    <d v="2024-10-29T00:00:00"/>
    <n v="1"/>
    <n v="74554"/>
    <n v="74554"/>
    <n v="1000000"/>
    <x v="1"/>
    <d v="2024-05-10T00:00:00"/>
    <n v="256010"/>
    <n v="1"/>
    <n v="256010"/>
    <s v="Srikanth Naule"/>
    <s v="Approved"/>
    <s v="No"/>
    <s v="Metal parts ,fixtures before SMP（SMP+POA）"/>
  </r>
  <r>
    <s v="Adonis 1P"/>
    <s v="HP"/>
    <s v="Slider bracket"/>
    <s v="240000090201001"/>
    <s v="JEE"/>
    <n v="2024"/>
    <n v="5"/>
    <s v="POP"/>
    <d v="2024-10-29T00:00:00"/>
    <n v="1"/>
    <n v="77350"/>
    <n v="77350"/>
    <n v="1000000"/>
    <x v="1"/>
    <d v="2024-05-10T00:00:00"/>
    <n v="30431"/>
    <n v="1"/>
    <n v="30431"/>
    <s v="Srikanth Naule"/>
    <s v="Approved"/>
    <s v="No"/>
    <s v="Metal parts ,fixtures before SMP（SMP+POA）"/>
  </r>
  <r>
    <s v="Adonis 1P"/>
    <s v="HP"/>
    <s v="Slider cover"/>
    <s v="240000090201002"/>
    <s v="JEE"/>
    <n v="2024"/>
    <n v="5"/>
    <s v="POP"/>
    <d v="2024-10-29T00:00:00"/>
    <n v="1"/>
    <n v="76391"/>
    <n v="76391"/>
    <n v="1000000"/>
    <x v="1"/>
    <d v="2024-05-10T00:00:00"/>
    <n v="11837"/>
    <n v="1"/>
    <n v="11837"/>
    <s v="Srikanth Naule"/>
    <s v="Approved"/>
    <s v="No"/>
    <s v="Metal parts ,fixtures before SMP（SMP+POA）"/>
  </r>
  <r>
    <s v="Adonis 1P"/>
    <s v="HP"/>
    <s v="USB Deco"/>
    <s v="240000090201005"/>
    <s v="JEE"/>
    <n v="2024"/>
    <n v="5"/>
    <s v="POP"/>
    <d v="2024-10-29T00:00:00"/>
    <n v="1"/>
    <n v="74225"/>
    <n v="74225"/>
    <n v="1000000"/>
    <x v="1"/>
    <d v="2024-05-10T00:00:00"/>
    <n v="38251"/>
    <n v="1"/>
    <n v="38251"/>
    <s v="Srikanth Naule"/>
    <s v="Approved"/>
    <s v="No"/>
    <s v="Metal parts ,fixtures before SMP（SMP+POA）"/>
  </r>
  <r>
    <s v="Adonis 2P"/>
    <s v="HP"/>
    <s v="Housing"/>
    <s v="240000600201003"/>
    <s v="JEE"/>
    <n v="2024"/>
    <n v="5"/>
    <s v="POA"/>
    <d v="2024-10-29T00:00:00"/>
    <n v="1"/>
    <n v="20349.4223539835"/>
    <n v="20349.4223539835"/>
    <n v="500000"/>
    <x v="1"/>
    <d v="2024-05-10T00:00:00"/>
    <n v="93300"/>
    <n v="1"/>
    <n v="93300"/>
    <s v="Srikanth Naule"/>
    <s v="Approved"/>
    <s v="No"/>
    <s v="Metal parts ,fixtures before SMP &amp; ECN， all could not be reuse on the version after ECN (10/29) (SMP+POA)"/>
  </r>
  <r>
    <s v="Adonis 2P"/>
    <s v="HP"/>
    <s v="Top cover"/>
    <s v="240000600201001"/>
    <s v="JEE"/>
    <n v="2024"/>
    <n v="5"/>
    <s v="POA"/>
    <d v="2024-10-29T00:00:00"/>
    <n v="1"/>
    <n v="25650.473515409001"/>
    <n v="25650.473515409001"/>
    <n v="500000"/>
    <x v="1"/>
    <d v="2024-05-10T00:00:00"/>
    <n v="59800"/>
    <n v="1"/>
    <n v="59800"/>
    <s v="Srikanth Naule"/>
    <s v="Approved"/>
    <s v="No"/>
    <s v="Metal parts ,fixtures before SMP &amp; ECN， all could not be reuse on the version after ECN (10/29) (SMP+POA)"/>
  </r>
  <r>
    <s v="Adonis 2P"/>
    <s v="HP"/>
    <s v="Button"/>
    <s v="240000600201007"/>
    <s v="JEE"/>
    <n v="2024"/>
    <n v="5"/>
    <s v="POA"/>
    <d v="2024-10-29T00:00:00"/>
    <n v="1"/>
    <n v="23252.412781517301"/>
    <n v="23252.412781517301"/>
    <n v="500000"/>
    <x v="1"/>
    <d v="2024-05-10T00:00:00"/>
    <n v="23500"/>
    <n v="1"/>
    <n v="23500"/>
    <s v="Srikanth Naule"/>
    <s v="Approved"/>
    <s v="No"/>
    <s v="Metal parts ,fixtures before SMP &amp; ECN， all could not be reuse on the version after ECN (10/29) (SMP+POA)"/>
  </r>
  <r>
    <s v="Adonis 2P"/>
    <s v="HP"/>
    <s v="Case Deco Ring"/>
    <s v="240000600201001"/>
    <s v="JEE"/>
    <n v="2024"/>
    <n v="5"/>
    <s v="POA"/>
    <d v="2024-10-29T00:00:00"/>
    <n v="1"/>
    <n v="17263.921057523399"/>
    <n v="17263.921057523399"/>
    <n v="500000"/>
    <x v="1"/>
    <d v="2024-05-10T00:00:00"/>
    <n v="43300"/>
    <n v="1"/>
    <n v="43300"/>
    <s v="Srikanth Naule"/>
    <s v="Approved"/>
    <s v="No"/>
    <s v="Metal parts ,fixtures before SMP &amp; ECN， all could not be reuse on the version after ECN (10/29) (SMP+POA)"/>
  </r>
  <r>
    <s v="Adonis 2P"/>
    <s v="HP"/>
    <s v="Slider bracket"/>
    <s v="240000600201045"/>
    <s v="JEE"/>
    <n v="2024"/>
    <n v="5"/>
    <s v="POA"/>
    <d v="2024-10-29T00:00:00"/>
    <n v="1"/>
    <n v="20094.482255633"/>
    <n v="20094.482255633"/>
    <n v="500000"/>
    <x v="1"/>
    <d v="2024-05-10T00:00:00"/>
    <n v="35500"/>
    <n v="1"/>
    <n v="35500"/>
    <s v="Srikanth Naule"/>
    <s v="Approved"/>
    <s v="No"/>
    <s v="Metal parts ,fixtures before SMP &amp; ECN， all could not be reuse on the version after ECN (10/29) (SMP+POA)"/>
  </r>
  <r>
    <s v="Adonis 2P"/>
    <s v="HP"/>
    <s v="cap pogo pin"/>
    <s v="240000600201043"/>
    <s v="JEE"/>
    <n v="2024"/>
    <n v="5"/>
    <s v="POA"/>
    <d v="2024-10-29T00:00:00"/>
    <n v="1"/>
    <n v="184483.89588182399"/>
    <n v="184483.89588182399"/>
    <n v="500000"/>
    <x v="1"/>
    <d v="2024-05-10T00:00:00"/>
    <n v="93000"/>
    <n v="1"/>
    <n v="93000"/>
    <s v="Srikanth Naule"/>
    <s v="Approved"/>
    <s v="No"/>
    <s v="Metal parts ,fixtures before SMP &amp; ECN， all could not be reuse on the version after ECN (10/29) (SMP+POA)"/>
  </r>
  <r>
    <s v="Adonis 2P"/>
    <s v="HP"/>
    <s v="Case slider rail"/>
    <s v="240000600201042"/>
    <s v="JEE"/>
    <n v="2024"/>
    <n v="5"/>
    <s v="POA"/>
    <d v="2024-10-29T00:00:00"/>
    <n v="16"/>
    <n v="71568.012257280003"/>
    <n v="71568.012257280003"/>
    <n v="500000"/>
    <x v="1"/>
    <d v="2024-05-10T00:00:00"/>
    <n v="45200"/>
    <n v="1"/>
    <n v="45200"/>
    <s v="Srikanth Naule"/>
    <s v="Approved"/>
    <s v="No"/>
    <s v="Metal parts ,fixtures before SMP &amp; ECN， all could not be reuse on the version after ECN (10/29) (SMP+POA)"/>
  </r>
  <r>
    <s v="Adonis 2P"/>
    <s v="HP"/>
    <s v="Case slider cover"/>
    <s v="240000600201007"/>
    <s v="JEE"/>
    <n v="2024"/>
    <n v="5"/>
    <s v="POA"/>
    <d v="2024-10-29T00:00:00"/>
    <n v="1"/>
    <n v="133464.03047999999"/>
    <n v="133464.03047999999"/>
    <n v="500000"/>
    <x v="1"/>
    <d v="2024-05-10T00:00:00"/>
    <n v="26000"/>
    <n v="1"/>
    <n v="26000"/>
    <s v="Srikanth Naule"/>
    <s v="Approved"/>
    <s v="No"/>
    <s v="Metal parts ,fixtures before SMP &amp; ECN， all could not be reuse on the version after ECN (10/29) (SMP+POA)"/>
  </r>
  <r>
    <s v="Adonis 2P"/>
    <s v="HP"/>
    <s v="cap pogo pin"/>
    <s v="240000600201043"/>
    <s v="JEE"/>
    <n v="2024"/>
    <n v="9"/>
    <s v="POA"/>
    <d v="2024-10-29T00:00:00"/>
    <n v="1"/>
    <n v="184483.89588182399"/>
    <n v="184483.89588182399"/>
    <n v="500000"/>
    <x v="1"/>
    <d v="2024-09-20T00:00:00"/>
    <n v="4500"/>
    <n v="1"/>
    <n v="2568"/>
    <s v="Jason"/>
    <s v="Not Approved"/>
    <s v="No"/>
    <s v="Metal parts ,fixtures before SMP &amp; ECN， all could not be reuse on the version after ECN (10/29) (SMP+POA)"/>
  </r>
  <r>
    <s v="Adonis 2P"/>
    <s v="HP"/>
    <s v="Case slider rail"/>
    <s v="240000600201042"/>
    <s v="JEE"/>
    <n v="2024"/>
    <n v="9"/>
    <s v="POA"/>
    <d v="2024-10-29T00:00:00"/>
    <n v="16"/>
    <n v="71568.012257280003"/>
    <n v="71568.012257280003"/>
    <n v="500000"/>
    <x v="1"/>
    <d v="2024-09-20T00:00:00"/>
    <n v="28500"/>
    <n v="1"/>
    <n v="28500"/>
    <s v="Jason"/>
    <s v="Not Approved"/>
    <s v="No"/>
    <s v="Metal parts ,fixtures before SMP &amp; ECN， all could not be reuse on the version after ECN (10/29) (SMP+POA)"/>
  </r>
  <r>
    <s v="Alto Pod "/>
    <s v="RCS POD"/>
    <s v="Cartomizer tube"/>
    <s v="130010390000214"/>
    <s v="JEE"/>
    <n v="2024"/>
    <n v="11"/>
    <s v="MP"/>
    <d v="2024-11-12T00:00:00"/>
    <n v="16"/>
    <n v="1185600"/>
    <n v="13041600"/>
    <n v="1000000"/>
    <x v="0"/>
    <d v="2024-11-02T00:00:00"/>
    <n v="668099.36050000007"/>
    <n v="11"/>
    <n v="7349092.9655000009"/>
    <s v="Candy"/>
    <s v="Approved"/>
    <s v="No"/>
    <m/>
  </r>
  <r>
    <s v="Alto Pod "/>
    <s v="RCS POD"/>
    <s v="Heating holder"/>
    <s v="130010390000214"/>
    <s v="JEE"/>
    <n v="2024"/>
    <n v="11"/>
    <s v="MP"/>
    <d v="2024-11-12T00:00:00"/>
    <n v="32"/>
    <n v="2695680"/>
    <n v="13478400"/>
    <n v="1000000"/>
    <x v="0"/>
    <d v="2024-11-02T00:00:00"/>
    <n v="733968.30650000006"/>
    <n v="5"/>
    <n v="3669841.5325000002"/>
    <s v="Candy"/>
    <s v="Approved"/>
    <s v="No"/>
    <m/>
  </r>
  <r>
    <s v="Alto Pod "/>
    <s v="RCS POD"/>
    <s v="Heater top cover"/>
    <s v="130010390000214"/>
    <s v="JEE"/>
    <n v="2024"/>
    <n v="11"/>
    <s v="MP"/>
    <d v="2024-11-12T00:00:00"/>
    <n v="32"/>
    <n v="2695680"/>
    <n v="13478400"/>
    <n v="1000000"/>
    <x v="0"/>
    <d v="2024-11-02T00:00:00"/>
    <n v="733968.30650000006"/>
    <n v="5"/>
    <n v="3669841.5325000002"/>
    <s v="Candy"/>
    <s v="Approved"/>
    <s v="No"/>
    <m/>
  </r>
  <r>
    <s v="Alto Pod "/>
    <s v="RCS POD"/>
    <s v="Cartomizer holder tap"/>
    <s v="130010390000214"/>
    <s v="JEE"/>
    <n v="2024"/>
    <n v="11"/>
    <s v="MP"/>
    <d v="2024-11-12T00:00:00"/>
    <n v="32"/>
    <n v="2526368"/>
    <n v="12631840"/>
    <n v="1000000"/>
    <x v="0"/>
    <d v="2024-11-02T00:00:00"/>
    <n v="498722.00950000004"/>
    <n v="5"/>
    <n v="2493610.0475000003"/>
    <s v="Candy"/>
    <s v="Approved"/>
    <s v="No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3">
  <r>
    <x v="0"/>
    <s v="MODI"/>
    <s v="Mouth Piece"/>
    <s v="310493191000"/>
    <s v="JEE"/>
    <s v="unique"/>
    <s v="Plastic"/>
    <x v="0"/>
    <x v="0"/>
    <d v="2024-10-25T00:00:00"/>
    <n v="0.5"/>
    <n v="0.313524986358025"/>
    <n v="0.334774986358025"/>
    <n v="2.1249999999999991E-2"/>
    <n v="1.0624999999999996E-2"/>
    <n v="1"/>
    <n v="0.313524986358025"/>
    <n v="30954490"/>
    <n v="30954490"/>
    <x v="0"/>
    <x v="0"/>
    <s v="PCTG TX1501HF"/>
    <m/>
    <n v="6.7279999999999998"/>
    <s v="Eastman"/>
    <m/>
    <n v="0"/>
    <x v="0"/>
    <n v="0"/>
    <n v="208261.80872"/>
    <m/>
  </r>
  <r>
    <x v="0"/>
    <s v="MODI"/>
    <s v="Top Plastic Bracket"/>
    <s v="310493192000"/>
    <s v="JEE"/>
    <s v="unique"/>
    <s v="Plastic"/>
    <x v="0"/>
    <x v="0"/>
    <d v="2024-10-25T00:00:00"/>
    <n v="0.5"/>
    <n v="4.21539321081182E-2"/>
    <n v="5.6528932108118199E-2"/>
    <n v="1.4374999999999999E-2"/>
    <n v="7.1874999999999994E-3"/>
    <n v="1"/>
    <n v="4.21539321081182E-2"/>
    <n v="27721346"/>
    <n v="27721346"/>
    <x v="1"/>
    <x v="1"/>
    <s v="PCTG TX1501HF"/>
    <m/>
    <n v="0.87"/>
    <s v="Eastman"/>
    <m/>
    <n v="0"/>
    <x v="1"/>
    <n v="0"/>
    <n v="24117.571019999999"/>
    <m/>
  </r>
  <r>
    <x v="0"/>
    <s v="MODI"/>
    <s v=" Bottom Plastic Bracket"/>
    <s v="310493193000"/>
    <s v="JEE"/>
    <s v="unique"/>
    <s v="Plastic"/>
    <x v="0"/>
    <x v="0"/>
    <d v="2024-10-25T00:00:00"/>
    <n v="0.5"/>
    <n v="7.2210434624191605E-2"/>
    <n v="8.7793767957524901E-2"/>
    <n v="1.5583333333333296E-2"/>
    <n v="7.7916666666666481E-3"/>
    <n v="1"/>
    <n v="7.2210434624191605E-2"/>
    <n v="30135782"/>
    <n v="30135782"/>
    <x v="2"/>
    <x v="2"/>
    <s v="PCTG TX1501HF"/>
    <m/>
    <n v="1.1779999999999999"/>
    <s v="Eastman"/>
    <m/>
    <n v="0"/>
    <x v="2"/>
    <n v="0"/>
    <n v="35499.951195999995"/>
    <m/>
  </r>
  <r>
    <x v="0"/>
    <s v="MODI"/>
    <s v=" Bottom cap"/>
    <s v="310493194000"/>
    <s v="JEE"/>
    <s v="unique"/>
    <s v="Plastic"/>
    <x v="0"/>
    <x v="0"/>
    <d v="2024-10-25T00:00:00"/>
    <n v="0.5"/>
    <n v="6.6190725348954399E-2"/>
    <n v="8.0565725348954398E-2"/>
    <n v="1.4374999999999999E-2"/>
    <n v="7.1874999999999994E-3"/>
    <n v="1"/>
    <n v="6.6190725348954399E-2"/>
    <n v="15794015"/>
    <n v="15794015"/>
    <x v="1"/>
    <x v="3"/>
    <s v="LUPOY ER1000MA"/>
    <m/>
    <n v="1.1779999999999999"/>
    <s v=" Ruicheng"/>
    <m/>
    <n v="0"/>
    <x v="3"/>
    <n v="0"/>
    <n v="18605.34967"/>
    <m/>
  </r>
  <r>
    <x v="0"/>
    <s v="MODI"/>
    <s v="Air Flow slider"/>
    <s v="310493195000"/>
    <s v="JEE"/>
    <s v="unique"/>
    <s v="Plastic"/>
    <x v="0"/>
    <x v="0"/>
    <d v="2024-10-25T00:00:00"/>
    <n v="0.5"/>
    <n v="3.8519575097127702E-2"/>
    <n v="5.2686241763794397E-2"/>
    <n v="1.4166666666666695E-2"/>
    <n v="7.0833333333333477E-3"/>
    <n v="1"/>
    <n v="3.8519575097127702E-2"/>
    <n v="42312050"/>
    <n v="42312050"/>
    <x v="3"/>
    <x v="4"/>
    <s v="LUPOY ER1000MA"/>
    <m/>
    <n v="0.13400000000000001"/>
    <s v=" Ruicheng"/>
    <m/>
    <n v="0"/>
    <x v="4"/>
    <n v="0"/>
    <n v="5669.8146999999999"/>
    <m/>
  </r>
  <r>
    <x v="0"/>
    <s v="MODI"/>
    <s v="Mouth Piece"/>
    <s v="310493191000"/>
    <s v="JEE"/>
    <s v="unique"/>
    <s v="Plastic"/>
    <x v="1"/>
    <x v="1"/>
    <d v="2024-10-25T00:00:00"/>
    <n v="0.5"/>
    <n v="0.313524986358025"/>
    <n v="0.334774986358025"/>
    <n v="2.1249999999999991E-2"/>
    <n v="1.0624999999999996E-2"/>
    <n v="1"/>
    <n v="0.313524986358025"/>
    <n v="2479038"/>
    <n v="33433528"/>
    <x v="0"/>
    <x v="5"/>
    <s v="PCTG TX1501HF"/>
    <m/>
    <n v="6.7279999999999998"/>
    <s v="Eastman"/>
    <m/>
    <n v="0"/>
    <x v="5"/>
    <n v="0"/>
    <n v="16678.967664"/>
    <m/>
  </r>
  <r>
    <x v="0"/>
    <s v="MODI"/>
    <s v="Top Plastic Bracket"/>
    <s v="310493192000"/>
    <s v="JEE"/>
    <s v="unique"/>
    <s v="Plastic"/>
    <x v="1"/>
    <x v="1"/>
    <d v="2024-10-25T00:00:00"/>
    <n v="0.5"/>
    <n v="4.21539321081182E-2"/>
    <n v="5.6528932108118199E-2"/>
    <n v="1.4374999999999999E-2"/>
    <n v="7.1874999999999994E-3"/>
    <n v="1"/>
    <n v="4.21539321081182E-2"/>
    <n v="2530321"/>
    <n v="30251667"/>
    <x v="1"/>
    <x v="6"/>
    <s v="PCTG TX1501HF"/>
    <m/>
    <n v="0.87"/>
    <s v="Eastman"/>
    <m/>
    <n v="0"/>
    <x v="6"/>
    <n v="0"/>
    <n v="2201.3792699999999"/>
    <m/>
  </r>
  <r>
    <x v="0"/>
    <s v="MODI"/>
    <s v=" Bottom Plastic Bracket"/>
    <s v="310493193000"/>
    <s v="JEE"/>
    <s v="unique"/>
    <s v="Plastic"/>
    <x v="1"/>
    <x v="1"/>
    <d v="2024-10-25T00:00:00"/>
    <n v="0.5"/>
    <n v="7.2210434624191605E-2"/>
    <n v="8.7793767957524901E-2"/>
    <n v="1.5583333333333296E-2"/>
    <n v="7.7916666666666481E-3"/>
    <n v="1"/>
    <n v="7.2210434624191605E-2"/>
    <n v="2184407"/>
    <n v="32320189"/>
    <x v="2"/>
    <x v="7"/>
    <s v="PCTG TX1501HF"/>
    <m/>
    <n v="1.1779999999999999"/>
    <s v="Eastman"/>
    <m/>
    <n v="0"/>
    <x v="7"/>
    <n v="0"/>
    <n v="2573.2314459999998"/>
    <m/>
  </r>
  <r>
    <x v="0"/>
    <s v="MODI"/>
    <s v=" Bottom cap"/>
    <s v="310493194000"/>
    <s v="JEE"/>
    <s v="unique"/>
    <s v="Plastic"/>
    <x v="1"/>
    <x v="1"/>
    <d v="2024-10-25T00:00:00"/>
    <n v="0.5"/>
    <n v="6.6190725348954399E-2"/>
    <n v="8.0565725348954398E-2"/>
    <n v="1.4374999999999999E-2"/>
    <n v="7.1874999999999994E-3"/>
    <n v="1"/>
    <n v="6.6190725348954399E-2"/>
    <n v="2258856"/>
    <n v="18052871"/>
    <x v="1"/>
    <x v="8"/>
    <s v="LUPOY ER1000MA"/>
    <m/>
    <n v="1.1779999999999999"/>
    <s v=" Ruicheng"/>
    <m/>
    <n v="0"/>
    <x v="8"/>
    <n v="0"/>
    <n v="2660.9323679999998"/>
    <m/>
  </r>
  <r>
    <x v="0"/>
    <s v="MODI"/>
    <s v="Air Flow slider"/>
    <s v="310493195000"/>
    <s v="JEE"/>
    <s v="unique"/>
    <s v="Plastic"/>
    <x v="1"/>
    <x v="1"/>
    <d v="2024-10-25T00:00:00"/>
    <n v="0.5"/>
    <n v="3.8519575097127702E-2"/>
    <n v="5.2686241763794397E-2"/>
    <n v="1.4166666666666695E-2"/>
    <n v="7.0833333333333477E-3"/>
    <n v="1"/>
    <n v="3.8519575097127702E-2"/>
    <n v="1792586"/>
    <n v="44104636"/>
    <x v="3"/>
    <x v="9"/>
    <s v="LUPOY ER1000MA"/>
    <m/>
    <n v="0.13400000000000001"/>
    <s v=" Ruicheng"/>
    <m/>
    <n v="0"/>
    <x v="9"/>
    <n v="0"/>
    <n v="240.206524"/>
    <m/>
  </r>
  <r>
    <x v="0"/>
    <s v="MODI"/>
    <s v="Mouth Piece"/>
    <s v="310493191000"/>
    <s v="JEE"/>
    <s v="unique"/>
    <s v="Plastic"/>
    <x v="1"/>
    <x v="2"/>
    <d v="2024-10-25T00:00:00"/>
    <n v="0.5"/>
    <n v="0.313524986358025"/>
    <n v="0.334774986358025"/>
    <n v="2.1249999999999991E-2"/>
    <n v="1.0624999999999996E-2"/>
    <n v="1"/>
    <n v="0.313524986358025"/>
    <n v="1002816"/>
    <n v="34436344"/>
    <x v="0"/>
    <x v="10"/>
    <s v="PCTG TX1501HF"/>
    <m/>
    <n v="6.7279999999999998"/>
    <s v="Eastman"/>
    <m/>
    <n v="0"/>
    <x v="10"/>
    <n v="0"/>
    <n v="6746.9460479999998"/>
    <m/>
  </r>
  <r>
    <x v="0"/>
    <s v="MODI"/>
    <s v="Top Plastic Bracket"/>
    <s v="310493192000"/>
    <s v="JEE"/>
    <s v="unique"/>
    <s v="Plastic"/>
    <x v="1"/>
    <x v="2"/>
    <d v="2024-10-25T00:00:00"/>
    <n v="0.5"/>
    <n v="4.21539321081182E-2"/>
    <n v="5.6528932108118199E-2"/>
    <n v="1.4374999999999999E-2"/>
    <n v="7.1874999999999994E-3"/>
    <n v="1"/>
    <n v="4.21539321081182E-2"/>
    <n v="1600000"/>
    <n v="31851667"/>
    <x v="1"/>
    <x v="11"/>
    <s v="PCTG TX1501HF"/>
    <m/>
    <n v="0.87"/>
    <s v="Eastman"/>
    <m/>
    <n v="0"/>
    <x v="11"/>
    <n v="0"/>
    <n v="1392"/>
    <m/>
  </r>
  <r>
    <x v="0"/>
    <s v="MODI"/>
    <s v=" Bottom Plastic Bracket"/>
    <s v="310493193000"/>
    <s v="JEE"/>
    <s v="unique"/>
    <s v="Plastic"/>
    <x v="1"/>
    <x v="2"/>
    <d v="2024-10-25T00:00:00"/>
    <n v="0.5"/>
    <n v="7.2210434624191605E-2"/>
    <n v="8.7793767957524901E-2"/>
    <n v="1.5583333333333296E-2"/>
    <n v="7.7916666666666481E-3"/>
    <n v="1"/>
    <n v="7.2210434624191605E-2"/>
    <n v="1332000"/>
    <n v="33652189"/>
    <x v="2"/>
    <x v="12"/>
    <s v="PCTG TX1501HF"/>
    <m/>
    <n v="1.1779999999999999"/>
    <s v="Eastman"/>
    <m/>
    <n v="0"/>
    <x v="12"/>
    <n v="0"/>
    <n v="1569.096"/>
    <m/>
  </r>
  <r>
    <x v="0"/>
    <s v="MODI"/>
    <s v=" Bottom cap"/>
    <s v="310493194000"/>
    <s v="JEE"/>
    <s v="unique"/>
    <s v="Plastic"/>
    <x v="1"/>
    <x v="2"/>
    <d v="2024-10-25T00:00:00"/>
    <n v="0.5"/>
    <n v="6.6190725348954399E-2"/>
    <n v="8.0565725348954398E-2"/>
    <n v="1.4374999999999999E-2"/>
    <n v="7.1874999999999994E-3"/>
    <n v="1"/>
    <n v="6.6190725348954399E-2"/>
    <n v="1095430"/>
    <n v="19148301"/>
    <x v="1"/>
    <x v="13"/>
    <s v="LUPOY ER1000MA"/>
    <m/>
    <n v="1.1779999999999999"/>
    <s v=" Ruicheng"/>
    <m/>
    <n v="0"/>
    <x v="13"/>
    <n v="0"/>
    <n v="1290.4165399999999"/>
    <m/>
  </r>
  <r>
    <x v="0"/>
    <s v="MODI"/>
    <s v="Air Flow slider"/>
    <s v="310493195000"/>
    <s v="JEE"/>
    <s v="unique"/>
    <s v="Plastic"/>
    <x v="1"/>
    <x v="2"/>
    <d v="2024-10-25T00:00:00"/>
    <n v="0.5"/>
    <n v="3.8519575097127702E-2"/>
    <n v="5.2686241763794397E-2"/>
    <n v="1.4166666666666695E-2"/>
    <n v="7.0833333333333477E-3"/>
    <n v="1"/>
    <n v="3.8519575097127702E-2"/>
    <n v="1241998"/>
    <n v="45346634"/>
    <x v="3"/>
    <x v="14"/>
    <s v="LUPOY ER1000MA"/>
    <m/>
    <n v="0.13400000000000001"/>
    <s v=" Ruicheng"/>
    <m/>
    <n v="0"/>
    <x v="14"/>
    <n v="0"/>
    <n v="166.42773200000002"/>
    <m/>
  </r>
  <r>
    <x v="0"/>
    <s v="MODI"/>
    <s v="Mouth Piece"/>
    <s v="310493191000"/>
    <s v="JEE"/>
    <s v="unique"/>
    <s v="Plastic"/>
    <x v="1"/>
    <x v="3"/>
    <d v="2024-10-25T00:00:00"/>
    <n v="0.5"/>
    <n v="0.313524986358025"/>
    <n v="0.334774986358025"/>
    <n v="2.1249999999999991E-2"/>
    <n v="1.0624999999999996E-2"/>
    <n v="1"/>
    <n v="0.313524986358025"/>
    <n v="3074296"/>
    <n v="37510640"/>
    <x v="0"/>
    <x v="15"/>
    <s v="PCTG TX1501HF"/>
    <m/>
    <n v="6.7279999999999998"/>
    <s v="Eastman"/>
    <m/>
    <n v="0"/>
    <x v="15"/>
    <n v="0"/>
    <n v="20683.863487999999"/>
    <m/>
  </r>
  <r>
    <x v="0"/>
    <s v="MODI"/>
    <s v="Top Plastic Bracket"/>
    <s v="310493192000"/>
    <s v="JEE"/>
    <s v="unique"/>
    <s v="Plastic"/>
    <x v="1"/>
    <x v="3"/>
    <d v="2024-10-25T00:00:00"/>
    <n v="0.5"/>
    <n v="4.21539321081182E-2"/>
    <n v="5.6528932108118199E-2"/>
    <n v="1.4374999999999999E-2"/>
    <n v="7.1874999999999994E-3"/>
    <n v="1"/>
    <n v="4.21539321081182E-2"/>
    <n v="1600000"/>
    <n v="33451667"/>
    <x v="1"/>
    <x v="16"/>
    <s v="PCTG TX1501HF"/>
    <m/>
    <n v="0.87"/>
    <s v="Eastman"/>
    <m/>
    <n v="0"/>
    <x v="11"/>
    <n v="0"/>
    <n v="1392"/>
    <m/>
  </r>
  <r>
    <x v="0"/>
    <s v="MODI"/>
    <s v=" Bottom Plastic Bracket"/>
    <s v="310493193000"/>
    <s v="JEE"/>
    <s v="unique"/>
    <s v="Plastic"/>
    <x v="1"/>
    <x v="3"/>
    <d v="2024-10-25T00:00:00"/>
    <n v="0.5"/>
    <n v="7.2210434624191605E-2"/>
    <n v="8.7793767957524901E-2"/>
    <n v="1.5583333333333296E-2"/>
    <n v="7.7916666666666481E-3"/>
    <n v="1"/>
    <n v="7.2210434624191605E-2"/>
    <n v="2536763"/>
    <n v="36188952"/>
    <x v="2"/>
    <x v="17"/>
    <s v="PCTG TX1501HF"/>
    <m/>
    <n v="1.1779999999999999"/>
    <s v="Eastman"/>
    <m/>
    <n v="0"/>
    <x v="16"/>
    <n v="0"/>
    <n v="2988.3068139999996"/>
    <m/>
  </r>
  <r>
    <x v="0"/>
    <s v="MODI"/>
    <s v=" Bottom cap"/>
    <s v="310493194000"/>
    <s v="JEE"/>
    <s v="unique"/>
    <s v="Plastic"/>
    <x v="1"/>
    <x v="3"/>
    <d v="2024-10-25T00:00:00"/>
    <n v="0.5"/>
    <n v="6.6190725348954399E-2"/>
    <n v="8.0565725348954398E-2"/>
    <n v="1.4374999999999999E-2"/>
    <n v="7.1874999999999994E-3"/>
    <n v="1"/>
    <n v="6.6190725348954399E-2"/>
    <n v="2974654"/>
    <n v="22122955"/>
    <x v="1"/>
    <x v="18"/>
    <s v="LUPOY ER1000MA"/>
    <m/>
    <n v="1.1779999999999999"/>
    <s v=" Ruicheng"/>
    <m/>
    <n v="0"/>
    <x v="17"/>
    <n v="0"/>
    <n v="3504.1424120000001"/>
    <m/>
  </r>
  <r>
    <x v="0"/>
    <s v="MODI"/>
    <s v="Air Flow slider"/>
    <s v="310493195000"/>
    <s v="JEE"/>
    <s v="unique"/>
    <s v="Plastic"/>
    <x v="1"/>
    <x v="3"/>
    <d v="2024-10-25T00:00:00"/>
    <n v="0.5"/>
    <n v="3.8519575097127702E-2"/>
    <n v="5.2686241763794397E-2"/>
    <n v="1.4166666666666695E-2"/>
    <n v="7.0833333333333477E-3"/>
    <n v="1"/>
    <n v="3.8519575097127702E-2"/>
    <n v="2919409"/>
    <n v="48266043"/>
    <x v="3"/>
    <x v="19"/>
    <s v="LUPOY ER1000MA"/>
    <m/>
    <n v="0.13400000000000001"/>
    <s v=" Ruicheng"/>
    <m/>
    <n v="0"/>
    <x v="18"/>
    <n v="0"/>
    <n v="391.20080600000006"/>
    <m/>
  </r>
  <r>
    <x v="0"/>
    <s v="MODI"/>
    <s v="Mouth Piece"/>
    <s v="310493191000"/>
    <s v="JEE"/>
    <s v="unique"/>
    <s v="Plastic"/>
    <x v="1"/>
    <x v="4"/>
    <d v="2024-10-25T00:00:00"/>
    <n v="0.5"/>
    <n v="0.313524986358025"/>
    <n v="0.334774986358025"/>
    <n v="2.1249999999999991E-2"/>
    <n v="1.0624999999999996E-2"/>
    <n v="1"/>
    <n v="0.313524986358025"/>
    <n v="2735456"/>
    <n v="40246096"/>
    <x v="0"/>
    <x v="20"/>
    <s v="PCTG TX1501HF"/>
    <m/>
    <n v="6.7279999999999998"/>
    <s v="Eastman"/>
    <m/>
    <n v="0"/>
    <x v="19"/>
    <n v="0"/>
    <n v="18404.147967999997"/>
    <m/>
  </r>
  <r>
    <x v="0"/>
    <s v="MODI"/>
    <s v="Top Plastic Bracket"/>
    <s v="310493192000"/>
    <s v="JEE"/>
    <s v="unique"/>
    <s v="Plastic"/>
    <x v="1"/>
    <x v="4"/>
    <d v="2024-10-25T00:00:00"/>
    <n v="0.5"/>
    <n v="4.21539321081182E-2"/>
    <n v="5.6528932108118199E-2"/>
    <n v="1.4374999999999999E-2"/>
    <n v="7.1874999999999994E-3"/>
    <n v="1"/>
    <n v="4.21539321081182E-2"/>
    <n v="2637609"/>
    <n v="36089276"/>
    <x v="1"/>
    <x v="21"/>
    <s v="PCTG TX1501HF"/>
    <m/>
    <n v="0.87"/>
    <s v="Eastman"/>
    <m/>
    <n v="0"/>
    <x v="20"/>
    <n v="0"/>
    <n v="2294.71983"/>
    <m/>
  </r>
  <r>
    <x v="0"/>
    <s v="MODI"/>
    <s v=" Bottom Plastic Bracket"/>
    <s v="310493193000"/>
    <s v="JEE"/>
    <s v="unique"/>
    <s v="Plastic"/>
    <x v="1"/>
    <x v="4"/>
    <d v="2024-10-25T00:00:00"/>
    <n v="0.5"/>
    <n v="7.2210434624191605E-2"/>
    <n v="8.7793767957524901E-2"/>
    <n v="1.5583333333333296E-2"/>
    <n v="7.7916666666666481E-3"/>
    <n v="1"/>
    <n v="7.2210434624191605E-2"/>
    <n v="3487788"/>
    <n v="39676740"/>
    <x v="2"/>
    <x v="22"/>
    <s v="PCTG TX1501HF"/>
    <m/>
    <n v="1.1779999999999999"/>
    <s v="Eastman"/>
    <m/>
    <n v="0"/>
    <x v="21"/>
    <n v="0"/>
    <n v="4108.6142639999998"/>
    <m/>
  </r>
  <r>
    <x v="0"/>
    <s v="MODI"/>
    <s v=" Bottom cap"/>
    <s v="310493194000"/>
    <s v="JEE"/>
    <s v="unique"/>
    <s v="Plastic"/>
    <x v="1"/>
    <x v="4"/>
    <d v="2024-10-25T00:00:00"/>
    <n v="0.5"/>
    <n v="6.6190725348954399E-2"/>
    <n v="8.0565725348954398E-2"/>
    <n v="1.4374999999999999E-2"/>
    <n v="7.1874999999999994E-3"/>
    <n v="1"/>
    <n v="6.6190725348954399E-2"/>
    <n v="3256281"/>
    <n v="25379236"/>
    <x v="1"/>
    <x v="23"/>
    <s v="LUPOY ER1000MA"/>
    <m/>
    <n v="1.1779999999999999"/>
    <s v=" Ruicheng"/>
    <m/>
    <n v="0"/>
    <x v="22"/>
    <n v="0"/>
    <n v="3835.8990179999996"/>
    <m/>
  </r>
  <r>
    <x v="0"/>
    <s v="MODI"/>
    <s v="Air Flow slider"/>
    <s v="310493195000"/>
    <s v="JEE"/>
    <s v="unique"/>
    <s v="Plastic"/>
    <x v="1"/>
    <x v="4"/>
    <d v="2024-10-25T00:00:00"/>
    <n v="0.5"/>
    <n v="3.8519575097127702E-2"/>
    <n v="5.2686241763794397E-2"/>
    <n v="1.4166666666666695E-2"/>
    <n v="7.0833333333333477E-3"/>
    <n v="1"/>
    <n v="3.8519575097127702E-2"/>
    <n v="3335589"/>
    <n v="51601632"/>
    <x v="3"/>
    <x v="24"/>
    <s v="LUPOY ER1000MA"/>
    <m/>
    <n v="0.13400000000000001"/>
    <s v=" Ruicheng"/>
    <m/>
    <n v="0"/>
    <x v="23"/>
    <n v="0"/>
    <n v="446.96892600000001"/>
    <m/>
  </r>
  <r>
    <x v="0"/>
    <s v="MODI"/>
    <s v="Mouth Piece"/>
    <s v="310493191000"/>
    <s v="JEE"/>
    <s v="unique"/>
    <s v="Plastic"/>
    <x v="1"/>
    <x v="5"/>
    <d v="2024-10-25T00:00:00"/>
    <n v="0.5"/>
    <n v="0.313524986358025"/>
    <n v="0.334774986358025"/>
    <n v="2.1249999999999991E-2"/>
    <n v="1.0624999999999996E-2"/>
    <n v="1"/>
    <n v="0.313524986358025"/>
    <n v="2634181"/>
    <n v="42880277"/>
    <x v="0"/>
    <x v="25"/>
    <s v="PCTG TX1501HF"/>
    <m/>
    <n v="6.7279999999999998"/>
    <s v="Eastman"/>
    <m/>
    <n v="0"/>
    <x v="24"/>
    <n v="0"/>
    <n v="17722.769767999998"/>
    <m/>
  </r>
  <r>
    <x v="0"/>
    <s v="MODI"/>
    <s v="Top Plastic Bracket"/>
    <s v="310493192000"/>
    <s v="JEE"/>
    <s v="unique"/>
    <s v="Plastic"/>
    <x v="1"/>
    <x v="5"/>
    <d v="2024-10-25T00:00:00"/>
    <n v="0.5"/>
    <n v="4.21539321081182E-2"/>
    <n v="5.6528932108118199E-2"/>
    <n v="1.4374999999999999E-2"/>
    <n v="7.1874999999999994E-3"/>
    <n v="1"/>
    <n v="4.21539321081182E-2"/>
    <n v="2144000"/>
    <n v="38233276"/>
    <x v="1"/>
    <x v="26"/>
    <s v="PCTG TX1501HF"/>
    <m/>
    <n v="0.87"/>
    <s v="Eastman"/>
    <m/>
    <n v="0"/>
    <x v="25"/>
    <n v="0"/>
    <n v="1865.28"/>
    <m/>
  </r>
  <r>
    <x v="0"/>
    <s v="MODI"/>
    <s v=" Bottom Plastic Bracket"/>
    <s v="310493193000"/>
    <s v="JEE"/>
    <s v="unique"/>
    <s v="Plastic"/>
    <x v="1"/>
    <x v="5"/>
    <d v="2024-10-25T00:00:00"/>
    <n v="0.5"/>
    <n v="7.2210434624191605E-2"/>
    <n v="8.7793767957524901E-2"/>
    <n v="1.5583333333333296E-2"/>
    <n v="7.7916666666666481E-3"/>
    <n v="1"/>
    <n v="7.2210434624191605E-2"/>
    <n v="2496000"/>
    <n v="42172740"/>
    <x v="2"/>
    <x v="27"/>
    <s v="PCTG TX1501HF"/>
    <m/>
    <n v="1.1779999999999999"/>
    <s v="Eastman"/>
    <m/>
    <n v="0"/>
    <x v="26"/>
    <n v="0"/>
    <n v="2940.288"/>
    <m/>
  </r>
  <r>
    <x v="0"/>
    <s v="MODI"/>
    <s v=" Bottom cap"/>
    <s v="310493194000"/>
    <s v="JEE"/>
    <s v="unique"/>
    <s v="Plastic"/>
    <x v="1"/>
    <x v="5"/>
    <d v="2024-10-25T00:00:00"/>
    <n v="0.5"/>
    <n v="6.6190725348954399E-2"/>
    <n v="8.0565725348954398E-2"/>
    <n v="1.4374999999999999E-2"/>
    <n v="7.1874999999999994E-3"/>
    <n v="1"/>
    <n v="6.6190725348954399E-2"/>
    <n v="1677466"/>
    <n v="27056702"/>
    <x v="1"/>
    <x v="28"/>
    <s v="LUPOY ER1000MA"/>
    <m/>
    <n v="1.1779999999999999"/>
    <s v=" Ruicheng"/>
    <m/>
    <n v="0"/>
    <x v="27"/>
    <n v="0"/>
    <n v="1976.054948"/>
    <m/>
  </r>
  <r>
    <x v="0"/>
    <s v="MODI"/>
    <s v="Air Flow slider"/>
    <s v="310493195000"/>
    <s v="JEE"/>
    <s v="unique"/>
    <s v="Plastic"/>
    <x v="1"/>
    <x v="5"/>
    <d v="2024-10-25T00:00:00"/>
    <n v="0.5"/>
    <n v="3.8519575097127702E-2"/>
    <n v="5.2686241763794397E-2"/>
    <n v="1.4166666666666695E-2"/>
    <n v="7.0833333333333477E-3"/>
    <n v="1"/>
    <n v="3.8519575097127702E-2"/>
    <n v="2104764"/>
    <n v="53706396"/>
    <x v="3"/>
    <x v="29"/>
    <s v="LUPOY ER1000MA"/>
    <m/>
    <n v="0.13400000000000001"/>
    <s v=" Ruicheng"/>
    <m/>
    <n v="0"/>
    <x v="28"/>
    <n v="0"/>
    <n v="282.03837599999997"/>
    <m/>
  </r>
  <r>
    <x v="0"/>
    <s v="MODI"/>
    <s v="Mouth Piece"/>
    <s v="310493191000"/>
    <s v="JEE"/>
    <s v="unique"/>
    <s v="Plastic"/>
    <x v="1"/>
    <x v="6"/>
    <d v="2024-10-25T00:00:00"/>
    <n v="0.5"/>
    <n v="0.313524986358025"/>
    <n v="0.334774986358025"/>
    <n v="2.1249999999999991E-2"/>
    <n v="1.0624999999999996E-2"/>
    <n v="1"/>
    <n v="0.313524986358025"/>
    <n v="1470881"/>
    <n v="44351158"/>
    <x v="0"/>
    <x v="30"/>
    <s v="PCTG TX1501HF"/>
    <m/>
    <n v="6.7279999999999998"/>
    <s v="Eastman"/>
    <m/>
    <n v="0"/>
    <x v="29"/>
    <n v="0"/>
    <n v="9896.0873679999986"/>
    <m/>
  </r>
  <r>
    <x v="0"/>
    <s v="MODI"/>
    <s v="Top Plastic Bracket"/>
    <s v="310493192000"/>
    <s v="JEE"/>
    <s v="unique"/>
    <s v="Plastic"/>
    <x v="1"/>
    <x v="6"/>
    <d v="2024-10-25T00:00:00"/>
    <n v="0.5"/>
    <n v="4.21539321081182E-2"/>
    <n v="5.6528932108118199E-2"/>
    <n v="1.4374999999999999E-2"/>
    <n v="7.1874999999999994E-3"/>
    <n v="1"/>
    <n v="4.21539321081182E-2"/>
    <n v="1127988"/>
    <n v="39361264"/>
    <x v="1"/>
    <x v="31"/>
    <s v="PCTG TX1501HF"/>
    <m/>
    <n v="0.87"/>
    <s v="Eastman"/>
    <m/>
    <n v="0"/>
    <x v="30"/>
    <n v="0"/>
    <n v="981.34955999999988"/>
    <m/>
  </r>
  <r>
    <x v="0"/>
    <s v="MODI"/>
    <s v=" Bottom Plastic Bracket"/>
    <s v="310493193000"/>
    <s v="JEE"/>
    <s v="unique"/>
    <s v="Plastic"/>
    <x v="1"/>
    <x v="6"/>
    <d v="2024-10-25T00:00:00"/>
    <n v="0.5"/>
    <n v="7.2210434624191605E-2"/>
    <n v="8.7793767957524901E-2"/>
    <n v="1.5583333333333296E-2"/>
    <n v="7.7916666666666481E-3"/>
    <n v="1"/>
    <n v="7.2210434624191605E-2"/>
    <n v="1990000"/>
    <n v="44162740"/>
    <x v="2"/>
    <x v="32"/>
    <s v="PCTG TX1501HF"/>
    <m/>
    <n v="1.1779999999999999"/>
    <s v="Eastman"/>
    <m/>
    <n v="0"/>
    <x v="31"/>
    <n v="0"/>
    <n v="2344.2199999999998"/>
    <m/>
  </r>
  <r>
    <x v="0"/>
    <s v="MODI"/>
    <s v=" Bottom cap"/>
    <s v="310493194000"/>
    <s v="JEE"/>
    <s v="unique"/>
    <s v="Plastic"/>
    <x v="1"/>
    <x v="6"/>
    <d v="2024-10-25T00:00:00"/>
    <n v="0.5"/>
    <n v="6.6190725348954399E-2"/>
    <n v="8.0565725348954398E-2"/>
    <n v="1.4374999999999999E-2"/>
    <n v="7.1874999999999994E-3"/>
    <n v="1"/>
    <n v="6.6190725348954399E-2"/>
    <n v="1467161"/>
    <n v="28523863"/>
    <x v="1"/>
    <x v="33"/>
    <s v="LUPOY ER1000MA"/>
    <m/>
    <n v="1.1779999999999999"/>
    <s v=" Ruicheng"/>
    <m/>
    <n v="0"/>
    <x v="32"/>
    <n v="0"/>
    <n v="1728.3156579999998"/>
    <m/>
  </r>
  <r>
    <x v="0"/>
    <s v="MODI"/>
    <s v="Air Flow slider"/>
    <s v="310493195000"/>
    <s v="JEE"/>
    <s v="unique"/>
    <s v="Plastic"/>
    <x v="1"/>
    <x v="6"/>
    <d v="2024-10-25T00:00:00"/>
    <n v="0.5"/>
    <n v="3.8519575097127702E-2"/>
    <n v="5.2686241763794397E-2"/>
    <n v="1.4166666666666695E-2"/>
    <n v="7.0833333333333477E-3"/>
    <n v="1"/>
    <n v="3.8519575097127702E-2"/>
    <n v="1441694"/>
    <n v="55148090"/>
    <x v="3"/>
    <x v="34"/>
    <s v="LUPOY ER1000MA"/>
    <m/>
    <n v="0.13400000000000001"/>
    <s v=" Ruicheng"/>
    <m/>
    <n v="0"/>
    <x v="33"/>
    <n v="0"/>
    <n v="193.18699600000002"/>
    <m/>
  </r>
  <r>
    <x v="0"/>
    <s v="MODI"/>
    <s v="Mouth Piece"/>
    <s v="310493191000"/>
    <s v="JEE"/>
    <s v="unique"/>
    <s v="Plastic"/>
    <x v="1"/>
    <x v="7"/>
    <d v="2024-10-25T00:00:00"/>
    <n v="0.5"/>
    <n v="0.313524986358025"/>
    <n v="0.334774986358025"/>
    <n v="2.1249999999999991E-2"/>
    <n v="1.0624999999999996E-2"/>
    <n v="1"/>
    <n v="0.313524986358025"/>
    <n v="722665"/>
    <n v="45073823"/>
    <x v="0"/>
    <x v="35"/>
    <s v="PCTG TX1501HF"/>
    <m/>
    <n v="6.7279999999999998"/>
    <s v="Eastman"/>
    <m/>
    <n v="0"/>
    <x v="34"/>
    <n v="0"/>
    <n v="4862.0901199999998"/>
    <m/>
  </r>
  <r>
    <x v="0"/>
    <s v="MODI"/>
    <s v="Top Plastic Bracket"/>
    <s v="310493192000"/>
    <s v="JEE"/>
    <s v="unique"/>
    <s v="Plastic"/>
    <x v="1"/>
    <x v="7"/>
    <d v="2024-10-25T00:00:00"/>
    <n v="0.5"/>
    <n v="4.21539321081182E-2"/>
    <n v="5.6528932108118199E-2"/>
    <n v="1.4374999999999999E-2"/>
    <n v="7.1874999999999994E-3"/>
    <n v="1"/>
    <n v="4.21539321081182E-2"/>
    <n v="299449"/>
    <n v="39660713"/>
    <x v="1"/>
    <x v="36"/>
    <s v="PCTG TX1501HF"/>
    <m/>
    <n v="0.87"/>
    <s v="Eastman"/>
    <m/>
    <n v="0"/>
    <x v="35"/>
    <n v="0"/>
    <n v="260.52062999999998"/>
    <m/>
  </r>
  <r>
    <x v="0"/>
    <s v="MODI"/>
    <s v=" Bottom Plastic Bracket"/>
    <s v="310493193000"/>
    <s v="JEE"/>
    <s v="unique"/>
    <s v="Plastic"/>
    <x v="1"/>
    <x v="7"/>
    <d v="2024-10-25T00:00:00"/>
    <n v="0.5"/>
    <n v="7.2210434624191605E-2"/>
    <n v="8.7793767957524901E-2"/>
    <n v="1.5583333333333296E-2"/>
    <n v="7.7916666666666481E-3"/>
    <n v="1"/>
    <n v="7.2210434624191605E-2"/>
    <n v="795458"/>
    <n v="44958198"/>
    <x v="2"/>
    <x v="37"/>
    <s v="PCTG TX1501HF"/>
    <m/>
    <n v="1.1779999999999999"/>
    <s v="Eastman"/>
    <m/>
    <n v="0"/>
    <x v="36"/>
    <n v="0"/>
    <n v="937.04952400000002"/>
    <m/>
  </r>
  <r>
    <x v="0"/>
    <s v="MODI"/>
    <s v=" Bottom cap"/>
    <s v="310493194000"/>
    <s v="JEE"/>
    <s v="unique"/>
    <s v="Plastic"/>
    <x v="1"/>
    <x v="7"/>
    <d v="2024-10-25T00:00:00"/>
    <n v="0.5"/>
    <n v="6.6190725348954399E-2"/>
    <n v="8.0565725348954398E-2"/>
    <n v="1.4374999999999999E-2"/>
    <n v="7.1874999999999994E-3"/>
    <n v="1"/>
    <n v="6.6190725348954399E-2"/>
    <n v="647397"/>
    <n v="29171260"/>
    <x v="1"/>
    <x v="38"/>
    <s v="LUPOY ER1000MA"/>
    <m/>
    <n v="1.1779999999999999"/>
    <s v=" Ruicheng"/>
    <m/>
    <n v="0"/>
    <x v="37"/>
    <n v="0"/>
    <n v="762.63366599999995"/>
    <m/>
  </r>
  <r>
    <x v="0"/>
    <s v="MODI"/>
    <s v="Air Flow slider"/>
    <s v="310493195000"/>
    <s v="JEE"/>
    <s v="unique"/>
    <s v="Plastic"/>
    <x v="1"/>
    <x v="7"/>
    <d v="2024-10-25T00:00:00"/>
    <n v="0.5"/>
    <n v="3.8519575097127702E-2"/>
    <n v="5.2686241763794397E-2"/>
    <n v="1.4166666666666695E-2"/>
    <n v="7.0833333333333477E-3"/>
    <n v="1"/>
    <n v="3.8519575097127702E-2"/>
    <n v="597126"/>
    <n v="55745216"/>
    <x v="3"/>
    <x v="39"/>
    <s v="LUPOY ER1000MA"/>
    <m/>
    <n v="0.13400000000000001"/>
    <s v=" Ruicheng"/>
    <m/>
    <n v="0"/>
    <x v="38"/>
    <n v="0"/>
    <n v="80.014884000000009"/>
    <m/>
  </r>
  <r>
    <x v="0"/>
    <s v="MODI"/>
    <s v="Mouth Piece"/>
    <s v="310493191000"/>
    <s v="JEE"/>
    <s v="unique"/>
    <s v="Plastic"/>
    <x v="1"/>
    <x v="8"/>
    <d v="2024-10-25T00:00:00"/>
    <n v="0.5"/>
    <n v="0.313524986358025"/>
    <n v="0.334774986358025"/>
    <n v="2.1249999999999991E-2"/>
    <n v="1.0624999999999996E-2"/>
    <n v="1"/>
    <n v="0.313524986358025"/>
    <n v="332325"/>
    <n v="45406148"/>
    <x v="0"/>
    <x v="40"/>
    <s v="PCTG TX1501HF"/>
    <m/>
    <n v="6.7279999999999998"/>
    <s v="Eastman"/>
    <m/>
    <n v="0"/>
    <x v="39"/>
    <n v="0"/>
    <n v="2235.8825999999999"/>
    <m/>
  </r>
  <r>
    <x v="0"/>
    <s v="MODI"/>
    <s v="Top Plastic Bracket"/>
    <s v="310493192000"/>
    <s v="JEE"/>
    <s v="unique"/>
    <s v="Plastic"/>
    <x v="1"/>
    <x v="8"/>
    <d v="2024-10-25T00:00:00"/>
    <n v="0.5"/>
    <n v="4.21539321081182E-2"/>
    <n v="5.6528932108118199E-2"/>
    <n v="1.4374999999999999E-2"/>
    <n v="7.1874999999999994E-3"/>
    <n v="1"/>
    <n v="4.21539321081182E-2"/>
    <n v="370587"/>
    <n v="40031300"/>
    <x v="1"/>
    <x v="41"/>
    <s v="PCTG TX1501HF"/>
    <m/>
    <n v="0.87"/>
    <s v="Eastman"/>
    <m/>
    <n v="0"/>
    <x v="40"/>
    <n v="0"/>
    <n v="322.41068999999999"/>
    <m/>
  </r>
  <r>
    <x v="0"/>
    <s v="MODI"/>
    <s v=" Bottom Plastic Bracket"/>
    <s v="310493193000"/>
    <s v="JEE"/>
    <s v="unique"/>
    <s v="Plastic"/>
    <x v="1"/>
    <x v="8"/>
    <d v="2024-10-25T00:00:00"/>
    <n v="0.5"/>
    <n v="7.2210434624191605E-2"/>
    <n v="8.7793767957524901E-2"/>
    <n v="1.5583333333333296E-2"/>
    <n v="7.7916666666666481E-3"/>
    <n v="1"/>
    <n v="7.2210434624191605E-2"/>
    <n v="355052"/>
    <n v="45313250"/>
    <x v="2"/>
    <x v="42"/>
    <s v="PCTG TX1501HF"/>
    <m/>
    <n v="1.1779999999999999"/>
    <s v="Eastman"/>
    <m/>
    <n v="0"/>
    <x v="41"/>
    <n v="0"/>
    <n v="418.25125600000001"/>
    <m/>
  </r>
  <r>
    <x v="0"/>
    <s v="MODI"/>
    <s v=" Bottom cap"/>
    <s v="310493194000"/>
    <s v="JEE"/>
    <s v="unique"/>
    <s v="Plastic"/>
    <x v="1"/>
    <x v="8"/>
    <d v="2024-10-25T00:00:00"/>
    <n v="0.5"/>
    <n v="6.6190725348954399E-2"/>
    <n v="8.0565725348954398E-2"/>
    <n v="1.4374999999999999E-2"/>
    <n v="7.1874999999999994E-3"/>
    <n v="1"/>
    <n v="6.6190725348954399E-2"/>
    <n v="349098"/>
    <n v="29520358"/>
    <x v="1"/>
    <x v="43"/>
    <s v="LUPOY ER1000MA"/>
    <m/>
    <n v="1.1779999999999999"/>
    <s v=" Ruicheng"/>
    <m/>
    <n v="0"/>
    <x v="42"/>
    <n v="0"/>
    <n v="411.23744399999998"/>
    <m/>
  </r>
  <r>
    <x v="0"/>
    <s v="MODI"/>
    <s v="Air Flow slider"/>
    <s v="310493195000"/>
    <s v="JEE"/>
    <s v="unique"/>
    <s v="Plastic"/>
    <x v="1"/>
    <x v="8"/>
    <d v="2024-10-25T00:00:00"/>
    <n v="0.5"/>
    <n v="3.8519575097127702E-2"/>
    <n v="5.2686241763794397E-2"/>
    <n v="1.4166666666666695E-2"/>
    <n v="7.0833333333333477E-3"/>
    <n v="1"/>
    <n v="3.8519575097127702E-2"/>
    <n v="380203"/>
    <n v="56125419"/>
    <x v="3"/>
    <x v="44"/>
    <s v="LUPOY ER1000MA"/>
    <m/>
    <n v="0.13400000000000001"/>
    <s v=" Ruicheng"/>
    <m/>
    <n v="0"/>
    <x v="43"/>
    <n v="0"/>
    <n v="50.947202000000004"/>
    <m/>
  </r>
  <r>
    <x v="0"/>
    <s v="MODI"/>
    <s v="Mouth Piece"/>
    <s v="310493191000"/>
    <s v="JEE"/>
    <s v="unique"/>
    <s v="Plastic"/>
    <x v="1"/>
    <x v="9"/>
    <d v="2024-10-25T00:00:00"/>
    <n v="0.5"/>
    <n v="0.313524986358025"/>
    <n v="0.334774986358025"/>
    <n v="2.1249999999999991E-2"/>
    <n v="1.0624999999999996E-2"/>
    <n v="1"/>
    <n v="0.313524986358025"/>
    <n v="142424"/>
    <n v="45548572"/>
    <x v="0"/>
    <x v="45"/>
    <s v="PCTG TX1501HF"/>
    <m/>
    <n v="6.7279999999999998"/>
    <s v="Eastman"/>
    <m/>
    <n v="0"/>
    <x v="44"/>
    <n v="0"/>
    <n v="958.22867200000007"/>
    <m/>
  </r>
  <r>
    <x v="0"/>
    <s v="MODI"/>
    <s v="Top Plastic Bracket"/>
    <s v="310493192000"/>
    <s v="JEE"/>
    <s v="unique"/>
    <s v="Plastic"/>
    <x v="1"/>
    <x v="9"/>
    <d v="2024-10-25T00:00:00"/>
    <n v="0.5"/>
    <n v="4.21539321081182E-2"/>
    <n v="5.6528932108118199E-2"/>
    <n v="1.4374999999999999E-2"/>
    <n v="7.1874999999999994E-3"/>
    <n v="1"/>
    <n v="4.21539321081182E-2"/>
    <n v="158822"/>
    <n v="40190122"/>
    <x v="1"/>
    <x v="46"/>
    <s v="PCTG TX1501HF"/>
    <m/>
    <n v="0.87"/>
    <s v="Eastman"/>
    <m/>
    <n v="0"/>
    <x v="45"/>
    <n v="0"/>
    <n v="138.17514"/>
    <m/>
  </r>
  <r>
    <x v="0"/>
    <s v="MODI"/>
    <s v=" Bottom Plastic Bracket"/>
    <s v="310493193000"/>
    <s v="JEE"/>
    <s v="unique"/>
    <s v="Plastic"/>
    <x v="1"/>
    <x v="9"/>
    <d v="2024-10-25T00:00:00"/>
    <n v="0.5"/>
    <n v="7.2210434624191605E-2"/>
    <n v="8.7793767957524901E-2"/>
    <n v="1.5583333333333296E-2"/>
    <n v="7.7916666666666481E-3"/>
    <n v="1"/>
    <n v="7.2210434624191605E-2"/>
    <n v="152164"/>
    <n v="45465414"/>
    <x v="2"/>
    <x v="47"/>
    <s v="PCTG TX1501HF"/>
    <m/>
    <n v="1.1779999999999999"/>
    <s v="Eastman"/>
    <m/>
    <n v="0"/>
    <x v="46"/>
    <n v="0"/>
    <n v="179.24919199999999"/>
    <m/>
  </r>
  <r>
    <x v="0"/>
    <s v="MODI"/>
    <s v=" Bottom cap"/>
    <s v="310493194000"/>
    <s v="JEE"/>
    <s v="unique"/>
    <s v="Plastic"/>
    <x v="1"/>
    <x v="9"/>
    <d v="2024-10-25T00:00:00"/>
    <n v="0.5"/>
    <n v="6.6190725348954399E-2"/>
    <n v="8.0565725348954398E-2"/>
    <n v="1.4374999999999999E-2"/>
    <n v="7.1874999999999994E-3"/>
    <n v="1"/>
    <n v="6.6190725348954399E-2"/>
    <n v="149898"/>
    <n v="29670256"/>
    <x v="1"/>
    <x v="48"/>
    <s v="LUPOY ER1000MA"/>
    <m/>
    <n v="1.1779999999999999"/>
    <s v=" Ruicheng"/>
    <m/>
    <n v="0"/>
    <x v="47"/>
    <n v="0"/>
    <n v="176.57984399999998"/>
    <m/>
  </r>
  <r>
    <x v="0"/>
    <s v="MODI"/>
    <s v="Air Flow slider"/>
    <s v="310493195000"/>
    <s v="JEE"/>
    <s v="unique"/>
    <s v="Plastic"/>
    <x v="1"/>
    <x v="9"/>
    <d v="2024-10-25T00:00:00"/>
    <n v="0.5"/>
    <n v="3.8519575097127702E-2"/>
    <n v="5.2686241763794397E-2"/>
    <n v="1.4166666666666695E-2"/>
    <n v="7.0833333333333477E-3"/>
    <n v="1"/>
    <n v="3.8519575097127702E-2"/>
    <n v="162943"/>
    <n v="56288362"/>
    <x v="3"/>
    <x v="49"/>
    <s v="LUPOY ER1000MA"/>
    <m/>
    <n v="0.13400000000000001"/>
    <s v=" Ruicheng"/>
    <m/>
    <n v="0"/>
    <x v="48"/>
    <n v="0"/>
    <n v="21.834362000000002"/>
    <m/>
  </r>
  <r>
    <x v="1"/>
    <s v="RCS DEVICE"/>
    <s v="Top cover"/>
    <s v="130040670021260"/>
    <s v="JEE"/>
    <s v="unique"/>
    <s v="Plastic"/>
    <x v="0"/>
    <x v="0"/>
    <d v="2024-10-25T00:00:00"/>
    <n v="1"/>
    <n v="2.3583408602377398"/>
    <n v="2.3583408602377398"/>
    <n v="0"/>
    <n v="0"/>
    <n v="1"/>
    <n v="2.3583408602377398"/>
    <n v="3350"/>
    <n v="3350"/>
    <x v="4"/>
    <x v="50"/>
    <s v="LUPOY GP1000ML"/>
    <m/>
    <n v="16.260000000000002"/>
    <s v="LG"/>
    <s v="Printing"/>
    <n v="1.3080000000000001"/>
    <x v="49"/>
    <n v="4381.8"/>
    <n v="54.471000000000011"/>
    <m/>
  </r>
  <r>
    <x v="1"/>
    <s v="RCS DEVICE"/>
    <s v="Bottom cover"/>
    <s v="130040670021261"/>
    <s v="JEE"/>
    <s v="unique"/>
    <s v="Plastic"/>
    <x v="0"/>
    <x v="0"/>
    <d v="2024-10-25T00:00:00"/>
    <n v="1"/>
    <n v="2.31652727583774"/>
    <n v="2.31652727583774"/>
    <n v="0"/>
    <n v="0"/>
    <n v="1"/>
    <n v="2.31652727583774"/>
    <n v="3794"/>
    <n v="3794"/>
    <x v="4"/>
    <x v="50"/>
    <s v="LUPOY GP1000ML"/>
    <m/>
    <n v="8.3019999999999996"/>
    <s v="LG"/>
    <s v="Printing"/>
    <n v="1.4279999999999999"/>
    <x v="50"/>
    <n v="5417.8319999999994"/>
    <n v="31.497787999999996"/>
    <m/>
  </r>
  <r>
    <x v="1"/>
    <s v="RCS DEVICE"/>
    <s v="Button"/>
    <s v="130040670021263"/>
    <s v="JEE"/>
    <s v="unique"/>
    <s v="Plastic"/>
    <x v="0"/>
    <x v="0"/>
    <d v="2024-10-25T00:00:00"/>
    <n v="1"/>
    <n v="0.37651638011816602"/>
    <n v="0.37651638011816602"/>
    <n v="0"/>
    <n v="0"/>
    <n v="1"/>
    <n v="0.37651638011816602"/>
    <n v="4036"/>
    <n v="4036"/>
    <x v="4"/>
    <x v="50"/>
    <s v="LUPOY GP1000ML"/>
    <m/>
    <n v="0.57199999999999995"/>
    <s v="LG"/>
    <m/>
    <n v="0"/>
    <x v="51"/>
    <n v="0"/>
    <n v="2.3085919999999995"/>
    <m/>
  </r>
  <r>
    <x v="1"/>
    <s v="RCS DEVICE"/>
    <s v="PCB holder"/>
    <s v="130040670021262"/>
    <s v="JEE"/>
    <s v="unique"/>
    <s v="Plastic"/>
    <x v="0"/>
    <x v="0"/>
    <d v="2024-10-25T00:00:00"/>
    <n v="1"/>
    <n v="0.37927344911816602"/>
    <n v="0.37927344911816602"/>
    <n v="0"/>
    <n v="0"/>
    <n v="1"/>
    <n v="0.37927344911816602"/>
    <n v="4000"/>
    <n v="4000"/>
    <x v="4"/>
    <x v="50"/>
    <s v="PC Makrolon 2456"/>
    <m/>
    <n v="1.87"/>
    <s v="Makrolon"/>
    <m/>
    <n v="0"/>
    <x v="52"/>
    <n v="0"/>
    <n v="7.48"/>
    <m/>
  </r>
  <r>
    <x v="1"/>
    <s v="RCS DEVICE"/>
    <s v="Top cover"/>
    <s v="130040670021260"/>
    <s v="JEE"/>
    <s v="unique"/>
    <s v="Plastic"/>
    <x v="1"/>
    <x v="1"/>
    <d v="2024-10-25T00:00:00"/>
    <n v="1"/>
    <n v="2.3583408602377398"/>
    <n v="2.3583408602377398"/>
    <n v="0"/>
    <n v="0"/>
    <n v="1"/>
    <n v="2.3583408602377398"/>
    <n v="201800"/>
    <n v="205150"/>
    <x v="4"/>
    <x v="50"/>
    <s v="LUPOY GP1000ML"/>
    <m/>
    <n v="16.260000000000002"/>
    <s v="LG"/>
    <s v="Printing"/>
    <n v="1.3080000000000001"/>
    <x v="53"/>
    <n v="263954.40000000002"/>
    <n v="3281.2680000000005"/>
    <m/>
  </r>
  <r>
    <x v="1"/>
    <s v="RCS DEVICE"/>
    <s v="Bottom cover"/>
    <s v="130040670021261"/>
    <s v="JEE"/>
    <s v="unique"/>
    <s v="Plastic"/>
    <x v="1"/>
    <x v="1"/>
    <d v="2024-10-25T00:00:00"/>
    <n v="1"/>
    <n v="2.31652727583774"/>
    <n v="2.31652727583774"/>
    <n v="0"/>
    <n v="0"/>
    <n v="1"/>
    <n v="2.31652727583774"/>
    <n v="182616"/>
    <n v="186410"/>
    <x v="4"/>
    <x v="50"/>
    <s v="LUPOY GP1000ML"/>
    <m/>
    <n v="8.3019999999999996"/>
    <s v="LG"/>
    <s v="Printing"/>
    <n v="1.4279999999999999"/>
    <x v="54"/>
    <n v="260775.64799999999"/>
    <n v="1516.0780319999999"/>
    <m/>
  </r>
  <r>
    <x v="1"/>
    <s v="RCS DEVICE"/>
    <s v="Button"/>
    <s v="130040670021263"/>
    <s v="JEE"/>
    <s v="unique"/>
    <s v="Plastic"/>
    <x v="1"/>
    <x v="1"/>
    <d v="2024-10-25T00:00:00"/>
    <n v="1"/>
    <n v="0.37651638011816602"/>
    <n v="0.37651638011816602"/>
    <n v="0"/>
    <n v="0"/>
    <n v="1"/>
    <n v="0.37651638011816602"/>
    <n v="185032"/>
    <n v="189068"/>
    <x v="4"/>
    <x v="50"/>
    <s v="LUPOY GP1000ML"/>
    <m/>
    <n v="0.57199999999999995"/>
    <s v="LG"/>
    <m/>
    <n v="0"/>
    <x v="55"/>
    <n v="0"/>
    <n v="105.83830399999999"/>
    <m/>
  </r>
  <r>
    <x v="1"/>
    <s v="RCS DEVICE"/>
    <s v="PCB holder"/>
    <s v="130040670021262"/>
    <s v="JEE"/>
    <s v="unique"/>
    <s v="Plastic"/>
    <x v="1"/>
    <x v="1"/>
    <d v="2024-10-25T00:00:00"/>
    <n v="1"/>
    <n v="0.37927344911816602"/>
    <n v="0.37927344911816602"/>
    <n v="0"/>
    <n v="0"/>
    <n v="1"/>
    <n v="0.37927344911816602"/>
    <n v="286070"/>
    <n v="290070"/>
    <x v="4"/>
    <x v="50"/>
    <s v="PC Makrolon 2456"/>
    <m/>
    <n v="1.87"/>
    <s v="Makrolon"/>
    <m/>
    <n v="0"/>
    <x v="56"/>
    <n v="0"/>
    <n v="534.95090000000005"/>
    <m/>
  </r>
  <r>
    <x v="1"/>
    <s v="RCS DEVICE"/>
    <s v="Top cover"/>
    <s v="130040670021260"/>
    <s v="JEE"/>
    <s v="unique"/>
    <s v="Plastic"/>
    <x v="1"/>
    <x v="2"/>
    <d v="2024-10-25T00:00:00"/>
    <n v="1"/>
    <n v="2.3583408602377398"/>
    <n v="2.3583408602377398"/>
    <n v="0"/>
    <n v="0"/>
    <n v="1"/>
    <n v="2.3583408602377398"/>
    <n v="10445"/>
    <n v="215595"/>
    <x v="4"/>
    <x v="50"/>
    <s v="LUPOY GP1000ML"/>
    <m/>
    <n v="16.260000000000002"/>
    <s v="LG"/>
    <s v="Printing"/>
    <n v="1.3080000000000001"/>
    <x v="57"/>
    <n v="13662.060000000001"/>
    <n v="169.8357"/>
    <m/>
  </r>
  <r>
    <x v="1"/>
    <s v="RCS DEVICE"/>
    <s v="Bottom cover"/>
    <s v="130040670021261"/>
    <s v="JEE"/>
    <s v="unique"/>
    <s v="Plastic"/>
    <x v="1"/>
    <x v="2"/>
    <d v="2024-10-25T00:00:00"/>
    <n v="1"/>
    <n v="2.31652727583774"/>
    <n v="2.31652727583774"/>
    <n v="0"/>
    <n v="0"/>
    <n v="1"/>
    <n v="2.31652727583774"/>
    <n v="110305"/>
    <n v="296715"/>
    <x v="4"/>
    <x v="50"/>
    <s v="LUPOY GP1000ML"/>
    <m/>
    <n v="8.3019999999999996"/>
    <s v="LG"/>
    <s v="Printing"/>
    <n v="1.4279999999999999"/>
    <x v="58"/>
    <n v="157515.53999999998"/>
    <n v="915.75211000000002"/>
    <m/>
  </r>
  <r>
    <x v="1"/>
    <s v="RCS DEVICE"/>
    <s v="Button"/>
    <s v="130040670021263"/>
    <s v="JEE"/>
    <s v="unique"/>
    <s v="Plastic"/>
    <x v="1"/>
    <x v="2"/>
    <d v="2024-10-25T00:00:00"/>
    <n v="1"/>
    <n v="0.37651638011816602"/>
    <n v="0.37651638011816602"/>
    <n v="0"/>
    <n v="0"/>
    <n v="1"/>
    <n v="0.37651638011816602"/>
    <n v="45462"/>
    <n v="234530"/>
    <x v="4"/>
    <x v="50"/>
    <s v="LUPOY GP1000ML"/>
    <m/>
    <n v="0.57199999999999995"/>
    <s v="LG"/>
    <m/>
    <n v="0"/>
    <x v="59"/>
    <n v="0"/>
    <n v="26.004263999999999"/>
    <m/>
  </r>
  <r>
    <x v="1"/>
    <s v="RCS DEVICE"/>
    <s v="PCB holder"/>
    <s v="130040670021262"/>
    <s v="JEE"/>
    <s v="unique"/>
    <s v="Plastic"/>
    <x v="1"/>
    <x v="2"/>
    <d v="2024-10-25T00:00:00"/>
    <n v="1"/>
    <n v="0.37927344911816602"/>
    <n v="0.37927344911816602"/>
    <n v="0"/>
    <n v="0"/>
    <n v="1"/>
    <n v="0.37927344911816602"/>
    <n v="33000"/>
    <n v="323070"/>
    <x v="4"/>
    <x v="50"/>
    <s v="PC Makrolon 2456"/>
    <m/>
    <n v="1.87"/>
    <s v="Makrolon"/>
    <m/>
    <n v="0"/>
    <x v="60"/>
    <n v="0"/>
    <n v="61.71"/>
    <m/>
  </r>
  <r>
    <x v="1"/>
    <s v="RCS DEVICE"/>
    <s v="Top cover"/>
    <s v="130040670021260"/>
    <s v="JEE"/>
    <s v="unique"/>
    <s v="Plastic"/>
    <x v="1"/>
    <x v="3"/>
    <d v="2024-10-25T00:00:00"/>
    <n v="1"/>
    <n v="2.3583408602377398"/>
    <n v="2.3583408602377398"/>
    <n v="0"/>
    <n v="0"/>
    <n v="1"/>
    <n v="2.3583408602377398"/>
    <n v="88849"/>
    <n v="304444"/>
    <x v="4"/>
    <x v="50"/>
    <s v="LUPOY GP1000ML"/>
    <m/>
    <n v="16.260000000000002"/>
    <s v="LG"/>
    <s v="Printing"/>
    <n v="1.3080000000000001"/>
    <x v="61"/>
    <n v="116214.492"/>
    <n v="1444.6847400000001"/>
    <m/>
  </r>
  <r>
    <x v="1"/>
    <s v="RCS DEVICE"/>
    <s v="Bottom cover"/>
    <s v="130040670021261"/>
    <s v="JEE"/>
    <s v="unique"/>
    <s v="Plastic"/>
    <x v="1"/>
    <x v="3"/>
    <d v="2024-10-25T00:00:00"/>
    <n v="1"/>
    <n v="2.31652727583774"/>
    <n v="2.31652727583774"/>
    <n v="0"/>
    <n v="0"/>
    <n v="1"/>
    <n v="2.31652727583774"/>
    <n v="23024"/>
    <n v="319739"/>
    <x v="4"/>
    <x v="50"/>
    <s v="LUPOY GP1000ML"/>
    <m/>
    <n v="8.3019999999999996"/>
    <s v="LG"/>
    <s v="Printing"/>
    <n v="1.4279999999999999"/>
    <x v="62"/>
    <n v="32878.271999999997"/>
    <n v="191.14524799999998"/>
    <m/>
  </r>
  <r>
    <x v="1"/>
    <s v="RCS DEVICE"/>
    <s v="Button"/>
    <s v="130040670021263"/>
    <s v="JEE"/>
    <s v="unique"/>
    <s v="Plastic"/>
    <x v="1"/>
    <x v="3"/>
    <d v="2024-10-25T00:00:00"/>
    <n v="1"/>
    <n v="0.37651638011816602"/>
    <n v="0.37651638011816602"/>
    <n v="0"/>
    <n v="0"/>
    <n v="1"/>
    <n v="0.37651638011816602"/>
    <n v="74845"/>
    <n v="309375"/>
    <x v="4"/>
    <x v="50"/>
    <s v="LUPOY GP1000ML"/>
    <m/>
    <n v="0.57199999999999995"/>
    <s v="LG"/>
    <m/>
    <n v="0"/>
    <x v="63"/>
    <n v="0"/>
    <n v="42.811339999999994"/>
    <m/>
  </r>
  <r>
    <x v="1"/>
    <s v="RCS DEVICE"/>
    <s v="PCB holder"/>
    <s v="130040670021262"/>
    <s v="JEE"/>
    <s v="unique"/>
    <s v="Plastic"/>
    <x v="1"/>
    <x v="3"/>
    <d v="2024-10-25T00:00:00"/>
    <n v="1"/>
    <n v="0.37927344911816602"/>
    <n v="0.37927344911816602"/>
    <n v="0"/>
    <n v="0"/>
    <n v="1"/>
    <n v="0.37927344911816602"/>
    <n v="0"/>
    <n v="323070"/>
    <x v="4"/>
    <x v="50"/>
    <s v="PC Makrolon 2456"/>
    <m/>
    <n v="1.87"/>
    <s v="Makrolon"/>
    <m/>
    <n v="0"/>
    <x v="64"/>
    <n v="0"/>
    <n v="0"/>
    <m/>
  </r>
  <r>
    <x v="1"/>
    <s v="RCS DEVICE"/>
    <s v="Top cover"/>
    <s v="130040670021260"/>
    <s v="JEE"/>
    <s v="unique"/>
    <s v="Plastic"/>
    <x v="1"/>
    <x v="4"/>
    <d v="2024-10-25T00:00:00"/>
    <n v="1"/>
    <n v="2.3583408602377398"/>
    <n v="2.3583408602377398"/>
    <n v="0"/>
    <n v="0"/>
    <n v="1"/>
    <n v="2.3583408602377398"/>
    <n v="0"/>
    <n v="304444"/>
    <x v="4"/>
    <x v="50"/>
    <s v="LUPOY GP1000ML"/>
    <m/>
    <n v="16.260000000000002"/>
    <s v="LG"/>
    <s v="Printing"/>
    <n v="1.3080000000000001"/>
    <x v="64"/>
    <n v="0"/>
    <n v="0"/>
    <m/>
  </r>
  <r>
    <x v="1"/>
    <s v="RCS DEVICE"/>
    <s v="Bottom cover"/>
    <s v="130040670021261"/>
    <s v="JEE"/>
    <s v="unique"/>
    <s v="Plastic"/>
    <x v="1"/>
    <x v="4"/>
    <d v="2024-10-25T00:00:00"/>
    <n v="1"/>
    <n v="2.31652727583774"/>
    <n v="2.31652727583774"/>
    <n v="0"/>
    <n v="0"/>
    <n v="1"/>
    <n v="2.31652727583774"/>
    <n v="0"/>
    <n v="319739"/>
    <x v="4"/>
    <x v="50"/>
    <s v="LUPOY GP1000ML"/>
    <m/>
    <n v="8.3019999999999996"/>
    <s v="LG"/>
    <s v="Printing"/>
    <n v="1.4279999999999999"/>
    <x v="64"/>
    <n v="0"/>
    <n v="0"/>
    <m/>
  </r>
  <r>
    <x v="1"/>
    <s v="RCS DEVICE"/>
    <s v="Button"/>
    <s v="130040670021263"/>
    <s v="JEE"/>
    <s v="unique"/>
    <s v="Plastic"/>
    <x v="1"/>
    <x v="4"/>
    <d v="2024-10-25T00:00:00"/>
    <n v="1"/>
    <n v="0.37651638011816602"/>
    <n v="0.37651638011816602"/>
    <n v="0"/>
    <n v="0"/>
    <n v="1"/>
    <n v="0.37651638011816602"/>
    <n v="0"/>
    <n v="309375"/>
    <x v="4"/>
    <x v="50"/>
    <s v="LUPOY GP1000ML"/>
    <m/>
    <n v="0.57199999999999995"/>
    <s v="LG"/>
    <m/>
    <n v="0"/>
    <x v="64"/>
    <n v="0"/>
    <n v="0"/>
    <m/>
  </r>
  <r>
    <x v="1"/>
    <s v="RCS DEVICE"/>
    <s v="PCB holder"/>
    <s v="130040670021262"/>
    <s v="JEE"/>
    <s v="unique"/>
    <s v="Plastic"/>
    <x v="1"/>
    <x v="4"/>
    <d v="2024-10-25T00:00:00"/>
    <n v="1"/>
    <n v="0.37927344911816602"/>
    <n v="0.37927344911816602"/>
    <n v="0"/>
    <n v="0"/>
    <n v="1"/>
    <n v="0.37927344911816602"/>
    <n v="0"/>
    <n v="323070"/>
    <x v="4"/>
    <x v="50"/>
    <s v="PC Makrolon 2456"/>
    <m/>
    <n v="1.87"/>
    <s v="Makrolon"/>
    <m/>
    <n v="0"/>
    <x v="64"/>
    <n v="0"/>
    <n v="0"/>
    <m/>
  </r>
  <r>
    <x v="1"/>
    <s v="RCS DEVICE"/>
    <s v="Top cover"/>
    <s v="130040670021260"/>
    <s v="JEE"/>
    <s v="unique"/>
    <s v="Plastic"/>
    <x v="1"/>
    <x v="5"/>
    <d v="2024-10-25T00:00:00"/>
    <n v="1"/>
    <n v="2.3583408602377398"/>
    <n v="2.3583408602377398"/>
    <n v="0"/>
    <n v="0"/>
    <n v="1"/>
    <n v="2.3583408602377398"/>
    <n v="169904"/>
    <n v="474348"/>
    <x v="4"/>
    <x v="50"/>
    <s v="LUPOY GP1000ML"/>
    <m/>
    <n v="16.260000000000002"/>
    <s v="LG"/>
    <s v="Printing"/>
    <n v="1.3080000000000001"/>
    <x v="65"/>
    <n v="222234.432"/>
    <n v="2762.63904"/>
    <m/>
  </r>
  <r>
    <x v="1"/>
    <s v="RCS DEVICE"/>
    <s v="Bottom cover"/>
    <s v="130040670021261"/>
    <s v="JEE"/>
    <s v="unique"/>
    <s v="Plastic"/>
    <x v="1"/>
    <x v="5"/>
    <d v="2024-10-25T00:00:00"/>
    <n v="1"/>
    <n v="2.31652727583774"/>
    <n v="2.31652727583774"/>
    <n v="0"/>
    <n v="0"/>
    <n v="1"/>
    <n v="2.31652727583774"/>
    <n v="199544"/>
    <n v="519283"/>
    <x v="4"/>
    <x v="50"/>
    <s v="LUPOY GP1000ML"/>
    <m/>
    <n v="8.3019999999999996"/>
    <s v="LG"/>
    <s v="Printing"/>
    <n v="1.4279999999999999"/>
    <x v="66"/>
    <n v="284948.83199999999"/>
    <n v="1656.614288"/>
    <m/>
  </r>
  <r>
    <x v="1"/>
    <s v="RCS DEVICE"/>
    <s v="Button"/>
    <s v="130040670021263"/>
    <s v="JEE"/>
    <s v="unique"/>
    <s v="Plastic"/>
    <x v="1"/>
    <x v="5"/>
    <d v="2024-10-25T00:00:00"/>
    <n v="1"/>
    <n v="0.37651638011816602"/>
    <n v="0.37651638011816602"/>
    <n v="0"/>
    <n v="0"/>
    <n v="1"/>
    <n v="0.37651638011816602"/>
    <n v="191283"/>
    <n v="500658"/>
    <x v="4"/>
    <x v="50"/>
    <s v="LUPOY GP1000ML"/>
    <m/>
    <n v="0.57199999999999995"/>
    <s v="LG"/>
    <m/>
    <n v="0"/>
    <x v="67"/>
    <n v="0"/>
    <n v="109.41387599999999"/>
    <m/>
  </r>
  <r>
    <x v="1"/>
    <s v="RCS DEVICE"/>
    <s v="PCB holder"/>
    <s v="130040670021262"/>
    <s v="JEE"/>
    <s v="unique"/>
    <s v="Plastic"/>
    <x v="1"/>
    <x v="5"/>
    <d v="2024-10-25T00:00:00"/>
    <n v="1"/>
    <n v="0.37927344911816602"/>
    <n v="0.37927344911816602"/>
    <n v="0"/>
    <n v="0"/>
    <n v="1"/>
    <n v="0.37927344911816602"/>
    <n v="292000"/>
    <n v="615070"/>
    <x v="4"/>
    <x v="50"/>
    <s v="PC Makrolon 2456"/>
    <m/>
    <n v="1.87"/>
    <s v="Makrolon"/>
    <m/>
    <n v="0"/>
    <x v="68"/>
    <n v="0"/>
    <n v="546.04"/>
    <m/>
  </r>
  <r>
    <x v="1"/>
    <s v="RCS DEVICE"/>
    <s v="Top cover"/>
    <s v="130040670021260"/>
    <s v="JEE"/>
    <s v="unique"/>
    <s v="Plastic"/>
    <x v="1"/>
    <x v="6"/>
    <d v="2024-10-25T00:00:00"/>
    <n v="1"/>
    <n v="2.3583408602377398"/>
    <n v="2.3583408602377398"/>
    <n v="0"/>
    <n v="0"/>
    <n v="1"/>
    <n v="2.3583408602377398"/>
    <n v="92599"/>
    <n v="566947"/>
    <x v="4"/>
    <x v="50"/>
    <s v="LUPOY GP1000ML"/>
    <m/>
    <n v="16.260000000000002"/>
    <s v="LG"/>
    <s v="Printing"/>
    <n v="1.3080000000000001"/>
    <x v="69"/>
    <n v="121119.492"/>
    <n v="1505.6597400000003"/>
    <m/>
  </r>
  <r>
    <x v="1"/>
    <s v="RCS DEVICE"/>
    <s v="Bottom cover"/>
    <s v="130040670021261"/>
    <s v="JEE"/>
    <s v="unique"/>
    <s v="Plastic"/>
    <x v="1"/>
    <x v="6"/>
    <d v="2024-10-25T00:00:00"/>
    <n v="1"/>
    <n v="2.31652727583774"/>
    <n v="2.31652727583774"/>
    <n v="0"/>
    <n v="0"/>
    <n v="1"/>
    <n v="2.31652727583774"/>
    <n v="132609"/>
    <n v="651892"/>
    <x v="4"/>
    <x v="50"/>
    <s v="LUPOY GP1000ML"/>
    <m/>
    <n v="8.3019999999999996"/>
    <s v="LG"/>
    <s v="Printing"/>
    <n v="1.4279999999999999"/>
    <x v="70"/>
    <n v="189365.652"/>
    <n v="1100.9199180000001"/>
    <m/>
  </r>
  <r>
    <x v="1"/>
    <s v="RCS DEVICE"/>
    <s v="Button"/>
    <s v="130040670021263"/>
    <s v="JEE"/>
    <s v="unique"/>
    <s v="Plastic"/>
    <x v="1"/>
    <x v="6"/>
    <d v="2024-10-25T00:00:00"/>
    <n v="1"/>
    <n v="0.37651638011816602"/>
    <n v="0.37651638011816602"/>
    <n v="0"/>
    <n v="0"/>
    <n v="1"/>
    <n v="0.37651638011816602"/>
    <n v="118241"/>
    <n v="618899"/>
    <x v="4"/>
    <x v="50"/>
    <s v="LUPOY GP1000ML"/>
    <m/>
    <n v="0.57199999999999995"/>
    <s v="LG"/>
    <m/>
    <n v="0"/>
    <x v="71"/>
    <n v="0"/>
    <n v="67.633852000000005"/>
    <m/>
  </r>
  <r>
    <x v="1"/>
    <s v="RCS DEVICE"/>
    <s v="PCB holder"/>
    <s v="130040670021262"/>
    <s v="JEE"/>
    <s v="unique"/>
    <s v="Plastic"/>
    <x v="1"/>
    <x v="6"/>
    <d v="2024-10-25T00:00:00"/>
    <n v="1"/>
    <n v="0.37927344911816602"/>
    <n v="0.37927344911816602"/>
    <n v="0"/>
    <n v="0"/>
    <n v="1"/>
    <n v="0.37927344911816602"/>
    <n v="0"/>
    <n v="615070"/>
    <x v="4"/>
    <x v="50"/>
    <s v="PC Makrolon 2456"/>
    <m/>
    <n v="1.87"/>
    <s v="Makrolon"/>
    <m/>
    <n v="0"/>
    <x v="64"/>
    <n v="0"/>
    <n v="0"/>
    <m/>
  </r>
  <r>
    <x v="1"/>
    <s v="RCS DEVICE"/>
    <s v="Top cover"/>
    <s v="130040670021260"/>
    <s v="JEE"/>
    <s v="unique"/>
    <s v="Plastic"/>
    <x v="1"/>
    <x v="7"/>
    <d v="2024-10-25T00:00:00"/>
    <n v="1"/>
    <n v="2.3583408602377398"/>
    <n v="2.3583408602377398"/>
    <n v="0"/>
    <n v="0"/>
    <n v="1"/>
    <n v="2.3583408602377398"/>
    <n v="43876"/>
    <n v="610823"/>
    <x v="4"/>
    <x v="50"/>
    <s v="LUPOY GP1000ML"/>
    <m/>
    <n v="16.260000000000002"/>
    <s v="LG"/>
    <s v="Printing"/>
    <n v="1.3080000000000001"/>
    <x v="72"/>
    <n v="57389.808000000005"/>
    <n v="713.42376000000013"/>
    <m/>
  </r>
  <r>
    <x v="1"/>
    <s v="RCS DEVICE"/>
    <s v="Bottom cover"/>
    <s v="130040670021261"/>
    <s v="JEE"/>
    <s v="unique"/>
    <s v="Plastic"/>
    <x v="1"/>
    <x v="7"/>
    <d v="2024-10-25T00:00:00"/>
    <n v="1"/>
    <n v="2.31652727583774"/>
    <n v="2.31652727583774"/>
    <n v="0"/>
    <n v="0"/>
    <n v="1"/>
    <n v="2.31652727583774"/>
    <n v="35090"/>
    <n v="686982"/>
    <x v="4"/>
    <x v="50"/>
    <s v="LUPOY GP1000ML"/>
    <m/>
    <n v="8.3019999999999996"/>
    <s v="LG"/>
    <s v="Printing"/>
    <n v="1.4279999999999999"/>
    <x v="73"/>
    <n v="50108.52"/>
    <n v="291.31718000000001"/>
    <m/>
  </r>
  <r>
    <x v="1"/>
    <s v="RCS DEVICE"/>
    <s v="Button"/>
    <s v="130040670021263"/>
    <s v="JEE"/>
    <s v="unique"/>
    <s v="Plastic"/>
    <x v="1"/>
    <x v="7"/>
    <d v="2024-10-25T00:00:00"/>
    <n v="1"/>
    <n v="0.37651638011816602"/>
    <n v="0.37651638011816602"/>
    <n v="0"/>
    <n v="0"/>
    <n v="1"/>
    <n v="0.37651638011816602"/>
    <n v="46292"/>
    <n v="665191"/>
    <x v="4"/>
    <x v="50"/>
    <s v="LUPOY GP1000ML"/>
    <m/>
    <n v="0.57199999999999995"/>
    <s v="LG"/>
    <m/>
    <n v="0"/>
    <x v="74"/>
    <n v="0"/>
    <n v="26.479023999999999"/>
    <m/>
  </r>
  <r>
    <x v="1"/>
    <s v="RCS DEVICE"/>
    <s v="PCB holder"/>
    <s v="130040670021262"/>
    <s v="JEE"/>
    <s v="unique"/>
    <s v="Plastic"/>
    <x v="1"/>
    <x v="7"/>
    <d v="2024-10-25T00:00:00"/>
    <n v="1"/>
    <n v="0.37927344911816602"/>
    <n v="0.37927344911816602"/>
    <n v="0"/>
    <n v="0"/>
    <n v="1"/>
    <n v="0.37927344911816602"/>
    <n v="40000"/>
    <n v="655070"/>
    <x v="4"/>
    <x v="50"/>
    <s v="PC Makrolon 2456"/>
    <m/>
    <n v="1.87"/>
    <s v="Makrolon"/>
    <m/>
    <n v="0"/>
    <x v="75"/>
    <n v="0"/>
    <n v="74.8"/>
    <m/>
  </r>
  <r>
    <x v="1"/>
    <s v="RCS DEVICE"/>
    <s v="Top cover"/>
    <s v="130040670021260"/>
    <s v="JEE"/>
    <s v="unique"/>
    <s v="Plastic"/>
    <x v="1"/>
    <x v="8"/>
    <d v="2024-10-25T00:00:00"/>
    <n v="1"/>
    <n v="2.3583408602377398"/>
    <n v="2.3583408602377398"/>
    <n v="0"/>
    <n v="0"/>
    <n v="1"/>
    <n v="2.3583408602377398"/>
    <n v="33780"/>
    <n v="644603"/>
    <x v="4"/>
    <x v="50"/>
    <s v="LUPOY GP1000ML"/>
    <m/>
    <n v="16.260000000000002"/>
    <s v="LG"/>
    <s v="Printing"/>
    <n v="1.3080000000000001"/>
    <x v="76"/>
    <n v="44184.240000000005"/>
    <n v="549.26280000000008"/>
    <m/>
  </r>
  <r>
    <x v="1"/>
    <s v="RCS DEVICE"/>
    <s v="Bottom cover"/>
    <s v="130040670021261"/>
    <s v="JEE"/>
    <s v="unique"/>
    <s v="Plastic"/>
    <x v="1"/>
    <x v="8"/>
    <d v="2024-10-25T00:00:00"/>
    <n v="1"/>
    <n v="2.31652727583774"/>
    <n v="2.31652727583774"/>
    <n v="0"/>
    <n v="0"/>
    <n v="1"/>
    <n v="2.31652727583774"/>
    <n v="0"/>
    <n v="686982"/>
    <x v="4"/>
    <x v="50"/>
    <s v="LUPOY GP1000ML"/>
    <m/>
    <n v="8.3019999999999996"/>
    <s v="LG"/>
    <s v="Printing"/>
    <n v="1.4279999999999999"/>
    <x v="64"/>
    <n v="0"/>
    <n v="0"/>
    <m/>
  </r>
  <r>
    <x v="1"/>
    <s v="RCS DEVICE"/>
    <s v="Button"/>
    <s v="130040670021263"/>
    <s v="JEE"/>
    <s v="unique"/>
    <s v="Plastic"/>
    <x v="1"/>
    <x v="8"/>
    <d v="2024-10-25T00:00:00"/>
    <n v="1"/>
    <n v="0.37651638011816602"/>
    <n v="0.37651638011816602"/>
    <n v="0"/>
    <n v="0"/>
    <n v="1"/>
    <n v="0.37651638011816602"/>
    <n v="0"/>
    <n v="665191"/>
    <x v="4"/>
    <x v="50"/>
    <s v="LUPOY GP1000ML"/>
    <m/>
    <n v="0.57199999999999995"/>
    <s v="LG"/>
    <m/>
    <n v="0"/>
    <x v="64"/>
    <n v="0"/>
    <n v="0"/>
    <m/>
  </r>
  <r>
    <x v="1"/>
    <s v="RCS DEVICE"/>
    <s v="PCB holder"/>
    <s v="130040670021262"/>
    <s v="JEE"/>
    <s v="unique"/>
    <s v="Plastic"/>
    <x v="1"/>
    <x v="8"/>
    <d v="2024-10-25T00:00:00"/>
    <n v="1"/>
    <n v="0.37927344911816602"/>
    <n v="0.37927344911816602"/>
    <n v="0"/>
    <n v="0"/>
    <n v="1"/>
    <n v="0.37927344911816602"/>
    <n v="0"/>
    <n v="655070"/>
    <x v="4"/>
    <x v="50"/>
    <s v="PC Makrolon 2456"/>
    <m/>
    <n v="1.87"/>
    <s v="Makrolon"/>
    <m/>
    <n v="0"/>
    <x v="64"/>
    <n v="0"/>
    <n v="0"/>
    <m/>
  </r>
  <r>
    <x v="1"/>
    <s v="RCS DEVICE"/>
    <s v="Top cover"/>
    <s v="130040670021260"/>
    <s v="JEE"/>
    <s v="unique"/>
    <s v="Plastic"/>
    <x v="1"/>
    <x v="9"/>
    <d v="2024-10-25T00:00:00"/>
    <n v="1"/>
    <n v="2.3583408602377398"/>
    <n v="2.3583408602377398"/>
    <n v="0"/>
    <n v="0"/>
    <n v="1"/>
    <n v="2.3583408602377398"/>
    <n v="0"/>
    <n v="644603"/>
    <x v="4"/>
    <x v="50"/>
    <s v="LUPOY GP1000ML"/>
    <m/>
    <n v="16.260000000000002"/>
    <s v="LG"/>
    <s v="Printing"/>
    <n v="1.3080000000000001"/>
    <x v="64"/>
    <n v="0"/>
    <n v="0"/>
    <m/>
  </r>
  <r>
    <x v="1"/>
    <s v="RCS DEVICE"/>
    <s v="Bottom cover"/>
    <s v="130040670021261"/>
    <s v="JEE"/>
    <s v="unique"/>
    <s v="Plastic"/>
    <x v="1"/>
    <x v="9"/>
    <d v="2024-10-25T00:00:00"/>
    <n v="1"/>
    <n v="2.31652727583774"/>
    <n v="2.31652727583774"/>
    <n v="0"/>
    <n v="0"/>
    <n v="1"/>
    <n v="2.31652727583774"/>
    <n v="0"/>
    <n v="686982"/>
    <x v="4"/>
    <x v="50"/>
    <s v="LUPOY GP1000ML"/>
    <m/>
    <n v="8.3019999999999996"/>
    <s v="LG"/>
    <s v="Printing"/>
    <n v="1.4279999999999999"/>
    <x v="64"/>
    <n v="0"/>
    <n v="0"/>
    <m/>
  </r>
  <r>
    <x v="1"/>
    <s v="RCS DEVICE"/>
    <s v="Button"/>
    <s v="130040670021263"/>
    <s v="JEE"/>
    <s v="unique"/>
    <s v="Plastic"/>
    <x v="1"/>
    <x v="9"/>
    <d v="2024-10-25T00:00:00"/>
    <n v="1"/>
    <n v="0.37651638011816602"/>
    <n v="0.37651638011816602"/>
    <n v="0"/>
    <n v="0"/>
    <n v="1"/>
    <n v="0.37651638011816602"/>
    <n v="0"/>
    <n v="665191"/>
    <x v="4"/>
    <x v="50"/>
    <s v="LUPOY GP1000ML"/>
    <m/>
    <n v="0.57199999999999995"/>
    <s v="LG"/>
    <m/>
    <n v="0"/>
    <x v="64"/>
    <n v="0"/>
    <n v="0"/>
    <m/>
  </r>
  <r>
    <x v="1"/>
    <s v="RCS DEVICE"/>
    <s v="PCB holder"/>
    <s v="130040670021262"/>
    <s v="JEE"/>
    <s v="unique"/>
    <s v="Plastic"/>
    <x v="1"/>
    <x v="9"/>
    <d v="2024-10-25T00:00:00"/>
    <n v="1"/>
    <n v="0.37927344911816602"/>
    <n v="0.37927344911816602"/>
    <n v="0"/>
    <n v="0"/>
    <n v="1"/>
    <n v="0.37927344911816602"/>
    <n v="0"/>
    <n v="655070"/>
    <x v="4"/>
    <x v="50"/>
    <s v="PC Makrolon 2456"/>
    <m/>
    <n v="1.87"/>
    <s v="Makrolon"/>
    <m/>
    <n v="0"/>
    <x v="64"/>
    <n v="0"/>
    <n v="0"/>
    <m/>
  </r>
  <r>
    <x v="2"/>
    <s v="RCS DEVICE"/>
    <s v="Battery tube"/>
    <s v="120020670031773"/>
    <s v="JEE"/>
    <s v="unique"/>
    <s v="Plastic"/>
    <x v="1"/>
    <x v="5"/>
    <d v="2024-10-25T00:00:00"/>
    <n v="0.3"/>
    <n v="1.8774416082318"/>
    <n v="1.9124416082318001"/>
    <n v="3.5000000000000142E-2"/>
    <n v="1.0500000000000042E-2"/>
    <n v="1"/>
    <n v="1.8774416082318"/>
    <n v="3937"/>
    <n v="3937"/>
    <x v="5"/>
    <x v="51"/>
    <s v="PC LUPOY GP1000ML"/>
    <m/>
    <n v="6.5389999999999997"/>
    <s v="LG"/>
    <s v="Printing"/>
    <n v="1.2"/>
    <x v="77"/>
    <n v="4724.3999999999996"/>
    <n v="25.744042999999998"/>
    <m/>
  </r>
  <r>
    <x v="2"/>
    <s v="RCS DEVICE"/>
    <s v="Bottom cap"/>
    <s v="130020670031775"/>
    <s v="JEE"/>
    <s v="unique"/>
    <s v="Plastic"/>
    <x v="1"/>
    <x v="5"/>
    <d v="2024-10-25T00:00:00"/>
    <n v="0.3"/>
    <n v="0.27335792652733598"/>
    <n v="0.33085792652733598"/>
    <n v="5.7499999999999996E-2"/>
    <n v="1.7249999999999998E-2"/>
    <n v="1"/>
    <n v="0.27335792652733598"/>
    <n v="3950"/>
    <n v="3950"/>
    <x v="6"/>
    <x v="52"/>
    <s v="PC LUPOY GP1000ML"/>
    <m/>
    <n v="3.3170000000000002"/>
    <s v="LG"/>
    <m/>
    <n v="0"/>
    <x v="78"/>
    <n v="0"/>
    <n v="13.102150000000002"/>
    <m/>
  </r>
  <r>
    <x v="2"/>
    <s v="RCS DEVICE"/>
    <s v="Holder"/>
    <s v="130020670031776"/>
    <s v="JEE"/>
    <s v="unique"/>
    <s v="Plastic"/>
    <x v="1"/>
    <x v="5"/>
    <d v="2024-10-25T00:00:00"/>
    <n v="0.3"/>
    <n v="0.20453293319930799"/>
    <n v="0.23078293319930801"/>
    <n v="2.6250000000000023E-2"/>
    <n v="7.875000000000007E-3"/>
    <n v="1"/>
    <n v="0.20453293319930799"/>
    <n v="3600"/>
    <n v="3600"/>
    <x v="7"/>
    <x v="53"/>
    <s v="PC Makrolon 2456"/>
    <m/>
    <n v="4.2469999999999999"/>
    <s v="Makrolon"/>
    <m/>
    <n v="0"/>
    <x v="79"/>
    <n v="0"/>
    <n v="15.289199999999999"/>
    <m/>
  </r>
  <r>
    <x v="2"/>
    <s v="RCS DEVICE"/>
    <s v="Button"/>
    <s v="130020670031777"/>
    <s v="JEE"/>
    <s v="unique"/>
    <s v="Plastic"/>
    <x v="1"/>
    <x v="5"/>
    <d v="2024-10-25T00:00:00"/>
    <n v="0.3"/>
    <n v="0.120262750041086"/>
    <n v="0.14526275004108599"/>
    <n v="2.4999999999999994E-2"/>
    <n v="7.499999999999998E-3"/>
    <n v="1"/>
    <n v="0.120262750041086"/>
    <n v="3950"/>
    <n v="3950"/>
    <x v="8"/>
    <x v="54"/>
    <s v="PC Makrolon 2456"/>
    <m/>
    <n v="0.53500000000000003"/>
    <s v="Makrolon"/>
    <m/>
    <n v="0"/>
    <x v="80"/>
    <n v="0"/>
    <n v="2.1132499999999999"/>
    <m/>
  </r>
  <r>
    <x v="2"/>
    <s v="RCS DEVICE"/>
    <s v="Light guide"/>
    <s v="130020670035243"/>
    <s v="JEE"/>
    <s v="unique"/>
    <s v="Plastic"/>
    <x v="1"/>
    <x v="5"/>
    <d v="2024-10-25T00:00:00"/>
    <n v="0.3"/>
    <n v="0.122488041645336"/>
    <n v="0.14748804164533599"/>
    <n v="2.4999999999999994E-2"/>
    <n v="7.499999999999998E-3"/>
    <n v="1"/>
    <n v="0.122488041645336"/>
    <n v="3350"/>
    <n v="3350"/>
    <x v="8"/>
    <x v="55"/>
    <s v="PC LUPOY GP1000ML"/>
    <m/>
    <n v="0.50900000000000001"/>
    <s v="LG"/>
    <m/>
    <n v="0"/>
    <x v="81"/>
    <n v="0"/>
    <n v="1.7051500000000002"/>
    <m/>
  </r>
  <r>
    <x v="2"/>
    <s v="RCS DEVICE"/>
    <s v="Battery tube"/>
    <s v="120020670031773"/>
    <s v="JEE"/>
    <s v="unique"/>
    <s v="Plastic"/>
    <x v="1"/>
    <x v="6"/>
    <d v="2024-10-25T00:00:00"/>
    <n v="0.3"/>
    <n v="1.8774416082318"/>
    <n v="1.9124416082318001"/>
    <n v="3.5000000000000142E-2"/>
    <n v="1.0500000000000042E-2"/>
    <n v="1"/>
    <n v="1.8774416082318"/>
    <n v="2300"/>
    <n v="6237"/>
    <x v="5"/>
    <x v="56"/>
    <s v="PC LUPOY GP1000ML"/>
    <m/>
    <n v="6.5389999999999997"/>
    <s v="LG"/>
    <s v="Printing"/>
    <n v="1.2"/>
    <x v="82"/>
    <n v="2760"/>
    <n v="15.039699999999998"/>
    <m/>
  </r>
  <r>
    <x v="2"/>
    <s v="RCS DEVICE"/>
    <s v="Bottom cap"/>
    <s v="130020670031775"/>
    <s v="JEE"/>
    <s v="unique"/>
    <s v="Plastic"/>
    <x v="1"/>
    <x v="6"/>
    <d v="2024-10-25T00:00:00"/>
    <n v="0.3"/>
    <n v="0.27335792652733598"/>
    <n v="0.33085792652733598"/>
    <n v="5.7499999999999996E-2"/>
    <n v="1.7249999999999998E-2"/>
    <n v="1"/>
    <n v="0.27335792652733598"/>
    <n v="2300"/>
    <n v="6250"/>
    <x v="6"/>
    <x v="57"/>
    <s v="PC LUPOY GP1000ML"/>
    <m/>
    <n v="3.3170000000000002"/>
    <s v="LG"/>
    <m/>
    <n v="0"/>
    <x v="83"/>
    <n v="0"/>
    <n v="7.6291000000000002"/>
    <m/>
  </r>
  <r>
    <x v="2"/>
    <s v="RCS DEVICE"/>
    <s v="Holder"/>
    <s v="130020670031776"/>
    <s v="JEE"/>
    <s v="unique"/>
    <s v="Plastic"/>
    <x v="1"/>
    <x v="6"/>
    <d v="2024-10-25T00:00:00"/>
    <n v="0.3"/>
    <n v="0.20453293319930799"/>
    <n v="0.23078293319930801"/>
    <n v="2.6250000000000023E-2"/>
    <n v="7.875000000000007E-3"/>
    <n v="1"/>
    <n v="0.20453293319930799"/>
    <n v="12000"/>
    <n v="15600"/>
    <x v="7"/>
    <x v="58"/>
    <s v="PC Makrolon 2456"/>
    <m/>
    <n v="4.2469999999999999"/>
    <s v="Makrolon"/>
    <m/>
    <n v="0"/>
    <x v="84"/>
    <n v="0"/>
    <n v="50.963999999999999"/>
    <m/>
  </r>
  <r>
    <x v="2"/>
    <s v="RCS DEVICE"/>
    <s v="Button"/>
    <s v="130020670031777"/>
    <s v="JEE"/>
    <s v="unique"/>
    <s v="Plastic"/>
    <x v="1"/>
    <x v="6"/>
    <d v="2024-10-25T00:00:00"/>
    <n v="0.3"/>
    <n v="0.120262750041086"/>
    <n v="0.14526275004108599"/>
    <n v="2.4999999999999994E-2"/>
    <n v="7.499999999999998E-3"/>
    <n v="1"/>
    <n v="0.120262750041086"/>
    <n v="1800"/>
    <n v="5750"/>
    <x v="8"/>
    <x v="59"/>
    <s v="PC Makrolon 2456"/>
    <m/>
    <n v="0.53500000000000003"/>
    <s v="Makrolon"/>
    <m/>
    <n v="0"/>
    <x v="85"/>
    <n v="0"/>
    <n v="0.96299999999999997"/>
    <m/>
  </r>
  <r>
    <x v="2"/>
    <s v="RCS DEVICE"/>
    <s v="Light guide"/>
    <s v="130020670035243"/>
    <s v="JEE"/>
    <s v="unique"/>
    <s v="Plastic"/>
    <x v="1"/>
    <x v="6"/>
    <d v="2024-10-25T00:00:00"/>
    <n v="0.3"/>
    <n v="0.122488041645336"/>
    <n v="0.14748804164533599"/>
    <n v="2.4999999999999994E-2"/>
    <n v="7.499999999999998E-3"/>
    <n v="1"/>
    <n v="0.122488041645336"/>
    <n v="0"/>
    <n v="3350"/>
    <x v="8"/>
    <x v="55"/>
    <s v="PC LUPOY GP1000ML"/>
    <m/>
    <n v="0.50900000000000001"/>
    <s v="LG"/>
    <m/>
    <n v="0"/>
    <x v="64"/>
    <n v="0"/>
    <n v="0"/>
    <m/>
  </r>
  <r>
    <x v="2"/>
    <s v="RCS DEVICE"/>
    <s v="Battery tube"/>
    <s v="120020670031773"/>
    <s v="JEE"/>
    <s v="unique"/>
    <s v="Plastic"/>
    <x v="1"/>
    <x v="7"/>
    <d v="2024-10-25T00:00:00"/>
    <n v="0.3"/>
    <n v="1.8774416082318"/>
    <n v="1.9124416082318001"/>
    <n v="3.5000000000000142E-2"/>
    <n v="1.0500000000000042E-2"/>
    <n v="1"/>
    <n v="1.8774416082318"/>
    <n v="23150"/>
    <n v="29387"/>
    <x v="5"/>
    <x v="60"/>
    <s v="PC LUPOY GP1000ML"/>
    <m/>
    <n v="6.5389999999999997"/>
    <s v="LG"/>
    <s v="Printing"/>
    <n v="1.2"/>
    <x v="86"/>
    <n v="27780"/>
    <n v="151.37785"/>
    <m/>
  </r>
  <r>
    <x v="2"/>
    <s v="RCS DEVICE"/>
    <s v="Bottom cap"/>
    <s v="130020670031775"/>
    <s v="JEE"/>
    <s v="unique"/>
    <s v="Plastic"/>
    <x v="1"/>
    <x v="7"/>
    <d v="2024-10-25T00:00:00"/>
    <n v="0.3"/>
    <n v="0.27335792652733598"/>
    <n v="0.33085792652733598"/>
    <n v="5.7499999999999996E-2"/>
    <n v="1.7249999999999998E-2"/>
    <n v="1"/>
    <n v="0.27335792652733598"/>
    <n v="111670"/>
    <n v="117920"/>
    <x v="6"/>
    <x v="61"/>
    <s v="PC LUPOY GP1000ML"/>
    <m/>
    <n v="3.3170000000000002"/>
    <s v="LG"/>
    <m/>
    <n v="0"/>
    <x v="87"/>
    <n v="0"/>
    <n v="370.40939000000003"/>
    <m/>
  </r>
  <r>
    <x v="2"/>
    <s v="RCS DEVICE"/>
    <s v="Holder"/>
    <s v="130020670031776"/>
    <s v="JEE"/>
    <s v="unique"/>
    <s v="Plastic"/>
    <x v="1"/>
    <x v="7"/>
    <d v="2024-10-25T00:00:00"/>
    <n v="0.3"/>
    <n v="0.20453293319930799"/>
    <n v="0.23078293319930801"/>
    <n v="2.6250000000000023E-2"/>
    <n v="7.875000000000007E-3"/>
    <n v="1"/>
    <n v="0.20453293319930799"/>
    <n v="139000"/>
    <n v="154600"/>
    <x v="7"/>
    <x v="62"/>
    <s v="PC Makrolon 2456"/>
    <m/>
    <n v="4.2469999999999999"/>
    <s v="Makrolon"/>
    <m/>
    <n v="0"/>
    <x v="88"/>
    <n v="0"/>
    <n v="590.33299999999997"/>
    <m/>
  </r>
  <r>
    <x v="2"/>
    <s v="RCS DEVICE"/>
    <s v="Button"/>
    <s v="130020670031777"/>
    <s v="JEE"/>
    <s v="unique"/>
    <s v="Plastic"/>
    <x v="1"/>
    <x v="7"/>
    <d v="2024-10-25T00:00:00"/>
    <n v="0.3"/>
    <n v="0.120262750041086"/>
    <n v="0.14526275004108599"/>
    <n v="2.4999999999999994E-2"/>
    <n v="7.499999999999998E-3"/>
    <n v="1"/>
    <n v="0.120262750041086"/>
    <n v="135940"/>
    <n v="141690"/>
    <x v="8"/>
    <x v="63"/>
    <s v="PC Makrolon 2456"/>
    <m/>
    <n v="0.53500000000000003"/>
    <s v="Makrolon"/>
    <m/>
    <n v="0"/>
    <x v="89"/>
    <n v="0"/>
    <n v="72.727900000000005"/>
    <m/>
  </r>
  <r>
    <x v="2"/>
    <s v="RCS DEVICE"/>
    <s v="Light guide"/>
    <s v="130020670035243"/>
    <s v="JEE"/>
    <s v="unique"/>
    <s v="Plastic"/>
    <x v="1"/>
    <x v="7"/>
    <d v="2024-10-25T00:00:00"/>
    <n v="0.3"/>
    <n v="0.122488041645336"/>
    <n v="0.14748804164533599"/>
    <n v="2.4999999999999994E-2"/>
    <n v="7.499999999999998E-3"/>
    <n v="1"/>
    <n v="0.122488041645336"/>
    <n v="313200"/>
    <n v="316550"/>
    <x v="8"/>
    <x v="64"/>
    <s v="PC LUPOY GP1000ML"/>
    <m/>
    <n v="0.50900000000000001"/>
    <s v="LG"/>
    <m/>
    <n v="0"/>
    <x v="90"/>
    <n v="0"/>
    <n v="159.41879999999998"/>
    <m/>
  </r>
  <r>
    <x v="2"/>
    <s v="RCS DEVICE"/>
    <s v="Battery tube"/>
    <s v="120020670031773"/>
    <s v="JEE"/>
    <s v="unique"/>
    <s v="Plastic"/>
    <x v="1"/>
    <x v="8"/>
    <d v="2024-10-25T00:00:00"/>
    <n v="0.3"/>
    <n v="1.8774416082318"/>
    <n v="1.9124416082318001"/>
    <n v="3.5000000000000142E-2"/>
    <n v="1.0500000000000042E-2"/>
    <n v="1"/>
    <n v="1.8774416082318"/>
    <n v="214361"/>
    <n v="243748"/>
    <x v="5"/>
    <x v="65"/>
    <s v="PC LUPOY GP1000ML"/>
    <m/>
    <n v="6.5389999999999997"/>
    <s v="LG"/>
    <s v="Printing"/>
    <n v="1.2"/>
    <x v="91"/>
    <n v="257233.19999999998"/>
    <n v="1401.7065789999999"/>
    <m/>
  </r>
  <r>
    <x v="2"/>
    <s v="RCS DEVICE"/>
    <s v="Bottom cap"/>
    <s v="130020670031775"/>
    <s v="JEE"/>
    <s v="unique"/>
    <s v="Plastic"/>
    <x v="1"/>
    <x v="8"/>
    <d v="2024-10-25T00:00:00"/>
    <n v="0.3"/>
    <n v="0.27335792652733598"/>
    <n v="0.33085792652733598"/>
    <n v="5.7499999999999996E-2"/>
    <n v="1.7249999999999998E-2"/>
    <n v="1"/>
    <n v="0.27335792652733598"/>
    <n v="432465"/>
    <n v="550385"/>
    <x v="6"/>
    <x v="66"/>
    <s v="PC LUPOY GP1000ML"/>
    <m/>
    <n v="3.3170000000000002"/>
    <s v="LG"/>
    <m/>
    <n v="0"/>
    <x v="92"/>
    <n v="0"/>
    <n v="1434.4864050000001"/>
    <m/>
  </r>
  <r>
    <x v="2"/>
    <s v="RCS DEVICE"/>
    <s v="Holder"/>
    <s v="130020670031776"/>
    <s v="JEE"/>
    <s v="unique"/>
    <s v="Plastic"/>
    <x v="1"/>
    <x v="8"/>
    <d v="2024-10-25T00:00:00"/>
    <n v="0.3"/>
    <n v="0.20453293319930799"/>
    <n v="0.23078293319930801"/>
    <n v="2.6250000000000023E-2"/>
    <n v="7.875000000000007E-3"/>
    <n v="1"/>
    <n v="0.20453293319930799"/>
    <n v="876117"/>
    <n v="1030717"/>
    <x v="7"/>
    <x v="67"/>
    <s v="PC Makrolon 2456"/>
    <m/>
    <n v="4.2469999999999999"/>
    <s v="Makrolon"/>
    <m/>
    <n v="0"/>
    <x v="93"/>
    <n v="0"/>
    <n v="3720.8688989999996"/>
    <m/>
  </r>
  <r>
    <x v="2"/>
    <s v="RCS DEVICE"/>
    <s v="Button"/>
    <s v="130020670031777"/>
    <s v="JEE"/>
    <s v="unique"/>
    <s v="Plastic"/>
    <x v="1"/>
    <x v="8"/>
    <d v="2024-10-25T00:00:00"/>
    <n v="0.3"/>
    <n v="0.120262750041086"/>
    <n v="0.14526275004108599"/>
    <n v="2.4999999999999994E-2"/>
    <n v="7.499999999999998E-3"/>
    <n v="1"/>
    <n v="0.120262750041086"/>
    <n v="674635"/>
    <n v="816325"/>
    <x v="8"/>
    <x v="68"/>
    <s v="PC Makrolon 2456"/>
    <m/>
    <n v="0.53500000000000003"/>
    <s v="Makrolon"/>
    <m/>
    <n v="0"/>
    <x v="94"/>
    <n v="0"/>
    <n v="360.92972500000002"/>
    <m/>
  </r>
  <r>
    <x v="2"/>
    <s v="RCS DEVICE"/>
    <s v="Light guide"/>
    <s v="130020670035243"/>
    <s v="JEE"/>
    <s v="unique"/>
    <s v="Plastic"/>
    <x v="1"/>
    <x v="8"/>
    <d v="2024-10-25T00:00:00"/>
    <n v="0.3"/>
    <n v="0.122488041645336"/>
    <n v="0.14748804164533599"/>
    <n v="2.4999999999999994E-2"/>
    <n v="7.499999999999998E-3"/>
    <n v="1"/>
    <n v="0.122488041645336"/>
    <n v="653125"/>
    <n v="969675"/>
    <x v="8"/>
    <x v="69"/>
    <s v="PC LUPOY GP1000ML"/>
    <m/>
    <n v="0.50900000000000001"/>
    <s v="LG"/>
    <m/>
    <n v="0"/>
    <x v="95"/>
    <n v="0"/>
    <n v="332.44062500000001"/>
    <m/>
  </r>
  <r>
    <x v="2"/>
    <s v="RCS DEVICE"/>
    <s v="Battery tube"/>
    <s v="120020670031773"/>
    <s v="JEE"/>
    <s v="unique"/>
    <s v="Plastic"/>
    <x v="1"/>
    <x v="9"/>
    <d v="2024-10-25T00:00:00"/>
    <n v="0.3"/>
    <n v="1.8774416082318"/>
    <n v="1.9124416082318001"/>
    <n v="3.5000000000000142E-2"/>
    <n v="1.0500000000000042E-2"/>
    <n v="1"/>
    <n v="1.8774416082318"/>
    <n v="246042"/>
    <n v="489790"/>
    <x v="5"/>
    <x v="70"/>
    <s v="PC LUPOY GP1000ML"/>
    <m/>
    <n v="6.5389999999999997"/>
    <s v="LG"/>
    <s v="Printing"/>
    <n v="1.2"/>
    <x v="96"/>
    <n v="295250.39999999997"/>
    <n v="1608.8686380000001"/>
    <m/>
  </r>
  <r>
    <x v="2"/>
    <s v="RCS DEVICE"/>
    <s v="Bottom cap"/>
    <s v="130020670031775"/>
    <s v="JEE"/>
    <s v="unique"/>
    <s v="Plastic"/>
    <x v="1"/>
    <x v="9"/>
    <d v="2024-10-25T00:00:00"/>
    <n v="0.3"/>
    <n v="0.27335792652733598"/>
    <n v="0.33085792652733598"/>
    <n v="5.7499999999999996E-2"/>
    <n v="1.7249999999999998E-2"/>
    <n v="1"/>
    <n v="0.27335792652733598"/>
    <n v="360351"/>
    <n v="910736"/>
    <x v="6"/>
    <x v="71"/>
    <s v="PC LUPOY GP1000ML"/>
    <m/>
    <n v="3.3170000000000002"/>
    <s v="LG"/>
    <m/>
    <n v="0"/>
    <x v="97"/>
    <n v="0"/>
    <n v="1195.284267"/>
    <m/>
  </r>
  <r>
    <x v="2"/>
    <s v="RCS DEVICE"/>
    <s v="Holder"/>
    <s v="130020670031776"/>
    <s v="JEE"/>
    <s v="unique"/>
    <s v="Plastic"/>
    <x v="1"/>
    <x v="9"/>
    <d v="2024-10-25T00:00:00"/>
    <n v="0.3"/>
    <n v="0.20453293319930799"/>
    <n v="0.23078293319930801"/>
    <n v="2.6250000000000023E-2"/>
    <n v="7.875000000000007E-3"/>
    <n v="1"/>
    <n v="0.20453293319930799"/>
    <n v="833120"/>
    <n v="1863837"/>
    <x v="7"/>
    <x v="72"/>
    <s v="PC Makrolon 2456"/>
    <m/>
    <n v="4.2469999999999999"/>
    <s v="Makrolon"/>
    <m/>
    <n v="0"/>
    <x v="98"/>
    <n v="0"/>
    <n v="3538.26064"/>
    <m/>
  </r>
  <r>
    <x v="2"/>
    <s v="RCS DEVICE"/>
    <s v="Button"/>
    <s v="130020670031777"/>
    <s v="JEE"/>
    <s v="unique"/>
    <s v="Plastic"/>
    <x v="1"/>
    <x v="9"/>
    <d v="2024-10-25T00:00:00"/>
    <n v="0.3"/>
    <n v="0.120262750041086"/>
    <n v="0.14526275004108599"/>
    <n v="2.4999999999999994E-2"/>
    <n v="7.499999999999998E-3"/>
    <n v="1"/>
    <n v="0.120262750041086"/>
    <n v="733954"/>
    <n v="1550279"/>
    <x v="8"/>
    <x v="73"/>
    <s v="PC Makrolon 2456"/>
    <m/>
    <n v="0.53500000000000003"/>
    <s v="Makrolon"/>
    <m/>
    <n v="0"/>
    <x v="99"/>
    <n v="0"/>
    <n v="392.66539"/>
    <m/>
  </r>
  <r>
    <x v="2"/>
    <s v="RCS DEVICE"/>
    <s v="Light guide"/>
    <s v="130020670035243"/>
    <s v="JEE"/>
    <s v="unique"/>
    <s v="Plastic"/>
    <x v="1"/>
    <x v="9"/>
    <d v="2024-10-25T00:00:00"/>
    <n v="0.3"/>
    <n v="0.122488041645336"/>
    <n v="0.14748804164533599"/>
    <n v="2.4999999999999994E-2"/>
    <n v="7.499999999999998E-3"/>
    <n v="1"/>
    <n v="0.122488041645336"/>
    <n v="875525"/>
    <n v="1845200"/>
    <x v="8"/>
    <x v="74"/>
    <s v="PC LUPOY GP1000ML"/>
    <m/>
    <n v="0.50900000000000001"/>
    <s v="LG"/>
    <m/>
    <n v="0"/>
    <x v="100"/>
    <n v="0"/>
    <n v="445.64222500000005"/>
    <m/>
  </r>
  <r>
    <x v="3"/>
    <s v="RCS POD"/>
    <s v="Cartomizer tube"/>
    <s v="130010390000214"/>
    <s v="JEE"/>
    <s v="unique"/>
    <s v="Plastic"/>
    <x v="0"/>
    <x v="3"/>
    <d v="2024-10-25T00:00:00"/>
    <n v="1"/>
    <n v="0.97679221076727096"/>
    <n v="0.97985471076727104"/>
    <n v="3.062500000000079E-3"/>
    <n v="3.062500000000079E-3"/>
    <n v="1"/>
    <n v="0.97679221076727096"/>
    <n v="21270"/>
    <n v="21270"/>
    <x v="9"/>
    <x v="75"/>
    <s v="PCTG TX1501HF"/>
    <m/>
    <n v="2.09"/>
    <s v="Eastman"/>
    <m/>
    <n v="0.93117705002376205"/>
    <x v="101"/>
    <n v="19806.135854005421"/>
    <n v="44.454299999999996"/>
    <s v="China- Black (Capex no including mold injection tools)"/>
  </r>
  <r>
    <x v="3"/>
    <s v="RCS POD"/>
    <s v="Cartomizer tube"/>
    <s v="130010390000214"/>
    <s v="JEE"/>
    <s v="unique"/>
    <s v="Plastic"/>
    <x v="0"/>
    <x v="4"/>
    <d v="2024-10-25T00:00:00"/>
    <n v="1"/>
    <n v="0.97679221076727096"/>
    <n v="0.97985471076727104"/>
    <n v="3.062500000000079E-3"/>
    <n v="3.062500000000079E-3"/>
    <n v="1"/>
    <n v="0.97679221076727096"/>
    <n v="3152752"/>
    <n v="3174022"/>
    <x v="9"/>
    <x v="76"/>
    <s v="PCTG TX1501HF"/>
    <m/>
    <n v="2.09"/>
    <s v="Eastman"/>
    <m/>
    <n v="0.93117705002376205"/>
    <x v="102"/>
    <n v="2935770.306816516"/>
    <n v="6589.2516799999994"/>
    <s v="China- Black (Capex no including mold injection tools)"/>
  </r>
  <r>
    <x v="3"/>
    <s v="RCS POD"/>
    <s v="Cartomizer tube"/>
    <s v="130010390000214"/>
    <s v="JEE"/>
    <s v="unique"/>
    <s v="Plastic"/>
    <x v="0"/>
    <x v="5"/>
    <d v="2024-10-25T00:00:00"/>
    <n v="1"/>
    <n v="0.97679221076727096"/>
    <n v="0.97985471076727104"/>
    <n v="3.062500000000079E-3"/>
    <n v="3.062500000000079E-3"/>
    <n v="1"/>
    <n v="0.97679221076727096"/>
    <n v="1753316"/>
    <n v="4927338"/>
    <x v="9"/>
    <x v="77"/>
    <s v="PCTG TX1501HF"/>
    <m/>
    <n v="2.09"/>
    <s v="Eastman"/>
    <m/>
    <n v="0.93117705002376205"/>
    <x v="103"/>
    <n v="1632647.6206394625"/>
    <n v="3664.4304400000001"/>
    <s v="China- Black (Capex no including mold injection tools)"/>
  </r>
  <r>
    <x v="3"/>
    <s v="RCS POD"/>
    <s v="Cartomizer tube"/>
    <s v="130010390000214"/>
    <s v="JEE"/>
    <s v="unique"/>
    <s v="Plastic"/>
    <x v="0"/>
    <x v="6"/>
    <d v="2024-10-25T00:00:00"/>
    <n v="1"/>
    <n v="0.97679221076727096"/>
    <n v="0.97985471076727104"/>
    <n v="3.062500000000079E-3"/>
    <n v="3.062500000000079E-3"/>
    <n v="1"/>
    <n v="0.97679221076727096"/>
    <n v="367792"/>
    <n v="5295130"/>
    <x v="9"/>
    <x v="78"/>
    <s v="PCTG TX1501HF"/>
    <m/>
    <n v="2.09"/>
    <s v="Eastman"/>
    <m/>
    <n v="0.93117705002376205"/>
    <x v="104"/>
    <n v="342479.46958233952"/>
    <n v="768.68527999999992"/>
    <s v="China- Black (Capex no including mold injection tools)"/>
  </r>
  <r>
    <x v="3"/>
    <s v="RCS POD"/>
    <s v="Cartomizer tube"/>
    <s v="130010390000214"/>
    <s v="JEE"/>
    <s v="unique"/>
    <s v="Plastic"/>
    <x v="0"/>
    <x v="7"/>
    <d v="2024-10-25T00:00:00"/>
    <n v="1"/>
    <n v="0.97679221076727096"/>
    <n v="0.97985471076727104"/>
    <n v="3.062500000000079E-3"/>
    <n v="3.062500000000079E-3"/>
    <n v="1"/>
    <n v="0.97679221076727096"/>
    <n v="1991913"/>
    <n v="7287043"/>
    <x v="9"/>
    <x v="79"/>
    <s v="PCTG TX1501HF"/>
    <m/>
    <n v="2.09"/>
    <s v="Eastman"/>
    <m/>
    <n v="0.93117705002376205"/>
    <x v="105"/>
    <n v="1854823.6712439819"/>
    <n v="4163.0981700000002"/>
    <s v="China- Black (Capex no including mold injection tools)"/>
  </r>
  <r>
    <x v="3"/>
    <s v="RCS POD"/>
    <s v="Cartomizer tube"/>
    <s v="130010390000214"/>
    <s v="JEE"/>
    <s v="unique"/>
    <s v="Plastic"/>
    <x v="0"/>
    <x v="8"/>
    <d v="2024-10-25T00:00:00"/>
    <n v="1"/>
    <n v="0.97679221076727096"/>
    <n v="0.97985471076727104"/>
    <n v="3.062500000000079E-3"/>
    <n v="3.062500000000079E-3"/>
    <n v="1"/>
    <n v="0.97679221076727096"/>
    <n v="2159574"/>
    <n v="9446617"/>
    <x v="9"/>
    <x v="80"/>
    <s v="PCTG TX1501HF"/>
    <m/>
    <n v="2.09"/>
    <s v="Eastman"/>
    <m/>
    <n v="0.93117705002376205"/>
    <x v="106"/>
    <n v="2010945.746628016"/>
    <n v="4513.5096599999997"/>
    <s v="China- Black (Capex no including mold injection tools)"/>
  </r>
  <r>
    <x v="3"/>
    <s v="RCS POD"/>
    <s v="Cartomizer tube"/>
    <s v="130010390000214"/>
    <s v="JEE"/>
    <s v="unique"/>
    <s v="Plastic"/>
    <x v="0"/>
    <x v="9"/>
    <d v="2024-10-25T00:00:00"/>
    <n v="1"/>
    <n v="0.97679221076727096"/>
    <n v="0.97985471076727104"/>
    <n v="3.062500000000079E-3"/>
    <n v="3.062500000000079E-3"/>
    <n v="1"/>
    <n v="0.97679221076727096"/>
    <n v="734433"/>
    <n v="10181050"/>
    <x v="9"/>
    <x v="81"/>
    <s v="PCTG TX1501HF"/>
    <m/>
    <n v="2.09"/>
    <s v="Eastman"/>
    <m/>
    <n v="0.93117705002376205"/>
    <x v="107"/>
    <n v="683887.15438010159"/>
    <n v="1534.96497"/>
    <s v="China- Black (Capex no including mold injection tools)"/>
  </r>
  <r>
    <x v="3"/>
    <s v="RCS POD"/>
    <s v="Cartomizer tube"/>
    <s v="130010390000214"/>
    <s v="JEE"/>
    <s v="unique"/>
    <s v="Plastic"/>
    <x v="1"/>
    <x v="9"/>
    <d v="2024-10-25T00:00:00"/>
    <n v="1"/>
    <n v="1.05412849674197"/>
    <n v="1.22365196079064"/>
    <n v="0.16952346404867003"/>
    <n v="0.16952346404867003"/>
    <n v="1"/>
    <n v="1.05412849674197"/>
    <n v="0"/>
    <n v="0"/>
    <x v="10"/>
    <x v="82"/>
    <s v="PCTG TX1501HF"/>
    <m/>
    <n v="2.09"/>
    <s v="Eastman"/>
    <m/>
    <n v="0.94115849674197016"/>
    <x v="64"/>
    <n v="0"/>
    <n v="0"/>
    <s v="Indonesia- Black (Capex no including mold injection tools)"/>
  </r>
  <r>
    <x v="3"/>
    <s v="RCS POD"/>
    <s v="Cartomizer tube"/>
    <s v="130010390000214"/>
    <s v="JEE"/>
    <s v="unique"/>
    <s v="Plastic"/>
    <x v="1"/>
    <x v="9"/>
    <d v="2024-10-25T00:00:00"/>
    <n v="1"/>
    <n v="1.17411721731226"/>
    <n v="1.3582877285124899"/>
    <n v="0.18417051120022987"/>
    <n v="0.18417051120022987"/>
    <n v="1"/>
    <n v="1.17411721731226"/>
    <n v="0"/>
    <n v="0"/>
    <x v="11"/>
    <x v="83"/>
    <s v="PCTG TX1501HF"/>
    <m/>
    <n v="2.09"/>
    <s v="Eastman"/>
    <m/>
    <n v="1.0611472173122602"/>
    <x v="64"/>
    <n v="0"/>
    <n v="0"/>
    <s v="Indonesia- White(Capex no including mold injection tools)"/>
  </r>
  <r>
    <x v="4"/>
    <s v="HP"/>
    <s v="Botton cover"/>
    <n v="22150202014"/>
    <s v="JEE"/>
    <s v="X3 Pro/unibody/Core"/>
    <s v="Plastic"/>
    <x v="0"/>
    <x v="0"/>
    <d v="2024-10-25T00:00:00"/>
    <n v="0.4"/>
    <n v="2.3161999999999998"/>
    <n v="2.3536999999999999"/>
    <n v="3.7499999999999999E-2"/>
    <n v="1.4999999999999999E-2"/>
    <n v="1"/>
    <n v="2.3161999999999998"/>
    <n v="374403"/>
    <n v="374403"/>
    <x v="12"/>
    <x v="84"/>
    <s v="RTP 299 AX 152528（PA+GF）(panting(5 color))"/>
    <m/>
    <n v="1.5549999999999999"/>
    <s v=" Ruicheng"/>
    <s v="Painting"/>
    <n v="1.9422999999999999"/>
    <x v="108"/>
    <n v="727202.94689999998"/>
    <n v="582.19666499999994"/>
    <m/>
  </r>
  <r>
    <x v="4"/>
    <s v="HP"/>
    <s v="Cleanout door"/>
    <n v="22150202015"/>
    <s v="JEE"/>
    <s v="X3 Pro/unibody/Core"/>
    <s v="Plastic"/>
    <x v="0"/>
    <x v="0"/>
    <d v="2024-10-25T00:00:00"/>
    <n v="0.6"/>
    <n v="1.5443588135792305"/>
    <n v="1.6338826231030401"/>
    <n v="8.9523809523809506E-2"/>
    <n v="5.3714285714285701E-2"/>
    <n v="1"/>
    <n v="1.5443588135792305"/>
    <n v="354871"/>
    <n v="354871"/>
    <x v="13"/>
    <x v="85"/>
    <s v="PC:LG LUPOY SC1004L(panting(5 color))+_x000a_TPU:BASF ELASTONLLAN 1190A"/>
    <m/>
    <n v="1.7450000000000001"/>
    <s v=" Ruicheng"/>
    <s v="Painting"/>
    <n v="1.1437999999999999"/>
    <x v="109"/>
    <n v="405901.4498"/>
    <n v="619.24989500000004"/>
    <m/>
  </r>
  <r>
    <x v="4"/>
    <s v="HP"/>
    <s v="Button"/>
    <n v="22150202010"/>
    <s v="JEE"/>
    <s v="X3 Pro/unibody"/>
    <s v="Plastic"/>
    <x v="0"/>
    <x v="0"/>
    <d v="2024-10-25T00:00:00"/>
    <n v="0.4"/>
    <n v="0.91622499999999985"/>
    <n v="1.1620999999999999"/>
    <n v="0.24587500000000001"/>
    <n v="9.8350000000000007E-2"/>
    <n v="1"/>
    <n v="0.91622499999999985"/>
    <n v="495791"/>
    <n v="495791"/>
    <x v="14"/>
    <x v="86"/>
    <s v="PC:LG LUPOY SC1004L-Colored"/>
    <m/>
    <n v="0.57899999999999996"/>
    <s v=" Ruicheng"/>
    <s v="Painting"/>
    <n v="0.75590000000000002"/>
    <x v="110"/>
    <n v="374768.41690000001"/>
    <n v="287.06298900000002"/>
    <m/>
  </r>
  <r>
    <x v="4"/>
    <s v="HP"/>
    <s v="Crown Support"/>
    <n v="22150202008"/>
    <s v="JEE"/>
    <s v="X3 Pro"/>
    <s v="Plastic"/>
    <x v="0"/>
    <x v="0"/>
    <d v="2024-10-25T00:00:00"/>
    <n v="0.5"/>
    <n v="0.1278"/>
    <n v="0.15579999999999999"/>
    <n v="2.8000000000000001E-2"/>
    <n v="1.4E-2"/>
    <n v="1"/>
    <n v="0.1278"/>
    <n v="457257"/>
    <n v="457257"/>
    <x v="15"/>
    <x v="87"/>
    <s v="POM C9021 black"/>
    <m/>
    <n v="0.76300000000000001"/>
    <s v=" Ruicheng"/>
    <m/>
    <n v="0"/>
    <x v="111"/>
    <n v="0"/>
    <n v="348.887091"/>
    <m/>
  </r>
  <r>
    <x v="4"/>
    <s v="HP"/>
    <s v="Connector frame"/>
    <n v="22150202017"/>
    <s v="JEE"/>
    <s v="X3 Pro"/>
    <s v="Plastic"/>
    <x v="0"/>
    <x v="0"/>
    <d v="2024-10-25T00:00:00"/>
    <n v="0.4"/>
    <n v="0.17249999999999999"/>
    <n v="0.41749999999999998"/>
    <n v="0.245"/>
    <n v="9.8000000000000004E-2"/>
    <n v="1"/>
    <n v="0.17249999999999999"/>
    <n v="314717"/>
    <n v="314717"/>
    <x v="9"/>
    <x v="88"/>
    <s v="PC(PCR):LUPOY ER1000MA_RC00101"/>
    <m/>
    <n v="1.173"/>
    <s v=" Ruicheng"/>
    <m/>
    <n v="0"/>
    <x v="112"/>
    <n v="0"/>
    <n v="369.16304100000002"/>
    <m/>
  </r>
  <r>
    <x v="4"/>
    <s v="HP"/>
    <s v="Spin Wheel"/>
    <n v="22150202009"/>
    <s v="JEE"/>
    <s v="X3 Pro/unibody/Core"/>
    <s v="Plastic"/>
    <x v="0"/>
    <x v="0"/>
    <d v="2024-10-25T00:00:00"/>
    <n v="0.5"/>
    <n v="0.1285"/>
    <n v="0.1565"/>
    <n v="2.8000000000000001E-2"/>
    <n v="1.4E-2"/>
    <n v="1"/>
    <n v="0.1285"/>
    <n v="139080"/>
    <n v="139080"/>
    <x v="9"/>
    <x v="89"/>
    <s v="PC:LG LUPOY SC1004L-Colored"/>
    <m/>
    <n v="0.69499999999999995"/>
    <s v=" Ruicheng"/>
    <m/>
    <n v="0"/>
    <x v="113"/>
    <n v="0"/>
    <n v="96.660599999999988"/>
    <m/>
  </r>
  <r>
    <x v="4"/>
    <s v="HP"/>
    <s v="Display bracket"/>
    <n v="22150202021"/>
    <s v="JEE"/>
    <s v="X3 Pro/unibody/Core"/>
    <s v="Plastic"/>
    <x v="0"/>
    <x v="0"/>
    <d v="2024-10-25T00:00:00"/>
    <n v="0.6"/>
    <n v="2.5637000000000003"/>
    <n v="2.8972000000000002"/>
    <n v="0.33350000000000002"/>
    <n v="0.2001"/>
    <n v="1"/>
    <n v="2.5637000000000003"/>
    <n v="450941"/>
    <n v="450941"/>
    <x v="16"/>
    <x v="90"/>
    <s v="PC  PCRLUPOY GP1000MA BC90515 40%半透黑"/>
    <m/>
    <n v="3.4089999999999998"/>
    <s v=" Ruicheng"/>
    <s v="Painting"/>
    <n v="1.7574000000000001"/>
    <x v="114"/>
    <n v="792483.71340000001"/>
    <n v="1537.257869"/>
    <m/>
  </r>
  <r>
    <x v="4"/>
    <s v="HP"/>
    <s v=" PCBA Bracket "/>
    <n v="22150202018"/>
    <s v="JEE"/>
    <s v="X3 Pro/unibody/Core"/>
    <s v="Plastic"/>
    <x v="0"/>
    <x v="0"/>
    <d v="2024-10-25T00:00:00"/>
    <n v="0.4"/>
    <n v="0.1608"/>
    <n v="0.1958"/>
    <n v="3.5000000000000003E-2"/>
    <n v="1.4000000000000002E-2"/>
    <n v="1"/>
    <n v="0.1608"/>
    <n v="439705"/>
    <n v="439705"/>
    <x v="9"/>
    <x v="91"/>
    <s v="PC+50%PCR LUPOY ER1004N BC90513 black"/>
    <m/>
    <n v="1.117"/>
    <s v=" Ruicheng"/>
    <m/>
    <n v="0"/>
    <x v="115"/>
    <n v="0"/>
    <n v="491.150485"/>
    <m/>
  </r>
  <r>
    <x v="4"/>
    <s v="HP"/>
    <s v=" Shut Door"/>
    <n v="22150202007"/>
    <s v="JEE"/>
    <s v="X3 Hyper Pro/uinbody pro/core"/>
    <s v="Plastic"/>
    <x v="0"/>
    <x v="0"/>
    <d v="2024-10-25T00:00:00"/>
    <n v="0.5"/>
    <n v="0.1227571428571429"/>
    <n v="0.16"/>
    <n v="3.7242857142857098E-2"/>
    <n v="1.8621428571428549E-2"/>
    <n v="1"/>
    <n v="0.1227571428571429"/>
    <n v="502770"/>
    <n v="502770"/>
    <x v="17"/>
    <x v="92"/>
    <s v="POM C9021 black"/>
    <m/>
    <n v="0.52400000000000002"/>
    <s v=" Ruicheng"/>
    <m/>
    <n v="0"/>
    <x v="116"/>
    <n v="0"/>
    <n v="263.45148000000006"/>
    <m/>
  </r>
  <r>
    <x v="5"/>
    <s v="HP"/>
    <s v="Crown Support"/>
    <n v="23590202001"/>
    <s v="JEE"/>
    <s v="X3 uinbody /core"/>
    <s v="Plastic"/>
    <x v="0"/>
    <x v="0"/>
    <d v="2024-10-25T00:00:00"/>
    <n v="0.5"/>
    <n v="0.125588670602168"/>
    <n v="0.15358867060216799"/>
    <n v="2.8000000000000001E-2"/>
    <n v="1.4E-2"/>
    <n v="1"/>
    <n v="0.125588670602168"/>
    <n v="86000"/>
    <n v="86000"/>
    <x v="9"/>
    <x v="93"/>
    <s v="PC LG LUPOY SC1004L"/>
    <m/>
    <n v="0.69499999999999995"/>
    <s v=" Ruicheng"/>
    <m/>
    <n v="0"/>
    <x v="117"/>
    <n v="0"/>
    <n v="59.769999999999996"/>
    <m/>
  </r>
  <r>
    <x v="5"/>
    <s v="HP"/>
    <s v="Connector frame"/>
    <n v="23480202015"/>
    <s v="JEE"/>
    <s v="X3 Hyper core/unibody"/>
    <s v="Plastic"/>
    <x v="0"/>
    <x v="0"/>
    <d v="2024-10-25T00:00:00"/>
    <n v="0.4"/>
    <n v="0.27566008648311169"/>
    <n v="0.353993419816445"/>
    <n v="7.8333333333333297E-2"/>
    <n v="3.1333333333333317E-2"/>
    <n v="1"/>
    <n v="0.27566008648311169"/>
    <n v="13608"/>
    <n v="13608"/>
    <x v="18"/>
    <x v="94"/>
    <s v="PC+50%PCR LUPOY ER1000MA BC90515 （80%）_x000a_透光"/>
    <m/>
    <n v="1.722"/>
    <s v=" Ruicheng"/>
    <m/>
    <n v="0"/>
    <x v="118"/>
    <n v="0"/>
    <n v="23.432976"/>
    <m/>
  </r>
  <r>
    <x v="5"/>
    <s v="HP"/>
    <s v="Battery carrier"/>
    <n v="23480202012"/>
    <s v="JEE"/>
    <s v="X3 Core"/>
    <s v="Plastic"/>
    <x v="0"/>
    <x v="0"/>
    <d v="2024-10-25T00:00:00"/>
    <n v="0.4"/>
    <n v="0.80865388388102988"/>
    <n v="1.0756538838810299"/>
    <n v="0.26700000000000002"/>
    <n v="0.10680000000000001"/>
    <n v="1"/>
    <n v="0.80865388388102988"/>
    <n v="32120"/>
    <n v="32120"/>
    <x v="19"/>
    <x v="95"/>
    <s v="PC+75%PCR LUPOY ER1006FZ BC90513"/>
    <m/>
    <n v="5.7469999999999999"/>
    <s v=" Ruicheng"/>
    <m/>
    <n v="0"/>
    <x v="119"/>
    <n v="0"/>
    <n v="184.59363999999999"/>
    <m/>
  </r>
  <r>
    <x v="5"/>
    <s v="HP"/>
    <s v="Shutter Door Support"/>
    <n v="23480202005"/>
    <s v="JEE"/>
    <s v="X3 uinbody pro/core"/>
    <s v="Plastic"/>
    <x v="0"/>
    <x v="0"/>
    <d v="2024-10-25T00:00:00"/>
    <n v="0.6"/>
    <n v="0.61243323981863296"/>
    <n v="0.790433239818633"/>
    <n v="0.17799999999999999"/>
    <n v="0.10679999999999999"/>
    <n v="1"/>
    <n v="0.61243323981863296"/>
    <n v="8940"/>
    <n v="8940"/>
    <x v="20"/>
    <x v="96"/>
    <s v="PC+50%PCR LUPOY ER1004N BC90513+_x000a_BASF TPU 60A ELASTOLLAN  SP9324 BLACK"/>
    <m/>
    <n v="3.2709999999999999"/>
    <s v=" Ruicheng"/>
    <m/>
    <n v="0"/>
    <x v="120"/>
    <n v="0"/>
    <n v="29.242739999999998"/>
    <m/>
  </r>
  <r>
    <x v="5"/>
    <s v="HP"/>
    <s v="Button Bracket"/>
    <n v="23480202011"/>
    <s v="JEE"/>
    <s v="X3 Core"/>
    <s v="Plastic"/>
    <x v="0"/>
    <x v="0"/>
    <d v="2024-10-25T00:00:00"/>
    <n v="0.5"/>
    <n v="0.29378086188436198"/>
    <n v="0.41711419521769499"/>
    <n v="0.123333333333333"/>
    <n v="6.1666666666666502E-2"/>
    <n v="1"/>
    <n v="0.29378086188436198"/>
    <n v="78750"/>
    <n v="78750"/>
    <x v="21"/>
    <x v="97"/>
    <s v="PC+50%PCR LUPOY ER1004N BC90513 black"/>
    <m/>
    <n v="1.7749999999999999"/>
    <s v=" Ruicheng"/>
    <m/>
    <n v="0"/>
    <x v="121"/>
    <n v="0"/>
    <n v="139.78125"/>
    <m/>
  </r>
  <r>
    <x v="5"/>
    <s v="HP"/>
    <s v="Button"/>
    <n v="23480202017"/>
    <s v="JEE"/>
    <s v="X3 Core"/>
    <s v="Plastic"/>
    <x v="0"/>
    <x v="0"/>
    <d v="2024-10-25T00:00:00"/>
    <n v="0.5"/>
    <n v="1.0628666666666668"/>
    <n v="1.1322000000000001"/>
    <n v="6.9333333333333302E-2"/>
    <n v="3.4666666666666651E-2"/>
    <n v="1"/>
    <n v="1.0628666666666668"/>
    <n v="17300"/>
    <n v="17300"/>
    <x v="22"/>
    <x v="98"/>
    <s v="LUPOY ER1000MA E6098_x000a_"/>
    <m/>
    <n v="2.3839999999999999"/>
    <s v=" Ruicheng"/>
    <s v="Painting"/>
    <n v="0.7964"/>
    <x v="122"/>
    <n v="13777.72"/>
    <n v="41.243199999999995"/>
    <m/>
  </r>
  <r>
    <x v="5"/>
    <s v="HP"/>
    <s v="Light guide"/>
    <n v="23480202018"/>
    <s v="JEE"/>
    <s v="X3 Core"/>
    <s v="Plastic"/>
    <x v="0"/>
    <x v="0"/>
    <d v="2024-10-25T00:00:00"/>
    <n v="0.4"/>
    <n v="0.41382922267354705"/>
    <n v="0.54316255600688002"/>
    <n v="0.12933333333333299"/>
    <n v="5.1733333333333201E-2"/>
    <n v="1"/>
    <n v="0.41382922267354705"/>
    <m/>
    <n v="0"/>
    <x v="23"/>
    <x v="99"/>
    <s v="PC:LG LUPOY GP1000M  透明（1st shot) _x000a_BASF TPU 60A ELASTOLLAN  SP9324 BLACK（2nd shot)_x000a_"/>
    <m/>
    <n v="3.673"/>
    <s v=" Ruicheng"/>
    <m/>
    <n v="0"/>
    <x v="64"/>
    <n v="0"/>
    <n v="0"/>
    <m/>
  </r>
  <r>
    <x v="4"/>
    <s v="HP"/>
    <s v="Botton cover"/>
    <n v="22150202014"/>
    <s v="JEE"/>
    <s v="X3 Pro/unibody/Core"/>
    <s v="Plastic"/>
    <x v="1"/>
    <x v="1"/>
    <d v="2024-10-25T00:00:00"/>
    <n v="0.4"/>
    <n v="2.3161999999999998"/>
    <n v="2.3536999999999999"/>
    <n v="3.7499999999999999E-2"/>
    <n v="1.4999999999999999E-2"/>
    <n v="1"/>
    <n v="2.3161999999999998"/>
    <n v="245439"/>
    <n v="619842"/>
    <x v="12"/>
    <x v="100"/>
    <s v="RTP 299 AX 152528（PA+GF）(panting(5 color))"/>
    <m/>
    <n v="1.5549999999999999"/>
    <s v=" Ruicheng"/>
    <s v="Painting"/>
    <n v="1.9422999999999999"/>
    <x v="123"/>
    <n v="476716.16969999997"/>
    <n v="381.65764499999995"/>
    <m/>
  </r>
  <r>
    <x v="4"/>
    <s v="HP"/>
    <s v="Cleanout door"/>
    <n v="22150202015"/>
    <s v="JEE"/>
    <s v="X3 Pro/unibody/Core"/>
    <s v="Plastic"/>
    <x v="1"/>
    <x v="1"/>
    <d v="2024-10-25T00:00:00"/>
    <n v="0.6"/>
    <n v="1.5443588135792305"/>
    <n v="1.6338826231030401"/>
    <n v="8.9523809523809506E-2"/>
    <n v="5.3714285714285701E-2"/>
    <n v="1"/>
    <n v="1.5443588135792305"/>
    <n v="62156"/>
    <n v="417027"/>
    <x v="13"/>
    <x v="101"/>
    <s v="PC:LG LUPOY SC1004L(panting(5 color))+_x000a_TPU:BASF ELASTONLLAN 1190A"/>
    <m/>
    <n v="1.7450000000000001"/>
    <s v=" Ruicheng"/>
    <s v="Painting"/>
    <n v="1.1437999999999999"/>
    <x v="124"/>
    <n v="71094.032800000001"/>
    <n v="108.46222"/>
    <m/>
  </r>
  <r>
    <x v="4"/>
    <s v="HP"/>
    <s v="Button"/>
    <n v="22150202010"/>
    <s v="JEE"/>
    <s v="X3 Pro/unibody"/>
    <s v="Plastic"/>
    <x v="1"/>
    <x v="1"/>
    <d v="2024-10-25T00:00:00"/>
    <n v="0.4"/>
    <n v="0.91622499999999985"/>
    <n v="1.1620999999999999"/>
    <n v="0.24587500000000001"/>
    <n v="9.8350000000000007E-2"/>
    <n v="1"/>
    <n v="0.91622499999999985"/>
    <n v="86278"/>
    <n v="582069"/>
    <x v="14"/>
    <x v="102"/>
    <s v="PC:LG LUPOY SC1004L-Colored"/>
    <m/>
    <n v="0.57899999999999996"/>
    <s v=" Ruicheng"/>
    <s v="Painting"/>
    <n v="0.75590000000000002"/>
    <x v="125"/>
    <n v="65217.540200000003"/>
    <n v="49.954962000000002"/>
    <m/>
  </r>
  <r>
    <x v="4"/>
    <s v="HP"/>
    <s v="Crown Support"/>
    <n v="22150202008"/>
    <s v="JEE"/>
    <s v="X3 Pro"/>
    <s v="Plastic"/>
    <x v="1"/>
    <x v="1"/>
    <d v="2024-10-25T00:00:00"/>
    <n v="0.5"/>
    <n v="0.1278"/>
    <n v="0.15579999999999999"/>
    <n v="2.8000000000000001E-2"/>
    <n v="1.4E-2"/>
    <n v="1"/>
    <n v="0.1278"/>
    <n v="368900"/>
    <n v="826157"/>
    <x v="15"/>
    <x v="103"/>
    <s v="POM C9021 black"/>
    <m/>
    <n v="0.76300000000000001"/>
    <s v=" Ruicheng"/>
    <m/>
    <n v="0"/>
    <x v="126"/>
    <n v="0"/>
    <n v="281.47070000000002"/>
    <m/>
  </r>
  <r>
    <x v="4"/>
    <s v="HP"/>
    <s v="Connector frame"/>
    <n v="22150202017"/>
    <s v="JEE"/>
    <s v="X3 Pro"/>
    <s v="Plastic"/>
    <x v="1"/>
    <x v="1"/>
    <d v="2024-10-25T00:00:00"/>
    <n v="0.4"/>
    <n v="0.17249999999999999"/>
    <n v="0.41749999999999998"/>
    <n v="0.245"/>
    <n v="9.8000000000000004E-2"/>
    <n v="1"/>
    <n v="0.17249999999999999"/>
    <n v="160920"/>
    <n v="475637"/>
    <x v="9"/>
    <x v="104"/>
    <s v="PC(PCR):LUPOY ER1000MA_RC00101"/>
    <m/>
    <n v="1.173"/>
    <s v=" Ruicheng"/>
    <m/>
    <n v="0"/>
    <x v="127"/>
    <n v="0"/>
    <n v="188.75916000000001"/>
    <m/>
  </r>
  <r>
    <x v="4"/>
    <s v="HP"/>
    <s v="Spin Wheel"/>
    <n v="22150202009"/>
    <s v="JEE"/>
    <s v="X3 Pro/unibody/Core"/>
    <s v="Plastic"/>
    <x v="1"/>
    <x v="1"/>
    <d v="2024-10-25T00:00:00"/>
    <n v="0.5"/>
    <n v="0.1285"/>
    <n v="0.1565"/>
    <n v="2.8000000000000001E-2"/>
    <n v="1.4E-2"/>
    <n v="1"/>
    <n v="0.1285"/>
    <n v="286000"/>
    <n v="425080"/>
    <x v="9"/>
    <x v="105"/>
    <s v="PC:LG LUPOY SC1004L-Colored"/>
    <m/>
    <n v="0.69499999999999995"/>
    <s v=" Ruicheng"/>
    <m/>
    <n v="0"/>
    <x v="128"/>
    <n v="0"/>
    <n v="198.77"/>
    <m/>
  </r>
  <r>
    <x v="4"/>
    <s v="HP"/>
    <s v="Display bracket"/>
    <n v="22150202021"/>
    <s v="JEE"/>
    <s v="X3 Pro/unibody/Core"/>
    <s v="Plastic"/>
    <x v="1"/>
    <x v="1"/>
    <d v="2024-10-25T00:00:00"/>
    <n v="0.6"/>
    <n v="2.5637000000000003"/>
    <n v="2.8972000000000002"/>
    <n v="0.33350000000000002"/>
    <n v="0.2001"/>
    <n v="1"/>
    <n v="2.5637000000000003"/>
    <n v="122268"/>
    <n v="573209"/>
    <x v="16"/>
    <x v="106"/>
    <s v="PC  PCRLUPOY GP1000MA BC90515 40%半透黑"/>
    <m/>
    <n v="3.4089999999999998"/>
    <s v=" Ruicheng"/>
    <s v="Painting"/>
    <n v="1.7574000000000001"/>
    <x v="129"/>
    <n v="214873.78320000001"/>
    <n v="416.81161199999997"/>
    <m/>
  </r>
  <r>
    <x v="4"/>
    <s v="HP"/>
    <s v=" PCBA Bracket "/>
    <n v="22150202018"/>
    <s v="JEE"/>
    <s v="X3 Pro/unibody/Core"/>
    <s v="Plastic"/>
    <x v="1"/>
    <x v="1"/>
    <d v="2024-10-25T00:00:00"/>
    <n v="0.4"/>
    <n v="0.1608"/>
    <n v="0.1958"/>
    <n v="3.5000000000000003E-2"/>
    <n v="1.4000000000000002E-2"/>
    <n v="1"/>
    <n v="0.1608"/>
    <n v="56316"/>
    <n v="496021"/>
    <x v="9"/>
    <x v="107"/>
    <s v="PC+50%PCR LUPOY ER1004N BC90513 black"/>
    <m/>
    <n v="1.117"/>
    <s v=" Ruicheng"/>
    <m/>
    <n v="0"/>
    <x v="130"/>
    <n v="0"/>
    <n v="62.904972000000001"/>
    <m/>
  </r>
  <r>
    <x v="4"/>
    <s v="HP"/>
    <s v=" Shut Door"/>
    <n v="22150202007"/>
    <s v="JEE"/>
    <s v="X3 Hyper Pro/uinbody pro/core"/>
    <s v="Plastic"/>
    <x v="1"/>
    <x v="1"/>
    <d v="2024-10-25T00:00:00"/>
    <n v="0.5"/>
    <n v="0.1227571428571429"/>
    <n v="0.16"/>
    <n v="3.7242857142857098E-2"/>
    <n v="1.8621428571428549E-2"/>
    <n v="1"/>
    <n v="0.1227571428571429"/>
    <n v="337834"/>
    <n v="840604"/>
    <x v="17"/>
    <x v="108"/>
    <s v="POM C9021 black"/>
    <m/>
    <n v="0.52400000000000002"/>
    <s v=" Ruicheng"/>
    <m/>
    <n v="0"/>
    <x v="131"/>
    <n v="0"/>
    <n v="177.02501599999999"/>
    <m/>
  </r>
  <r>
    <x v="5"/>
    <s v="HP"/>
    <s v="Crown Support"/>
    <n v="23590202001"/>
    <s v="JEE"/>
    <s v="X3 uinbody /core"/>
    <s v="Plastic"/>
    <x v="1"/>
    <x v="1"/>
    <d v="2024-10-25T00:00:00"/>
    <n v="0.5"/>
    <n v="0.125588670602168"/>
    <n v="0.15358867060216799"/>
    <n v="2.8000000000000001E-2"/>
    <n v="1.4E-2"/>
    <n v="1"/>
    <n v="0.125588670602168"/>
    <n v="28000"/>
    <n v="114000"/>
    <x v="9"/>
    <x v="109"/>
    <s v="PC LG LUPOY SC1004L"/>
    <m/>
    <n v="0.69499999999999995"/>
    <s v=" Ruicheng"/>
    <m/>
    <n v="0"/>
    <x v="132"/>
    <n v="0"/>
    <n v="19.46"/>
    <m/>
  </r>
  <r>
    <x v="5"/>
    <s v="HP"/>
    <s v="Connector frame"/>
    <n v="23480202015"/>
    <s v="JEE"/>
    <s v="X3 Hyper core/unibody"/>
    <s v="Plastic"/>
    <x v="1"/>
    <x v="1"/>
    <d v="2024-10-25T00:00:00"/>
    <n v="0.4"/>
    <n v="0.27566008648311169"/>
    <n v="0.353993419816445"/>
    <n v="7.8333333333333297E-2"/>
    <n v="3.1333333333333317E-2"/>
    <n v="1"/>
    <n v="0.27566008648311169"/>
    <n v="65728"/>
    <n v="79336"/>
    <x v="18"/>
    <x v="110"/>
    <s v="PC+50%PCR LUPOY ER1000MA BC90515 （80%）_x000a_透光"/>
    <m/>
    <n v="1.722"/>
    <s v=" Ruicheng"/>
    <m/>
    <n v="0"/>
    <x v="133"/>
    <n v="0"/>
    <n v="113.183616"/>
    <m/>
  </r>
  <r>
    <x v="5"/>
    <s v="HP"/>
    <s v="Battery carrier"/>
    <n v="23480202012"/>
    <s v="JEE"/>
    <s v="X3 Core"/>
    <s v="Plastic"/>
    <x v="1"/>
    <x v="1"/>
    <d v="2024-10-25T00:00:00"/>
    <n v="0.4"/>
    <n v="0.80865388388102988"/>
    <n v="1.0756538838810299"/>
    <n v="0.26700000000000002"/>
    <n v="0.10680000000000001"/>
    <n v="1"/>
    <n v="0.80865388388102988"/>
    <n v="44000"/>
    <n v="76120"/>
    <x v="19"/>
    <x v="111"/>
    <s v="PC+75%PCR LUPOY ER1006FZ BC90513"/>
    <m/>
    <n v="5.7469999999999999"/>
    <s v=" Ruicheng"/>
    <m/>
    <n v="0"/>
    <x v="134"/>
    <n v="0"/>
    <n v="252.86799999999999"/>
    <m/>
  </r>
  <r>
    <x v="5"/>
    <s v="HP"/>
    <s v="Shutter Door Support"/>
    <n v="23480202005"/>
    <s v="JEE"/>
    <s v="X3 uinbody pro/core"/>
    <s v="Plastic"/>
    <x v="1"/>
    <x v="1"/>
    <d v="2024-10-25T00:00:00"/>
    <n v="0.6"/>
    <n v="0.61243323981863296"/>
    <n v="0.790433239818633"/>
    <n v="0.17799999999999999"/>
    <n v="0.10679999999999999"/>
    <n v="1"/>
    <n v="0.61243323981863296"/>
    <n v="40130"/>
    <n v="49070"/>
    <x v="20"/>
    <x v="112"/>
    <s v="PC+50%PCR LUPOY ER1004N BC90513+_x000a_BASF TPU 60A ELASTOLLAN  SP9324 BLACK"/>
    <m/>
    <n v="3.2709999999999999"/>
    <s v=" Ruicheng"/>
    <m/>
    <n v="0"/>
    <x v="135"/>
    <n v="0"/>
    <n v="131.26523"/>
    <m/>
  </r>
  <r>
    <x v="5"/>
    <s v="HP"/>
    <s v="Button Bracket"/>
    <n v="23480202011"/>
    <s v="JEE"/>
    <s v="X3 Core"/>
    <s v="Plastic"/>
    <x v="1"/>
    <x v="1"/>
    <d v="2024-10-25T00:00:00"/>
    <n v="0.5"/>
    <n v="0.29378086188436198"/>
    <n v="0.41711419521769499"/>
    <n v="0.123333333333333"/>
    <n v="6.1666666666666502E-2"/>
    <n v="1"/>
    <n v="0.29378086188436198"/>
    <n v="45695"/>
    <n v="124445"/>
    <x v="21"/>
    <x v="113"/>
    <s v="PC+50%PCR LUPOY ER1004N BC90513 black"/>
    <m/>
    <n v="1.7749999999999999"/>
    <s v=" Ruicheng"/>
    <m/>
    <n v="0"/>
    <x v="136"/>
    <n v="0"/>
    <n v="81.108625000000004"/>
    <m/>
  </r>
  <r>
    <x v="5"/>
    <s v="HP"/>
    <s v="Button"/>
    <n v="23480202017"/>
    <s v="JEE"/>
    <s v="X3 Core"/>
    <s v="Plastic"/>
    <x v="1"/>
    <x v="1"/>
    <d v="2024-10-25T00:00:00"/>
    <n v="0.5"/>
    <n v="1.0628666666666668"/>
    <n v="1.1322000000000001"/>
    <n v="6.9333333333333302E-2"/>
    <n v="3.4666666666666651E-2"/>
    <n v="1"/>
    <n v="1.0628666666666668"/>
    <m/>
    <n v="17300"/>
    <x v="22"/>
    <x v="98"/>
    <s v="LUPOY ER1000MA E6098_x000a_"/>
    <m/>
    <n v="2.3839999999999999"/>
    <s v=" Ruicheng"/>
    <s v="Painting"/>
    <n v="0.7964"/>
    <x v="64"/>
    <n v="0"/>
    <n v="0"/>
    <m/>
  </r>
  <r>
    <x v="5"/>
    <s v="HP"/>
    <s v="Light guide"/>
    <n v="23480202018"/>
    <s v="JEE"/>
    <s v="X3 Core"/>
    <s v="Plastic"/>
    <x v="1"/>
    <x v="1"/>
    <d v="2024-10-25T00:00:00"/>
    <n v="0.4"/>
    <n v="0.41382922267354705"/>
    <n v="0.54316255600688002"/>
    <n v="0.12933333333333299"/>
    <n v="5.1733333333333201E-2"/>
    <n v="1"/>
    <n v="0.41382922267354705"/>
    <m/>
    <n v="0"/>
    <x v="23"/>
    <x v="99"/>
    <s v="PC:LG LUPOY GP1000M  透明（1st shot) _x000a_BASF TPU 60A ELASTOLLAN  SP9324 BLACK（2nd shot)_x000a_"/>
    <m/>
    <n v="3.673"/>
    <s v=" Ruicheng"/>
    <m/>
    <n v="0"/>
    <x v="64"/>
    <n v="0"/>
    <n v="0"/>
    <m/>
  </r>
  <r>
    <x v="4"/>
    <s v="HP"/>
    <s v="Botton cover"/>
    <n v="22150202014"/>
    <s v="JEE"/>
    <s v="X3 Pro/unibody/Core"/>
    <s v="Plastic"/>
    <x v="1"/>
    <x v="2"/>
    <d v="2024-10-25T00:00:00"/>
    <n v="0.4"/>
    <n v="2.3161999999999998"/>
    <n v="2.3536999999999999"/>
    <n v="3.7499999999999999E-2"/>
    <n v="1.4999999999999999E-2"/>
    <n v="1"/>
    <n v="2.3161999999999998"/>
    <n v="115530"/>
    <n v="735372"/>
    <x v="12"/>
    <x v="114"/>
    <s v="RTP 299 AX 152528（PA+GF）(panting(5 color))"/>
    <m/>
    <n v="1.5549999999999999"/>
    <s v=" Ruicheng"/>
    <s v="Painting"/>
    <n v="1.9422999999999999"/>
    <x v="137"/>
    <n v="224393.91899999999"/>
    <n v="179.64914999999999"/>
    <m/>
  </r>
  <r>
    <x v="4"/>
    <s v="HP"/>
    <s v="Cleanout door"/>
    <n v="22150202015"/>
    <s v="JEE"/>
    <s v="X3 Pro/unibody/Core"/>
    <s v="Plastic"/>
    <x v="1"/>
    <x v="2"/>
    <d v="2024-10-25T00:00:00"/>
    <n v="0.6"/>
    <n v="1.5443588135792305"/>
    <n v="1.6338826231030401"/>
    <n v="8.9523809523809506E-2"/>
    <n v="5.3714285714285701E-2"/>
    <n v="1"/>
    <n v="1.5443588135792305"/>
    <n v="100300"/>
    <n v="517327"/>
    <x v="13"/>
    <x v="115"/>
    <s v="PC:LG LUPOY SC1004L(panting(5 color))+_x000a_TPU:BASF ELASTONLLAN 1190A"/>
    <m/>
    <n v="1.7450000000000001"/>
    <s v=" Ruicheng"/>
    <s v="Painting"/>
    <n v="1.1437999999999999"/>
    <x v="138"/>
    <n v="114723.14"/>
    <n v="175.02350000000001"/>
    <m/>
  </r>
  <r>
    <x v="4"/>
    <s v="HP"/>
    <s v="Button"/>
    <n v="22150202010"/>
    <s v="JEE"/>
    <s v="X3 Pro/unibody"/>
    <s v="Plastic"/>
    <x v="1"/>
    <x v="2"/>
    <d v="2024-10-25T00:00:00"/>
    <n v="0.4"/>
    <n v="0.91622499999999985"/>
    <n v="1.1620999999999999"/>
    <n v="0.24587500000000001"/>
    <n v="9.8350000000000007E-2"/>
    <n v="1"/>
    <n v="0.91622499999999985"/>
    <n v="18648"/>
    <n v="600717"/>
    <x v="14"/>
    <x v="116"/>
    <s v="PC:LG LUPOY SC1004L-Colored"/>
    <m/>
    <n v="0.57899999999999996"/>
    <s v=" Ruicheng"/>
    <s v="Painting"/>
    <n v="0.75590000000000002"/>
    <x v="139"/>
    <n v="14096.0232"/>
    <n v="10.797191999999999"/>
    <m/>
  </r>
  <r>
    <x v="4"/>
    <s v="HP"/>
    <s v="Crown Support"/>
    <n v="22150202008"/>
    <s v="JEE"/>
    <s v="X3 Pro"/>
    <s v="Plastic"/>
    <x v="1"/>
    <x v="2"/>
    <d v="2024-10-25T00:00:00"/>
    <n v="0.5"/>
    <n v="0.1278"/>
    <n v="0.15579999999999999"/>
    <n v="2.8000000000000001E-2"/>
    <n v="1.4E-2"/>
    <n v="1"/>
    <n v="0.1278"/>
    <n v="130000"/>
    <n v="956157"/>
    <x v="15"/>
    <x v="117"/>
    <s v="POM C9021 black"/>
    <m/>
    <n v="0.76300000000000001"/>
    <s v=" Ruicheng"/>
    <m/>
    <n v="0"/>
    <x v="140"/>
    <n v="0"/>
    <n v="99.19"/>
    <m/>
  </r>
  <r>
    <x v="4"/>
    <s v="HP"/>
    <s v="Connector frame"/>
    <n v="22150202017"/>
    <s v="JEE"/>
    <s v="X3 Pro"/>
    <s v="Plastic"/>
    <x v="1"/>
    <x v="2"/>
    <d v="2024-10-25T00:00:00"/>
    <n v="0.4"/>
    <n v="0.17249999999999999"/>
    <n v="0.41749999999999998"/>
    <n v="0.245"/>
    <n v="9.8000000000000004E-2"/>
    <n v="1"/>
    <n v="0.17249999999999999"/>
    <n v="165600"/>
    <n v="641237"/>
    <x v="9"/>
    <x v="118"/>
    <s v="PC(PCR):LUPOY ER1000MA_RC00101"/>
    <m/>
    <n v="1.173"/>
    <s v=" Ruicheng"/>
    <m/>
    <n v="0"/>
    <x v="141"/>
    <n v="0"/>
    <n v="194.24880000000002"/>
    <m/>
  </r>
  <r>
    <x v="4"/>
    <s v="HP"/>
    <s v="Spin Wheel"/>
    <n v="22150202009"/>
    <s v="JEE"/>
    <s v="X3 Pro/unibody/Core"/>
    <s v="Plastic"/>
    <x v="1"/>
    <x v="2"/>
    <d v="2024-10-25T00:00:00"/>
    <n v="0.5"/>
    <n v="0.1285"/>
    <n v="0.1565"/>
    <n v="2.8000000000000001E-2"/>
    <n v="1.4E-2"/>
    <n v="1"/>
    <n v="0.1285"/>
    <n v="120000"/>
    <n v="545080"/>
    <x v="9"/>
    <x v="119"/>
    <s v="PC:LG LUPOY SC1004L-Colored"/>
    <m/>
    <n v="0.69499999999999995"/>
    <s v=" Ruicheng"/>
    <m/>
    <n v="0"/>
    <x v="142"/>
    <n v="0"/>
    <n v="83.4"/>
    <m/>
  </r>
  <r>
    <x v="4"/>
    <s v="HP"/>
    <s v="Display bracket"/>
    <n v="22150202021"/>
    <s v="JEE"/>
    <s v="X3 Pro/unibody/Core"/>
    <s v="Plastic"/>
    <x v="1"/>
    <x v="2"/>
    <d v="2024-10-25T00:00:00"/>
    <n v="0.6"/>
    <n v="2.5637000000000003"/>
    <n v="2.8972000000000002"/>
    <n v="0.33350000000000002"/>
    <n v="0.2001"/>
    <n v="1"/>
    <n v="2.5637000000000003"/>
    <n v="142363"/>
    <n v="715572"/>
    <x v="16"/>
    <x v="120"/>
    <s v="PC  PCRLUPOY GP1000MA BC90515 40%半透黑"/>
    <m/>
    <n v="3.4089999999999998"/>
    <s v=" Ruicheng"/>
    <s v="Painting"/>
    <n v="1.7574000000000001"/>
    <x v="143"/>
    <n v="250188.73620000001"/>
    <n v="485.31546699999996"/>
    <m/>
  </r>
  <r>
    <x v="4"/>
    <s v="HP"/>
    <s v=" PCBA Bracket "/>
    <n v="22150202018"/>
    <s v="JEE"/>
    <s v="X3 Pro/unibody/Core"/>
    <s v="Plastic"/>
    <x v="1"/>
    <x v="2"/>
    <d v="2024-10-25T00:00:00"/>
    <n v="0.4"/>
    <n v="0.1608"/>
    <n v="0.1958"/>
    <n v="3.5000000000000003E-2"/>
    <n v="1.4000000000000002E-2"/>
    <n v="1"/>
    <n v="0.1608"/>
    <n v="36300"/>
    <n v="532321"/>
    <x v="9"/>
    <x v="121"/>
    <s v="PC+50%PCR LUPOY ER1004N BC90513 black"/>
    <m/>
    <n v="1.117"/>
    <s v=" Ruicheng"/>
    <m/>
    <n v="0"/>
    <x v="144"/>
    <n v="0"/>
    <n v="40.5471"/>
    <m/>
  </r>
  <r>
    <x v="4"/>
    <s v="HP"/>
    <s v=" Shut Door"/>
    <n v="22150202007"/>
    <s v="JEE"/>
    <s v="X3 Hyper Pro/uinbody pro/core"/>
    <s v="Plastic"/>
    <x v="1"/>
    <x v="2"/>
    <d v="2024-10-25T00:00:00"/>
    <n v="0.5"/>
    <n v="0.1227571428571429"/>
    <n v="0.16"/>
    <n v="3.7242857142857098E-2"/>
    <n v="1.8621428571428549E-2"/>
    <n v="1"/>
    <n v="0.1227571428571429"/>
    <n v="16830"/>
    <n v="857434"/>
    <x v="17"/>
    <x v="122"/>
    <s v="POM C9021 black"/>
    <m/>
    <n v="0.52400000000000002"/>
    <s v=" Ruicheng"/>
    <m/>
    <n v="0"/>
    <x v="145"/>
    <n v="0"/>
    <n v="8.8189200000000003"/>
    <m/>
  </r>
  <r>
    <x v="5"/>
    <s v="HP"/>
    <s v="Crown Support"/>
    <n v="23590202001"/>
    <s v="JEE"/>
    <s v="X3 uinbody /core"/>
    <s v="Plastic"/>
    <x v="1"/>
    <x v="2"/>
    <d v="2024-10-25T00:00:00"/>
    <n v="0.5"/>
    <n v="0.125588670602168"/>
    <n v="0.15358867060216799"/>
    <n v="2.8000000000000001E-2"/>
    <n v="1.4E-2"/>
    <n v="1"/>
    <n v="0.125588670602168"/>
    <n v="45000"/>
    <n v="159000"/>
    <x v="9"/>
    <x v="123"/>
    <s v="PC LG LUPOY SC1004L"/>
    <m/>
    <n v="0.69499999999999995"/>
    <s v=" Ruicheng"/>
    <m/>
    <n v="0"/>
    <x v="146"/>
    <n v="0"/>
    <n v="31.274999999999995"/>
    <m/>
  </r>
  <r>
    <x v="5"/>
    <s v="HP"/>
    <s v="Connector frame"/>
    <n v="23480202015"/>
    <s v="JEE"/>
    <s v="X3 Hyper core/unibody"/>
    <s v="Plastic"/>
    <x v="1"/>
    <x v="2"/>
    <d v="2024-10-25T00:00:00"/>
    <n v="0.4"/>
    <n v="0.27566008648311169"/>
    <n v="0.353993419816445"/>
    <n v="7.8333333333333297E-2"/>
    <n v="3.1333333333333317E-2"/>
    <n v="1"/>
    <n v="0.27566008648311169"/>
    <n v="0"/>
    <n v="79336"/>
    <x v="18"/>
    <x v="110"/>
    <s v="PC+50%PCR LUPOY ER1000MA BC90515 （80%）_x000a_透光"/>
    <m/>
    <n v="1.722"/>
    <s v=" Ruicheng"/>
    <m/>
    <n v="0"/>
    <x v="64"/>
    <n v="0"/>
    <n v="0"/>
    <m/>
  </r>
  <r>
    <x v="5"/>
    <s v="HP"/>
    <s v="Battery carrier"/>
    <n v="23480202012"/>
    <s v="JEE"/>
    <s v="X3 Core"/>
    <s v="Plastic"/>
    <x v="1"/>
    <x v="2"/>
    <d v="2024-10-25T00:00:00"/>
    <n v="0.4"/>
    <n v="0.80865388388102988"/>
    <n v="1.0756538838810299"/>
    <n v="0.26700000000000002"/>
    <n v="0.10680000000000001"/>
    <n v="1"/>
    <n v="0.80865388388102988"/>
    <n v="0"/>
    <n v="76120"/>
    <x v="19"/>
    <x v="111"/>
    <s v="PC+75%PCR LUPOY ER1006FZ BC90513"/>
    <m/>
    <n v="5.7469999999999999"/>
    <s v=" Ruicheng"/>
    <m/>
    <n v="0"/>
    <x v="64"/>
    <n v="0"/>
    <n v="0"/>
    <m/>
  </r>
  <r>
    <x v="5"/>
    <s v="HP"/>
    <s v="Shutter Door Support"/>
    <n v="23480202005"/>
    <s v="JEE"/>
    <s v="X3 uinbody pro/core"/>
    <s v="Plastic"/>
    <x v="1"/>
    <x v="2"/>
    <d v="2024-10-25T00:00:00"/>
    <n v="0.6"/>
    <n v="0.61243323981863296"/>
    <n v="0.790433239818633"/>
    <n v="0.17799999999999999"/>
    <n v="0.10679999999999999"/>
    <n v="1"/>
    <n v="0.61243323981863296"/>
    <n v="2793"/>
    <n v="51863"/>
    <x v="20"/>
    <x v="124"/>
    <s v="PC+50%PCR LUPOY ER1004N BC90513+_x000a_BASF TPU 60A ELASTOLLAN  SP9324 BLACK"/>
    <m/>
    <n v="3.2709999999999999"/>
    <s v=" Ruicheng"/>
    <m/>
    <n v="0"/>
    <x v="147"/>
    <n v="0"/>
    <n v="9.1359030000000008"/>
    <m/>
  </r>
  <r>
    <x v="5"/>
    <s v="HP"/>
    <s v="Button Bracket"/>
    <n v="23480202011"/>
    <s v="JEE"/>
    <s v="X3 Core"/>
    <s v="Plastic"/>
    <x v="1"/>
    <x v="2"/>
    <d v="2024-10-25T00:00:00"/>
    <n v="0.5"/>
    <n v="0.29378086188436198"/>
    <n v="0.41711419521769499"/>
    <n v="0.123333333333333"/>
    <n v="6.1666666666666502E-2"/>
    <n v="1"/>
    <n v="0.29378086188436198"/>
    <m/>
    <n v="124445"/>
    <x v="21"/>
    <x v="113"/>
    <s v="PC+50%PCR LUPOY ER1004N BC90513 black"/>
    <m/>
    <n v="1.7749999999999999"/>
    <s v=" Ruicheng"/>
    <m/>
    <n v="0"/>
    <x v="64"/>
    <n v="0"/>
    <n v="0"/>
    <m/>
  </r>
  <r>
    <x v="5"/>
    <s v="HP"/>
    <s v="Button"/>
    <n v="23480202017"/>
    <s v="JEE"/>
    <s v="X3 Core"/>
    <s v="Plastic"/>
    <x v="1"/>
    <x v="2"/>
    <d v="2024-10-25T00:00:00"/>
    <n v="0.5"/>
    <n v="1.0628666666666668"/>
    <n v="1.1322000000000001"/>
    <n v="6.9333333333333302E-2"/>
    <n v="3.4666666666666651E-2"/>
    <n v="1"/>
    <n v="1.0628666666666668"/>
    <m/>
    <n v="17300"/>
    <x v="22"/>
    <x v="98"/>
    <s v="LUPOY ER1000MA E6098_x000a_"/>
    <m/>
    <n v="2.3839999999999999"/>
    <s v=" Ruicheng"/>
    <s v="Painting"/>
    <n v="0.7964"/>
    <x v="64"/>
    <n v="0"/>
    <n v="0"/>
    <m/>
  </r>
  <r>
    <x v="5"/>
    <s v="HP"/>
    <s v="Light guide"/>
    <n v="23480202018"/>
    <s v="JEE"/>
    <s v="X3 Core"/>
    <s v="Plastic"/>
    <x v="1"/>
    <x v="2"/>
    <d v="2024-10-25T00:00:00"/>
    <n v="0.4"/>
    <n v="0.41382922267354705"/>
    <n v="0.54316255600688002"/>
    <n v="0.12933333333333299"/>
    <n v="5.1733333333333201E-2"/>
    <n v="1"/>
    <n v="0.41382922267354705"/>
    <m/>
    <n v="0"/>
    <x v="23"/>
    <x v="99"/>
    <s v="PC:LG LUPOY GP1000M  透明（1st shot) _x000a_BASF TPU 60A ELASTOLLAN  SP9324 BLACK（2nd shot)_x000a_"/>
    <m/>
    <n v="3.673"/>
    <s v=" Ruicheng"/>
    <m/>
    <n v="0"/>
    <x v="64"/>
    <n v="0"/>
    <n v="0"/>
    <m/>
  </r>
  <r>
    <x v="4"/>
    <s v="HP"/>
    <s v="Botton cover"/>
    <n v="22150202014"/>
    <s v="JEE"/>
    <s v="X3 Pro/unibody/Core"/>
    <s v="Plastic"/>
    <x v="1"/>
    <x v="3"/>
    <d v="2024-10-25T00:00:00"/>
    <n v="0.4"/>
    <n v="2.3161999999999998"/>
    <n v="2.3536999999999999"/>
    <n v="3.7499999999999999E-2"/>
    <n v="1.4999999999999999E-2"/>
    <n v="1"/>
    <n v="2.3161999999999998"/>
    <n v="187761"/>
    <n v="923133"/>
    <x v="12"/>
    <x v="125"/>
    <s v="RTP 299 AX 152528（PA+GF）(panting(5 color))"/>
    <m/>
    <n v="1.5549999999999999"/>
    <s v=" Ruicheng"/>
    <s v="Painting"/>
    <n v="1.9422999999999999"/>
    <x v="148"/>
    <n v="364688.19029999996"/>
    <n v="291.96835499999997"/>
    <m/>
  </r>
  <r>
    <x v="4"/>
    <s v="HP"/>
    <s v="Cleanout door"/>
    <n v="22150202015"/>
    <s v="JEE"/>
    <s v="X3 Pro/unibody/Core"/>
    <s v="Plastic"/>
    <x v="1"/>
    <x v="3"/>
    <d v="2024-10-25T00:00:00"/>
    <n v="0.6"/>
    <n v="1.5443588135792305"/>
    <n v="1.6338826231030401"/>
    <n v="8.9523809523809506E-2"/>
    <n v="5.3714285714285701E-2"/>
    <n v="1"/>
    <n v="1.5443588135792305"/>
    <n v="50340"/>
    <n v="567667"/>
    <x v="13"/>
    <x v="126"/>
    <s v="PC:LG LUPOY SC1004L(panting(5 color))+_x000a_TPU:BASF ELASTONLLAN 1190A"/>
    <m/>
    <n v="1.7450000000000001"/>
    <s v=" Ruicheng"/>
    <s v="Painting"/>
    <n v="1.1437999999999999"/>
    <x v="149"/>
    <n v="57578.892"/>
    <n v="87.843299999999999"/>
    <m/>
  </r>
  <r>
    <x v="4"/>
    <s v="HP"/>
    <s v="Button"/>
    <n v="22150202010"/>
    <s v="JEE"/>
    <s v="X3 Pro/unibody"/>
    <s v="Plastic"/>
    <x v="1"/>
    <x v="3"/>
    <d v="2024-10-25T00:00:00"/>
    <n v="0.4"/>
    <n v="0.91622499999999985"/>
    <n v="1.1620999999999999"/>
    <n v="0.24587500000000001"/>
    <n v="9.8350000000000007E-2"/>
    <n v="1"/>
    <n v="0.91622499999999985"/>
    <n v="162401"/>
    <n v="763118"/>
    <x v="14"/>
    <x v="127"/>
    <s v="PC:LG LUPOY SC1004L-Colored"/>
    <m/>
    <n v="0.57899999999999996"/>
    <s v=" Ruicheng"/>
    <s v="Painting"/>
    <n v="0.75590000000000002"/>
    <x v="150"/>
    <n v="122758.91590000001"/>
    <n v="94.03017899999999"/>
    <m/>
  </r>
  <r>
    <x v="4"/>
    <s v="HP"/>
    <s v="Crown Support"/>
    <n v="22150202008"/>
    <s v="JEE"/>
    <s v="X3 Pro"/>
    <s v="Plastic"/>
    <x v="1"/>
    <x v="3"/>
    <d v="2024-10-25T00:00:00"/>
    <n v="0.5"/>
    <n v="0.1278"/>
    <n v="0.15579999999999999"/>
    <n v="2.8000000000000001E-2"/>
    <n v="1.4E-2"/>
    <n v="1"/>
    <n v="0.1278"/>
    <n v="40000"/>
    <n v="996157"/>
    <x v="15"/>
    <x v="128"/>
    <s v="POM C9021 black"/>
    <m/>
    <n v="0.76300000000000001"/>
    <s v=" Ruicheng"/>
    <m/>
    <n v="0"/>
    <x v="151"/>
    <n v="0"/>
    <n v="30.52"/>
    <m/>
  </r>
  <r>
    <x v="4"/>
    <s v="HP"/>
    <s v="Connector frame"/>
    <n v="22150202017"/>
    <s v="JEE"/>
    <s v="X3 Pro"/>
    <s v="Plastic"/>
    <x v="1"/>
    <x v="3"/>
    <d v="2024-10-25T00:00:00"/>
    <n v="0.4"/>
    <n v="0.17249999999999999"/>
    <n v="0.41749999999999998"/>
    <n v="0.245"/>
    <n v="9.8000000000000004E-2"/>
    <n v="1"/>
    <n v="0.17249999999999999"/>
    <n v="97200"/>
    <n v="738437"/>
    <x v="9"/>
    <x v="129"/>
    <s v="PC(PCR):LUPOY ER1000MA_RC00101"/>
    <m/>
    <n v="1.173"/>
    <s v=" Ruicheng"/>
    <m/>
    <n v="0"/>
    <x v="152"/>
    <n v="0"/>
    <n v="114.01560000000001"/>
    <m/>
  </r>
  <r>
    <x v="4"/>
    <s v="HP"/>
    <s v="Spin Wheel"/>
    <n v="22150202009"/>
    <s v="JEE"/>
    <s v="X3 Pro/unibody/Core"/>
    <s v="Plastic"/>
    <x v="1"/>
    <x v="3"/>
    <d v="2024-10-25T00:00:00"/>
    <n v="0.5"/>
    <n v="0.1285"/>
    <n v="0.1565"/>
    <n v="2.8000000000000001E-2"/>
    <n v="1.4E-2"/>
    <n v="1"/>
    <n v="0.1285"/>
    <n v="200000"/>
    <n v="745080"/>
    <x v="9"/>
    <x v="130"/>
    <s v="PC:LG LUPOY SC1004L-Colored"/>
    <m/>
    <n v="0.69499999999999995"/>
    <s v=" Ruicheng"/>
    <m/>
    <n v="0"/>
    <x v="153"/>
    <n v="0"/>
    <n v="139"/>
    <m/>
  </r>
  <r>
    <x v="4"/>
    <s v="HP"/>
    <s v="Display bracket"/>
    <n v="22150202021"/>
    <s v="JEE"/>
    <s v="X3 Pro/unibody/Core"/>
    <s v="Plastic"/>
    <x v="1"/>
    <x v="3"/>
    <d v="2024-10-25T00:00:00"/>
    <n v="0.6"/>
    <n v="2.5637000000000003"/>
    <n v="2.8972000000000002"/>
    <n v="0.33350000000000002"/>
    <n v="0.2001"/>
    <n v="1"/>
    <n v="2.5637000000000003"/>
    <n v="395727"/>
    <n v="1111299"/>
    <x v="16"/>
    <x v="131"/>
    <s v="PC  PCRLUPOY GP1000MA BC90515 40%半透黑"/>
    <m/>
    <n v="3.4089999999999998"/>
    <s v=" Ruicheng"/>
    <s v="Painting"/>
    <n v="1.7574000000000001"/>
    <x v="154"/>
    <n v="695450.6298"/>
    <n v="1349.0333429999998"/>
    <m/>
  </r>
  <r>
    <x v="4"/>
    <s v="HP"/>
    <s v=" PCBA Bracket "/>
    <n v="22150202018"/>
    <s v="JEE"/>
    <s v="X3 Pro/unibody/Core"/>
    <s v="Plastic"/>
    <x v="1"/>
    <x v="3"/>
    <d v="2024-10-25T00:00:00"/>
    <n v="0.4"/>
    <n v="0.1608"/>
    <n v="0.1958"/>
    <n v="3.5000000000000003E-2"/>
    <n v="1.4000000000000002E-2"/>
    <n v="1"/>
    <n v="0.1608"/>
    <n v="361185"/>
    <n v="893506"/>
    <x v="9"/>
    <x v="132"/>
    <s v="PC+50%PCR LUPOY ER1004N BC90513 black"/>
    <m/>
    <n v="1.117"/>
    <s v=" Ruicheng"/>
    <m/>
    <n v="0"/>
    <x v="155"/>
    <n v="0"/>
    <n v="403.443645"/>
    <m/>
  </r>
  <r>
    <x v="4"/>
    <s v="HP"/>
    <s v=" Shut Door"/>
    <n v="22150202007"/>
    <s v="JEE"/>
    <s v="X3 Hyper Pro/uinbody pro/core"/>
    <s v="Plastic"/>
    <x v="1"/>
    <x v="3"/>
    <d v="2024-10-25T00:00:00"/>
    <n v="0.5"/>
    <n v="0.1227571428571429"/>
    <n v="0.16"/>
    <n v="3.7242857142857098E-2"/>
    <n v="1.8621428571428549E-2"/>
    <n v="1"/>
    <n v="0.1227571428571429"/>
    <n v="336600"/>
    <n v="1194034"/>
    <x v="17"/>
    <x v="133"/>
    <s v="POM C9021 black"/>
    <m/>
    <n v="0.52400000000000002"/>
    <s v=" Ruicheng"/>
    <m/>
    <n v="0"/>
    <x v="156"/>
    <n v="0"/>
    <n v="176.3784"/>
    <m/>
  </r>
  <r>
    <x v="5"/>
    <s v="HP"/>
    <s v="Crown Support"/>
    <n v="23590202001"/>
    <s v="JEE"/>
    <s v="X3 uinbody /core"/>
    <s v="Plastic"/>
    <x v="1"/>
    <x v="3"/>
    <d v="2024-10-25T00:00:00"/>
    <n v="0.5"/>
    <n v="0.125588670602168"/>
    <n v="0.15358867060216799"/>
    <n v="2.8000000000000001E-2"/>
    <n v="1.4E-2"/>
    <n v="1"/>
    <n v="0.125588670602168"/>
    <n v="160000"/>
    <n v="319000"/>
    <x v="9"/>
    <x v="134"/>
    <s v="PC LG LUPOY SC1004L"/>
    <m/>
    <n v="0.69499999999999995"/>
    <s v=" Ruicheng"/>
    <m/>
    <n v="0"/>
    <x v="157"/>
    <n v="0"/>
    <n v="111.19999999999999"/>
    <m/>
  </r>
  <r>
    <x v="5"/>
    <s v="HP"/>
    <s v="Connector frame"/>
    <n v="23480202015"/>
    <s v="JEE"/>
    <s v="X3 Hyper core/unibody"/>
    <s v="Plastic"/>
    <x v="1"/>
    <x v="3"/>
    <d v="2024-10-25T00:00:00"/>
    <n v="0.4"/>
    <n v="0.27566008648311169"/>
    <n v="0.353993419816445"/>
    <n v="7.8333333333333297E-2"/>
    <n v="3.1333333333333317E-2"/>
    <n v="1"/>
    <n v="0.27566008648311169"/>
    <n v="110700"/>
    <n v="190036"/>
    <x v="18"/>
    <x v="135"/>
    <s v="PC+50%PCR LUPOY ER1000MA BC90515 （80%）_x000a_透光"/>
    <m/>
    <n v="1.722"/>
    <s v=" Ruicheng"/>
    <m/>
    <n v="0"/>
    <x v="158"/>
    <n v="0"/>
    <n v="190.62539999999998"/>
    <m/>
  </r>
  <r>
    <x v="5"/>
    <s v="HP"/>
    <s v="Battery carrier"/>
    <n v="23480202012"/>
    <s v="JEE"/>
    <s v="X3 Core"/>
    <s v="Plastic"/>
    <x v="1"/>
    <x v="3"/>
    <d v="2024-10-25T00:00:00"/>
    <n v="0.4"/>
    <n v="0.80865388388102988"/>
    <n v="1.0756538838810299"/>
    <n v="0.26700000000000002"/>
    <n v="0.10680000000000001"/>
    <n v="1"/>
    <n v="0.80865388388102988"/>
    <n v="0"/>
    <n v="76120"/>
    <x v="19"/>
    <x v="111"/>
    <s v="PC+75%PCR LUPOY ER1006FZ BC90513"/>
    <m/>
    <n v="5.7469999999999999"/>
    <s v=" Ruicheng"/>
    <m/>
    <n v="0"/>
    <x v="64"/>
    <n v="0"/>
    <n v="0"/>
    <m/>
  </r>
  <r>
    <x v="5"/>
    <s v="HP"/>
    <s v="Shutter Door Support"/>
    <n v="23480202005"/>
    <s v="JEE"/>
    <s v="X3 uinbody pro/core"/>
    <s v="Plastic"/>
    <x v="1"/>
    <x v="3"/>
    <d v="2024-10-25T00:00:00"/>
    <n v="0.6"/>
    <n v="0.61243323981863296"/>
    <n v="0.790433239818633"/>
    <n v="0.17799999999999999"/>
    <n v="0.10679999999999999"/>
    <n v="1"/>
    <n v="0.61243323981863296"/>
    <n v="83966"/>
    <n v="135829"/>
    <x v="20"/>
    <x v="136"/>
    <s v="PC+50%PCR LUPOY ER1004N BC90513+_x000a_BASF TPU 60A ELASTOLLAN  SP9324 BLACK"/>
    <m/>
    <n v="3.2709999999999999"/>
    <s v=" Ruicheng"/>
    <m/>
    <n v="0"/>
    <x v="159"/>
    <n v="0"/>
    <n v="274.65278599999999"/>
    <m/>
  </r>
  <r>
    <x v="5"/>
    <s v="HP"/>
    <s v="Button Bracket"/>
    <n v="23480202011"/>
    <s v="JEE"/>
    <s v="X3 Core"/>
    <s v="Plastic"/>
    <x v="1"/>
    <x v="3"/>
    <d v="2024-10-25T00:00:00"/>
    <n v="0.5"/>
    <n v="0.29378086188436198"/>
    <n v="0.41711419521769499"/>
    <n v="0.123333333333333"/>
    <n v="6.1666666666666502E-2"/>
    <n v="1"/>
    <n v="0.29378086188436198"/>
    <m/>
    <n v="124445"/>
    <x v="21"/>
    <x v="113"/>
    <s v="PC+50%PCR LUPOY ER1004N BC90513 black"/>
    <m/>
    <n v="1.7749999999999999"/>
    <s v=" Ruicheng"/>
    <m/>
    <n v="0"/>
    <x v="64"/>
    <n v="0"/>
    <n v="0"/>
    <m/>
  </r>
  <r>
    <x v="5"/>
    <s v="HP"/>
    <s v="Button"/>
    <n v="23480202017"/>
    <s v="JEE"/>
    <s v="X3 Core"/>
    <s v="Plastic"/>
    <x v="1"/>
    <x v="3"/>
    <d v="2024-10-25T00:00:00"/>
    <n v="0.5"/>
    <n v="1.0628666666666668"/>
    <n v="1.1322000000000001"/>
    <n v="6.9333333333333302E-2"/>
    <n v="3.4666666666666651E-2"/>
    <n v="1"/>
    <n v="1.0628666666666668"/>
    <n v="3300"/>
    <n v="20600"/>
    <x v="22"/>
    <x v="137"/>
    <s v="LUPOY ER1000MA E6098_x000a_"/>
    <m/>
    <n v="2.3839999999999999"/>
    <s v=" Ruicheng"/>
    <s v="Painting"/>
    <n v="0.7964"/>
    <x v="160"/>
    <n v="2628.12"/>
    <n v="7.8671999999999995"/>
    <m/>
  </r>
  <r>
    <x v="5"/>
    <s v="HP"/>
    <s v="Light guide"/>
    <n v="23480202018"/>
    <s v="JEE"/>
    <s v="X3 Core"/>
    <s v="Plastic"/>
    <x v="1"/>
    <x v="3"/>
    <d v="2024-10-25T00:00:00"/>
    <n v="0.4"/>
    <n v="0.41382922267354705"/>
    <n v="0.54316255600688002"/>
    <n v="0.12933333333333299"/>
    <n v="5.1733333333333201E-2"/>
    <n v="1"/>
    <n v="0.41382922267354705"/>
    <n v="7830"/>
    <n v="7830"/>
    <x v="23"/>
    <x v="138"/>
    <s v="PC:LG LUPOY GP1000M  透明（1st shot) _x000a_BASF TPU 60A ELASTOLLAN  SP9324 BLACK（2nd shot)_x000a_"/>
    <m/>
    <n v="3.673"/>
    <s v=" Ruicheng"/>
    <m/>
    <n v="0"/>
    <x v="161"/>
    <n v="0"/>
    <n v="28.759589999999999"/>
    <m/>
  </r>
  <r>
    <x v="4"/>
    <s v="HP"/>
    <s v="Botton cover"/>
    <n v="22150202014"/>
    <s v="JEE"/>
    <s v="X3 Pro/unibody/Core"/>
    <s v="Plastic"/>
    <x v="1"/>
    <x v="4"/>
    <d v="2024-10-25T00:00:00"/>
    <n v="0.4"/>
    <n v="2.3161999999999998"/>
    <n v="2.3536999999999999"/>
    <n v="3.7499999999999999E-2"/>
    <n v="1.4999999999999999E-2"/>
    <n v="1"/>
    <n v="2.3161999999999998"/>
    <n v="136698"/>
    <n v="1059831"/>
    <x v="12"/>
    <x v="139"/>
    <s v="RTP 299 AX 152528（PA+GF）(panting(5 color))"/>
    <m/>
    <n v="1.5549999999999999"/>
    <s v=" Ruicheng"/>
    <s v="Painting"/>
    <n v="1.9422999999999999"/>
    <x v="162"/>
    <n v="265508.52539999998"/>
    <n v="212.56538999999998"/>
    <m/>
  </r>
  <r>
    <x v="4"/>
    <s v="HP"/>
    <s v="Cleanout door"/>
    <n v="22150202015"/>
    <s v="JEE"/>
    <s v="X3 Pro/unibody/Core"/>
    <s v="Plastic"/>
    <x v="1"/>
    <x v="4"/>
    <d v="2024-10-25T00:00:00"/>
    <n v="0.6"/>
    <n v="1.5443588135792305"/>
    <n v="1.6338826231030401"/>
    <n v="8.9523809523809506E-2"/>
    <n v="5.3714285714285701E-2"/>
    <n v="1"/>
    <n v="1.5443588135792305"/>
    <n v="116654"/>
    <n v="684321"/>
    <x v="13"/>
    <x v="140"/>
    <s v="PC:LG LUPOY SC1004L(panting(5 color))+_x000a_TPU:BASF ELASTONLLAN 1190A"/>
    <m/>
    <n v="1.7450000000000001"/>
    <s v=" Ruicheng"/>
    <s v="Painting"/>
    <n v="1.1437999999999999"/>
    <x v="163"/>
    <n v="133428.84519999998"/>
    <n v="203.56123000000002"/>
    <m/>
  </r>
  <r>
    <x v="4"/>
    <s v="HP"/>
    <s v="Button"/>
    <n v="22150202010"/>
    <s v="JEE"/>
    <s v="X3 Pro/unibody"/>
    <s v="Plastic"/>
    <x v="1"/>
    <x v="4"/>
    <d v="2024-10-25T00:00:00"/>
    <n v="0.4"/>
    <n v="0.91622499999999985"/>
    <n v="1.1620999999999999"/>
    <n v="0.24587500000000001"/>
    <n v="9.8350000000000007E-2"/>
    <n v="1"/>
    <n v="0.91622499999999985"/>
    <n v="171890"/>
    <n v="935008"/>
    <x v="14"/>
    <x v="141"/>
    <s v="PC:LG LUPOY SC1004L-Colored"/>
    <m/>
    <n v="0.57899999999999996"/>
    <s v=" Ruicheng"/>
    <s v="Painting"/>
    <n v="0.75590000000000002"/>
    <x v="164"/>
    <n v="129931.651"/>
    <n v="99.52431"/>
    <m/>
  </r>
  <r>
    <x v="4"/>
    <s v="HP"/>
    <s v="Crown Support"/>
    <n v="22150202008"/>
    <s v="JEE"/>
    <s v="X3 Pro"/>
    <s v="Plastic"/>
    <x v="1"/>
    <x v="4"/>
    <d v="2024-10-25T00:00:00"/>
    <n v="0.5"/>
    <n v="0.1278"/>
    <n v="0.15579999999999999"/>
    <n v="2.8000000000000001E-2"/>
    <n v="1.4E-2"/>
    <n v="1"/>
    <n v="0.1278"/>
    <n v="0"/>
    <n v="996157"/>
    <x v="15"/>
    <x v="128"/>
    <s v="POM C9021 black"/>
    <m/>
    <n v="0.76300000000000001"/>
    <s v=" Ruicheng"/>
    <m/>
    <n v="0"/>
    <x v="64"/>
    <n v="0"/>
    <n v="0"/>
    <m/>
  </r>
  <r>
    <x v="4"/>
    <s v="HP"/>
    <s v="Connector frame"/>
    <n v="22150202017"/>
    <s v="JEE"/>
    <s v="X3 Pro"/>
    <s v="Plastic"/>
    <x v="1"/>
    <x v="4"/>
    <d v="2024-10-25T00:00:00"/>
    <n v="0.4"/>
    <n v="0.17249999999999999"/>
    <n v="0.41749999999999998"/>
    <n v="0.245"/>
    <n v="9.8000000000000004E-2"/>
    <n v="1"/>
    <n v="0.17249999999999999"/>
    <n v="43200"/>
    <n v="781637"/>
    <x v="9"/>
    <x v="142"/>
    <s v="PC(PCR):LUPOY ER1000MA_RC00101"/>
    <m/>
    <n v="1.173"/>
    <s v=" Ruicheng"/>
    <m/>
    <n v="0"/>
    <x v="165"/>
    <n v="0"/>
    <n v="50.6736"/>
    <m/>
  </r>
  <r>
    <x v="4"/>
    <s v="HP"/>
    <s v="Spin Wheel"/>
    <n v="22150202009"/>
    <s v="JEE"/>
    <s v="X3 Pro/unibody/Core"/>
    <s v="Plastic"/>
    <x v="1"/>
    <x v="4"/>
    <d v="2024-10-25T00:00:00"/>
    <n v="0.5"/>
    <n v="0.1285"/>
    <n v="0.1565"/>
    <n v="2.8000000000000001E-2"/>
    <n v="1.4E-2"/>
    <n v="1"/>
    <n v="0.1285"/>
    <n v="70380"/>
    <n v="815460"/>
    <x v="9"/>
    <x v="143"/>
    <s v="PC:LG LUPOY SC1004L-Colored"/>
    <m/>
    <n v="0.69499999999999995"/>
    <s v=" Ruicheng"/>
    <m/>
    <n v="0"/>
    <x v="166"/>
    <n v="0"/>
    <n v="48.914099999999998"/>
    <m/>
  </r>
  <r>
    <x v="4"/>
    <s v="HP"/>
    <s v="Display bracket"/>
    <n v="22150202021"/>
    <s v="JEE"/>
    <s v="X3 Pro/unibody/Core"/>
    <s v="Plastic"/>
    <x v="1"/>
    <x v="4"/>
    <d v="2024-10-25T00:00:00"/>
    <n v="0.6"/>
    <n v="2.5637000000000003"/>
    <n v="2.8972000000000002"/>
    <n v="0.33350000000000002"/>
    <n v="0.2001"/>
    <n v="1"/>
    <n v="2.5637000000000003"/>
    <n v="371302"/>
    <n v="1482601"/>
    <x v="16"/>
    <x v="144"/>
    <s v="PC  PCRLUPOY GP1000MA BC90515 40%半透黑"/>
    <m/>
    <n v="3.4089999999999998"/>
    <s v=" Ruicheng"/>
    <s v="Painting"/>
    <n v="1.7574000000000001"/>
    <x v="167"/>
    <n v="652526.1348"/>
    <n v="1265.7685179999999"/>
    <m/>
  </r>
  <r>
    <x v="4"/>
    <s v="HP"/>
    <s v=" PCBA Bracket "/>
    <n v="22150202018"/>
    <s v="JEE"/>
    <s v="X3 Pro/unibody/Core"/>
    <s v="Plastic"/>
    <x v="1"/>
    <x v="4"/>
    <d v="2024-10-25T00:00:00"/>
    <n v="0.4"/>
    <n v="0.1608"/>
    <n v="0.1958"/>
    <n v="3.5000000000000003E-2"/>
    <n v="1.4000000000000002E-2"/>
    <n v="1"/>
    <n v="0.1608"/>
    <n v="239580"/>
    <n v="1133086"/>
    <x v="9"/>
    <x v="145"/>
    <s v="PC+50%PCR LUPOY ER1004N BC90513 black"/>
    <m/>
    <n v="1.117"/>
    <s v=" Ruicheng"/>
    <m/>
    <n v="0"/>
    <x v="168"/>
    <n v="0"/>
    <n v="267.61086"/>
    <m/>
  </r>
  <r>
    <x v="4"/>
    <s v="HP"/>
    <s v=" Shut Door"/>
    <n v="22150202007"/>
    <s v="JEE"/>
    <s v="X3 Hyper Pro/uinbody pro/core"/>
    <s v="Plastic"/>
    <x v="1"/>
    <x v="4"/>
    <d v="2024-10-25T00:00:00"/>
    <n v="0.5"/>
    <n v="0.1227571428571429"/>
    <n v="0.16"/>
    <n v="3.7242857142857098E-2"/>
    <n v="1.8621428571428549E-2"/>
    <n v="1"/>
    <n v="0.1227571428571429"/>
    <n v="300390"/>
    <n v="1494424"/>
    <x v="17"/>
    <x v="146"/>
    <s v="POM C9021 black"/>
    <m/>
    <n v="0.52400000000000002"/>
    <s v=" Ruicheng"/>
    <m/>
    <n v="0"/>
    <x v="169"/>
    <n v="0"/>
    <n v="157.40436000000003"/>
    <m/>
  </r>
  <r>
    <x v="5"/>
    <s v="HP"/>
    <s v="Crown Support"/>
    <n v="23590202001"/>
    <s v="JEE"/>
    <s v="X3 uinbody /core"/>
    <s v="Plastic"/>
    <x v="1"/>
    <x v="4"/>
    <d v="2024-10-25T00:00:00"/>
    <n v="0.5"/>
    <n v="0.125588670602168"/>
    <n v="0.15358867060216799"/>
    <n v="2.8000000000000001E-2"/>
    <n v="1.4E-2"/>
    <n v="1"/>
    <n v="0.125588670602168"/>
    <n v="169430"/>
    <n v="488430"/>
    <x v="9"/>
    <x v="147"/>
    <s v="PC LG LUPOY SC1004L"/>
    <m/>
    <n v="0.69499999999999995"/>
    <s v=" Ruicheng"/>
    <m/>
    <n v="0"/>
    <x v="170"/>
    <n v="0"/>
    <n v="117.75384999999999"/>
    <m/>
  </r>
  <r>
    <x v="5"/>
    <s v="HP"/>
    <s v="Connector frame"/>
    <n v="23480202015"/>
    <s v="JEE"/>
    <s v="X3 Hyper core/unibody"/>
    <s v="Plastic"/>
    <x v="1"/>
    <x v="4"/>
    <d v="2024-10-25T00:00:00"/>
    <n v="0.4"/>
    <n v="0.27566008648311169"/>
    <n v="0.353993419816445"/>
    <n v="7.8333333333333297E-2"/>
    <n v="3.1333333333333317E-2"/>
    <n v="1"/>
    <n v="0.27566008648311169"/>
    <n v="171720"/>
    <n v="361756"/>
    <x v="18"/>
    <x v="148"/>
    <s v="PC+50%PCR LUPOY ER1000MA BC90515 （80%）_x000a_透光"/>
    <m/>
    <n v="1.722"/>
    <s v=" Ruicheng"/>
    <m/>
    <n v="0"/>
    <x v="171"/>
    <n v="0"/>
    <n v="295.70183999999995"/>
    <m/>
  </r>
  <r>
    <x v="5"/>
    <s v="HP"/>
    <s v="Battery carrier"/>
    <n v="23480202012"/>
    <s v="JEE"/>
    <s v="X3 Core"/>
    <s v="Plastic"/>
    <x v="1"/>
    <x v="4"/>
    <d v="2024-10-25T00:00:00"/>
    <n v="0.4"/>
    <n v="0.80865388388102988"/>
    <n v="1.0756538838810299"/>
    <n v="0.26700000000000002"/>
    <n v="0.10680000000000001"/>
    <n v="1"/>
    <n v="0.80865388388102988"/>
    <m/>
    <n v="76120"/>
    <x v="19"/>
    <x v="111"/>
    <s v="PC+75%PCR LUPOY ER1006FZ BC90513"/>
    <m/>
    <n v="5.7469999999999999"/>
    <s v=" Ruicheng"/>
    <m/>
    <n v="0"/>
    <x v="64"/>
    <n v="0"/>
    <n v="0"/>
    <m/>
  </r>
  <r>
    <x v="5"/>
    <s v="HP"/>
    <s v="Shutter Door Support"/>
    <n v="23480202005"/>
    <s v="JEE"/>
    <s v="X3 uinbody pro/core"/>
    <s v="Plastic"/>
    <x v="1"/>
    <x v="4"/>
    <d v="2024-10-25T00:00:00"/>
    <n v="0.6"/>
    <n v="0.61243323981863296"/>
    <n v="0.790433239818633"/>
    <n v="0.17799999999999999"/>
    <n v="0.10679999999999999"/>
    <n v="1"/>
    <n v="0.61243323981863296"/>
    <m/>
    <n v="135829"/>
    <x v="20"/>
    <x v="136"/>
    <s v="PC+50%PCR LUPOY ER1004N BC90513+_x000a_BASF TPU 60A ELASTOLLAN  SP9324 BLACK"/>
    <m/>
    <n v="3.2709999999999999"/>
    <s v=" Ruicheng"/>
    <m/>
    <n v="0"/>
    <x v="64"/>
    <n v="0"/>
    <n v="0"/>
    <m/>
  </r>
  <r>
    <x v="5"/>
    <s v="HP"/>
    <s v="Button Bracket"/>
    <n v="23480202011"/>
    <s v="JEE"/>
    <s v="X3 Core"/>
    <s v="Plastic"/>
    <x v="1"/>
    <x v="4"/>
    <d v="2024-10-25T00:00:00"/>
    <n v="0.5"/>
    <n v="0.29378086188436198"/>
    <n v="0.41711419521769499"/>
    <n v="0.123333333333333"/>
    <n v="6.1666666666666502E-2"/>
    <n v="1"/>
    <n v="0.29378086188436198"/>
    <m/>
    <n v="124445"/>
    <x v="21"/>
    <x v="113"/>
    <s v="PC+50%PCR LUPOY ER1004N BC90513 black"/>
    <m/>
    <n v="1.7749999999999999"/>
    <s v=" Ruicheng"/>
    <m/>
    <n v="0"/>
    <x v="64"/>
    <n v="0"/>
    <n v="0"/>
    <m/>
  </r>
  <r>
    <x v="5"/>
    <s v="HP"/>
    <s v="Button"/>
    <n v="23480202017"/>
    <s v="JEE"/>
    <s v="X3 Core"/>
    <s v="Plastic"/>
    <x v="1"/>
    <x v="4"/>
    <d v="2024-10-25T00:00:00"/>
    <n v="0.5"/>
    <n v="1.0628666666666668"/>
    <n v="1.1322000000000001"/>
    <n v="6.9333333333333302E-2"/>
    <n v="3.4666666666666651E-2"/>
    <n v="1"/>
    <n v="1.0628666666666668"/>
    <n v="50670"/>
    <n v="71270"/>
    <x v="22"/>
    <x v="149"/>
    <s v="LUPOY ER1000MA E6098_x000a_"/>
    <m/>
    <n v="2.3839999999999999"/>
    <s v=" Ruicheng"/>
    <s v="Painting"/>
    <n v="0.7964"/>
    <x v="172"/>
    <n v="40353.588000000003"/>
    <n v="120.79728"/>
    <m/>
  </r>
  <r>
    <x v="5"/>
    <s v="HP"/>
    <s v="Light guide"/>
    <n v="23480202018"/>
    <s v="JEE"/>
    <s v="X3 Core"/>
    <s v="Plastic"/>
    <x v="1"/>
    <x v="4"/>
    <d v="2024-10-25T00:00:00"/>
    <n v="0.4"/>
    <n v="0.41382922267354705"/>
    <n v="0.54316255600688002"/>
    <n v="0.12933333333333299"/>
    <n v="5.1733333333333201E-2"/>
    <n v="1"/>
    <n v="0.41382922267354705"/>
    <m/>
    <n v="7830"/>
    <x v="23"/>
    <x v="138"/>
    <s v="PC:LG LUPOY GP1000M  透明（1st shot) _x000a_BASF TPU 60A ELASTOLLAN  SP9324 BLACK（2nd shot)_x000a_"/>
    <m/>
    <n v="3.673"/>
    <s v=" Ruicheng"/>
    <m/>
    <n v="0"/>
    <x v="64"/>
    <n v="0"/>
    <n v="0"/>
    <m/>
  </r>
  <r>
    <x v="4"/>
    <s v="HP"/>
    <s v="Botton cover"/>
    <n v="22150202014"/>
    <s v="JEE"/>
    <s v="X3 Pro/unibody/Core"/>
    <s v="Plastic"/>
    <x v="1"/>
    <x v="5"/>
    <d v="2024-10-25T00:00:00"/>
    <n v="0.4"/>
    <n v="2.3161999999999998"/>
    <n v="2.3536999999999999"/>
    <n v="3.7499999999999999E-2"/>
    <n v="1.4999999999999999E-2"/>
    <n v="1"/>
    <n v="2.3161999999999998"/>
    <n v="329582"/>
    <n v="1389413"/>
    <x v="12"/>
    <x v="150"/>
    <s v="RTP 299 AX 152528（PA+GF）(panting(5 color))"/>
    <m/>
    <n v="1.5549999999999999"/>
    <s v=" Ruicheng"/>
    <s v="Painting"/>
    <n v="1.9422999999999999"/>
    <x v="173"/>
    <n v="640147.11859999993"/>
    <n v="512.50000999999997"/>
    <m/>
  </r>
  <r>
    <x v="4"/>
    <s v="HP"/>
    <s v="Cleanout door"/>
    <n v="22150202015"/>
    <s v="JEE"/>
    <s v="X3 Pro/unibody/Core"/>
    <s v="Plastic"/>
    <x v="1"/>
    <x v="5"/>
    <d v="2024-10-25T00:00:00"/>
    <n v="0.6"/>
    <n v="1.5443588135792305"/>
    <n v="1.6338826231030401"/>
    <n v="8.9523809523809506E-2"/>
    <n v="5.3714285714285701E-2"/>
    <n v="1"/>
    <n v="1.5443588135792305"/>
    <n v="148764"/>
    <n v="833085"/>
    <x v="13"/>
    <x v="151"/>
    <s v="PC:LG LUPOY SC1004L(panting(5 color))+_x000a_TPU:BASF ELASTONLLAN 1190A"/>
    <m/>
    <n v="1.7450000000000001"/>
    <s v=" Ruicheng"/>
    <s v="Painting"/>
    <n v="1.1437999999999999"/>
    <x v="174"/>
    <n v="170156.26319999999"/>
    <n v="259.59318000000002"/>
    <m/>
  </r>
  <r>
    <x v="4"/>
    <s v="HP"/>
    <s v="Button"/>
    <n v="22150202010"/>
    <s v="JEE"/>
    <s v="X3 Pro/unibody"/>
    <s v="Plastic"/>
    <x v="1"/>
    <x v="5"/>
    <d v="2024-10-25T00:00:00"/>
    <n v="0.4"/>
    <n v="0.91622499999999985"/>
    <n v="1.1620999999999999"/>
    <n v="0.24587500000000001"/>
    <n v="9.8350000000000007E-2"/>
    <n v="1"/>
    <n v="0.91622499999999985"/>
    <n v="329858"/>
    <n v="1264866"/>
    <x v="14"/>
    <x v="152"/>
    <s v="PC:LG LUPOY SC1004L-Colored"/>
    <m/>
    <n v="0.57899999999999996"/>
    <s v=" Ruicheng"/>
    <s v="Painting"/>
    <n v="0.75590000000000002"/>
    <x v="175"/>
    <n v="249339.66219999999"/>
    <n v="190.98778199999998"/>
    <m/>
  </r>
  <r>
    <x v="4"/>
    <s v="HP"/>
    <s v="Crown Support"/>
    <n v="22150202008"/>
    <s v="JEE"/>
    <s v="X3 Pro"/>
    <s v="Plastic"/>
    <x v="1"/>
    <x v="5"/>
    <d v="2024-10-25T00:00:00"/>
    <n v="0.5"/>
    <n v="0.1278"/>
    <n v="0.15579999999999999"/>
    <n v="2.8000000000000001E-2"/>
    <n v="1.4E-2"/>
    <n v="1"/>
    <n v="0.1278"/>
    <n v="98000"/>
    <n v="1094157"/>
    <x v="15"/>
    <x v="153"/>
    <s v="POM C9021 black"/>
    <m/>
    <n v="0.76300000000000001"/>
    <s v=" Ruicheng"/>
    <m/>
    <n v="0"/>
    <x v="176"/>
    <n v="0"/>
    <n v="74.774000000000001"/>
    <m/>
  </r>
  <r>
    <x v="4"/>
    <s v="HP"/>
    <s v="Connector frame"/>
    <n v="22150202017"/>
    <s v="JEE"/>
    <s v="X3 Pro"/>
    <s v="Plastic"/>
    <x v="1"/>
    <x v="5"/>
    <d v="2024-10-25T00:00:00"/>
    <n v="0.4"/>
    <n v="0.17249999999999999"/>
    <n v="0.41749999999999998"/>
    <n v="0.245"/>
    <n v="9.8000000000000004E-2"/>
    <n v="1"/>
    <n v="0.17249999999999999"/>
    <n v="84600"/>
    <n v="866237"/>
    <x v="9"/>
    <x v="154"/>
    <s v="PC(PCR):LUPOY ER1000MA_RC00101"/>
    <m/>
    <n v="1.173"/>
    <s v=" Ruicheng"/>
    <m/>
    <n v="0"/>
    <x v="177"/>
    <n v="0"/>
    <n v="99.235799999999998"/>
    <m/>
  </r>
  <r>
    <x v="4"/>
    <s v="HP"/>
    <s v="Spin Wheel"/>
    <n v="22150202009"/>
    <s v="JEE"/>
    <s v="X3 Pro/unibody/Core"/>
    <s v="Plastic"/>
    <x v="1"/>
    <x v="5"/>
    <d v="2024-10-25T00:00:00"/>
    <n v="0.5"/>
    <n v="0.1285"/>
    <n v="0.1565"/>
    <n v="2.8000000000000001E-2"/>
    <n v="1.4E-2"/>
    <n v="1"/>
    <n v="0.1285"/>
    <n v="341480"/>
    <n v="1156940"/>
    <x v="9"/>
    <x v="155"/>
    <s v="PC:LG LUPOY SC1004L-Colored"/>
    <m/>
    <n v="0.69499999999999995"/>
    <s v=" Ruicheng"/>
    <m/>
    <n v="0"/>
    <x v="178"/>
    <n v="0"/>
    <n v="237.32859999999997"/>
    <m/>
  </r>
  <r>
    <x v="4"/>
    <s v="HP"/>
    <s v="Display bracket"/>
    <n v="22150202021"/>
    <s v="JEE"/>
    <s v="X3 Pro/unibody/Core"/>
    <s v="Plastic"/>
    <x v="1"/>
    <x v="5"/>
    <d v="2024-10-25T00:00:00"/>
    <n v="0.6"/>
    <n v="2.5637000000000003"/>
    <n v="2.8972000000000002"/>
    <n v="0.33350000000000002"/>
    <n v="0.2001"/>
    <n v="1"/>
    <n v="2.5637000000000003"/>
    <n v="161203"/>
    <n v="1643804"/>
    <x v="16"/>
    <x v="156"/>
    <s v="PC  PCRLUPOY GP1000MA BC90515 40%半透黑"/>
    <m/>
    <n v="3.4089999999999998"/>
    <s v=" Ruicheng"/>
    <s v="Painting"/>
    <n v="1.7574000000000001"/>
    <x v="179"/>
    <n v="283298.15220000001"/>
    <n v="549.54102699999999"/>
    <m/>
  </r>
  <r>
    <x v="4"/>
    <s v="HP"/>
    <s v=" PCBA Bracket "/>
    <n v="22150202018"/>
    <s v="JEE"/>
    <s v="X3 Pro/unibody/Core"/>
    <s v="Plastic"/>
    <x v="1"/>
    <x v="5"/>
    <d v="2024-10-25T00:00:00"/>
    <n v="0.4"/>
    <n v="0.1608"/>
    <n v="0.1958"/>
    <n v="3.5000000000000003E-2"/>
    <n v="1.4000000000000002E-2"/>
    <n v="1"/>
    <n v="0.1608"/>
    <n v="283140"/>
    <n v="1416226"/>
    <x v="9"/>
    <x v="157"/>
    <s v="PC+50%PCR LUPOY ER1004N BC90513 black"/>
    <m/>
    <n v="1.117"/>
    <s v=" Ruicheng"/>
    <m/>
    <n v="0"/>
    <x v="180"/>
    <n v="0"/>
    <n v="316.26738"/>
    <m/>
  </r>
  <r>
    <x v="4"/>
    <s v="HP"/>
    <s v=" Shut Door"/>
    <n v="22150202007"/>
    <s v="JEE"/>
    <s v="X3 Hyper Pro/uinbody pro/core"/>
    <s v="Plastic"/>
    <x v="1"/>
    <x v="5"/>
    <d v="2024-10-25T00:00:00"/>
    <n v="0.5"/>
    <n v="0.1227571428571429"/>
    <n v="0.16"/>
    <n v="3.7242857142857098E-2"/>
    <n v="1.8621428571428549E-2"/>
    <n v="1"/>
    <n v="0.1227571428571429"/>
    <n v="336600"/>
    <n v="1831024"/>
    <x v="17"/>
    <x v="158"/>
    <s v="POM C9021 black"/>
    <m/>
    <n v="0.52400000000000002"/>
    <s v=" Ruicheng"/>
    <m/>
    <n v="0"/>
    <x v="156"/>
    <n v="0"/>
    <n v="176.3784"/>
    <m/>
  </r>
  <r>
    <x v="5"/>
    <s v="HP"/>
    <s v="Crown Support"/>
    <n v="23590202001"/>
    <s v="JEE"/>
    <s v="X3 uinbody /core"/>
    <s v="Plastic"/>
    <x v="1"/>
    <x v="5"/>
    <d v="2024-10-25T00:00:00"/>
    <n v="0.5"/>
    <n v="0.125588670602168"/>
    <n v="0.15358867060216799"/>
    <n v="2.8000000000000001E-2"/>
    <n v="1.4E-2"/>
    <n v="1"/>
    <n v="0.125588670602168"/>
    <n v="396000"/>
    <n v="884430"/>
    <x v="9"/>
    <x v="159"/>
    <s v="PC LG LUPOY SC1004L"/>
    <m/>
    <n v="0.69499999999999995"/>
    <s v=" Ruicheng"/>
    <m/>
    <n v="0"/>
    <x v="181"/>
    <n v="0"/>
    <n v="275.22000000000003"/>
    <m/>
  </r>
  <r>
    <x v="5"/>
    <s v="HP"/>
    <s v="Connector frame"/>
    <n v="23480202015"/>
    <s v="JEE"/>
    <s v="X3 Hyper core/unibody"/>
    <s v="Plastic"/>
    <x v="1"/>
    <x v="5"/>
    <d v="2024-10-25T00:00:00"/>
    <n v="0.4"/>
    <n v="0.27566008648311169"/>
    <n v="0.353993419816445"/>
    <n v="7.8333333333333297E-2"/>
    <n v="3.1333333333333317E-2"/>
    <n v="1"/>
    <n v="0.27566008648311169"/>
    <n v="146880"/>
    <n v="508636"/>
    <x v="18"/>
    <x v="160"/>
    <s v="PC+50%PCR LUPOY ER1000MA BC90515 （80%）_x000a_透光"/>
    <m/>
    <n v="1.722"/>
    <s v=" Ruicheng"/>
    <m/>
    <n v="0"/>
    <x v="182"/>
    <n v="0"/>
    <n v="252.92735999999999"/>
    <m/>
  </r>
  <r>
    <x v="5"/>
    <s v="HP"/>
    <s v="Battery carrier"/>
    <n v="23480202012"/>
    <s v="JEE"/>
    <s v="X3 Core"/>
    <s v="Plastic"/>
    <x v="1"/>
    <x v="5"/>
    <d v="2024-10-25T00:00:00"/>
    <n v="0.4"/>
    <n v="0.80865388388102988"/>
    <n v="1.0756538838810299"/>
    <n v="0.26700000000000002"/>
    <n v="0.10680000000000001"/>
    <n v="1"/>
    <n v="0.80865388388102988"/>
    <n v="100959"/>
    <n v="177079"/>
    <x v="19"/>
    <x v="161"/>
    <s v="PC+75%PCR LUPOY ER1006FZ BC90513"/>
    <m/>
    <n v="5.7469999999999999"/>
    <s v=" Ruicheng"/>
    <m/>
    <n v="0"/>
    <x v="183"/>
    <n v="0"/>
    <n v="580.21137299999998"/>
    <m/>
  </r>
  <r>
    <x v="5"/>
    <s v="HP"/>
    <s v="Shutter Door Support"/>
    <n v="23480202005"/>
    <s v="JEE"/>
    <s v="X3 uinbody pro/core"/>
    <s v="Plastic"/>
    <x v="1"/>
    <x v="5"/>
    <d v="2024-10-25T00:00:00"/>
    <n v="0.6"/>
    <n v="0.61243323981863296"/>
    <n v="0.790433239818633"/>
    <n v="0.17799999999999999"/>
    <n v="0.10679999999999999"/>
    <n v="1"/>
    <n v="0.61243323981863296"/>
    <n v="175398"/>
    <n v="311227"/>
    <x v="20"/>
    <x v="162"/>
    <s v="PC+50%PCR LUPOY ER1004N BC90513+_x000a_BASF TPU 60A ELASTOLLAN  SP9324 BLACK"/>
    <m/>
    <n v="3.2709999999999999"/>
    <s v=" Ruicheng"/>
    <m/>
    <n v="0"/>
    <x v="184"/>
    <n v="0"/>
    <n v="573.72685799999999"/>
    <m/>
  </r>
  <r>
    <x v="5"/>
    <s v="HP"/>
    <s v="Button Bracket"/>
    <n v="23480202011"/>
    <s v="JEE"/>
    <s v="X3 Core"/>
    <s v="Plastic"/>
    <x v="1"/>
    <x v="5"/>
    <d v="2024-10-25T00:00:00"/>
    <n v="0.5"/>
    <n v="0.29378086188436198"/>
    <n v="0.41711419521769499"/>
    <n v="0.123333333333333"/>
    <n v="6.1666666666666502E-2"/>
    <n v="1"/>
    <n v="0.29378086188436198"/>
    <n v="266955"/>
    <n v="391400"/>
    <x v="21"/>
    <x v="163"/>
    <s v="PC+50%PCR LUPOY ER1004N BC90513 black"/>
    <m/>
    <n v="1.7749999999999999"/>
    <s v=" Ruicheng"/>
    <m/>
    <n v="0"/>
    <x v="185"/>
    <n v="0"/>
    <n v="473.845125"/>
    <m/>
  </r>
  <r>
    <x v="5"/>
    <s v="HP"/>
    <s v="Button"/>
    <n v="23480202017"/>
    <s v="JEE"/>
    <s v="X3 Core"/>
    <s v="Plastic"/>
    <x v="1"/>
    <x v="5"/>
    <d v="2024-10-25T00:00:00"/>
    <n v="0.5"/>
    <n v="1.0628666666666668"/>
    <n v="1.1322000000000001"/>
    <n v="6.9333333333333302E-2"/>
    <n v="3.4666666666666651E-2"/>
    <n v="1"/>
    <n v="1.0628666666666668"/>
    <n v="46834"/>
    <n v="118104"/>
    <x v="22"/>
    <x v="164"/>
    <s v="LUPOY ER1000MA E6098_x000a_"/>
    <m/>
    <n v="2.3839999999999999"/>
    <s v=" Ruicheng"/>
    <s v="Painting"/>
    <n v="0.7964"/>
    <x v="186"/>
    <n v="37298.597600000001"/>
    <n v="111.65225599999999"/>
    <m/>
  </r>
  <r>
    <x v="5"/>
    <s v="HP"/>
    <s v="Light guide"/>
    <n v="23480202018"/>
    <s v="JEE"/>
    <s v="X3 Core"/>
    <s v="Plastic"/>
    <x v="1"/>
    <x v="5"/>
    <d v="2024-10-25T00:00:00"/>
    <n v="0.4"/>
    <n v="0.41382922267354705"/>
    <n v="0.54316255600688002"/>
    <n v="0.12933333333333299"/>
    <n v="5.1733333333333201E-2"/>
    <n v="1"/>
    <n v="0.41382922267354705"/>
    <n v="85135"/>
    <n v="92965"/>
    <x v="23"/>
    <x v="165"/>
    <s v="PC:LG LUPOY GP1000M  透明（1st shot) _x000a_BASF TPU 60A ELASTOLLAN  SP9324 BLACK（2nd shot)_x000a_"/>
    <m/>
    <n v="3.673"/>
    <s v=" Ruicheng"/>
    <m/>
    <n v="0"/>
    <x v="187"/>
    <n v="0"/>
    <n v="312.70085499999999"/>
    <m/>
  </r>
  <r>
    <x v="4"/>
    <s v="HP"/>
    <s v="Botton cover"/>
    <n v="22150202014"/>
    <s v="JEE"/>
    <s v="X3 Pro/unibody/Core"/>
    <s v="Plastic"/>
    <x v="1"/>
    <x v="6"/>
    <d v="2024-10-25T00:00:00"/>
    <n v="0.4"/>
    <n v="2.1794787761879197"/>
    <n v="2.2169787761879198"/>
    <n v="3.7499999999999999E-2"/>
    <n v="1.4999999999999999E-2"/>
    <n v="1"/>
    <n v="2.1794787761879197"/>
    <n v="272758"/>
    <n v="1662171"/>
    <x v="12"/>
    <x v="166"/>
    <s v="RTP 299 AX 152528（PA+GF）(panting(5 color))"/>
    <m/>
    <n v="1.5549999999999999"/>
    <s v=" Ruicheng"/>
    <s v="Painting"/>
    <n v="1.9422999999999999"/>
    <x v="188"/>
    <n v="529777.86340000003"/>
    <n v="424.13869"/>
    <m/>
  </r>
  <r>
    <x v="4"/>
    <s v="HP"/>
    <s v="Cleanout door"/>
    <n v="22150202015"/>
    <s v="JEE"/>
    <s v="X3 Pro/unibody/Core"/>
    <s v="Plastic"/>
    <x v="1"/>
    <x v="6"/>
    <d v="2024-10-25T00:00:00"/>
    <n v="0.6"/>
    <n v="1.4527937685216004"/>
    <n v="1.5423175780454099"/>
    <n v="8.9523809523809506E-2"/>
    <n v="5.3714285714285701E-2"/>
    <n v="1"/>
    <n v="1.4527937685216004"/>
    <n v="288112"/>
    <n v="1121197"/>
    <x v="13"/>
    <x v="167"/>
    <s v="PC:LG LUPOY SC1004L(panting(5 color))+_x000a_TPU:BASF ELASTONLLAN 1190A"/>
    <m/>
    <n v="1.7450000000000001"/>
    <s v=" Ruicheng"/>
    <s v="Painting"/>
    <n v="1.1437999999999999"/>
    <x v="189"/>
    <n v="329542.50559999997"/>
    <n v="502.75544000000002"/>
    <m/>
  </r>
  <r>
    <x v="4"/>
    <s v="HP"/>
    <s v="Button"/>
    <n v="22150202010"/>
    <s v="JEE"/>
    <s v="X3 Pro/unibody"/>
    <s v="Plastic"/>
    <x v="1"/>
    <x v="6"/>
    <d v="2024-10-25T00:00:00"/>
    <n v="0.4"/>
    <n v="0.88729025889115998"/>
    <n v="1.13316525889116"/>
    <n v="0.24587500000000001"/>
    <n v="9.8350000000000007E-2"/>
    <n v="1"/>
    <n v="0.88729025889115998"/>
    <n v="79930"/>
    <n v="1344796"/>
    <x v="14"/>
    <x v="168"/>
    <s v="PC:LG LUPOY SC1004L-Colored"/>
    <m/>
    <n v="0.57899999999999996"/>
    <s v=" Ruicheng"/>
    <s v="Painting"/>
    <n v="0.75590000000000002"/>
    <x v="190"/>
    <n v="60419.087"/>
    <n v="46.279469999999996"/>
    <m/>
  </r>
  <r>
    <x v="4"/>
    <s v="HP"/>
    <s v="Crown Support"/>
    <n v="22150202008"/>
    <s v="JEE"/>
    <s v="X3 Pro"/>
    <s v="Plastic"/>
    <x v="1"/>
    <x v="6"/>
    <d v="2024-10-25T00:00:00"/>
    <n v="0.5"/>
    <n v="0.1278"/>
    <n v="0.15579999999999999"/>
    <n v="2.8000000000000001E-2"/>
    <n v="1.4E-2"/>
    <n v="1"/>
    <n v="0.1278"/>
    <n v="22000"/>
    <n v="1116157"/>
    <x v="15"/>
    <x v="169"/>
    <s v="POM C9021 black"/>
    <m/>
    <n v="0.76300000000000001"/>
    <s v=" Ruicheng"/>
    <m/>
    <n v="0"/>
    <x v="191"/>
    <n v="0"/>
    <n v="16.786000000000001"/>
    <m/>
  </r>
  <r>
    <x v="4"/>
    <s v="HP"/>
    <s v="Connector frame"/>
    <n v="22150202017"/>
    <s v="JEE"/>
    <s v="X3 Pro"/>
    <s v="Plastic"/>
    <x v="1"/>
    <x v="6"/>
    <d v="2024-10-25T00:00:00"/>
    <n v="0.4"/>
    <n v="0.17249999999999999"/>
    <n v="0.41749999999999998"/>
    <n v="0.245"/>
    <n v="9.8000000000000004E-2"/>
    <n v="1"/>
    <n v="0.17249999999999999"/>
    <n v="0"/>
    <n v="866237"/>
    <x v="9"/>
    <x v="154"/>
    <s v="PC(PCR):LUPOY ER1000MA_RC00101"/>
    <m/>
    <n v="1.173"/>
    <s v=" Ruicheng"/>
    <m/>
    <n v="0"/>
    <x v="64"/>
    <n v="0"/>
    <n v="0"/>
    <m/>
  </r>
  <r>
    <x v="4"/>
    <s v="HP"/>
    <s v="Spin Wheel"/>
    <n v="22150202009"/>
    <s v="JEE"/>
    <s v="X3 Pro/unibody/Core"/>
    <s v="Plastic"/>
    <x v="1"/>
    <x v="6"/>
    <d v="2024-10-25T00:00:00"/>
    <n v="0.5"/>
    <n v="0.1285"/>
    <n v="0.1565"/>
    <n v="2.8000000000000001E-2"/>
    <n v="1.4E-2"/>
    <n v="1"/>
    <n v="0.1285"/>
    <n v="537000"/>
    <n v="1693940"/>
    <x v="9"/>
    <x v="170"/>
    <s v="PC:LG LUPOY SC1004L-Colored"/>
    <m/>
    <n v="0.69499999999999995"/>
    <s v=" Ruicheng"/>
    <m/>
    <n v="0"/>
    <x v="192"/>
    <n v="0"/>
    <n v="373.21499999999997"/>
    <m/>
  </r>
  <r>
    <x v="4"/>
    <s v="HP"/>
    <s v="Display bracket"/>
    <n v="22150202021"/>
    <s v="JEE"/>
    <s v="X3 Pro/unibody/Core"/>
    <s v="Plastic"/>
    <x v="1"/>
    <x v="6"/>
    <d v="2024-10-25T00:00:00"/>
    <n v="0.6"/>
    <n v="2.4183227149358402"/>
    <n v="2.7518227149358401"/>
    <n v="0.33350000000000002"/>
    <n v="0.2001"/>
    <n v="1"/>
    <n v="2.4183227149358402"/>
    <n v="201683"/>
    <n v="1845487"/>
    <x v="16"/>
    <x v="171"/>
    <s v="PC  PCRLUPOY GP1000MA BC90515 40%半透黑"/>
    <m/>
    <n v="3.4089999999999998"/>
    <s v=" Ruicheng"/>
    <s v="Painting"/>
    <n v="1.7574000000000001"/>
    <x v="193"/>
    <n v="354437.70420000004"/>
    <n v="687.53734699999995"/>
    <m/>
  </r>
  <r>
    <x v="4"/>
    <s v="HP"/>
    <s v=" PCBA Bracket "/>
    <n v="22150202018"/>
    <s v="JEE"/>
    <s v="X3 Pro/unibody/Core"/>
    <s v="Plastic"/>
    <x v="1"/>
    <x v="6"/>
    <d v="2024-10-25T00:00:00"/>
    <n v="0.4"/>
    <n v="0.1608"/>
    <n v="0.1958"/>
    <n v="3.5000000000000003E-2"/>
    <n v="1.4000000000000002E-2"/>
    <n v="1"/>
    <n v="0.1608"/>
    <n v="326700"/>
    <n v="1742926"/>
    <x v="9"/>
    <x v="172"/>
    <s v="PC+50%PCR LUPOY ER1004N BC90513 black"/>
    <m/>
    <n v="1.117"/>
    <s v=" Ruicheng"/>
    <m/>
    <n v="0"/>
    <x v="194"/>
    <n v="0"/>
    <n v="364.9239"/>
    <m/>
  </r>
  <r>
    <x v="4"/>
    <s v="HP"/>
    <s v=" Shut Door"/>
    <n v="22150202007"/>
    <s v="JEE"/>
    <s v="X3 Hyper Pro/uinbody pro/core"/>
    <s v="Plastic"/>
    <x v="1"/>
    <x v="6"/>
    <d v="2024-10-25T00:00:00"/>
    <n v="0.5"/>
    <n v="0.1227571428571429"/>
    <n v="0.16"/>
    <n v="3.7242857142857098E-2"/>
    <n v="1.8621428571428549E-2"/>
    <n v="1"/>
    <n v="0.1227571428571429"/>
    <n v="397800"/>
    <n v="2228824"/>
    <x v="17"/>
    <x v="173"/>
    <s v="POM C9021 black"/>
    <m/>
    <n v="0.52400000000000002"/>
    <s v=" Ruicheng"/>
    <m/>
    <n v="0"/>
    <x v="195"/>
    <n v="0"/>
    <n v="208.44720000000001"/>
    <m/>
  </r>
  <r>
    <x v="5"/>
    <s v="HP"/>
    <s v="Crown Support"/>
    <n v="23590202001"/>
    <s v="JEE"/>
    <s v="X3 uinbody /core"/>
    <s v="Plastic"/>
    <x v="1"/>
    <x v="6"/>
    <d v="2024-10-25T00:00:00"/>
    <n v="0.5"/>
    <n v="0.125588670602168"/>
    <n v="0.15358867060216799"/>
    <n v="2.8000000000000001E-2"/>
    <n v="1.4E-2"/>
    <n v="1"/>
    <n v="0.125588670602168"/>
    <n v="348000"/>
    <n v="1232430"/>
    <x v="9"/>
    <x v="174"/>
    <s v="PC LG LUPOY SC1004L"/>
    <m/>
    <n v="0.69499999999999995"/>
    <s v=" Ruicheng"/>
    <m/>
    <n v="0"/>
    <x v="196"/>
    <n v="0"/>
    <n v="241.85999999999996"/>
    <m/>
  </r>
  <r>
    <x v="5"/>
    <s v="HP"/>
    <s v="Connector frame"/>
    <n v="23480202015"/>
    <s v="JEE"/>
    <s v="X3 Hyper core/unibody"/>
    <s v="Plastic"/>
    <x v="1"/>
    <x v="6"/>
    <d v="2024-10-25T00:00:00"/>
    <n v="0.4"/>
    <n v="0.27566008648311169"/>
    <n v="0.353993419816445"/>
    <n v="7.8333333333333297E-2"/>
    <n v="3.1333333333333317E-2"/>
    <n v="1"/>
    <n v="0.27566008648311169"/>
    <n v="270540"/>
    <n v="779176"/>
    <x v="18"/>
    <x v="175"/>
    <s v="PC+50%PCR LUPOY ER1000MA BC90515 （80%）_x000a_透光"/>
    <m/>
    <n v="1.722"/>
    <s v=" Ruicheng"/>
    <m/>
    <n v="0"/>
    <x v="197"/>
    <n v="0"/>
    <n v="465.86988000000002"/>
    <m/>
  </r>
  <r>
    <x v="5"/>
    <s v="HP"/>
    <s v="Battery carrier"/>
    <n v="23480202012"/>
    <s v="JEE"/>
    <s v="X3 Core"/>
    <s v="Plastic"/>
    <x v="1"/>
    <x v="6"/>
    <d v="2024-10-25T00:00:00"/>
    <n v="0.4"/>
    <n v="0.80865388388102988"/>
    <n v="1.0756538838810299"/>
    <n v="0.26700000000000002"/>
    <n v="0.10680000000000001"/>
    <n v="1"/>
    <n v="0.80865388388102988"/>
    <n v="256927"/>
    <n v="434006"/>
    <x v="19"/>
    <x v="176"/>
    <s v="PC+75%PCR LUPOY ER1006FZ BC90513"/>
    <m/>
    <n v="5.7469999999999999"/>
    <s v=" Ruicheng"/>
    <m/>
    <n v="0"/>
    <x v="198"/>
    <n v="0"/>
    <n v="1476.559469"/>
    <m/>
  </r>
  <r>
    <x v="5"/>
    <s v="HP"/>
    <s v="Shutter Door Support"/>
    <n v="23480202005"/>
    <s v="JEE"/>
    <s v="X3 uinbody pro/core"/>
    <s v="Plastic"/>
    <x v="1"/>
    <x v="6"/>
    <d v="2024-10-25T00:00:00"/>
    <n v="0.6"/>
    <n v="0.61243323981863296"/>
    <n v="0.790433239818633"/>
    <n v="0.17799999999999999"/>
    <n v="0.10679999999999999"/>
    <n v="1"/>
    <n v="0.61243323981863296"/>
    <n v="280720"/>
    <n v="591947"/>
    <x v="20"/>
    <x v="177"/>
    <s v="PC+50%PCR LUPOY ER1004N BC90513+_x000a_BASF TPU 60A ELASTOLLAN  SP9324 BLACK"/>
    <m/>
    <n v="3.2709999999999999"/>
    <s v=" Ruicheng"/>
    <m/>
    <n v="0"/>
    <x v="199"/>
    <n v="0"/>
    <n v="918.23512000000005"/>
    <m/>
  </r>
  <r>
    <x v="5"/>
    <s v="HP"/>
    <s v="Button Bracket"/>
    <n v="23480202011"/>
    <s v="JEE"/>
    <s v="X3 Core"/>
    <s v="Plastic"/>
    <x v="1"/>
    <x v="6"/>
    <d v="2024-10-25T00:00:00"/>
    <n v="0.5"/>
    <n v="0.29378086188436198"/>
    <n v="0.41711419521769499"/>
    <n v="0.123333333333333"/>
    <n v="6.1666666666666502E-2"/>
    <n v="1"/>
    <n v="0.29378086188436198"/>
    <n v="215335"/>
    <n v="606735"/>
    <x v="21"/>
    <x v="178"/>
    <s v="PC+50%PCR LUPOY ER1004N BC90513 black"/>
    <m/>
    <n v="1.7749999999999999"/>
    <s v=" Ruicheng"/>
    <m/>
    <n v="0"/>
    <x v="200"/>
    <n v="0"/>
    <n v="382.21962500000001"/>
    <m/>
  </r>
  <r>
    <x v="5"/>
    <s v="HP"/>
    <s v="Button"/>
    <n v="23480202017"/>
    <s v="JEE"/>
    <s v="X3 Core"/>
    <s v="Plastic"/>
    <x v="1"/>
    <x v="6"/>
    <d v="2024-10-25T00:00:00"/>
    <n v="0.5"/>
    <n v="1.0628666666666668"/>
    <n v="1.1322000000000001"/>
    <n v="6.9333333333333302E-2"/>
    <n v="3.4666666666666651E-2"/>
    <n v="1"/>
    <n v="1.0628666666666668"/>
    <n v="253803"/>
    <n v="371907"/>
    <x v="22"/>
    <x v="179"/>
    <s v="LUPOY ER1000MA E6098_x000a_"/>
    <m/>
    <n v="2.3839999999999999"/>
    <s v=" Ruicheng"/>
    <s v="Painting"/>
    <n v="0.7964"/>
    <x v="201"/>
    <n v="202128.70920000001"/>
    <n v="605.06635199999994"/>
    <m/>
  </r>
  <r>
    <x v="5"/>
    <s v="HP"/>
    <s v="Light guide"/>
    <n v="23480202018"/>
    <s v="JEE"/>
    <s v="X3 Core"/>
    <s v="Plastic"/>
    <x v="1"/>
    <x v="6"/>
    <d v="2024-10-25T00:00:00"/>
    <n v="0.4"/>
    <n v="0.41382922267354705"/>
    <n v="0.54316255600688002"/>
    <n v="0.12933333333333299"/>
    <n v="5.1733333333333201E-2"/>
    <n v="1"/>
    <n v="0.41382922267354705"/>
    <n v="91870"/>
    <n v="184835"/>
    <x v="23"/>
    <x v="180"/>
    <s v="PC:LG LUPOY GP1000M  透明（1st shot) _x000a_BASF TPU 60A ELASTOLLAN  SP9324 BLACK（2nd shot)_x000a_"/>
    <m/>
    <n v="3.673"/>
    <s v=" Ruicheng"/>
    <m/>
    <n v="0"/>
    <x v="202"/>
    <n v="0"/>
    <n v="337.43851000000001"/>
    <m/>
  </r>
  <r>
    <x v="4"/>
    <s v="HP"/>
    <s v="Botton cover"/>
    <n v="22150202014"/>
    <s v="JEE"/>
    <s v="X3 Pro/unibody/Core"/>
    <s v="Plastic"/>
    <x v="1"/>
    <x v="7"/>
    <d v="2024-10-25T00:00:00"/>
    <n v="0.4"/>
    <n v="2.3161999999999998"/>
    <n v="2.2169787761879198"/>
    <n v="0"/>
    <n v="0"/>
    <n v="1"/>
    <n v="2.3161999999999998"/>
    <n v="125070"/>
    <n v="1787241"/>
    <x v="12"/>
    <x v="166"/>
    <s v="RTP 299 AX 152528（PA+GF）(panting(5 color))"/>
    <m/>
    <n v="1.5549999999999999"/>
    <s v=" Ruicheng"/>
    <s v="Painting"/>
    <n v="1.9422999999999999"/>
    <x v="203"/>
    <n v="242923.46099999998"/>
    <n v="194.48385000000002"/>
    <m/>
  </r>
  <r>
    <x v="4"/>
    <s v="HP"/>
    <s v="Cleanout door"/>
    <n v="22150202015"/>
    <s v="JEE"/>
    <s v="X3 Pro/unibody/Core"/>
    <s v="Plastic"/>
    <x v="1"/>
    <x v="7"/>
    <d v="2024-10-25T00:00:00"/>
    <n v="0.6"/>
    <n v="1.5443588135792301"/>
    <n v="1.5423175780454099"/>
    <n v="0"/>
    <n v="0"/>
    <n v="1"/>
    <n v="1.5443588135792301"/>
    <n v="180404"/>
    <n v="1301601"/>
    <x v="13"/>
    <x v="181"/>
    <s v="PC:LG LUPOY SC1004L(panting(5 color))+_x000a_TPU:BASF ELASTONLLAN 1190A"/>
    <m/>
    <n v="1.7450000000000001"/>
    <s v=" Ruicheng"/>
    <s v="Painting"/>
    <n v="1.1437999999999999"/>
    <x v="204"/>
    <n v="206346.09519999998"/>
    <n v="314.80498000000006"/>
    <m/>
  </r>
  <r>
    <x v="4"/>
    <s v="HP"/>
    <s v="Button"/>
    <n v="22150202010"/>
    <s v="JEE"/>
    <s v="X3 Pro/unibody"/>
    <s v="Plastic"/>
    <x v="1"/>
    <x v="7"/>
    <d v="2024-10-25T00:00:00"/>
    <n v="0.4"/>
    <n v="0.91622499999999996"/>
    <n v="1.13316525889116"/>
    <n v="0"/>
    <n v="0"/>
    <n v="1"/>
    <n v="0.91622499999999996"/>
    <n v="120063"/>
    <n v="1464859"/>
    <x v="14"/>
    <x v="182"/>
    <s v="PC:LG LUPOY SC1004L-Colored"/>
    <m/>
    <n v="0.57899999999999996"/>
    <s v=" Ruicheng"/>
    <s v="Painting"/>
    <n v="0.75590000000000002"/>
    <x v="205"/>
    <n v="90755.621700000003"/>
    <n v="69.516476999999995"/>
    <m/>
  </r>
  <r>
    <x v="4"/>
    <s v="HP"/>
    <s v="Crown Support"/>
    <n v="22150202008"/>
    <s v="JEE"/>
    <s v="X3 Pro"/>
    <s v="Plastic"/>
    <x v="1"/>
    <x v="7"/>
    <d v="2024-10-25T00:00:00"/>
    <n v="0.5"/>
    <n v="0.1278"/>
    <n v="0.15579999999999999"/>
    <n v="0"/>
    <n v="0"/>
    <n v="1"/>
    <n v="0.1278"/>
    <n v="0"/>
    <n v="1116157"/>
    <x v="15"/>
    <x v="183"/>
    <s v="POM C9021 black"/>
    <m/>
    <n v="0.76300000000000001"/>
    <s v=" Ruicheng"/>
    <m/>
    <n v="0"/>
    <x v="64"/>
    <n v="0"/>
    <n v="0"/>
    <m/>
  </r>
  <r>
    <x v="4"/>
    <s v="HP"/>
    <s v="Connector frame"/>
    <n v="22150202017"/>
    <s v="JEE"/>
    <s v="X3 Pro"/>
    <s v="Plastic"/>
    <x v="1"/>
    <x v="7"/>
    <d v="2024-10-25T00:00:00"/>
    <n v="0.4"/>
    <n v="0.17249999999999999"/>
    <n v="0.41749999999999998"/>
    <n v="0"/>
    <n v="0"/>
    <n v="1"/>
    <n v="0.17249999999999999"/>
    <n v="43200"/>
    <n v="909437"/>
    <x v="9"/>
    <x v="154"/>
    <s v="PC(PCR):LUPOY ER1000MA_RC00101"/>
    <m/>
    <n v="1.173"/>
    <s v=" Ruicheng"/>
    <m/>
    <n v="0"/>
    <x v="165"/>
    <n v="0"/>
    <n v="50.6736"/>
    <m/>
  </r>
  <r>
    <x v="4"/>
    <s v="HP"/>
    <s v="Spin Wheel"/>
    <n v="22150202009"/>
    <s v="JEE"/>
    <s v="X3 Pro/unibody/Core"/>
    <s v="Plastic"/>
    <x v="1"/>
    <x v="7"/>
    <d v="2024-10-25T00:00:00"/>
    <n v="0.5"/>
    <n v="0.1285"/>
    <n v="0.1565"/>
    <n v="0"/>
    <n v="0"/>
    <n v="1"/>
    <n v="0.1285"/>
    <n v="132000"/>
    <n v="1825940"/>
    <x v="9"/>
    <x v="170"/>
    <s v="PC:LG LUPOY SC1004L-Colored"/>
    <m/>
    <n v="0.69499999999999995"/>
    <s v=" Ruicheng"/>
    <m/>
    <n v="0"/>
    <x v="206"/>
    <n v="0"/>
    <n v="91.74"/>
    <m/>
  </r>
  <r>
    <x v="4"/>
    <s v="HP"/>
    <s v="Display bracket"/>
    <n v="22150202021"/>
    <s v="JEE"/>
    <s v="X3 Pro/unibody/Core"/>
    <s v="Plastic"/>
    <x v="1"/>
    <x v="7"/>
    <d v="2024-10-25T00:00:00"/>
    <n v="0.6"/>
    <n v="2.5636999999999999"/>
    <n v="2.7518227149358401"/>
    <n v="0"/>
    <n v="0"/>
    <n v="1"/>
    <n v="2.5636999999999999"/>
    <n v="97200"/>
    <n v="1942687"/>
    <x v="16"/>
    <x v="184"/>
    <s v="PC  PCRLUPOY GP1000MA BC90515 40%半透黑"/>
    <m/>
    <n v="3.4089999999999998"/>
    <s v=" Ruicheng"/>
    <s v="Painting"/>
    <n v="1.7574000000000001"/>
    <x v="207"/>
    <n v="170819.28"/>
    <n v="331.35480000000001"/>
    <m/>
  </r>
  <r>
    <x v="4"/>
    <s v="HP"/>
    <s v=" PCBA Bracket "/>
    <n v="22150202018"/>
    <s v="JEE"/>
    <s v="X3 Pro/unibody/Core"/>
    <s v="Plastic"/>
    <x v="1"/>
    <x v="7"/>
    <d v="2024-10-25T00:00:00"/>
    <n v="0.4"/>
    <n v="0.1608"/>
    <n v="0.1958"/>
    <n v="0"/>
    <n v="0"/>
    <n v="1"/>
    <n v="0.1608"/>
    <n v="43560"/>
    <n v="1786486"/>
    <x v="9"/>
    <x v="172"/>
    <s v="PC+50%PCR LUPOY ER1004N BC90513 black"/>
    <m/>
    <n v="1.117"/>
    <s v=" Ruicheng"/>
    <m/>
    <n v="0"/>
    <x v="208"/>
    <n v="0"/>
    <n v="48.656519999999993"/>
    <m/>
  </r>
  <r>
    <x v="4"/>
    <s v="HP"/>
    <s v=" Shut Door"/>
    <n v="22150202007"/>
    <s v="JEE"/>
    <s v="X3 Hyper Pro/uinbody pro/core"/>
    <s v="Plastic"/>
    <x v="1"/>
    <x v="7"/>
    <d v="2024-10-25T00:00:00"/>
    <n v="0.5"/>
    <n v="0.122757142857143"/>
    <n v="0.16"/>
    <n v="0"/>
    <n v="0"/>
    <n v="1"/>
    <n v="0.122757142857143"/>
    <n v="153000"/>
    <n v="2381824"/>
    <x v="17"/>
    <x v="185"/>
    <s v="POM C9021 black"/>
    <m/>
    <n v="0.52400000000000002"/>
    <s v=" Ruicheng"/>
    <m/>
    <n v="0"/>
    <x v="209"/>
    <n v="0"/>
    <n v="80.171999999999997"/>
    <m/>
  </r>
  <r>
    <x v="5"/>
    <s v="HP"/>
    <s v="Crown Support"/>
    <n v="23590202001"/>
    <s v="JEE"/>
    <s v="X3 uinbody /core"/>
    <s v="Plastic"/>
    <x v="1"/>
    <x v="7"/>
    <d v="2024-10-25T00:00:00"/>
    <n v="0.5"/>
    <n v="0.125588670602168"/>
    <n v="0.15358867060216799"/>
    <n v="0"/>
    <n v="0"/>
    <n v="1"/>
    <n v="0.125588670602168"/>
    <n v="178500"/>
    <n v="1410930"/>
    <x v="9"/>
    <x v="174"/>
    <s v="PC LG LUPOY SC1004L"/>
    <m/>
    <n v="0.69499999999999995"/>
    <s v=" Ruicheng"/>
    <m/>
    <n v="0"/>
    <x v="210"/>
    <n v="0"/>
    <n v="124.05749999999999"/>
    <m/>
  </r>
  <r>
    <x v="5"/>
    <s v="HP"/>
    <s v="Connector frame"/>
    <n v="23480202015"/>
    <s v="JEE"/>
    <s v="X3 Hyper core/unibody"/>
    <s v="Plastic"/>
    <x v="1"/>
    <x v="7"/>
    <d v="2024-10-25T00:00:00"/>
    <n v="0.4"/>
    <n v="0.27566008648311202"/>
    <n v="0.353993419816445"/>
    <n v="0"/>
    <n v="0"/>
    <n v="1"/>
    <n v="0.27566008648311202"/>
    <n v="127980"/>
    <n v="907156"/>
    <x v="18"/>
    <x v="186"/>
    <s v="PC+50%PCR LUPOY ER1000MA BC90515 （80%）_x000a_透光"/>
    <m/>
    <n v="1.722"/>
    <s v=" Ruicheng"/>
    <m/>
    <n v="0"/>
    <x v="211"/>
    <n v="0"/>
    <n v="220.38156000000001"/>
    <m/>
  </r>
  <r>
    <x v="5"/>
    <s v="HP"/>
    <s v="Battery carrier"/>
    <n v="23480202012"/>
    <s v="JEE"/>
    <s v="X3 Core"/>
    <s v="Plastic"/>
    <x v="1"/>
    <x v="7"/>
    <d v="2024-10-25T00:00:00"/>
    <n v="0.4"/>
    <n v="0.80865388388102988"/>
    <n v="1.0756538838810299"/>
    <n v="0.26700000000000002"/>
    <n v="0.10680000000000001"/>
    <n v="1"/>
    <n v="0.80865388388102988"/>
    <n v="172044"/>
    <n v="606050"/>
    <x v="19"/>
    <x v="187"/>
    <s v="PC+75%PCR LUPOY ER1006FZ BC90513"/>
    <m/>
    <n v="5.7469999999999999"/>
    <s v=" Ruicheng"/>
    <m/>
    <n v="0"/>
    <x v="212"/>
    <n v="0"/>
    <n v="988.73686800000007"/>
    <m/>
  </r>
  <r>
    <x v="5"/>
    <s v="HP"/>
    <s v="Shutter Door Support"/>
    <n v="23480202005"/>
    <s v="JEE"/>
    <s v="X3 uinbody pro/core"/>
    <s v="Plastic"/>
    <x v="1"/>
    <x v="7"/>
    <d v="2024-10-25T00:00:00"/>
    <n v="0.6"/>
    <n v="0.61243323981863296"/>
    <n v="0.790433239818633"/>
    <n v="0.17799999999999999"/>
    <n v="0.10679999999999999"/>
    <n v="1"/>
    <n v="0.61243323981863296"/>
    <n v="194430"/>
    <n v="786377"/>
    <x v="20"/>
    <x v="188"/>
    <s v="PC+50%PCR LUPOY ER1004N BC90513+_x000a_BASF TPU 60A ELASTOLLAN  SP9324 BLACK"/>
    <m/>
    <n v="3.2709999999999999"/>
    <s v=" Ruicheng"/>
    <m/>
    <n v="0"/>
    <x v="213"/>
    <n v="0"/>
    <n v="635.98053000000004"/>
    <m/>
  </r>
  <r>
    <x v="5"/>
    <s v="HP"/>
    <s v="Button Bracket"/>
    <n v="23480202011"/>
    <s v="JEE"/>
    <s v="X3 Core"/>
    <s v="Plastic"/>
    <x v="1"/>
    <x v="7"/>
    <d v="2024-10-25T00:00:00"/>
    <n v="0.5"/>
    <n v="0.29378086188436198"/>
    <n v="0.41711419521769499"/>
    <n v="0.123333333333333"/>
    <n v="6.1666666666666502E-2"/>
    <n v="1"/>
    <n v="0.29378086188436198"/>
    <n v="216000"/>
    <n v="822735"/>
    <x v="21"/>
    <x v="189"/>
    <s v="PC+50%PCR LUPOY ER1004N BC90513 black"/>
    <m/>
    <n v="1.7749999999999999"/>
    <s v=" Ruicheng"/>
    <m/>
    <n v="0"/>
    <x v="214"/>
    <n v="0"/>
    <n v="383.4"/>
    <m/>
  </r>
  <r>
    <x v="5"/>
    <s v="HP"/>
    <s v="Button"/>
    <n v="23480202017"/>
    <s v="JEE"/>
    <s v="X3 Core"/>
    <s v="Plastic"/>
    <x v="1"/>
    <x v="7"/>
    <d v="2024-10-25T00:00:00"/>
    <n v="0.5"/>
    <n v="1.0628666666666668"/>
    <n v="1.1322000000000001"/>
    <n v="6.9333333333333302E-2"/>
    <n v="3.4666666666666651E-2"/>
    <n v="1"/>
    <n v="1.0628666666666668"/>
    <n v="132832"/>
    <n v="504739"/>
    <x v="22"/>
    <x v="190"/>
    <s v="LUPOY ER1000MA E6098_x000a_"/>
    <m/>
    <n v="2.3839999999999999"/>
    <s v=" Ruicheng"/>
    <s v="Painting"/>
    <n v="0.7964"/>
    <x v="215"/>
    <n v="105787.4048"/>
    <n v="316.67148800000001"/>
    <m/>
  </r>
  <r>
    <x v="5"/>
    <s v="HP"/>
    <s v="Light guide"/>
    <n v="23480202018"/>
    <s v="JEE"/>
    <s v="X3 Core"/>
    <s v="Plastic"/>
    <x v="1"/>
    <x v="7"/>
    <d v="2024-10-25T00:00:00"/>
    <n v="0.4"/>
    <n v="0.41382922267354705"/>
    <n v="0.54316255600688002"/>
    <n v="0.12933333333333299"/>
    <n v="5.1733333333333201E-2"/>
    <n v="1"/>
    <n v="0.41382922267354705"/>
    <n v="101140"/>
    <n v="285975"/>
    <x v="23"/>
    <x v="191"/>
    <s v="PC:LG LUPOY GP1000M  透明（1st shot) _x000a_BASF TPU 60A ELASTOLLAN  SP9324 BLACK（2nd shot)_x000a_"/>
    <m/>
    <n v="3.673"/>
    <s v=" Ruicheng"/>
    <m/>
    <n v="0"/>
    <x v="216"/>
    <n v="0"/>
    <n v="371.48722000000004"/>
    <m/>
  </r>
  <r>
    <x v="4"/>
    <s v="HP"/>
    <s v="Botton cover"/>
    <n v="22150202014"/>
    <s v="JEE"/>
    <s v="X3 Pro/unibody/Core"/>
    <s v="Plastic"/>
    <x v="1"/>
    <x v="8"/>
    <d v="2024-10-25T00:00:00"/>
    <n v="0.4"/>
    <n v="2.3161999999999998"/>
    <n v="2.2169787761879198"/>
    <n v="0"/>
    <n v="0"/>
    <n v="1"/>
    <n v="2.3161999999999998"/>
    <n v="92000"/>
    <n v="1879241"/>
    <x v="12"/>
    <x v="166"/>
    <s v="RTP 299 AX 152528（PA+GF）(panting(5 color))"/>
    <m/>
    <n v="1.5549999999999999"/>
    <s v=" Ruicheng"/>
    <s v="Painting"/>
    <n v="1.9422999999999999"/>
    <x v="217"/>
    <n v="178691.6"/>
    <n v="143.06"/>
    <m/>
  </r>
  <r>
    <x v="4"/>
    <s v="HP"/>
    <s v="Cleanout door"/>
    <n v="22150202015"/>
    <s v="JEE"/>
    <s v="X3 Pro/unibody/Core"/>
    <s v="Plastic"/>
    <x v="1"/>
    <x v="8"/>
    <d v="2024-10-25T00:00:00"/>
    <n v="0.6"/>
    <n v="1.5443588135792301"/>
    <n v="1.5423175780454099"/>
    <n v="0"/>
    <n v="0"/>
    <n v="1"/>
    <n v="1.5443588135792301"/>
    <n v="245322"/>
    <n v="1546923"/>
    <x v="13"/>
    <x v="181"/>
    <s v="PC:LG LUPOY SC1004L(panting(5 color))+_x000a_TPU:BASF ELASTONLLAN 1190A"/>
    <m/>
    <n v="1.7450000000000001"/>
    <s v=" Ruicheng"/>
    <s v="Painting"/>
    <n v="1.1437999999999999"/>
    <x v="218"/>
    <n v="280599.30359999998"/>
    <n v="428.08689000000004"/>
    <m/>
  </r>
  <r>
    <x v="4"/>
    <s v="HP"/>
    <s v="Button"/>
    <n v="22150202010"/>
    <s v="JEE"/>
    <s v="X3 Pro/unibody"/>
    <s v="Plastic"/>
    <x v="1"/>
    <x v="8"/>
    <d v="2024-10-25T00:00:00"/>
    <n v="0.4"/>
    <n v="0.91622499999999996"/>
    <n v="1.13316525889116"/>
    <n v="0"/>
    <n v="0"/>
    <n v="1"/>
    <n v="0.91622499999999996"/>
    <n v="194734"/>
    <n v="1659593"/>
    <x v="14"/>
    <x v="182"/>
    <s v="PC:LG LUPOY SC1004L-Colored"/>
    <m/>
    <n v="0.57899999999999996"/>
    <s v=" Ruicheng"/>
    <s v="Painting"/>
    <n v="0.75590000000000002"/>
    <x v="219"/>
    <n v="147199.43059999999"/>
    <n v="112.75098599999998"/>
    <m/>
  </r>
  <r>
    <x v="4"/>
    <s v="HP"/>
    <s v="Crown Support"/>
    <n v="22150202008"/>
    <s v="JEE"/>
    <s v="X3 Pro"/>
    <s v="Plastic"/>
    <x v="1"/>
    <x v="8"/>
    <d v="2024-10-25T00:00:00"/>
    <n v="0.5"/>
    <n v="0.1278"/>
    <n v="0.15579999999999999"/>
    <n v="0"/>
    <n v="0"/>
    <n v="1"/>
    <n v="0.1278"/>
    <n v="40900"/>
    <n v="1157057"/>
    <x v="15"/>
    <x v="183"/>
    <s v="POM C9021 black"/>
    <m/>
    <n v="0.76300000000000001"/>
    <s v=" Ruicheng"/>
    <m/>
    <n v="0"/>
    <x v="220"/>
    <n v="0"/>
    <n v="31.206700000000001"/>
    <m/>
  </r>
  <r>
    <x v="4"/>
    <s v="HP"/>
    <s v="Connector frame"/>
    <n v="22150202017"/>
    <s v="JEE"/>
    <s v="X3 Pro"/>
    <s v="Plastic"/>
    <x v="1"/>
    <x v="8"/>
    <d v="2024-10-25T00:00:00"/>
    <n v="0.4"/>
    <n v="0.17249999999999999"/>
    <n v="0.41749999999999998"/>
    <n v="0"/>
    <n v="0"/>
    <n v="1"/>
    <n v="0.17249999999999999"/>
    <n v="59400"/>
    <n v="968837"/>
    <x v="9"/>
    <x v="154"/>
    <s v="PC(PCR):LUPOY ER1000MA_RC00101"/>
    <m/>
    <n v="1.173"/>
    <s v=" Ruicheng"/>
    <m/>
    <n v="0"/>
    <x v="221"/>
    <n v="0"/>
    <n v="69.676199999999994"/>
    <m/>
  </r>
  <r>
    <x v="4"/>
    <s v="HP"/>
    <s v="Spin Wheel"/>
    <n v="22150202009"/>
    <s v="JEE"/>
    <s v="X3 Pro/unibody/Core"/>
    <s v="Plastic"/>
    <x v="1"/>
    <x v="8"/>
    <d v="2024-10-25T00:00:00"/>
    <n v="0.5"/>
    <n v="0.1285"/>
    <n v="0.1565"/>
    <n v="0"/>
    <n v="0"/>
    <n v="1"/>
    <n v="0.1285"/>
    <n v="280000"/>
    <n v="2105940"/>
    <x v="9"/>
    <x v="170"/>
    <s v="PC:LG LUPOY SC1004L-Colored"/>
    <m/>
    <n v="0.69499999999999995"/>
    <s v=" Ruicheng"/>
    <m/>
    <n v="0"/>
    <x v="222"/>
    <n v="0"/>
    <n v="194.6"/>
    <m/>
  </r>
  <r>
    <x v="4"/>
    <s v="HP"/>
    <s v="Display bracket"/>
    <n v="22150202021"/>
    <s v="JEE"/>
    <s v="X3 Pro/unibody/Core"/>
    <s v="Plastic"/>
    <x v="1"/>
    <x v="8"/>
    <d v="2024-10-25T00:00:00"/>
    <n v="0.6"/>
    <n v="2.5636999999999999"/>
    <n v="2.7518227149358401"/>
    <n v="0"/>
    <n v="0"/>
    <n v="1"/>
    <n v="2.5636999999999999"/>
    <n v="241200"/>
    <n v="2183887"/>
    <x v="16"/>
    <x v="184"/>
    <s v="PC  PCRLUPOY GP1000MA BC90515 40%半透黑"/>
    <m/>
    <n v="3.4089999999999998"/>
    <s v=" Ruicheng"/>
    <s v="Painting"/>
    <n v="1.7574000000000001"/>
    <x v="223"/>
    <n v="423884.88"/>
    <n v="822.25079999999991"/>
    <m/>
  </r>
  <r>
    <x v="4"/>
    <s v="HP"/>
    <s v=" PCBA Bracket "/>
    <n v="22150202018"/>
    <s v="JEE"/>
    <s v="X3 Pro/unibody/Core"/>
    <s v="Plastic"/>
    <x v="1"/>
    <x v="8"/>
    <d v="2024-10-25T00:00:00"/>
    <n v="0.4"/>
    <n v="0.1608"/>
    <n v="0.1958"/>
    <n v="0"/>
    <n v="0"/>
    <n v="1"/>
    <n v="0.1608"/>
    <n v="272250"/>
    <n v="2058736"/>
    <x v="9"/>
    <x v="172"/>
    <s v="PC+50%PCR LUPOY ER1004N BC90513 black"/>
    <m/>
    <n v="1.117"/>
    <s v=" Ruicheng"/>
    <m/>
    <n v="0"/>
    <x v="224"/>
    <n v="0"/>
    <n v="304.10325"/>
    <m/>
  </r>
  <r>
    <x v="4"/>
    <s v="HP"/>
    <s v=" Shut Door"/>
    <n v="22150202007"/>
    <s v="JEE"/>
    <s v="X3 Hyper Pro/uinbody pro/core"/>
    <s v="Plastic"/>
    <x v="1"/>
    <x v="8"/>
    <d v="2024-10-25T00:00:00"/>
    <n v="0.5"/>
    <n v="0.122757142857143"/>
    <n v="0.16"/>
    <n v="0"/>
    <n v="0"/>
    <n v="1"/>
    <n v="0.122757142857143"/>
    <n v="285600"/>
    <n v="2667424"/>
    <x v="17"/>
    <x v="185"/>
    <s v="POM C9021 black"/>
    <m/>
    <n v="0.52400000000000002"/>
    <s v=" Ruicheng"/>
    <m/>
    <n v="0"/>
    <x v="225"/>
    <n v="0"/>
    <n v="149.65439999999998"/>
    <m/>
  </r>
  <r>
    <x v="5"/>
    <s v="HP"/>
    <s v="Crown Support"/>
    <n v="23590202001"/>
    <s v="JEE"/>
    <s v="X3 uinbody /core"/>
    <s v="Plastic"/>
    <x v="1"/>
    <x v="8"/>
    <d v="2024-10-25T00:00:00"/>
    <n v="0.5"/>
    <n v="0.125588670602168"/>
    <n v="0.15358867060216799"/>
    <n v="0"/>
    <n v="0"/>
    <n v="1"/>
    <n v="0.125588670602168"/>
    <n v="207269"/>
    <n v="1618199"/>
    <x v="9"/>
    <x v="174"/>
    <s v="PC LG LUPOY SC1004L"/>
    <m/>
    <n v="0.69499999999999995"/>
    <s v=" Ruicheng"/>
    <m/>
    <n v="0"/>
    <x v="226"/>
    <n v="0"/>
    <n v="144.05195499999999"/>
    <m/>
  </r>
  <r>
    <x v="5"/>
    <s v="HP"/>
    <s v="Connector frame"/>
    <n v="23480202015"/>
    <s v="JEE"/>
    <s v="X3 Hyper core/unibody"/>
    <s v="Plastic"/>
    <x v="1"/>
    <x v="8"/>
    <d v="2024-10-25T00:00:00"/>
    <n v="0.4"/>
    <n v="0.27566008648311202"/>
    <n v="0.353993419816445"/>
    <n v="0"/>
    <n v="0"/>
    <n v="1"/>
    <n v="0.27566008648311202"/>
    <n v="210600"/>
    <n v="1117756"/>
    <x v="18"/>
    <x v="186"/>
    <s v="PC+50%PCR LUPOY ER1000MA BC90515 （80%）_x000a_透光"/>
    <m/>
    <n v="1.722"/>
    <s v=" Ruicheng"/>
    <m/>
    <n v="0"/>
    <x v="227"/>
    <n v="0"/>
    <n v="362.65320000000003"/>
    <m/>
  </r>
  <r>
    <x v="5"/>
    <s v="HP"/>
    <s v="Battery carrier"/>
    <n v="23480202012"/>
    <s v="JEE"/>
    <s v="X3 Core"/>
    <s v="Plastic"/>
    <x v="1"/>
    <x v="8"/>
    <d v="2024-10-25T00:00:00"/>
    <n v="0.4"/>
    <n v="0.80865388388102988"/>
    <n v="1.0756538838810299"/>
    <n v="0.26700000000000002"/>
    <n v="0.10680000000000001"/>
    <n v="1"/>
    <n v="0.80865388388102988"/>
    <n v="62172"/>
    <n v="668222"/>
    <x v="19"/>
    <x v="192"/>
    <s v="PC+75%PCR LUPOY ER1006FZ BC90513"/>
    <m/>
    <n v="5.7469999999999999"/>
    <s v=" Ruicheng"/>
    <m/>
    <n v="0"/>
    <x v="228"/>
    <n v="0"/>
    <n v="357.30248399999999"/>
    <m/>
  </r>
  <r>
    <x v="5"/>
    <s v="HP"/>
    <s v="Shutter Door Support"/>
    <n v="23480202005"/>
    <s v="JEE"/>
    <s v="X3 uinbody pro/core"/>
    <s v="Plastic"/>
    <x v="1"/>
    <x v="8"/>
    <d v="2024-10-25T00:00:00"/>
    <n v="0.6"/>
    <n v="0.61243323981863296"/>
    <n v="0.790433239818633"/>
    <n v="0.17799999999999999"/>
    <n v="0.10679999999999999"/>
    <n v="1"/>
    <n v="0.61243323981863296"/>
    <n v="189603"/>
    <n v="975980"/>
    <x v="20"/>
    <x v="193"/>
    <s v="PC+50%PCR LUPOY ER1004N BC90513+_x000a_BASF TPU 60A ELASTOLLAN  SP9324 BLACK"/>
    <m/>
    <n v="3.2709999999999999"/>
    <s v=" Ruicheng"/>
    <m/>
    <n v="0"/>
    <x v="229"/>
    <n v="0"/>
    <n v="620.1914129999999"/>
    <m/>
  </r>
  <r>
    <x v="5"/>
    <s v="HP"/>
    <s v="Button Bracket"/>
    <n v="23480202011"/>
    <s v="JEE"/>
    <s v="X3 Core"/>
    <s v="Plastic"/>
    <x v="1"/>
    <x v="8"/>
    <d v="2024-10-25T00:00:00"/>
    <n v="0.5"/>
    <n v="0.29378086188436198"/>
    <n v="0.41711419521769499"/>
    <n v="0.123333333333333"/>
    <n v="6.1666666666666502E-2"/>
    <n v="1"/>
    <n v="0.29378086188436198"/>
    <m/>
    <n v="822735"/>
    <x v="21"/>
    <x v="189"/>
    <s v="PC+50%PCR LUPOY ER1004N BC90513 black"/>
    <m/>
    <n v="1.7749999999999999"/>
    <s v=" Ruicheng"/>
    <m/>
    <n v="0"/>
    <x v="64"/>
    <n v="0"/>
    <n v="0"/>
    <m/>
  </r>
  <r>
    <x v="5"/>
    <s v="HP"/>
    <s v="Button"/>
    <n v="23480202017"/>
    <s v="JEE"/>
    <s v="X3 Core"/>
    <s v="Plastic"/>
    <x v="1"/>
    <x v="8"/>
    <d v="2024-10-25T00:00:00"/>
    <n v="0.5"/>
    <n v="1.0628666666666668"/>
    <n v="1.1322000000000001"/>
    <n v="6.9333333333333302E-2"/>
    <n v="3.4666666666666651E-2"/>
    <n v="1"/>
    <n v="1.0628666666666668"/>
    <n v="128539"/>
    <n v="633278"/>
    <x v="22"/>
    <x v="194"/>
    <s v="LUPOY ER1000MA E6098_x000a_"/>
    <m/>
    <n v="2.3839999999999999"/>
    <s v=" Ruicheng"/>
    <s v="Painting"/>
    <n v="0.7964"/>
    <x v="230"/>
    <n v="102368.4596"/>
    <n v="306.43697599999996"/>
    <m/>
  </r>
  <r>
    <x v="5"/>
    <s v="HP"/>
    <s v="Light guide"/>
    <n v="23480202018"/>
    <s v="JEE"/>
    <s v="X3 Core"/>
    <s v="Plastic"/>
    <x v="1"/>
    <x v="8"/>
    <d v="2024-10-25T00:00:00"/>
    <n v="0.4"/>
    <n v="0.41382922267354705"/>
    <n v="0.54316255600688002"/>
    <n v="0.12933333333333299"/>
    <n v="5.1733333333333201E-2"/>
    <n v="1"/>
    <n v="0.41382922267354705"/>
    <n v="50310"/>
    <n v="336285"/>
    <x v="23"/>
    <x v="195"/>
    <s v="PC:LG LUPOY GP1000M  透明（1st shot) _x000a_BASF TPU 60A ELASTOLLAN  SP9324 BLACK（2nd shot)_x000a_"/>
    <m/>
    <n v="3.673"/>
    <s v=" Ruicheng"/>
    <m/>
    <n v="0"/>
    <x v="231"/>
    <n v="0"/>
    <n v="184.78863000000001"/>
    <m/>
  </r>
  <r>
    <x v="4"/>
    <s v="HP"/>
    <s v="Botton cover"/>
    <n v="22150202014"/>
    <s v="JEE"/>
    <s v="X3 Pro/unibody/Core"/>
    <s v="Plastic"/>
    <x v="1"/>
    <x v="9"/>
    <d v="2024-10-25T00:00:00"/>
    <n v="0.4"/>
    <n v="2.3161999999999998"/>
    <n v="2.2169787761879198"/>
    <n v="0"/>
    <n v="0"/>
    <n v="1"/>
    <n v="2.3161999999999998"/>
    <n v="151900"/>
    <n v="2031141"/>
    <x v="12"/>
    <x v="166"/>
    <s v="RTP 299 AX 152528（PA+GF）(panting(5 color))"/>
    <m/>
    <n v="1.5549999999999999"/>
    <s v=" Ruicheng"/>
    <s v="Painting"/>
    <n v="1.9422999999999999"/>
    <x v="232"/>
    <n v="295035.37"/>
    <n v="236.2045"/>
    <m/>
  </r>
  <r>
    <x v="4"/>
    <s v="HP"/>
    <s v="Cleanout door"/>
    <n v="22150202015"/>
    <s v="JEE"/>
    <s v="X3 Pro/unibody/Core"/>
    <s v="Plastic"/>
    <x v="1"/>
    <x v="9"/>
    <d v="2024-10-25T00:00:00"/>
    <n v="0.6"/>
    <n v="1.5443588135792301"/>
    <n v="1.5423175780454099"/>
    <n v="0"/>
    <n v="0"/>
    <n v="1"/>
    <n v="1.5443588135792301"/>
    <n v="254159"/>
    <n v="1801082"/>
    <x v="13"/>
    <x v="181"/>
    <s v="PC:LG LUPOY SC1004L(panting(5 color))+_x000a_TPU:BASF ELASTONLLAN 1190A"/>
    <m/>
    <n v="1.7450000000000001"/>
    <s v=" Ruicheng"/>
    <s v="Painting"/>
    <n v="1.1437999999999999"/>
    <x v="233"/>
    <n v="290707.06419999996"/>
    <n v="443.50745499999999"/>
    <m/>
  </r>
  <r>
    <x v="4"/>
    <s v="HP"/>
    <s v="Button"/>
    <n v="22150202010"/>
    <s v="JEE"/>
    <s v="X3 Pro/unibody"/>
    <s v="Plastic"/>
    <x v="1"/>
    <x v="9"/>
    <d v="2024-10-25T00:00:00"/>
    <n v="0.4"/>
    <n v="0.91622499999999996"/>
    <n v="1.13316525889116"/>
    <n v="0"/>
    <n v="0"/>
    <n v="1"/>
    <n v="0.91622499999999996"/>
    <n v="86018"/>
    <n v="1745611"/>
    <x v="14"/>
    <x v="182"/>
    <s v="PC:LG LUPOY SC1004L-Colored"/>
    <m/>
    <n v="0.57899999999999996"/>
    <s v=" Ruicheng"/>
    <s v="Painting"/>
    <n v="0.75590000000000002"/>
    <x v="234"/>
    <n v="65021.006200000003"/>
    <n v="49.804421999999995"/>
    <m/>
  </r>
  <r>
    <x v="4"/>
    <s v="HP"/>
    <s v="Crown Support"/>
    <n v="22150202008"/>
    <s v="JEE"/>
    <s v="X3 Pro"/>
    <s v="Plastic"/>
    <x v="1"/>
    <x v="9"/>
    <d v="2024-10-25T00:00:00"/>
    <n v="0.5"/>
    <n v="0.1278"/>
    <n v="0.15579999999999999"/>
    <n v="0"/>
    <n v="0"/>
    <n v="1"/>
    <n v="0.1278"/>
    <n v="48000"/>
    <n v="1205057"/>
    <x v="15"/>
    <x v="183"/>
    <s v="POM C9021 black"/>
    <m/>
    <n v="0.76300000000000001"/>
    <s v=" Ruicheng"/>
    <m/>
    <n v="0"/>
    <x v="235"/>
    <n v="0"/>
    <n v="36.624000000000002"/>
    <m/>
  </r>
  <r>
    <x v="4"/>
    <s v="HP"/>
    <s v="Connector frame"/>
    <n v="22150202017"/>
    <s v="JEE"/>
    <s v="X3 Pro"/>
    <s v="Plastic"/>
    <x v="1"/>
    <x v="9"/>
    <d v="2024-10-25T00:00:00"/>
    <n v="0.4"/>
    <n v="0.17249999999999999"/>
    <n v="0.41749999999999998"/>
    <n v="0"/>
    <n v="0"/>
    <n v="1"/>
    <n v="0.17249999999999999"/>
    <n v="50400"/>
    <n v="1019237"/>
    <x v="9"/>
    <x v="154"/>
    <s v="PC(PCR):LUPOY ER1000MA_RC00101"/>
    <m/>
    <n v="1.173"/>
    <s v=" Ruicheng"/>
    <m/>
    <n v="0"/>
    <x v="236"/>
    <n v="0"/>
    <n v="59.119200000000006"/>
    <m/>
  </r>
  <r>
    <x v="4"/>
    <s v="HP"/>
    <s v="Spin Wheel"/>
    <n v="22150202009"/>
    <s v="JEE"/>
    <s v="X3 Pro/unibody/Core"/>
    <s v="Plastic"/>
    <x v="1"/>
    <x v="9"/>
    <d v="2024-10-25T00:00:00"/>
    <n v="0.5"/>
    <n v="0.1285"/>
    <n v="0.1565"/>
    <n v="0"/>
    <n v="0"/>
    <n v="1"/>
    <n v="0.1285"/>
    <n v="351600"/>
    <n v="2457540"/>
    <x v="9"/>
    <x v="170"/>
    <s v="PC:LG LUPOY SC1004L-Colored"/>
    <m/>
    <n v="0.69499999999999995"/>
    <s v=" Ruicheng"/>
    <m/>
    <n v="0"/>
    <x v="237"/>
    <n v="0"/>
    <n v="244.36199999999997"/>
    <m/>
  </r>
  <r>
    <x v="4"/>
    <s v="HP"/>
    <s v="Display bracket"/>
    <n v="22150202021"/>
    <s v="JEE"/>
    <s v="X3 Pro/unibody/Core"/>
    <s v="Plastic"/>
    <x v="1"/>
    <x v="9"/>
    <d v="2024-10-25T00:00:00"/>
    <n v="0.6"/>
    <n v="2.5636999999999999"/>
    <n v="2.7518227149358401"/>
    <n v="0"/>
    <n v="0"/>
    <n v="1"/>
    <n v="2.5636999999999999"/>
    <n v="192000"/>
    <n v="2375887"/>
    <x v="16"/>
    <x v="184"/>
    <s v="PC  PCRLUPOY GP1000MA BC90515 40%半透黑"/>
    <m/>
    <n v="3.4089999999999998"/>
    <s v=" Ruicheng"/>
    <s v="Painting"/>
    <n v="1.7574000000000001"/>
    <x v="238"/>
    <n v="337420.79999999999"/>
    <n v="654.52800000000002"/>
    <m/>
  </r>
  <r>
    <x v="4"/>
    <s v="HP"/>
    <s v=" PCBA Bracket "/>
    <n v="22150202018"/>
    <s v="JEE"/>
    <s v="X3 Pro/unibody/Core"/>
    <s v="Plastic"/>
    <x v="1"/>
    <x v="9"/>
    <d v="2024-10-25T00:00:00"/>
    <n v="0.4"/>
    <n v="0.1608"/>
    <n v="0.1958"/>
    <n v="0"/>
    <n v="0"/>
    <n v="1"/>
    <n v="0.1608"/>
    <n v="271963"/>
    <n v="2330699"/>
    <x v="9"/>
    <x v="172"/>
    <s v="PC+50%PCR LUPOY ER1004N BC90513 black"/>
    <m/>
    <n v="1.117"/>
    <s v=" Ruicheng"/>
    <m/>
    <n v="0"/>
    <x v="239"/>
    <n v="0"/>
    <n v="303.78267099999999"/>
    <m/>
  </r>
  <r>
    <x v="4"/>
    <s v="HP"/>
    <s v=" Shut Door"/>
    <n v="22150202007"/>
    <s v="JEE"/>
    <s v="X3 Hyper Pro/uinbody pro/core"/>
    <s v="Plastic"/>
    <x v="1"/>
    <x v="9"/>
    <d v="2024-10-25T00:00:00"/>
    <n v="0.5"/>
    <n v="0.122757142857143"/>
    <n v="0.16"/>
    <n v="0"/>
    <n v="0"/>
    <n v="1"/>
    <n v="0.122757142857143"/>
    <n v="402900"/>
    <n v="3070324"/>
    <x v="17"/>
    <x v="185"/>
    <s v="POM C9021 black"/>
    <m/>
    <n v="0.52400000000000002"/>
    <s v=" Ruicheng"/>
    <m/>
    <n v="0"/>
    <x v="240"/>
    <n v="0"/>
    <n v="211.11960000000002"/>
    <m/>
  </r>
  <r>
    <x v="5"/>
    <s v="HP"/>
    <s v="Crown Support"/>
    <n v="23590202001"/>
    <s v="JEE"/>
    <s v="X3 uinbody /core"/>
    <s v="Plastic"/>
    <x v="1"/>
    <x v="9"/>
    <d v="2024-10-25T00:00:00"/>
    <n v="0.5"/>
    <n v="0.125588670602168"/>
    <n v="0.15358867060216799"/>
    <n v="0"/>
    <n v="0"/>
    <n v="1"/>
    <n v="0.125588670602168"/>
    <n v="293999"/>
    <n v="1912198"/>
    <x v="9"/>
    <x v="174"/>
    <s v="PC LG LUPOY SC1004L"/>
    <m/>
    <n v="0.69499999999999995"/>
    <s v=" Ruicheng"/>
    <m/>
    <n v="0"/>
    <x v="241"/>
    <n v="0"/>
    <n v="204.32930500000001"/>
    <m/>
  </r>
  <r>
    <x v="5"/>
    <s v="HP"/>
    <s v="Connector frame"/>
    <n v="23480202015"/>
    <s v="JEE"/>
    <s v="X3 Hyper core/unibody"/>
    <s v="Plastic"/>
    <x v="1"/>
    <x v="9"/>
    <d v="2024-10-25T00:00:00"/>
    <n v="0.4"/>
    <n v="0.27566008648311202"/>
    <n v="0.353993419816445"/>
    <n v="0"/>
    <n v="0"/>
    <n v="1"/>
    <n v="0.27566008648311202"/>
    <n v="270540"/>
    <n v="1388296"/>
    <x v="18"/>
    <x v="186"/>
    <s v="PC+50%PCR LUPOY ER1000MA BC90515 （80%）_x000a_透光"/>
    <m/>
    <n v="1.722"/>
    <s v=" Ruicheng"/>
    <m/>
    <n v="0"/>
    <x v="197"/>
    <n v="0"/>
    <n v="465.86988000000002"/>
    <m/>
  </r>
  <r>
    <x v="5"/>
    <s v="HP"/>
    <s v="Battery carrier"/>
    <n v="23480202012"/>
    <s v="JEE"/>
    <s v="X3 Core"/>
    <s v="Plastic"/>
    <x v="1"/>
    <x v="9"/>
    <d v="2024-10-25T00:00:00"/>
    <n v="0.4"/>
    <n v="0.80865388388102988"/>
    <n v="1.0756538838810299"/>
    <n v="0.26700000000000002"/>
    <n v="0.10680000000000001"/>
    <n v="1"/>
    <n v="0.80865388388102988"/>
    <n v="53015"/>
    <n v="721237"/>
    <x v="19"/>
    <x v="196"/>
    <s v="PC+75%PCR LUPOY ER1006FZ BC90513"/>
    <m/>
    <n v="5.7469999999999999"/>
    <s v=" Ruicheng"/>
    <m/>
    <n v="0"/>
    <x v="242"/>
    <n v="0"/>
    <n v="304.67720500000001"/>
    <m/>
  </r>
  <r>
    <x v="5"/>
    <s v="HP"/>
    <s v="Shutter Door Support"/>
    <n v="23480202005"/>
    <s v="JEE"/>
    <s v="X3 uinbody pro/core"/>
    <s v="Plastic"/>
    <x v="1"/>
    <x v="9"/>
    <d v="2024-10-25T00:00:00"/>
    <n v="0.6"/>
    <n v="0.61243323981863296"/>
    <n v="0.790433239818633"/>
    <n v="0.17799999999999999"/>
    <n v="0.10679999999999999"/>
    <n v="1"/>
    <n v="0.61243323981863296"/>
    <n v="297660"/>
    <n v="1273640"/>
    <x v="20"/>
    <x v="197"/>
    <s v="PC+50%PCR LUPOY ER1004N BC90513+_x000a_BASF TPU 60A ELASTOLLAN  SP9324 BLACK"/>
    <m/>
    <n v="3.2709999999999999"/>
    <s v=" Ruicheng"/>
    <m/>
    <n v="0"/>
    <x v="243"/>
    <n v="0"/>
    <n v="973.64585999999997"/>
    <m/>
  </r>
  <r>
    <x v="5"/>
    <s v="HP"/>
    <s v="Button Bracket"/>
    <n v="23480202011"/>
    <s v="JEE"/>
    <s v="X3 Core"/>
    <s v="Plastic"/>
    <x v="1"/>
    <x v="9"/>
    <d v="2024-10-25T00:00:00"/>
    <n v="0.5"/>
    <n v="0.29378086188436198"/>
    <n v="0.41711419521769499"/>
    <n v="0.123333333333333"/>
    <n v="6.1666666666666502E-2"/>
    <n v="1"/>
    <n v="0.29378086188436198"/>
    <n v="180000"/>
    <n v="1002735"/>
    <x v="21"/>
    <x v="198"/>
    <s v="PC+50%PCR LUPOY ER1004N BC90513 black"/>
    <m/>
    <n v="1.7749999999999999"/>
    <s v=" Ruicheng"/>
    <m/>
    <n v="0"/>
    <x v="244"/>
    <n v="0"/>
    <n v="319.5"/>
    <m/>
  </r>
  <r>
    <x v="5"/>
    <s v="HP"/>
    <s v="Button"/>
    <n v="23480202017"/>
    <s v="JEE"/>
    <s v="X3 Core"/>
    <s v="Plastic"/>
    <x v="1"/>
    <x v="9"/>
    <d v="2024-10-25T00:00:00"/>
    <n v="0.5"/>
    <n v="1.0628666666666668"/>
    <n v="1.1322000000000001"/>
    <n v="6.9333333333333302E-2"/>
    <n v="3.4666666666666651E-2"/>
    <n v="1"/>
    <n v="1.0628666666666668"/>
    <n v="155491"/>
    <n v="788769"/>
    <x v="22"/>
    <x v="199"/>
    <s v="LUPOY ER1000MA E6098_x000a_"/>
    <m/>
    <n v="2.3839999999999999"/>
    <s v=" Ruicheng"/>
    <s v="Painting"/>
    <n v="0.7964"/>
    <x v="245"/>
    <n v="123833.0324"/>
    <n v="370.69054399999999"/>
    <m/>
  </r>
  <r>
    <x v="5"/>
    <s v="HP"/>
    <s v="Light guide"/>
    <n v="23480202018"/>
    <s v="JEE"/>
    <s v="X3 Core"/>
    <s v="Plastic"/>
    <x v="1"/>
    <x v="9"/>
    <d v="2024-10-25T00:00:00"/>
    <n v="0.4"/>
    <n v="0.41382922267354705"/>
    <n v="0.54316255600688002"/>
    <n v="0.12933333333333299"/>
    <n v="5.1733333333333201E-2"/>
    <n v="1"/>
    <n v="0.41382922267354705"/>
    <n v="93210"/>
    <n v="429495"/>
    <x v="23"/>
    <x v="200"/>
    <s v="PC:LG LUPOY GP1000M  透明（1st shot) _x000a_BASF TPU 60A ELASTOLLAN  SP9324 BLACK（2nd shot)_x000a_"/>
    <m/>
    <n v="3.673"/>
    <s v=" Ruicheng"/>
    <m/>
    <n v="0"/>
    <x v="246"/>
    <n v="0"/>
    <n v="342.36033000000003"/>
    <m/>
  </r>
  <r>
    <x v="6"/>
    <s v="RCS POD"/>
    <s v="Cartomizer tube"/>
    <s v="130010390000214"/>
    <s v="JEE"/>
    <s v="unique"/>
    <s v="Plastic"/>
    <x v="0"/>
    <x v="1"/>
    <d v="2024-10-25T00:00:00"/>
    <n v="0.5"/>
    <n v="0.2716898724654021"/>
    <n v="0.34804527431608795"/>
    <n v="7.6355401850685817E-2"/>
    <n v="3.8177700925342908E-2"/>
    <n v="1"/>
    <n v="0.2716898724654021"/>
    <n v="134307162"/>
    <n v="134307162"/>
    <x v="24"/>
    <x v="201"/>
    <s v="PCTG TX1501HF"/>
    <m/>
    <n v="2.09"/>
    <s v="Eastman"/>
    <m/>
    <n v="0"/>
    <x v="247"/>
    <n v="0"/>
    <n v="280701.96857999999"/>
    <s v="Indonesia"/>
  </r>
  <r>
    <x v="6"/>
    <s v="RCS POD"/>
    <s v="Heating holder"/>
    <s v="130010390000215"/>
    <s v="JEE"/>
    <s v="unique"/>
    <s v="Plastic"/>
    <x v="0"/>
    <x v="1"/>
    <d v="2024-10-25T00:00:00"/>
    <n v="0.5"/>
    <n v="8.678151776003247E-2"/>
    <n v="0.11564226045950222"/>
    <n v="2.8860742699469755E-2"/>
    <n v="1.4430371349734877E-2"/>
    <n v="1"/>
    <n v="8.678151776003247E-2"/>
    <n v="136763959"/>
    <n v="136763959"/>
    <x v="25"/>
    <x v="202"/>
    <s v="PCTG TX1501HF"/>
    <m/>
    <n v="0.31"/>
    <s v="Eastman"/>
    <m/>
    <n v="0"/>
    <x v="248"/>
    <n v="0"/>
    <n v="42396.827290000001"/>
    <s v="Indonesia"/>
  </r>
  <r>
    <x v="6"/>
    <s v="RCS POD"/>
    <s v="Heater top cover"/>
    <s v="130010390000216"/>
    <s v="JEE"/>
    <s v="unique"/>
    <s v="Plastic"/>
    <x v="0"/>
    <x v="1"/>
    <d v="2024-10-25T00:00:00"/>
    <n v="0.5"/>
    <n v="9.5833382481798193E-2"/>
    <n v="0.12512128307326006"/>
    <n v="2.9287900591461875E-2"/>
    <n v="1.4643950295730937E-2"/>
    <n v="1"/>
    <n v="9.5833382481798193E-2"/>
    <n v="135382134"/>
    <n v="135382134"/>
    <x v="26"/>
    <x v="203"/>
    <s v="PCTG TX1501HF"/>
    <m/>
    <n v="0.5"/>
    <s v="Eastman"/>
    <m/>
    <n v="0"/>
    <x v="249"/>
    <n v="0"/>
    <n v="67691.066999999995"/>
    <s v="Indonesia"/>
  </r>
  <r>
    <x v="6"/>
    <s v="RCS POD"/>
    <s v="Cartomizer holder tap"/>
    <s v="130010390000221"/>
    <s v="JEE"/>
    <s v="unique"/>
    <s v="Plastic"/>
    <x v="0"/>
    <x v="1"/>
    <d v="2024-10-25T00:00:00"/>
    <n v="0.5"/>
    <n v="0.11296999999999974"/>
    <n v="0.13241075494174459"/>
    <n v="1.944075494174485E-2"/>
    <n v="9.7203774708724249E-3"/>
    <n v="1"/>
    <n v="0.11296999999999974"/>
    <n v="135481208"/>
    <n v="135481208"/>
    <x v="27"/>
    <x v="204"/>
    <s v="PC2456"/>
    <m/>
    <n v="1.29"/>
    <s v="Covestro"/>
    <m/>
    <n v="0"/>
    <x v="250"/>
    <n v="0"/>
    <n v="174770.75831999999"/>
    <s v="Indonesia"/>
  </r>
  <r>
    <x v="6"/>
    <s v="RCS POD"/>
    <s v="Cartomizer tube"/>
    <s v="130010390000214"/>
    <s v="JEE"/>
    <s v="unique"/>
    <s v="Plastic"/>
    <x v="0"/>
    <x v="2"/>
    <d v="2024-10-25T00:00:00"/>
    <n v="0.5"/>
    <n v="0.2716898724654021"/>
    <n v="0.34804527431608795"/>
    <n v="7.6355401850685817E-2"/>
    <n v="3.8177700925342908E-2"/>
    <n v="1"/>
    <n v="0.2716898724654021"/>
    <n v="15291394"/>
    <n v="149598556"/>
    <x v="24"/>
    <x v="205"/>
    <s v="PCTG TX1501HF"/>
    <m/>
    <n v="2.09"/>
    <s v="Eastman"/>
    <m/>
    <n v="0"/>
    <x v="251"/>
    <n v="0"/>
    <n v="31959.013459999998"/>
    <s v="Indonesia"/>
  </r>
  <r>
    <x v="6"/>
    <s v="RCS POD"/>
    <s v="Heating holder"/>
    <s v="130010390000215"/>
    <s v="JEE"/>
    <s v="unique"/>
    <s v="Plastic"/>
    <x v="0"/>
    <x v="2"/>
    <d v="2024-10-25T00:00:00"/>
    <n v="0.5"/>
    <n v="8.678151776003247E-2"/>
    <n v="0.11564226045950222"/>
    <n v="2.8860742699469755E-2"/>
    <n v="1.4430371349734877E-2"/>
    <n v="1"/>
    <n v="8.678151776003247E-2"/>
    <n v="15332028"/>
    <n v="152095987"/>
    <x v="25"/>
    <x v="206"/>
    <s v="PCTG TX1501HF"/>
    <m/>
    <n v="0.31"/>
    <s v="Eastman"/>
    <m/>
    <n v="0"/>
    <x v="252"/>
    <n v="0"/>
    <n v="4752.92868"/>
    <s v="Indonesia"/>
  </r>
  <r>
    <x v="6"/>
    <s v="RCS POD"/>
    <s v="Heater top cover"/>
    <s v="130010390000216"/>
    <s v="JEE"/>
    <s v="unique"/>
    <s v="Plastic"/>
    <x v="0"/>
    <x v="2"/>
    <d v="2024-10-25T00:00:00"/>
    <n v="0.5"/>
    <n v="9.5833382481798193E-2"/>
    <n v="0.12512128307326006"/>
    <n v="2.9287900591461875E-2"/>
    <n v="1.4643950295730937E-2"/>
    <n v="1"/>
    <n v="9.5833382481798193E-2"/>
    <n v="15284028"/>
    <n v="150666162"/>
    <x v="26"/>
    <x v="207"/>
    <s v="PCTG TX1501HF"/>
    <m/>
    <n v="0.5"/>
    <s v="Eastman"/>
    <m/>
    <n v="0"/>
    <x v="253"/>
    <n v="0"/>
    <n v="7642.0140000000001"/>
    <s v="Indonesia"/>
  </r>
  <r>
    <x v="6"/>
    <s v="RCS POD"/>
    <s v="Cartomizer holder tap"/>
    <s v="130010390000221"/>
    <s v="JEE"/>
    <s v="unique"/>
    <s v="Plastic"/>
    <x v="0"/>
    <x v="2"/>
    <d v="2024-10-25T00:00:00"/>
    <n v="0.5"/>
    <n v="0.11296999999999974"/>
    <n v="0.13241075494174459"/>
    <n v="1.944075494174485E-2"/>
    <n v="9.7203774708724249E-3"/>
    <n v="1"/>
    <n v="0.11296999999999974"/>
    <n v="15260000"/>
    <n v="150741208"/>
    <x v="27"/>
    <x v="208"/>
    <s v="PC2456"/>
    <m/>
    <n v="1.29"/>
    <s v="Covestro"/>
    <m/>
    <n v="0"/>
    <x v="254"/>
    <n v="0"/>
    <n v="19685.400000000001"/>
    <s v="Indonesia"/>
  </r>
  <r>
    <x v="6"/>
    <s v="RCS POD"/>
    <s v="Cartomizer tube"/>
    <s v="130010390000214"/>
    <s v="JEE"/>
    <s v="unique"/>
    <s v="Plastic"/>
    <x v="0"/>
    <x v="3"/>
    <d v="2024-10-25T00:00:00"/>
    <n v="0.5"/>
    <n v="0.2716898724654021"/>
    <n v="0.34804527431608795"/>
    <n v="7.6355401850685817E-2"/>
    <n v="3.8177700925342908E-2"/>
    <n v="1"/>
    <n v="0.2716898724654021"/>
    <n v="14267360"/>
    <n v="163865916"/>
    <x v="24"/>
    <x v="209"/>
    <s v="PCTG TX1501HF"/>
    <m/>
    <n v="2.09"/>
    <s v="Eastman"/>
    <m/>
    <n v="0"/>
    <x v="255"/>
    <n v="0"/>
    <n v="29818.7824"/>
    <s v="Indonesia"/>
  </r>
  <r>
    <x v="6"/>
    <s v="RCS POD"/>
    <s v="Heating holder"/>
    <s v="130010390000215"/>
    <s v="JEE"/>
    <s v="unique"/>
    <s v="Plastic"/>
    <x v="0"/>
    <x v="3"/>
    <d v="2024-10-25T00:00:00"/>
    <n v="0.5"/>
    <n v="8.678151776003247E-2"/>
    <n v="0.11564226045950222"/>
    <n v="2.8860742699469755E-2"/>
    <n v="1.4430371349734877E-2"/>
    <n v="1"/>
    <n v="8.678151776003247E-2"/>
    <n v="13964028"/>
    <n v="166060015"/>
    <x v="25"/>
    <x v="210"/>
    <s v="PCTG TX1501HF"/>
    <m/>
    <n v="0.31"/>
    <s v="Eastman"/>
    <m/>
    <n v="0"/>
    <x v="256"/>
    <n v="0"/>
    <n v="4328.8486800000001"/>
    <s v="Indonesia"/>
  </r>
  <r>
    <x v="6"/>
    <s v="RCS POD"/>
    <s v="Heater top cover"/>
    <s v="130010390000216"/>
    <s v="JEE"/>
    <s v="unique"/>
    <s v="Plastic"/>
    <x v="0"/>
    <x v="3"/>
    <d v="2024-10-25T00:00:00"/>
    <n v="0.5"/>
    <n v="9.5833382481798193E-2"/>
    <n v="0.12512128307326006"/>
    <n v="2.9287900591461875E-2"/>
    <n v="1.4643950295730937E-2"/>
    <n v="1"/>
    <n v="9.5833382481798193E-2"/>
    <n v="14148000"/>
    <n v="164814162"/>
    <x v="26"/>
    <x v="211"/>
    <s v="PCTG TX1501HF"/>
    <m/>
    <n v="0.5"/>
    <s v="Eastman"/>
    <m/>
    <n v="0"/>
    <x v="257"/>
    <n v="0"/>
    <n v="7074"/>
    <s v="Indonesia"/>
  </r>
  <r>
    <x v="6"/>
    <s v="RCS POD"/>
    <s v="Cartomizer holder tap"/>
    <s v="130010390000221"/>
    <s v="JEE"/>
    <s v="unique"/>
    <s v="Plastic"/>
    <x v="0"/>
    <x v="3"/>
    <d v="2024-10-25T00:00:00"/>
    <n v="0.5"/>
    <n v="0.11296999999999974"/>
    <n v="0.13241075494174459"/>
    <n v="1.944075494174485E-2"/>
    <n v="9.7203774708724249E-3"/>
    <n v="1"/>
    <n v="0.11296999999999974"/>
    <n v="13800000"/>
    <n v="164541208"/>
    <x v="27"/>
    <x v="212"/>
    <s v="PC2456"/>
    <m/>
    <n v="1.29"/>
    <s v="Covestro"/>
    <m/>
    <n v="0"/>
    <x v="258"/>
    <n v="0"/>
    <n v="17802"/>
    <s v="Indonesia"/>
  </r>
  <r>
    <x v="6"/>
    <s v="RCS POD"/>
    <s v="Cartomizer tube"/>
    <s v="130010390000214"/>
    <s v="JEE"/>
    <s v="unique"/>
    <s v="Plastic"/>
    <x v="0"/>
    <x v="4"/>
    <d v="2024-10-25T00:00:00"/>
    <n v="0.5"/>
    <n v="0.2716898724654021"/>
    <n v="0.34804527431608795"/>
    <n v="7.6355401850685817E-2"/>
    <n v="3.8177700925342908E-2"/>
    <n v="1"/>
    <n v="0.2716898724654021"/>
    <n v="14510877"/>
    <n v="178376793"/>
    <x v="24"/>
    <x v="213"/>
    <s v="PCTG TX1501HF"/>
    <m/>
    <n v="2.09"/>
    <s v="Eastman"/>
    <m/>
    <n v="0"/>
    <x v="259"/>
    <n v="0"/>
    <n v="30327.732929999998"/>
    <s v="Indonesia"/>
  </r>
  <r>
    <x v="6"/>
    <s v="RCS POD"/>
    <s v="Heating holder"/>
    <s v="130010390000215"/>
    <s v="JEE"/>
    <s v="unique"/>
    <s v="Plastic"/>
    <x v="0"/>
    <x v="4"/>
    <d v="2024-10-25T00:00:00"/>
    <n v="0.5"/>
    <n v="8.678151776003247E-2"/>
    <n v="0.11564226045950222"/>
    <n v="2.8860742699469755E-2"/>
    <n v="1.4430371349734877E-2"/>
    <n v="1"/>
    <n v="8.678151776003247E-2"/>
    <n v="14552877"/>
    <n v="180612892"/>
    <x v="25"/>
    <x v="214"/>
    <s v="PCTG TX1501HF"/>
    <m/>
    <n v="0.31"/>
    <s v="Eastman"/>
    <m/>
    <n v="0"/>
    <x v="260"/>
    <n v="0"/>
    <n v="4511.3918700000004"/>
    <s v="Indonesia"/>
  </r>
  <r>
    <x v="6"/>
    <s v="RCS POD"/>
    <s v="Heater top cover"/>
    <s v="130010390000216"/>
    <s v="JEE"/>
    <s v="unique"/>
    <s v="Plastic"/>
    <x v="0"/>
    <x v="4"/>
    <d v="2024-10-25T00:00:00"/>
    <n v="0.5"/>
    <n v="9.5833382481798193E-2"/>
    <n v="0.12512128307326006"/>
    <n v="2.9287900591461875E-2"/>
    <n v="1.4643950295730937E-2"/>
    <n v="1"/>
    <n v="9.5833382481798193E-2"/>
    <n v="14472877"/>
    <n v="179287039"/>
    <x v="26"/>
    <x v="215"/>
    <s v="PCTG TX1501HF"/>
    <m/>
    <n v="0.5"/>
    <s v="Eastman"/>
    <m/>
    <n v="0"/>
    <x v="261"/>
    <n v="0"/>
    <n v="7236.4385000000002"/>
    <s v="Indonesia"/>
  </r>
  <r>
    <x v="6"/>
    <s v="RCS POD"/>
    <s v="Cartomizer holder tap"/>
    <s v="130010390000221"/>
    <s v="JEE"/>
    <s v="unique"/>
    <s v="Plastic"/>
    <x v="0"/>
    <x v="4"/>
    <d v="2024-10-25T00:00:00"/>
    <n v="0.5"/>
    <n v="0.11296999999999974"/>
    <n v="0.13241075494174459"/>
    <n v="1.944075494174485E-2"/>
    <n v="9.7203774708724249E-3"/>
    <n v="1"/>
    <n v="0.11296999999999974"/>
    <n v="14400000"/>
    <n v="178941208"/>
    <x v="27"/>
    <x v="216"/>
    <s v="PC2456"/>
    <m/>
    <n v="1.29"/>
    <s v="Covestro"/>
    <m/>
    <n v="0"/>
    <x v="262"/>
    <n v="0"/>
    <n v="18576"/>
    <s v="Indonesia"/>
  </r>
  <r>
    <x v="6"/>
    <s v="RCS POD"/>
    <s v="Cartomizer tube"/>
    <s v="130010390000214"/>
    <s v="JEE"/>
    <s v="unique"/>
    <s v="Plastic"/>
    <x v="0"/>
    <x v="5"/>
    <d v="2024-10-25T00:00:00"/>
    <n v="0.5"/>
    <n v="0.2716898724654021"/>
    <n v="0.34804527431608795"/>
    <n v="7.6355401850685817E-2"/>
    <n v="3.8177700925342908E-2"/>
    <n v="1"/>
    <n v="0.2716898724654021"/>
    <n v="8514128"/>
    <n v="186890921"/>
    <x v="24"/>
    <x v="217"/>
    <s v="PCTG TX1501HF"/>
    <m/>
    <n v="2.09"/>
    <s v="Eastman"/>
    <m/>
    <n v="0"/>
    <x v="263"/>
    <n v="0"/>
    <n v="17794.52752"/>
    <s v="Indonesia"/>
  </r>
  <r>
    <x v="6"/>
    <s v="RCS POD"/>
    <s v="Heating holder"/>
    <s v="130010390000215"/>
    <s v="JEE"/>
    <s v="unique"/>
    <s v="Plastic"/>
    <x v="0"/>
    <x v="5"/>
    <d v="2024-10-25T00:00:00"/>
    <n v="0.5"/>
    <n v="8.678151776003247E-2"/>
    <n v="0.11564226045950222"/>
    <n v="2.8860742699469755E-2"/>
    <n v="1.4430371349734877E-2"/>
    <n v="1"/>
    <n v="8.678151776003247E-2"/>
    <n v="8400000"/>
    <n v="189012892"/>
    <x v="25"/>
    <x v="218"/>
    <s v="PCTG TX1501HF"/>
    <m/>
    <n v="0.31"/>
    <s v="Eastman"/>
    <m/>
    <n v="0"/>
    <x v="264"/>
    <n v="0"/>
    <n v="2604"/>
    <s v="Indonesia"/>
  </r>
  <r>
    <x v="6"/>
    <s v="RCS POD"/>
    <s v="Heater top cover"/>
    <s v="130010390000216"/>
    <s v="JEE"/>
    <s v="unique"/>
    <s v="Plastic"/>
    <x v="0"/>
    <x v="5"/>
    <d v="2024-10-25T00:00:00"/>
    <n v="0.5"/>
    <n v="9.5833382481798193E-2"/>
    <n v="0.12512128307326006"/>
    <n v="2.9287900591461875E-2"/>
    <n v="1.4643950295730937E-2"/>
    <n v="1"/>
    <n v="9.5833382481798193E-2"/>
    <n v="9072028"/>
    <n v="188359067"/>
    <x v="26"/>
    <x v="219"/>
    <s v="PCTG TX1501HF"/>
    <m/>
    <n v="0.5"/>
    <s v="Eastman"/>
    <m/>
    <n v="0"/>
    <x v="265"/>
    <n v="0"/>
    <n v="4536.0140000000001"/>
    <s v="Indonesia"/>
  </r>
  <r>
    <x v="6"/>
    <s v="RCS POD"/>
    <s v="Cartomizer holder tap"/>
    <s v="130010390000221"/>
    <s v="JEE"/>
    <s v="unique"/>
    <s v="Plastic"/>
    <x v="0"/>
    <x v="5"/>
    <d v="2024-10-25T00:00:00"/>
    <n v="0.5"/>
    <n v="0.11296999999999974"/>
    <n v="0.13241075494174459"/>
    <n v="1.944075494174485E-2"/>
    <n v="9.7203774708724249E-3"/>
    <n v="1"/>
    <n v="0.11296999999999974"/>
    <n v="8940000"/>
    <n v="187881208"/>
    <x v="27"/>
    <x v="220"/>
    <s v="PC2456"/>
    <m/>
    <n v="1.29"/>
    <s v="Covestro"/>
    <m/>
    <n v="0"/>
    <x v="266"/>
    <n v="0"/>
    <n v="11532.6"/>
    <s v="Indonesia"/>
  </r>
  <r>
    <x v="6"/>
    <s v="RCS POD"/>
    <s v="Cartomizer tube"/>
    <s v="130010390000214"/>
    <s v="JEE"/>
    <s v="unique"/>
    <s v="Plastic"/>
    <x v="0"/>
    <x v="6"/>
    <d v="2024-10-25T00:00:00"/>
    <n v="0.5"/>
    <n v="0.2716898724654021"/>
    <n v="0.34804527431608795"/>
    <n v="7.6355401850685817E-2"/>
    <n v="3.8177700925342908E-2"/>
    <n v="1"/>
    <n v="0.2716898724654021"/>
    <n v="12626474"/>
    <n v="199517395"/>
    <x v="24"/>
    <x v="221"/>
    <s v="PCTG TX1501HF"/>
    <m/>
    <n v="2.09"/>
    <s v="Eastman"/>
    <m/>
    <n v="0"/>
    <x v="267"/>
    <n v="0"/>
    <n v="26389.330659999996"/>
    <s v="Indonesia"/>
  </r>
  <r>
    <x v="6"/>
    <s v="RCS POD"/>
    <s v="Heating holder"/>
    <s v="130010390000215"/>
    <s v="JEE"/>
    <s v="unique"/>
    <s v="Plastic"/>
    <x v="0"/>
    <x v="6"/>
    <d v="2024-10-25T00:00:00"/>
    <n v="0.5"/>
    <n v="8.678151776003247E-2"/>
    <n v="0.11564226045950222"/>
    <n v="2.8860742699469755E-2"/>
    <n v="1.4430371349734877E-2"/>
    <n v="1"/>
    <n v="8.678151776003247E-2"/>
    <n v="12514034"/>
    <n v="201526926"/>
    <x v="25"/>
    <x v="222"/>
    <s v="PCTG TX1501HF"/>
    <m/>
    <n v="0.31"/>
    <s v="Eastman"/>
    <m/>
    <n v="0"/>
    <x v="268"/>
    <n v="0"/>
    <n v="3879.3505399999999"/>
    <s v="Indonesia"/>
  </r>
  <r>
    <x v="6"/>
    <s v="RCS POD"/>
    <s v="Heater top cover"/>
    <s v="130010390000216"/>
    <s v="JEE"/>
    <s v="unique"/>
    <s v="Plastic"/>
    <x v="0"/>
    <x v="6"/>
    <d v="2024-10-25T00:00:00"/>
    <n v="0.5"/>
    <n v="9.5833382481798193E-2"/>
    <n v="0.12512128307326006"/>
    <n v="2.9287900591461875E-2"/>
    <n v="1.4643950295730937E-2"/>
    <n v="1"/>
    <n v="9.5833382481798193E-2"/>
    <n v="12482034"/>
    <n v="200841101"/>
    <x v="26"/>
    <x v="223"/>
    <s v="PCTG TX1501HF"/>
    <m/>
    <n v="0.5"/>
    <s v="Eastman"/>
    <m/>
    <n v="0"/>
    <x v="269"/>
    <n v="0"/>
    <n v="6241.0169999999998"/>
    <s v="Indonesia"/>
  </r>
  <r>
    <x v="6"/>
    <s v="RCS POD"/>
    <s v="Cartomizer holder tap"/>
    <s v="130010390000221"/>
    <s v="JEE"/>
    <s v="unique"/>
    <s v="Plastic"/>
    <x v="0"/>
    <x v="6"/>
    <d v="2024-10-25T00:00:00"/>
    <n v="0.5"/>
    <n v="0.11296999999999974"/>
    <n v="0.13241075494174459"/>
    <n v="1.944075494174485E-2"/>
    <n v="9.7203774708724249E-3"/>
    <n v="1"/>
    <n v="0.11296999999999974"/>
    <n v="12600000"/>
    <n v="200481208"/>
    <x v="27"/>
    <x v="224"/>
    <s v="PC2456"/>
    <m/>
    <n v="1.29"/>
    <s v="Covestro"/>
    <m/>
    <n v="0"/>
    <x v="270"/>
    <n v="0"/>
    <n v="16254"/>
    <s v="Indonesia"/>
  </r>
  <r>
    <x v="6"/>
    <s v="RCS POD"/>
    <s v="Cartomizer tube"/>
    <s v="130010390000214"/>
    <s v="JEE"/>
    <s v="unique"/>
    <s v="Plastic"/>
    <x v="0"/>
    <x v="7"/>
    <d v="2024-10-25T00:00:00"/>
    <n v="0.5"/>
    <n v="0.2716898724654021"/>
    <n v="0.34804527431608795"/>
    <n v="7.6355401850685817E-2"/>
    <n v="3.8177700925342908E-2"/>
    <n v="1"/>
    <n v="0.2716898724654021"/>
    <n v="8913100"/>
    <n v="208430495"/>
    <x v="24"/>
    <x v="225"/>
    <s v="PCTG TX1501HF"/>
    <m/>
    <n v="2.09"/>
    <s v="Eastman"/>
    <m/>
    <n v="0"/>
    <x v="271"/>
    <n v="0"/>
    <n v="18628.379000000001"/>
    <s v="Indonesia"/>
  </r>
  <r>
    <x v="6"/>
    <s v="RCS POD"/>
    <s v="Heating holder"/>
    <s v="130010390000215"/>
    <s v="JEE"/>
    <s v="unique"/>
    <s v="Plastic"/>
    <x v="0"/>
    <x v="7"/>
    <d v="2024-10-25T00:00:00"/>
    <n v="0.5"/>
    <n v="8.678151776003247E-2"/>
    <n v="0.11564226045950222"/>
    <n v="2.8860742699469755E-2"/>
    <n v="1.4430371349734877E-2"/>
    <n v="1"/>
    <n v="8.678151776003247E-2"/>
    <n v="9000000"/>
    <n v="210526926"/>
    <x v="25"/>
    <x v="226"/>
    <s v="PCTG TX1501HF"/>
    <m/>
    <n v="0.31"/>
    <s v="Eastman"/>
    <m/>
    <n v="0"/>
    <x v="272"/>
    <n v="0"/>
    <n v="2790"/>
    <s v="Indonesia"/>
  </r>
  <r>
    <x v="6"/>
    <s v="RCS POD"/>
    <s v="Heater top cover"/>
    <s v="130010390000216"/>
    <s v="JEE"/>
    <s v="unique"/>
    <s v="Plastic"/>
    <x v="0"/>
    <x v="7"/>
    <d v="2024-10-25T00:00:00"/>
    <n v="0.5"/>
    <n v="9.5833382481798193E-2"/>
    <n v="0.12512128307326006"/>
    <n v="2.9287900591461875E-2"/>
    <n v="1.4643950295730937E-2"/>
    <n v="1"/>
    <n v="9.5833382481798193E-2"/>
    <n v="9152000"/>
    <n v="209993101"/>
    <x v="26"/>
    <x v="227"/>
    <s v="PCTG TX1501HF"/>
    <m/>
    <n v="0.5"/>
    <s v="Eastman"/>
    <m/>
    <n v="0"/>
    <x v="273"/>
    <n v="0"/>
    <n v="4576"/>
    <s v="Indonesia"/>
  </r>
  <r>
    <x v="6"/>
    <s v="RCS POD"/>
    <s v="Cartomizer holder tap"/>
    <s v="130010390000221"/>
    <s v="JEE"/>
    <s v="unique"/>
    <s v="Plastic"/>
    <x v="0"/>
    <x v="7"/>
    <d v="2024-10-25T00:00:00"/>
    <n v="0.5"/>
    <n v="0.11296999999999974"/>
    <n v="0.13241075494174459"/>
    <n v="1.944075494174485E-2"/>
    <n v="9.7203774708724249E-3"/>
    <n v="1"/>
    <n v="0.11296999999999974"/>
    <n v="8760000"/>
    <n v="209241208"/>
    <x v="27"/>
    <x v="228"/>
    <s v="PC2456"/>
    <m/>
    <n v="1.29"/>
    <s v="Covestro"/>
    <m/>
    <n v="0"/>
    <x v="274"/>
    <n v="0"/>
    <n v="11300.4"/>
    <s v="Indonesia"/>
  </r>
  <r>
    <x v="6"/>
    <s v="RCS POD"/>
    <s v="Cartomizer tube"/>
    <s v="130010390000214"/>
    <s v="JEE"/>
    <s v="unique"/>
    <s v="Plastic"/>
    <x v="0"/>
    <x v="8"/>
    <d v="2024-10-25T00:00:00"/>
    <n v="0.5"/>
    <n v="0.2716898724654021"/>
    <n v="0.34804527431608795"/>
    <n v="7.6355401850685817E-2"/>
    <n v="3.8177700925342908E-2"/>
    <n v="1"/>
    <n v="0.2716898724654021"/>
    <n v="7580300"/>
    <n v="216010795"/>
    <x v="24"/>
    <x v="229"/>
    <s v="PCTG TX1501HF"/>
    <m/>
    <n v="2.09"/>
    <s v="Eastman"/>
    <m/>
    <n v="0"/>
    <x v="275"/>
    <n v="0"/>
    <n v="15842.826999999997"/>
    <s v="Indonesia"/>
  </r>
  <r>
    <x v="6"/>
    <s v="RCS POD"/>
    <s v="Heating holder"/>
    <s v="130010390000215"/>
    <s v="JEE"/>
    <s v="unique"/>
    <s v="Plastic"/>
    <x v="0"/>
    <x v="8"/>
    <d v="2024-10-25T00:00:00"/>
    <n v="0.5"/>
    <n v="8.678151776003247E-2"/>
    <n v="0.11564226045950222"/>
    <n v="2.8860742699469755E-2"/>
    <n v="1.4430371349734877E-2"/>
    <n v="1"/>
    <n v="8.678151776003247E-2"/>
    <n v="7440000"/>
    <n v="217966926"/>
    <x v="25"/>
    <x v="230"/>
    <s v="PCTG TX1501HF"/>
    <m/>
    <n v="0.31"/>
    <s v="Eastman"/>
    <m/>
    <n v="0"/>
    <x v="276"/>
    <n v="0"/>
    <n v="2306.4"/>
    <s v="Indonesia"/>
  </r>
  <r>
    <x v="6"/>
    <s v="RCS POD"/>
    <s v="Heater top cover"/>
    <s v="130010390000216"/>
    <s v="JEE"/>
    <s v="unique"/>
    <s v="Plastic"/>
    <x v="0"/>
    <x v="8"/>
    <d v="2024-10-25T00:00:00"/>
    <n v="0.5"/>
    <n v="9.5833382481798193E-2"/>
    <n v="0.12512128307326006"/>
    <n v="2.9287900591461875E-2"/>
    <n v="1.4643950295730937E-2"/>
    <n v="1"/>
    <n v="9.5833382481798193E-2"/>
    <n v="7488000"/>
    <n v="217481101"/>
    <x v="26"/>
    <x v="231"/>
    <s v="PCTG TX1501HF"/>
    <m/>
    <n v="0.5"/>
    <s v="Eastman"/>
    <m/>
    <n v="0"/>
    <x v="277"/>
    <n v="0"/>
    <n v="3744"/>
    <s v="Indonesia"/>
  </r>
  <r>
    <x v="6"/>
    <s v="RCS POD"/>
    <s v="Cartomizer holder tap"/>
    <s v="130010390000221"/>
    <s v="JEE"/>
    <s v="unique"/>
    <s v="Plastic"/>
    <x v="0"/>
    <x v="8"/>
    <d v="2024-10-25T00:00:00"/>
    <n v="0.5"/>
    <n v="0.11296999999999974"/>
    <n v="0.13241075494174459"/>
    <n v="1.944075494174485E-2"/>
    <n v="9.7203774708724249E-3"/>
    <n v="1"/>
    <n v="0.11296999999999974"/>
    <n v="7440000"/>
    <n v="216681208"/>
    <x v="27"/>
    <x v="232"/>
    <s v="PC2456"/>
    <m/>
    <n v="1.29"/>
    <s v="Covestro"/>
    <m/>
    <n v="0"/>
    <x v="278"/>
    <n v="0"/>
    <n v="9597.6"/>
    <s v="Indonesia"/>
  </r>
  <r>
    <x v="6"/>
    <s v="RCS POD"/>
    <s v="Cartomizer tube"/>
    <s v="130010390000214"/>
    <s v="JEE"/>
    <s v="unique"/>
    <s v="Plastic"/>
    <x v="0"/>
    <x v="9"/>
    <d v="2024-10-25T00:00:00"/>
    <n v="0.5"/>
    <n v="0.2716898724654021"/>
    <n v="0.34804527431608795"/>
    <n v="7.6355401850685817E-2"/>
    <n v="3.8177700925342908E-2"/>
    <n v="1"/>
    <n v="0.2716898724654021"/>
    <n v="5414500"/>
    <n v="221425295"/>
    <x v="24"/>
    <x v="233"/>
    <s v="PCTG TX1501HF"/>
    <m/>
    <n v="2.09"/>
    <s v="Eastman"/>
    <m/>
    <n v="0"/>
    <x v="279"/>
    <n v="0"/>
    <n v="11316.305"/>
    <s v="Indonesia"/>
  </r>
  <r>
    <x v="6"/>
    <s v="RCS POD"/>
    <s v="Heating holder"/>
    <s v="130010390000215"/>
    <s v="JEE"/>
    <s v="unique"/>
    <s v="Plastic"/>
    <x v="0"/>
    <x v="9"/>
    <d v="2024-10-25T00:00:00"/>
    <n v="0.5"/>
    <n v="8.678151776003247E-2"/>
    <n v="0.11564226045950222"/>
    <n v="2.8860742699469755E-2"/>
    <n v="1.4430371349734877E-2"/>
    <n v="1"/>
    <n v="8.678151776003247E-2"/>
    <n v="5760000"/>
    <n v="223726926"/>
    <x v="25"/>
    <x v="234"/>
    <s v="PCTG TX1501HF"/>
    <m/>
    <n v="0.31"/>
    <s v="Eastman"/>
    <m/>
    <n v="0"/>
    <x v="280"/>
    <n v="0"/>
    <n v="1785.6"/>
    <s v="Indonesia"/>
  </r>
  <r>
    <x v="6"/>
    <s v="RCS POD"/>
    <s v="Heater top cover"/>
    <s v="130010390000216"/>
    <s v="JEE"/>
    <s v="unique"/>
    <s v="Plastic"/>
    <x v="0"/>
    <x v="9"/>
    <d v="2024-10-25T00:00:00"/>
    <n v="0.5"/>
    <n v="9.5833382481798193E-2"/>
    <n v="0.12512128307326006"/>
    <n v="2.9287900591461875E-2"/>
    <n v="1.4643950295730937E-2"/>
    <n v="1"/>
    <n v="9.5833382481798193E-2"/>
    <n v="5920000"/>
    <n v="223401101"/>
    <x v="26"/>
    <x v="235"/>
    <s v="PCTG TX1501HF"/>
    <m/>
    <n v="0.5"/>
    <s v="Eastman"/>
    <m/>
    <n v="0"/>
    <x v="281"/>
    <n v="0"/>
    <n v="2960"/>
    <s v="Indonesia"/>
  </r>
  <r>
    <x v="6"/>
    <s v="RCS POD"/>
    <s v="Cartomizer holder tap"/>
    <s v="130010390000221"/>
    <s v="JEE"/>
    <s v="unique"/>
    <s v="Plastic"/>
    <x v="0"/>
    <x v="9"/>
    <d v="2024-10-25T00:00:00"/>
    <n v="0.5"/>
    <n v="0.11296999999999974"/>
    <n v="0.13241075494174459"/>
    <n v="1.944075494174485E-2"/>
    <n v="9.7203774708724249E-3"/>
    <n v="1"/>
    <n v="0.11296999999999974"/>
    <n v="5712000"/>
    <n v="222393208"/>
    <x v="27"/>
    <x v="236"/>
    <s v="PC2456"/>
    <m/>
    <n v="1.29"/>
    <s v="Covestro"/>
    <m/>
    <n v="0"/>
    <x v="282"/>
    <n v="0"/>
    <n v="7368.48"/>
    <s v="Indonesia"/>
  </r>
  <r>
    <x v="6"/>
    <s v="RCS POD"/>
    <s v="Cartomizer tube"/>
    <s v="130010390000214"/>
    <s v="JEE"/>
    <s v="unique"/>
    <s v="Plastic"/>
    <x v="0"/>
    <x v="10"/>
    <d v="2024-10-25T00:00:00"/>
    <n v="0.5"/>
    <n v="0.2716898724654021"/>
    <n v="0.34804527431608795"/>
    <n v="7.6355401850685817E-2"/>
    <n v="3.8177700925342908E-2"/>
    <n v="1"/>
    <n v="0.2716898724654021"/>
    <n v="5360879"/>
    <n v="226786174"/>
    <x v="24"/>
    <x v="237"/>
    <s v="PCTG TX1501HF"/>
    <m/>
    <n v="2.09"/>
    <s v="Eastman"/>
    <m/>
    <n v="0"/>
    <x v="283"/>
    <n v="0"/>
    <n v="11204.23711"/>
    <s v="Indonesia"/>
  </r>
  <r>
    <x v="6"/>
    <s v="RCS POD"/>
    <s v="Heating holder"/>
    <s v="130010390000215"/>
    <s v="JEE"/>
    <s v="unique"/>
    <s v="Plastic"/>
    <x v="0"/>
    <x v="10"/>
    <d v="2024-10-25T00:00:00"/>
    <n v="0.5"/>
    <n v="8.678151776003247E-2"/>
    <n v="0.11564226045950222"/>
    <n v="2.8860742699469755E-2"/>
    <n v="1.4430371349734877E-2"/>
    <n v="1"/>
    <n v="8.678151776003247E-2"/>
    <n v="5212679"/>
    <n v="228939605"/>
    <x v="25"/>
    <x v="238"/>
    <s v="PCTG TX1501HF"/>
    <m/>
    <n v="0.31"/>
    <s v="Eastman"/>
    <m/>
    <n v="0"/>
    <x v="284"/>
    <n v="0"/>
    <n v="1615.93049"/>
    <s v="Indonesia"/>
  </r>
  <r>
    <x v="6"/>
    <s v="RCS POD"/>
    <s v="Heater top cover"/>
    <s v="130010390000216"/>
    <s v="JEE"/>
    <s v="unique"/>
    <s v="Plastic"/>
    <x v="0"/>
    <x v="10"/>
    <d v="2024-10-25T00:00:00"/>
    <n v="0.5"/>
    <n v="9.5833382481798193E-2"/>
    <n v="0.12512128307326006"/>
    <n v="2.9287900591461875E-2"/>
    <n v="1.4643950295730937E-2"/>
    <n v="1"/>
    <n v="9.5833382481798193E-2"/>
    <n v="5212679"/>
    <n v="228613780"/>
    <x v="26"/>
    <x v="239"/>
    <s v="PCTG TX1501HF"/>
    <m/>
    <n v="0.5"/>
    <s v="Eastman"/>
    <m/>
    <n v="0"/>
    <x v="285"/>
    <n v="0"/>
    <n v="2606.3395"/>
    <s v="Indonesia"/>
  </r>
  <r>
    <x v="6"/>
    <s v="RCS POD"/>
    <s v="Cartomizer holder tap"/>
    <s v="130010390000221"/>
    <s v="JEE"/>
    <s v="unique"/>
    <s v="Plastic"/>
    <x v="0"/>
    <x v="10"/>
    <d v="2024-10-25T00:00:00"/>
    <n v="0.5"/>
    <n v="0.11296999999999974"/>
    <n v="0.13241075494174459"/>
    <n v="1.944075494174485E-2"/>
    <n v="9.7203774708724249E-3"/>
    <n v="1"/>
    <n v="0.11296999999999974"/>
    <n v="5280000"/>
    <n v="227673208"/>
    <x v="27"/>
    <x v="240"/>
    <s v="PC2456"/>
    <m/>
    <n v="1.29"/>
    <s v="Covestro"/>
    <m/>
    <n v="0"/>
    <x v="286"/>
    <n v="0"/>
    <n v="6811.2"/>
    <s v="Indonesia"/>
  </r>
  <r>
    <x v="6"/>
    <s v="RCS POD"/>
    <s v="Cartomizer tube"/>
    <s v="130010390000214"/>
    <s v="JEE"/>
    <s v="unique"/>
    <s v="Plastic"/>
    <x v="0"/>
    <x v="11"/>
    <d v="2024-10-25T00:00:00"/>
    <n v="0.5"/>
    <n v="0.2716898724654021"/>
    <n v="0.34804527431608795"/>
    <n v="7.6355401850685817E-2"/>
    <n v="3.8177700925342908E-2"/>
    <n v="1"/>
    <n v="0.2716898724654021"/>
    <n v="6999100"/>
    <n v="233785274"/>
    <x v="24"/>
    <x v="241"/>
    <s v="PCTG TX1501HF"/>
    <m/>
    <n v="2.09"/>
    <s v="Eastman"/>
    <m/>
    <n v="0"/>
    <x v="287"/>
    <n v="0"/>
    <n v="14628.118999999999"/>
    <s v="Indonesia"/>
  </r>
  <r>
    <x v="6"/>
    <s v="RCS POD"/>
    <s v="Heating holder"/>
    <s v="130010390000215"/>
    <s v="JEE"/>
    <s v="unique"/>
    <s v="Plastic"/>
    <x v="0"/>
    <x v="11"/>
    <d v="2024-10-25T00:00:00"/>
    <n v="0.5"/>
    <n v="8.678151776003247E-2"/>
    <n v="0.11564226045950222"/>
    <n v="2.8860742699469755E-2"/>
    <n v="1.4430371349734877E-2"/>
    <n v="1"/>
    <n v="8.678151776003247E-2"/>
    <n v="7214000"/>
    <n v="236153605"/>
    <x v="25"/>
    <x v="242"/>
    <s v="PCTG TX1501HF"/>
    <m/>
    <n v="0.31"/>
    <s v="Eastman"/>
    <m/>
    <n v="0"/>
    <x v="288"/>
    <n v="0"/>
    <n v="2236.34"/>
    <s v="Indonesia"/>
  </r>
  <r>
    <x v="6"/>
    <s v="RCS POD"/>
    <s v="Heater top cover"/>
    <s v="130010390000216"/>
    <s v="JEE"/>
    <s v="unique"/>
    <s v="Plastic"/>
    <x v="0"/>
    <x v="11"/>
    <d v="2024-10-25T00:00:00"/>
    <n v="0.5"/>
    <n v="9.5833382481798193E-2"/>
    <n v="0.12512128307326006"/>
    <n v="2.9287900591461875E-2"/>
    <n v="1.4643950295730937E-2"/>
    <n v="1"/>
    <n v="9.5833382481798193E-2"/>
    <n v="7062000"/>
    <n v="235675780"/>
    <x v="26"/>
    <x v="243"/>
    <s v="PCTG TX1501HF"/>
    <m/>
    <n v="0.5"/>
    <s v="Eastman"/>
    <m/>
    <n v="0"/>
    <x v="289"/>
    <n v="0"/>
    <n v="3531"/>
    <s v="Indonesia"/>
  </r>
  <r>
    <x v="6"/>
    <s v="RCS POD"/>
    <s v="Cartomizer holder tap"/>
    <s v="130010390000221"/>
    <s v="JEE"/>
    <s v="unique"/>
    <s v="Plastic"/>
    <x v="0"/>
    <x v="11"/>
    <d v="2024-10-25T00:00:00"/>
    <n v="0.5"/>
    <n v="0.11296999999999974"/>
    <n v="0.13241075494174459"/>
    <n v="1.944075494174485E-2"/>
    <n v="9.7203774708724249E-3"/>
    <n v="1"/>
    <n v="0.11296999999999974"/>
    <n v="7092000"/>
    <n v="234765208"/>
    <x v="27"/>
    <x v="244"/>
    <s v="PC2456"/>
    <m/>
    <n v="1.29"/>
    <s v="Covestro"/>
    <m/>
    <n v="0"/>
    <x v="290"/>
    <n v="0"/>
    <n v="9148.68"/>
    <s v="Indonesia"/>
  </r>
  <r>
    <x v="6"/>
    <s v="RCS POD"/>
    <s v="Cartomizer tube"/>
    <s v="130010390000214"/>
    <s v="JEE"/>
    <s v="unique"/>
    <s v="Plastic"/>
    <x v="0"/>
    <x v="0"/>
    <d v="2024-10-25T00:00:00"/>
    <n v="0.5"/>
    <n v="0.2716898724654021"/>
    <n v="0.34804527431608795"/>
    <n v="7.6355401850685817E-2"/>
    <n v="3.8177700925342908E-2"/>
    <n v="1"/>
    <n v="0.2716898724654021"/>
    <n v="9912700"/>
    <n v="243697974"/>
    <x v="24"/>
    <x v="245"/>
    <s v="PCTG TX1501HF"/>
    <m/>
    <n v="2.09"/>
    <s v="Eastman"/>
    <m/>
    <n v="0"/>
    <x v="291"/>
    <n v="0"/>
    <n v="20717.543000000001"/>
    <s v="Indonesia"/>
  </r>
  <r>
    <x v="6"/>
    <s v="RCS POD"/>
    <s v="Heating holder"/>
    <s v="130010390000215"/>
    <s v="JEE"/>
    <s v="unique"/>
    <s v="Plastic"/>
    <x v="0"/>
    <x v="0"/>
    <d v="2024-10-25T00:00:00"/>
    <n v="0.5"/>
    <n v="8.678151776003247E-2"/>
    <n v="0.11564226045950222"/>
    <n v="2.8860742699469755E-2"/>
    <n v="1.4430371349734877E-2"/>
    <n v="1"/>
    <n v="8.678151776003247E-2"/>
    <n v="10499614"/>
    <n v="246653219"/>
    <x v="25"/>
    <x v="246"/>
    <s v="PCTG TX1501HF"/>
    <m/>
    <n v="0.31"/>
    <s v="Eastman"/>
    <m/>
    <n v="0"/>
    <x v="292"/>
    <n v="0"/>
    <n v="3254.8803399999997"/>
    <s v="Indonesia"/>
  </r>
  <r>
    <x v="6"/>
    <s v="RCS POD"/>
    <s v="Heater top cover"/>
    <s v="130010390000216"/>
    <s v="JEE"/>
    <s v="unique"/>
    <s v="Plastic"/>
    <x v="0"/>
    <x v="0"/>
    <d v="2024-10-25T00:00:00"/>
    <n v="0.5"/>
    <n v="9.5833382481798193E-2"/>
    <n v="0.12512128307326006"/>
    <n v="2.9287900591461875E-2"/>
    <n v="1.4643950295730937E-2"/>
    <n v="1"/>
    <n v="9.5833382481798193E-2"/>
    <n v="10811614"/>
    <n v="246487394"/>
    <x v="26"/>
    <x v="247"/>
    <s v="PCTG TX1501HF"/>
    <m/>
    <n v="0.5"/>
    <s v="Eastman"/>
    <m/>
    <n v="0"/>
    <x v="293"/>
    <n v="0"/>
    <n v="5405.8069999999998"/>
    <s v="Indonesia"/>
  </r>
  <r>
    <x v="6"/>
    <s v="RCS POD"/>
    <s v="Cartomizer holder tap"/>
    <s v="130010390000221"/>
    <s v="JEE"/>
    <s v="unique"/>
    <s v="Plastic"/>
    <x v="0"/>
    <x v="0"/>
    <d v="2024-10-25T00:00:00"/>
    <n v="0.5"/>
    <n v="0.11296999999999974"/>
    <n v="0.13241075494174459"/>
    <n v="1.944075494174485E-2"/>
    <n v="9.7203774708724249E-3"/>
    <n v="1"/>
    <n v="0.11296999999999974"/>
    <n v="10200000"/>
    <n v="244965208"/>
    <x v="27"/>
    <x v="248"/>
    <s v="PC2456"/>
    <m/>
    <n v="1.29"/>
    <s v="Covestro"/>
    <m/>
    <n v="0"/>
    <x v="294"/>
    <n v="0"/>
    <n v="13158"/>
    <s v="Indonesia"/>
  </r>
  <r>
    <x v="6"/>
    <s v="RCS POD"/>
    <s v="Cartomizer tube"/>
    <s v="130010390000214"/>
    <s v="JEE"/>
    <s v="unique"/>
    <s v="Plastic"/>
    <x v="1"/>
    <x v="1"/>
    <d v="2024-10-25T00:00:00"/>
    <n v="0.5"/>
    <n v="0.2716898724654021"/>
    <n v="0.34804527431608795"/>
    <n v="7.6355401850685817E-2"/>
    <n v="3.8177700925342908E-2"/>
    <n v="1"/>
    <n v="0.2716898724654021"/>
    <n v="11785814"/>
    <n v="255483788"/>
    <x v="24"/>
    <x v="249"/>
    <s v="PCTG TX1501HF"/>
    <m/>
    <n v="2.09"/>
    <s v="Eastman"/>
    <m/>
    <n v="0"/>
    <x v="295"/>
    <n v="0"/>
    <n v="24632.351259999999"/>
    <s v="Indonesia"/>
  </r>
  <r>
    <x v="6"/>
    <s v="RCS POD"/>
    <s v="Heating holder"/>
    <s v="130010390000215"/>
    <s v="JEE"/>
    <s v="unique"/>
    <s v="Plastic"/>
    <x v="1"/>
    <x v="1"/>
    <d v="2024-10-25T00:00:00"/>
    <n v="0.5"/>
    <n v="8.678151776003247E-2"/>
    <n v="0.11564226045950222"/>
    <n v="2.8860742699469755E-2"/>
    <n v="1.4430371349734877E-2"/>
    <n v="1"/>
    <n v="8.678151776003247E-2"/>
    <n v="11568000"/>
    <n v="258221219"/>
    <x v="25"/>
    <x v="250"/>
    <s v="PCTG TX1501HF"/>
    <m/>
    <n v="0.31"/>
    <s v="Eastman"/>
    <m/>
    <n v="0"/>
    <x v="296"/>
    <n v="0"/>
    <n v="3586.08"/>
    <s v="Indonesia"/>
  </r>
  <r>
    <x v="6"/>
    <s v="RCS POD"/>
    <s v="Heater top cover"/>
    <s v="130010390000216"/>
    <s v="JEE"/>
    <s v="unique"/>
    <s v="Plastic"/>
    <x v="1"/>
    <x v="1"/>
    <d v="2024-10-25T00:00:00"/>
    <n v="0.5"/>
    <n v="9.5833382481798193E-2"/>
    <n v="0.12512128307326006"/>
    <n v="2.9287900591461875E-2"/>
    <n v="1.4643950295730937E-2"/>
    <n v="1"/>
    <n v="9.5833382481798193E-2"/>
    <n v="11392000"/>
    <n v="257879394"/>
    <x v="26"/>
    <x v="251"/>
    <s v="PCTG TX1501HF"/>
    <m/>
    <n v="0.5"/>
    <s v="Eastman"/>
    <m/>
    <n v="0"/>
    <x v="297"/>
    <n v="0"/>
    <n v="5696"/>
    <s v="Indonesia"/>
  </r>
  <r>
    <x v="6"/>
    <s v="RCS POD"/>
    <s v="Cartomizer holder tap"/>
    <s v="130010390000221"/>
    <s v="JEE"/>
    <s v="unique"/>
    <s v="Plastic"/>
    <x v="1"/>
    <x v="1"/>
    <d v="2024-10-25T00:00:00"/>
    <n v="0.5"/>
    <n v="0.11296999999999974"/>
    <n v="0.13241075494174459"/>
    <n v="1.944075494174485E-2"/>
    <n v="9.7203774708724249E-3"/>
    <n v="1"/>
    <n v="0.11296999999999974"/>
    <n v="11700000"/>
    <n v="256665208"/>
    <x v="27"/>
    <x v="252"/>
    <s v="PC2456"/>
    <m/>
    <n v="1.29"/>
    <s v="Covestro"/>
    <m/>
    <n v="0"/>
    <x v="298"/>
    <n v="0"/>
    <n v="15093"/>
    <s v="Indonesia"/>
  </r>
  <r>
    <x v="6"/>
    <s v="RCS POD"/>
    <s v="Cartomizer tube"/>
    <s v="130010390000214"/>
    <s v="JEE"/>
    <s v="unique"/>
    <s v="Plastic"/>
    <x v="1"/>
    <x v="2"/>
    <d v="2024-10-25T00:00:00"/>
    <n v="0.5"/>
    <n v="0.2716898724654021"/>
    <n v="0.34804527431608795"/>
    <n v="7.6355401850685817E-2"/>
    <n v="3.8177700925342908E-2"/>
    <n v="1"/>
    <n v="0.2716898724654021"/>
    <n v="11495400"/>
    <n v="266979188"/>
    <x v="24"/>
    <x v="253"/>
    <s v="PCTG TX1501HF"/>
    <m/>
    <n v="2.09"/>
    <s v="Eastman"/>
    <m/>
    <n v="0"/>
    <x v="299"/>
    <n v="0"/>
    <n v="24025.385999999999"/>
    <s v="Indonesia"/>
  </r>
  <r>
    <x v="6"/>
    <s v="RCS POD"/>
    <s v="Heating holder"/>
    <s v="130010390000215"/>
    <s v="JEE"/>
    <s v="unique"/>
    <s v="Plastic"/>
    <x v="1"/>
    <x v="2"/>
    <d v="2024-10-25T00:00:00"/>
    <n v="0.5"/>
    <n v="8.678151776003247E-2"/>
    <n v="0.11564226045950222"/>
    <n v="2.8860742699469755E-2"/>
    <n v="1.4430371349734877E-2"/>
    <n v="1"/>
    <n v="8.678151776003247E-2"/>
    <n v="11520000"/>
    <n v="269741219"/>
    <x v="25"/>
    <x v="253"/>
    <s v="PCTG TX1501HF"/>
    <m/>
    <n v="0.31"/>
    <s v="Eastman"/>
    <m/>
    <n v="0"/>
    <x v="300"/>
    <n v="0"/>
    <n v="3571.2"/>
    <s v="Indonesia"/>
  </r>
  <r>
    <x v="6"/>
    <s v="RCS POD"/>
    <s v="Heater top cover"/>
    <s v="130010390000216"/>
    <s v="JEE"/>
    <s v="unique"/>
    <s v="Plastic"/>
    <x v="1"/>
    <x v="2"/>
    <d v="2024-10-25T00:00:00"/>
    <n v="0.5"/>
    <n v="9.5833382481798193E-2"/>
    <n v="0.12512128307326006"/>
    <n v="2.9287900591461875E-2"/>
    <n v="1.4643950295730937E-2"/>
    <n v="1"/>
    <n v="9.5833382481798193E-2"/>
    <n v="11520000"/>
    <n v="269399394"/>
    <x v="26"/>
    <x v="253"/>
    <s v="PCTG TX1501HF"/>
    <m/>
    <n v="0.5"/>
    <s v="Eastman"/>
    <m/>
    <n v="0"/>
    <x v="301"/>
    <n v="0"/>
    <n v="5760"/>
    <s v="Indonesia"/>
  </r>
  <r>
    <x v="6"/>
    <s v="RCS POD"/>
    <s v="Cartomizer holder tap"/>
    <s v="130010390000221"/>
    <s v="JEE"/>
    <s v="unique"/>
    <s v="Plastic"/>
    <x v="1"/>
    <x v="2"/>
    <d v="2024-10-25T00:00:00"/>
    <n v="0.5"/>
    <n v="0.11296999999999974"/>
    <n v="0.13241075494174459"/>
    <n v="1.944075494174485E-2"/>
    <n v="9.7203774708724249E-3"/>
    <n v="1"/>
    <n v="0.11296999999999974"/>
    <n v="11520000"/>
    <n v="268185208"/>
    <x v="27"/>
    <x v="253"/>
    <s v="PC2456"/>
    <m/>
    <n v="1.29"/>
    <s v="Covestro"/>
    <m/>
    <n v="0"/>
    <x v="302"/>
    <n v="0"/>
    <n v="14860.8"/>
    <s v="Indonesia"/>
  </r>
  <r>
    <x v="6"/>
    <s v="RCS POD"/>
    <s v="Cartomizer tube"/>
    <s v="130010390000214"/>
    <s v="JEE"/>
    <s v="unique"/>
    <s v="Plastic"/>
    <x v="1"/>
    <x v="3"/>
    <d v="2024-10-25T00:00:00"/>
    <n v="0.5"/>
    <n v="0.2716898724654021"/>
    <n v="0.34804527431608795"/>
    <n v="7.6355401850685817E-2"/>
    <n v="3.8177700925342908E-2"/>
    <n v="1"/>
    <n v="0.2716898724654021"/>
    <n v="12328400"/>
    <n v="279307588"/>
    <x v="24"/>
    <x v="253"/>
    <s v="PCTG TX1501HF"/>
    <m/>
    <n v="2.09"/>
    <s v="Eastman"/>
    <m/>
    <n v="0"/>
    <x v="303"/>
    <n v="0"/>
    <n v="25766.356"/>
    <s v="Indonesia"/>
  </r>
  <r>
    <x v="6"/>
    <s v="RCS POD"/>
    <s v="Heating holder"/>
    <s v="130010390000215"/>
    <s v="JEE"/>
    <s v="unique"/>
    <s v="Plastic"/>
    <x v="1"/>
    <x v="3"/>
    <d v="2024-10-25T00:00:00"/>
    <n v="0.5"/>
    <n v="8.678151776003247E-2"/>
    <n v="0.11564226045950222"/>
    <n v="2.8860742699469755E-2"/>
    <n v="1.4430371349734877E-2"/>
    <n v="1"/>
    <n v="8.678151776003247E-2"/>
    <n v="12600000"/>
    <n v="282341219"/>
    <x v="25"/>
    <x v="253"/>
    <s v="PCTG TX1501HF"/>
    <m/>
    <n v="0.31"/>
    <s v="Eastman"/>
    <m/>
    <n v="0"/>
    <x v="304"/>
    <n v="0"/>
    <n v="3906"/>
    <s v="Indonesia"/>
  </r>
  <r>
    <x v="6"/>
    <s v="RCS POD"/>
    <s v="Heater top cover"/>
    <s v="130010390000216"/>
    <s v="JEE"/>
    <s v="unique"/>
    <s v="Plastic"/>
    <x v="1"/>
    <x v="3"/>
    <d v="2024-10-25T00:00:00"/>
    <n v="0.5"/>
    <n v="9.5833382481798193E-2"/>
    <n v="0.12512128307326006"/>
    <n v="2.9287900591461875E-2"/>
    <n v="1.4643950295730937E-2"/>
    <n v="1"/>
    <n v="9.5833382481798193E-2"/>
    <n v="12512000"/>
    <n v="281911394"/>
    <x v="26"/>
    <x v="253"/>
    <s v="PCTG TX1501HF"/>
    <m/>
    <n v="0.5"/>
    <s v="Eastman"/>
    <m/>
    <n v="0"/>
    <x v="305"/>
    <n v="0"/>
    <n v="6256"/>
    <s v="Indonesia"/>
  </r>
  <r>
    <x v="6"/>
    <s v="RCS POD"/>
    <s v="Cartomizer holder tap"/>
    <s v="130010390000221"/>
    <s v="JEE"/>
    <s v="unique"/>
    <s v="Plastic"/>
    <x v="1"/>
    <x v="3"/>
    <d v="2024-10-25T00:00:00"/>
    <n v="0.5"/>
    <n v="0.11296999999999974"/>
    <n v="0.13241075494174459"/>
    <n v="1.944075494174485E-2"/>
    <n v="9.7203774708724249E-3"/>
    <n v="1"/>
    <n v="0.11296999999999974"/>
    <n v="12000000"/>
    <n v="280185208"/>
    <x v="27"/>
    <x v="253"/>
    <s v="PC2456"/>
    <m/>
    <n v="1.29"/>
    <s v="Covestro"/>
    <m/>
    <n v="0"/>
    <x v="306"/>
    <n v="0"/>
    <n v="15480"/>
    <s v="Indonesia"/>
  </r>
  <r>
    <x v="6"/>
    <s v="RCS POD"/>
    <s v="Cartomizer tube"/>
    <s v="130010390000214"/>
    <s v="JEE"/>
    <s v="unique"/>
    <s v="Plastic"/>
    <x v="1"/>
    <x v="4"/>
    <d v="2024-10-25T00:00:00"/>
    <n v="0.5"/>
    <n v="0.2716898724654021"/>
    <n v="0.34804527431608795"/>
    <n v="7.6355401850685817E-2"/>
    <n v="3.8177700925342908E-2"/>
    <n v="1"/>
    <n v="0.2716898724654021"/>
    <n v="7746900"/>
    <n v="287054488"/>
    <x v="24"/>
    <x v="253"/>
    <s v="PCTG TX1501HF"/>
    <m/>
    <n v="2.09"/>
    <s v="Eastman"/>
    <m/>
    <n v="0"/>
    <x v="307"/>
    <n v="0"/>
    <n v="16191.020999999999"/>
    <s v="Indonesia"/>
  </r>
  <r>
    <x v="6"/>
    <s v="RCS POD"/>
    <s v="Heating holder"/>
    <s v="130010390000215"/>
    <s v="JEE"/>
    <s v="unique"/>
    <s v="Plastic"/>
    <x v="1"/>
    <x v="4"/>
    <d v="2024-10-25T00:00:00"/>
    <n v="0.5"/>
    <n v="8.678151776003247E-2"/>
    <n v="0.11564226045950222"/>
    <n v="2.8860742699469755E-2"/>
    <n v="1.4430371349734877E-2"/>
    <n v="1"/>
    <n v="8.678151776003247E-2"/>
    <n v="7560000"/>
    <n v="289901219"/>
    <x v="25"/>
    <x v="253"/>
    <s v="PCTG TX1501HF"/>
    <m/>
    <n v="0.31"/>
    <s v="Eastman"/>
    <m/>
    <n v="0"/>
    <x v="308"/>
    <n v="0"/>
    <n v="2343.6"/>
    <s v="Indonesia"/>
  </r>
  <r>
    <x v="6"/>
    <s v="RCS POD"/>
    <s v="Heater top cover"/>
    <s v="130010390000216"/>
    <s v="JEE"/>
    <s v="unique"/>
    <s v="Plastic"/>
    <x v="1"/>
    <x v="4"/>
    <d v="2024-10-25T00:00:00"/>
    <n v="0.5"/>
    <n v="9.5833382481798193E-2"/>
    <n v="0.12512128307326006"/>
    <n v="2.9287900591461875E-2"/>
    <n v="1.4643950295730937E-2"/>
    <n v="1"/>
    <n v="9.5833382481798193E-2"/>
    <n v="7840000"/>
    <n v="289751394"/>
    <x v="26"/>
    <x v="253"/>
    <s v="PCTG TX1501HF"/>
    <m/>
    <n v="0.5"/>
    <s v="Eastman"/>
    <m/>
    <n v="0"/>
    <x v="309"/>
    <n v="0"/>
    <n v="3920"/>
    <s v="Indonesia"/>
  </r>
  <r>
    <x v="6"/>
    <s v="RCS POD"/>
    <s v="Cartomizer holder tap"/>
    <s v="130010390000221"/>
    <s v="JEE"/>
    <s v="unique"/>
    <s v="Plastic"/>
    <x v="1"/>
    <x v="4"/>
    <d v="2024-10-25T00:00:00"/>
    <n v="0.5"/>
    <n v="0.11296999999999974"/>
    <n v="0.13241075494174459"/>
    <n v="1.944075494174485E-2"/>
    <n v="9.7203774708724249E-3"/>
    <n v="1"/>
    <n v="0.11296999999999974"/>
    <n v="7980000"/>
    <n v="288165208"/>
    <x v="27"/>
    <x v="253"/>
    <s v="PC2456"/>
    <m/>
    <n v="1.29"/>
    <s v="Covestro"/>
    <m/>
    <n v="0"/>
    <x v="310"/>
    <n v="0"/>
    <n v="10294.200000000001"/>
    <s v="Indonesia"/>
  </r>
  <r>
    <x v="6"/>
    <s v="RCS POD"/>
    <s v="Cartomizer tube"/>
    <s v="130010390000214"/>
    <s v="JEE"/>
    <s v="unique"/>
    <s v="Plastic"/>
    <x v="1"/>
    <x v="5"/>
    <d v="2024-10-25T00:00:00"/>
    <n v="0.5"/>
    <n v="0.2716898724654021"/>
    <n v="0.34804527431608795"/>
    <n v="7.6355401850685817E-2"/>
    <n v="3.8177700925342908E-2"/>
    <n v="1"/>
    <n v="0.2716898724654021"/>
    <n v="15577050"/>
    <n v="302631538"/>
    <x v="24"/>
    <x v="253"/>
    <s v="PCTG TX1501HF"/>
    <m/>
    <n v="2.09"/>
    <s v="Eastman"/>
    <m/>
    <n v="0"/>
    <x v="311"/>
    <n v="0"/>
    <n v="32556.034499999998"/>
    <s v="Indonesia"/>
  </r>
  <r>
    <x v="6"/>
    <s v="RCS POD"/>
    <s v="Heating holder"/>
    <s v="130010390000215"/>
    <s v="JEE"/>
    <s v="unique"/>
    <s v="Plastic"/>
    <x v="1"/>
    <x v="5"/>
    <d v="2024-10-25T00:00:00"/>
    <n v="0.5"/>
    <n v="8.678151776003247E-2"/>
    <n v="0.11564226045950222"/>
    <n v="2.8860742699469755E-2"/>
    <n v="1.4430371349734877E-2"/>
    <n v="1"/>
    <n v="8.678151776003247E-2"/>
    <n v="14826030"/>
    <n v="304727249"/>
    <x v="25"/>
    <x v="253"/>
    <s v="PCTG TX1501HF"/>
    <m/>
    <n v="0.31"/>
    <s v="Eastman"/>
    <m/>
    <n v="0"/>
    <x v="312"/>
    <n v="0"/>
    <n v="4596.0693000000001"/>
    <s v="Indonesia"/>
  </r>
  <r>
    <x v="6"/>
    <s v="RCS POD"/>
    <s v="Heater top cover"/>
    <s v="130010390000216"/>
    <s v="JEE"/>
    <s v="unique"/>
    <s v="Plastic"/>
    <x v="1"/>
    <x v="5"/>
    <d v="2024-10-25T00:00:00"/>
    <n v="0.5"/>
    <n v="9.5833382481798193E-2"/>
    <n v="0.12512128307326006"/>
    <n v="2.9287900591461875E-2"/>
    <n v="1.4643950295730937E-2"/>
    <n v="1"/>
    <n v="9.5833382481798193E-2"/>
    <n v="15834030"/>
    <n v="305585424"/>
    <x v="26"/>
    <x v="253"/>
    <s v="PCTG TX1501HF"/>
    <m/>
    <n v="0.5"/>
    <s v="Eastman"/>
    <m/>
    <n v="0"/>
    <x v="313"/>
    <n v="0"/>
    <n v="7917.0150000000003"/>
    <s v="Indonesia"/>
  </r>
  <r>
    <x v="6"/>
    <s v="RCS POD"/>
    <s v="Cartomizer holder tap"/>
    <s v="130010390000221"/>
    <s v="JEE"/>
    <s v="unique"/>
    <s v="Plastic"/>
    <x v="1"/>
    <x v="5"/>
    <d v="2024-10-25T00:00:00"/>
    <n v="0.5"/>
    <n v="0.11296999999999974"/>
    <n v="0.13241075494174459"/>
    <n v="1.944075494174485E-2"/>
    <n v="9.7203774708724249E-3"/>
    <n v="1"/>
    <n v="0.11296999999999974"/>
    <n v="14460000"/>
    <n v="302625208"/>
    <x v="27"/>
    <x v="253"/>
    <s v="PC2456"/>
    <m/>
    <n v="1.29"/>
    <s v="Covestro"/>
    <m/>
    <n v="0"/>
    <x v="314"/>
    <n v="0"/>
    <n v="18653.400000000001"/>
    <s v="Indonesia"/>
  </r>
  <r>
    <x v="6"/>
    <s v="RCS POD"/>
    <s v="Cartomizer tube"/>
    <s v="130010390000214"/>
    <s v="JEE"/>
    <s v="unique"/>
    <s v="Plastic"/>
    <x v="1"/>
    <x v="6"/>
    <d v="2024-10-25T00:00:00"/>
    <n v="0.5"/>
    <n v="0.2716898724654021"/>
    <n v="0.34804527431608795"/>
    <n v="7.6355401850685817E-2"/>
    <n v="3.8177700925342908E-2"/>
    <n v="1"/>
    <n v="0.2716898724654021"/>
    <n v="6913900"/>
    <n v="309545438"/>
    <x v="24"/>
    <x v="253"/>
    <s v="PCTG TX1501HF"/>
    <m/>
    <n v="2.09"/>
    <s v="Eastman"/>
    <m/>
    <n v="0"/>
    <x v="315"/>
    <n v="0"/>
    <n v="14450.050999999998"/>
    <s v="Indonesia"/>
  </r>
  <r>
    <x v="6"/>
    <s v="RCS POD"/>
    <s v="Heating holder"/>
    <s v="130010390000215"/>
    <s v="JEE"/>
    <s v="unique"/>
    <s v="Plastic"/>
    <x v="1"/>
    <x v="6"/>
    <d v="2024-10-25T00:00:00"/>
    <n v="0.5"/>
    <n v="8.678151776003247E-2"/>
    <n v="0.11564226045950222"/>
    <n v="2.8860742699469755E-2"/>
    <n v="1.4430371349734877E-2"/>
    <n v="1"/>
    <n v="8.678151776003247E-2"/>
    <n v="7920000"/>
    <n v="312647249"/>
    <x v="25"/>
    <x v="253"/>
    <s v="PCTG TX1501HF"/>
    <m/>
    <n v="0.31"/>
    <s v="Eastman"/>
    <m/>
    <n v="0"/>
    <x v="316"/>
    <n v="0"/>
    <n v="2455.1999999999998"/>
    <s v="Indonesia"/>
  </r>
  <r>
    <x v="6"/>
    <s v="RCS POD"/>
    <s v="Heater top cover"/>
    <s v="130010390000216"/>
    <s v="JEE"/>
    <s v="unique"/>
    <s v="Plastic"/>
    <x v="1"/>
    <x v="6"/>
    <d v="2024-10-25T00:00:00"/>
    <n v="0.5"/>
    <n v="9.5833382481798193E-2"/>
    <n v="0.12512128307326006"/>
    <n v="2.9287900591461875E-2"/>
    <n v="1.4643950295730937E-2"/>
    <n v="1"/>
    <n v="9.5833382481798193E-2"/>
    <n v="7040000"/>
    <n v="312625424"/>
    <x v="26"/>
    <x v="253"/>
    <s v="PCTG TX1501HF"/>
    <m/>
    <n v="0.5"/>
    <s v="Eastman"/>
    <m/>
    <n v="0"/>
    <x v="317"/>
    <n v="0"/>
    <n v="3520"/>
    <s v="Indonesia"/>
  </r>
  <r>
    <x v="6"/>
    <s v="RCS POD"/>
    <s v="Cartomizer holder tap"/>
    <s v="130010390000221"/>
    <s v="JEE"/>
    <s v="unique"/>
    <s v="Plastic"/>
    <x v="1"/>
    <x v="6"/>
    <d v="2024-10-25T00:00:00"/>
    <n v="0.5"/>
    <n v="0.11296999999999974"/>
    <n v="0.13241075494174459"/>
    <n v="1.944075494174485E-2"/>
    <n v="9.7203774708724249E-3"/>
    <n v="1"/>
    <n v="0.11296999999999974"/>
    <n v="7980000"/>
    <n v="310605208"/>
    <x v="27"/>
    <x v="253"/>
    <s v="PC2456"/>
    <m/>
    <n v="1.29"/>
    <s v="Covestro"/>
    <m/>
    <n v="0"/>
    <x v="310"/>
    <n v="0"/>
    <n v="10294.200000000001"/>
    <s v="Indonesia"/>
  </r>
  <r>
    <x v="6"/>
    <s v="RCS POD"/>
    <s v="Cartomizer tube"/>
    <s v="130010390000214"/>
    <s v="JEE"/>
    <s v="unique"/>
    <s v="Plastic"/>
    <x v="1"/>
    <x v="7"/>
    <d v="2024-10-25T00:00:00"/>
    <n v="0.5"/>
    <n v="0.2716898724654021"/>
    <n v="0.34804527431608795"/>
    <n v="7.6355401850685817E-2"/>
    <n v="3.8177700925342908E-2"/>
    <n v="1"/>
    <n v="0.2716898724654021"/>
    <n v="12878130"/>
    <n v="322423568"/>
    <x v="24"/>
    <x v="253"/>
    <s v="PCTG TX1501HF"/>
    <m/>
    <n v="2.09"/>
    <s v="Eastman"/>
    <m/>
    <n v="0"/>
    <x v="318"/>
    <n v="0"/>
    <n v="26915.291699999998"/>
    <s v="Indonesia"/>
  </r>
  <r>
    <x v="6"/>
    <s v="RCS POD"/>
    <s v="Heating holder"/>
    <s v="130010390000215"/>
    <s v="JEE"/>
    <s v="unique"/>
    <s v="Plastic"/>
    <x v="1"/>
    <x v="7"/>
    <d v="2024-10-25T00:00:00"/>
    <n v="0.5"/>
    <n v="8.678151776003247E-2"/>
    <n v="0.11564226045950222"/>
    <n v="2.8860742699469755E-2"/>
    <n v="1.4430371349734877E-2"/>
    <n v="1"/>
    <n v="8.678151776003247E-2"/>
    <n v="12954030"/>
    <n v="325601279"/>
    <x v="25"/>
    <x v="253"/>
    <s v="PCTG TX1501HF"/>
    <m/>
    <n v="0.31"/>
    <s v="Eastman"/>
    <m/>
    <n v="0"/>
    <x v="319"/>
    <n v="0"/>
    <n v="4015.7492999999999"/>
    <s v="Indonesia"/>
  </r>
  <r>
    <x v="6"/>
    <s v="RCS POD"/>
    <s v="Heater top cover"/>
    <s v="130010390000216"/>
    <s v="JEE"/>
    <s v="unique"/>
    <s v="Plastic"/>
    <x v="1"/>
    <x v="7"/>
    <d v="2024-10-25T00:00:00"/>
    <n v="0.5"/>
    <n v="9.5833382481798193E-2"/>
    <n v="0.12512128307326006"/>
    <n v="2.9287900591461875E-2"/>
    <n v="1.4643950295730937E-2"/>
    <n v="1"/>
    <n v="9.5833382481798193E-2"/>
    <n v="12826030"/>
    <n v="325451454"/>
    <x v="26"/>
    <x v="253"/>
    <s v="PCTG TX1501HF"/>
    <m/>
    <n v="0.5"/>
    <s v="Eastman"/>
    <m/>
    <n v="0"/>
    <x v="320"/>
    <n v="0"/>
    <n v="6413.0150000000003"/>
    <s v="Indonesia"/>
  </r>
  <r>
    <x v="6"/>
    <s v="RCS POD"/>
    <s v="Cartomizer holder tap"/>
    <s v="130010390000221"/>
    <s v="JEE"/>
    <s v="unique"/>
    <s v="Plastic"/>
    <x v="1"/>
    <x v="7"/>
    <d v="2024-10-25T00:00:00"/>
    <n v="0.5"/>
    <n v="0.11296999999999974"/>
    <n v="0.13241075494174459"/>
    <n v="1.944075494174485E-2"/>
    <n v="9.7203774708724249E-3"/>
    <n v="1"/>
    <n v="0.11296999999999974"/>
    <n v="12900000"/>
    <n v="323505208"/>
    <x v="27"/>
    <x v="253"/>
    <s v="PC2456"/>
    <m/>
    <n v="1.29"/>
    <s v="Covestro"/>
    <m/>
    <n v="0"/>
    <x v="321"/>
    <n v="0"/>
    <n v="16641"/>
    <s v="Indonesia"/>
  </r>
  <r>
    <x v="6"/>
    <s v="RCS POD"/>
    <s v="Cartomizer tube"/>
    <s v="130010390000214"/>
    <s v="JEE"/>
    <s v="unique"/>
    <s v="Plastic"/>
    <x v="1"/>
    <x v="8"/>
    <d v="2024-10-25T00:00:00"/>
    <n v="0.5"/>
    <n v="0.2716898724654021"/>
    <n v="0.34804527431608795"/>
    <n v="7.6355401850685817E-2"/>
    <n v="3.8177700925342908E-2"/>
    <n v="1"/>
    <n v="0.2716898724654021"/>
    <n v="19592110"/>
    <n v="342015678"/>
    <x v="24"/>
    <x v="253"/>
    <s v="PCTG TX1501HF"/>
    <m/>
    <n v="2.09"/>
    <s v="Eastman"/>
    <m/>
    <n v="0"/>
    <x v="322"/>
    <n v="0"/>
    <n v="40947.509899999997"/>
    <s v="Indonesia"/>
  </r>
  <r>
    <x v="6"/>
    <s v="RCS POD"/>
    <s v="Heating holder"/>
    <s v="130010390000215"/>
    <s v="JEE"/>
    <s v="unique"/>
    <s v="Plastic"/>
    <x v="1"/>
    <x v="8"/>
    <d v="2024-10-25T00:00:00"/>
    <n v="0.5"/>
    <n v="8.678151776003247E-2"/>
    <n v="0.11564226045950222"/>
    <n v="2.8860742699469755E-2"/>
    <n v="1.4430371349734877E-2"/>
    <n v="1"/>
    <n v="8.678151776003247E-2"/>
    <n v="19590030"/>
    <n v="345191309"/>
    <x v="25"/>
    <x v="253"/>
    <s v="PCTG TX1501HF"/>
    <m/>
    <n v="0.31"/>
    <s v="Eastman"/>
    <m/>
    <n v="0"/>
    <x v="323"/>
    <n v="0"/>
    <n v="6072.9093000000003"/>
    <s v="Indonesia"/>
  </r>
  <r>
    <x v="6"/>
    <s v="RCS POD"/>
    <s v="Heater top cover"/>
    <s v="130010390000216"/>
    <s v="JEE"/>
    <s v="unique"/>
    <s v="Plastic"/>
    <x v="1"/>
    <x v="8"/>
    <d v="2024-10-25T00:00:00"/>
    <n v="0.5"/>
    <n v="9.5833382481798193E-2"/>
    <n v="0.12512128307326006"/>
    <n v="2.9287900591461875E-2"/>
    <n v="1.4643950295730937E-2"/>
    <n v="1"/>
    <n v="9.5833382481798193E-2"/>
    <n v="19706030"/>
    <n v="345157484"/>
    <x v="26"/>
    <x v="253"/>
    <s v="PCTG TX1501HF"/>
    <m/>
    <n v="0.5"/>
    <s v="Eastman"/>
    <m/>
    <n v="0"/>
    <x v="324"/>
    <n v="0"/>
    <n v="9853.0149999999994"/>
    <s v="Indonesia"/>
  </r>
  <r>
    <x v="6"/>
    <s v="RCS POD"/>
    <s v="Cartomizer holder tap"/>
    <s v="130010390000221"/>
    <s v="JEE"/>
    <s v="unique"/>
    <s v="Plastic"/>
    <x v="1"/>
    <x v="8"/>
    <d v="2024-10-25T00:00:00"/>
    <n v="0.5"/>
    <n v="0.11296999999999974"/>
    <n v="0.13241075494174459"/>
    <n v="1.944075494174485E-2"/>
    <n v="9.7203774708724249E-3"/>
    <n v="1"/>
    <n v="0.11296999999999974"/>
    <n v="19622000"/>
    <n v="343127208"/>
    <x v="27"/>
    <x v="253"/>
    <s v="PC2456"/>
    <m/>
    <n v="1.29"/>
    <s v="Covestro"/>
    <m/>
    <n v="0"/>
    <x v="325"/>
    <n v="0"/>
    <n v="25312.38"/>
    <s v="Indonesia"/>
  </r>
  <r>
    <x v="6"/>
    <s v="RCS POD"/>
    <s v="Cartomizer tube"/>
    <s v="130010390000214"/>
    <s v="JEE"/>
    <s v="unique"/>
    <s v="Plastic"/>
    <x v="1"/>
    <x v="9"/>
    <d v="2024-10-25T00:00:00"/>
    <n v="0.5"/>
    <n v="0.2716898724654021"/>
    <n v="0.34804527431608795"/>
    <n v="7.6355401850685817E-2"/>
    <n v="3.8177700925342908E-2"/>
    <n v="1"/>
    <n v="0.2716898724654021"/>
    <n v="3258661"/>
    <n v="345274339"/>
    <x v="24"/>
    <x v="253"/>
    <s v="PCTG TX1501HF"/>
    <m/>
    <n v="2.09"/>
    <s v="Eastman"/>
    <m/>
    <n v="0"/>
    <x v="326"/>
    <n v="0"/>
    <n v="6810.6014899999991"/>
    <s v="Indonesia"/>
  </r>
  <r>
    <x v="6"/>
    <s v="RCS POD"/>
    <s v="Heating holder"/>
    <s v="130010390000215"/>
    <s v="JEE"/>
    <s v="unique"/>
    <s v="Plastic"/>
    <x v="1"/>
    <x v="9"/>
    <d v="2024-10-25T00:00:00"/>
    <n v="0.5"/>
    <n v="8.678151776003247E-2"/>
    <n v="0.11564226045950222"/>
    <n v="2.8860742699469755E-2"/>
    <n v="1.4430371349734877E-2"/>
    <n v="1"/>
    <n v="8.678151776003247E-2"/>
    <n v="3216825"/>
    <n v="348408134"/>
    <x v="25"/>
    <x v="253"/>
    <s v="PCTG TX1501HF"/>
    <m/>
    <n v="0.31"/>
    <s v="Eastman"/>
    <m/>
    <n v="0"/>
    <x v="327"/>
    <n v="0"/>
    <n v="997.21574999999996"/>
    <s v="Indonesia"/>
  </r>
  <r>
    <x v="6"/>
    <s v="RCS POD"/>
    <s v="Heater top cover"/>
    <s v="130010390000216"/>
    <s v="JEE"/>
    <s v="unique"/>
    <s v="Plastic"/>
    <x v="1"/>
    <x v="9"/>
    <d v="2024-10-25T00:00:00"/>
    <n v="0.5"/>
    <n v="9.5833382481798193E-2"/>
    <n v="0.12512128307326006"/>
    <n v="2.9287900591461875E-2"/>
    <n v="1.4643950295730937E-2"/>
    <n v="1"/>
    <n v="9.5833382481798193E-2"/>
    <n v="3867000"/>
    <n v="349024484"/>
    <x v="26"/>
    <x v="253"/>
    <s v="PCTG TX1501HF"/>
    <m/>
    <n v="0.5"/>
    <s v="Eastman"/>
    <m/>
    <n v="0"/>
    <x v="328"/>
    <n v="0"/>
    <n v="1933.5"/>
    <s v="Indonesia"/>
  </r>
  <r>
    <x v="6"/>
    <s v="RCS POD"/>
    <s v="Cartomizer holder tap"/>
    <s v="130010390000221"/>
    <s v="JEE"/>
    <s v="unique"/>
    <s v="Plastic"/>
    <x v="1"/>
    <x v="9"/>
    <d v="2024-10-25T00:00:00"/>
    <n v="0.5"/>
    <n v="0.11296999999999974"/>
    <n v="0.13241075494174459"/>
    <n v="1.944075494174485E-2"/>
    <n v="9.7203774708724249E-3"/>
    <n v="1"/>
    <n v="0.11296999999999974"/>
    <n v="2519608"/>
    <n v="345646816"/>
    <x v="27"/>
    <x v="253"/>
    <s v="PC2456"/>
    <m/>
    <n v="1.29"/>
    <s v="Covestro"/>
    <m/>
    <n v="0"/>
    <x v="329"/>
    <n v="0"/>
    <n v="3250.2943200000004"/>
    <s v="Indonesia"/>
  </r>
  <r>
    <x v="0"/>
    <s v="MODI"/>
    <s v="Mouth Piece"/>
    <s v="310493191000"/>
    <s v="JEE"/>
    <s v="unique"/>
    <s v="Plastic"/>
    <x v="1"/>
    <x v="10"/>
    <d v="2024-10-25T00:00:00"/>
    <n v="0.5"/>
    <n v="0.313524986358025"/>
    <n v="0.313524986358025"/>
    <n v="0"/>
    <n v="0"/>
    <n v="1"/>
    <n v="0.313524986358025"/>
    <m/>
    <n v="45548572"/>
    <x v="0"/>
    <x v="253"/>
    <s v="PCTG TX1501HF"/>
    <m/>
    <n v="6.7279999999999998"/>
    <s v="Eastman"/>
    <m/>
    <n v="0"/>
    <x v="64"/>
    <n v="0"/>
    <n v="0"/>
    <m/>
  </r>
  <r>
    <x v="0"/>
    <s v="MODI"/>
    <s v="Top Plastic Bracket"/>
    <s v="310493192000"/>
    <s v="JEE"/>
    <s v="unique"/>
    <s v="Plastic"/>
    <x v="1"/>
    <x v="10"/>
    <d v="2024-10-25T00:00:00"/>
    <n v="0.5"/>
    <n v="4.21539321081182E-2"/>
    <n v="4.21539321081182E-2"/>
    <n v="0"/>
    <n v="0"/>
    <n v="1"/>
    <n v="4.21539321081182E-2"/>
    <m/>
    <n v="40190122"/>
    <x v="1"/>
    <x v="253"/>
    <s v="PCTG TX1501HF"/>
    <m/>
    <n v="0.87"/>
    <s v="Eastman"/>
    <m/>
    <n v="0"/>
    <x v="64"/>
    <n v="0"/>
    <n v="0"/>
    <m/>
  </r>
  <r>
    <x v="0"/>
    <s v="MODI"/>
    <s v=" Bottom Plastic Bracket"/>
    <s v="310493193000"/>
    <s v="JEE"/>
    <s v="unique"/>
    <s v="Plastic"/>
    <x v="1"/>
    <x v="10"/>
    <d v="2024-10-25T00:00:00"/>
    <n v="0.5"/>
    <n v="7.2210434624191605E-2"/>
    <n v="7.2210434624191605E-2"/>
    <n v="0"/>
    <n v="0"/>
    <n v="1"/>
    <n v="7.2210434624191605E-2"/>
    <m/>
    <n v="45465414"/>
    <x v="2"/>
    <x v="253"/>
    <s v="PCTG TX1501HF"/>
    <m/>
    <n v="1.1779999999999999"/>
    <s v="Eastman"/>
    <m/>
    <n v="0"/>
    <x v="64"/>
    <n v="0"/>
    <n v="0"/>
    <m/>
  </r>
  <r>
    <x v="0"/>
    <s v="MODI"/>
    <s v=" Bottom cap"/>
    <s v="310493194000"/>
    <s v="JEE"/>
    <s v="unique"/>
    <s v="Plastic"/>
    <x v="1"/>
    <x v="10"/>
    <d v="2024-10-25T00:00:00"/>
    <n v="0.5"/>
    <n v="6.6190725348954399E-2"/>
    <n v="6.6190725348954399E-2"/>
    <n v="0"/>
    <n v="0"/>
    <n v="1"/>
    <n v="6.6190725348954399E-2"/>
    <m/>
    <n v="29670256"/>
    <x v="1"/>
    <x v="253"/>
    <s v="LUPOY ER1000MA"/>
    <m/>
    <n v="1.1779999999999999"/>
    <s v=" Ruicheng"/>
    <m/>
    <n v="0"/>
    <x v="64"/>
    <n v="0"/>
    <n v="0"/>
    <m/>
  </r>
  <r>
    <x v="0"/>
    <s v="MODI"/>
    <s v="Air Flow slider"/>
    <s v="310493195000"/>
    <s v="JEE"/>
    <s v="unique"/>
    <s v="Plastic"/>
    <x v="1"/>
    <x v="10"/>
    <d v="2024-10-25T00:00:00"/>
    <n v="0.5"/>
    <n v="3.8519575097127702E-2"/>
    <n v="3.8519575097127702E-2"/>
    <n v="0"/>
    <n v="0"/>
    <n v="1"/>
    <n v="3.8519575097127702E-2"/>
    <m/>
    <n v="56288362"/>
    <x v="3"/>
    <x v="253"/>
    <s v="LUPOY ER1000MA"/>
    <m/>
    <n v="0.13400000000000001"/>
    <s v=" Ruicheng"/>
    <m/>
    <n v="0"/>
    <x v="64"/>
    <n v="0"/>
    <n v="0"/>
    <m/>
  </r>
  <r>
    <x v="1"/>
    <s v="RCS DEVICE"/>
    <s v="Top cover"/>
    <s v="130040670021260"/>
    <s v="JEE"/>
    <s v="unique"/>
    <s v="Plastic"/>
    <x v="1"/>
    <x v="10"/>
    <d v="2024-10-25T00:00:00"/>
    <n v="1"/>
    <n v="2.3583408602377398"/>
    <n v="2.3583408602377398"/>
    <n v="0"/>
    <n v="0"/>
    <n v="1"/>
    <n v="2.3583408602377398"/>
    <n v="0"/>
    <n v="644603"/>
    <x v="4"/>
    <x v="50"/>
    <s v="LUPOY GP1000ML"/>
    <m/>
    <n v="16.260000000000002"/>
    <s v="LG"/>
    <s v="Printing"/>
    <n v="1.3080000000000001"/>
    <x v="64"/>
    <n v="0"/>
    <n v="0"/>
    <m/>
  </r>
  <r>
    <x v="1"/>
    <s v="RCS DEVICE"/>
    <s v="Bottom cover"/>
    <s v="130040670021261"/>
    <s v="JEE"/>
    <s v="unique"/>
    <s v="Plastic"/>
    <x v="1"/>
    <x v="10"/>
    <d v="2024-10-25T00:00:00"/>
    <n v="1"/>
    <n v="2.31652727583774"/>
    <n v="2.31652727583774"/>
    <n v="0"/>
    <n v="0"/>
    <n v="1"/>
    <n v="2.31652727583774"/>
    <n v="0"/>
    <n v="686982"/>
    <x v="4"/>
    <x v="50"/>
    <s v="LUPOY GP1000ML"/>
    <m/>
    <n v="8.3019999999999996"/>
    <s v="LG"/>
    <s v="Printing"/>
    <n v="1.4279999999999999"/>
    <x v="64"/>
    <n v="0"/>
    <n v="0"/>
    <m/>
  </r>
  <r>
    <x v="1"/>
    <s v="RCS DEVICE"/>
    <s v="Button"/>
    <s v="130040670021263"/>
    <s v="JEE"/>
    <s v="unique"/>
    <s v="Plastic"/>
    <x v="1"/>
    <x v="10"/>
    <d v="2024-10-25T00:00:00"/>
    <n v="1"/>
    <n v="0.37651638011816602"/>
    <n v="0.37651638011816602"/>
    <n v="0"/>
    <n v="0"/>
    <n v="1"/>
    <n v="0.37651638011816602"/>
    <n v="0"/>
    <n v="665191"/>
    <x v="4"/>
    <x v="50"/>
    <s v="LUPOY GP1000ML"/>
    <m/>
    <n v="0.57199999999999995"/>
    <s v="LG"/>
    <m/>
    <n v="0"/>
    <x v="64"/>
    <n v="0"/>
    <n v="0"/>
    <m/>
  </r>
  <r>
    <x v="1"/>
    <s v="RCS DEVICE"/>
    <s v="PCB holder"/>
    <s v="130040670021262"/>
    <s v="JEE"/>
    <s v="unique"/>
    <s v="Plastic"/>
    <x v="1"/>
    <x v="10"/>
    <d v="2024-10-25T00:00:00"/>
    <n v="1"/>
    <n v="0.37927344911816602"/>
    <n v="0.37927344911816602"/>
    <n v="0"/>
    <n v="0"/>
    <n v="1"/>
    <n v="0.37927344911816602"/>
    <n v="0"/>
    <n v="655070"/>
    <x v="4"/>
    <x v="50"/>
    <s v="PC Makrolon 2456"/>
    <m/>
    <n v="1.87"/>
    <s v="Makrolon"/>
    <m/>
    <n v="0"/>
    <x v="64"/>
    <n v="0"/>
    <n v="0"/>
    <m/>
  </r>
  <r>
    <x v="2"/>
    <s v="RCS DEVICE"/>
    <s v="Battery tube"/>
    <s v="120020670031773"/>
    <s v="JEE"/>
    <s v="unique"/>
    <s v="Plastic"/>
    <x v="1"/>
    <x v="10"/>
    <d v="2024-10-25T00:00:00"/>
    <n v="0.3"/>
    <n v="1.8774416082318"/>
    <n v="1.9124416082318001"/>
    <n v="3.5000000000000142E-2"/>
    <n v="1.0500000000000042E-2"/>
    <n v="1"/>
    <n v="1.8774416082318"/>
    <n v="972789"/>
    <n v="1462579"/>
    <x v="5"/>
    <x v="254"/>
    <s v="PC LUPOY GP1000ML"/>
    <m/>
    <n v="6.5389999999999997"/>
    <s v="LG"/>
    <s v="Printing"/>
    <n v="1.2"/>
    <x v="330"/>
    <n v="1167346.8"/>
    <n v="6361.0672709999999"/>
    <m/>
  </r>
  <r>
    <x v="2"/>
    <s v="RCS DEVICE"/>
    <s v="Bottom cap"/>
    <s v="130020670031775"/>
    <s v="JEE"/>
    <s v="unique"/>
    <s v="Plastic"/>
    <x v="1"/>
    <x v="10"/>
    <d v="2024-10-25T00:00:00"/>
    <n v="0.3"/>
    <n v="0.27335792652733598"/>
    <n v="0.33085792652733598"/>
    <n v="5.7499999999999996E-2"/>
    <n v="1.7249999999999998E-2"/>
    <n v="1"/>
    <n v="0.27335792652733598"/>
    <n v="487677"/>
    <n v="1398413"/>
    <x v="6"/>
    <x v="255"/>
    <s v="PC LUPOY GP1000ML"/>
    <m/>
    <n v="3.3170000000000002"/>
    <s v="LG"/>
    <m/>
    <n v="0"/>
    <x v="331"/>
    <n v="0"/>
    <n v="1617.6246090000002"/>
    <m/>
  </r>
  <r>
    <x v="2"/>
    <s v="RCS DEVICE"/>
    <s v="Holder"/>
    <s v="130020670031776"/>
    <s v="JEE"/>
    <s v="unique"/>
    <s v="Plastic"/>
    <x v="1"/>
    <x v="10"/>
    <d v="2024-10-25T00:00:00"/>
    <n v="0.3"/>
    <n v="0.20453293319930799"/>
    <n v="0.23078293319930801"/>
    <n v="2.6250000000000023E-2"/>
    <n v="7.875000000000007E-3"/>
    <n v="1"/>
    <n v="0.20453293319930799"/>
    <n v="421705"/>
    <n v="2285542"/>
    <x v="7"/>
    <x v="256"/>
    <s v="PC Makrolon 2456"/>
    <m/>
    <n v="4.2469999999999999"/>
    <s v="Makrolon"/>
    <m/>
    <n v="0"/>
    <x v="332"/>
    <n v="0"/>
    <n v="1790.981135"/>
    <m/>
  </r>
  <r>
    <x v="2"/>
    <s v="RCS DEVICE"/>
    <s v="Button"/>
    <s v="130020670031777"/>
    <s v="JEE"/>
    <s v="unique"/>
    <s v="Plastic"/>
    <x v="1"/>
    <x v="10"/>
    <d v="2024-10-25T00:00:00"/>
    <n v="0.3"/>
    <n v="0.120262750041086"/>
    <n v="0.14526275004108599"/>
    <n v="2.4999999999999994E-2"/>
    <n v="7.499999999999998E-3"/>
    <n v="1"/>
    <n v="0.120262750041086"/>
    <n v="713369"/>
    <n v="2263648"/>
    <x v="8"/>
    <x v="257"/>
    <s v="PC Makrolon 2456"/>
    <m/>
    <n v="0.53500000000000003"/>
    <s v="Makrolon"/>
    <m/>
    <n v="0"/>
    <x v="333"/>
    <n v="0"/>
    <n v="381.65241500000002"/>
    <m/>
  </r>
  <r>
    <x v="2"/>
    <s v="RCS DEVICE"/>
    <s v="Light guide"/>
    <s v="130020670035243"/>
    <s v="JEE"/>
    <s v="unique"/>
    <s v="Plastic"/>
    <x v="1"/>
    <x v="10"/>
    <d v="2024-10-25T00:00:00"/>
    <n v="0.3"/>
    <n v="0.122488041645336"/>
    <n v="0.14748804164533599"/>
    <n v="2.4999999999999994E-2"/>
    <n v="7.499999999999998E-3"/>
    <n v="1"/>
    <n v="0.122488041645336"/>
    <n v="924710"/>
    <n v="2769910"/>
    <x v="8"/>
    <x v="258"/>
    <s v="PC LUPOY GP1000ML"/>
    <m/>
    <n v="0.50900000000000001"/>
    <s v="LG"/>
    <m/>
    <n v="0"/>
    <x v="334"/>
    <n v="0"/>
    <n v="470.67739"/>
    <m/>
  </r>
  <r>
    <x v="3"/>
    <s v="RCS POD"/>
    <s v="Cartomizer tube"/>
    <s v="130010390000214"/>
    <s v="JEE"/>
    <s v="unique"/>
    <s v="Plastic"/>
    <x v="0"/>
    <x v="10"/>
    <d v="2024-10-25T00:00:00"/>
    <n v="1"/>
    <n v="0.97679221076727096"/>
    <n v="0.97985471076727104"/>
    <n v="3.062500000000079E-3"/>
    <n v="3.062500000000079E-3"/>
    <n v="1"/>
    <n v="0.97679221076727096"/>
    <n v="932960"/>
    <n v="11114010"/>
    <x v="9"/>
    <x v="259"/>
    <s v="PCTG TX1501HF"/>
    <m/>
    <n v="2.09"/>
    <s v="Eastman"/>
    <m/>
    <n v="0.93117705002376205"/>
    <x v="335"/>
    <n v="868750.94059016905"/>
    <n v="1949.8863999999999"/>
    <s v="China- Black (Capex no including mold injection tools)"/>
  </r>
  <r>
    <x v="3"/>
    <s v="RCS POD"/>
    <s v="Cartomizer tube"/>
    <s v="130010390000214"/>
    <s v="JEE"/>
    <s v="unique"/>
    <s v="Plastic"/>
    <x v="1"/>
    <x v="10"/>
    <d v="2024-10-25T00:00:00"/>
    <n v="1"/>
    <n v="1.05412849674197"/>
    <n v="1.22365196079064"/>
    <n v="0.16952346404867003"/>
    <n v="0.16952346404867003"/>
    <n v="1"/>
    <n v="1.05412849674197"/>
    <n v="0"/>
    <n v="0"/>
    <x v="10"/>
    <x v="82"/>
    <s v="PCTG TX1501HF"/>
    <m/>
    <n v="2.09"/>
    <s v="Eastman"/>
    <m/>
    <n v="0.98412849674196989"/>
    <x v="64"/>
    <n v="0"/>
    <n v="0"/>
    <s v="Indonesia- Black (Capex no including mold injection tools)"/>
  </r>
  <r>
    <x v="3"/>
    <s v="RCS POD"/>
    <s v="Cartomizer tube"/>
    <s v="130010390000214"/>
    <s v="JEE"/>
    <s v="unique"/>
    <s v="Plastic"/>
    <x v="1"/>
    <x v="10"/>
    <d v="2024-10-25T00:00:00"/>
    <n v="1"/>
    <n v="1.17411721731226"/>
    <n v="1.3582877285124899"/>
    <n v="0.18417051120022987"/>
    <n v="0.18417051120022987"/>
    <n v="1"/>
    <n v="1.17411721731226"/>
    <n v="0"/>
    <n v="0"/>
    <x v="11"/>
    <x v="83"/>
    <s v="PCTG TX1501HF"/>
    <m/>
    <n v="2.09"/>
    <s v="Eastman"/>
    <m/>
    <n v="0.90411721731226002"/>
    <x v="64"/>
    <n v="0"/>
    <n v="0"/>
    <s v="Indonesia- White(Capex no including mold injection tools)"/>
  </r>
  <r>
    <x v="4"/>
    <s v="HP"/>
    <s v="Botton cover"/>
    <n v="22150202014"/>
    <s v="JEE"/>
    <s v="X3 Pro/unibody/Core"/>
    <s v="Plastic"/>
    <x v="1"/>
    <x v="10"/>
    <d v="2024-10-25T00:00:00"/>
    <n v="0.4"/>
    <n v="2.3161999999999998"/>
    <n v="2.2169787761879198"/>
    <n v="0"/>
    <n v="0"/>
    <n v="1"/>
    <n v="2.3161999999999998"/>
    <n v="86927"/>
    <n v="2118068"/>
    <x v="12"/>
    <x v="166"/>
    <s v="RTP 299 AX 152528（PA+GF）(panting(5 color))"/>
    <m/>
    <n v="1.5549999999999999"/>
    <s v=" Ruicheng"/>
    <s v="Painting"/>
    <n v="1.9422999999999999"/>
    <x v="336"/>
    <n v="168838.31209999998"/>
    <n v="135.17148499999999"/>
    <m/>
  </r>
  <r>
    <x v="4"/>
    <s v="HP"/>
    <s v="Cleanout door"/>
    <n v="22150202015"/>
    <s v="JEE"/>
    <s v="X3 Pro/unibody/Core"/>
    <s v="Plastic"/>
    <x v="1"/>
    <x v="10"/>
    <d v="2024-10-25T00:00:00"/>
    <n v="0.6"/>
    <n v="1.5443588135792301"/>
    <n v="1.5423175780454099"/>
    <n v="0"/>
    <n v="0"/>
    <n v="1"/>
    <n v="1.5443588135792301"/>
    <n v="118166"/>
    <n v="1919248"/>
    <x v="13"/>
    <x v="181"/>
    <s v="PC:LG LUPOY SC1004L(panting(5 color))+_x000a_TPU:BASF ELASTONLLAN 1190A"/>
    <m/>
    <n v="1.7450000000000001"/>
    <s v=" Ruicheng"/>
    <s v="Painting"/>
    <n v="1.1437999999999999"/>
    <x v="337"/>
    <n v="135158.2708"/>
    <n v="206.19967000000003"/>
    <m/>
  </r>
  <r>
    <x v="4"/>
    <s v="HP"/>
    <s v="Button"/>
    <n v="22150202010"/>
    <s v="JEE"/>
    <s v="X3 Pro/unibody"/>
    <s v="Plastic"/>
    <x v="1"/>
    <x v="10"/>
    <d v="2024-10-25T00:00:00"/>
    <n v="0.4"/>
    <n v="0.91622499999999996"/>
    <n v="1.13316525889116"/>
    <n v="0"/>
    <n v="0"/>
    <n v="1"/>
    <n v="0.91622499999999996"/>
    <n v="32256"/>
    <n v="1777867"/>
    <x v="14"/>
    <x v="182"/>
    <s v="PC:LG LUPOY SC1004L-Colored"/>
    <m/>
    <n v="0.57899999999999996"/>
    <s v=" Ruicheng"/>
    <s v="Painting"/>
    <n v="0.75590000000000002"/>
    <x v="338"/>
    <n v="24382.310400000002"/>
    <n v="18.676223999999998"/>
    <m/>
  </r>
  <r>
    <x v="4"/>
    <s v="HP"/>
    <s v="Crown Support"/>
    <n v="22150202008"/>
    <s v="JEE"/>
    <s v="X3 Pro"/>
    <s v="Plastic"/>
    <x v="1"/>
    <x v="10"/>
    <d v="2024-10-25T00:00:00"/>
    <n v="0.5"/>
    <n v="0.1278"/>
    <n v="0.15579999999999999"/>
    <n v="0"/>
    <n v="0"/>
    <n v="1"/>
    <n v="0.1278"/>
    <n v="25000"/>
    <n v="1230057"/>
    <x v="15"/>
    <x v="183"/>
    <s v="POM C9021 black"/>
    <m/>
    <n v="0.76300000000000001"/>
    <s v=" Ruicheng"/>
    <m/>
    <n v="0"/>
    <x v="339"/>
    <n v="0"/>
    <n v="19.074999999999999"/>
    <m/>
  </r>
  <r>
    <x v="4"/>
    <s v="HP"/>
    <s v="Connector frame"/>
    <n v="22150202017"/>
    <s v="JEE"/>
    <s v="X3 Pro"/>
    <s v="Plastic"/>
    <x v="1"/>
    <x v="10"/>
    <d v="2024-10-25T00:00:00"/>
    <n v="0.4"/>
    <n v="0.17249999999999999"/>
    <n v="0.41749999999999998"/>
    <n v="0"/>
    <n v="0"/>
    <n v="1"/>
    <n v="0.17249999999999999"/>
    <n v="24610"/>
    <n v="1043847"/>
    <x v="9"/>
    <x v="154"/>
    <s v="PC(PCR):LUPOY ER1000MA_RC00101"/>
    <m/>
    <n v="1.173"/>
    <s v=" Ruicheng"/>
    <m/>
    <n v="0"/>
    <x v="340"/>
    <n v="0"/>
    <n v="28.867530000000002"/>
    <m/>
  </r>
  <r>
    <x v="4"/>
    <s v="HP"/>
    <s v="Spin Wheel"/>
    <n v="22150202009"/>
    <s v="JEE"/>
    <s v="X3 Pro/unibody/Core"/>
    <s v="Plastic"/>
    <x v="1"/>
    <x v="10"/>
    <d v="2024-10-25T00:00:00"/>
    <n v="0.5"/>
    <n v="0.1285"/>
    <n v="0.1565"/>
    <n v="0"/>
    <n v="0"/>
    <n v="1"/>
    <n v="0.1285"/>
    <n v="0"/>
    <n v="2457540"/>
    <x v="9"/>
    <x v="170"/>
    <s v="PC:LG LUPOY SC1004L-Colored"/>
    <m/>
    <n v="0.69499999999999995"/>
    <s v=" Ruicheng"/>
    <m/>
    <m/>
    <x v="64"/>
    <n v="0"/>
    <n v="0"/>
    <m/>
  </r>
  <r>
    <x v="4"/>
    <s v="HP"/>
    <s v="Display bracket"/>
    <n v="22150202021"/>
    <s v="JEE"/>
    <s v="X3 Pro/unibody/Core"/>
    <s v="Plastic"/>
    <x v="1"/>
    <x v="10"/>
    <d v="2024-10-25T00:00:00"/>
    <n v="0.6"/>
    <n v="2.5636999999999999"/>
    <n v="2.7518227149358401"/>
    <n v="0"/>
    <n v="0"/>
    <n v="1"/>
    <n v="2.5636999999999999"/>
    <n v="53875"/>
    <n v="2429762"/>
    <x v="16"/>
    <x v="184"/>
    <s v="PC  PCRLUPOY GP1000MA BC90515 40%半透黑"/>
    <m/>
    <n v="3.4089999999999998"/>
    <s v=" Ruicheng"/>
    <s v="Painting"/>
    <n v="1.7574000000000001"/>
    <x v="341"/>
    <n v="94679.925000000003"/>
    <n v="183.659875"/>
    <m/>
  </r>
  <r>
    <x v="4"/>
    <s v="HP"/>
    <s v=" PCBA Bracket "/>
    <n v="22150202018"/>
    <s v="JEE"/>
    <s v="X3 Pro/unibody/Core"/>
    <s v="Plastic"/>
    <x v="1"/>
    <x v="10"/>
    <d v="2024-10-25T00:00:00"/>
    <n v="0.4"/>
    <n v="0.1608"/>
    <n v="0.1958"/>
    <n v="0"/>
    <n v="0"/>
    <n v="1"/>
    <n v="0.1608"/>
    <n v="68970"/>
    <n v="2399669"/>
    <x v="9"/>
    <x v="172"/>
    <s v="PC+50%PCR LUPOY ER1004N BC90513 black"/>
    <m/>
    <n v="1.117"/>
    <s v=" Ruicheng"/>
    <m/>
    <n v="0"/>
    <x v="342"/>
    <n v="0"/>
    <n v="77.039490000000001"/>
    <m/>
  </r>
  <r>
    <x v="4"/>
    <s v="HP"/>
    <s v=" Shut Door"/>
    <n v="22150202007"/>
    <s v="JEE"/>
    <s v="X3 Hyper Pro/uinbody pro/core"/>
    <s v="Plastic"/>
    <x v="1"/>
    <x v="10"/>
    <d v="2024-10-25T00:00:00"/>
    <n v="0.5"/>
    <n v="0.122757142857143"/>
    <n v="0.16"/>
    <n v="0"/>
    <n v="0"/>
    <n v="1"/>
    <n v="0.122757142857143"/>
    <n v="0"/>
    <n v="3070324"/>
    <x v="17"/>
    <x v="185"/>
    <s v="POM C9021 black"/>
    <m/>
    <n v="0.52400000000000002"/>
    <s v=" Ruicheng"/>
    <m/>
    <n v="0"/>
    <x v="64"/>
    <n v="0"/>
    <n v="0"/>
    <m/>
  </r>
  <r>
    <x v="5"/>
    <s v="HP"/>
    <s v="Crown Support"/>
    <n v="23590202001"/>
    <s v="JEE"/>
    <s v="X3 uinbody /core"/>
    <s v="Plastic"/>
    <x v="1"/>
    <x v="10"/>
    <d v="2024-10-25T00:00:00"/>
    <n v="0.5"/>
    <n v="0.125588670602168"/>
    <n v="0.15358867060216799"/>
    <n v="0"/>
    <n v="0"/>
    <n v="1"/>
    <n v="0.125588670602168"/>
    <n v="20000"/>
    <n v="1932198"/>
    <x v="9"/>
    <x v="174"/>
    <s v="PC LG LUPOY SC1004L"/>
    <m/>
    <n v="0.69499999999999995"/>
    <s v=" Ruicheng"/>
    <m/>
    <n v="0"/>
    <x v="343"/>
    <n v="0"/>
    <n v="13.899999999999999"/>
    <m/>
  </r>
  <r>
    <x v="5"/>
    <s v="HP"/>
    <s v="Connector frame"/>
    <n v="23480202015"/>
    <s v="JEE"/>
    <s v="X3 Hyper core/unibody"/>
    <s v="Plastic"/>
    <x v="1"/>
    <x v="10"/>
    <d v="2024-10-25T00:00:00"/>
    <n v="0.4"/>
    <n v="0.27566008648311202"/>
    <n v="0.353993419816445"/>
    <n v="0"/>
    <n v="0"/>
    <n v="1"/>
    <n v="0.27566008648311202"/>
    <n v="0"/>
    <n v="1388296"/>
    <x v="18"/>
    <x v="186"/>
    <s v="PC+50%PCR LUPOY ER1000MA BC90515 （80%）_x000a_透光"/>
    <m/>
    <n v="1.722"/>
    <s v=" Ruicheng"/>
    <m/>
    <n v="0"/>
    <x v="64"/>
    <n v="0"/>
    <n v="0"/>
    <m/>
  </r>
  <r>
    <x v="5"/>
    <s v="HP"/>
    <s v="Battery carrier"/>
    <n v="23480202012"/>
    <s v="JEE"/>
    <s v="X3 Core"/>
    <s v="Plastic"/>
    <x v="1"/>
    <x v="10"/>
    <d v="2024-10-25T00:00:00"/>
    <n v="0.4"/>
    <n v="0.80865388388102988"/>
    <n v="1.0756538838810299"/>
    <n v="0.26700000000000002"/>
    <n v="0.10680000000000001"/>
    <n v="1"/>
    <n v="0.80865388388102988"/>
    <n v="16632"/>
    <n v="737869"/>
    <x v="19"/>
    <x v="260"/>
    <s v="PC+75%PCR LUPOY ER1006FZ BC90513"/>
    <m/>
    <n v="5.7469999999999999"/>
    <s v=" Ruicheng"/>
    <m/>
    <n v="0"/>
    <x v="344"/>
    <n v="0"/>
    <n v="95.584103999999996"/>
    <m/>
  </r>
  <r>
    <x v="5"/>
    <s v="HP"/>
    <s v="Shutter Door Support"/>
    <n v="23480202005"/>
    <s v="JEE"/>
    <s v="X3 uinbody pro/core"/>
    <s v="Plastic"/>
    <x v="1"/>
    <x v="10"/>
    <d v="2024-10-25T00:00:00"/>
    <n v="0.6"/>
    <n v="0.61243323981863296"/>
    <n v="0.790433239818633"/>
    <n v="0.17799999999999999"/>
    <n v="0.10679999999999999"/>
    <n v="1"/>
    <n v="0.61243323981863296"/>
    <n v="36300"/>
    <n v="1309940"/>
    <x v="20"/>
    <x v="261"/>
    <s v="PC+50%PCR LUPOY ER1004N BC90513+_x000a_BASF TPU 60A ELASTOLLAN  SP9324 BLACK"/>
    <m/>
    <n v="3.2709999999999999"/>
    <s v=" Ruicheng"/>
    <m/>
    <n v="0"/>
    <x v="345"/>
    <n v="0"/>
    <n v="118.7373"/>
    <m/>
  </r>
  <r>
    <x v="5"/>
    <s v="HP"/>
    <s v="Button Bracket"/>
    <n v="23480202011"/>
    <s v="JEE"/>
    <s v="X3 Core"/>
    <s v="Plastic"/>
    <x v="1"/>
    <x v="10"/>
    <d v="2024-10-25T00:00:00"/>
    <n v="0.5"/>
    <n v="0.29378086188436198"/>
    <n v="0.41711419521769499"/>
    <n v="0.123333333333333"/>
    <n v="6.1666666666666502E-2"/>
    <n v="1"/>
    <n v="0.29378086188436198"/>
    <n v="60000"/>
    <n v="1062735"/>
    <x v="21"/>
    <x v="262"/>
    <s v="PC+50%PCR LUPOY ER1004N BC90513 black"/>
    <m/>
    <n v="1.7749999999999999"/>
    <s v=" Ruicheng"/>
    <m/>
    <n v="0"/>
    <x v="346"/>
    <n v="0"/>
    <n v="106.5"/>
    <m/>
  </r>
  <r>
    <x v="5"/>
    <s v="HP"/>
    <s v="Button"/>
    <n v="23480202017"/>
    <s v="JEE"/>
    <s v="X3 Core"/>
    <s v="Plastic"/>
    <x v="1"/>
    <x v="10"/>
    <d v="2024-10-25T00:00:00"/>
    <n v="0.5"/>
    <n v="1.0628666666666668"/>
    <n v="1.1322000000000001"/>
    <n v="6.9333333333333302E-2"/>
    <n v="3.4666666666666651E-2"/>
    <n v="1"/>
    <n v="1.0628666666666668"/>
    <n v="25627"/>
    <n v="814396"/>
    <x v="22"/>
    <x v="263"/>
    <s v="LUPOY ER1000MA E6098_x000a_"/>
    <m/>
    <n v="2.3839999999999999"/>
    <s v=" Ruicheng"/>
    <s v="Painting"/>
    <n v="0.7964"/>
    <x v="347"/>
    <n v="20409.342799999999"/>
    <n v="61.094767999999995"/>
    <m/>
  </r>
  <r>
    <x v="5"/>
    <s v="HP"/>
    <s v="Light guide"/>
    <n v="23480202018"/>
    <s v="JEE"/>
    <s v="X3 Core"/>
    <s v="Plastic"/>
    <x v="1"/>
    <x v="10"/>
    <d v="2024-10-25T00:00:00"/>
    <n v="0.4"/>
    <n v="0.41382922267354705"/>
    <n v="0.54316255600688002"/>
    <n v="0.12933333333333299"/>
    <n v="5.1733333333333201E-2"/>
    <n v="1"/>
    <n v="0.41382922267354705"/>
    <n v="0"/>
    <n v="429495"/>
    <x v="23"/>
    <x v="200"/>
    <s v="PC:LG LUPOY GP1000M  透明（1st shot) _x000a_BASF TPU 60A ELASTOLLAN  SP9324 BLACK（2nd shot)_x000a_"/>
    <m/>
    <n v="3.673"/>
    <s v=" Ruicheng"/>
    <m/>
    <s v=" ¥-   "/>
    <x v="64"/>
    <e v="#VALUE!"/>
    <n v="0"/>
    <m/>
  </r>
  <r>
    <x v="6"/>
    <s v="RCS POD"/>
    <s v="Cartomizer tube"/>
    <s v="130010390000214"/>
    <s v="JEE"/>
    <s v="unique"/>
    <s v="Plastic"/>
    <x v="1"/>
    <x v="10"/>
    <d v="2024-10-25T00:00:00"/>
    <n v="0.5"/>
    <n v="0.2716898724654021"/>
    <n v="0.34804527431608795"/>
    <n v="7.6355401850685817E-2"/>
    <n v="3.8177700925342908E-2"/>
    <n v="1"/>
    <n v="0.2716898724654021"/>
    <n v="4832000"/>
    <n v="350106339"/>
    <x v="24"/>
    <x v="264"/>
    <s v="PCTG TX1501HF"/>
    <m/>
    <n v="2.09"/>
    <s v="Eastman"/>
    <m/>
    <n v="0"/>
    <x v="348"/>
    <n v="0"/>
    <n v="10098.879999999999"/>
    <s v="Indonesia"/>
  </r>
  <r>
    <x v="6"/>
    <s v="RCS POD"/>
    <s v="Heating holder"/>
    <s v="130010390000215"/>
    <s v="JEE"/>
    <s v="unique"/>
    <s v="Plastic"/>
    <x v="1"/>
    <x v="10"/>
    <d v="2024-10-25T00:00:00"/>
    <n v="0.5"/>
    <n v="8.678151776003247E-2"/>
    <n v="0.11564226045950222"/>
    <n v="2.8860742699469755E-2"/>
    <n v="1.4430371349734877E-2"/>
    <n v="1"/>
    <n v="8.678151776003247E-2"/>
    <n v="5003000"/>
    <n v="353411134"/>
    <x v="25"/>
    <x v="265"/>
    <s v="PCTG TX1501HF"/>
    <m/>
    <n v="0.31"/>
    <s v="Eastman"/>
    <m/>
    <n v="0"/>
    <x v="349"/>
    <n v="0"/>
    <n v="1550.93"/>
    <s v="Indonesia"/>
  </r>
  <r>
    <x v="6"/>
    <s v="RCS POD"/>
    <s v="Heater top cover"/>
    <s v="130010390000216"/>
    <s v="JEE"/>
    <s v="unique"/>
    <s v="Plastic"/>
    <x v="1"/>
    <x v="10"/>
    <d v="2024-10-25T00:00:00"/>
    <n v="0.5"/>
    <n v="9.5833382481798193E-2"/>
    <n v="0.12512128307326006"/>
    <n v="2.9287900591461875E-2"/>
    <n v="1.4643950295730937E-2"/>
    <n v="1"/>
    <n v="9.5833382481798193E-2"/>
    <n v="5027000"/>
    <n v="354051484"/>
    <x v="26"/>
    <x v="266"/>
    <s v="PCTG TX1501HF"/>
    <m/>
    <n v="0.5"/>
    <s v="Eastman"/>
    <m/>
    <n v="0"/>
    <x v="350"/>
    <n v="0"/>
    <n v="2513.5"/>
    <s v="Indonesia"/>
  </r>
  <r>
    <x v="6"/>
    <s v="RCS POD"/>
    <s v="Cartomizer holder tap"/>
    <s v="130010390000221"/>
    <s v="JEE"/>
    <s v="unique"/>
    <s v="Plastic"/>
    <x v="1"/>
    <x v="10"/>
    <d v="2024-10-25T00:00:00"/>
    <n v="0.5"/>
    <n v="0.11296999999999974"/>
    <n v="0.13241075494174459"/>
    <n v="1.944075494174485E-2"/>
    <n v="9.7203774708724249E-3"/>
    <n v="1"/>
    <n v="0.11296999999999974"/>
    <n v="4980000"/>
    <n v="350626816"/>
    <x v="27"/>
    <x v="267"/>
    <s v="PC2456"/>
    <m/>
    <n v="1.29"/>
    <s v="Covestro"/>
    <m/>
    <n v="0"/>
    <x v="351"/>
    <n v="0"/>
    <n v="6424.2"/>
    <s v="Indonesia"/>
  </r>
  <r>
    <x v="6"/>
    <s v="RCS POD"/>
    <s v="cartomizer bottom cover"/>
    <s v="N/A"/>
    <s v="JEE"/>
    <s v="unique"/>
    <s v="Metal"/>
    <x v="1"/>
    <x v="1"/>
    <d v="2024-12-02T00:00:00"/>
    <n v="0.5"/>
    <n v="0.16769999999999999"/>
    <n v="0.16769999999999999"/>
    <n v="0"/>
    <n v="0"/>
    <n v="1"/>
    <n v="0.16769999999999999"/>
    <n v="24912610"/>
    <n v="24912610"/>
    <x v="4"/>
    <x v="50"/>
    <s v=" Al6063 "/>
    <m/>
    <n v="5.3"/>
    <s v=" Jinqiao "/>
    <m/>
    <n v="9.11E-2"/>
    <x v="352"/>
    <n v="2269538.7710000002"/>
    <n v="132037"/>
    <s v="SPCC"/>
  </r>
  <r>
    <x v="6"/>
    <s v="RCS POD"/>
    <s v="cartomizer bottom cover"/>
    <s v="N/A"/>
    <s v="JEE"/>
    <s v="unique"/>
    <s v="Metal"/>
    <x v="1"/>
    <x v="2"/>
    <d v="2024-12-02T00:00:00"/>
    <n v="0.5"/>
    <n v="0.16769999999999999"/>
    <n v="0.16769999999999999"/>
    <n v="0"/>
    <n v="0"/>
    <n v="1"/>
    <n v="0.16769999999999999"/>
    <n v="15447251"/>
    <n v="40359861"/>
    <x v="4"/>
    <x v="50"/>
    <s v=" Al6063 "/>
    <m/>
    <n v="5.3"/>
    <s v=" Jinqiao "/>
    <m/>
    <n v="9.11E-2"/>
    <x v="353"/>
    <n v="1407244.5660999999"/>
    <n v="81870"/>
    <s v="SPCC"/>
  </r>
  <r>
    <x v="6"/>
    <s v="RCS POD"/>
    <s v="cartomizer bottom cover"/>
    <s v="N/A"/>
    <s v="JEE"/>
    <s v="unique"/>
    <s v="Metal"/>
    <x v="1"/>
    <x v="3"/>
    <d v="2024-12-02T00:00:00"/>
    <n v="0.5"/>
    <n v="0.16769999999999999"/>
    <n v="0.16769999999999999"/>
    <n v="0"/>
    <n v="0"/>
    <n v="1"/>
    <n v="0.16769999999999999"/>
    <n v="17111011"/>
    <n v="57470872"/>
    <x v="4"/>
    <x v="50"/>
    <s v=" Al6063 "/>
    <m/>
    <n v="5.3"/>
    <s v=" Jinqiao "/>
    <m/>
    <n v="9.11E-2"/>
    <x v="354"/>
    <n v="1558813.1021"/>
    <n v="90688"/>
    <s v="SPCC"/>
  </r>
  <r>
    <x v="6"/>
    <s v="RCS POD"/>
    <s v="cartomizer bottom cover"/>
    <s v="N/A"/>
    <s v="JEE"/>
    <s v="unique"/>
    <s v="Metal"/>
    <x v="1"/>
    <x v="4"/>
    <d v="2024-12-02T00:00:00"/>
    <n v="0.5"/>
    <n v="0.16769999999999999"/>
    <n v="0.16769999999999999"/>
    <n v="0"/>
    <n v="0"/>
    <n v="1"/>
    <n v="0.16769999999999999"/>
    <n v="10244287"/>
    <n v="67715159"/>
    <x v="4"/>
    <x v="50"/>
    <s v=" Al6063 "/>
    <m/>
    <n v="5.3"/>
    <s v=" Jinqiao "/>
    <m/>
    <n v="9.11E-2"/>
    <x v="355"/>
    <n v="933254.54570000002"/>
    <n v="54295"/>
    <s v="SPCC"/>
  </r>
  <r>
    <x v="6"/>
    <s v="RCS POD"/>
    <s v="cartomizer bottom cover"/>
    <s v="N/A"/>
    <s v="JEE"/>
    <s v="unique"/>
    <s v="Metal"/>
    <x v="1"/>
    <x v="5"/>
    <d v="2024-12-02T00:00:00"/>
    <n v="0.5"/>
    <n v="0.16769999999999999"/>
    <n v="0.16769999999999999"/>
    <n v="0"/>
    <n v="0"/>
    <n v="1"/>
    <n v="0.16769999999999999"/>
    <n v="17764238"/>
    <n v="85479397"/>
    <x v="4"/>
    <x v="50"/>
    <s v=" Al6063 "/>
    <m/>
    <n v="5.3"/>
    <s v=" Jinqiao "/>
    <m/>
    <n v="9.11E-2"/>
    <x v="356"/>
    <n v="1618322.0818"/>
    <n v="94150"/>
    <s v="SPCC"/>
  </r>
  <r>
    <x v="6"/>
    <s v="RCS POD"/>
    <s v="cartomizer bottom cover"/>
    <s v="N/A"/>
    <s v="JEE"/>
    <s v="unique"/>
    <s v="Metal"/>
    <x v="1"/>
    <x v="6"/>
    <d v="2024-12-02T00:00:00"/>
    <n v="0.5"/>
    <n v="0.16769999999999999"/>
    <n v="0.16769999999999999"/>
    <n v="0"/>
    <n v="0"/>
    <n v="1"/>
    <n v="0.16769999999999999"/>
    <n v="17299773"/>
    <n v="102779170"/>
    <x v="4"/>
    <x v="50"/>
    <s v=" Al6063 "/>
    <m/>
    <n v="5.3"/>
    <s v=" Jinqiao "/>
    <m/>
    <n v="9.11E-2"/>
    <x v="357"/>
    <n v="1576009.3203"/>
    <n v="91689"/>
    <s v="SPCC"/>
  </r>
  <r>
    <x v="6"/>
    <s v="RCS POD"/>
    <s v="cartomizer bottom cover"/>
    <s v="N/A"/>
    <s v="JEE"/>
    <s v="unique"/>
    <s v="Metal"/>
    <x v="1"/>
    <x v="7"/>
    <d v="2024-12-02T00:00:00"/>
    <n v="0.5"/>
    <n v="0.16769999999999999"/>
    <n v="0.16769999999999999"/>
    <n v="0"/>
    <n v="0"/>
    <n v="1"/>
    <n v="0.16769999999999999"/>
    <n v="21575991"/>
    <n v="124355161"/>
    <x v="4"/>
    <x v="50"/>
    <s v=" Al6063 "/>
    <m/>
    <n v="5.3"/>
    <s v=" Jinqiao "/>
    <m/>
    <n v="9.11E-2"/>
    <x v="358"/>
    <n v="1965572.7801000001"/>
    <n v="114353"/>
    <s v="SPCC"/>
  </r>
  <r>
    <x v="6"/>
    <s v="RCS POD"/>
    <s v="cartomizer bottom cover"/>
    <s v="N/A"/>
    <s v="JEE"/>
    <s v="unique"/>
    <s v="Metal"/>
    <x v="1"/>
    <x v="8"/>
    <d v="2024-12-02T00:00:00"/>
    <n v="0.5"/>
    <n v="0.16769999999999999"/>
    <n v="0.16769999999999999"/>
    <n v="0"/>
    <n v="0"/>
    <n v="1"/>
    <n v="0.16769999999999999"/>
    <n v="10231124"/>
    <n v="134586285"/>
    <x v="4"/>
    <x v="50"/>
    <s v=" Al6063 "/>
    <m/>
    <n v="5.3"/>
    <s v=" Jinqiao "/>
    <m/>
    <n v="9.11E-2"/>
    <x v="359"/>
    <n v="932055.39639999997"/>
    <n v="54225"/>
    <s v="SPCC"/>
  </r>
  <r>
    <x v="6"/>
    <s v="RCS POD"/>
    <s v="cartomizer bottom cover"/>
    <s v="N/A"/>
    <s v="JEE"/>
    <s v="unique"/>
    <s v="Metal"/>
    <x v="1"/>
    <x v="9"/>
    <d v="2024-12-02T00:00:00"/>
    <n v="0.5"/>
    <n v="0.16769999999999999"/>
    <n v="0.16769999999999999"/>
    <n v="0"/>
    <n v="0"/>
    <n v="1"/>
    <n v="0.16769999999999999"/>
    <n v="8092085"/>
    <n v="142678370"/>
    <x v="4"/>
    <x v="50"/>
    <s v=" Al6063 "/>
    <m/>
    <n v="5.3"/>
    <s v=" Jinqiao "/>
    <m/>
    <n v="9.11E-2"/>
    <x v="360"/>
    <n v="737188.94350000005"/>
    <n v="42888"/>
    <s v="SPCC"/>
  </r>
  <r>
    <x v="6"/>
    <s v="RCS POD"/>
    <s v="cartomizer bottom cover"/>
    <s v="N/A"/>
    <s v="JEE"/>
    <s v="unique"/>
    <s v="Metal"/>
    <x v="1"/>
    <x v="10"/>
    <d v="2024-12-02T00:00:00"/>
    <n v="0.5"/>
    <n v="0.16769999999999999"/>
    <n v="0.16769999999999999"/>
    <n v="0"/>
    <n v="0"/>
    <n v="1"/>
    <n v="0.16769999999999999"/>
    <n v="7713627"/>
    <n v="150391997"/>
    <x v="4"/>
    <x v="50"/>
    <s v=" Al6063 "/>
    <m/>
    <n v="5.3"/>
    <s v=" Jinqiao "/>
    <m/>
    <n v="9.11E-2"/>
    <x v="361"/>
    <n v="702711.41969999997"/>
    <n v="40882"/>
    <s v="SPCC"/>
  </r>
  <r>
    <x v="6"/>
    <s v="RCS POD"/>
    <s v="cartomizer bottom cover"/>
    <s v="N/A"/>
    <s v="JEE"/>
    <s v="unique"/>
    <s v="Metal"/>
    <x v="1"/>
    <x v="11"/>
    <d v="2024-12-02T00:00:00"/>
    <n v="0.5"/>
    <n v="0.16769999999999999"/>
    <n v="0.16769999999999999"/>
    <n v="0"/>
    <n v="0"/>
    <n v="1"/>
    <n v="0.16769999999999999"/>
    <n v="4708800"/>
    <n v="155100797"/>
    <x v="4"/>
    <x v="50"/>
    <s v=" Al6063 "/>
    <m/>
    <n v="5.3"/>
    <s v=" Jinqiao "/>
    <m/>
    <n v="9.11E-2"/>
    <x v="362"/>
    <n v="428971.68"/>
    <n v="24957"/>
    <s v="SPCC"/>
  </r>
  <r>
    <x v="0"/>
    <s v="MODI"/>
    <s v="Mouth Piece"/>
    <n v="310493191000"/>
    <s v="JEE"/>
    <s v="unique"/>
    <s v="Plastic"/>
    <x v="1"/>
    <x v="11"/>
    <d v="2024-12-02T00:00:00"/>
    <n v="0.5"/>
    <n v="0.3135"/>
    <n v="0.3135"/>
    <n v="0"/>
    <n v="0"/>
    <n v="1"/>
    <n v="0.3135"/>
    <n v="26852"/>
    <n v="45575424"/>
    <x v="28"/>
    <x v="253"/>
    <s v="PCTG TX1501HF"/>
    <m/>
    <n v="6.73"/>
    <s v=" Eastman "/>
    <m/>
    <n v="0"/>
    <x v="363"/>
    <n v="0"/>
    <n v="181"/>
    <m/>
  </r>
  <r>
    <x v="0"/>
    <s v="MODI"/>
    <s v="Top Plastic Bracket"/>
    <n v="310493192000"/>
    <s v="JEE"/>
    <s v="unique"/>
    <s v="Plastic"/>
    <x v="1"/>
    <x v="11"/>
    <d v="2024-12-02T00:00:00"/>
    <n v="0.5"/>
    <n v="4.2200000000000001E-2"/>
    <n v="4.2200000000000001E-2"/>
    <n v="0"/>
    <n v="0"/>
    <n v="1"/>
    <n v="4.2200000000000001E-2"/>
    <n v="29088"/>
    <n v="40219210"/>
    <x v="29"/>
    <x v="253"/>
    <s v="PCTG TX1501HF"/>
    <m/>
    <n v="0.87"/>
    <s v=" Eastman "/>
    <m/>
    <n v="0"/>
    <x v="364"/>
    <n v="0"/>
    <n v="25"/>
    <m/>
  </r>
  <r>
    <x v="0"/>
    <s v="MODI"/>
    <s v=" Bottom Plastic Bracket"/>
    <n v="310493193000"/>
    <s v="JEE"/>
    <s v="unique"/>
    <s v="Plastic"/>
    <x v="1"/>
    <x v="11"/>
    <d v="2024-12-02T00:00:00"/>
    <n v="0.5"/>
    <n v="7.22E-2"/>
    <n v="7.22E-2"/>
    <n v="0"/>
    <n v="0"/>
    <n v="1"/>
    <n v="7.22E-2"/>
    <n v="89088"/>
    <n v="45554502"/>
    <x v="30"/>
    <x v="253"/>
    <s v="PCTG TX1501HF"/>
    <m/>
    <n v="1.18"/>
    <s v=" Eastman "/>
    <m/>
    <n v="0"/>
    <x v="365"/>
    <n v="0"/>
    <n v="105"/>
    <m/>
  </r>
  <r>
    <x v="0"/>
    <s v="MODI"/>
    <s v=" Bottom cap"/>
    <n v="310493194000"/>
    <s v="JEE"/>
    <s v="unique"/>
    <s v="Plastic"/>
    <x v="1"/>
    <x v="11"/>
    <d v="2024-12-02T00:00:00"/>
    <n v="0.5"/>
    <n v="6.6199999999999995E-2"/>
    <n v="6.6199999999999995E-2"/>
    <n v="0"/>
    <n v="0"/>
    <n v="1"/>
    <n v="6.6199999999999995E-2"/>
    <n v="101808"/>
    <n v="29772064"/>
    <x v="29"/>
    <x v="253"/>
    <s v="LUPOY ER1000MA"/>
    <m/>
    <n v="1.18"/>
    <s v="  Ruicheng "/>
    <m/>
    <n v="0"/>
    <x v="366"/>
    <n v="0"/>
    <n v="120"/>
    <m/>
  </r>
  <r>
    <x v="0"/>
    <s v="MODI"/>
    <s v="Air Flow slider"/>
    <n v="310493195000"/>
    <s v="JEE"/>
    <s v="unique"/>
    <s v="Plastic"/>
    <x v="1"/>
    <x v="11"/>
    <d v="2024-12-02T00:00:00"/>
    <n v="0.5"/>
    <n v="3.85E-2"/>
    <n v="3.85E-2"/>
    <n v="0"/>
    <n v="0"/>
    <n v="1"/>
    <n v="3.85E-2"/>
    <n v="101808"/>
    <n v="56390170"/>
    <x v="31"/>
    <x v="253"/>
    <s v="LUPOY ER1000MA"/>
    <m/>
    <n v="0.13"/>
    <s v="  Ruicheng "/>
    <m/>
    <n v="0"/>
    <x v="367"/>
    <n v="0"/>
    <n v="14"/>
    <m/>
  </r>
  <r>
    <x v="1"/>
    <s v="RCS DEVICE"/>
    <s v="Top cover"/>
    <n v="130040670021260"/>
    <s v="JEE"/>
    <s v="unique"/>
    <s v="Plastic"/>
    <x v="1"/>
    <x v="11"/>
    <d v="2024-12-02T00:00:00"/>
    <n v="1"/>
    <n v="2.3582999999999998"/>
    <n v="2.3582999999999998"/>
    <n v="0"/>
    <n v="0"/>
    <n v="1"/>
    <n v="2.3582999999999998"/>
    <n v="0"/>
    <n v="644603"/>
    <x v="32"/>
    <x v="268"/>
    <s v="LUPOY GP1000ML"/>
    <m/>
    <n v="16.260000000000002"/>
    <s v=" LG "/>
    <s v="Printing"/>
    <n v="1.31"/>
    <x v="64"/>
    <n v="0"/>
    <s v=" -   "/>
    <m/>
  </r>
  <r>
    <x v="1"/>
    <s v="RCS DEVICE"/>
    <s v="Bottom cover"/>
    <n v="130040670021261"/>
    <s v="JEE"/>
    <s v="unique"/>
    <s v="Plastic"/>
    <x v="1"/>
    <x v="11"/>
    <d v="2024-12-02T00:00:00"/>
    <n v="1"/>
    <n v="2.3165"/>
    <n v="2.3165"/>
    <n v="0"/>
    <n v="0"/>
    <n v="1"/>
    <n v="2.3165"/>
    <n v="0"/>
    <n v="686982"/>
    <x v="32"/>
    <x v="268"/>
    <s v="LUPOY GP1000ML"/>
    <m/>
    <n v="8.3000000000000007"/>
    <s v=" LG "/>
    <s v="Printing"/>
    <n v="1.43"/>
    <x v="64"/>
    <n v="0"/>
    <s v=" -   "/>
    <m/>
  </r>
  <r>
    <x v="1"/>
    <s v="RCS DEVICE"/>
    <s v="Button"/>
    <n v="130040670021263"/>
    <s v="JEE"/>
    <s v="unique"/>
    <s v="Plastic"/>
    <x v="1"/>
    <x v="11"/>
    <d v="2024-12-02T00:00:00"/>
    <n v="1"/>
    <n v="0.3765"/>
    <n v="0.3765"/>
    <n v="0"/>
    <n v="0"/>
    <n v="1"/>
    <n v="0.3765"/>
    <n v="0"/>
    <n v="665191"/>
    <x v="32"/>
    <x v="268"/>
    <s v="LUPOY GP1000ML"/>
    <m/>
    <n v="0.56999999999999995"/>
    <s v=" LG "/>
    <m/>
    <n v="0"/>
    <x v="64"/>
    <n v="0"/>
    <s v=" -   "/>
    <m/>
  </r>
  <r>
    <x v="1"/>
    <s v="RCS DEVICE"/>
    <s v="PCB holder"/>
    <n v="130040670021262"/>
    <s v="JEE"/>
    <s v="unique"/>
    <s v="Plastic"/>
    <x v="1"/>
    <x v="11"/>
    <d v="2024-12-02T00:00:00"/>
    <n v="1"/>
    <n v="0.37930000000000003"/>
    <n v="0.37930000000000003"/>
    <n v="0"/>
    <n v="0"/>
    <n v="1"/>
    <n v="0.37930000000000003"/>
    <n v="0"/>
    <n v="655070"/>
    <x v="32"/>
    <x v="268"/>
    <s v="PC Makrolon 2456"/>
    <m/>
    <n v="1.87"/>
    <s v=" Makrolon "/>
    <m/>
    <n v="0"/>
    <x v="64"/>
    <n v="0"/>
    <s v=" -   "/>
    <m/>
  </r>
  <r>
    <x v="2"/>
    <s v="RCS DEVICE"/>
    <s v="Battery tube"/>
    <n v="120020670031773"/>
    <s v="JEE"/>
    <s v="unique"/>
    <s v="Plastic"/>
    <x v="1"/>
    <x v="11"/>
    <d v="2024-12-02T00:00:00"/>
    <n v="0.3"/>
    <n v="1.8774416082318"/>
    <n v="1.9124416082318001"/>
    <n v="3.5000000000000142E-2"/>
    <n v="1.0500000000000042E-2"/>
    <n v="1"/>
    <n v="1.8774416082318"/>
    <n v="396400"/>
    <n v="1858979"/>
    <x v="5"/>
    <x v="269"/>
    <s v="PC LUPOY GP1000ML"/>
    <m/>
    <n v="6.54"/>
    <s v=" LG "/>
    <s v="Printing"/>
    <n v="1.2"/>
    <x v="368"/>
    <n v="475680"/>
    <n v="2592"/>
    <m/>
  </r>
  <r>
    <x v="2"/>
    <s v="RCS DEVICE"/>
    <s v="Bottom cap"/>
    <n v="130020670031775"/>
    <s v="JEE"/>
    <s v="unique"/>
    <s v="Plastic"/>
    <x v="1"/>
    <x v="11"/>
    <d v="2024-12-02T00:00:00"/>
    <n v="0.3"/>
    <n v="0.27335792652733598"/>
    <n v="0.33085792652733598"/>
    <n v="5.7499999999999996E-2"/>
    <n v="1.7249999999999998E-2"/>
    <n v="1"/>
    <n v="0.27335792652733598"/>
    <n v="365488"/>
    <n v="1763901"/>
    <x v="6"/>
    <x v="270"/>
    <s v="PC LUPOY GP1000ML"/>
    <m/>
    <n v="3.32"/>
    <s v=" LG "/>
    <m/>
    <n v="0"/>
    <x v="369"/>
    <n v="0"/>
    <n v="1212"/>
    <m/>
  </r>
  <r>
    <x v="2"/>
    <s v="RCS DEVICE"/>
    <s v="Holder"/>
    <n v="130020670031776"/>
    <s v="JEE"/>
    <s v="unique"/>
    <s v="Plastic"/>
    <x v="1"/>
    <x v="11"/>
    <d v="2024-12-02T00:00:00"/>
    <n v="0.3"/>
    <n v="0.20453293319930799"/>
    <n v="0.23078293319930801"/>
    <n v="2.6250000000000023E-2"/>
    <n v="7.875000000000007E-3"/>
    <n v="1"/>
    <n v="0.20453293319930799"/>
    <n v="409560"/>
    <n v="2695102"/>
    <x v="7"/>
    <x v="271"/>
    <s v="PC Makrolon 2456"/>
    <m/>
    <n v="4.25"/>
    <s v=" Makrolon "/>
    <m/>
    <n v="0"/>
    <x v="370"/>
    <n v="0"/>
    <n v="1739"/>
    <m/>
  </r>
  <r>
    <x v="2"/>
    <s v="RCS DEVICE"/>
    <s v="Button"/>
    <n v="130020670031777"/>
    <s v="JEE"/>
    <s v="unique"/>
    <s v="Plastic"/>
    <x v="1"/>
    <x v="11"/>
    <d v="2024-12-02T00:00:00"/>
    <n v="0.3"/>
    <n v="0.120262750041086"/>
    <n v="0.14526275004108599"/>
    <n v="2.4999999999999994E-2"/>
    <n v="7.499999999999998E-3"/>
    <n v="1"/>
    <n v="0.120262750041086"/>
    <n v="454846"/>
    <n v="2718494"/>
    <x v="8"/>
    <x v="272"/>
    <s v="PC Makrolon 2456"/>
    <m/>
    <n v="0.54"/>
    <s v=" Makrolon "/>
    <m/>
    <n v="0"/>
    <x v="371"/>
    <n v="0"/>
    <n v="243"/>
    <m/>
  </r>
  <r>
    <x v="2"/>
    <s v="RCS DEVICE"/>
    <s v="Light guide"/>
    <n v="130020670035243"/>
    <s v="JEE"/>
    <s v="unique"/>
    <s v="Plastic"/>
    <x v="1"/>
    <x v="11"/>
    <d v="2024-12-02T00:00:00"/>
    <n v="0.3"/>
    <n v="0.122488041645336"/>
    <n v="0.14748804164533599"/>
    <n v="2.4999999999999994E-2"/>
    <n v="7.499999999999998E-3"/>
    <n v="1"/>
    <n v="0.122488041645336"/>
    <n v="329202"/>
    <n v="3099112"/>
    <x v="8"/>
    <x v="273"/>
    <s v="PC LUPOY GP1000ML"/>
    <m/>
    <n v="0.51"/>
    <s v=" LG "/>
    <m/>
    <n v="0"/>
    <x v="372"/>
    <n v="0"/>
    <n v="168"/>
    <m/>
  </r>
  <r>
    <x v="3"/>
    <s v="RCS POD"/>
    <s v="Cartomizer tube"/>
    <n v="130010390000214"/>
    <s v="JEE"/>
    <s v="unique"/>
    <s v="Plastic"/>
    <x v="0"/>
    <x v="11"/>
    <d v="2024-12-02T00:00:00"/>
    <n v="1"/>
    <n v="0.97679221076727096"/>
    <n v="0.97985471076727104"/>
    <n v="3.062500000000079E-3"/>
    <n v="3.062500000000079E-3"/>
    <n v="1"/>
    <n v="0.97679221076727096"/>
    <n v="0"/>
    <n v="11114010"/>
    <x v="9"/>
    <x v="259"/>
    <s v=" PCTG TX1501HF "/>
    <m/>
    <n v="2.09"/>
    <s v=" Eastman "/>
    <m/>
    <n v="0.93"/>
    <x v="64"/>
    <n v="0"/>
    <s v=" -   "/>
    <s v="China- Black (Capex no including mold injection tools)"/>
  </r>
  <r>
    <x v="3"/>
    <s v="RCS POD"/>
    <s v="Cartomizer tube"/>
    <n v="130010390000214"/>
    <s v="JEE"/>
    <s v="unique"/>
    <s v="Plastic"/>
    <x v="1"/>
    <x v="11"/>
    <d v="2024-12-02T00:00:00"/>
    <n v="1"/>
    <n v="1.05412849674197"/>
    <n v="1.22365196079064"/>
    <n v="0.16952346404867003"/>
    <n v="0.16952346404867003"/>
    <n v="1"/>
    <n v="1.05412849674197"/>
    <n v="0"/>
    <n v="0"/>
    <x v="33"/>
    <x v="274"/>
    <s v=" PCTG TX1501HF "/>
    <m/>
    <n v="2.09"/>
    <s v=" Eastman "/>
    <m/>
    <n v="1.05"/>
    <x v="64"/>
    <n v="0"/>
    <s v=" -   "/>
    <s v="Indonesia- Black (Capex no including mold injection tools)"/>
  </r>
  <r>
    <x v="3"/>
    <s v="RCS POD"/>
    <s v="Cartomizer tube"/>
    <n v="130010390000214"/>
    <s v="JEE"/>
    <s v="unique"/>
    <s v="Plastic"/>
    <x v="1"/>
    <x v="11"/>
    <d v="2024-12-02T00:00:00"/>
    <n v="1"/>
    <n v="1.17411721731226"/>
    <n v="1.3582877285124899"/>
    <n v="0.18417051120022987"/>
    <n v="0.18417051120022987"/>
    <n v="1"/>
    <n v="1.17411721731226"/>
    <n v="0"/>
    <n v="0"/>
    <x v="34"/>
    <x v="275"/>
    <s v=" PCTG TX1501HF "/>
    <m/>
    <n v="2.09"/>
    <s v=" Eastman "/>
    <m/>
    <n v="1.17"/>
    <x v="64"/>
    <n v="0"/>
    <s v=" -   "/>
    <s v="Indonesia- White(Capex no including mold injection tools)"/>
  </r>
  <r>
    <x v="4"/>
    <s v="HP"/>
    <s v="Botton cover"/>
    <n v="22150202014"/>
    <s v="JEE"/>
    <s v="X3 Pro/unibody/Core"/>
    <s v="Plastic"/>
    <x v="1"/>
    <x v="11"/>
    <d v="2024-12-02T00:00:00"/>
    <n v="0.4"/>
    <n v="2.3161999999999998"/>
    <n v="2.2169787761879198"/>
    <n v="0"/>
    <n v="0"/>
    <n v="1"/>
    <n v="2.3161999999999998"/>
    <n v="58551"/>
    <n v="2176619"/>
    <x v="12"/>
    <x v="166"/>
    <s v="RTP 299 AX 152528（PA+GF）(panting(5 color))"/>
    <m/>
    <n v="1.56"/>
    <s v="  Ruicheng "/>
    <s v="Painting"/>
    <n v="1.94"/>
    <x v="373"/>
    <n v="113588.94"/>
    <n v="91"/>
    <m/>
  </r>
  <r>
    <x v="4"/>
    <s v="HP"/>
    <s v="Cleanout door"/>
    <n v="22150202015"/>
    <s v="JEE"/>
    <s v="X3 Pro/unibody/Core"/>
    <s v="Plastic"/>
    <x v="1"/>
    <x v="11"/>
    <d v="2024-12-02T00:00:00"/>
    <n v="0.6"/>
    <n v="1.5443588135792301"/>
    <n v="1.5423175780454099"/>
    <n v="0"/>
    <n v="0"/>
    <n v="1"/>
    <n v="1.5443588135792301"/>
    <n v="121461"/>
    <n v="2040709"/>
    <x v="13"/>
    <x v="276"/>
    <s v="PC:LG LUPOY SC1004L(panting(5 color))+_x000a_TPU:BASF ELASTONLLAN 1190A"/>
    <m/>
    <n v="1.75"/>
    <s v="  Ruicheng "/>
    <s v="Painting"/>
    <n v="1.1399999999999999"/>
    <x v="374"/>
    <n v="138465.53999999998"/>
    <n v="212"/>
    <m/>
  </r>
  <r>
    <x v="4"/>
    <s v="HP"/>
    <s v="Button"/>
    <n v="22150202010"/>
    <s v="JEE"/>
    <s v="X3 Pro/unibody"/>
    <s v="Plastic"/>
    <x v="1"/>
    <x v="11"/>
    <d v="2024-12-02T00:00:00"/>
    <n v="0.4"/>
    <n v="0.91622499999999996"/>
    <n v="1.13316525889116"/>
    <n v="0"/>
    <n v="0"/>
    <n v="1"/>
    <n v="0.91622499999999996"/>
    <n v="97080"/>
    <n v="1874947"/>
    <x v="14"/>
    <x v="182"/>
    <s v="PC:LG LUPOY SC1004L-Colored"/>
    <m/>
    <n v="0.57999999999999996"/>
    <s v="  Ruicheng "/>
    <s v="Painting"/>
    <n v="0.76"/>
    <x v="375"/>
    <n v="73780.800000000003"/>
    <n v="56"/>
    <m/>
  </r>
  <r>
    <x v="4"/>
    <s v="HP"/>
    <s v="Crown Support"/>
    <n v="22150202008"/>
    <s v="JEE"/>
    <s v="X3 Pro"/>
    <s v="Plastic"/>
    <x v="1"/>
    <x v="11"/>
    <d v="2024-12-02T00:00:00"/>
    <n v="0.5"/>
    <n v="0.1278"/>
    <n v="0.15579999999999999"/>
    <n v="0"/>
    <n v="0"/>
    <n v="1"/>
    <n v="0.1278"/>
    <n v="20000"/>
    <n v="1250057"/>
    <x v="15"/>
    <x v="183"/>
    <s v="POM C9021 black"/>
    <m/>
    <n v="0.76"/>
    <s v="  Ruicheng "/>
    <m/>
    <n v="0"/>
    <x v="376"/>
    <n v="0"/>
    <n v="15"/>
    <m/>
  </r>
  <r>
    <x v="4"/>
    <s v="HP"/>
    <s v="Connector frame"/>
    <n v="22150202017"/>
    <s v="JEE"/>
    <s v="X3 Pro"/>
    <s v="Plastic"/>
    <x v="1"/>
    <x v="11"/>
    <d v="2024-12-02T00:00:00"/>
    <n v="0.4"/>
    <n v="0.17249999999999999"/>
    <n v="0.41749999999999998"/>
    <n v="0"/>
    <n v="0"/>
    <n v="1"/>
    <n v="0.17249999999999999"/>
    <n v="10000"/>
    <n v="1053847"/>
    <x v="9"/>
    <x v="154"/>
    <s v="PC(PCR):LUPOY ER1000MA_RC00101"/>
    <m/>
    <n v="1.17"/>
    <s v="  Ruicheng "/>
    <m/>
    <n v="0"/>
    <x v="377"/>
    <n v="0"/>
    <n v="12"/>
    <m/>
  </r>
  <r>
    <x v="4"/>
    <s v="HP"/>
    <s v="Spin Wheel"/>
    <n v="22150202009"/>
    <s v="JEE"/>
    <s v="X3 Pro/unibody/Core"/>
    <s v="Plastic"/>
    <x v="1"/>
    <x v="11"/>
    <d v="2024-12-02T00:00:00"/>
    <n v="0.5"/>
    <n v="0.1285"/>
    <n v="0.1565"/>
    <n v="0"/>
    <n v="0"/>
    <n v="1"/>
    <n v="0.1285"/>
    <n v="153400"/>
    <n v="2610940"/>
    <x v="9"/>
    <x v="170"/>
    <s v=" PC:LG LUPOY SC1004L-Colored "/>
    <m/>
    <n v="0.69499999999999995"/>
    <s v=" Ruicheng"/>
    <m/>
    <n v="0"/>
    <x v="378"/>
    <n v="0"/>
    <n v="107"/>
    <m/>
  </r>
  <r>
    <x v="4"/>
    <s v="HP"/>
    <s v="Display bracket"/>
    <n v="22150202021"/>
    <s v="JEE"/>
    <s v="X3 Pro/unibody/Core"/>
    <s v="Plastic"/>
    <x v="1"/>
    <x v="11"/>
    <d v="2024-12-02T00:00:00"/>
    <n v="0.6"/>
    <n v="2.5636999999999999"/>
    <n v="2.7518227149358401"/>
    <n v="0"/>
    <n v="0"/>
    <n v="1"/>
    <n v="2.5636999999999999"/>
    <n v="109687"/>
    <n v="2539449"/>
    <x v="16"/>
    <x v="184"/>
    <s v="PC  PCRLUPOY GP1000MA BC90515 40%半透黑"/>
    <m/>
    <n v="3.41"/>
    <s v=" Ruicheng"/>
    <s v="Painting"/>
    <n v="1.76"/>
    <x v="379"/>
    <n v="193049.12"/>
    <n v="374"/>
    <m/>
  </r>
  <r>
    <x v="4"/>
    <s v="HP"/>
    <s v=" PCBA Bracket "/>
    <n v="22150202018"/>
    <s v="JEE"/>
    <s v="X3 Pro/unibody/Core"/>
    <s v="Plastic"/>
    <x v="1"/>
    <x v="11"/>
    <d v="2024-12-02T00:00:00"/>
    <n v="0.4"/>
    <n v="0.1608"/>
    <n v="0.1958"/>
    <n v="0"/>
    <n v="0"/>
    <n v="1"/>
    <n v="0.1608"/>
    <n v="355740"/>
    <n v="2755409"/>
    <x v="9"/>
    <x v="172"/>
    <s v="PC+50%PCR LUPOY ER1004N BC90513 black"/>
    <m/>
    <n v="1.1200000000000001"/>
    <s v="  Ruicheng "/>
    <m/>
    <n v="0"/>
    <x v="380"/>
    <n v="0"/>
    <n v="397"/>
    <m/>
  </r>
  <r>
    <x v="4"/>
    <s v="HP"/>
    <s v=" Shut Door"/>
    <n v="22150202007"/>
    <s v="JEE"/>
    <s v="X3 Hyper Pro/uinbody pro/core"/>
    <s v="Plastic"/>
    <x v="1"/>
    <x v="11"/>
    <d v="2024-12-02T00:00:00"/>
    <n v="0.5"/>
    <n v="0.122757142857143"/>
    <n v="0.16"/>
    <n v="0"/>
    <n v="0"/>
    <n v="1"/>
    <n v="0.122757142857143"/>
    <n v="121461"/>
    <n v="3191785"/>
    <x v="17"/>
    <x v="277"/>
    <s v="POM C9021 black"/>
    <m/>
    <n v="0.52"/>
    <s v="  Ruicheng "/>
    <m/>
    <n v="0"/>
    <x v="381"/>
    <n v="0"/>
    <n v="64"/>
    <m/>
  </r>
  <r>
    <x v="5"/>
    <s v="HP"/>
    <s v="Crown Support"/>
    <n v="23590202001"/>
    <s v="JEE"/>
    <s v="X3 uinbody /core"/>
    <s v="Plastic"/>
    <x v="1"/>
    <x v="11"/>
    <d v="2024-12-02T00:00:00"/>
    <n v="0.5"/>
    <n v="0.125588670602168"/>
    <n v="0.15358867060216799"/>
    <n v="0"/>
    <n v="0"/>
    <n v="1"/>
    <n v="0.125588670602168"/>
    <n v="100000"/>
    <n v="2032198"/>
    <x v="9"/>
    <x v="174"/>
    <s v="PC LG LUPOY SC1004L"/>
    <m/>
    <n v="0.7"/>
    <s v="  Ruicheng "/>
    <m/>
    <n v="0"/>
    <x v="382"/>
    <n v="0"/>
    <n v="70"/>
    <m/>
  </r>
  <r>
    <x v="5"/>
    <s v="HP"/>
    <s v="Connector frame"/>
    <n v="23480202015"/>
    <s v="JEE"/>
    <s v="X3 Hyper core/unibody"/>
    <s v="Plastic"/>
    <x v="1"/>
    <x v="11"/>
    <d v="2024-12-02T00:00:00"/>
    <n v="0.4"/>
    <n v="0.27566008648311202"/>
    <n v="0.353993419816445"/>
    <n v="0"/>
    <n v="0"/>
    <n v="1"/>
    <n v="0.27566008648311202"/>
    <n v="165240"/>
    <n v="1553536"/>
    <x v="18"/>
    <x v="278"/>
    <s v="PC+50%PCR LUPOY ER1000MA BC90515 （80%）_x000a_透光"/>
    <m/>
    <n v="1.72"/>
    <s v="  Ruicheng "/>
    <m/>
    <n v="0"/>
    <x v="383"/>
    <n v="0"/>
    <n v="285"/>
    <m/>
  </r>
  <r>
    <x v="5"/>
    <s v="HP"/>
    <s v="Battery carrier"/>
    <n v="23480202012"/>
    <s v="JEE"/>
    <s v="X3 Core"/>
    <s v="Plastic"/>
    <x v="1"/>
    <x v="11"/>
    <d v="2024-12-02T00:00:00"/>
    <n v="0.4"/>
    <n v="0.80865388388102988"/>
    <n v="1.0756538838810299"/>
    <n v="0.26700000000000002"/>
    <n v="0.10680000000000001"/>
    <n v="1"/>
    <n v="0.80865388388102988"/>
    <n v="87332"/>
    <n v="825201"/>
    <x v="19"/>
    <x v="279"/>
    <s v="PC+75%PCR LUPOY ER1006FZ BC90513"/>
    <m/>
    <n v="5.75"/>
    <s v="  Ruicheng "/>
    <m/>
    <n v="0"/>
    <x v="384"/>
    <n v="0"/>
    <n v="502"/>
    <m/>
  </r>
  <r>
    <x v="5"/>
    <s v="HP"/>
    <s v="Shutter Door Support"/>
    <n v="23480202005"/>
    <s v="JEE"/>
    <s v="X3 uinbody pro/core"/>
    <s v="Plastic"/>
    <x v="1"/>
    <x v="11"/>
    <d v="2024-12-02T00:00:00"/>
    <n v="0.6"/>
    <n v="0.61243323981863296"/>
    <n v="0.790433239818633"/>
    <n v="0.17799999999999999"/>
    <n v="0.10679999999999999"/>
    <n v="1"/>
    <n v="0.61243323981863296"/>
    <n v="179080"/>
    <n v="1489020"/>
    <x v="20"/>
    <x v="280"/>
    <s v="PC+50%PCR LUPOY ER1004N BC90513+_x000a_BASF TPU 60A ELASTOLLAN  SP9324 BLACK"/>
    <m/>
    <n v="3.27"/>
    <s v="  Ruicheng "/>
    <m/>
    <n v="0"/>
    <x v="385"/>
    <n v="0"/>
    <n v="586"/>
    <m/>
  </r>
  <r>
    <x v="5"/>
    <s v="HP"/>
    <s v="Button Bracket"/>
    <n v="23480202011"/>
    <s v="JEE"/>
    <s v="X3 Core"/>
    <s v="Plastic"/>
    <x v="1"/>
    <x v="11"/>
    <d v="2024-12-02T00:00:00"/>
    <n v="0.5"/>
    <n v="0.29378086188436198"/>
    <n v="0.41711419521769499"/>
    <n v="0.123333333333333"/>
    <n v="6.1666666666666502E-2"/>
    <n v="1"/>
    <n v="0.29378086188436198"/>
    <n v="111200"/>
    <n v="1173935"/>
    <x v="21"/>
    <x v="281"/>
    <s v="PC+50%PCR LUPOY ER1004N BC90513 black"/>
    <m/>
    <n v="1.78"/>
    <s v="  Ruicheng "/>
    <m/>
    <n v="0"/>
    <x v="386"/>
    <n v="0"/>
    <n v="197"/>
    <m/>
  </r>
  <r>
    <x v="5"/>
    <s v="HP"/>
    <s v="Button"/>
    <n v="23480202017"/>
    <s v="JEE"/>
    <s v="X3 Core"/>
    <s v="Plastic"/>
    <x v="1"/>
    <x v="11"/>
    <d v="2024-12-02T00:00:00"/>
    <n v="0.5"/>
    <n v="1.0628666666666668"/>
    <n v="1.1322000000000001"/>
    <n v="6.9333333333333302E-2"/>
    <n v="3.4666666666666651E-2"/>
    <n v="1"/>
    <n v="1.0628666666666668"/>
    <n v="199030"/>
    <n v="1013426"/>
    <x v="22"/>
    <x v="282"/>
    <s v="LUPOY ER1000MA E6098"/>
    <m/>
    <n v="2.38"/>
    <s v="  Ruicheng "/>
    <s v="Painting"/>
    <n v="0.8"/>
    <x v="387"/>
    <n v="159224"/>
    <n v="474"/>
    <m/>
  </r>
  <r>
    <x v="5"/>
    <s v="HP"/>
    <s v="Light guide"/>
    <n v="23480202018"/>
    <s v="JEE"/>
    <s v="X3 Core"/>
    <s v="Plastic"/>
    <x v="1"/>
    <x v="11"/>
    <d v="2024-12-02T00:00:00"/>
    <n v="0.4"/>
    <n v="0.41382922267354705"/>
    <n v="0.54316255600688002"/>
    <n v="0.12933333333333299"/>
    <n v="5.1733333333333201E-2"/>
    <n v="1"/>
    <n v="0.41382922267354705"/>
    <n v="45927"/>
    <n v="475422"/>
    <x v="23"/>
    <x v="283"/>
    <s v="PC:LG LUPOY GP1000M  透明（1st shot)_x000a_BASF TPU 60A ELASTOLLAN  SP9324 BLACK（2nd shot)"/>
    <m/>
    <n v="3.67"/>
    <s v="  Ruicheng "/>
    <m/>
    <n v="0"/>
    <x v="388"/>
    <n v="0"/>
    <n v="13768"/>
    <m/>
  </r>
  <r>
    <x v="6"/>
    <s v="RCS POD"/>
    <s v="Cartomizer tube"/>
    <n v="130010390000214"/>
    <s v="JEE"/>
    <s v="unique"/>
    <s v="Plastic"/>
    <x v="1"/>
    <x v="11"/>
    <d v="2024-12-02T00:00:00"/>
    <n v="0.5"/>
    <n v="0.2716898724654021"/>
    <n v="0.34804527431608795"/>
    <n v="7.6355401850685817E-2"/>
    <s v=" ¥0.0066 "/>
    <n v="1"/>
    <n v="0.2716898724654021"/>
    <n v="3748500"/>
    <n v="484692624"/>
    <x v="24"/>
    <x v="284"/>
    <s v=" PCTG TX1501HF "/>
    <m/>
    <n v="2.09"/>
    <s v=" Eastman "/>
    <m/>
    <n v="0"/>
    <x v="389"/>
    <n v="0"/>
    <n v="7834"/>
    <s v="Indonesia"/>
  </r>
  <r>
    <x v="6"/>
    <s v="RCS POD"/>
    <s v="Heating holder"/>
    <n v="130010390000215"/>
    <s v="JEE"/>
    <s v="unique"/>
    <s v="Plastic"/>
    <x v="1"/>
    <x v="11"/>
    <d v="2024-12-02T00:00:00"/>
    <n v="0.5"/>
    <n v="8.678151776003247E-2"/>
    <n v="0.11564226045950222"/>
    <n v="2.8860742699469755E-2"/>
    <s v=" ¥0.0027 "/>
    <n v="1"/>
    <n v="8.678151776003247E-2"/>
    <n v="3616700"/>
    <n v="496089504"/>
    <x v="25"/>
    <x v="285"/>
    <s v=" PCTG TX1501HF "/>
    <m/>
    <n v="0.31"/>
    <s v=" Eastman "/>
    <m/>
    <n v="0"/>
    <x v="390"/>
    <n v="0"/>
    <n v="1121"/>
    <s v="Indonesia"/>
  </r>
  <r>
    <x v="6"/>
    <s v="RCS POD"/>
    <s v="Heater top cover"/>
    <n v="130010390000216"/>
    <s v="JEE"/>
    <s v="unique"/>
    <s v="Plastic"/>
    <x v="1"/>
    <x v="11"/>
    <d v="2024-12-02T00:00:00"/>
    <n v="0.5"/>
    <n v="9.5833382481798193E-2"/>
    <n v="0.12512128307326006"/>
    <n v="2.9287900591461875E-2"/>
    <s v=" ¥0.0027 "/>
    <n v="1"/>
    <n v="9.5833382481798193E-2"/>
    <n v="3480000"/>
    <n v="504443481"/>
    <x v="26"/>
    <x v="286"/>
    <s v=" PCTG TX1501HF "/>
    <m/>
    <n v="0.5"/>
    <s v=" Eastman "/>
    <m/>
    <n v="0"/>
    <x v="391"/>
    <n v="0"/>
    <n v="1740"/>
    <s v="Indonesia"/>
  </r>
  <r>
    <x v="6"/>
    <s v="RCS POD"/>
    <s v="Cartomizer holder tap"/>
    <n v="130010390000221"/>
    <s v="JEE"/>
    <s v="unique"/>
    <s v="Plastic"/>
    <x v="1"/>
    <x v="11"/>
    <d v="2024-12-02T00:00:00"/>
    <n v="0.5"/>
    <n v="0.11296999999999974"/>
    <n v="0.13241075494174459"/>
    <n v="1.944075494174485E-2"/>
    <s v=" ¥0.0014 "/>
    <n v="1"/>
    <n v="0.11296999999999974"/>
    <n v="3400700"/>
    <n v="505727613"/>
    <x v="27"/>
    <x v="287"/>
    <s v="PC2456"/>
    <m/>
    <n v="1.29"/>
    <s v="Covestro"/>
    <m/>
    <n v="0"/>
    <x v="392"/>
    <n v="0"/>
    <n v="4387"/>
    <s v="Indonesia"/>
  </r>
  <r>
    <x v="7"/>
    <s v="RCS DEVICE"/>
    <s v=" Prismatic Silver Device"/>
    <s v="N/A"/>
    <s v="JEE"/>
    <s v="unique"/>
    <s v="Metal"/>
    <x v="1"/>
    <x v="3"/>
    <d v="2024-12-02T00:00:00"/>
    <n v="0.5"/>
    <n v="27.14"/>
    <n v="27.14"/>
    <n v="0"/>
    <n v="0"/>
    <n v="1"/>
    <n v="27.14"/>
    <m/>
    <n v="0"/>
    <x v="4"/>
    <x v="50"/>
    <s v=" Al6063 "/>
    <m/>
    <n v="5.3"/>
    <s v=" Weihua "/>
    <m/>
    <n v="12.95"/>
    <x v="64"/>
    <n v="0"/>
    <n v="0"/>
    <m/>
  </r>
  <r>
    <x v="7"/>
    <s v="RCS DEVICE"/>
    <s v=" Prismatic  Device"/>
    <s v="N/A"/>
    <s v="JEE"/>
    <s v="unique"/>
    <s v="Metal"/>
    <x v="1"/>
    <x v="3"/>
    <d v="2024-12-02T00:00:00"/>
    <n v="0.5"/>
    <n v="27.14"/>
    <n v="27.14"/>
    <n v="0"/>
    <n v="0"/>
    <n v="1"/>
    <n v="27.14"/>
    <n v="219648"/>
    <n v="219648"/>
    <x v="4"/>
    <x v="50"/>
    <s v=" Al6063 "/>
    <m/>
    <n v="5.3"/>
    <s v=" Weihua "/>
    <m/>
    <n v="12.95"/>
    <x v="393"/>
    <n v="2844441.5999999996"/>
    <n v="1164.1343999999999"/>
    <m/>
  </r>
  <r>
    <x v="7"/>
    <s v="RCS DEVICE"/>
    <s v=" Prismatic Silver Device"/>
    <s v="N/A"/>
    <s v="JEE"/>
    <s v="unique"/>
    <s v="Metal"/>
    <x v="1"/>
    <x v="4"/>
    <d v="2024-12-02T00:00:00"/>
    <n v="0.5"/>
    <n v="27.14"/>
    <n v="27.14"/>
    <n v="0"/>
    <n v="0"/>
    <n v="1"/>
    <n v="27.14"/>
    <n v="70656"/>
    <n v="70656"/>
    <x v="4"/>
    <x v="50"/>
    <s v=" Al6063 "/>
    <m/>
    <n v="5.3"/>
    <s v=" Weihua "/>
    <m/>
    <n v="12.95"/>
    <x v="394"/>
    <n v="914995.19999999995"/>
    <n v="374.47679999999997"/>
    <m/>
  </r>
  <r>
    <x v="7"/>
    <s v="RCS DEVICE"/>
    <s v=" Prismatic  Device"/>
    <s v="N/A"/>
    <s v="JEE"/>
    <s v="unique"/>
    <s v="Metal"/>
    <x v="1"/>
    <x v="4"/>
    <d v="2024-12-02T00:00:00"/>
    <n v="0.5"/>
    <n v="27.14"/>
    <n v="27.14"/>
    <n v="0"/>
    <n v="0"/>
    <n v="1"/>
    <n v="27.14"/>
    <n v="303593"/>
    <n v="523241"/>
    <x v="4"/>
    <x v="50"/>
    <s v=" Al6063 "/>
    <m/>
    <n v="5.3"/>
    <s v=" Weihua "/>
    <m/>
    <n v="12.95"/>
    <x v="395"/>
    <n v="3931529.3499999996"/>
    <n v="1609.0428999999999"/>
    <m/>
  </r>
  <r>
    <x v="7"/>
    <s v="RCS DEVICE"/>
    <s v=" Prismatic Silver Device"/>
    <s v="N/A"/>
    <s v="JEE"/>
    <s v="unique"/>
    <s v="Metal"/>
    <x v="1"/>
    <x v="5"/>
    <d v="2024-12-02T00:00:00"/>
    <n v="0.5"/>
    <n v="27.14"/>
    <n v="27.14"/>
    <n v="0"/>
    <n v="0"/>
    <n v="1"/>
    <n v="27.14"/>
    <n v="366373"/>
    <n v="437029"/>
    <x v="4"/>
    <x v="50"/>
    <s v=" Al6063 "/>
    <m/>
    <n v="5.3"/>
    <s v=" Weihua "/>
    <m/>
    <n v="12.95"/>
    <x v="396"/>
    <n v="4744530.3499999996"/>
    <n v="1941.7768999999998"/>
    <m/>
  </r>
  <r>
    <x v="7"/>
    <s v="RCS DEVICE"/>
    <s v=" Prismatic  Device"/>
    <s v="N/A"/>
    <s v="JEE"/>
    <s v="unique"/>
    <s v="Metal"/>
    <x v="1"/>
    <x v="5"/>
    <d v="2024-12-02T00:00:00"/>
    <n v="0.5"/>
    <n v="27.14"/>
    <n v="27.14"/>
    <n v="0"/>
    <n v="0"/>
    <n v="1"/>
    <n v="27.14"/>
    <n v="51658"/>
    <n v="574899"/>
    <x v="4"/>
    <x v="50"/>
    <s v=" Al6063 "/>
    <m/>
    <n v="5.3"/>
    <s v=" Weihua "/>
    <m/>
    <n v="12.95"/>
    <x v="397"/>
    <n v="668971.1"/>
    <n v="273.78739999999999"/>
    <m/>
  </r>
  <r>
    <x v="7"/>
    <s v="RCS DEVICE"/>
    <s v=" Prismatic Silver Device"/>
    <s v="N/A"/>
    <s v="JEE"/>
    <s v="unique"/>
    <s v="Metal"/>
    <x v="1"/>
    <x v="6"/>
    <d v="2024-12-02T00:00:00"/>
    <n v="0.5"/>
    <n v="27.14"/>
    <n v="27.14"/>
    <n v="0"/>
    <n v="0"/>
    <n v="1"/>
    <n v="27.14"/>
    <n v="133632"/>
    <n v="570661"/>
    <x v="4"/>
    <x v="50"/>
    <s v=" Al6063 "/>
    <m/>
    <n v="5.3"/>
    <s v=" Weihua "/>
    <m/>
    <n v="12.95"/>
    <x v="398"/>
    <n v="1730534.3999999999"/>
    <n v="708.24959999999999"/>
    <m/>
  </r>
  <r>
    <x v="7"/>
    <s v="RCS DEVICE"/>
    <s v=" Prismatic  Device"/>
    <s v="N/A"/>
    <s v="JEE"/>
    <s v="unique"/>
    <s v="Metal"/>
    <x v="1"/>
    <x v="6"/>
    <d v="2024-12-02T00:00:00"/>
    <n v="0.5"/>
    <n v="27.14"/>
    <n v="27.14"/>
    <n v="0"/>
    <n v="0"/>
    <n v="1"/>
    <n v="27.14"/>
    <n v="75389"/>
    <n v="650288"/>
    <x v="4"/>
    <x v="50"/>
    <s v=" Al6063 "/>
    <m/>
    <n v="5.3"/>
    <s v=" Weihua "/>
    <m/>
    <n v="12.95"/>
    <x v="399"/>
    <n v="976287.54999999993"/>
    <n v="399.56170000000003"/>
    <m/>
  </r>
  <r>
    <x v="7"/>
    <s v="RCS DEVICE"/>
    <s v=" Prismatic Silver Device"/>
    <s v="N/A"/>
    <s v="JEE"/>
    <s v="unique"/>
    <s v="Metal"/>
    <x v="1"/>
    <x v="7"/>
    <d v="2024-12-02T00:00:00"/>
    <n v="0.5"/>
    <n v="27.14"/>
    <n v="27.14"/>
    <n v="0"/>
    <n v="0"/>
    <n v="1"/>
    <n v="27.14"/>
    <n v="104425"/>
    <n v="675086"/>
    <x v="4"/>
    <x v="50"/>
    <s v=" Al6063 "/>
    <m/>
    <n v="5.3"/>
    <s v=" Weihua "/>
    <m/>
    <n v="12.95"/>
    <x v="400"/>
    <n v="1352303.75"/>
    <n v="553.45249999999999"/>
    <m/>
  </r>
  <r>
    <x v="7"/>
    <s v="RCS DEVICE"/>
    <s v=" Prismatic  Device"/>
    <s v="N/A"/>
    <s v="JEE"/>
    <s v="unique"/>
    <s v="Metal"/>
    <x v="1"/>
    <x v="7"/>
    <d v="2024-12-02T00:00:00"/>
    <n v="0.5"/>
    <n v="27.14"/>
    <n v="27.14"/>
    <n v="0"/>
    <n v="0"/>
    <n v="1"/>
    <n v="27.14"/>
    <n v="117900"/>
    <n v="768188"/>
    <x v="4"/>
    <x v="50"/>
    <s v=" Al6063 "/>
    <m/>
    <n v="5.3"/>
    <s v=" Weihua "/>
    <m/>
    <n v="12.95"/>
    <x v="401"/>
    <n v="1526805"/>
    <n v="624.87"/>
    <m/>
  </r>
  <r>
    <x v="7"/>
    <s v="RCS DEVICE"/>
    <s v=" Prismatic Silver Device"/>
    <s v="N/A"/>
    <s v="JEE"/>
    <s v="unique"/>
    <s v="Metal"/>
    <x v="1"/>
    <x v="8"/>
    <d v="2024-12-02T00:00:00"/>
    <n v="0.5"/>
    <n v="27.14"/>
    <n v="27.14"/>
    <n v="0"/>
    <n v="0"/>
    <n v="1"/>
    <n v="27.14"/>
    <n v="-292"/>
    <n v="674794"/>
    <x v="4"/>
    <x v="50"/>
    <s v=" Al6063 "/>
    <m/>
    <n v="5.3"/>
    <s v=" Weihua "/>
    <m/>
    <n v="12.95"/>
    <x v="402"/>
    <n v="-3781.3999999999996"/>
    <n v="-1.5475999999999999"/>
    <m/>
  </r>
  <r>
    <x v="7"/>
    <s v="RCS DEVICE"/>
    <s v=" Prismatic  Device"/>
    <s v="N/A"/>
    <s v="JEE"/>
    <s v="unique"/>
    <s v="Metal"/>
    <x v="1"/>
    <x v="8"/>
    <d v="2024-12-02T00:00:00"/>
    <n v="0.5"/>
    <n v="27.14"/>
    <n v="27.14"/>
    <n v="0"/>
    <n v="0"/>
    <n v="1"/>
    <n v="27.14"/>
    <n v="40778"/>
    <n v="808966"/>
    <x v="4"/>
    <x v="50"/>
    <s v=" Al6063 "/>
    <m/>
    <n v="5.3"/>
    <s v=" Weihua "/>
    <m/>
    <n v="12.95"/>
    <x v="403"/>
    <n v="528075.1"/>
    <n v="216.1234"/>
    <m/>
  </r>
  <r>
    <x v="7"/>
    <s v="RCS DEVICE"/>
    <s v=" Prismatic Silver Device"/>
    <s v="N/A"/>
    <s v="JEE"/>
    <s v="unique"/>
    <s v="Metal"/>
    <x v="1"/>
    <x v="9"/>
    <d v="2024-12-02T00:00:00"/>
    <n v="0.5"/>
    <n v="27.14"/>
    <n v="27.14"/>
    <n v="0"/>
    <n v="0"/>
    <n v="1"/>
    <n v="27.14"/>
    <n v="21930"/>
    <n v="696724"/>
    <x v="4"/>
    <x v="50"/>
    <s v=" Al6063 "/>
    <m/>
    <n v="5.3"/>
    <s v=" Weihua "/>
    <m/>
    <n v="12.95"/>
    <x v="404"/>
    <n v="283993.5"/>
    <n v="116.229"/>
    <m/>
  </r>
  <r>
    <x v="7"/>
    <s v="RCS DEVICE"/>
    <s v=" Prismatic  Device"/>
    <s v="N/A"/>
    <s v="JEE"/>
    <s v="unique"/>
    <s v="Metal"/>
    <x v="1"/>
    <x v="9"/>
    <d v="2024-12-02T00:00:00"/>
    <n v="0.5"/>
    <n v="27.14"/>
    <n v="27.14"/>
    <n v="0"/>
    <n v="0"/>
    <n v="1"/>
    <n v="27.14"/>
    <n v="109472"/>
    <n v="918438"/>
    <x v="4"/>
    <x v="50"/>
    <s v=" Al6063 "/>
    <m/>
    <n v="5.3"/>
    <s v=" Weihua "/>
    <m/>
    <n v="12.95"/>
    <x v="405"/>
    <n v="1417662.4"/>
    <n v="580.20159999999998"/>
    <m/>
  </r>
  <r>
    <x v="7"/>
    <s v="RCS DEVICE"/>
    <s v=" Prismatic Silver Device"/>
    <s v="N/A"/>
    <s v="JEE"/>
    <s v="unique"/>
    <s v="Metal"/>
    <x v="1"/>
    <x v="10"/>
    <d v="2024-12-02T00:00:00"/>
    <n v="0.5"/>
    <n v="27.14"/>
    <n v="27.14"/>
    <n v="0"/>
    <n v="0"/>
    <n v="1"/>
    <n v="27.14"/>
    <n v="463872"/>
    <n v="1160596"/>
    <x v="4"/>
    <x v="50"/>
    <s v=" Al6063 "/>
    <m/>
    <n v="5.3"/>
    <s v=" Weihua "/>
    <m/>
    <n v="12.95"/>
    <x v="406"/>
    <n v="6007142.3999999994"/>
    <n v="2458.5216"/>
    <m/>
  </r>
  <r>
    <x v="7"/>
    <s v="RCS DEVICE"/>
    <s v=" Prismatic  Device"/>
    <s v="N/A"/>
    <s v="JEE"/>
    <s v="unique"/>
    <s v="Metal"/>
    <x v="1"/>
    <x v="10"/>
    <d v="2024-12-02T00:00:00"/>
    <n v="0.5"/>
    <n v="27.14"/>
    <n v="27.14"/>
    <n v="0"/>
    <n v="0"/>
    <n v="1"/>
    <n v="27.14"/>
    <n v="265786"/>
    <n v="1184224"/>
    <x v="4"/>
    <x v="50"/>
    <s v=" Al6063 "/>
    <m/>
    <n v="5.3"/>
    <s v=" Weihua "/>
    <m/>
    <n v="12.95"/>
    <x v="407"/>
    <n v="3441928.6999999997"/>
    <n v="1408.6658"/>
    <m/>
  </r>
  <r>
    <x v="7"/>
    <s v="RCS DEVICE"/>
    <s v=" Prismatic Silver Device"/>
    <s v="N/A"/>
    <s v="JEE"/>
    <s v="unique"/>
    <s v="Metal"/>
    <x v="1"/>
    <x v="11"/>
    <d v="2024-12-02T00:00:00"/>
    <n v="0.5"/>
    <n v="27.14"/>
    <n v="27.14"/>
    <n v="0"/>
    <n v="0"/>
    <n v="1"/>
    <n v="27.14"/>
    <n v="64418"/>
    <n v="1225014"/>
    <x v="4"/>
    <x v="50"/>
    <s v=" Al6063 "/>
    <m/>
    <n v="5.3"/>
    <s v=" Weihua "/>
    <m/>
    <n v="12.95"/>
    <x v="408"/>
    <n v="834213.1"/>
    <n v="341.41539999999998"/>
    <m/>
  </r>
  <r>
    <x v="7"/>
    <s v="RCS DEVICE"/>
    <s v=" Prismatic  Device"/>
    <s v="N/A"/>
    <s v="JEE"/>
    <s v="unique"/>
    <s v="Metal"/>
    <x v="1"/>
    <x v="11"/>
    <d v="2024-12-02T00:00:00"/>
    <n v="0.5"/>
    <n v="27.14"/>
    <n v="27.14"/>
    <n v="0"/>
    <n v="0"/>
    <n v="1"/>
    <n v="27.14"/>
    <n v="-1198"/>
    <n v="1183026"/>
    <x v="4"/>
    <x v="50"/>
    <s v=" Al6063 "/>
    <m/>
    <n v="5.3"/>
    <s v=" Weihua "/>
    <m/>
    <n v="12.95"/>
    <x v="409"/>
    <n v="-15514.099999999999"/>
    <n v="-6.3493999999999993"/>
    <m/>
  </r>
  <r>
    <x v="8"/>
    <s v="RCS DEVICE"/>
    <s v="Alto Device-normal color"/>
    <s v="N/A"/>
    <s v="JEE"/>
    <s v="unique"/>
    <s v="Metal"/>
    <x v="1"/>
    <x v="1"/>
    <d v="2024-12-02T00:00:00"/>
    <n v="0.5"/>
    <n v="3.4611000000000001"/>
    <n v="3.4611000000000001"/>
    <n v="0"/>
    <n v="0"/>
    <n v="1"/>
    <n v="3.4611000000000001"/>
    <n v="1071102"/>
    <n v="1071102"/>
    <x v="4"/>
    <x v="50"/>
    <s v=" Al6063 "/>
    <m/>
    <n v="5.3"/>
    <s v=" Kecheng "/>
    <s v="Anodizing"/>
    <n v="2.5499999999999998"/>
    <x v="410"/>
    <n v="2731310.0999999996"/>
    <n v="5676.8405999999995"/>
    <m/>
  </r>
  <r>
    <x v="8"/>
    <s v="RCS DEVICE"/>
    <s v="Alto Device-normal color"/>
    <s v="N/A"/>
    <s v="JEE"/>
    <s v="unique"/>
    <s v="Metal"/>
    <x v="1"/>
    <x v="2"/>
    <d v="2024-12-02T00:00:00"/>
    <n v="0.5"/>
    <n v="3.4611000000000001"/>
    <n v="3.4611000000000001"/>
    <n v="0"/>
    <n v="0"/>
    <n v="1"/>
    <n v="3.4611000000000001"/>
    <n v="-3730"/>
    <n v="1067372"/>
    <x v="4"/>
    <x v="50"/>
    <s v=" Al6063 "/>
    <m/>
    <n v="5.3"/>
    <s v=" Kecheng "/>
    <s v="Anodizing"/>
    <n v="2.5499999999999998"/>
    <x v="411"/>
    <n v="-9511.5"/>
    <n v="-19.768999999999998"/>
    <m/>
  </r>
  <r>
    <x v="8"/>
    <s v="RCS DEVICE"/>
    <s v="Alto Device-normal color"/>
    <s v="N/A"/>
    <s v="JEE"/>
    <s v="unique"/>
    <s v="Metal"/>
    <x v="1"/>
    <x v="3"/>
    <d v="2024-12-02T00:00:00"/>
    <n v="0.5"/>
    <n v="3.4611000000000001"/>
    <n v="3.4611000000000001"/>
    <n v="0"/>
    <n v="0"/>
    <n v="1"/>
    <n v="3.4611000000000001"/>
    <n v="0"/>
    <n v="1183026"/>
    <x v="4"/>
    <x v="50"/>
    <s v=" Al6063 "/>
    <m/>
    <n v="5.3"/>
    <s v=" Kecheng "/>
    <s v="Anodizing"/>
    <n v="2.5499999999999998"/>
    <x v="64"/>
    <n v="0"/>
    <n v="0"/>
    <m/>
  </r>
  <r>
    <x v="8"/>
    <s v="RCS DEVICE"/>
    <s v="Alto Device-normal color"/>
    <s v="N/A"/>
    <s v="JEE"/>
    <s v="unique"/>
    <s v="Metal"/>
    <x v="1"/>
    <x v="4"/>
    <d v="2024-12-02T00:00:00"/>
    <n v="0.5"/>
    <n v="3.4611000000000001"/>
    <n v="3.4611000000000001"/>
    <n v="0"/>
    <n v="0"/>
    <n v="1"/>
    <n v="3.4611000000000001"/>
    <n v="0"/>
    <n v="1183026"/>
    <x v="4"/>
    <x v="50"/>
    <s v=" Al6063 "/>
    <m/>
    <n v="5.3"/>
    <s v=" Kecheng "/>
    <s v="Anodizing"/>
    <n v="2.5499999999999998"/>
    <x v="64"/>
    <n v="0"/>
    <n v="0"/>
    <m/>
  </r>
  <r>
    <x v="8"/>
    <s v="RCS DEVICE"/>
    <s v="Alto Device-normal color"/>
    <s v="N/A"/>
    <s v="JEE"/>
    <s v="unique"/>
    <s v="Metal"/>
    <x v="1"/>
    <x v="5"/>
    <d v="2024-12-02T00:00:00"/>
    <n v="0.5"/>
    <n v="3.4611000000000001"/>
    <n v="3.4611000000000001"/>
    <n v="0"/>
    <n v="0"/>
    <n v="1"/>
    <n v="3.4611000000000001"/>
    <n v="0"/>
    <n v="1067372"/>
    <x v="4"/>
    <x v="50"/>
    <s v=" Al6063 "/>
    <m/>
    <n v="5.3"/>
    <s v=" Kecheng "/>
    <s v="Anodizing"/>
    <n v="2.5499999999999998"/>
    <x v="64"/>
    <n v="0"/>
    <n v="0"/>
    <m/>
  </r>
  <r>
    <x v="8"/>
    <s v="RCS DEVICE"/>
    <s v="Alto Device-normal color"/>
    <s v="N/A"/>
    <s v="JEE"/>
    <s v="unique"/>
    <s v="Metal"/>
    <x v="1"/>
    <x v="6"/>
    <d v="2024-12-02T00:00:00"/>
    <n v="0.5"/>
    <n v="3.4611000000000001"/>
    <n v="3.4611000000000001"/>
    <n v="0"/>
    <n v="0"/>
    <n v="1"/>
    <n v="3.4611000000000001"/>
    <n v="0"/>
    <n v="1067372"/>
    <x v="4"/>
    <x v="50"/>
    <s v=" Al6063 "/>
    <m/>
    <n v="5.3"/>
    <s v=" Kecheng "/>
    <s v="Anodizing"/>
    <n v="2.5499999999999998"/>
    <x v="64"/>
    <n v="0"/>
    <n v="0"/>
    <m/>
  </r>
  <r>
    <x v="8"/>
    <s v="RCS DEVICE"/>
    <s v="Alto Device-normal color"/>
    <s v="N/A"/>
    <s v="JEE"/>
    <s v="unique"/>
    <s v="Metal"/>
    <x v="1"/>
    <x v="7"/>
    <d v="2024-12-02T00:00:00"/>
    <n v="0.5"/>
    <n v="3.4611000000000001"/>
    <n v="3.4611000000000001"/>
    <n v="0"/>
    <n v="0"/>
    <n v="1"/>
    <n v="3.4611000000000001"/>
    <n v="1554564"/>
    <n v="2621936"/>
    <x v="4"/>
    <x v="50"/>
    <s v=" Al6063 "/>
    <m/>
    <n v="5.3"/>
    <s v=" Kecheng "/>
    <s v="Anodizing"/>
    <n v="2.5499999999999998"/>
    <x v="412"/>
    <n v="3964138.1999999997"/>
    <n v="8239.1892000000007"/>
    <m/>
  </r>
  <r>
    <x v="8"/>
    <s v="RCS DEVICE"/>
    <s v="Alto Device-normal color"/>
    <s v="N/A"/>
    <s v="JEE"/>
    <s v="unique"/>
    <s v="Metal"/>
    <x v="1"/>
    <x v="8"/>
    <d v="2024-12-02T00:00:00"/>
    <n v="0.5"/>
    <n v="3.4611000000000001"/>
    <n v="3.4611000000000001"/>
    <n v="0"/>
    <n v="0"/>
    <n v="1"/>
    <n v="3.4611000000000001"/>
    <n v="1184103"/>
    <n v="2251475"/>
    <x v="4"/>
    <x v="50"/>
    <s v=" Al6063 "/>
    <m/>
    <n v="5.3"/>
    <s v=" Kecheng "/>
    <s v="Anodizing"/>
    <n v="2.5499999999999998"/>
    <x v="413"/>
    <n v="3019462.65"/>
    <n v="6275.7458999999999"/>
    <m/>
  </r>
  <r>
    <x v="8"/>
    <s v="RCS DEVICE"/>
    <s v="Alto Device-normal color"/>
    <s v="N/A"/>
    <s v="JEE"/>
    <s v="unique"/>
    <s v="Metal"/>
    <x v="1"/>
    <x v="9"/>
    <d v="2024-12-02T00:00:00"/>
    <n v="0.5"/>
    <n v="3.4611000000000001"/>
    <n v="3.4611000000000001"/>
    <n v="0"/>
    <n v="0"/>
    <n v="1"/>
    <n v="3.4611000000000001"/>
    <n v="153748"/>
    <n v="2405223"/>
    <x v="4"/>
    <x v="50"/>
    <s v=" Al6063 "/>
    <m/>
    <n v="5.3"/>
    <s v=" Kecheng "/>
    <s v="Anodizing"/>
    <n v="2.5499999999999998"/>
    <x v="414"/>
    <n v="392057.39999999997"/>
    <n v="814.86440000000005"/>
    <m/>
  </r>
  <r>
    <x v="8"/>
    <s v="RCS DEVICE"/>
    <s v="Alto Device-normal color"/>
    <s v="N/A"/>
    <s v="JEE"/>
    <s v="unique"/>
    <s v="Metal"/>
    <x v="1"/>
    <x v="10"/>
    <d v="2024-12-02T00:00:00"/>
    <n v="0.5"/>
    <n v="3.4611000000000001"/>
    <n v="3.4611000000000001"/>
    <n v="0"/>
    <n v="0"/>
    <n v="1"/>
    <n v="3.4611000000000001"/>
    <n v="688804"/>
    <n v="3310740"/>
    <x v="4"/>
    <x v="50"/>
    <s v=" Al6063 "/>
    <m/>
    <n v="5.3"/>
    <s v=" Kecheng "/>
    <s v="Anodizing"/>
    <n v="2.5499999999999998"/>
    <x v="415"/>
    <n v="1756450.2"/>
    <n v="3650.6611999999996"/>
    <m/>
  </r>
  <r>
    <x v="8"/>
    <s v="RCS DEVICE"/>
    <s v="Alto Device-normal color"/>
    <s v="N/A"/>
    <s v="JEE"/>
    <s v="unique"/>
    <s v="Metal"/>
    <x v="1"/>
    <x v="11"/>
    <d v="2024-12-02T00:00:00"/>
    <n v="0.5"/>
    <n v="3.4611000000000001"/>
    <n v="3.4611000000000001"/>
    <n v="0"/>
    <n v="0"/>
    <n v="1"/>
    <n v="3.4611000000000001"/>
    <n v="206608"/>
    <n v="3517348"/>
    <x v="4"/>
    <x v="50"/>
    <s v=" Al6063 "/>
    <m/>
    <n v="5.3"/>
    <s v=" Kecheng "/>
    <s v="Anodizing"/>
    <n v="2.5499999999999998"/>
    <x v="416"/>
    <n v="526850.39999999991"/>
    <n v="1095.0223999999998"/>
    <m/>
  </r>
  <r>
    <x v="7"/>
    <s v="RCS DEVICE"/>
    <s v=" Prismatic Silver Device"/>
    <s v="N/A"/>
    <s v="JEE"/>
    <s v="unique"/>
    <s v="Metal"/>
    <x v="1"/>
    <x v="0"/>
    <d v="2025-01-03T00:00:00"/>
    <n v="0.5"/>
    <n v="27.14"/>
    <n v="27.14"/>
    <n v="0"/>
    <n v="0"/>
    <n v="1"/>
    <n v="27.14"/>
    <n v="150036"/>
    <n v="1375050"/>
    <x v="4"/>
    <x v="50"/>
    <s v=" Al6063 "/>
    <m/>
    <n v="5.3"/>
    <s v=" Weihua "/>
    <m/>
    <n v="12.95"/>
    <x v="417"/>
    <n v="1942966.2"/>
    <n v="795.19079999999997"/>
    <m/>
  </r>
  <r>
    <x v="7"/>
    <s v="RCS DEVICE"/>
    <s v=" Prismatic  Device"/>
    <s v="N/A"/>
    <s v="JEE"/>
    <s v="unique"/>
    <s v="Metal"/>
    <x v="1"/>
    <x v="0"/>
    <d v="2025-01-03T00:00:00"/>
    <n v="0.5"/>
    <n v="27.14"/>
    <n v="27.14"/>
    <n v="0"/>
    <n v="0"/>
    <n v="1"/>
    <n v="27.14"/>
    <n v="166076"/>
    <n v="1349102"/>
    <x v="4"/>
    <x v="50"/>
    <s v=" Al6063 "/>
    <m/>
    <n v="5.3"/>
    <s v=" Weihua "/>
    <m/>
    <n v="12.95"/>
    <x v="418"/>
    <n v="2150684.1999999997"/>
    <n v="880.20279999999991"/>
    <m/>
  </r>
  <r>
    <x v="8"/>
    <s v="RCS DEVICE"/>
    <s v="Alto Device-normal color"/>
    <s v="N/A"/>
    <s v="JEE"/>
    <s v="unique"/>
    <s v="Metal"/>
    <x v="1"/>
    <x v="0"/>
    <d v="2025-01-03T00:00:00"/>
    <n v="0.5"/>
    <n v="3.4611000000000001"/>
    <n v="3.4611000000000001"/>
    <n v="0"/>
    <n v="0"/>
    <n v="1"/>
    <n v="3.4611000000000001"/>
    <n v="402738"/>
    <n v="3920086"/>
    <x v="4"/>
    <x v="50"/>
    <s v=" Al6063 "/>
    <m/>
    <n v="5.3"/>
    <s v=" Kecheng "/>
    <s v="Anodizing"/>
    <n v="2.5499999999999998"/>
    <x v="419"/>
    <n v="1026981.8999999999"/>
    <n v="2134.5113999999999"/>
    <m/>
  </r>
  <r>
    <x v="6"/>
    <s v="RCS POD"/>
    <s v="cartomizer bottom cover"/>
    <s v="N/A"/>
    <s v="JEE"/>
    <s v="unique"/>
    <s v="Metal"/>
    <x v="1"/>
    <x v="0"/>
    <d v="2025-01-03T00:00:00"/>
    <n v="0.5"/>
    <n v="0.16769999999999999"/>
    <n v="0.16769999999999999"/>
    <n v="0"/>
    <n v="0"/>
    <n v="1"/>
    <n v="0.16769999999999999"/>
    <n v="40000"/>
    <n v="155140797"/>
    <x v="4"/>
    <x v="50"/>
    <s v=" Al6063 "/>
    <m/>
    <n v="5.3"/>
    <s v=" Jinqiao "/>
    <m/>
    <n v="9.11E-2"/>
    <x v="420"/>
    <n v="3644"/>
    <n v="212"/>
    <m/>
  </r>
  <r>
    <x v="0"/>
    <s v="MODI"/>
    <s v="Mouth Piece"/>
    <n v="310493191000"/>
    <s v="JEE"/>
    <s v="unique"/>
    <s v="Plastic"/>
    <x v="1"/>
    <x v="0"/>
    <d v="2025-01-03T00:00:00"/>
    <n v="0.5"/>
    <n v="0.3135"/>
    <n v="0.3135"/>
    <n v="0"/>
    <n v="0"/>
    <n v="1"/>
    <n v="0.3135"/>
    <n v="14544"/>
    <n v="45589968"/>
    <x v="0"/>
    <x v="50"/>
    <s v="PCTG TX1501HF"/>
    <m/>
    <n v="6.73"/>
    <s v=" Eastman "/>
    <m/>
    <n v="0"/>
    <x v="421"/>
    <n v="0"/>
    <n v="97.88112000000001"/>
    <m/>
  </r>
  <r>
    <x v="0"/>
    <s v="MODI"/>
    <s v="Top Plastic Bracket"/>
    <n v="310493192000"/>
    <s v="JEE"/>
    <s v="unique"/>
    <s v="Plastic"/>
    <x v="1"/>
    <x v="0"/>
    <d v="2025-01-03T00:00:00"/>
    <n v="0.5"/>
    <n v="4.2200000000000001E-2"/>
    <n v="4.2200000000000001E-2"/>
    <n v="0"/>
    <n v="0"/>
    <n v="1"/>
    <n v="4.2200000000000001E-2"/>
    <n v="0"/>
    <n v="40219210"/>
    <x v="1"/>
    <x v="50"/>
    <s v="PCTG TX1501HF"/>
    <m/>
    <n v="0.87"/>
    <s v=" Eastman "/>
    <m/>
    <n v="0"/>
    <x v="64"/>
    <n v="0"/>
    <n v="0"/>
    <m/>
  </r>
  <r>
    <x v="0"/>
    <s v="MODI"/>
    <s v=" Bottom Plastic Bracket"/>
    <n v="310493193000"/>
    <s v="JEE"/>
    <s v="unique"/>
    <s v="Plastic"/>
    <x v="1"/>
    <x v="0"/>
    <d v="2025-01-03T00:00:00"/>
    <n v="0.5"/>
    <n v="7.22E-2"/>
    <n v="7.22E-2"/>
    <n v="0"/>
    <n v="0"/>
    <n v="1"/>
    <n v="7.22E-2"/>
    <n v="123917"/>
    <n v="45678419"/>
    <x v="2"/>
    <x v="50"/>
    <s v="PCTG TX1501HF"/>
    <m/>
    <n v="1.18"/>
    <s v=" Eastman "/>
    <m/>
    <n v="0"/>
    <x v="422"/>
    <n v="0"/>
    <n v="146.22206"/>
    <m/>
  </r>
  <r>
    <x v="0"/>
    <s v="MODI"/>
    <s v=" Bottom cap"/>
    <n v="310493194000"/>
    <s v="JEE"/>
    <s v="unique"/>
    <s v="Plastic"/>
    <x v="1"/>
    <x v="0"/>
    <d v="2025-01-03T00:00:00"/>
    <n v="0.5"/>
    <n v="6.6199999999999995E-2"/>
    <n v="6.6199999999999995E-2"/>
    <n v="0"/>
    <n v="0"/>
    <n v="1"/>
    <n v="6.6199999999999995E-2"/>
    <n v="11520"/>
    <n v="29783584"/>
    <x v="1"/>
    <x v="50"/>
    <s v="LUPOY ER1000MA"/>
    <m/>
    <n v="1.18"/>
    <s v="  Ruicheng "/>
    <m/>
    <n v="0"/>
    <x v="423"/>
    <n v="0"/>
    <n v="13.593599999999999"/>
    <m/>
  </r>
  <r>
    <x v="0"/>
    <s v="MODI"/>
    <s v="Air Flow slider"/>
    <n v="310493195000"/>
    <s v="JEE"/>
    <s v="unique"/>
    <s v="Plastic"/>
    <x v="1"/>
    <x v="0"/>
    <d v="2025-01-03T00:00:00"/>
    <n v="0.5"/>
    <n v="3.85E-2"/>
    <n v="3.85E-2"/>
    <n v="0"/>
    <n v="0"/>
    <n v="1"/>
    <n v="3.85E-2"/>
    <n v="20000"/>
    <n v="56410170"/>
    <x v="3"/>
    <x v="50"/>
    <s v="LUPOY ER1000MA"/>
    <m/>
    <n v="0.13"/>
    <s v="  Ruicheng "/>
    <m/>
    <n v="0"/>
    <x v="424"/>
    <n v="0"/>
    <n v="2.6"/>
    <m/>
  </r>
  <r>
    <x v="1"/>
    <s v="RCS DEVICE"/>
    <s v="Top cover"/>
    <n v="130040670021260"/>
    <s v="JEE"/>
    <s v="unique"/>
    <s v="Plastic"/>
    <x v="1"/>
    <x v="0"/>
    <d v="2025-01-03T00:00:00"/>
    <n v="1"/>
    <n v="2.3582999999999998"/>
    <n v="2.3582999999999998"/>
    <n v="0"/>
    <n v="0"/>
    <n v="1"/>
    <n v="2.3582999999999998"/>
    <n v="0"/>
    <n v="644603"/>
    <x v="4"/>
    <x v="50"/>
    <s v="LUPOY GP1000ML"/>
    <m/>
    <n v="16.260000000000002"/>
    <s v=" LG "/>
    <s v="Printing"/>
    <n v="1.31"/>
    <x v="64"/>
    <n v="0"/>
    <n v="0"/>
    <m/>
  </r>
  <r>
    <x v="1"/>
    <s v="RCS DEVICE"/>
    <s v="Bottom cover"/>
    <n v="130040670021261"/>
    <s v="JEE"/>
    <s v="unique"/>
    <s v="Plastic"/>
    <x v="1"/>
    <x v="0"/>
    <d v="2025-01-03T00:00:00"/>
    <n v="1"/>
    <n v="2.3165"/>
    <n v="2.3165"/>
    <n v="0"/>
    <n v="0"/>
    <n v="1"/>
    <n v="2.3165"/>
    <n v="0"/>
    <n v="686982"/>
    <x v="4"/>
    <x v="50"/>
    <s v="LUPOY GP1000ML"/>
    <m/>
    <n v="8.3000000000000007"/>
    <s v=" LG "/>
    <s v="Printing"/>
    <n v="1.43"/>
    <x v="64"/>
    <n v="0"/>
    <n v="0"/>
    <m/>
  </r>
  <r>
    <x v="1"/>
    <s v="RCS DEVICE"/>
    <s v="Button"/>
    <n v="130040670021263"/>
    <s v="JEE"/>
    <s v="unique"/>
    <s v="Plastic"/>
    <x v="1"/>
    <x v="0"/>
    <d v="2025-01-03T00:00:00"/>
    <n v="1"/>
    <n v="0.3765"/>
    <n v="0.3765"/>
    <n v="0"/>
    <n v="0"/>
    <n v="1"/>
    <n v="0.3765"/>
    <n v="0"/>
    <n v="665191"/>
    <x v="4"/>
    <x v="50"/>
    <s v="LUPOY GP1000ML"/>
    <m/>
    <n v="0.56999999999999995"/>
    <s v=" LG "/>
    <m/>
    <n v="0"/>
    <x v="64"/>
    <n v="0"/>
    <n v="0"/>
    <m/>
  </r>
  <r>
    <x v="1"/>
    <s v="RCS DEVICE"/>
    <s v="PCB holder"/>
    <n v="130040670021262"/>
    <s v="JEE"/>
    <s v="unique"/>
    <s v="Plastic"/>
    <x v="1"/>
    <x v="0"/>
    <d v="2025-01-03T00:00:00"/>
    <n v="1"/>
    <n v="0.37930000000000003"/>
    <n v="0.37930000000000003"/>
    <n v="0"/>
    <n v="0"/>
    <n v="1"/>
    <n v="0.37930000000000003"/>
    <n v="0"/>
    <n v="655070"/>
    <x v="4"/>
    <x v="50"/>
    <s v="PC Makrolon 2456"/>
    <m/>
    <n v="1.87"/>
    <s v=" Makrolon "/>
    <m/>
    <n v="0"/>
    <x v="64"/>
    <n v="0"/>
    <n v="0"/>
    <m/>
  </r>
  <r>
    <x v="2"/>
    <s v="RCS DEVICE"/>
    <s v="Battery tube"/>
    <n v="120020670031773"/>
    <s v="JEE"/>
    <s v="unique"/>
    <s v="Plastic"/>
    <x v="1"/>
    <x v="0"/>
    <d v="2025-01-03T00:00:00"/>
    <n v="0.3"/>
    <n v="1.8774"/>
    <n v="1.9124416082318001"/>
    <n v="3.5041608231800137E-2"/>
    <n v="1.0512482469540041E-2"/>
    <n v="1"/>
    <n v="1.8774"/>
    <n v="458000"/>
    <n v="2316979"/>
    <x v="5"/>
    <x v="288"/>
    <s v="PC LUPOY GP1000ML"/>
    <m/>
    <n v="6.54"/>
    <s v=" LG "/>
    <s v="Printing"/>
    <n v="1.2"/>
    <x v="425"/>
    <n v="549600"/>
    <n v="2995.32"/>
    <m/>
  </r>
  <r>
    <x v="2"/>
    <s v="RCS DEVICE"/>
    <s v="Bottom cap"/>
    <n v="130020670031775"/>
    <s v="JEE"/>
    <s v="unique"/>
    <s v="Plastic"/>
    <x v="1"/>
    <x v="0"/>
    <d v="2025-01-03T00:00:00"/>
    <n v="0.3"/>
    <n v="0.27339999999999998"/>
    <n v="0.33085792652733598"/>
    <n v="5.7457926527336001E-2"/>
    <n v="1.7237377958200798E-2"/>
    <n v="1"/>
    <n v="0.27339999999999998"/>
    <n v="521080"/>
    <n v="2284981"/>
    <x v="6"/>
    <x v="289"/>
    <s v="PC LUPOY GP1000ML"/>
    <m/>
    <n v="3.32"/>
    <s v=" LG "/>
    <m/>
    <n v="0"/>
    <x v="426"/>
    <n v="0"/>
    <n v="1729.9855999999997"/>
    <m/>
  </r>
  <r>
    <x v="2"/>
    <s v="RCS DEVICE"/>
    <s v="Holder"/>
    <n v="130020670031776"/>
    <s v="JEE"/>
    <s v="unique"/>
    <s v="Plastic"/>
    <x v="1"/>
    <x v="0"/>
    <d v="2025-01-03T00:00:00"/>
    <n v="0.3"/>
    <n v="0.20449999999999999"/>
    <n v="0.23078293319930801"/>
    <n v="2.6282933199308023E-2"/>
    <n v="7.8848799597924062E-3"/>
    <n v="1"/>
    <n v="0.20449999999999999"/>
    <n v="266811"/>
    <n v="2961913"/>
    <x v="7"/>
    <x v="290"/>
    <s v="PC Makrolon 2456"/>
    <m/>
    <n v="4.25"/>
    <s v=" Makrolon "/>
    <m/>
    <n v="0"/>
    <x v="427"/>
    <n v="0"/>
    <n v="1133.9467500000001"/>
    <m/>
  </r>
  <r>
    <x v="2"/>
    <s v="RCS DEVICE"/>
    <s v="Button"/>
    <n v="130020670031777"/>
    <s v="JEE"/>
    <s v="unique"/>
    <s v="Plastic"/>
    <x v="1"/>
    <x v="0"/>
    <d v="2025-01-03T00:00:00"/>
    <n v="0.3"/>
    <n v="0.1203"/>
    <n v="0.14526275004108599"/>
    <n v="2.4962750041085988E-2"/>
    <n v="7.4888250123257959E-3"/>
    <n v="1"/>
    <n v="0.1203"/>
    <n v="486429"/>
    <n v="3204923"/>
    <x v="8"/>
    <x v="291"/>
    <s v="PC Makrolon 2456"/>
    <m/>
    <n v="0.54"/>
    <s v=" Makrolon "/>
    <m/>
    <n v="0"/>
    <x v="428"/>
    <n v="0"/>
    <n v="262.67166000000003"/>
    <m/>
  </r>
  <r>
    <x v="2"/>
    <s v="RCS DEVICE"/>
    <s v="Light guide"/>
    <n v="130020670035243"/>
    <s v="JEE"/>
    <s v="unique"/>
    <s v="Plastic"/>
    <x v="1"/>
    <x v="0"/>
    <d v="2025-01-03T00:00:00"/>
    <n v="0.3"/>
    <n v="0.1225"/>
    <n v="0.14748804164533599"/>
    <n v="2.4988041645335995E-2"/>
    <n v="7.4964124936007983E-3"/>
    <n v="1"/>
    <n v="0.1225"/>
    <n v="435719"/>
    <n v="3534831"/>
    <x v="8"/>
    <x v="292"/>
    <s v="PC LUPOY GP1000ML"/>
    <m/>
    <n v="0.51"/>
    <s v=" LG "/>
    <m/>
    <n v="0"/>
    <x v="429"/>
    <n v="0"/>
    <n v="222.21669"/>
    <m/>
  </r>
  <r>
    <x v="3"/>
    <s v="RCS POD"/>
    <s v="Cartomizer tube"/>
    <n v="130010390000214"/>
    <s v="JEE"/>
    <s v="unique"/>
    <s v="Plastic"/>
    <x v="0"/>
    <x v="0"/>
    <d v="2025-01-03T00:00:00"/>
    <n v="1"/>
    <n v="0.97679221076727096"/>
    <n v="0.97985471076727104"/>
    <n v="3.062500000000079E-3"/>
    <n v="3.062500000000079E-3"/>
    <n v="1"/>
    <n v="0.97679221076727096"/>
    <n v="82846"/>
    <n v="11196856"/>
    <x v="9"/>
    <x v="293"/>
    <s v=" PCTG TX1501HF "/>
    <m/>
    <n v="2.09"/>
    <s v=" Eastman "/>
    <m/>
    <n v="0.93"/>
    <x v="430"/>
    <n v="77046.78"/>
    <n v="173.14813999999998"/>
    <m/>
  </r>
  <r>
    <x v="3"/>
    <s v="RCS POD"/>
    <s v="Cartomizer tube"/>
    <n v="130010390000214"/>
    <s v="JEE"/>
    <s v="unique"/>
    <s v="Plastic"/>
    <x v="1"/>
    <x v="0"/>
    <d v="2025-01-03T00:00:00"/>
    <n v="1"/>
    <n v="1.05412849674197"/>
    <n v="1.22365196079064"/>
    <n v="0.16952346404867003"/>
    <n v="0.16952346404867003"/>
    <n v="1"/>
    <n v="1.05412849674197"/>
    <n v="0"/>
    <n v="0"/>
    <x v="33"/>
    <x v="274"/>
    <s v=" PCTG TX1501HF "/>
    <m/>
    <n v="2.09"/>
    <s v=" Eastman "/>
    <m/>
    <n v="1.05"/>
    <x v="64"/>
    <n v="0"/>
    <n v="0"/>
    <m/>
  </r>
  <r>
    <x v="3"/>
    <s v="RCS POD"/>
    <s v="Cartomizer tube"/>
    <n v="130010390000214"/>
    <s v="JEE"/>
    <s v="unique"/>
    <s v="Plastic"/>
    <x v="1"/>
    <x v="0"/>
    <d v="2025-01-03T00:00:00"/>
    <n v="1"/>
    <n v="1.17411721731226"/>
    <n v="1.3582877285124899"/>
    <n v="0.18417051120022987"/>
    <n v="0.18417051120022987"/>
    <n v="1"/>
    <n v="1.17411721731226"/>
    <n v="0"/>
    <n v="0"/>
    <x v="34"/>
    <x v="275"/>
    <s v=" PCTG TX1501HF "/>
    <m/>
    <n v="2.09"/>
    <s v=" Eastman "/>
    <m/>
    <n v="1.17"/>
    <x v="64"/>
    <n v="0"/>
    <n v="0"/>
    <m/>
  </r>
  <r>
    <x v="9"/>
    <s v="HP"/>
    <s v="Botton cover"/>
    <n v="22150202014"/>
    <s v="JEE"/>
    <s v="X3 Pro/unibody/Core"/>
    <s v="Plastic"/>
    <x v="1"/>
    <x v="0"/>
    <d v="2025-01-03T00:00:00"/>
    <n v="0.4"/>
    <n v="2.3161999999999998"/>
    <n v="2.2169787761879198"/>
    <n v="0"/>
    <n v="0"/>
    <n v="1"/>
    <n v="2.3161999999999998"/>
    <n v="188980"/>
    <n v="2365599"/>
    <x v="12"/>
    <x v="166"/>
    <s v="RTP 299 AX 152528（PA+GF）(panting(5 color))"/>
    <m/>
    <n v="1.56"/>
    <s v="  Ruicheng "/>
    <s v="Painting"/>
    <n v="1.94"/>
    <x v="431"/>
    <n v="366621.2"/>
    <n v="294.80879999999996"/>
    <m/>
  </r>
  <r>
    <x v="9"/>
    <s v="HP"/>
    <s v="Cleanout door"/>
    <n v="22150202015"/>
    <s v="JEE"/>
    <s v="X3 Pro/unibody/Core"/>
    <s v="Plastic"/>
    <x v="1"/>
    <x v="0"/>
    <d v="2025-01-03T00:00:00"/>
    <n v="0.6"/>
    <n v="1.5443588135792301"/>
    <n v="1.5423175780454099"/>
    <n v="0"/>
    <n v="0"/>
    <n v="1"/>
    <n v="1.5443588135792301"/>
    <n v="155980"/>
    <n v="2196689"/>
    <x v="13"/>
    <x v="276"/>
    <s v="PC:LG LUPOY SC1004L(panting(5 color))+_x000a_TPU:BASF ELASTONLLAN 1190A"/>
    <m/>
    <n v="1.75"/>
    <s v="  Ruicheng "/>
    <s v="Painting"/>
    <n v="1.1399999999999999"/>
    <x v="432"/>
    <n v="177817.19999999998"/>
    <n v="272.96499999999997"/>
    <m/>
  </r>
  <r>
    <x v="9"/>
    <s v="HP"/>
    <s v="Button"/>
    <n v="22150202010"/>
    <s v="JEE"/>
    <s v="X3 Pro/unibody"/>
    <s v="Plastic"/>
    <x v="1"/>
    <x v="0"/>
    <d v="2025-01-03T00:00:00"/>
    <n v="0.4"/>
    <n v="0.91622499999999996"/>
    <n v="1.13316525889116"/>
    <n v="0"/>
    <n v="0"/>
    <n v="1"/>
    <n v="0.91622499999999996"/>
    <n v="195166"/>
    <n v="2070113"/>
    <x v="14"/>
    <x v="182"/>
    <s v="PC:LG LUPOY SC1004L-Colored"/>
    <m/>
    <n v="0.57999999999999996"/>
    <s v="  Ruicheng "/>
    <s v="Painting"/>
    <n v="0.76"/>
    <x v="433"/>
    <n v="148326.16"/>
    <n v="113.19628"/>
    <m/>
  </r>
  <r>
    <x v="9"/>
    <s v="HP"/>
    <s v="Crown Support"/>
    <n v="22150202008"/>
    <s v="JEE"/>
    <s v="X3 Pro"/>
    <s v="Plastic"/>
    <x v="1"/>
    <x v="0"/>
    <d v="2025-01-03T00:00:00"/>
    <n v="0.5"/>
    <n v="0.1278"/>
    <n v="0.15579999999999999"/>
    <n v="0"/>
    <n v="0"/>
    <n v="1"/>
    <n v="0.1278"/>
    <n v="76000"/>
    <n v="1326057"/>
    <x v="15"/>
    <x v="183"/>
    <s v="POM C9021 black"/>
    <m/>
    <n v="0.76"/>
    <s v="  Ruicheng "/>
    <m/>
    <m/>
    <x v="434"/>
    <n v="0"/>
    <n v="57.76"/>
    <m/>
  </r>
  <r>
    <x v="9"/>
    <s v="HP"/>
    <s v="Connector frame"/>
    <n v="22150202017"/>
    <s v="JEE"/>
    <s v="X3 Pro"/>
    <s v="Plastic"/>
    <x v="1"/>
    <x v="0"/>
    <d v="2025-01-03T00:00:00"/>
    <n v="0.4"/>
    <n v="0.17249999999999999"/>
    <n v="0.41749999999999998"/>
    <n v="0"/>
    <n v="0"/>
    <n v="1"/>
    <n v="0.17249999999999999"/>
    <n v="29470"/>
    <n v="1083317"/>
    <x v="9"/>
    <x v="154"/>
    <s v="PC(PCR):LUPOY ER1000MA_RC00101"/>
    <m/>
    <n v="1.17"/>
    <s v="  Ruicheng "/>
    <m/>
    <m/>
    <x v="435"/>
    <n v="0"/>
    <n v="34.479900000000001"/>
    <m/>
  </r>
  <r>
    <x v="9"/>
    <s v="HP"/>
    <s v="Spin Wheel"/>
    <n v="22150202009"/>
    <s v="JEE"/>
    <s v="X3 Pro/unibody/Core"/>
    <s v="Plastic"/>
    <x v="1"/>
    <x v="0"/>
    <d v="2025-01-03T00:00:00"/>
    <n v="0.5"/>
    <n v="0.1285"/>
    <n v="0.1565"/>
    <n v="0"/>
    <n v="0"/>
    <n v="1"/>
    <n v="0.1285"/>
    <n v="266600"/>
    <n v="2877540"/>
    <x v="9"/>
    <x v="170"/>
    <s v=" PC:LG LUPOY SC1004L-Colored "/>
    <m/>
    <n v="0.69499999999999995"/>
    <s v=" Ruicheng"/>
    <m/>
    <m/>
    <x v="436"/>
    <n v="0"/>
    <n v="185.28700000000001"/>
    <m/>
  </r>
  <r>
    <x v="9"/>
    <s v="HP"/>
    <s v="Display bracket"/>
    <n v="22150202021"/>
    <s v="JEE"/>
    <s v="X3 Pro/unibody/Core"/>
    <s v="Plastic"/>
    <x v="1"/>
    <x v="0"/>
    <d v="2025-01-03T00:00:00"/>
    <n v="0.6"/>
    <n v="2.5636999999999999"/>
    <n v="2.7518227149358401"/>
    <n v="0"/>
    <n v="0"/>
    <n v="1"/>
    <n v="2.5636999999999999"/>
    <n v="181278"/>
    <n v="2720727"/>
    <x v="16"/>
    <x v="184"/>
    <s v="PC  PCRLUPOY GP1000MA BC90515 40%半透黑"/>
    <m/>
    <n v="3.41"/>
    <s v=" Ruicheng"/>
    <s v="Painting"/>
    <n v="1.76"/>
    <x v="437"/>
    <n v="319049.28000000003"/>
    <n v="618.15797999999995"/>
    <m/>
  </r>
  <r>
    <x v="9"/>
    <s v="HP"/>
    <s v=" PCBA Bracket "/>
    <n v="22150202018"/>
    <s v="JEE"/>
    <s v="X3 Pro/unibody/Core"/>
    <s v="Plastic"/>
    <x v="1"/>
    <x v="0"/>
    <d v="2025-01-03T00:00:00"/>
    <n v="0.4"/>
    <n v="0.1608"/>
    <n v="0.1958"/>
    <n v="0"/>
    <n v="0"/>
    <n v="1"/>
    <n v="0.1608"/>
    <n v="287900"/>
    <n v="3043309"/>
    <x v="9"/>
    <x v="172"/>
    <s v="PC+50%PCR LUPOY ER1004N BC90513 black"/>
    <m/>
    <n v="1.1200000000000001"/>
    <s v="  Ruicheng "/>
    <m/>
    <n v="0"/>
    <x v="438"/>
    <n v="0"/>
    <n v="322.44800000000004"/>
    <m/>
  </r>
  <r>
    <x v="9"/>
    <s v="HP"/>
    <s v=" Shut Door"/>
    <n v="22150202007"/>
    <s v="JEE"/>
    <s v="X3 Hyper Pro/uinbody pro/core"/>
    <s v="Plastic"/>
    <x v="1"/>
    <x v="0"/>
    <d v="2025-01-03T00:00:00"/>
    <n v="0.5"/>
    <n v="0.122757142857143"/>
    <n v="0.16"/>
    <n v="0"/>
    <n v="0"/>
    <n v="1"/>
    <n v="0.122757142857143"/>
    <n v="255000"/>
    <n v="3446785"/>
    <x v="17"/>
    <x v="277"/>
    <s v="POM C9021 black"/>
    <m/>
    <n v="0.52"/>
    <s v="  Ruicheng "/>
    <m/>
    <m/>
    <x v="439"/>
    <n v="0"/>
    <n v="132.6"/>
    <m/>
  </r>
  <r>
    <x v="5"/>
    <s v="HP"/>
    <s v="Crown Support"/>
    <n v="23590202001"/>
    <s v="JEE"/>
    <s v="X3 uinbody /core"/>
    <s v="Plastic"/>
    <x v="1"/>
    <x v="0"/>
    <d v="2025-01-03T00:00:00"/>
    <n v="0.5"/>
    <n v="0.125588670602168"/>
    <n v="0.15358867060216799"/>
    <n v="0"/>
    <n v="0"/>
    <n v="1"/>
    <n v="0.125588670602168"/>
    <n v="238750"/>
    <n v="2270948"/>
    <x v="9"/>
    <x v="174"/>
    <s v="PC LG LUPOY SC1004L"/>
    <m/>
    <n v="0.7"/>
    <s v="  Ruicheng "/>
    <m/>
    <m/>
    <x v="440"/>
    <n v="0"/>
    <n v="167.125"/>
    <m/>
  </r>
  <r>
    <x v="5"/>
    <s v="HP"/>
    <s v="Connector frame"/>
    <n v="23480202015"/>
    <s v="JEE"/>
    <s v="X3 Hyper core/unibody"/>
    <s v="Plastic"/>
    <x v="1"/>
    <x v="0"/>
    <d v="2025-01-03T00:00:00"/>
    <n v="0.4"/>
    <n v="0.27566008648311202"/>
    <n v="0.353993419816445"/>
    <n v="0"/>
    <n v="0"/>
    <n v="1"/>
    <n v="0.27566008648311202"/>
    <n v="131220"/>
    <n v="1684756"/>
    <x v="18"/>
    <x v="278"/>
    <s v="PC+50%PCR LUPOY ER1000MA BC90515 （80%）透光"/>
    <m/>
    <n v="1.72"/>
    <s v="  Ruicheng "/>
    <m/>
    <m/>
    <x v="441"/>
    <n v="0"/>
    <n v="225.69839999999999"/>
    <m/>
  </r>
  <r>
    <x v="5"/>
    <s v="HP"/>
    <s v="Battery carrier"/>
    <n v="23480202012"/>
    <s v="JEE"/>
    <s v="X3 Core"/>
    <s v="Plastic"/>
    <x v="1"/>
    <x v="0"/>
    <d v="2025-01-03T00:00:00"/>
    <n v="0.4"/>
    <n v="0.80865388388102988"/>
    <n v="1.0756538838810299"/>
    <n v="0.26700000000000002"/>
    <n v="0.10680000000000001"/>
    <n v="1"/>
    <n v="0.80865388388102988"/>
    <n v="37970"/>
    <n v="863171"/>
    <x v="19"/>
    <x v="294"/>
    <s v="PC+75%PCR LUPOY ER1006FZ BC90513"/>
    <m/>
    <n v="5.75"/>
    <s v="  Ruicheng "/>
    <m/>
    <m/>
    <x v="442"/>
    <n v="0"/>
    <n v="218.32749999999999"/>
    <m/>
  </r>
  <r>
    <x v="5"/>
    <s v="HP"/>
    <s v="Shutter Door Support"/>
    <n v="23480202005"/>
    <s v="JEE"/>
    <s v="X3 uinbody pro/core"/>
    <s v="Plastic"/>
    <x v="1"/>
    <x v="0"/>
    <d v="2025-01-03T00:00:00"/>
    <n v="0.6"/>
    <n v="0.61243323981863296"/>
    <n v="0.790433239818633"/>
    <n v="0.17799999999999999"/>
    <n v="0.10679999999999999"/>
    <n v="1"/>
    <n v="0.61243323981863296"/>
    <n v="123446"/>
    <n v="1612466"/>
    <x v="19"/>
    <x v="295"/>
    <s v="PC+50%PCR LUPOY ER1004N BC90513+_x000a_BASF TPU 60A ELASTOLLAN  SP9324 BLACK"/>
    <m/>
    <n v="3.27"/>
    <s v="  Ruicheng "/>
    <m/>
    <m/>
    <x v="443"/>
    <n v="0"/>
    <n v="403.66841999999997"/>
    <m/>
  </r>
  <r>
    <x v="5"/>
    <s v="HP"/>
    <s v="Button Bracket"/>
    <n v="23480202011"/>
    <s v="JEE"/>
    <s v="X3 Core"/>
    <s v="Plastic"/>
    <x v="1"/>
    <x v="0"/>
    <d v="2025-01-03T00:00:00"/>
    <n v="0.5"/>
    <n v="0.29381419521769497"/>
    <n v="0.41711419521769499"/>
    <n v="0.12330000000000001"/>
    <n v="6.1650000000000003E-2"/>
    <n v="1"/>
    <n v="0.29381419521769497"/>
    <n v="0"/>
    <n v="1173935"/>
    <x v="21"/>
    <x v="296"/>
    <s v="PC+50%PCR LUPOY ER1004N BC90513 black"/>
    <m/>
    <n v="1.78"/>
    <s v="  Ruicheng "/>
    <m/>
    <m/>
    <x v="64"/>
    <n v="0"/>
    <n v="0"/>
    <m/>
  </r>
  <r>
    <x v="5"/>
    <s v="HP"/>
    <s v="Button"/>
    <n v="23480202017"/>
    <s v="JEE"/>
    <s v="X3 Core"/>
    <s v="Plastic"/>
    <x v="1"/>
    <x v="0"/>
    <d v="2025-01-03T00:00:00"/>
    <n v="0.5"/>
    <n v="1.0629000000000002"/>
    <n v="1.1322000000000001"/>
    <n v="6.93E-2"/>
    <n v="3.465E-2"/>
    <n v="1"/>
    <n v="1.0629000000000002"/>
    <n v="120098"/>
    <n v="1133524"/>
    <x v="22"/>
    <x v="297"/>
    <s v="LUPOY ER1000MA E6098"/>
    <m/>
    <n v="2.38"/>
    <s v="  Ruicheng "/>
    <s v="Painting"/>
    <n v="0.8"/>
    <x v="444"/>
    <n v="96078.400000000009"/>
    <n v="285.83323999999999"/>
    <m/>
  </r>
  <r>
    <x v="5"/>
    <s v="HP"/>
    <s v="Light guide"/>
    <n v="23480202018"/>
    <s v="JEE"/>
    <s v="X3 Core"/>
    <s v="Plastic"/>
    <x v="1"/>
    <x v="0"/>
    <d v="2025-01-03T00:00:00"/>
    <n v="0.4"/>
    <n v="0.41386255600688004"/>
    <n v="0.54316255600688002"/>
    <n v="0.1293"/>
    <n v="5.1720000000000002E-2"/>
    <n v="1"/>
    <n v="0.41386255600688004"/>
    <n v="70033"/>
    <n v="545455"/>
    <x v="23"/>
    <x v="298"/>
    <s v="PC:LG LUPOY GP1000M  透明（1st shot)_x000a_BASF TPU 60A ELASTOLLAN  SP9324 BLACK（2nd shot)"/>
    <m/>
    <n v="3.67"/>
    <s v="  Ruicheng "/>
    <m/>
    <m/>
    <x v="445"/>
    <n v="0"/>
    <n v="257.02110999999996"/>
    <m/>
  </r>
  <r>
    <x v="5"/>
    <s v="HP"/>
    <s v="Crown Support"/>
    <n v="23590202001"/>
    <s v="JEE"/>
    <s v="X3 Core"/>
    <s v="Plastic"/>
    <x v="1"/>
    <x v="0"/>
    <d v="2025-01-03T00:00:00"/>
    <n v="0.4"/>
    <m/>
    <m/>
    <m/>
    <m/>
    <m/>
    <m/>
    <m/>
    <m/>
    <x v="35"/>
    <x v="299"/>
    <m/>
    <m/>
    <m/>
    <m/>
    <m/>
    <m/>
    <x v="446"/>
    <m/>
    <m/>
    <s v="ECN cost pending for amortized_x000a_no indicated to product"/>
  </r>
  <r>
    <x v="6"/>
    <s v="RCS POD"/>
    <s v="Cartomizer tube"/>
    <n v="130010390000214"/>
    <s v="JEE"/>
    <s v="unique"/>
    <s v="Plastic"/>
    <x v="1"/>
    <x v="0"/>
    <d v="2025-01-03T00:00:00"/>
    <n v="0.5"/>
    <n v="0.25"/>
    <n v="0.28000000000000003"/>
    <n v="0.03"/>
    <n v="1.4999999999999999E-2"/>
    <n v="1"/>
    <n v="0.25"/>
    <n v="5832730"/>
    <n v="490525354"/>
    <x v="24"/>
    <x v="300"/>
    <s v=" PCTG TX1501HF "/>
    <m/>
    <n v="2.09"/>
    <s v=" Eastman "/>
    <m/>
    <n v="0"/>
    <x v="447"/>
    <n v="0"/>
    <n v="12190.405699999999"/>
    <s v="Indonesia"/>
  </r>
  <r>
    <x v="6"/>
    <s v="RCS POD"/>
    <s v="Heating holder"/>
    <n v="130010390000215"/>
    <s v="JEE"/>
    <s v="unique"/>
    <s v="Plastic"/>
    <x v="1"/>
    <x v="0"/>
    <d v="2025-01-03T00:00:00"/>
    <n v="0.5"/>
    <n v="0.08"/>
    <n v="0.09"/>
    <n v="0.02"/>
    <n v="0.01"/>
    <n v="1"/>
    <n v="0.08"/>
    <n v="5836030"/>
    <n v="501925534"/>
    <x v="25"/>
    <x v="301"/>
    <s v=" PCTG TX1501HF "/>
    <m/>
    <n v="0.31"/>
    <s v=" Eastman "/>
    <m/>
    <n v="0"/>
    <x v="448"/>
    <n v="0"/>
    <n v="1809.1693"/>
    <s v="Indonesia"/>
  </r>
  <r>
    <x v="6"/>
    <s v="RCS POD"/>
    <s v="Heater top cover"/>
    <n v="130010390000216"/>
    <s v="JEE"/>
    <s v="unique"/>
    <s v="Plastic"/>
    <x v="1"/>
    <x v="0"/>
    <d v="2025-01-03T00:00:00"/>
    <n v="0.5"/>
    <n v="0.09"/>
    <n v="0.1"/>
    <n v="0.02"/>
    <n v="0.01"/>
    <n v="1"/>
    <n v="0.09"/>
    <n v="5624030"/>
    <n v="510067511"/>
    <x v="26"/>
    <x v="302"/>
    <s v=" PCTG TX1501HF "/>
    <m/>
    <n v="0.5"/>
    <s v=" Eastman "/>
    <m/>
    <n v="0"/>
    <x v="449"/>
    <n v="0"/>
    <n v="2812.0149999999999"/>
    <s v="Indonesia"/>
  </r>
  <r>
    <x v="6"/>
    <s v="RCS POD"/>
    <s v="Cartomizer holder tap"/>
    <n v="130010390000221"/>
    <s v="JEE"/>
    <s v="unique"/>
    <s v="Plastic"/>
    <x v="1"/>
    <x v="0"/>
    <d v="2025-01-03T00:00:00"/>
    <n v="0.5"/>
    <n v="0.11"/>
    <n v="0.13"/>
    <n v="0.01"/>
    <n v="5.0000000000000001E-3"/>
    <n v="1"/>
    <n v="0.11"/>
    <n v="1620000"/>
    <n v="507347613"/>
    <x v="27"/>
    <x v="303"/>
    <s v="PC2456"/>
    <m/>
    <n v="1.29"/>
    <s v="Covestro"/>
    <m/>
    <n v="0"/>
    <x v="450"/>
    <n v="0"/>
    <n v="2089.8000000000002"/>
    <s v="Indonesia"/>
  </r>
  <r>
    <x v="6"/>
    <s v="RCS POD"/>
    <s v="Cartomizer tube"/>
    <n v="130010390000214"/>
    <s v="JEE"/>
    <s v="unique"/>
    <s v="Plastic"/>
    <x v="1"/>
    <x v="0"/>
    <d v="2025-01-03T00:00:00"/>
    <n v="0.5"/>
    <n v="0.25"/>
    <n v="0.28000000000000003"/>
    <n v="0.03"/>
    <n v="0.02"/>
    <n v="1"/>
    <n v="0.25"/>
    <m/>
    <m/>
    <x v="36"/>
    <x v="304"/>
    <s v=" PCTG TX1501HF "/>
    <m/>
    <n v="2.09"/>
    <s v=" Eastman "/>
    <m/>
    <n v="0"/>
    <x v="64"/>
    <n v="0"/>
    <n v="0"/>
    <s v="Indonesia-New tool"/>
  </r>
  <r>
    <x v="6"/>
    <s v="RCS POD"/>
    <s v="Heating holder"/>
    <n v="130010390000215"/>
    <s v="JEE"/>
    <s v="unique"/>
    <s v="Plastic"/>
    <x v="1"/>
    <x v="0"/>
    <d v="2025-01-03T00:00:00"/>
    <n v="0.5"/>
    <n v="0.08"/>
    <n v="0.09"/>
    <n v="0.02"/>
    <n v="0.01"/>
    <n v="1"/>
    <n v="0.08"/>
    <m/>
    <m/>
    <x v="37"/>
    <x v="305"/>
    <s v=" PCTG TX1501HF "/>
    <m/>
    <n v="0.31"/>
    <s v=" Eastman "/>
    <m/>
    <n v="0"/>
    <x v="64"/>
    <n v="0"/>
    <n v="0"/>
    <s v="Indonesia-New tool"/>
  </r>
  <r>
    <x v="6"/>
    <s v="RCS POD"/>
    <s v="Heater top cover"/>
    <n v="130010390000216"/>
    <s v="JEE"/>
    <s v="unique"/>
    <s v="Plastic"/>
    <x v="1"/>
    <x v="0"/>
    <d v="2025-01-03T00:00:00"/>
    <n v="0.5"/>
    <n v="0.09"/>
    <n v="0.1"/>
    <n v="0.02"/>
    <n v="0.01"/>
    <n v="1"/>
    <n v="0.09"/>
    <m/>
    <m/>
    <x v="37"/>
    <x v="305"/>
    <s v=" PCTG TX1501HF "/>
    <m/>
    <n v="0.5"/>
    <s v=" Eastman "/>
    <m/>
    <n v="0"/>
    <x v="64"/>
    <n v="0"/>
    <n v="0"/>
    <s v="Indonesia-New tool"/>
  </r>
  <r>
    <x v="6"/>
    <s v="RCS POD"/>
    <s v="Cartomizer holder tap"/>
    <n v="130010390000221"/>
    <s v="JEE"/>
    <s v="unique"/>
    <s v="Plastic"/>
    <x v="1"/>
    <x v="0"/>
    <d v="2025-01-03T00:00:00"/>
    <n v="0.5"/>
    <n v="0.11"/>
    <n v="0.13"/>
    <n v="0.01"/>
    <n v="0.01"/>
    <n v="1"/>
    <n v="0.11"/>
    <m/>
    <m/>
    <x v="38"/>
    <x v="306"/>
    <s v="PC2456"/>
    <m/>
    <n v="1.29"/>
    <s v="Covestro"/>
    <m/>
    <n v="0"/>
    <x v="64"/>
    <n v="0"/>
    <n v="0"/>
    <s v="Indonesia-New tool"/>
  </r>
  <r>
    <x v="7"/>
    <s v="RCS DEVICE"/>
    <s v=" Prismatic Silver Device"/>
    <n v="120020670049784"/>
    <s v="JEE"/>
    <s v="unique"/>
    <s v="Metal"/>
    <x v="2"/>
    <x v="1"/>
    <d v="2025-02-06T00:00:00"/>
    <n v="0.5"/>
    <n v="27.14"/>
    <n v="27.14"/>
    <n v="0"/>
    <n v="0"/>
    <n v="1"/>
    <n v="27.14"/>
    <n v="-4933"/>
    <n v="1370117"/>
    <x v="4"/>
    <x v="50"/>
    <s v=" Al6063 "/>
    <s v="Black silver"/>
    <n v="5.3"/>
    <s v=" Weihua "/>
    <m/>
    <n v="12.95"/>
    <x v="451"/>
    <n v="-63882.35"/>
    <n v="-26"/>
    <m/>
  </r>
  <r>
    <x v="7"/>
    <s v="RCS DEVICE"/>
    <s v=" Prismatic  Device"/>
    <n v="120020670039294"/>
    <s v="JEE"/>
    <s v="unique"/>
    <s v="Metal"/>
    <x v="2"/>
    <x v="1"/>
    <d v="2025-02-06T00:00:00"/>
    <n v="0.5"/>
    <n v="27.14"/>
    <n v="27.14"/>
    <n v="0"/>
    <n v="0"/>
    <n v="1"/>
    <n v="27.14"/>
    <n v="-1632"/>
    <n v="1347470"/>
    <x v="4"/>
    <x v="50"/>
    <s v=" Al6063 "/>
    <s v="Black gold"/>
    <n v="5.3"/>
    <s v=" Weihua "/>
    <m/>
    <n v="12.95"/>
    <x v="452"/>
    <n v="-21134.400000000001"/>
    <n v="-9"/>
    <m/>
  </r>
  <r>
    <x v="8"/>
    <s v="RCS DEVICE"/>
    <s v="Alto Device-normal color"/>
    <s v="N/A"/>
    <s v="JEE"/>
    <s v="unique"/>
    <s v="Metal"/>
    <x v="2"/>
    <x v="1"/>
    <d v="2025-02-06T00:00:00"/>
    <n v="0.5"/>
    <n v="3.46"/>
    <n v="3.46"/>
    <n v="0"/>
    <n v="0"/>
    <n v="1"/>
    <n v="3.46"/>
    <n v="0"/>
    <n v="3920086"/>
    <x v="4"/>
    <x v="50"/>
    <s v=" Al6063 "/>
    <m/>
    <n v="5.3"/>
    <s v=" Kecheng "/>
    <s v="Anodizing"/>
    <n v="2.5499999999999998"/>
    <x v="64"/>
    <n v="0"/>
    <n v="0"/>
    <m/>
  </r>
  <r>
    <x v="6"/>
    <s v="RCS POD"/>
    <s v="cartomizer bottom cover"/>
    <n v="130010660052557"/>
    <s v="JEE"/>
    <s v="unique"/>
    <s v="Metal"/>
    <x v="2"/>
    <x v="1"/>
    <d v="2025-02-06T00:00:00"/>
    <n v="0.5"/>
    <n v="0.17"/>
    <n v="0.17"/>
    <n v="0"/>
    <n v="0"/>
    <n v="1"/>
    <n v="0.17"/>
    <n v="-1138"/>
    <n v="155139659"/>
    <x v="4"/>
    <x v="50"/>
    <s v=" Al6063 "/>
    <s v="transparent"/>
    <n v="5.3"/>
    <s v=" Jinqiao "/>
    <m/>
    <n v="0.09"/>
    <x v="453"/>
    <n v="3644"/>
    <n v="212"/>
    <m/>
  </r>
  <r>
    <x v="0"/>
    <s v="MODI"/>
    <s v="Mouth Piece"/>
    <n v="310493191000"/>
    <s v="JEE"/>
    <s v="unique"/>
    <s v="Plastic"/>
    <x v="2"/>
    <x v="1"/>
    <d v="2025-02-06T00:00:00"/>
    <n v="0.5"/>
    <n v="0.31"/>
    <n v="0.31"/>
    <n v="0"/>
    <n v="0"/>
    <n v="1"/>
    <n v="0.31"/>
    <n v="0"/>
    <n v="45589968"/>
    <x v="0"/>
    <x v="50"/>
    <s v="PCTG TX1501HF"/>
    <s v="Black"/>
    <n v="6.73"/>
    <s v=" Eastman "/>
    <m/>
    <n v="0"/>
    <x v="64"/>
    <n v="0"/>
    <s v=" -   "/>
    <m/>
  </r>
  <r>
    <x v="0"/>
    <s v="MODI"/>
    <s v="Mouth Piece"/>
    <n v="310493191001"/>
    <s v="JEE"/>
    <s v="unique"/>
    <s v="Plastic"/>
    <x v="2"/>
    <x v="1"/>
    <d v="2025-02-06T00:00:00"/>
    <n v="0.5"/>
    <n v="0.31"/>
    <n v="0.31"/>
    <n v="0"/>
    <n v="0"/>
    <n v="1"/>
    <n v="0.31"/>
    <n v="0"/>
    <n v="0"/>
    <x v="39"/>
    <x v="50"/>
    <s v="PCTG TX1501HF"/>
    <s v="purple red"/>
    <n v="6.73"/>
    <s v=" Eastman "/>
    <m/>
    <n v="0"/>
    <x v="64"/>
    <n v="0"/>
    <s v=" -   "/>
    <m/>
  </r>
  <r>
    <x v="0"/>
    <s v="MODI"/>
    <s v="Mouth Piece"/>
    <n v="310493191002"/>
    <s v="JEE"/>
    <s v="unique"/>
    <s v="Plastic"/>
    <x v="2"/>
    <x v="1"/>
    <d v="2025-02-06T00:00:00"/>
    <n v="0.5"/>
    <n v="0.31"/>
    <n v="0.31"/>
    <n v="0"/>
    <n v="0"/>
    <n v="1"/>
    <n v="0.31"/>
    <n v="0"/>
    <n v="0"/>
    <x v="39"/>
    <x v="50"/>
    <s v="PCTG TX1501HF"/>
    <s v="Light green"/>
    <n v="6.73"/>
    <s v=" Eastman "/>
    <m/>
    <n v="0"/>
    <x v="64"/>
    <n v="0"/>
    <s v=" -   "/>
    <m/>
  </r>
  <r>
    <x v="0"/>
    <s v="MODI"/>
    <s v="Mouth Piece"/>
    <n v="310493191003"/>
    <s v="JEE"/>
    <s v="unique"/>
    <s v="Plastic"/>
    <x v="2"/>
    <x v="1"/>
    <d v="2025-02-06T00:00:00"/>
    <n v="0.5"/>
    <n v="0.31"/>
    <n v="0.31"/>
    <n v="0"/>
    <n v="0"/>
    <n v="1"/>
    <n v="0.31"/>
    <n v="0"/>
    <n v="0"/>
    <x v="39"/>
    <x v="50"/>
    <s v="PCTG TX1501HF"/>
    <s v="Light blue"/>
    <n v="6.73"/>
    <s v=" Eastman "/>
    <m/>
    <n v="0"/>
    <x v="64"/>
    <n v="0"/>
    <s v=" -   "/>
    <m/>
  </r>
  <r>
    <x v="0"/>
    <s v="MODI"/>
    <s v="Mouth Piece"/>
    <n v="310493191004"/>
    <s v="JEE"/>
    <s v="unique"/>
    <s v="Plastic"/>
    <x v="2"/>
    <x v="1"/>
    <d v="2025-02-06T00:00:00"/>
    <n v="0.5"/>
    <n v="0.31"/>
    <n v="0.31"/>
    <n v="0"/>
    <n v="0"/>
    <n v="1"/>
    <n v="0.31"/>
    <n v="87264"/>
    <n v="87264"/>
    <x v="39"/>
    <x v="50"/>
    <s v="PCTG TX1501HF"/>
    <s v="yellow"/>
    <n v="6.73"/>
    <s v=" Eastman "/>
    <m/>
    <n v="0"/>
    <x v="454"/>
    <n v="0"/>
    <n v="587"/>
    <m/>
  </r>
  <r>
    <x v="0"/>
    <s v="MODI"/>
    <s v="Mouth Piece"/>
    <n v="310493191005"/>
    <s v="JEE"/>
    <s v="unique"/>
    <s v="Plastic"/>
    <x v="2"/>
    <x v="1"/>
    <d v="2025-02-06T00:00:00"/>
    <n v="0.5"/>
    <n v="0.31"/>
    <n v="0.31"/>
    <n v="0"/>
    <n v="0"/>
    <n v="1"/>
    <n v="0.31"/>
    <n v="32759"/>
    <n v="32759"/>
    <x v="39"/>
    <x v="50"/>
    <s v="PCTG TX1501HF"/>
    <s v="purple"/>
    <n v="6.73"/>
    <s v=" Eastman "/>
    <m/>
    <n v="0"/>
    <x v="455"/>
    <n v="0"/>
    <n v="220"/>
    <m/>
  </r>
  <r>
    <x v="0"/>
    <s v="MODI"/>
    <s v="Mouth Piece"/>
    <n v="310493191006"/>
    <s v="JEE"/>
    <s v="unique"/>
    <s v="Plastic"/>
    <x v="2"/>
    <x v="1"/>
    <d v="2025-02-06T00:00:00"/>
    <n v="0.5"/>
    <n v="0.31"/>
    <n v="0.31"/>
    <n v="0"/>
    <n v="0"/>
    <n v="1"/>
    <n v="0.31"/>
    <n v="0"/>
    <n v="0"/>
    <x v="39"/>
    <x v="50"/>
    <s v="PCTG TX1501HF"/>
    <s v="Forest green"/>
    <n v="6.73"/>
    <s v=" Eastman "/>
    <m/>
    <n v="0"/>
    <x v="64"/>
    <n v="0"/>
    <s v=" -   "/>
    <m/>
  </r>
  <r>
    <x v="0"/>
    <s v="MODI"/>
    <s v="Mouth Piece"/>
    <n v="310493191009"/>
    <s v="JEE"/>
    <s v="unique"/>
    <s v="Plastic"/>
    <x v="2"/>
    <x v="1"/>
    <d v="2025-02-06T00:00:00"/>
    <n v="0.5"/>
    <n v="0.31"/>
    <n v="0.31"/>
    <n v="0"/>
    <n v="0"/>
    <n v="1"/>
    <n v="0.31"/>
    <n v="29088"/>
    <n v="29088"/>
    <x v="39"/>
    <x v="50"/>
    <s v="PCTG TX1501HF"/>
    <s v="blue"/>
    <n v="6.73"/>
    <s v=" Eastman "/>
    <m/>
    <n v="0"/>
    <x v="456"/>
    <n v="0"/>
    <n v="196"/>
    <m/>
  </r>
  <r>
    <x v="0"/>
    <s v="MODI"/>
    <s v="Top Plastic Bracket"/>
    <n v="310493192000"/>
    <s v="JEE"/>
    <s v="unique"/>
    <s v="Plastic"/>
    <x v="2"/>
    <x v="1"/>
    <d v="2025-02-06T00:00:00"/>
    <n v="0.5"/>
    <n v="0.04"/>
    <n v="0.04"/>
    <n v="0"/>
    <n v="0"/>
    <n v="1"/>
    <n v="0.04"/>
    <n v="131893"/>
    <n v="40351103"/>
    <x v="1"/>
    <x v="50"/>
    <s v="PCTG TX1501HF"/>
    <s v="transparent"/>
    <n v="0.87"/>
    <s v=" Eastman "/>
    <m/>
    <n v="0"/>
    <x v="457"/>
    <n v="0"/>
    <n v="115"/>
    <m/>
  </r>
  <r>
    <x v="0"/>
    <s v="MODI"/>
    <s v=" Bottom Plastic Bracket"/>
    <n v="310493193000"/>
    <s v="JEE"/>
    <s v="unique"/>
    <s v="Plastic"/>
    <x v="2"/>
    <x v="1"/>
    <d v="2025-02-06T00:00:00"/>
    <n v="0.5"/>
    <n v="7.0000000000000007E-2"/>
    <n v="7.0000000000000007E-2"/>
    <n v="0"/>
    <n v="0"/>
    <n v="1"/>
    <n v="7.0000000000000007E-2"/>
    <n v="0"/>
    <n v="45678419"/>
    <x v="2"/>
    <x v="50"/>
    <s v="PCTG TX1501HF"/>
    <s v="transparent"/>
    <n v="1.18"/>
    <s v=" Eastman "/>
    <m/>
    <n v="0"/>
    <x v="64"/>
    <n v="0"/>
    <s v=" -   "/>
    <m/>
  </r>
  <r>
    <x v="0"/>
    <s v="MODI"/>
    <s v=" Bottom cap"/>
    <n v="310493194000"/>
    <s v="JEE"/>
    <s v="unique"/>
    <s v="Plastic"/>
    <x v="2"/>
    <x v="1"/>
    <d v="2025-02-06T00:00:00"/>
    <n v="0.5"/>
    <n v="7.0000000000000007E-2"/>
    <n v="7.0000000000000007E-2"/>
    <n v="0"/>
    <n v="0"/>
    <n v="1"/>
    <n v="7.0000000000000007E-2"/>
    <n v="0"/>
    <n v="29783584"/>
    <x v="1"/>
    <x v="50"/>
    <s v="LUPOY ER1000MA"/>
    <s v="Black"/>
    <n v="1.18"/>
    <s v="  Ruicheng "/>
    <m/>
    <n v="0"/>
    <x v="64"/>
    <n v="0"/>
    <s v=" -   "/>
    <m/>
  </r>
  <r>
    <x v="0"/>
    <s v="MODI"/>
    <s v=" Bottom cap"/>
    <n v="310493194001"/>
    <s v="JEE"/>
    <s v="unique"/>
    <s v="Plastic"/>
    <x v="2"/>
    <x v="1"/>
    <d v="2025-02-06T00:00:00"/>
    <n v="0.5"/>
    <n v="7.0000000000000007E-2"/>
    <n v="7.0000000000000007E-2"/>
    <n v="0"/>
    <n v="0"/>
    <n v="1"/>
    <n v="7.0000000000000007E-2"/>
    <n v="0"/>
    <n v="0"/>
    <x v="39"/>
    <x v="50"/>
    <s v="LUPOY ER1000MA"/>
    <s v="purple red"/>
    <n v="1.18"/>
    <s v="  Ruicheng "/>
    <m/>
    <n v="0"/>
    <x v="64"/>
    <n v="0"/>
    <s v=" -   "/>
    <m/>
  </r>
  <r>
    <x v="0"/>
    <s v="MODI"/>
    <s v=" Bottom cap"/>
    <n v="310493194002"/>
    <s v="JEE"/>
    <s v="unique"/>
    <s v="Plastic"/>
    <x v="2"/>
    <x v="1"/>
    <d v="2025-02-06T00:00:00"/>
    <n v="0.5"/>
    <n v="7.0000000000000007E-2"/>
    <n v="7.0000000000000007E-2"/>
    <n v="0"/>
    <n v="0"/>
    <n v="1"/>
    <n v="7.0000000000000007E-2"/>
    <n v="0"/>
    <n v="0"/>
    <x v="39"/>
    <x v="50"/>
    <s v="LUPOY ER1000MA"/>
    <s v="Light green"/>
    <n v="1.18"/>
    <s v="  Ruicheng "/>
    <m/>
    <n v="0"/>
    <x v="64"/>
    <n v="0"/>
    <s v=" -   "/>
    <m/>
  </r>
  <r>
    <x v="0"/>
    <s v="MODI"/>
    <s v=" Bottom cap"/>
    <n v="310493194003"/>
    <s v="JEE"/>
    <s v="unique"/>
    <s v="Plastic"/>
    <x v="2"/>
    <x v="1"/>
    <d v="2025-02-06T00:00:00"/>
    <n v="0.5"/>
    <n v="7.0000000000000007E-2"/>
    <n v="7.0000000000000007E-2"/>
    <n v="0"/>
    <n v="0"/>
    <n v="1"/>
    <n v="7.0000000000000007E-2"/>
    <n v="0"/>
    <n v="0"/>
    <x v="39"/>
    <x v="50"/>
    <s v="LUPOY ER1000MA"/>
    <s v="Light blue"/>
    <n v="1.18"/>
    <s v="  Ruicheng "/>
    <m/>
    <n v="0"/>
    <x v="64"/>
    <n v="0"/>
    <s v=" -   "/>
    <m/>
  </r>
  <r>
    <x v="0"/>
    <s v="MODI"/>
    <s v=" Bottom cap"/>
    <n v="310493194004"/>
    <s v="JEE"/>
    <s v="unique"/>
    <s v="Plastic"/>
    <x v="2"/>
    <x v="1"/>
    <d v="2025-02-06T00:00:00"/>
    <n v="0.5"/>
    <n v="7.0000000000000007E-2"/>
    <n v="7.0000000000000007E-2"/>
    <n v="0"/>
    <n v="0"/>
    <n v="1"/>
    <n v="7.0000000000000007E-2"/>
    <n v="87236"/>
    <n v="87236"/>
    <x v="39"/>
    <x v="50"/>
    <s v="LUPOY ER1000MA"/>
    <s v="yellow"/>
    <n v="1.18"/>
    <s v="  Ruicheng "/>
    <m/>
    <n v="0"/>
    <x v="458"/>
    <n v="0"/>
    <n v="103"/>
    <m/>
  </r>
  <r>
    <x v="0"/>
    <s v="MODI"/>
    <s v=" Bottom cap"/>
    <n v="310493194005"/>
    <s v="JEE"/>
    <s v="unique"/>
    <s v="Plastic"/>
    <x v="2"/>
    <x v="1"/>
    <d v="2025-02-06T00:00:00"/>
    <n v="0.5"/>
    <n v="7.0000000000000007E-2"/>
    <n v="7.0000000000000007E-2"/>
    <n v="0"/>
    <n v="0"/>
    <n v="1"/>
    <n v="7.0000000000000007E-2"/>
    <n v="0"/>
    <n v="0"/>
    <x v="39"/>
    <x v="50"/>
    <s v="LUPOY ER1000MA"/>
    <s v="purple"/>
    <n v="1.18"/>
    <s v="  Ruicheng "/>
    <m/>
    <n v="0"/>
    <x v="64"/>
    <n v="0"/>
    <s v=" -   "/>
    <m/>
  </r>
  <r>
    <x v="0"/>
    <s v="MODI"/>
    <s v=" Bottom cap"/>
    <n v="310493194006"/>
    <s v="JEE"/>
    <s v="unique"/>
    <s v="Plastic"/>
    <x v="2"/>
    <x v="1"/>
    <d v="2025-02-06T00:00:00"/>
    <n v="0.5"/>
    <n v="7.0000000000000007E-2"/>
    <n v="7.0000000000000007E-2"/>
    <n v="0"/>
    <n v="0"/>
    <n v="1"/>
    <n v="7.0000000000000007E-2"/>
    <n v="0"/>
    <n v="0"/>
    <x v="39"/>
    <x v="50"/>
    <s v="LUPOY ER1000MA"/>
    <s v="Forest green"/>
    <n v="1.18"/>
    <s v="  Ruicheng "/>
    <m/>
    <n v="0"/>
    <x v="64"/>
    <n v="0"/>
    <s v=" -   "/>
    <m/>
  </r>
  <r>
    <x v="0"/>
    <s v="MODI"/>
    <s v=" Bottom cap"/>
    <n v="310493194009"/>
    <s v="JEE"/>
    <s v="unique"/>
    <s v="Plastic"/>
    <x v="2"/>
    <x v="1"/>
    <d v="2025-02-06T00:00:00"/>
    <n v="0.5"/>
    <n v="7.0000000000000007E-2"/>
    <n v="7.0000000000000007E-2"/>
    <n v="0"/>
    <n v="0"/>
    <n v="1"/>
    <n v="7.0000000000000007E-2"/>
    <n v="27922"/>
    <n v="27922"/>
    <x v="39"/>
    <x v="50"/>
    <s v="LUPOY ER1000MA"/>
    <s v="blue"/>
    <n v="1.18"/>
    <s v="  Ruicheng "/>
    <m/>
    <n v="0"/>
    <x v="459"/>
    <n v="0"/>
    <n v="33"/>
    <m/>
  </r>
  <r>
    <x v="0"/>
    <s v="MODI"/>
    <s v="Air Flow slider"/>
    <n v="310493195000"/>
    <s v="JEE"/>
    <s v="unique"/>
    <s v="Plastic"/>
    <x v="2"/>
    <x v="1"/>
    <d v="2025-02-06T00:00:00"/>
    <n v="0.5"/>
    <n v="0.04"/>
    <n v="0.04"/>
    <n v="0"/>
    <n v="0"/>
    <n v="1"/>
    <n v="0.04"/>
    <n v="0"/>
    <n v="56410170"/>
    <x v="3"/>
    <x v="50"/>
    <s v="LUPOY ER1000MA"/>
    <s v="Black"/>
    <n v="0.13"/>
    <s v="  Ruicheng "/>
    <m/>
    <n v="0"/>
    <x v="64"/>
    <n v="0"/>
    <s v=" -   "/>
    <m/>
  </r>
  <r>
    <x v="0"/>
    <s v="MODI"/>
    <s v="Air Flow slider"/>
    <n v="310493196001"/>
    <s v="JEE"/>
    <s v="unique"/>
    <s v="Plastic"/>
    <x v="2"/>
    <x v="1"/>
    <d v="2025-02-06T00:00:00"/>
    <n v="0.5"/>
    <n v="0.04"/>
    <n v="0.04"/>
    <n v="0"/>
    <n v="0"/>
    <n v="1"/>
    <n v="0.04"/>
    <n v="0"/>
    <n v="0"/>
    <x v="39"/>
    <x v="50"/>
    <s v="LUPOY ER1000MA"/>
    <s v="purple red"/>
    <n v="0.13"/>
    <s v="  Ruicheng "/>
    <m/>
    <n v="0"/>
    <x v="64"/>
    <n v="0"/>
    <s v=" -   "/>
    <m/>
  </r>
  <r>
    <x v="0"/>
    <s v="MODI"/>
    <s v="Air Flow slider"/>
    <n v="310493196002"/>
    <s v="JEE"/>
    <s v="unique"/>
    <s v="Plastic"/>
    <x v="2"/>
    <x v="1"/>
    <d v="2025-02-06T00:00:00"/>
    <n v="0.5"/>
    <n v="0.04"/>
    <n v="0.04"/>
    <n v="0"/>
    <n v="0"/>
    <n v="1"/>
    <n v="0.04"/>
    <n v="0"/>
    <n v="0"/>
    <x v="39"/>
    <x v="50"/>
    <s v="LUPOY ER1000MA"/>
    <s v="Light green"/>
    <n v="0.13"/>
    <s v="  Ruicheng "/>
    <m/>
    <n v="0"/>
    <x v="64"/>
    <n v="0"/>
    <s v=" -   "/>
    <m/>
  </r>
  <r>
    <x v="0"/>
    <s v="MODI"/>
    <s v="Air Flow slider"/>
    <n v="310493196003"/>
    <s v="JEE"/>
    <s v="unique"/>
    <s v="Plastic"/>
    <x v="2"/>
    <x v="1"/>
    <d v="2025-02-06T00:00:00"/>
    <n v="0.5"/>
    <n v="0.04"/>
    <n v="0.04"/>
    <n v="0"/>
    <n v="0"/>
    <n v="1"/>
    <n v="0.04"/>
    <n v="0"/>
    <n v="0"/>
    <x v="39"/>
    <x v="50"/>
    <s v="LUPOY ER1000MA"/>
    <s v="Light blue"/>
    <n v="0.13"/>
    <s v="  Ruicheng "/>
    <m/>
    <n v="0"/>
    <x v="64"/>
    <n v="0"/>
    <s v=" -   "/>
    <m/>
  </r>
  <r>
    <x v="0"/>
    <s v="MODI"/>
    <s v="Air Flow slider"/>
    <n v="310493196004"/>
    <s v="JEE"/>
    <s v="unique"/>
    <s v="Plastic"/>
    <x v="2"/>
    <x v="1"/>
    <d v="2025-02-06T00:00:00"/>
    <n v="0.5"/>
    <n v="0.04"/>
    <n v="0.04"/>
    <n v="0"/>
    <n v="0"/>
    <n v="1"/>
    <n v="0.04"/>
    <n v="86760"/>
    <n v="86760"/>
    <x v="39"/>
    <x v="50"/>
    <s v="LUPOY ER1000MA"/>
    <s v="yellow"/>
    <n v="0.13"/>
    <s v="  Ruicheng "/>
    <m/>
    <n v="0"/>
    <x v="460"/>
    <n v="0"/>
    <n v="11"/>
    <m/>
  </r>
  <r>
    <x v="0"/>
    <s v="MODI"/>
    <s v="Air Flow slider"/>
    <n v="310493196005"/>
    <s v="JEE"/>
    <s v="unique"/>
    <s v="Plastic"/>
    <x v="2"/>
    <x v="1"/>
    <d v="2025-02-06T00:00:00"/>
    <n v="0.5"/>
    <n v="0.04"/>
    <n v="0.04"/>
    <n v="0"/>
    <n v="0"/>
    <n v="1"/>
    <n v="0.04"/>
    <n v="0"/>
    <n v="0"/>
    <x v="39"/>
    <x v="50"/>
    <s v="LUPOY ER1000MA"/>
    <s v="purple"/>
    <n v="0.13"/>
    <s v="  Ruicheng "/>
    <m/>
    <n v="0"/>
    <x v="64"/>
    <n v="0"/>
    <s v=" -   "/>
    <m/>
  </r>
  <r>
    <x v="0"/>
    <s v="MODI"/>
    <s v="Air Flow slider"/>
    <n v="310493196006"/>
    <s v="JEE"/>
    <s v="unique"/>
    <s v="Plastic"/>
    <x v="2"/>
    <x v="1"/>
    <d v="2025-02-06T00:00:00"/>
    <n v="0.5"/>
    <n v="0.04"/>
    <n v="0.04"/>
    <n v="0"/>
    <n v="0"/>
    <n v="1"/>
    <n v="0.04"/>
    <n v="0"/>
    <n v="0"/>
    <x v="39"/>
    <x v="50"/>
    <s v="LUPOY ER1000MA"/>
    <s v="Forest green"/>
    <n v="0.13"/>
    <s v="  Ruicheng "/>
    <m/>
    <n v="0"/>
    <x v="64"/>
    <n v="0"/>
    <s v=" -   "/>
    <m/>
  </r>
  <r>
    <x v="0"/>
    <s v="MODI"/>
    <s v="Air Flow slider"/>
    <n v="310493196009"/>
    <s v="JEE"/>
    <s v="unique"/>
    <s v="Plastic"/>
    <x v="2"/>
    <x v="1"/>
    <d v="2025-02-06T00:00:00"/>
    <n v="0.5"/>
    <n v="0.04"/>
    <n v="0.04"/>
    <n v="0"/>
    <n v="0"/>
    <n v="1"/>
    <n v="0.04"/>
    <n v="20361"/>
    <n v="20361"/>
    <x v="39"/>
    <x v="50"/>
    <s v="LUPOY ER1000MA"/>
    <s v="blue"/>
    <n v="0.13"/>
    <s v="  Ruicheng "/>
    <m/>
    <n v="0"/>
    <x v="461"/>
    <n v="0"/>
    <n v="3"/>
    <m/>
  </r>
  <r>
    <x v="1"/>
    <s v="RCS DEVICE"/>
    <s v="Top cover"/>
    <n v="130040670043095"/>
    <s v="JEE"/>
    <s v="unique"/>
    <s v="Plastic"/>
    <x v="2"/>
    <x v="1"/>
    <d v="2025-02-06T00:00:00"/>
    <n v="1"/>
    <n v="2.36"/>
    <n v="2.36"/>
    <n v="0"/>
    <n v="0"/>
    <n v="1"/>
    <n v="2.36"/>
    <n v="0"/>
    <n v="644603"/>
    <x v="4"/>
    <x v="50"/>
    <s v="LUPOY GP1000ML"/>
    <s v="blue"/>
    <n v="16.260000000000002"/>
    <s v=" LG "/>
    <s v=" Printing "/>
    <n v="1.31"/>
    <x v="64"/>
    <n v="0"/>
    <s v=" -   "/>
    <m/>
  </r>
  <r>
    <x v="1"/>
    <s v="RCS DEVICE"/>
    <s v="Top cover"/>
    <n v="130040670043098"/>
    <s v="JEE"/>
    <s v="unique"/>
    <s v="Plastic"/>
    <x v="2"/>
    <x v="1"/>
    <d v="2025-02-06T00:00:00"/>
    <n v="1"/>
    <n v="2.36"/>
    <n v="2.36"/>
    <n v="0"/>
    <n v="0"/>
    <n v="1"/>
    <n v="2.36"/>
    <n v="0"/>
    <m/>
    <x v="4"/>
    <x v="50"/>
    <s v="LUPOY GP1000ML"/>
    <s v="cyan"/>
    <n v="16.260000000000002"/>
    <s v=" LG "/>
    <s v=" Printing "/>
    <n v="1.31"/>
    <x v="64"/>
    <n v="0"/>
    <s v=" -   "/>
    <m/>
  </r>
  <r>
    <x v="1"/>
    <s v="RCS DEVICE"/>
    <s v="Top cover"/>
    <n v="130040670043096"/>
    <s v="JEE"/>
    <s v="unique"/>
    <s v="Plastic"/>
    <x v="2"/>
    <x v="1"/>
    <d v="2025-02-06T00:00:00"/>
    <n v="1"/>
    <n v="2.36"/>
    <n v="2.36"/>
    <n v="0"/>
    <n v="0"/>
    <n v="1"/>
    <n v="2.36"/>
    <n v="0"/>
    <m/>
    <x v="4"/>
    <x v="50"/>
    <s v="LUPOY GP1000ML"/>
    <s v="Black"/>
    <n v="16.260000000000002"/>
    <s v=" LG "/>
    <s v=" Printing "/>
    <n v="1.31"/>
    <x v="64"/>
    <n v="0"/>
    <s v=" -   "/>
    <m/>
  </r>
  <r>
    <x v="1"/>
    <s v="RCS DEVICE"/>
    <s v="Top cover"/>
    <n v="130040670054811"/>
    <s v="JEE"/>
    <s v="unique"/>
    <s v="Plastic"/>
    <x v="2"/>
    <x v="1"/>
    <d v="2025-02-06T00:00:00"/>
    <n v="1"/>
    <n v="2.36"/>
    <n v="2.36"/>
    <n v="0"/>
    <n v="0"/>
    <n v="1"/>
    <n v="2.36"/>
    <n v="0"/>
    <m/>
    <x v="4"/>
    <x v="50"/>
    <s v="LUPOY GP1000ML"/>
    <s v="peach"/>
    <n v="16.260000000000002"/>
    <s v=" LG "/>
    <s v=" Printing "/>
    <n v="1.31"/>
    <x v="64"/>
    <n v="0"/>
    <s v=" -   "/>
    <m/>
  </r>
  <r>
    <x v="1"/>
    <s v="RCS DEVICE"/>
    <s v="Top cover"/>
    <n v="130040670054813"/>
    <s v="JEE"/>
    <s v="unique"/>
    <s v="Plastic"/>
    <x v="2"/>
    <x v="1"/>
    <d v="2025-02-06T00:00:00"/>
    <n v="1"/>
    <n v="2.36"/>
    <n v="2.36"/>
    <n v="0"/>
    <n v="0"/>
    <n v="1"/>
    <n v="2.36"/>
    <n v="0"/>
    <m/>
    <x v="4"/>
    <x v="50"/>
    <s v="LUPOY GP1000ML"/>
    <s v="red"/>
    <n v="16.260000000000002"/>
    <s v=" LG "/>
    <s v=" Printing "/>
    <n v="1.31"/>
    <x v="64"/>
    <n v="0"/>
    <s v=" -   "/>
    <m/>
  </r>
  <r>
    <x v="1"/>
    <s v="RCS DEVICE"/>
    <s v="Bottom cover"/>
    <n v="130020670058316"/>
    <s v="JEE"/>
    <s v="unique"/>
    <s v="Plastic"/>
    <x v="2"/>
    <x v="1"/>
    <d v="2025-02-06T00:00:00"/>
    <n v="1"/>
    <n v="2.3199999999999998"/>
    <n v="2.3199999999999998"/>
    <n v="0"/>
    <n v="0"/>
    <n v="1"/>
    <n v="2.3199999999999998"/>
    <n v="0"/>
    <n v="686982"/>
    <x v="4"/>
    <x v="50"/>
    <s v="LUPOY GP1000ML"/>
    <s v="red"/>
    <n v="8.3000000000000007"/>
    <s v=" LG "/>
    <s v=" Printing "/>
    <n v="1.43"/>
    <x v="64"/>
    <n v="0"/>
    <s v=" -   "/>
    <m/>
  </r>
  <r>
    <x v="1"/>
    <s v="RCS DEVICE"/>
    <s v="Bottom cover"/>
    <n v="130020670058313"/>
    <s v="JEE"/>
    <s v="unique"/>
    <s v="Plastic"/>
    <x v="2"/>
    <x v="1"/>
    <d v="2025-02-06T00:00:00"/>
    <n v="1"/>
    <n v="2.3199999999999998"/>
    <n v="2.3199999999999998"/>
    <n v="0"/>
    <n v="0"/>
    <n v="1"/>
    <n v="2.3199999999999998"/>
    <n v="0"/>
    <m/>
    <x v="4"/>
    <x v="50"/>
    <s v="LUPOY GP1000ML"/>
    <s v="Light red"/>
    <n v="8.3000000000000007"/>
    <s v=" LG "/>
    <s v=" Printing "/>
    <n v="1.43"/>
    <x v="64"/>
    <n v="0"/>
    <s v=" -   "/>
    <m/>
  </r>
  <r>
    <x v="1"/>
    <s v="RCS DEVICE"/>
    <s v="Bottom cover"/>
    <n v="130040670028165"/>
    <s v="JEE"/>
    <s v="unique"/>
    <s v="Plastic"/>
    <x v="2"/>
    <x v="1"/>
    <d v="2025-02-06T00:00:00"/>
    <n v="1"/>
    <n v="2.3199999999999998"/>
    <n v="2.3199999999999998"/>
    <n v="0"/>
    <n v="0"/>
    <n v="1"/>
    <n v="2.3199999999999998"/>
    <n v="0"/>
    <m/>
    <x v="4"/>
    <x v="50"/>
    <s v="LUPOY GP1000ML"/>
    <s v="blue"/>
    <n v="8.3000000000000007"/>
    <s v=" LG "/>
    <s v=" Printing "/>
    <n v="1.43"/>
    <x v="64"/>
    <n v="0"/>
    <s v=" -   "/>
    <m/>
  </r>
  <r>
    <x v="1"/>
    <s v="RCS DEVICE"/>
    <s v="Bottom cover"/>
    <n v="130040670028166"/>
    <s v="JEE"/>
    <s v="unique"/>
    <s v="Plastic"/>
    <x v="2"/>
    <x v="1"/>
    <d v="2025-02-06T00:00:00"/>
    <n v="1"/>
    <n v="2.3199999999999998"/>
    <n v="2.3199999999999998"/>
    <n v="0"/>
    <n v="0"/>
    <n v="1"/>
    <n v="2.3199999999999998"/>
    <n v="0"/>
    <m/>
    <x v="4"/>
    <x v="50"/>
    <s v="LUPOY GP1000ML"/>
    <s v="cyan"/>
    <n v="8.3000000000000007"/>
    <s v=" LG "/>
    <s v=" Printing "/>
    <n v="1.43"/>
    <x v="64"/>
    <n v="0"/>
    <s v=" -   "/>
    <m/>
  </r>
  <r>
    <x v="1"/>
    <s v="RCS DEVICE"/>
    <s v="Bottom cover"/>
    <n v="130040670028167"/>
    <s v="JEE"/>
    <s v="unique"/>
    <s v="Plastic"/>
    <x v="2"/>
    <x v="1"/>
    <d v="2025-02-06T00:00:00"/>
    <n v="1"/>
    <n v="2.3199999999999998"/>
    <n v="2.3199999999999998"/>
    <n v="0"/>
    <n v="0"/>
    <n v="1"/>
    <n v="2.3199999999999998"/>
    <n v="0"/>
    <m/>
    <x v="4"/>
    <x v="50"/>
    <s v="LUPOY GP1000ML"/>
    <s v="Black"/>
    <n v="8.3000000000000007"/>
    <s v=" LG "/>
    <s v=" Printing "/>
    <n v="1.43"/>
    <x v="64"/>
    <n v="0"/>
    <s v=" -   "/>
    <m/>
  </r>
  <r>
    <x v="1"/>
    <s v="RCS DEVICE"/>
    <s v="Bottom cover"/>
    <n v="130040670028168"/>
    <s v="JEE"/>
    <s v="unique"/>
    <s v="Plastic"/>
    <x v="2"/>
    <x v="1"/>
    <d v="2025-02-06T00:00:00"/>
    <n v="1"/>
    <n v="2.3199999999999998"/>
    <n v="2.3199999999999998"/>
    <n v="0"/>
    <n v="0"/>
    <n v="1"/>
    <n v="2.3199999999999998"/>
    <n v="0"/>
    <m/>
    <x v="4"/>
    <x v="50"/>
    <s v="LUPOY GP1000ML"/>
    <s v="blue"/>
    <n v="8.3000000000000007"/>
    <s v=" LG "/>
    <s v=" Printing "/>
    <n v="1.43"/>
    <x v="64"/>
    <n v="0"/>
    <s v=" -   "/>
    <m/>
  </r>
  <r>
    <x v="1"/>
    <s v="RCS DEVICE"/>
    <s v="Bottom cover"/>
    <n v="130040670028169"/>
    <s v="JEE"/>
    <s v="unique"/>
    <s v="Plastic"/>
    <x v="2"/>
    <x v="1"/>
    <d v="2025-02-06T00:00:00"/>
    <n v="1"/>
    <n v="2.3199999999999998"/>
    <n v="2.3199999999999998"/>
    <n v="0"/>
    <n v="0"/>
    <n v="1"/>
    <n v="2.3199999999999998"/>
    <n v="0"/>
    <m/>
    <x v="4"/>
    <x v="50"/>
    <s v="LUPOY GP1000ML"/>
    <s v="cyan"/>
    <n v="8.3000000000000007"/>
    <s v=" LG "/>
    <s v=" Printing "/>
    <n v="1.43"/>
    <x v="64"/>
    <n v="0"/>
    <s v=" -   "/>
    <m/>
  </r>
  <r>
    <x v="1"/>
    <s v="RCS DEVICE"/>
    <s v="Bottom cover"/>
    <n v="130040670028170"/>
    <s v="JEE"/>
    <s v="unique"/>
    <s v="Plastic"/>
    <x v="2"/>
    <x v="1"/>
    <d v="2025-02-06T00:00:00"/>
    <n v="1"/>
    <n v="2.3199999999999998"/>
    <n v="2.3199999999999998"/>
    <n v="0"/>
    <n v="0"/>
    <n v="1"/>
    <n v="2.3199999999999998"/>
    <n v="0"/>
    <m/>
    <x v="4"/>
    <x v="50"/>
    <s v="LUPOY GP1000ML"/>
    <s v="Black"/>
    <n v="8.3000000000000007"/>
    <s v=" LG "/>
    <s v=" Printing "/>
    <n v="1.43"/>
    <x v="64"/>
    <n v="0"/>
    <s v=" -   "/>
    <m/>
  </r>
  <r>
    <x v="1"/>
    <s v="RCS DEVICE"/>
    <s v="Button"/>
    <n v="130020670058317"/>
    <s v="JEE"/>
    <s v="unique"/>
    <s v="Plastic"/>
    <x v="2"/>
    <x v="1"/>
    <d v="2025-02-06T00:00:00"/>
    <n v="1"/>
    <n v="0.38"/>
    <n v="0.38"/>
    <n v="0"/>
    <n v="0"/>
    <n v="1"/>
    <n v="0.38"/>
    <n v="0"/>
    <n v="665191"/>
    <x v="4"/>
    <x v="50"/>
    <s v="LUPOY GP1000ML"/>
    <s v="Light red"/>
    <n v="0.56999999999999995"/>
    <s v=" LG "/>
    <m/>
    <n v="0"/>
    <x v="64"/>
    <n v="0"/>
    <s v=" -   "/>
    <m/>
  </r>
  <r>
    <x v="1"/>
    <s v="RCS DEVICE"/>
    <s v="Button"/>
    <n v="130020670058314"/>
    <s v="JEE"/>
    <s v="unique"/>
    <s v="Plastic"/>
    <x v="2"/>
    <x v="1"/>
    <d v="2025-02-06T00:00:00"/>
    <n v="1"/>
    <n v="0.38"/>
    <n v="0.38"/>
    <n v="0"/>
    <n v="0"/>
    <n v="1"/>
    <n v="0.38"/>
    <n v="0"/>
    <m/>
    <x v="4"/>
    <x v="50"/>
    <s v="LUPOY GP1000ML"/>
    <s v="fuchsin"/>
    <n v="0.56999999999999995"/>
    <s v=" LG "/>
    <m/>
    <n v="0"/>
    <x v="64"/>
    <n v="0"/>
    <s v=" -   "/>
    <m/>
  </r>
  <r>
    <x v="1"/>
    <s v="RCS DEVICE"/>
    <s v="PCB holder"/>
    <n v="130040670021262"/>
    <s v="JEE"/>
    <s v="unique"/>
    <s v="Plastic"/>
    <x v="2"/>
    <x v="1"/>
    <d v="2025-02-06T00:00:00"/>
    <n v="1"/>
    <n v="0.38"/>
    <n v="0.38"/>
    <n v="0"/>
    <n v="0"/>
    <n v="1"/>
    <n v="0.38"/>
    <n v="0"/>
    <n v="655070"/>
    <x v="4"/>
    <x v="50"/>
    <s v="PC Makrolon 2456"/>
    <s v="Black"/>
    <n v="1.87"/>
    <s v=" Makrolon "/>
    <m/>
    <n v="0"/>
    <x v="64"/>
    <n v="0"/>
    <s v=" -   "/>
    <m/>
  </r>
  <r>
    <x v="2"/>
    <s v="RCS DEVICE"/>
    <s v="Battery tube"/>
    <n v="130020670031776"/>
    <s v="JEE"/>
    <s v="unique"/>
    <s v="Plastic"/>
    <x v="2"/>
    <x v="1"/>
    <d v="2025-02-06T00:00:00"/>
    <n v="0.3"/>
    <n v="1.88"/>
    <n v="1.91"/>
    <n v="0.04"/>
    <n v="1.2E-2"/>
    <n v="1"/>
    <n v="1.88"/>
    <n v="714350"/>
    <n v="3031329"/>
    <x v="5"/>
    <x v="307"/>
    <s v="PC LUPOY GP1000ML"/>
    <s v="Black"/>
    <n v="6.54"/>
    <s v=" LG "/>
    <s v=" Printing "/>
    <n v="1.2"/>
    <x v="462"/>
    <n v="549600"/>
    <n v="2995"/>
    <m/>
  </r>
  <r>
    <x v="2"/>
    <s v="RCS DEVICE"/>
    <s v="Bottom cap"/>
    <n v="130020670034027"/>
    <s v="JEE"/>
    <s v="unique"/>
    <s v="Plastic"/>
    <x v="2"/>
    <x v="1"/>
    <d v="2025-02-06T00:00:00"/>
    <n v="0.3"/>
    <n v="0.27"/>
    <n v="0.33"/>
    <n v="0.06"/>
    <n v="1.7999999999999999E-2"/>
    <n v="1"/>
    <n v="0.27"/>
    <n v="122506"/>
    <n v="2407487"/>
    <x v="6"/>
    <x v="308"/>
    <s v="PC LUPOY GP1000ML"/>
    <s v="Black"/>
    <n v="3.32"/>
    <s v=" LG "/>
    <m/>
    <n v="0"/>
    <x v="463"/>
    <n v="0"/>
    <n v="407"/>
    <m/>
  </r>
  <r>
    <x v="2"/>
    <s v="RCS DEVICE"/>
    <s v="Bottom cap"/>
    <n v="130020670034026"/>
    <s v="JEE"/>
    <s v="unique"/>
    <s v="Plastic"/>
    <x v="2"/>
    <x v="1"/>
    <d v="2025-02-06T00:00:00"/>
    <n v="0.3"/>
    <n v="0.27"/>
    <n v="0.33"/>
    <n v="0.06"/>
    <n v="1.7999999999999999E-2"/>
    <n v="1"/>
    <n v="0.27"/>
    <n v="107520"/>
    <n v="107520"/>
    <x v="39"/>
    <x v="253"/>
    <s v="PC LUPOY GP1000ML"/>
    <s v="red"/>
    <n v="3.32"/>
    <s v=" LG "/>
    <m/>
    <n v="0"/>
    <x v="464"/>
    <n v="0"/>
    <n v="357"/>
    <m/>
  </r>
  <r>
    <x v="2"/>
    <s v="RCS DEVICE"/>
    <s v="Bottom cap"/>
    <n v="130020670034025"/>
    <s v="JEE"/>
    <s v="unique"/>
    <s v="Plastic"/>
    <x v="2"/>
    <x v="1"/>
    <d v="2025-02-06T00:00:00"/>
    <n v="0.3"/>
    <n v="0.27"/>
    <n v="0.33"/>
    <n v="0.06"/>
    <n v="1.7999999999999999E-2"/>
    <n v="1"/>
    <n v="0.27"/>
    <n v="35086"/>
    <n v="35086"/>
    <x v="39"/>
    <x v="253"/>
    <s v="PC LUPOY GP1000ML"/>
    <s v="orange"/>
    <n v="3.32"/>
    <s v=" LG "/>
    <m/>
    <n v="0"/>
    <x v="465"/>
    <n v="0"/>
    <n v="116"/>
    <m/>
  </r>
  <r>
    <x v="2"/>
    <s v="RCS DEVICE"/>
    <s v="Bottom cap"/>
    <n v="130020670034024"/>
    <s v="JEE"/>
    <s v="unique"/>
    <s v="Plastic"/>
    <x v="2"/>
    <x v="1"/>
    <d v="2025-02-06T00:00:00"/>
    <n v="0.3"/>
    <n v="0.27"/>
    <n v="0.33"/>
    <n v="0.06"/>
    <n v="1.7999999999999999E-2"/>
    <n v="1"/>
    <n v="0.27"/>
    <n v="7890"/>
    <n v="7890"/>
    <x v="39"/>
    <x v="253"/>
    <s v="PC LUPOY GP1000ML"/>
    <s v="yellow"/>
    <n v="3.32"/>
    <s v=" LG "/>
    <m/>
    <n v="0"/>
    <x v="466"/>
    <n v="0"/>
    <n v="26"/>
    <m/>
  </r>
  <r>
    <x v="2"/>
    <s v="RCS DEVICE"/>
    <s v="Bottom cap"/>
    <n v="130020670034023"/>
    <s v="JEE"/>
    <s v="unique"/>
    <s v="Plastic"/>
    <x v="2"/>
    <x v="1"/>
    <d v="2025-02-06T00:00:00"/>
    <n v="0.3"/>
    <n v="0.27"/>
    <n v="0.33"/>
    <n v="0.06"/>
    <n v="1.7999999999999999E-2"/>
    <n v="1"/>
    <n v="0.27"/>
    <n v="5730"/>
    <n v="5730"/>
    <x v="39"/>
    <x v="253"/>
    <s v="PC LUPOY GP1000ML"/>
    <s v="Light green"/>
    <n v="3.32"/>
    <s v=" LG "/>
    <m/>
    <n v="0"/>
    <x v="467"/>
    <n v="0"/>
    <n v="19"/>
    <m/>
  </r>
  <r>
    <x v="2"/>
    <s v="RCS DEVICE"/>
    <s v="Bottom cap"/>
    <n v="130020670034014"/>
    <s v="JEE"/>
    <s v="unique"/>
    <s v="Plastic"/>
    <x v="2"/>
    <x v="1"/>
    <d v="2025-02-06T00:00:00"/>
    <n v="0.3"/>
    <n v="0.27"/>
    <n v="0.33"/>
    <n v="0.06"/>
    <n v="1.7999999999999999E-2"/>
    <n v="1"/>
    <n v="0.27"/>
    <n v="97800"/>
    <n v="97800"/>
    <x v="39"/>
    <x v="253"/>
    <s v="PC LUPOY GP1000ML"/>
    <s v="blue"/>
    <n v="3.32"/>
    <s v=" LG "/>
    <m/>
    <n v="0"/>
    <x v="468"/>
    <n v="0"/>
    <n v="325"/>
    <m/>
  </r>
  <r>
    <x v="2"/>
    <s v="RCS DEVICE"/>
    <s v="Holder"/>
    <n v="130040670046310"/>
    <s v="JEE"/>
    <s v="unique"/>
    <s v="Plastic"/>
    <x v="2"/>
    <x v="1"/>
    <d v="2025-02-06T00:00:00"/>
    <n v="0.3"/>
    <n v="0.2"/>
    <n v="0.23"/>
    <n v="0.03"/>
    <n v="8.9999999999999993E-3"/>
    <n v="1"/>
    <n v="0.2"/>
    <n v="39141"/>
    <n v="3001054"/>
    <x v="7"/>
    <x v="309"/>
    <s v="PC Makrolon 2456"/>
    <s v="Black"/>
    <n v="4.25"/>
    <s v=" Makrolon "/>
    <m/>
    <n v="0"/>
    <x v="469"/>
    <n v="0"/>
    <n v="166"/>
    <m/>
  </r>
  <r>
    <x v="2"/>
    <s v="RCS DEVICE"/>
    <s v="Holder"/>
    <n v="130040670046308"/>
    <s v="JEE"/>
    <s v="unique"/>
    <s v="Plastic"/>
    <x v="2"/>
    <x v="1"/>
    <d v="2025-02-06T00:00:00"/>
    <n v="0.3"/>
    <n v="0.2"/>
    <n v="0.23"/>
    <n v="0.03"/>
    <n v="8.9999999999999993E-3"/>
    <n v="1"/>
    <n v="0.2"/>
    <n v="55500"/>
    <n v="55500"/>
    <x v="39"/>
    <x v="253"/>
    <s v="PC Makrolon 2456"/>
    <s v="orange"/>
    <n v="4.25"/>
    <s v=" Makrolon "/>
    <m/>
    <n v="0"/>
    <x v="470"/>
    <n v="0"/>
    <n v="236"/>
    <m/>
  </r>
  <r>
    <x v="2"/>
    <s v="RCS DEVICE"/>
    <s v="Button"/>
    <n v="130020670033987"/>
    <s v="JEE"/>
    <s v="unique"/>
    <s v="Plastic"/>
    <x v="2"/>
    <x v="1"/>
    <d v="2025-02-06T00:00:00"/>
    <n v="0.3"/>
    <n v="0.12"/>
    <n v="0.15"/>
    <n v="0.02"/>
    <n v="6.0000000000000001E-3"/>
    <n v="1"/>
    <n v="0.12"/>
    <n v="126446"/>
    <n v="3331369"/>
    <x v="8"/>
    <x v="310"/>
    <s v="PC Makrolon 2456"/>
    <s v="Black"/>
    <n v="0.54"/>
    <s v=" Makrolon "/>
    <m/>
    <n v="0"/>
    <x v="471"/>
    <n v="0"/>
    <n v="68"/>
    <m/>
  </r>
  <r>
    <x v="2"/>
    <s v="RCS DEVICE"/>
    <s v="Button"/>
    <n v="130020670033986"/>
    <s v="JEE"/>
    <s v="unique"/>
    <s v="Plastic"/>
    <x v="2"/>
    <x v="1"/>
    <d v="2025-02-06T00:00:00"/>
    <n v="0.3"/>
    <n v="0.12"/>
    <n v="0.15"/>
    <n v="0.02"/>
    <n v="6.0000000000000001E-3"/>
    <n v="1"/>
    <n v="0.12"/>
    <n v="87774"/>
    <n v="87774"/>
    <x v="39"/>
    <x v="253"/>
    <s v="PC Makrolon 2456"/>
    <s v="red"/>
    <n v="0.54"/>
    <s v=" Makrolon "/>
    <m/>
    <n v="0"/>
    <x v="472"/>
    <n v="0"/>
    <n v="47"/>
    <m/>
  </r>
  <r>
    <x v="2"/>
    <s v="RCS DEVICE"/>
    <s v="Button"/>
    <n v="130020670033985"/>
    <s v="JEE"/>
    <s v="unique"/>
    <s v="Plastic"/>
    <x v="2"/>
    <x v="1"/>
    <d v="2025-02-06T00:00:00"/>
    <n v="0.3"/>
    <n v="0.12"/>
    <n v="0.15"/>
    <n v="0.02"/>
    <n v="6.0000000000000001E-3"/>
    <n v="1"/>
    <n v="0.12"/>
    <n v="135000"/>
    <n v="135000"/>
    <x v="39"/>
    <x v="253"/>
    <s v="PC Makrolon 2456"/>
    <s v="orange"/>
    <n v="0.54"/>
    <s v=" Makrolon "/>
    <m/>
    <n v="0"/>
    <x v="473"/>
    <n v="0"/>
    <n v="73"/>
    <m/>
  </r>
  <r>
    <x v="2"/>
    <s v="RCS DEVICE"/>
    <s v="Button"/>
    <n v="130020670033984"/>
    <s v="JEE"/>
    <s v="unique"/>
    <s v="Plastic"/>
    <x v="2"/>
    <x v="1"/>
    <d v="2025-02-06T00:00:00"/>
    <n v="0.3"/>
    <n v="0.12"/>
    <n v="0.15"/>
    <n v="0.02"/>
    <n v="6.0000000000000001E-3"/>
    <n v="1"/>
    <n v="0.12"/>
    <n v="46586"/>
    <n v="46586"/>
    <x v="39"/>
    <x v="253"/>
    <s v="PC Makrolon 2456"/>
    <s v="yellow"/>
    <n v="0.54"/>
    <s v=" Makrolon "/>
    <m/>
    <n v="0"/>
    <x v="474"/>
    <n v="0"/>
    <n v="25"/>
    <m/>
  </r>
  <r>
    <x v="2"/>
    <s v="RCS DEVICE"/>
    <s v="Button"/>
    <n v="130020670033983"/>
    <s v="JEE"/>
    <s v="unique"/>
    <s v="Plastic"/>
    <x v="2"/>
    <x v="1"/>
    <d v="2025-02-06T00:00:00"/>
    <n v="0.3"/>
    <n v="0.12"/>
    <n v="0.15"/>
    <n v="0.02"/>
    <n v="6.0000000000000001E-3"/>
    <n v="1"/>
    <n v="0.12"/>
    <n v="71130"/>
    <n v="71130"/>
    <x v="39"/>
    <x v="253"/>
    <s v="PC Makrolon 2456"/>
    <s v="Light green"/>
    <n v="0.54"/>
    <s v=" Makrolon "/>
    <m/>
    <n v="0"/>
    <x v="475"/>
    <n v="0"/>
    <n v="38"/>
    <m/>
  </r>
  <r>
    <x v="2"/>
    <s v="RCS DEVICE"/>
    <s v="Button"/>
    <n v="130020670033964"/>
    <s v="JEE"/>
    <s v="unique"/>
    <s v="Plastic"/>
    <x v="2"/>
    <x v="1"/>
    <d v="2025-02-06T00:00:00"/>
    <n v="0.3"/>
    <n v="0.12"/>
    <n v="0.15"/>
    <n v="0.02"/>
    <n v="6.0000000000000001E-3"/>
    <n v="1"/>
    <n v="0.12"/>
    <n v="160000"/>
    <n v="160000"/>
    <x v="39"/>
    <x v="253"/>
    <s v="PC Makrolon 2456"/>
    <s v="blue"/>
    <n v="0.54"/>
    <s v=" Makrolon "/>
    <m/>
    <n v="0"/>
    <x v="476"/>
    <n v="0"/>
    <n v="86"/>
    <m/>
  </r>
  <r>
    <x v="2"/>
    <s v="RCS DEVICE"/>
    <s v="Light guide"/>
    <n v="130020670035243"/>
    <s v="JEE"/>
    <s v="unique"/>
    <s v="Plastic"/>
    <x v="2"/>
    <x v="1"/>
    <d v="2025-02-06T00:00:00"/>
    <n v="0.3"/>
    <n v="0.12"/>
    <n v="0.15"/>
    <n v="0.02"/>
    <n v="6.0000000000000001E-3"/>
    <n v="1"/>
    <n v="0.12"/>
    <n v="1018353"/>
    <n v="4553184"/>
    <x v="8"/>
    <x v="311"/>
    <s v="PC LUPOY GP1000ML"/>
    <s v="white"/>
    <n v="0.51"/>
    <s v=" LG "/>
    <m/>
    <n v="0"/>
    <x v="477"/>
    <n v="0"/>
    <n v="519"/>
    <m/>
  </r>
  <r>
    <x v="3"/>
    <s v="RCS POD"/>
    <s v="Cartomizer tube"/>
    <n v="130010390000214"/>
    <s v="JEE"/>
    <s v="unique"/>
    <s v="Plastic"/>
    <x v="2"/>
    <x v="1"/>
    <d v="2025-02-06T00:00:00"/>
    <n v="1"/>
    <n v="1.05"/>
    <n v="1.22"/>
    <n v="0.17"/>
    <n v="0.17"/>
    <n v="1"/>
    <n v="1.05"/>
    <n v="0"/>
    <n v="0"/>
    <x v="33"/>
    <x v="274"/>
    <s v=" PCTG TX1501HF "/>
    <s v="transparent"/>
    <n v="2.09"/>
    <s v=" Eastman "/>
    <m/>
    <n v="1.05"/>
    <x v="64"/>
    <n v="0"/>
    <s v=" -   "/>
    <s v="Indonesia- Black (Capex no including mold injection tools)"/>
  </r>
  <r>
    <x v="3"/>
    <s v="RCS POD"/>
    <s v="Cartomizer tube"/>
    <n v="130010390000214"/>
    <s v="JEE"/>
    <s v="unique"/>
    <s v="Plastic"/>
    <x v="2"/>
    <x v="1"/>
    <d v="2025-02-06T00:00:00"/>
    <n v="1"/>
    <n v="1.17"/>
    <n v="1.36"/>
    <n v="0.18"/>
    <n v="0.18"/>
    <n v="1"/>
    <n v="1.17"/>
    <n v="0"/>
    <n v="0"/>
    <x v="34"/>
    <x v="275"/>
    <s v=" PCTG TX1501HF "/>
    <s v="transparent"/>
    <n v="2.09"/>
    <s v=" Eastman "/>
    <m/>
    <n v="1.17"/>
    <x v="64"/>
    <n v="0"/>
    <s v=" -   "/>
    <s v="Indonesia- White(Capex no including mold injection tools)"/>
  </r>
  <r>
    <x v="4"/>
    <s v="HP"/>
    <s v="Botton cover"/>
    <s v="22150202014-14401849-00"/>
    <s v="JEE"/>
    <s v="X3 Pro/unibody/Core"/>
    <s v="Plastic"/>
    <x v="2"/>
    <x v="1"/>
    <d v="2025-02-06T00:00:00"/>
    <n v="0.4"/>
    <n v="2.3161999999999998"/>
    <n v="2.3161999999999998"/>
    <n v="0"/>
    <n v="0"/>
    <n v="1"/>
    <n v="2.3161999999999998"/>
    <n v="6000"/>
    <n v="2371599"/>
    <x v="12"/>
    <x v="312"/>
    <s v="RTP 299 AX 152528（PA+GF）"/>
    <s v="Black"/>
    <n v="1.56"/>
    <s v="  Ruicheng "/>
    <s v=" Painting "/>
    <n v="1.94"/>
    <x v="478"/>
    <n v="11640"/>
    <n v="295"/>
    <m/>
  </r>
  <r>
    <x v="9"/>
    <s v="HP"/>
    <s v="Botton cover"/>
    <s v="22150202014-15389489-00"/>
    <s v="JEE"/>
    <s v="X3 Pro/unibody/Core"/>
    <s v="Plastic"/>
    <x v="2"/>
    <x v="1"/>
    <d v="2025-02-06T00:00:00"/>
    <n v="0.4"/>
    <n v="2.3161999999999998"/>
    <n v="2.3161999999999998"/>
    <n v="0"/>
    <n v="0"/>
    <n v="1"/>
    <n v="2.3161999999999998"/>
    <n v="48000"/>
    <n v="48000"/>
    <x v="39"/>
    <x v="253"/>
    <s v="RTP 299 AX 152528（PA+GF）"/>
    <s v="Black"/>
    <n v="1.56"/>
    <s v="  Ruicheng "/>
    <s v=" Painting "/>
    <n v="1.94"/>
    <x v="479"/>
    <n v="93120"/>
    <n v="295"/>
    <m/>
  </r>
  <r>
    <x v="9"/>
    <s v="HP"/>
    <s v="Botton cover"/>
    <s v="22150202014-15389491-00"/>
    <s v="JEE"/>
    <s v="X3 Pro/unibody/Core"/>
    <s v="Plastic"/>
    <x v="2"/>
    <x v="1"/>
    <d v="2025-02-06T00:00:00"/>
    <n v="0.4"/>
    <n v="2.3161999999999998"/>
    <n v="2.3161999999999998"/>
    <n v="0"/>
    <n v="0"/>
    <n v="1"/>
    <n v="2.3161999999999998"/>
    <n v="15000"/>
    <n v="15000"/>
    <x v="39"/>
    <x v="253"/>
    <s v="RTP 299 AX 152528（PA+GF）"/>
    <s v="green"/>
    <n v="1.56"/>
    <s v="  Ruicheng "/>
    <s v=" Painting "/>
    <n v="1.94"/>
    <x v="480"/>
    <n v="29100"/>
    <n v="295"/>
    <m/>
  </r>
  <r>
    <x v="9"/>
    <s v="HP"/>
    <s v="Botton cover"/>
    <s v="22150202014-15389512-00"/>
    <s v="JEE"/>
    <s v="X3 Pro/unibody/Core"/>
    <s v="Plastic"/>
    <x v="2"/>
    <x v="1"/>
    <d v="2025-02-06T00:00:00"/>
    <n v="0.4"/>
    <n v="2.3161999999999998"/>
    <n v="2.3161999999999998"/>
    <n v="0"/>
    <n v="0"/>
    <n v="1"/>
    <n v="2.3161999999999998"/>
    <n v="6000"/>
    <n v="6000"/>
    <x v="39"/>
    <x v="253"/>
    <s v="RTP 299 AX 152528（PA+GF）"/>
    <s v="peach"/>
    <n v="1.56"/>
    <s v="  Ruicheng "/>
    <s v=" Painting "/>
    <n v="1.94"/>
    <x v="478"/>
    <n v="11640"/>
    <n v="295"/>
    <m/>
  </r>
  <r>
    <x v="9"/>
    <s v="HP"/>
    <s v="Botton cover"/>
    <s v="22150202014-17214720-00"/>
    <s v="JEE"/>
    <s v="X3 Pro/unibody/Core"/>
    <s v="Plastic"/>
    <x v="2"/>
    <x v="1"/>
    <d v="2025-02-06T00:00:00"/>
    <n v="0.4"/>
    <n v="2.3161999999999998"/>
    <n v="2.3161999999999998"/>
    <n v="0"/>
    <n v="0"/>
    <n v="1"/>
    <n v="2.3161999999999998"/>
    <n v="9642"/>
    <n v="9642"/>
    <x v="39"/>
    <x v="253"/>
    <s v="RTP 299 AX 152528（PA+GF）"/>
    <s v="Black"/>
    <n v="1.56"/>
    <m/>
    <m/>
    <m/>
    <x v="481"/>
    <n v="0"/>
    <n v="295"/>
    <s v="remove coating process"/>
  </r>
  <r>
    <x v="4"/>
    <s v="HP"/>
    <s v="Cleanout door"/>
    <s v="22150202015-16061490-00"/>
    <s v="JEE"/>
    <s v="X3 Pro/unibody/Core"/>
    <s v="Plastic"/>
    <x v="2"/>
    <x v="1"/>
    <d v="2025-02-06T00:00:00"/>
    <n v="0.6"/>
    <n v="1.5444"/>
    <n v="1.5444"/>
    <n v="0"/>
    <n v="0"/>
    <n v="1"/>
    <n v="1.5444"/>
    <n v="12500"/>
    <n v="40202622"/>
    <x v="13"/>
    <x v="313"/>
    <s v="PC:LG LUPOY SC1004L(panting(5 color))+_x000a_TPU:BASF ELASTONLLAN 1190A"/>
    <s v="Azure blue"/>
    <n v="1.75"/>
    <s v="  Ruicheng "/>
    <s v=" Painting "/>
    <n v="1.1399999999999999"/>
    <x v="482"/>
    <n v="14250"/>
    <n v="273"/>
    <m/>
  </r>
  <r>
    <x v="9"/>
    <s v="HP"/>
    <s v="Cleanout door"/>
    <s v="22150202015-16061372-00"/>
    <s v="JEE"/>
    <s v="X3 Pro/unibody/Core"/>
    <s v="Plastic"/>
    <x v="2"/>
    <x v="1"/>
    <d v="2025-02-06T00:00:00"/>
    <n v="0.6"/>
    <n v="1.5444"/>
    <n v="1.5444"/>
    <n v="0"/>
    <n v="0"/>
    <n v="1"/>
    <n v="1.5444"/>
    <n v="7820"/>
    <n v="7820"/>
    <x v="39"/>
    <x v="253"/>
    <s v="PC:LG LUPOY SC1004L(panting(5 color))+_x000a_TPU:BASF ELASTONLLAN 1190A"/>
    <s v="Black"/>
    <n v="1.75"/>
    <s v="  Ruicheng "/>
    <s v=" Painting "/>
    <n v="1.1399999999999999"/>
    <x v="483"/>
    <n v="8914.7999999999993"/>
    <n v="273"/>
    <m/>
  </r>
  <r>
    <x v="9"/>
    <s v="HP"/>
    <s v="Cleanout door"/>
    <s v="22150202015-16061560-00"/>
    <s v="JEE"/>
    <s v="X3 Pro/unibody/Core"/>
    <s v="Plastic"/>
    <x v="2"/>
    <x v="1"/>
    <d v="2025-02-06T00:00:00"/>
    <n v="0.6"/>
    <n v="1.5444"/>
    <n v="1.5444"/>
    <n v="0"/>
    <n v="0"/>
    <n v="1"/>
    <n v="1.5444"/>
    <n v="11206"/>
    <n v="11206"/>
    <x v="39"/>
    <x v="253"/>
    <s v="PC:LG LUPOY SC1004L(panting(5 color))+_x000a_TPU:BASF ELASTONLLAN 1190A"/>
    <s v="peach"/>
    <n v="1.75"/>
    <s v="  Ruicheng "/>
    <s v=" Painting "/>
    <n v="1.1399999999999999"/>
    <x v="484"/>
    <n v="12774.84"/>
    <n v="273"/>
    <m/>
  </r>
  <r>
    <x v="9"/>
    <s v="HP"/>
    <s v="Cleanout door"/>
    <s v="22150202015-16061491-00"/>
    <s v="JEE"/>
    <s v="X3 Pro/unibody/Core"/>
    <s v="Plastic"/>
    <x v="2"/>
    <x v="1"/>
    <d v="2025-02-06T00:00:00"/>
    <n v="0.6"/>
    <n v="1.5444"/>
    <n v="1.5444"/>
    <n v="0"/>
    <n v="0"/>
    <n v="1"/>
    <n v="1.5444"/>
    <n v="22440"/>
    <n v="22440"/>
    <x v="39"/>
    <x v="253"/>
    <s v="PC:LG LUPOY SC1004L(panting(5 color))+_x000a_TPU:BASF ELASTONLLAN 1190A"/>
    <s v="Mint green"/>
    <n v="1.75"/>
    <s v="  Ruicheng "/>
    <s v=" Painting "/>
    <n v="1.1399999999999999"/>
    <x v="485"/>
    <n v="25581.599999999999"/>
    <n v="273"/>
    <m/>
  </r>
  <r>
    <x v="4"/>
    <s v="HP"/>
    <s v="Button"/>
    <s v="22150202010-15185126-00"/>
    <s v="JEE"/>
    <s v="X3 Pro/unibody"/>
    <s v="Plastic"/>
    <x v="2"/>
    <x v="1"/>
    <d v="2025-02-06T00:00:00"/>
    <n v="0.4"/>
    <n v="0.91620000000000001"/>
    <n v="0.91620000000000001"/>
    <n v="0"/>
    <n v="0"/>
    <n v="1"/>
    <n v="0.91620000000000001"/>
    <n v="48000"/>
    <n v="2118113"/>
    <x v="14"/>
    <x v="314"/>
    <s v="PC:LG LUPOY SC1004L-Colored"/>
    <s v="peach"/>
    <n v="0.57999999999999996"/>
    <s v="  Ruicheng "/>
    <s v=" Painting "/>
    <n v="0.76"/>
    <x v="486"/>
    <n v="36480"/>
    <n v="113"/>
    <m/>
  </r>
  <r>
    <x v="9"/>
    <s v="HP"/>
    <s v="Button"/>
    <s v="22150202010-15918613-00"/>
    <s v="JEE"/>
    <s v="X3 Pro/unibody"/>
    <s v="Plastic"/>
    <x v="2"/>
    <x v="1"/>
    <d v="2025-02-06T00:00:00"/>
    <n v="0.4"/>
    <n v="0.91620000000000001"/>
    <n v="0.91620000000000001"/>
    <n v="0"/>
    <n v="0"/>
    <n v="1"/>
    <n v="0.91620000000000001"/>
    <n v="25704"/>
    <n v="25704"/>
    <x v="39"/>
    <x v="253"/>
    <s v="PC:LG LUPOY SC1004L-Colored"/>
    <s v="Vine violet"/>
    <n v="0.57999999999999996"/>
    <s v="  Ruicheng "/>
    <s v=" Painting "/>
    <n v="0.76"/>
    <x v="487"/>
    <n v="19535.04"/>
    <n v="113"/>
    <m/>
  </r>
  <r>
    <x v="4"/>
    <s v="HP"/>
    <s v="Crown Support"/>
    <s v="22150202008-14416668-00"/>
    <s v="JEE"/>
    <s v="X3 Pro"/>
    <s v="Plastic"/>
    <x v="2"/>
    <x v="1"/>
    <d v="2025-02-06T00:00:00"/>
    <n v="0.5"/>
    <n v="0.1278"/>
    <n v="0.1278"/>
    <n v="0"/>
    <n v="0"/>
    <n v="1"/>
    <n v="0.1278"/>
    <n v="37000"/>
    <n v="1363057"/>
    <x v="15"/>
    <x v="315"/>
    <s v="POM C9021 black"/>
    <s v="Black"/>
    <n v="0.76"/>
    <s v="  Ruicheng "/>
    <m/>
    <m/>
    <x v="488"/>
    <n v="0"/>
    <n v="58"/>
    <m/>
  </r>
  <r>
    <x v="4"/>
    <s v="HP"/>
    <s v="Connector frame"/>
    <s v="22150202017-15038886-00"/>
    <s v="JEE"/>
    <s v="X3 Pro"/>
    <s v="Plastic"/>
    <x v="2"/>
    <x v="1"/>
    <d v="2025-02-06T00:00:00"/>
    <n v="0.4"/>
    <n v="0.17249999999999999"/>
    <n v="0.17249999999999999"/>
    <n v="0"/>
    <n v="0"/>
    <n v="1"/>
    <n v="0.17249999999999999"/>
    <n v="109329"/>
    <n v="1192646"/>
    <x v="9"/>
    <x v="316"/>
    <s v="PC(PCR):LUPOY ER1000MA_RC00101"/>
    <s v="transparent"/>
    <n v="1.17"/>
    <s v="  Ruicheng "/>
    <m/>
    <m/>
    <x v="489"/>
    <n v="0"/>
    <n v="34"/>
    <m/>
  </r>
  <r>
    <x v="4"/>
    <s v="HP"/>
    <s v="Spin Wheel"/>
    <s v="22150202009-14416414-00"/>
    <s v="JEE"/>
    <s v="X3 Pro/unibody/Core"/>
    <s v="Plastic"/>
    <x v="2"/>
    <x v="1"/>
    <d v="2025-02-06T00:00:00"/>
    <n v="0.5"/>
    <n v="0.1285"/>
    <n v="0.1285"/>
    <n v="0"/>
    <n v="0"/>
    <n v="1"/>
    <n v="0.1285"/>
    <n v="140000"/>
    <n v="3017540"/>
    <x v="9"/>
    <x v="317"/>
    <s v=" PC:LG LUPOY SC1004L-Colored "/>
    <s v="Black"/>
    <n v="0.7"/>
    <s v=" Ruicheng"/>
    <m/>
    <m/>
    <x v="490"/>
    <n v="0"/>
    <n v="185"/>
    <m/>
  </r>
  <r>
    <x v="4"/>
    <s v="HP"/>
    <s v="Display bracket"/>
    <s v="22150202021-14416669-00"/>
    <s v="JEE"/>
    <s v="X3 Pro/unibody/Core"/>
    <s v="Plastic"/>
    <x v="2"/>
    <x v="1"/>
    <d v="2025-02-06T00:00:00"/>
    <n v="0.6"/>
    <n v="2.5636999999999999"/>
    <n v="2.5636999999999999"/>
    <n v="0"/>
    <n v="0"/>
    <n v="1"/>
    <n v="2.5636999999999999"/>
    <n v="126252"/>
    <n v="2846979"/>
    <x v="16"/>
    <x v="318"/>
    <s v="PC  PCRLUPOY GP1000MA BC90515 40%半透黑"/>
    <s v="Black"/>
    <n v="3.41"/>
    <s v=" Ruicheng"/>
    <s v=" Painting "/>
    <n v="1.76"/>
    <x v="491"/>
    <n v="222203.51999999999"/>
    <n v="618"/>
    <m/>
  </r>
  <r>
    <x v="4"/>
    <s v="HP"/>
    <s v=" PCBA Bracket "/>
    <s v="22150202018-14416761-00"/>
    <s v="JEE"/>
    <s v="X3 Pro/unibody/Core"/>
    <s v="Plastic"/>
    <x v="2"/>
    <x v="1"/>
    <d v="2025-02-06T00:00:00"/>
    <n v="0.4"/>
    <n v="0.1608"/>
    <n v="0.1608"/>
    <n v="0"/>
    <n v="0"/>
    <n v="1"/>
    <n v="0.1608"/>
    <n v="71965"/>
    <n v="3115274"/>
    <x v="9"/>
    <x v="319"/>
    <s v="PC+50%PCR LUPOY ER1004N BC90513 black"/>
    <s v="Black"/>
    <n v="1.1200000000000001"/>
    <s v="  Ruicheng "/>
    <m/>
    <n v="0"/>
    <x v="492"/>
    <n v="0"/>
    <n v="322"/>
    <m/>
  </r>
  <r>
    <x v="4"/>
    <s v="HP"/>
    <s v=" Shut Door"/>
    <s v="22150202007-14416663-00"/>
    <s v="JEE"/>
    <s v="X3 Hyper Pro/uinbody pro/core"/>
    <s v="Plastic"/>
    <x v="2"/>
    <x v="1"/>
    <d v="2025-02-06T00:00:00"/>
    <n v="0.5"/>
    <n v="0.12280000000000001"/>
    <n v="0.12280000000000001"/>
    <n v="0"/>
    <n v="0"/>
    <n v="1"/>
    <n v="0.12280000000000001"/>
    <n v="157000"/>
    <n v="3603785"/>
    <x v="17"/>
    <x v="320"/>
    <s v="POM C9021 black"/>
    <s v="Black"/>
    <n v="0.52"/>
    <s v="  Ruicheng "/>
    <m/>
    <m/>
    <x v="493"/>
    <n v="0"/>
    <n v="133"/>
    <m/>
  </r>
  <r>
    <x v="5"/>
    <s v="HP"/>
    <s v="Crown Support"/>
    <s v="23590202001-15365695-00"/>
    <s v="JEE"/>
    <s v="X3 uinbody /core"/>
    <s v="Plastic"/>
    <x v="2"/>
    <x v="1"/>
    <d v="2025-02-06T00:00:00"/>
    <n v="0.5"/>
    <n v="0.12559999999999999"/>
    <n v="0.12559999999999999"/>
    <n v="0"/>
    <n v="0"/>
    <n v="1"/>
    <n v="0.12559999999999999"/>
    <n v="30964"/>
    <n v="2301912"/>
    <x v="9"/>
    <x v="321"/>
    <s v="PC LG LUPOY SC1004L"/>
    <s v="Black"/>
    <n v="0.7"/>
    <s v="  Ruicheng "/>
    <m/>
    <m/>
    <x v="494"/>
    <n v="0"/>
    <n v="167"/>
    <m/>
  </r>
  <r>
    <x v="5"/>
    <s v="HP"/>
    <s v="Connector frame"/>
    <s v="23590202001-15038886-00"/>
    <s v="JEE"/>
    <s v="X3 Hyper core/unibody"/>
    <s v="Plastic"/>
    <x v="2"/>
    <x v="1"/>
    <d v="2025-02-06T00:00:00"/>
    <n v="0.4"/>
    <n v="0.2757"/>
    <n v="0.2757"/>
    <n v="0"/>
    <n v="0"/>
    <n v="1"/>
    <n v="0.2757"/>
    <n v="109329"/>
    <n v="1794085"/>
    <x v="18"/>
    <x v="322"/>
    <s v="PC+50%PCR LUPOY ER1000MA BC90515 （80%）透光"/>
    <s v="transparent"/>
    <n v="1.72"/>
    <s v="  Ruicheng "/>
    <m/>
    <m/>
    <x v="495"/>
    <n v="0"/>
    <n v="226"/>
    <m/>
  </r>
  <r>
    <x v="5"/>
    <s v="HP"/>
    <s v="Battery carrier"/>
    <s v="23480202012-16562410-00"/>
    <s v="JEE"/>
    <s v="X3 Core"/>
    <s v="Plastic"/>
    <x v="2"/>
    <x v="1"/>
    <d v="2025-02-06T00:00:00"/>
    <n v="0.4"/>
    <n v="0.80869999999999997"/>
    <n v="1.0757000000000001"/>
    <n v="0.26700000000000002"/>
    <n v="0.10680000000000001"/>
    <n v="1"/>
    <n v="0.80869999999999997"/>
    <n v="30096"/>
    <n v="893267"/>
    <x v="19"/>
    <x v="323"/>
    <s v="PC+75%PCR LUPOY ER1006FZ BC90513"/>
    <s v="Black"/>
    <n v="5.75"/>
    <s v="  Ruicheng "/>
    <m/>
    <m/>
    <x v="496"/>
    <n v="0"/>
    <n v="218"/>
    <m/>
  </r>
  <r>
    <x v="5"/>
    <s v="HP"/>
    <s v="Shutter Door Support"/>
    <s v="23480202005-16562024-00"/>
    <s v="JEE"/>
    <s v="X3 uinbody pro/core"/>
    <s v="Plastic"/>
    <x v="2"/>
    <x v="1"/>
    <d v="2025-02-06T00:00:00"/>
    <n v="0.6"/>
    <n v="0.61240000000000006"/>
    <n v="0.79039999999999999"/>
    <n v="0.17799999999999999"/>
    <n v="0.10679999999999999"/>
    <n v="1"/>
    <n v="0.61240000000000006"/>
    <n v="91481"/>
    <n v="1703947"/>
    <x v="19"/>
    <x v="324"/>
    <s v="PC+50%PCR LUPOY ER1004N BC90513+_x000a_BASF TPU 60A ELASTOLLAN  SP9324 BLACK"/>
    <s v="Black"/>
    <n v="3.27"/>
    <s v="  Ruicheng "/>
    <m/>
    <m/>
    <x v="497"/>
    <n v="0"/>
    <n v="404"/>
    <m/>
  </r>
  <r>
    <x v="5"/>
    <s v="HP"/>
    <s v="Button Bracket"/>
    <s v="23480202011-16562262-00"/>
    <s v="JEE"/>
    <s v="X3 Core"/>
    <s v="Plastic"/>
    <x v="2"/>
    <x v="1"/>
    <d v="2025-02-06T00:00:00"/>
    <n v="0.5"/>
    <n v="0.29380000000000001"/>
    <n v="0.41710000000000003"/>
    <n v="0.12330000000000001"/>
    <n v="6.1650000000000003E-2"/>
    <n v="1"/>
    <n v="0.29380000000000001"/>
    <n v="36800"/>
    <n v="1210735"/>
    <x v="21"/>
    <x v="325"/>
    <s v="PC+50%PCR LUPOY ER1004N BC90513 black"/>
    <s v="Black"/>
    <n v="1.78"/>
    <s v="  Ruicheng "/>
    <m/>
    <m/>
    <x v="498"/>
    <n v="0"/>
    <s v=" -   "/>
    <m/>
  </r>
  <r>
    <x v="5"/>
    <s v="HP"/>
    <s v="Button"/>
    <s v="23480202017-16869567-00"/>
    <s v="JEE"/>
    <s v="X3 Core"/>
    <s v="Plastic"/>
    <x v="2"/>
    <x v="1"/>
    <d v="2025-02-06T00:00:00"/>
    <n v="0.5"/>
    <n v="1.0629"/>
    <n v="1.1322000000000001"/>
    <n v="6.93E-2"/>
    <n v="3.465E-2"/>
    <n v="1"/>
    <n v="1.0629"/>
    <n v="14260"/>
    <n v="1147784"/>
    <x v="22"/>
    <x v="326"/>
    <s v="LUPOY ER1000MA E6098"/>
    <s v="transparent black"/>
    <n v="2.38"/>
    <s v="  Ruicheng "/>
    <s v=" Painting "/>
    <n v="0.8"/>
    <x v="499"/>
    <n v="11408"/>
    <n v="286"/>
    <m/>
  </r>
  <r>
    <x v="5"/>
    <s v="HP"/>
    <s v="Button"/>
    <s v="23480202017-16917637-00"/>
    <s v="JEE"/>
    <s v="X3 Core"/>
    <s v="Plastic"/>
    <x v="2"/>
    <x v="1"/>
    <d v="2025-02-06T00:00:00"/>
    <n v="0.5"/>
    <n v="1.0629"/>
    <n v="1.1322000000000001"/>
    <n v="6.93E-2"/>
    <n v="3.465E-2"/>
    <n v="1"/>
    <n v="1.0629"/>
    <n v="24500"/>
    <n v="24500"/>
    <x v="39"/>
    <x v="253"/>
    <s v="LUPOY ER1000MA E6098"/>
    <s v="transparent grey"/>
    <n v="2.38"/>
    <s v="  Ruicheng "/>
    <s v=" Painting "/>
    <n v="0.8"/>
    <x v="500"/>
    <n v="19600"/>
    <n v="286"/>
    <m/>
  </r>
  <r>
    <x v="5"/>
    <s v="HP"/>
    <s v="Light guide"/>
    <s v="23480202018-16562213-00"/>
    <s v="JEE"/>
    <s v="X3 Core"/>
    <s v="Plastic"/>
    <x v="2"/>
    <x v="1"/>
    <d v="2025-02-06T00:00:00"/>
    <n v="0.4"/>
    <n v="0.41389999999999999"/>
    <n v="0.54320000000000002"/>
    <n v="0.1293"/>
    <n v="5.1720000000000002E-2"/>
    <n v="1"/>
    <n v="0.41389999999999999"/>
    <n v="29000"/>
    <n v="29000"/>
    <x v="23"/>
    <x v="327"/>
    <s v="PC:LG LUPOY GP1000M  透明（1st shot)_x000a_BASF TPU 60A ELASTOLLAN  SP9324 BLACK（2nd shot)"/>
    <s v="Black"/>
    <n v="3.67"/>
    <s v="  Ruicheng "/>
    <m/>
    <m/>
    <x v="501"/>
    <n v="0"/>
    <n v="257"/>
    <m/>
  </r>
  <r>
    <x v="5"/>
    <s v="HP"/>
    <s v="Crown Support"/>
    <n v="23590202001"/>
    <s v="JEE"/>
    <s v="X3 Core"/>
    <s v="Plastic"/>
    <x v="2"/>
    <x v="1"/>
    <d v="2025-02-06T00:00:00"/>
    <n v="0.4"/>
    <m/>
    <m/>
    <m/>
    <n v="0"/>
    <m/>
    <n v="0"/>
    <m/>
    <m/>
    <x v="40"/>
    <x v="299"/>
    <m/>
    <m/>
    <m/>
    <m/>
    <m/>
    <m/>
    <x v="446"/>
    <m/>
    <m/>
    <s v="ECN cost pending for amortized_x000a_no indicated to product"/>
  </r>
  <r>
    <x v="10"/>
    <s v="MODI"/>
    <s v="protective shell"/>
    <n v="120040670018926"/>
    <s v="JEE"/>
    <s v="unique"/>
    <s v="Metal"/>
    <x v="1"/>
    <x v="0"/>
    <d v="2025-02-06T00:00:00"/>
    <n v="0.3"/>
    <n v="0.42570000000000002"/>
    <n v="0.42709999999999998"/>
    <n v="1.3999999999999568E-3"/>
    <n v="4.1999999999998706E-4"/>
    <n v="1"/>
    <n v="0.42570000000000002"/>
    <n v="375686"/>
    <n v="11211518"/>
    <x v="41"/>
    <x v="328"/>
    <s v=" Al6063 "/>
    <s v="Primary colour"/>
    <n v="8.3000000000000007"/>
    <s v=" Weihua "/>
    <m/>
    <n v="0"/>
    <x v="502"/>
    <n v="0"/>
    <n v="89937.41"/>
    <s v="From Jan -Dec 2024"/>
  </r>
  <r>
    <x v="10"/>
    <s v="MODI"/>
    <s v="protective shell"/>
    <n v="120040670018926"/>
    <s v="JEE"/>
    <s v="unique"/>
    <s v="Metal"/>
    <x v="2"/>
    <x v="1"/>
    <d v="2025-02-06T00:00:00"/>
    <n v="0.3"/>
    <n v="0.42570000000000002"/>
    <n v="0.42709999999999998"/>
    <n v="1.3999999999999568E-3"/>
    <n v="4.1999999999998706E-4"/>
    <n v="1"/>
    <n v="0.42570000000000002"/>
    <n v="375686"/>
    <n v="11211518"/>
    <x v="41"/>
    <x v="329"/>
    <s v=" Al6063 "/>
    <s v="Primary colour"/>
    <n v="8.3000000000000007"/>
    <s v=" Weihua "/>
    <m/>
    <n v="0"/>
    <x v="503"/>
    <n v="0"/>
    <n v="3118"/>
    <m/>
  </r>
  <r>
    <x v="11"/>
    <s v="MODI"/>
    <s v="protective shell"/>
    <n v="120040670025620"/>
    <s v="JEE"/>
    <s v="unique"/>
    <s v="Metal"/>
    <x v="1"/>
    <x v="0"/>
    <d v="2025-02-06T00:00:00"/>
    <n v="0.3"/>
    <n v="0.92"/>
    <n v="0.92"/>
    <n v="0"/>
    <n v="0"/>
    <n v="1"/>
    <n v="0.92"/>
    <n v="194058"/>
    <n v="227558"/>
    <x v="4"/>
    <x v="268"/>
    <s v=" Al6063 "/>
    <s v="Primary colour"/>
    <n v="12.43"/>
    <s v=" Weihua "/>
    <m/>
    <n v="0"/>
    <x v="504"/>
    <n v="0"/>
    <n v="87720.47"/>
    <s v="From Jan -Dec 2024"/>
  </r>
  <r>
    <x v="11"/>
    <s v="MODI"/>
    <s v="protective shell"/>
    <n v="120040670025620"/>
    <s v="JEE"/>
    <s v="unique"/>
    <s v="Metal"/>
    <x v="2"/>
    <x v="1"/>
    <d v="2025-02-06T00:00:00"/>
    <n v="0.3"/>
    <n v="0.92"/>
    <n v="0.92"/>
    <n v="0"/>
    <n v="0"/>
    <n v="1"/>
    <n v="0.92"/>
    <n v="-204"/>
    <n v="7056954"/>
    <x v="4"/>
    <x v="268"/>
    <s v=" Al6063 "/>
    <s v="Primary colour"/>
    <n v="12.43"/>
    <s v=" Weihua "/>
    <m/>
    <n v="0"/>
    <x v="505"/>
    <n v="0"/>
    <n v="-2.54"/>
    <m/>
  </r>
  <r>
    <x v="12"/>
    <s v="MODI"/>
    <s v="protective shell"/>
    <n v="120040670017654"/>
    <s v="JEE"/>
    <s v="unique"/>
    <s v="Metal"/>
    <x v="1"/>
    <x v="0"/>
    <d v="2025-02-06T00:00:00"/>
    <n v="0.3"/>
    <n v="0.34651649899687498"/>
    <n v="0.34739999999999999"/>
    <n v="8.8350100312500901E-4"/>
    <n v="2.6505030093750269E-4"/>
    <n v="1"/>
    <n v="0.34651649899687498"/>
    <n v="10495800"/>
    <n v="501021154"/>
    <x v="42"/>
    <x v="330"/>
    <s v=" Al6063 "/>
    <s v="Primary colour"/>
    <n v="7.2"/>
    <s v=" Weihua "/>
    <m/>
    <n v="0"/>
    <x v="506"/>
    <n v="0"/>
    <n v="241.2"/>
    <s v="From Jan -Dec 2024"/>
  </r>
  <r>
    <x v="12"/>
    <s v="MODI"/>
    <s v="protective shell"/>
    <n v="120040670017654"/>
    <s v="JEE"/>
    <s v="unique"/>
    <s v="Metal"/>
    <x v="2"/>
    <x v="1"/>
    <d v="2025-02-06T00:00:00"/>
    <n v="0.3"/>
    <n v="0.34651649899687498"/>
    <n v="0.36"/>
    <n v="1.3483501003125009E-2"/>
    <n v="4.0450503009375029E-3"/>
    <n v="1"/>
    <n v="0.34651649899687498"/>
    <n v="194058"/>
    <n v="227558"/>
    <x v="42"/>
    <x v="331"/>
    <s v=" Al6063 "/>
    <s v="Primary colour"/>
    <n v="7.2"/>
    <s v=" Weihua "/>
    <m/>
    <n v="0"/>
    <x v="507"/>
    <n v="0"/>
    <n v="1397.22"/>
    <m/>
  </r>
  <r>
    <x v="8"/>
    <s v="RCS DEVICE"/>
    <s v="Battery holder"/>
    <n v="130020390000222"/>
    <s v="JEE"/>
    <s v="unique"/>
    <s v="Plastic"/>
    <x v="1"/>
    <x v="0"/>
    <d v="2025-02-06T00:00:00"/>
    <n v="0.5"/>
    <n v="0.42"/>
    <n v="0.42"/>
    <n v="0"/>
    <n v="0"/>
    <n v="1"/>
    <n v="0.42"/>
    <n v="10621000"/>
    <n v="520688511"/>
    <x v="43"/>
    <x v="50"/>
    <s v="PC2456"/>
    <s v="Black"/>
    <n v="2.09"/>
    <s v="Makrolon"/>
    <m/>
    <n v="0"/>
    <x v="508"/>
    <n v="0"/>
    <n v="0"/>
    <m/>
  </r>
  <r>
    <x v="8"/>
    <s v="RCS DEVICE"/>
    <s v="Battery holder"/>
    <n v="130020390000222"/>
    <s v="JEE"/>
    <s v="unique"/>
    <s v="Plastic"/>
    <x v="2"/>
    <x v="1"/>
    <d v="2025-02-06T00:00:00"/>
    <n v="0.5"/>
    <n v="0.42"/>
    <n v="0.42"/>
    <n v="0"/>
    <n v="0"/>
    <n v="1"/>
    <n v="0.42"/>
    <n v="500000"/>
    <n v="14108401"/>
    <x v="43"/>
    <x v="50"/>
    <s v=" PCTG TX1501HF "/>
    <s v="Black"/>
    <n v="2.09"/>
    <s v="Makrolon"/>
    <m/>
    <n v="0"/>
    <x v="509"/>
    <n v="0"/>
    <n v="1045"/>
    <m/>
  </r>
  <r>
    <x v="6"/>
    <s v="RCS POD"/>
    <s v="Cartomizer tube"/>
    <n v="130010390000214"/>
    <s v="JEE"/>
    <s v="unique"/>
    <s v="Plastic"/>
    <x v="2"/>
    <x v="1"/>
    <d v="2025-02-06T00:00:00"/>
    <n v="0.5"/>
    <n v="0.25"/>
    <n v="0.28000000000000003"/>
    <n v="0.03"/>
    <n v="1.4999999999999999E-2"/>
    <n v="1"/>
    <n v="0.25"/>
    <n v="10495800"/>
    <n v="501021154"/>
    <x v="44"/>
    <x v="332"/>
    <s v=" PCTG TX1501HF "/>
    <s v="transparent"/>
    <n v="2.09"/>
    <s v=" Eastman "/>
    <m/>
    <n v="0"/>
    <x v="510"/>
    <n v="0"/>
    <n v="21936"/>
    <s v="Indonesia"/>
  </r>
  <r>
    <x v="6"/>
    <s v="RCS POD"/>
    <s v="Heating holder"/>
    <n v="130010390000215"/>
    <s v="JEE"/>
    <s v="unique"/>
    <s v="Plastic"/>
    <x v="2"/>
    <x v="1"/>
    <d v="2025-02-06T00:00:00"/>
    <n v="0.5"/>
    <n v="0.08"/>
    <n v="0.09"/>
    <n v="0.01"/>
    <n v="5.0000000000000001E-3"/>
    <n v="1"/>
    <n v="0.08"/>
    <n v="10613000"/>
    <n v="512538534"/>
    <x v="45"/>
    <x v="333"/>
    <s v=" PCTG TX1501HF "/>
    <s v="transparent"/>
    <n v="0.31"/>
    <s v=" Eastman "/>
    <m/>
    <n v="0"/>
    <x v="511"/>
    <n v="0"/>
    <n v="3290"/>
    <s v="Indonesia"/>
  </r>
  <r>
    <x v="6"/>
    <s v="RCS POD"/>
    <s v="Heater top cover"/>
    <n v="130010390000216"/>
    <s v="JEE"/>
    <s v="unique"/>
    <s v="Plastic"/>
    <x v="2"/>
    <x v="1"/>
    <d v="2025-02-06T00:00:00"/>
    <n v="0.5"/>
    <n v="0.09"/>
    <n v="0.1"/>
    <n v="0.01"/>
    <n v="5.0000000000000001E-3"/>
    <n v="1"/>
    <n v="0.09"/>
    <n v="10621000"/>
    <n v="520688511"/>
    <x v="46"/>
    <x v="334"/>
    <s v=" PCTG TX1501HF "/>
    <s v="transparent"/>
    <n v="0.5"/>
    <s v=" Eastman "/>
    <m/>
    <n v="0"/>
    <x v="512"/>
    <n v="0"/>
    <n v="5311"/>
    <s v="Indonesia"/>
  </r>
  <r>
    <x v="6"/>
    <s v="RCS POD"/>
    <s v="Cartomizer holder tap"/>
    <n v="130010390000221"/>
    <s v="JEE"/>
    <s v="unique"/>
    <s v="Plastic"/>
    <x v="2"/>
    <x v="1"/>
    <d v="2025-02-06T00:00:00"/>
    <n v="0.5"/>
    <n v="0.11"/>
    <n v="0.12"/>
    <n v="0.01"/>
    <n v="5.0000000000000001E-3"/>
    <n v="1"/>
    <n v="0.11"/>
    <n v="10572000"/>
    <n v="517919613"/>
    <x v="47"/>
    <x v="335"/>
    <s v="PC2456"/>
    <s v="Black"/>
    <n v="1.29"/>
    <s v="Covestro"/>
    <m/>
    <n v="0"/>
    <x v="513"/>
    <n v="0"/>
    <n v="13638"/>
    <s v="Indonesia"/>
  </r>
  <r>
    <x v="6"/>
    <s v="RCS POD"/>
    <s v="Cartomizer tube"/>
    <n v="130010390000214"/>
    <s v="JEE"/>
    <s v="unique"/>
    <s v="Plastic"/>
    <x v="2"/>
    <x v="1"/>
    <d v="2025-02-06T00:00:00"/>
    <n v="0.5"/>
    <n v="0.25"/>
    <n v="0.28000000000000003"/>
    <n v="0.03"/>
    <n v="1.4999999999999999E-2"/>
    <n v="1"/>
    <n v="0.25"/>
    <m/>
    <n v="0"/>
    <x v="48"/>
    <x v="304"/>
    <s v=" PCTG TX1501HF "/>
    <s v="transparent"/>
    <n v="2.09"/>
    <s v=" Eastman "/>
    <m/>
    <n v="0"/>
    <x v="64"/>
    <n v="0"/>
    <s v=" -   "/>
    <s v="Indonesia-New tool"/>
  </r>
  <r>
    <x v="6"/>
    <s v="RCS POD"/>
    <s v="Heating holder"/>
    <n v="130010390000215"/>
    <s v="JEE"/>
    <s v="unique"/>
    <s v="Plastic"/>
    <x v="2"/>
    <x v="1"/>
    <d v="2025-02-06T00:00:00"/>
    <n v="0.5"/>
    <n v="0.08"/>
    <n v="0.09"/>
    <n v="0.02"/>
    <n v="0.01"/>
    <n v="1"/>
    <n v="0.08"/>
    <m/>
    <n v="0"/>
    <x v="49"/>
    <x v="305"/>
    <s v=" PCTG TX1501HF "/>
    <s v="transparent"/>
    <n v="0.31"/>
    <s v=" Eastman "/>
    <m/>
    <n v="0"/>
    <x v="64"/>
    <n v="0"/>
    <s v=" -   "/>
    <s v="Indonesia-New tool"/>
  </r>
  <r>
    <x v="6"/>
    <s v="RCS POD"/>
    <s v="Heater top cover"/>
    <n v="130010390000216"/>
    <s v="JEE"/>
    <s v="unique"/>
    <s v="Plastic"/>
    <x v="2"/>
    <x v="1"/>
    <d v="2025-02-06T00:00:00"/>
    <n v="0.5"/>
    <n v="0.09"/>
    <n v="0.1"/>
    <n v="0.02"/>
    <n v="0.01"/>
    <n v="1"/>
    <n v="0.09"/>
    <m/>
    <n v="0"/>
    <x v="49"/>
    <x v="305"/>
    <s v=" PCTG TX1501HF "/>
    <s v="transparent"/>
    <n v="0.5"/>
    <s v=" Eastman "/>
    <m/>
    <n v="0"/>
    <x v="64"/>
    <n v="0"/>
    <s v=" -   "/>
    <s v="Indonesia-New tool"/>
  </r>
  <r>
    <x v="6"/>
    <s v="RCS POD"/>
    <s v="Cartomizer holder tap"/>
    <n v="130010390000221"/>
    <s v="JEE"/>
    <s v="unique"/>
    <s v="Plastic"/>
    <x v="2"/>
    <x v="1"/>
    <d v="2025-02-06T00:00:00"/>
    <n v="0.5"/>
    <n v="0.11"/>
    <n v="0.13"/>
    <n v="0.01"/>
    <n v="5.0000000000000001E-3"/>
    <n v="1"/>
    <n v="0.11"/>
    <m/>
    <n v="0"/>
    <x v="50"/>
    <x v="306"/>
    <s v="PC2456"/>
    <s v="Black"/>
    <n v="1.29"/>
    <s v="Covestro"/>
    <m/>
    <n v="0"/>
    <x v="64"/>
    <n v="0"/>
    <s v=" -   "/>
    <s v="Indonesia-New tool"/>
  </r>
  <r>
    <x v="13"/>
    <s v="HP"/>
    <s v="Housing"/>
    <s v="240000090201004"/>
    <s v="JEE"/>
    <s v="unique"/>
    <s v="Metal"/>
    <x v="2"/>
    <x v="1"/>
    <d v="2025-02-06T00:00:00"/>
    <n v="0.5"/>
    <n v="24.844000000000001"/>
    <n v="25.105"/>
    <n v="0.26099999999999923"/>
    <n v="0.13049999999999962"/>
    <n v="1"/>
    <n v="24.844000000000001"/>
    <n v="0"/>
    <n v="0"/>
    <x v="51"/>
    <x v="336"/>
    <s v="Al6063"/>
    <m/>
    <n v="19.760000000000002"/>
    <s v="weihua"/>
    <m/>
    <n v="11.66"/>
    <x v="64"/>
    <n v="0"/>
    <s v=" -   "/>
    <m/>
  </r>
  <r>
    <x v="13"/>
    <s v="HP"/>
    <s v="Top cover"/>
    <s v="240000090201003"/>
    <s v="JEE"/>
    <s v="unique"/>
    <s v="Metal"/>
    <x v="2"/>
    <x v="1"/>
    <d v="2025-02-06T00:00:00"/>
    <n v="0.5"/>
    <n v="20.678999999999998"/>
    <n v="20.806999999999999"/>
    <n v="0.12800000000000011"/>
    <n v="6.4000000000000057E-2"/>
    <n v="1"/>
    <n v="20.678999999999998"/>
    <n v="0"/>
    <n v="0"/>
    <x v="52"/>
    <x v="337"/>
    <s v="Al6063"/>
    <m/>
    <n v="20.6"/>
    <s v="jinqiao"/>
    <m/>
    <n v="8.9499999999999993"/>
    <x v="64"/>
    <n v="0"/>
    <s v=" -   "/>
    <m/>
  </r>
  <r>
    <x v="13"/>
    <s v="HP"/>
    <s v="Slider bracket"/>
    <s v="240000090201001"/>
    <s v="JEE"/>
    <s v="unique"/>
    <s v="Metal"/>
    <x v="2"/>
    <x v="1"/>
    <d v="2025-02-06T00:00:00"/>
    <n v="0.5"/>
    <n v="2.44"/>
    <n v="2.4569999999999999"/>
    <n v="1.6999999999999904E-2"/>
    <n v="8.499999999999952E-3"/>
    <n v="1"/>
    <n v="2.44"/>
    <n v="0"/>
    <n v="0"/>
    <x v="53"/>
    <x v="338"/>
    <s v="Al6063"/>
    <m/>
    <n v="4.01"/>
    <s v="jinqiao"/>
    <m/>
    <n v="0.11"/>
    <x v="64"/>
    <n v="0"/>
    <s v=" -   "/>
    <m/>
  </r>
  <r>
    <x v="13"/>
    <s v="HP"/>
    <s v="Slider cover"/>
    <n v="240000090201002"/>
    <s v="JEE"/>
    <s v="unique"/>
    <s v="Metal"/>
    <x v="2"/>
    <x v="1"/>
    <d v="2025-02-06T00:00:00"/>
    <n v="0.5"/>
    <n v="2.0219999999999998"/>
    <n v="2.0299999999999998"/>
    <n v="8.0000000000000071E-3"/>
    <n v="4.0000000000000036E-3"/>
    <n v="1"/>
    <n v="2.0219999999999998"/>
    <n v="0"/>
    <n v="0"/>
    <x v="54"/>
    <x v="339"/>
    <s v="Al6063"/>
    <m/>
    <n v="2.7"/>
    <s v="jinqiao"/>
    <m/>
    <n v="0.17"/>
    <x v="64"/>
    <n v="0"/>
    <s v=" -   "/>
    <m/>
  </r>
  <r>
    <x v="7"/>
    <s v="RCS DEVICE"/>
    <s v=" Prismatic Silver Device"/>
    <s v="120020670049784"/>
    <s v="JEE"/>
    <s v="unique"/>
    <s v="Metal"/>
    <x v="2"/>
    <x v="2"/>
    <d v="2025-03-07T00:00:00"/>
    <n v="0.5"/>
    <n v="27.14"/>
    <n v="27.14"/>
    <n v="0"/>
    <n v="0"/>
    <n v="1"/>
    <n v="27.14"/>
    <n v="0"/>
    <n v="1370117"/>
    <x v="4"/>
    <x v="50"/>
    <s v=" Al6063 "/>
    <s v="Black silver"/>
    <n v="5.3"/>
    <s v=" Weihua "/>
    <m/>
    <n v="12.95"/>
    <x v="64"/>
    <n v="0"/>
    <s v=" -   "/>
    <m/>
  </r>
  <r>
    <x v="7"/>
    <s v="RCS DEVICE"/>
    <s v=" Prismatic  Device"/>
    <s v="120020670039294"/>
    <s v="JEE"/>
    <s v="unique"/>
    <s v="Metal"/>
    <x v="2"/>
    <x v="2"/>
    <d v="2025-03-07T00:00:00"/>
    <n v="0.5"/>
    <n v="27.14"/>
    <n v="27.14"/>
    <n v="0"/>
    <n v="0"/>
    <n v="1"/>
    <n v="27.14"/>
    <n v="0"/>
    <n v="1347470"/>
    <x v="4"/>
    <x v="50"/>
    <s v=" Al6063 "/>
    <s v="Black gold"/>
    <n v="5.3"/>
    <s v=" Weihua "/>
    <m/>
    <n v="12.95"/>
    <x v="64"/>
    <n v="0"/>
    <s v=" -   "/>
    <m/>
  </r>
  <r>
    <x v="8"/>
    <s v="RCS DEVICE"/>
    <s v="Alto Device-normal color"/>
    <s v="N/A"/>
    <s v="JEE"/>
    <s v="unique"/>
    <s v="Metal"/>
    <x v="2"/>
    <x v="2"/>
    <d v="2025-03-07T00:00:00"/>
    <n v="0.5"/>
    <n v="3.4611000000000001"/>
    <n v="3.4611000000000001"/>
    <n v="0"/>
    <n v="0"/>
    <n v="1"/>
    <n v="3.4611000000000001"/>
    <n v="0"/>
    <n v="3920086"/>
    <x v="4"/>
    <x v="50"/>
    <s v=" Al6063 "/>
    <m/>
    <n v="5.3"/>
    <s v=" Kecheng "/>
    <s v="Anodizing"/>
    <n v="2.5499999999999998"/>
    <x v="64"/>
    <n v="0"/>
    <n v="0"/>
    <m/>
  </r>
  <r>
    <x v="6"/>
    <s v="RCS POD"/>
    <s v="cartomizer bottom cover"/>
    <n v="130010660052557"/>
    <s v="JEE"/>
    <s v="unique"/>
    <s v="Metal"/>
    <x v="2"/>
    <x v="2"/>
    <d v="2025-03-07T00:00:00"/>
    <n v="0.5"/>
    <n v="0.16769999999999999"/>
    <n v="0.16769999999999999"/>
    <n v="0"/>
    <n v="0"/>
    <n v="1"/>
    <n v="0.16769999999999999"/>
    <n v="50"/>
    <n v="155139709"/>
    <x v="4"/>
    <x v="50"/>
    <s v=" Al6063 "/>
    <s v="transparent"/>
    <n v="5.3"/>
    <s v=" Jinqiao "/>
    <m/>
    <n v="0.09"/>
    <x v="453"/>
    <n v="3644"/>
    <n v="0"/>
    <m/>
  </r>
  <r>
    <x v="0"/>
    <s v="MODI"/>
    <s v="Mouth Piece"/>
    <n v="310493191000"/>
    <s v="JEE"/>
    <s v="unique"/>
    <s v="Plastic"/>
    <x v="2"/>
    <x v="2"/>
    <d v="2025-03-07T00:00:00"/>
    <n v="0.5"/>
    <n v="0.3135"/>
    <n v="0.3135"/>
    <n v="0"/>
    <n v="0"/>
    <n v="1"/>
    <n v="0.3135"/>
    <n v="0"/>
    <n v="45589968"/>
    <x v="0"/>
    <x v="50"/>
    <s v="PCTG TX1501HF"/>
    <s v="Black"/>
    <n v="6.73"/>
    <s v=" Eastman "/>
    <m/>
    <n v="0"/>
    <x v="64"/>
    <n v="0"/>
    <s v=" -   "/>
    <m/>
  </r>
  <r>
    <x v="0"/>
    <s v="MODI"/>
    <s v="Mouth Piece"/>
    <n v="310493191001"/>
    <s v="JEE"/>
    <s v="unique"/>
    <s v="Plastic"/>
    <x v="2"/>
    <x v="2"/>
    <d v="2025-03-07T00:00:00"/>
    <n v="0.5"/>
    <n v="0.3135"/>
    <n v="0.3135"/>
    <n v="0"/>
    <n v="0"/>
    <n v="1"/>
    <n v="0.3135"/>
    <n v="0"/>
    <n v="0"/>
    <x v="39"/>
    <x v="50"/>
    <s v="PCTG TX1501HF"/>
    <s v="purple red"/>
    <n v="6.73"/>
    <s v=" Eastman "/>
    <m/>
    <n v="0"/>
    <x v="64"/>
    <n v="0"/>
    <s v=" -   "/>
    <m/>
  </r>
  <r>
    <x v="0"/>
    <s v="MODI"/>
    <s v="Mouth Piece"/>
    <n v="310493191002"/>
    <s v="JEE"/>
    <s v="unique"/>
    <s v="Plastic"/>
    <x v="2"/>
    <x v="2"/>
    <d v="2025-03-07T00:00:00"/>
    <n v="0.5"/>
    <n v="0.3135"/>
    <n v="0.3135"/>
    <n v="0"/>
    <n v="0"/>
    <n v="1"/>
    <n v="0.3135"/>
    <n v="0"/>
    <n v="0"/>
    <x v="39"/>
    <x v="50"/>
    <s v="PCTG TX1501HF"/>
    <s v="Light green"/>
    <n v="6.73"/>
    <s v=" Eastman "/>
    <m/>
    <n v="0"/>
    <x v="64"/>
    <n v="0"/>
    <s v=" -   "/>
    <m/>
  </r>
  <r>
    <x v="0"/>
    <s v="MODI"/>
    <s v="Mouth Piece"/>
    <n v="310493191003"/>
    <s v="JEE"/>
    <s v="unique"/>
    <s v="Plastic"/>
    <x v="2"/>
    <x v="2"/>
    <d v="2025-03-07T00:00:00"/>
    <n v="0.5"/>
    <n v="0.3135"/>
    <n v="0.3135"/>
    <n v="0"/>
    <n v="0"/>
    <n v="1"/>
    <n v="0.3135"/>
    <n v="116352"/>
    <n v="116352"/>
    <x v="39"/>
    <x v="50"/>
    <s v="PCTG TX1501HF"/>
    <s v="Light blue"/>
    <n v="6.73"/>
    <s v=" Eastman "/>
    <m/>
    <n v="0"/>
    <x v="514"/>
    <n v="0"/>
    <n v="783"/>
    <m/>
  </r>
  <r>
    <x v="0"/>
    <s v="MODI"/>
    <s v="Mouth Piece"/>
    <n v="310493191004"/>
    <s v="JEE"/>
    <s v="unique"/>
    <s v="Plastic"/>
    <x v="2"/>
    <x v="2"/>
    <d v="2025-03-07T00:00:00"/>
    <n v="0.5"/>
    <n v="0.3135"/>
    <n v="0.3135"/>
    <n v="0"/>
    <n v="0"/>
    <n v="1"/>
    <n v="0.3135"/>
    <n v="0"/>
    <n v="87264"/>
    <x v="39"/>
    <x v="50"/>
    <s v="PCTG TX1501HF"/>
    <s v="yellow"/>
    <n v="6.73"/>
    <s v=" Eastman "/>
    <m/>
    <n v="0"/>
    <x v="64"/>
    <n v="0"/>
    <s v=" -   "/>
    <m/>
  </r>
  <r>
    <x v="0"/>
    <s v="MODI"/>
    <s v="Mouth Piece"/>
    <n v="310493191005"/>
    <s v="JEE"/>
    <s v="unique"/>
    <s v="Plastic"/>
    <x v="2"/>
    <x v="2"/>
    <d v="2025-03-07T00:00:00"/>
    <n v="0.5"/>
    <n v="0.3135"/>
    <n v="0.3135"/>
    <n v="0"/>
    <n v="0"/>
    <n v="1"/>
    <n v="0.3135"/>
    <n v="39961"/>
    <n v="72720"/>
    <x v="39"/>
    <x v="50"/>
    <s v="PCTG TX1501HF"/>
    <s v="purple"/>
    <n v="6.73"/>
    <s v=" Eastman "/>
    <m/>
    <n v="0"/>
    <x v="515"/>
    <n v="0"/>
    <n v="269"/>
    <m/>
  </r>
  <r>
    <x v="0"/>
    <s v="MODI"/>
    <s v="Mouth Piece"/>
    <n v="310493191006"/>
    <s v="JEE"/>
    <s v="unique"/>
    <s v="Plastic"/>
    <x v="2"/>
    <x v="2"/>
    <d v="2025-03-07T00:00:00"/>
    <n v="0.5"/>
    <n v="0.3135"/>
    <n v="0.3135"/>
    <n v="0"/>
    <n v="0"/>
    <n v="1"/>
    <n v="0.3135"/>
    <n v="0"/>
    <n v="0"/>
    <x v="39"/>
    <x v="50"/>
    <s v="PCTG TX1501HF"/>
    <s v="Forest green"/>
    <n v="6.73"/>
    <s v=" Eastman "/>
    <m/>
    <n v="0"/>
    <x v="64"/>
    <n v="0"/>
    <s v=" -   "/>
    <m/>
  </r>
  <r>
    <x v="0"/>
    <s v="MODI"/>
    <s v="Mouth Piece"/>
    <n v="310493191009"/>
    <s v="JEE"/>
    <s v="unique"/>
    <s v="Plastic"/>
    <x v="2"/>
    <x v="2"/>
    <d v="2025-03-07T00:00:00"/>
    <n v="0.5"/>
    <n v="0.3135"/>
    <n v="0.3135"/>
    <n v="0"/>
    <n v="0"/>
    <n v="1"/>
    <n v="0.3135"/>
    <n v="130896"/>
    <n v="159984"/>
    <x v="39"/>
    <x v="50"/>
    <s v="PCTG TX1501HF"/>
    <s v="blue"/>
    <n v="6.73"/>
    <s v=" Eastman "/>
    <m/>
    <n v="0"/>
    <x v="516"/>
    <n v="0"/>
    <n v="881"/>
    <m/>
  </r>
  <r>
    <x v="0"/>
    <s v="MODI"/>
    <s v="Top Plastic Bracket"/>
    <n v="310493192000"/>
    <s v="JEE"/>
    <s v="unique"/>
    <s v="Plastic"/>
    <x v="2"/>
    <x v="2"/>
    <d v="2025-03-07T00:00:00"/>
    <n v="0.5"/>
    <n v="4.2200000000000001E-2"/>
    <n v="4.2200000000000001E-2"/>
    <n v="0"/>
    <n v="0"/>
    <n v="1"/>
    <n v="4.2200000000000001E-2"/>
    <n v="255023"/>
    <n v="40606126"/>
    <x v="1"/>
    <x v="50"/>
    <s v="PCTG TX1501HF"/>
    <s v="transparent"/>
    <n v="0.87"/>
    <s v=" Eastman "/>
    <m/>
    <n v="0"/>
    <x v="517"/>
    <n v="0"/>
    <n v="222"/>
    <m/>
  </r>
  <r>
    <x v="0"/>
    <s v="MODI"/>
    <s v=" Bottom Plastic Bracket"/>
    <n v="310493193000"/>
    <s v="JEE"/>
    <s v="unique"/>
    <s v="Plastic"/>
    <x v="2"/>
    <x v="2"/>
    <d v="2025-03-07T00:00:00"/>
    <n v="0.5"/>
    <n v="7.22E-2"/>
    <n v="7.22E-2"/>
    <n v="0"/>
    <n v="0"/>
    <n v="1"/>
    <n v="7.22E-2"/>
    <n v="0"/>
    <n v="45678419"/>
    <x v="2"/>
    <x v="50"/>
    <s v="PCTG TX1501HF"/>
    <s v="transparent"/>
    <n v="1.18"/>
    <s v=" Eastman "/>
    <m/>
    <n v="0"/>
    <x v="64"/>
    <n v="0"/>
    <s v=" -   "/>
    <m/>
  </r>
  <r>
    <x v="0"/>
    <s v="MODI"/>
    <s v=" Bottom cap"/>
    <n v="310493194000"/>
    <s v="JEE"/>
    <s v="unique"/>
    <s v="Plastic"/>
    <x v="2"/>
    <x v="2"/>
    <d v="2025-03-07T00:00:00"/>
    <n v="0.5"/>
    <n v="6.6199999999999995E-2"/>
    <n v="6.6199999999999995E-2"/>
    <n v="0"/>
    <n v="0"/>
    <n v="1"/>
    <n v="6.6199999999999995E-2"/>
    <n v="0"/>
    <n v="29783584"/>
    <x v="1"/>
    <x v="50"/>
    <s v="LUPOY ER1000MA"/>
    <s v="Black"/>
    <n v="1.18"/>
    <s v="  Ruicheng "/>
    <m/>
    <n v="0"/>
    <x v="64"/>
    <n v="0"/>
    <s v=" -   "/>
    <m/>
  </r>
  <r>
    <x v="0"/>
    <s v="MODI"/>
    <s v=" Bottom cap"/>
    <n v="310493194001"/>
    <s v="JEE"/>
    <s v="unique"/>
    <s v="Plastic"/>
    <x v="2"/>
    <x v="2"/>
    <d v="2025-03-07T00:00:00"/>
    <n v="0.5"/>
    <n v="6.6199999999999995E-2"/>
    <n v="6.6199999999999995E-2"/>
    <n v="0"/>
    <n v="0"/>
    <n v="1"/>
    <n v="6.6199999999999995E-2"/>
    <n v="0"/>
    <n v="0"/>
    <x v="39"/>
    <x v="50"/>
    <s v="LUPOY ER1000MA"/>
    <s v="purple red"/>
    <n v="1.18"/>
    <s v="  Ruicheng "/>
    <m/>
    <n v="0"/>
    <x v="64"/>
    <n v="0"/>
    <s v=" -   "/>
    <m/>
  </r>
  <r>
    <x v="0"/>
    <s v="MODI"/>
    <s v=" Bottom cap"/>
    <n v="310493194002"/>
    <s v="JEE"/>
    <s v="unique"/>
    <s v="Plastic"/>
    <x v="2"/>
    <x v="2"/>
    <d v="2025-03-07T00:00:00"/>
    <n v="0.5"/>
    <n v="6.6199999999999995E-2"/>
    <n v="6.6199999999999995E-2"/>
    <n v="0"/>
    <n v="0"/>
    <n v="1"/>
    <n v="6.6199999999999995E-2"/>
    <n v="0"/>
    <n v="0"/>
    <x v="39"/>
    <x v="50"/>
    <s v="LUPOY ER1000MA"/>
    <s v="Light green"/>
    <n v="1.18"/>
    <s v="  Ruicheng "/>
    <m/>
    <n v="0"/>
    <x v="64"/>
    <n v="0"/>
    <s v=" -   "/>
    <m/>
  </r>
  <r>
    <x v="0"/>
    <s v="MODI"/>
    <s v=" Bottom cap"/>
    <n v="310493194003"/>
    <s v="JEE"/>
    <s v="unique"/>
    <s v="Plastic"/>
    <x v="2"/>
    <x v="2"/>
    <d v="2025-03-07T00:00:00"/>
    <n v="0.5"/>
    <n v="6.6199999999999995E-2"/>
    <n v="6.6199999999999995E-2"/>
    <n v="0"/>
    <n v="0"/>
    <n v="1"/>
    <n v="6.6199999999999995E-2"/>
    <n v="114514"/>
    <n v="114514"/>
    <x v="39"/>
    <x v="50"/>
    <s v="LUPOY ER1000MA"/>
    <s v="Light blue"/>
    <n v="1.18"/>
    <s v="  Ruicheng "/>
    <m/>
    <n v="0"/>
    <x v="518"/>
    <n v="0"/>
    <n v="135"/>
    <m/>
  </r>
  <r>
    <x v="0"/>
    <s v="MODI"/>
    <s v=" Bottom cap"/>
    <n v="310493194004"/>
    <s v="JEE"/>
    <s v="unique"/>
    <s v="Plastic"/>
    <x v="2"/>
    <x v="2"/>
    <d v="2025-03-07T00:00:00"/>
    <n v="0.5"/>
    <n v="6.6199999999999995E-2"/>
    <n v="6.6199999999999995E-2"/>
    <n v="0"/>
    <n v="0"/>
    <n v="1"/>
    <n v="6.6199999999999995E-2"/>
    <n v="1000"/>
    <n v="88236"/>
    <x v="39"/>
    <x v="50"/>
    <s v="LUPOY ER1000MA"/>
    <s v="yellow"/>
    <n v="1.18"/>
    <s v="  Ruicheng "/>
    <m/>
    <n v="0"/>
    <x v="519"/>
    <n v="0"/>
    <n v="1"/>
    <m/>
  </r>
  <r>
    <x v="0"/>
    <s v="MODI"/>
    <s v=" Bottom cap"/>
    <n v="310493194005"/>
    <s v="JEE"/>
    <s v="unique"/>
    <s v="Plastic"/>
    <x v="2"/>
    <x v="2"/>
    <d v="2025-03-07T00:00:00"/>
    <n v="0.5"/>
    <n v="6.6199999999999995E-2"/>
    <n v="6.6199999999999995E-2"/>
    <n v="0"/>
    <n v="0"/>
    <n v="1"/>
    <n v="6.6199999999999995E-2"/>
    <n v="0"/>
    <n v="0"/>
    <x v="39"/>
    <x v="50"/>
    <s v="LUPOY ER1000MA"/>
    <s v="purple"/>
    <n v="1.18"/>
    <s v="  Ruicheng "/>
    <m/>
    <n v="0"/>
    <x v="64"/>
    <n v="0"/>
    <s v=" -   "/>
    <m/>
  </r>
  <r>
    <x v="0"/>
    <s v="MODI"/>
    <s v=" Bottom cap"/>
    <n v="310493194006"/>
    <s v="JEE"/>
    <s v="unique"/>
    <s v="Plastic"/>
    <x v="2"/>
    <x v="2"/>
    <d v="2025-03-07T00:00:00"/>
    <n v="0.5"/>
    <n v="6.6199999999999995E-2"/>
    <n v="6.6199999999999995E-2"/>
    <n v="0"/>
    <n v="0"/>
    <n v="1"/>
    <n v="6.6199999999999995E-2"/>
    <n v="0"/>
    <n v="0"/>
    <x v="39"/>
    <x v="50"/>
    <s v="LUPOY ER1000MA"/>
    <s v="Forest green"/>
    <n v="1.18"/>
    <s v="  Ruicheng "/>
    <m/>
    <n v="0"/>
    <x v="64"/>
    <n v="0"/>
    <s v=" -   "/>
    <m/>
  </r>
  <r>
    <x v="0"/>
    <s v="MODI"/>
    <s v=" Bottom cap"/>
    <n v="310493194009"/>
    <s v="JEE"/>
    <s v="unique"/>
    <s v="Plastic"/>
    <x v="2"/>
    <x v="2"/>
    <d v="2025-03-07T00:00:00"/>
    <n v="0.5"/>
    <n v="6.6199999999999995E-2"/>
    <n v="6.6199999999999995E-2"/>
    <n v="0"/>
    <n v="0"/>
    <n v="1"/>
    <n v="6.6199999999999995E-2"/>
    <n v="130896"/>
    <n v="158818"/>
    <x v="39"/>
    <x v="50"/>
    <s v="LUPOY ER1000MA"/>
    <s v="blue"/>
    <n v="1.18"/>
    <s v="  Ruicheng "/>
    <m/>
    <n v="0"/>
    <x v="520"/>
    <n v="0"/>
    <n v="154"/>
    <m/>
  </r>
  <r>
    <x v="0"/>
    <s v="MODI"/>
    <s v="Air Flow slider"/>
    <n v="310493195000"/>
    <s v="JEE"/>
    <s v="unique"/>
    <s v="Plastic"/>
    <x v="2"/>
    <x v="2"/>
    <d v="2025-03-07T00:00:00"/>
    <n v="0.5"/>
    <n v="3.85E-2"/>
    <n v="3.85E-2"/>
    <n v="0"/>
    <n v="0"/>
    <n v="1"/>
    <n v="3.85E-2"/>
    <n v="0"/>
    <n v="56410170"/>
    <x v="3"/>
    <x v="50"/>
    <s v="LUPOY ER1000MA"/>
    <s v="Black"/>
    <n v="0.13"/>
    <s v="  Ruicheng "/>
    <m/>
    <n v="0"/>
    <x v="64"/>
    <n v="0"/>
    <s v=" -   "/>
    <m/>
  </r>
  <r>
    <x v="0"/>
    <s v="MODI"/>
    <s v="Air Flow slider"/>
    <n v="310493196001"/>
    <s v="JEE"/>
    <s v="unique"/>
    <s v="Plastic"/>
    <x v="2"/>
    <x v="2"/>
    <d v="2025-03-07T00:00:00"/>
    <n v="0.5"/>
    <n v="3.85E-2"/>
    <n v="3.85E-2"/>
    <n v="0"/>
    <n v="0"/>
    <n v="1"/>
    <n v="3.85E-2"/>
    <n v="0"/>
    <n v="0"/>
    <x v="39"/>
    <x v="50"/>
    <s v="LUPOY ER1000MA"/>
    <s v="purple red"/>
    <n v="0.13"/>
    <s v="  Ruicheng "/>
    <m/>
    <n v="0"/>
    <x v="64"/>
    <n v="0"/>
    <s v=" -   "/>
    <m/>
  </r>
  <r>
    <x v="0"/>
    <s v="MODI"/>
    <s v="Air Flow slider"/>
    <n v="310493196002"/>
    <s v="JEE"/>
    <s v="unique"/>
    <s v="Plastic"/>
    <x v="2"/>
    <x v="2"/>
    <d v="2025-03-07T00:00:00"/>
    <n v="0.5"/>
    <n v="3.85E-2"/>
    <n v="3.85E-2"/>
    <n v="0"/>
    <n v="0"/>
    <n v="1"/>
    <n v="3.85E-2"/>
    <n v="0"/>
    <n v="0"/>
    <x v="39"/>
    <x v="50"/>
    <s v="LUPOY ER1000MA"/>
    <s v="Light green"/>
    <n v="0.13"/>
    <s v="  Ruicheng "/>
    <m/>
    <n v="0"/>
    <x v="64"/>
    <n v="0"/>
    <s v=" -   "/>
    <m/>
  </r>
  <r>
    <x v="0"/>
    <s v="MODI"/>
    <s v="Air Flow slider"/>
    <n v="310493196003"/>
    <s v="JEE"/>
    <s v="unique"/>
    <s v="Plastic"/>
    <x v="2"/>
    <x v="2"/>
    <d v="2025-03-07T00:00:00"/>
    <n v="0.5"/>
    <n v="3.85E-2"/>
    <n v="3.85E-2"/>
    <n v="0"/>
    <n v="0"/>
    <n v="1"/>
    <n v="3.85E-2"/>
    <n v="111693"/>
    <n v="111693"/>
    <x v="39"/>
    <x v="50"/>
    <s v="LUPOY ER1000MA"/>
    <s v="Light blue"/>
    <n v="0.13"/>
    <s v="  Ruicheng "/>
    <m/>
    <n v="0"/>
    <x v="521"/>
    <n v="0"/>
    <n v="15"/>
    <m/>
  </r>
  <r>
    <x v="0"/>
    <s v="MODI"/>
    <s v="Air Flow slider"/>
    <n v="310493196004"/>
    <s v="JEE"/>
    <s v="unique"/>
    <s v="Plastic"/>
    <x v="2"/>
    <x v="2"/>
    <d v="2025-03-07T00:00:00"/>
    <n v="0.5"/>
    <n v="3.85E-2"/>
    <n v="3.85E-2"/>
    <n v="0"/>
    <n v="0"/>
    <n v="1"/>
    <n v="3.85E-2"/>
    <n v="0"/>
    <n v="86760"/>
    <x v="39"/>
    <x v="50"/>
    <s v="LUPOY ER1000MA"/>
    <s v="yellow"/>
    <n v="0.13"/>
    <s v="  Ruicheng "/>
    <m/>
    <n v="0"/>
    <x v="64"/>
    <n v="0"/>
    <s v=" -   "/>
    <m/>
  </r>
  <r>
    <x v="0"/>
    <s v="MODI"/>
    <s v="Air Flow slider"/>
    <n v="310493196005"/>
    <s v="JEE"/>
    <s v="unique"/>
    <s v="Plastic"/>
    <x v="2"/>
    <x v="2"/>
    <d v="2025-03-07T00:00:00"/>
    <n v="0.5"/>
    <n v="3.85E-2"/>
    <n v="3.85E-2"/>
    <n v="0"/>
    <n v="0"/>
    <n v="1"/>
    <n v="3.85E-2"/>
    <n v="0"/>
    <n v="0"/>
    <x v="39"/>
    <x v="50"/>
    <s v="LUPOY ER1000MA"/>
    <s v="purple"/>
    <n v="0.13"/>
    <s v="  Ruicheng "/>
    <m/>
    <n v="0"/>
    <x v="64"/>
    <n v="0"/>
    <s v=" -   "/>
    <m/>
  </r>
  <r>
    <x v="0"/>
    <s v="MODI"/>
    <s v="Air Flow slider"/>
    <n v="310493196006"/>
    <s v="JEE"/>
    <s v="unique"/>
    <s v="Plastic"/>
    <x v="2"/>
    <x v="2"/>
    <d v="2025-03-07T00:00:00"/>
    <n v="0.5"/>
    <n v="3.85E-2"/>
    <n v="3.85E-2"/>
    <n v="0"/>
    <n v="0"/>
    <n v="1"/>
    <n v="3.85E-2"/>
    <n v="0"/>
    <n v="0"/>
    <x v="39"/>
    <x v="50"/>
    <s v="LUPOY ER1000MA"/>
    <s v="Forest green"/>
    <n v="0.13"/>
    <s v="  Ruicheng "/>
    <m/>
    <n v="0"/>
    <x v="64"/>
    <n v="0"/>
    <s v=" -   "/>
    <m/>
  </r>
  <r>
    <x v="0"/>
    <s v="MODI"/>
    <s v="Air Flow slider"/>
    <n v="310493196009"/>
    <s v="JEE"/>
    <s v="unique"/>
    <s v="Plastic"/>
    <x v="2"/>
    <x v="2"/>
    <d v="2025-03-07T00:00:00"/>
    <n v="0.5"/>
    <n v="3.85E-2"/>
    <n v="3.85E-2"/>
    <n v="0"/>
    <n v="0"/>
    <n v="1"/>
    <n v="3.85E-2"/>
    <n v="133263"/>
    <n v="153624"/>
    <x v="39"/>
    <x v="50"/>
    <s v="LUPOY ER1000MA"/>
    <s v="blue"/>
    <n v="0.13"/>
    <s v="  Ruicheng "/>
    <m/>
    <n v="0"/>
    <x v="522"/>
    <n v="0"/>
    <n v="17"/>
    <m/>
  </r>
  <r>
    <x v="1"/>
    <s v="RCS DEVICE"/>
    <s v="Top cover"/>
    <n v="130040670043095"/>
    <s v="JEE"/>
    <s v="unique"/>
    <s v="Plastic"/>
    <x v="2"/>
    <x v="2"/>
    <d v="2025-03-07T00:00:00"/>
    <n v="1"/>
    <n v="2.3582999999999998"/>
    <n v="2.3582999999999998"/>
    <n v="0"/>
    <n v="0"/>
    <n v="1"/>
    <n v="2.3582999999999998"/>
    <n v="0"/>
    <n v="644603"/>
    <x v="4"/>
    <x v="50"/>
    <s v="LUPOY GP1000ML"/>
    <s v="blue"/>
    <n v="16.260000000000002"/>
    <s v=" LG "/>
    <s v=" Printing "/>
    <n v="1.31"/>
    <x v="64"/>
    <n v="0"/>
    <s v=" -   "/>
    <m/>
  </r>
  <r>
    <x v="1"/>
    <s v="RCS DEVICE"/>
    <s v="Top cover"/>
    <n v="130040670043098"/>
    <s v="JEE"/>
    <s v="unique"/>
    <s v="Plastic"/>
    <x v="2"/>
    <x v="2"/>
    <d v="2025-03-07T00:00:00"/>
    <n v="1"/>
    <n v="2.3582999999999998"/>
    <n v="2.3582999999999998"/>
    <n v="0"/>
    <n v="0"/>
    <n v="1"/>
    <n v="2.3582999999999998"/>
    <n v="0"/>
    <n v="0"/>
    <x v="4"/>
    <x v="50"/>
    <s v="LUPOY GP1000ML"/>
    <s v="cyan"/>
    <n v="16.260000000000002"/>
    <s v=" LG "/>
    <s v=" Printing "/>
    <n v="1.31"/>
    <x v="64"/>
    <n v="0"/>
    <s v=" -   "/>
    <m/>
  </r>
  <r>
    <x v="1"/>
    <s v="RCS DEVICE"/>
    <s v="Top cover"/>
    <n v="130040670043096"/>
    <s v="JEE"/>
    <s v="unique"/>
    <s v="Plastic"/>
    <x v="2"/>
    <x v="2"/>
    <d v="2025-03-07T00:00:00"/>
    <n v="1"/>
    <n v="2.3582999999999998"/>
    <n v="2.3582999999999998"/>
    <n v="0"/>
    <n v="0"/>
    <n v="1"/>
    <n v="2.3582999999999998"/>
    <n v="0"/>
    <n v="0"/>
    <x v="4"/>
    <x v="50"/>
    <s v="LUPOY GP1000ML"/>
    <s v="Black"/>
    <n v="16.260000000000002"/>
    <s v=" LG "/>
    <s v=" Printing "/>
    <n v="1.31"/>
    <x v="64"/>
    <n v="0"/>
    <s v=" -   "/>
    <m/>
  </r>
  <r>
    <x v="1"/>
    <s v="RCS DEVICE"/>
    <s v="Top cover"/>
    <n v="130040670054811"/>
    <s v="JEE"/>
    <s v="unique"/>
    <s v="Plastic"/>
    <x v="2"/>
    <x v="2"/>
    <d v="2025-03-07T00:00:00"/>
    <n v="1"/>
    <n v="2.3582999999999998"/>
    <n v="2.3582999999999998"/>
    <n v="0"/>
    <n v="0"/>
    <n v="1"/>
    <n v="2.3582999999999998"/>
    <n v="0"/>
    <n v="0"/>
    <x v="4"/>
    <x v="50"/>
    <s v="LUPOY GP1000ML"/>
    <s v="peach"/>
    <n v="16.260000000000002"/>
    <s v=" LG "/>
    <s v=" Printing "/>
    <n v="1.31"/>
    <x v="64"/>
    <n v="0"/>
    <s v=" -   "/>
    <m/>
  </r>
  <r>
    <x v="1"/>
    <s v="RCS DEVICE"/>
    <s v="Top cover"/>
    <n v="130040670054813"/>
    <s v="JEE"/>
    <s v="unique"/>
    <s v="Plastic"/>
    <x v="2"/>
    <x v="2"/>
    <d v="2025-03-07T00:00:00"/>
    <n v="1"/>
    <n v="2.3582999999999998"/>
    <n v="2.3582999999999998"/>
    <n v="0"/>
    <n v="0"/>
    <n v="1"/>
    <n v="2.3582999999999998"/>
    <n v="0"/>
    <n v="0"/>
    <x v="4"/>
    <x v="50"/>
    <s v="LUPOY GP1000ML"/>
    <s v="red"/>
    <n v="16.260000000000002"/>
    <s v=" LG "/>
    <s v=" Printing "/>
    <n v="1.31"/>
    <x v="64"/>
    <n v="0"/>
    <s v=" -   "/>
    <m/>
  </r>
  <r>
    <x v="1"/>
    <s v="RCS DEVICE"/>
    <s v="Bottom cover"/>
    <n v="130020670058316"/>
    <s v="JEE"/>
    <s v="unique"/>
    <s v="Plastic"/>
    <x v="2"/>
    <x v="2"/>
    <d v="2025-03-07T00:00:00"/>
    <n v="1"/>
    <n v="2.3165"/>
    <n v="2.3165"/>
    <n v="0"/>
    <n v="0"/>
    <n v="1"/>
    <n v="2.3165"/>
    <n v="0"/>
    <n v="686982"/>
    <x v="4"/>
    <x v="50"/>
    <s v="LUPOY GP1000ML"/>
    <s v="red"/>
    <n v="8.3000000000000007"/>
    <s v=" LG "/>
    <s v=" Printing "/>
    <n v="1.43"/>
    <x v="64"/>
    <n v="0"/>
    <s v=" -   "/>
    <m/>
  </r>
  <r>
    <x v="1"/>
    <s v="RCS DEVICE"/>
    <s v="Bottom cover"/>
    <n v="130020670058313"/>
    <s v="JEE"/>
    <s v="unique"/>
    <s v="Plastic"/>
    <x v="2"/>
    <x v="2"/>
    <d v="2025-03-07T00:00:00"/>
    <n v="1"/>
    <n v="2.3165"/>
    <n v="2.3165"/>
    <n v="0"/>
    <n v="0"/>
    <n v="1"/>
    <n v="2.3165"/>
    <n v="0"/>
    <n v="0"/>
    <x v="4"/>
    <x v="50"/>
    <s v="LUPOY GP1000ML"/>
    <s v="Light red"/>
    <n v="8.3000000000000007"/>
    <s v=" LG "/>
    <s v=" Printing "/>
    <n v="1.43"/>
    <x v="64"/>
    <n v="0"/>
    <s v=" -   "/>
    <m/>
  </r>
  <r>
    <x v="1"/>
    <s v="RCS DEVICE"/>
    <s v="Bottom cover"/>
    <n v="130040670028165"/>
    <s v="JEE"/>
    <s v="unique"/>
    <s v="Plastic"/>
    <x v="2"/>
    <x v="2"/>
    <d v="2025-03-07T00:00:00"/>
    <n v="1"/>
    <n v="2.3165"/>
    <n v="2.3165"/>
    <n v="0"/>
    <n v="0"/>
    <n v="1"/>
    <n v="2.3165"/>
    <n v="0"/>
    <n v="0"/>
    <x v="4"/>
    <x v="50"/>
    <s v="LUPOY GP1000ML"/>
    <s v="blue"/>
    <n v="8.3000000000000007"/>
    <s v=" LG "/>
    <s v=" Printing "/>
    <n v="1.43"/>
    <x v="64"/>
    <n v="0"/>
    <s v=" -   "/>
    <m/>
  </r>
  <r>
    <x v="1"/>
    <s v="RCS DEVICE"/>
    <s v="Bottom cover"/>
    <n v="130040670028166"/>
    <s v="JEE"/>
    <s v="unique"/>
    <s v="Plastic"/>
    <x v="2"/>
    <x v="2"/>
    <d v="2025-03-07T00:00:00"/>
    <n v="1"/>
    <n v="2.3165"/>
    <n v="2.3165"/>
    <n v="0"/>
    <n v="0"/>
    <n v="1"/>
    <n v="2.3165"/>
    <n v="0"/>
    <n v="0"/>
    <x v="4"/>
    <x v="50"/>
    <s v="LUPOY GP1000ML"/>
    <s v="cyan"/>
    <n v="8.3000000000000007"/>
    <s v=" LG "/>
    <s v=" Printing "/>
    <n v="1.43"/>
    <x v="64"/>
    <n v="0"/>
    <s v=" -   "/>
    <m/>
  </r>
  <r>
    <x v="1"/>
    <s v="RCS DEVICE"/>
    <s v="Bottom cover"/>
    <n v="130040670028167"/>
    <s v="JEE"/>
    <s v="unique"/>
    <s v="Plastic"/>
    <x v="2"/>
    <x v="2"/>
    <d v="2025-03-07T00:00:00"/>
    <n v="1"/>
    <n v="2.3165"/>
    <n v="2.3165"/>
    <n v="0"/>
    <n v="0"/>
    <n v="1"/>
    <n v="2.3165"/>
    <n v="0"/>
    <n v="0"/>
    <x v="4"/>
    <x v="50"/>
    <s v="LUPOY GP1000ML"/>
    <s v="Black"/>
    <n v="8.3000000000000007"/>
    <s v=" LG "/>
    <s v=" Printing "/>
    <n v="1.43"/>
    <x v="64"/>
    <n v="0"/>
    <s v=" -   "/>
    <m/>
  </r>
  <r>
    <x v="1"/>
    <s v="RCS DEVICE"/>
    <s v="Bottom cover"/>
    <n v="130040670028168"/>
    <s v="JEE"/>
    <s v="unique"/>
    <s v="Plastic"/>
    <x v="2"/>
    <x v="2"/>
    <d v="2025-03-07T00:00:00"/>
    <n v="1"/>
    <n v="2.3165"/>
    <n v="2.3165"/>
    <n v="0"/>
    <n v="0"/>
    <n v="1"/>
    <n v="2.3165"/>
    <n v="0"/>
    <n v="0"/>
    <x v="4"/>
    <x v="50"/>
    <s v="LUPOY GP1000ML"/>
    <s v="blue"/>
    <n v="8.3000000000000007"/>
    <s v=" LG "/>
    <s v=" Printing "/>
    <n v="1.43"/>
    <x v="64"/>
    <n v="0"/>
    <s v=" -   "/>
    <m/>
  </r>
  <r>
    <x v="1"/>
    <s v="RCS DEVICE"/>
    <s v="Bottom cover"/>
    <n v="130040670028169"/>
    <s v="JEE"/>
    <s v="unique"/>
    <s v="Plastic"/>
    <x v="2"/>
    <x v="2"/>
    <d v="2025-03-07T00:00:00"/>
    <n v="1"/>
    <n v="2.3165"/>
    <n v="2.3165"/>
    <n v="0"/>
    <n v="0"/>
    <n v="1"/>
    <n v="2.3165"/>
    <n v="0"/>
    <n v="0"/>
    <x v="4"/>
    <x v="50"/>
    <s v="LUPOY GP1000ML"/>
    <s v="cyan"/>
    <n v="8.3000000000000007"/>
    <s v=" LG "/>
    <s v=" Printing "/>
    <n v="1.43"/>
    <x v="64"/>
    <n v="0"/>
    <s v=" -   "/>
    <m/>
  </r>
  <r>
    <x v="1"/>
    <s v="RCS DEVICE"/>
    <s v="Bottom cover"/>
    <n v="130040670028170"/>
    <s v="JEE"/>
    <s v="unique"/>
    <s v="Plastic"/>
    <x v="2"/>
    <x v="2"/>
    <d v="2025-03-07T00:00:00"/>
    <n v="1"/>
    <n v="2.3165"/>
    <n v="2.3165"/>
    <n v="0"/>
    <n v="0"/>
    <n v="1"/>
    <n v="2.3165"/>
    <n v="0"/>
    <n v="0"/>
    <x v="4"/>
    <x v="50"/>
    <s v="LUPOY GP1000ML"/>
    <s v="Black"/>
    <n v="8.3000000000000007"/>
    <s v=" LG "/>
    <s v=" Printing "/>
    <n v="1.43"/>
    <x v="64"/>
    <n v="0"/>
    <s v=" -   "/>
    <m/>
  </r>
  <r>
    <x v="1"/>
    <s v="RCS DEVICE"/>
    <s v="Button"/>
    <n v="130020670058317"/>
    <s v="JEE"/>
    <s v="unique"/>
    <s v="Plastic"/>
    <x v="2"/>
    <x v="2"/>
    <d v="2025-03-07T00:00:00"/>
    <n v="1"/>
    <n v="0.3765"/>
    <n v="0.3765"/>
    <n v="0"/>
    <n v="0"/>
    <n v="1"/>
    <n v="0.3765"/>
    <n v="0"/>
    <n v="665191"/>
    <x v="4"/>
    <x v="50"/>
    <s v="LUPOY GP1000ML"/>
    <s v="Light red"/>
    <n v="0.56999999999999995"/>
    <s v=" LG "/>
    <m/>
    <n v="0"/>
    <x v="64"/>
    <n v="0"/>
    <s v=" -   "/>
    <m/>
  </r>
  <r>
    <x v="1"/>
    <s v="RCS DEVICE"/>
    <s v="Button"/>
    <n v="130020670058314"/>
    <s v="JEE"/>
    <s v="unique"/>
    <s v="Plastic"/>
    <x v="2"/>
    <x v="2"/>
    <d v="2025-03-07T00:00:00"/>
    <n v="1"/>
    <n v="0.3765"/>
    <n v="0.3765"/>
    <n v="0"/>
    <n v="0"/>
    <n v="1"/>
    <n v="0.3765"/>
    <n v="0"/>
    <n v="0"/>
    <x v="4"/>
    <x v="50"/>
    <s v="LUPOY GP1000ML"/>
    <s v="fuchsin"/>
    <n v="0.56999999999999995"/>
    <s v=" LG "/>
    <m/>
    <n v="0"/>
    <x v="64"/>
    <n v="0"/>
    <s v=" -   "/>
    <m/>
  </r>
  <r>
    <x v="1"/>
    <s v="RCS DEVICE"/>
    <s v="PCB holder"/>
    <n v="130040670021262"/>
    <s v="JEE"/>
    <s v="unique"/>
    <s v="Plastic"/>
    <x v="2"/>
    <x v="2"/>
    <d v="2025-03-07T00:00:00"/>
    <n v="1"/>
    <n v="0.37930000000000003"/>
    <n v="0.37930000000000003"/>
    <n v="0"/>
    <n v="0"/>
    <n v="1"/>
    <n v="0.37930000000000003"/>
    <n v="0"/>
    <n v="655070"/>
    <x v="4"/>
    <x v="50"/>
    <s v="PC Makrolon 2456"/>
    <s v="Black"/>
    <n v="1.87"/>
    <s v=" Makrolon "/>
    <m/>
    <n v="0"/>
    <x v="64"/>
    <n v="0"/>
    <s v=" -   "/>
    <m/>
  </r>
  <r>
    <x v="2"/>
    <s v="RCS DEVICE"/>
    <s v="Battery tube"/>
    <n v="130020670031776"/>
    <s v="JEE"/>
    <s v="unique"/>
    <s v="Plastic"/>
    <x v="2"/>
    <x v="2"/>
    <d v="2025-03-07T00:00:00"/>
    <n v="0.3"/>
    <n v="1.8774"/>
    <n v="1.9124000000000001"/>
    <n v="3.5000000000000003E-2"/>
    <n v="1.0500000000000001E-2"/>
    <n v="1"/>
    <n v="1.8774"/>
    <n v="294647"/>
    <n v="3325976"/>
    <x v="5"/>
    <x v="340"/>
    <s v="PC LUPOY GP1000ML"/>
    <s v="Black"/>
    <n v="6.54"/>
    <s v=" LG "/>
    <s v=" Printing "/>
    <n v="1.2"/>
    <x v="462"/>
    <n v="549600"/>
    <n v="2995"/>
    <m/>
  </r>
  <r>
    <x v="2"/>
    <s v="RCS DEVICE"/>
    <s v="Bottom cap"/>
    <n v="130020670034027"/>
    <s v="JEE"/>
    <s v="unique"/>
    <s v="Plastic"/>
    <x v="2"/>
    <x v="2"/>
    <d v="2025-03-07T00:00:00"/>
    <n v="0.3"/>
    <n v="0.27339999999999998"/>
    <n v="0.33090000000000003"/>
    <n v="5.7500000000000002E-2"/>
    <n v="1.72E-2"/>
    <n v="1"/>
    <n v="0.27339999999999998"/>
    <n v="39308"/>
    <n v="2446795"/>
    <x v="6"/>
    <x v="341"/>
    <s v="PC LUPOY GP1000ML"/>
    <s v="Black"/>
    <n v="3.32"/>
    <s v=" LG "/>
    <m/>
    <n v="0"/>
    <x v="523"/>
    <n v="0"/>
    <n v="131"/>
    <m/>
  </r>
  <r>
    <x v="2"/>
    <s v="RCS DEVICE"/>
    <s v="Bottom cap"/>
    <n v="130020670034026"/>
    <s v="JEE"/>
    <s v="unique"/>
    <s v="Plastic"/>
    <x v="2"/>
    <x v="2"/>
    <d v="2025-03-07T00:00:00"/>
    <n v="0.3"/>
    <n v="0.27339999999999998"/>
    <n v="0.33090000000000003"/>
    <n v="5.7500000000000002E-2"/>
    <n v="1.72E-2"/>
    <n v="1"/>
    <n v="0.27339999999999998"/>
    <n v="80400"/>
    <n v="187920"/>
    <x v="39"/>
    <x v="253"/>
    <s v="PC LUPOY GP1000ML"/>
    <s v="red"/>
    <n v="3.32"/>
    <s v=" LG "/>
    <m/>
    <n v="0"/>
    <x v="524"/>
    <n v="0"/>
    <n v="267"/>
    <m/>
  </r>
  <r>
    <x v="2"/>
    <s v="RCS DEVICE"/>
    <s v="Bottom cap"/>
    <n v="130020670034025"/>
    <s v="JEE"/>
    <s v="unique"/>
    <s v="Plastic"/>
    <x v="2"/>
    <x v="2"/>
    <d v="2025-03-07T00:00:00"/>
    <n v="0.3"/>
    <n v="0.27339999999999998"/>
    <n v="0.33090000000000003"/>
    <n v="5.7500000000000002E-2"/>
    <n v="1.72E-2"/>
    <n v="1"/>
    <n v="0.27339999999999998"/>
    <n v="114000"/>
    <n v="149086"/>
    <x v="39"/>
    <x v="253"/>
    <s v="PC LUPOY GP1000ML"/>
    <s v="orange"/>
    <n v="3.32"/>
    <s v=" LG "/>
    <m/>
    <n v="0"/>
    <x v="525"/>
    <n v="0"/>
    <n v="378"/>
    <m/>
  </r>
  <r>
    <x v="2"/>
    <s v="RCS DEVICE"/>
    <s v="Bottom cap"/>
    <n v="130020670034024"/>
    <s v="JEE"/>
    <s v="unique"/>
    <s v="Plastic"/>
    <x v="2"/>
    <x v="2"/>
    <d v="2025-03-07T00:00:00"/>
    <n v="0.3"/>
    <n v="0.27339999999999998"/>
    <n v="0.33090000000000003"/>
    <n v="5.7500000000000002E-2"/>
    <n v="1.72E-2"/>
    <n v="1"/>
    <n v="0.27339999999999998"/>
    <n v="29479"/>
    <n v="37369"/>
    <x v="39"/>
    <x v="253"/>
    <s v="PC LUPOY GP1000ML"/>
    <s v="yellow"/>
    <n v="3.32"/>
    <s v=" LG "/>
    <m/>
    <n v="0"/>
    <x v="526"/>
    <n v="0"/>
    <n v="98"/>
    <m/>
  </r>
  <r>
    <x v="2"/>
    <s v="RCS DEVICE"/>
    <s v="Bottom cap"/>
    <n v="130020670034023"/>
    <s v="JEE"/>
    <s v="unique"/>
    <s v="Plastic"/>
    <x v="2"/>
    <x v="2"/>
    <d v="2025-03-07T00:00:00"/>
    <n v="0.3"/>
    <n v="0.27339999999999998"/>
    <n v="0.33090000000000003"/>
    <n v="5.7500000000000002E-2"/>
    <n v="1.72E-2"/>
    <n v="1"/>
    <n v="0.27339999999999998"/>
    <n v="119581"/>
    <n v="125311"/>
    <x v="39"/>
    <x v="253"/>
    <s v="PC LUPOY GP1000ML"/>
    <s v="Light green"/>
    <n v="3.32"/>
    <s v=" LG "/>
    <m/>
    <n v="0"/>
    <x v="527"/>
    <n v="0"/>
    <n v="397"/>
    <m/>
  </r>
  <r>
    <x v="2"/>
    <s v="RCS DEVICE"/>
    <s v="Bottom cap"/>
    <n v="130020670034014"/>
    <s v="JEE"/>
    <s v="unique"/>
    <s v="Plastic"/>
    <x v="2"/>
    <x v="2"/>
    <d v="2025-03-07T00:00:00"/>
    <n v="0.3"/>
    <n v="0.27339999999999998"/>
    <n v="0.33090000000000003"/>
    <n v="5.7500000000000002E-2"/>
    <n v="1.72E-2"/>
    <n v="1"/>
    <n v="0.27339999999999998"/>
    <n v="22620"/>
    <n v="120420"/>
    <x v="39"/>
    <x v="253"/>
    <s v="PC LUPOY GP1000ML"/>
    <s v="blue"/>
    <n v="3.32"/>
    <s v=" LG "/>
    <m/>
    <n v="0"/>
    <x v="528"/>
    <n v="0"/>
    <n v="75"/>
    <m/>
  </r>
  <r>
    <x v="2"/>
    <s v="RCS DEVICE"/>
    <s v="Holder"/>
    <n v="130040670046310"/>
    <s v="JEE"/>
    <s v="unique"/>
    <s v="Plastic"/>
    <x v="2"/>
    <x v="2"/>
    <d v="2025-03-07T00:00:00"/>
    <n v="0.3"/>
    <n v="0.20449999999999999"/>
    <n v="0.23080000000000001"/>
    <n v="2.63E-2"/>
    <n v="7.9000000000000008E-3"/>
    <n v="1"/>
    <n v="0.20449999999999999"/>
    <n v="81739"/>
    <n v="3082793"/>
    <x v="7"/>
    <x v="342"/>
    <s v="PC Makrolon 2456"/>
    <s v="Black"/>
    <n v="4.25"/>
    <s v=" Makrolon "/>
    <m/>
    <n v="0"/>
    <x v="529"/>
    <n v="0"/>
    <n v="347"/>
    <m/>
  </r>
  <r>
    <x v="2"/>
    <s v="RCS DEVICE"/>
    <s v="Holder"/>
    <n v="130040670046308"/>
    <s v="JEE"/>
    <s v="unique"/>
    <s v="Plastic"/>
    <x v="2"/>
    <x v="2"/>
    <d v="2025-03-07T00:00:00"/>
    <n v="0.3"/>
    <n v="0.20449999999999999"/>
    <n v="0.23080000000000001"/>
    <n v="2.63E-2"/>
    <n v="7.9000000000000008E-3"/>
    <n v="1"/>
    <n v="0.20449999999999999"/>
    <n v="22127"/>
    <n v="77627"/>
    <x v="39"/>
    <x v="253"/>
    <s v="PC Makrolon 2456"/>
    <s v="orange"/>
    <n v="4.25"/>
    <s v=" Makrolon "/>
    <m/>
    <n v="0"/>
    <x v="530"/>
    <n v="0"/>
    <n v="94"/>
    <m/>
  </r>
  <r>
    <x v="2"/>
    <s v="RCS DEVICE"/>
    <s v="Button"/>
    <n v="130020670033987"/>
    <s v="JEE"/>
    <s v="unique"/>
    <s v="Plastic"/>
    <x v="2"/>
    <x v="2"/>
    <d v="2025-03-07T00:00:00"/>
    <n v="0.3"/>
    <n v="0.1203"/>
    <n v="0.14530000000000001"/>
    <n v="2.5000000000000001E-2"/>
    <n v="7.4999999999999997E-3"/>
    <n v="1"/>
    <n v="0.1203"/>
    <n v="30000"/>
    <n v="3361369"/>
    <x v="8"/>
    <x v="343"/>
    <s v="PC Makrolon 2456"/>
    <s v="Black"/>
    <n v="0.54"/>
    <s v=" Makrolon "/>
    <m/>
    <n v="0"/>
    <x v="531"/>
    <n v="0"/>
    <n v="16"/>
    <m/>
  </r>
  <r>
    <x v="2"/>
    <s v="RCS DEVICE"/>
    <s v="Button"/>
    <n v="130020670033986"/>
    <s v="JEE"/>
    <s v="unique"/>
    <s v="Plastic"/>
    <x v="2"/>
    <x v="2"/>
    <d v="2025-03-07T00:00:00"/>
    <n v="0.3"/>
    <n v="0.1203"/>
    <n v="0.14530000000000001"/>
    <n v="2.5000000000000001E-2"/>
    <n v="7.4999999999999997E-3"/>
    <n v="1"/>
    <n v="0.1203"/>
    <n v="70000"/>
    <n v="157774"/>
    <x v="39"/>
    <x v="253"/>
    <s v="PC Makrolon 2456"/>
    <s v="red"/>
    <n v="0.54"/>
    <s v=" Makrolon "/>
    <m/>
    <n v="0"/>
    <x v="532"/>
    <n v="0"/>
    <n v="38"/>
    <m/>
  </r>
  <r>
    <x v="2"/>
    <s v="RCS DEVICE"/>
    <s v="Button"/>
    <n v="130020670033985"/>
    <s v="JEE"/>
    <s v="unique"/>
    <s v="Plastic"/>
    <x v="2"/>
    <x v="2"/>
    <d v="2025-03-07T00:00:00"/>
    <n v="0.3"/>
    <n v="0.1203"/>
    <n v="0.14530000000000001"/>
    <n v="2.5000000000000001E-2"/>
    <n v="7.4999999999999997E-3"/>
    <n v="1"/>
    <n v="0.1203"/>
    <n v="70000"/>
    <n v="205000"/>
    <x v="39"/>
    <x v="253"/>
    <s v="PC Makrolon 2456"/>
    <s v="orange"/>
    <n v="0.54"/>
    <s v=" Makrolon "/>
    <m/>
    <n v="0"/>
    <x v="532"/>
    <n v="0"/>
    <n v="38"/>
    <m/>
  </r>
  <r>
    <x v="2"/>
    <s v="RCS DEVICE"/>
    <s v="Button"/>
    <n v="130020670033984"/>
    <s v="JEE"/>
    <s v="unique"/>
    <s v="Plastic"/>
    <x v="2"/>
    <x v="2"/>
    <d v="2025-03-07T00:00:00"/>
    <n v="0.3"/>
    <n v="0.1203"/>
    <n v="0.14530000000000001"/>
    <n v="2.5000000000000001E-2"/>
    <n v="7.4999999999999997E-3"/>
    <n v="1"/>
    <n v="0.1203"/>
    <n v="31501"/>
    <n v="78087"/>
    <x v="39"/>
    <x v="253"/>
    <s v="PC Makrolon 2456"/>
    <s v="yellow"/>
    <n v="0.54"/>
    <s v=" Makrolon "/>
    <m/>
    <n v="0"/>
    <x v="533"/>
    <n v="0"/>
    <n v="17"/>
    <m/>
  </r>
  <r>
    <x v="2"/>
    <s v="RCS DEVICE"/>
    <s v="Button"/>
    <n v="130020670033983"/>
    <s v="JEE"/>
    <s v="unique"/>
    <s v="Plastic"/>
    <x v="2"/>
    <x v="2"/>
    <d v="2025-03-07T00:00:00"/>
    <n v="0.3"/>
    <n v="0.1203"/>
    <n v="0.14530000000000001"/>
    <n v="2.5000000000000001E-2"/>
    <n v="7.4999999999999997E-3"/>
    <n v="1"/>
    <n v="0.1203"/>
    <n v="121200"/>
    <n v="192330"/>
    <x v="39"/>
    <x v="253"/>
    <s v="PC Makrolon 2456"/>
    <s v="Light green"/>
    <n v="0.54"/>
    <s v=" Makrolon "/>
    <m/>
    <n v="0"/>
    <x v="534"/>
    <n v="0"/>
    <n v="65"/>
    <m/>
  </r>
  <r>
    <x v="2"/>
    <s v="RCS DEVICE"/>
    <s v="Button"/>
    <n v="130020670033964"/>
    <s v="JEE"/>
    <s v="unique"/>
    <s v="Plastic"/>
    <x v="2"/>
    <x v="2"/>
    <d v="2025-03-07T00:00:00"/>
    <n v="0.3"/>
    <n v="0.1203"/>
    <n v="0.14530000000000001"/>
    <n v="2.5000000000000001E-2"/>
    <n v="7.4999999999999997E-3"/>
    <n v="1"/>
    <n v="0.1203"/>
    <n v="46551"/>
    <n v="206551"/>
    <x v="39"/>
    <x v="253"/>
    <s v="PC Makrolon 2456"/>
    <s v="blue"/>
    <n v="0.54"/>
    <s v=" Makrolon "/>
    <m/>
    <n v="0"/>
    <x v="535"/>
    <n v="0"/>
    <n v="25"/>
    <m/>
  </r>
  <r>
    <x v="2"/>
    <s v="RCS DEVICE"/>
    <s v="Light guide"/>
    <n v="130020670035243"/>
    <s v="JEE"/>
    <s v="unique"/>
    <s v="Plastic"/>
    <x v="2"/>
    <x v="2"/>
    <d v="2025-03-07T00:00:00"/>
    <n v="0.3"/>
    <n v="0.1225"/>
    <n v="0.14749999999999999"/>
    <n v="2.5000000000000001E-2"/>
    <n v="7.4999999999999997E-3"/>
    <n v="1"/>
    <n v="0.1225"/>
    <n v="13191"/>
    <n v="4566375"/>
    <x v="8"/>
    <x v="344"/>
    <s v="PC LUPOY GP1000ML"/>
    <s v="white"/>
    <n v="0.51"/>
    <s v=" LG "/>
    <m/>
    <n v="0"/>
    <x v="536"/>
    <n v="0"/>
    <n v="7"/>
    <m/>
  </r>
  <r>
    <x v="3"/>
    <s v="RCS POD"/>
    <s v="Cartomizer tube"/>
    <n v="130010390000214"/>
    <s v="JEE"/>
    <s v="unique"/>
    <s v="Plastic"/>
    <x v="2"/>
    <x v="2"/>
    <d v="2025-03-07T00:00:00"/>
    <n v="1"/>
    <n v="1.0541"/>
    <n v="1.2237"/>
    <n v="0.16950000000000001"/>
    <n v="0.16950000000000001"/>
    <n v="1"/>
    <n v="1.0541"/>
    <n v="0"/>
    <n v="0"/>
    <x v="33"/>
    <x v="274"/>
    <s v=" PCTG TX1501HF "/>
    <s v="transparent"/>
    <n v="2.09"/>
    <s v=" Eastman "/>
    <m/>
    <n v="1.05"/>
    <x v="64"/>
    <n v="0"/>
    <s v=" -   "/>
    <s v="Indonesia- Black (Capex no including mold injection tools)"/>
  </r>
  <r>
    <x v="3"/>
    <s v="RCS POD"/>
    <s v="Cartomizer tube"/>
    <n v="130010390000214"/>
    <s v="JEE"/>
    <s v="unique"/>
    <s v="Plastic"/>
    <x v="2"/>
    <x v="2"/>
    <d v="2025-03-07T00:00:00"/>
    <n v="1"/>
    <n v="1.1740999999999999"/>
    <n v="1.3583000000000001"/>
    <n v="0.1842"/>
    <n v="0.1842"/>
    <n v="1"/>
    <n v="1.1740999999999999"/>
    <n v="0"/>
    <n v="0"/>
    <x v="34"/>
    <x v="275"/>
    <s v=" PCTG TX1501HF "/>
    <s v="transparent"/>
    <n v="2.09"/>
    <s v=" Eastman "/>
    <m/>
    <n v="1.17"/>
    <x v="64"/>
    <n v="0"/>
    <s v=" -   "/>
    <s v="Indonesia- White(Capex no including mold injection tools)"/>
  </r>
  <r>
    <x v="4"/>
    <s v="HP"/>
    <s v="Botton cover"/>
    <s v="22150202014-14401849-00"/>
    <s v="JEE"/>
    <s v="X3 Pro/unibody/Core"/>
    <s v="Plastic"/>
    <x v="2"/>
    <x v="2"/>
    <d v="2025-03-07T00:00:00"/>
    <n v="0.2"/>
    <n v="0.32319999999999999"/>
    <n v="0.32319999999999999"/>
    <n v="0"/>
    <n v="0"/>
    <n v="1"/>
    <n v="2.3161999999999998"/>
    <n v="0"/>
    <n v="2371599"/>
    <x v="12"/>
    <x v="312"/>
    <s v="RTP 299 AX 152528（PA+GF）(panting(5 color))"/>
    <s v="Black"/>
    <n v="1.56"/>
    <s v="  Ruicheng "/>
    <m/>
    <m/>
    <x v="64"/>
    <n v="0"/>
    <n v="295"/>
    <s v="2025年2月11日确认新单价-Srikanth"/>
  </r>
  <r>
    <x v="9"/>
    <s v="HP"/>
    <s v="Botton cover"/>
    <s v="22150202014-15389489-00"/>
    <s v="JEE"/>
    <s v="X3 Pro/unibody/Core"/>
    <s v="Plastic"/>
    <x v="2"/>
    <x v="2"/>
    <d v="2025-03-07T00:00:00"/>
    <n v="0.2"/>
    <n v="0.32319999999999999"/>
    <n v="0.32319999999999999"/>
    <n v="0"/>
    <n v="0"/>
    <n v="1"/>
    <n v="2.3161999999999998"/>
    <n v="2120"/>
    <n v="50120"/>
    <x v="39"/>
    <x v="253"/>
    <s v="RTP 299 AX 152528（PA+GF）(panting(5 color))"/>
    <s v="Black"/>
    <n v="1.56"/>
    <s v="  Ruicheng "/>
    <m/>
    <m/>
    <x v="537"/>
    <n v="0"/>
    <n v="295"/>
    <s v="2025年2月11日确认新单价-Srikanth"/>
  </r>
  <r>
    <x v="9"/>
    <s v="HP"/>
    <s v="Botton cover"/>
    <s v="22150202014-15389491-00"/>
    <s v="JEE"/>
    <s v="X3 Pro/unibody/Core"/>
    <s v="Plastic"/>
    <x v="2"/>
    <x v="2"/>
    <d v="2025-03-07T00:00:00"/>
    <n v="0.2"/>
    <n v="0.32319999999999999"/>
    <n v="0.32319999999999999"/>
    <n v="0"/>
    <n v="0"/>
    <n v="1"/>
    <n v="2.3161999999999998"/>
    <n v="13557"/>
    <n v="28557"/>
    <x v="39"/>
    <x v="253"/>
    <s v="RTP 299 AX 152528（PA+GF）(panting(5 color))"/>
    <s v="green"/>
    <n v="1.56"/>
    <s v="  Ruicheng "/>
    <m/>
    <m/>
    <x v="538"/>
    <n v="0"/>
    <n v="295"/>
    <s v="2025年2月11日确认新单价-Srikanth"/>
  </r>
  <r>
    <x v="9"/>
    <s v="HP"/>
    <s v="Botton cover"/>
    <s v="22150202014-15389512-00"/>
    <s v="JEE"/>
    <s v="X3 Pro/unibody/Core"/>
    <s v="Plastic"/>
    <x v="2"/>
    <x v="2"/>
    <d v="2025-03-07T00:00:00"/>
    <n v="0.2"/>
    <n v="0.32319999999999999"/>
    <n v="0.32319999999999999"/>
    <n v="0"/>
    <n v="0"/>
    <n v="1"/>
    <n v="2.3161999999999998"/>
    <n v="3000"/>
    <n v="9000"/>
    <x v="39"/>
    <x v="253"/>
    <s v="RTP 299 AX 152528（PA+GF）(panting(5 color))"/>
    <s v="peach"/>
    <n v="1.56"/>
    <s v="  Ruicheng "/>
    <m/>
    <m/>
    <x v="539"/>
    <n v="0"/>
    <n v="295"/>
    <s v="2025年2月11日确认新单价-Srikanth"/>
  </r>
  <r>
    <x v="9"/>
    <s v="HP"/>
    <s v="Botton cover"/>
    <s v="22150202014-17214720-00"/>
    <s v="JEE"/>
    <s v="X3 Pro/unibody/Core"/>
    <s v="Plastic"/>
    <x v="2"/>
    <x v="2"/>
    <d v="2025-03-07T00:00:00"/>
    <n v="0.2"/>
    <n v="0.32319999999999999"/>
    <n v="0.32319999999999999"/>
    <n v="0"/>
    <n v="0"/>
    <n v="1"/>
    <n v="2.3161999999999998"/>
    <n v="0"/>
    <n v="9642"/>
    <x v="39"/>
    <x v="253"/>
    <s v="RTP 299 AX 152528（PA+GF）(panting(5 color))"/>
    <s v="Black"/>
    <n v="1.56"/>
    <s v="  Ruicheng "/>
    <m/>
    <m/>
    <x v="64"/>
    <n v="0"/>
    <n v="295"/>
    <s v="2025年2月11日确认新单价-Srikanth"/>
  </r>
  <r>
    <x v="4"/>
    <s v="HP"/>
    <s v="Cleanout door"/>
    <s v="22150202015-16061490-00"/>
    <s v="JEE"/>
    <s v="X3 Pro/unibody/Core"/>
    <s v="Plastic"/>
    <x v="2"/>
    <x v="2"/>
    <d v="2025-03-07T00:00:00"/>
    <n v="0.2"/>
    <n v="0.6371"/>
    <n v="0.6371"/>
    <n v="0"/>
    <n v="0"/>
    <n v="1"/>
    <n v="1.5444"/>
    <n v="0"/>
    <n v="40202622"/>
    <x v="13"/>
    <x v="313"/>
    <s v="PC:LG LUPOY SC1004L(panting(5 color))+_x000a_TPU:BASF ELASTONLLAN 1190A"/>
    <s v="Azure blue"/>
    <n v="1.75"/>
    <s v="  Ruicheng "/>
    <m/>
    <m/>
    <x v="64"/>
    <n v="0"/>
    <n v="273"/>
    <s v="2025年2月11日确认新单价-Srikanth"/>
  </r>
  <r>
    <x v="9"/>
    <s v="HP"/>
    <s v="Cleanout door"/>
    <s v="22150202015-16061372-00"/>
    <s v="JEE"/>
    <s v="X3 Pro/unibody/Core"/>
    <s v="Plastic"/>
    <x v="2"/>
    <x v="2"/>
    <d v="2025-03-07T00:00:00"/>
    <n v="0.2"/>
    <n v="0.6371"/>
    <n v="0.6371"/>
    <n v="0"/>
    <n v="0"/>
    <n v="1"/>
    <n v="1.5444"/>
    <n v="0"/>
    <n v="7820"/>
    <x v="39"/>
    <x v="253"/>
    <s v="PC:LG LUPOY SC1004L(panting(5 color))+_x000a_TPU:BASF ELASTONLLAN 1190A"/>
    <s v="Black"/>
    <n v="1.75"/>
    <s v="  Ruicheng "/>
    <m/>
    <m/>
    <x v="64"/>
    <n v="0"/>
    <n v="273"/>
    <s v="2025年2月11日确认新单价-Srikanth"/>
  </r>
  <r>
    <x v="9"/>
    <s v="HP"/>
    <s v="Cleanout door"/>
    <s v="22150202015-16061560-00"/>
    <s v="JEE"/>
    <s v="X3 Pro/unibody/Core"/>
    <s v="Plastic"/>
    <x v="2"/>
    <x v="2"/>
    <d v="2025-03-07T00:00:00"/>
    <n v="0.2"/>
    <n v="0.6371"/>
    <n v="0.6371"/>
    <n v="0"/>
    <n v="0"/>
    <n v="1"/>
    <n v="1.5444"/>
    <n v="0"/>
    <n v="11206"/>
    <x v="39"/>
    <x v="253"/>
    <s v="PC:LG LUPOY SC1004L(panting(5 color))+_x000a_TPU:BASF ELASTONLLAN 1190A"/>
    <s v="peach"/>
    <n v="1.75"/>
    <s v="  Ruicheng "/>
    <m/>
    <m/>
    <x v="64"/>
    <n v="0"/>
    <n v="273"/>
    <s v="2025年2月11日确认新单价-Srikanth"/>
  </r>
  <r>
    <x v="9"/>
    <s v="HP"/>
    <s v="Cleanout door"/>
    <s v="22150202015-16061491-00"/>
    <s v="JEE"/>
    <s v="X3 Pro/unibody/Core"/>
    <s v="Plastic"/>
    <x v="2"/>
    <x v="2"/>
    <d v="2025-03-07T00:00:00"/>
    <n v="0.2"/>
    <n v="0.6371"/>
    <n v="0.6371"/>
    <n v="0"/>
    <n v="0"/>
    <n v="1"/>
    <n v="1.5444"/>
    <n v="1060"/>
    <n v="23500"/>
    <x v="39"/>
    <x v="253"/>
    <s v="PC:LG LUPOY SC1004L(panting(5 color))+_x000a_TPU:BASF ELASTONLLAN 1190A"/>
    <s v="Mint green"/>
    <n v="1.75"/>
    <s v="  Ruicheng "/>
    <m/>
    <m/>
    <x v="540"/>
    <n v="0"/>
    <n v="273"/>
    <s v="2025年2月11日确认新单价-Srikanth"/>
  </r>
  <r>
    <x v="4"/>
    <s v="HP"/>
    <s v="Button"/>
    <s v="22150202010-15185126-00"/>
    <s v="JEE"/>
    <s v="X3 Pro/unibody"/>
    <s v="Plastic"/>
    <x v="2"/>
    <x v="2"/>
    <d v="2025-03-07T00:00:00"/>
    <n v="0.4"/>
    <n v="0.78"/>
    <n v="0.78"/>
    <n v="0"/>
    <n v="0"/>
    <n v="1"/>
    <n v="0.91620000000000001"/>
    <n v="0"/>
    <n v="2118113"/>
    <x v="14"/>
    <x v="314"/>
    <s v="PC:LG LUPOY SC1004L-Colored"/>
    <s v="peach"/>
    <n v="0.57999999999999996"/>
    <s v="  Ruicheng "/>
    <m/>
    <m/>
    <x v="64"/>
    <n v="0"/>
    <n v="113"/>
    <s v="2025年2月11日确认新单价-Srikanth"/>
  </r>
  <r>
    <x v="9"/>
    <s v="HP"/>
    <s v="Button"/>
    <s v="22150202010-15918613-00"/>
    <s v="JEE"/>
    <s v="X3 Pro/unibody"/>
    <s v="Plastic"/>
    <x v="2"/>
    <x v="2"/>
    <d v="2025-03-07T00:00:00"/>
    <n v="0.4"/>
    <n v="0.78"/>
    <n v="0.78"/>
    <n v="0"/>
    <n v="0"/>
    <n v="1"/>
    <n v="0.91620000000000001"/>
    <n v="0"/>
    <n v="25704"/>
    <x v="39"/>
    <x v="253"/>
    <s v="PC:LG LUPOY SC1004L-Colored"/>
    <s v="Vine violet"/>
    <n v="0.57999999999999996"/>
    <s v="  Ruicheng "/>
    <m/>
    <m/>
    <x v="64"/>
    <n v="0"/>
    <n v="113"/>
    <s v="2025年2月11日确认新单价-Srikanth"/>
  </r>
  <r>
    <x v="4"/>
    <s v="HP"/>
    <s v="Crown Support"/>
    <s v="22150202008-14416668-00"/>
    <s v="JEE"/>
    <s v="X3 Pro"/>
    <s v="Plastic"/>
    <x v="2"/>
    <x v="2"/>
    <d v="2025-03-07T00:00:00"/>
    <n v="0.5"/>
    <n v="0.1278"/>
    <n v="0.1278"/>
    <n v="0"/>
    <n v="0"/>
    <n v="1"/>
    <n v="0.1278"/>
    <n v="0"/>
    <n v="1363057"/>
    <x v="15"/>
    <x v="315"/>
    <s v="POM C9021 black"/>
    <s v="Black"/>
    <n v="0.76"/>
    <s v="  Ruicheng "/>
    <m/>
    <m/>
    <x v="64"/>
    <n v="0"/>
    <n v="58"/>
    <s v="2025年2月11日确认新单价-Srikanth"/>
  </r>
  <r>
    <x v="4"/>
    <s v="HP"/>
    <s v="Connector frame"/>
    <s v="22150202017-15038886-00"/>
    <s v="JEE"/>
    <s v="X3 Pro"/>
    <s v="Plastic"/>
    <x v="2"/>
    <x v="2"/>
    <d v="2025-03-07T00:00:00"/>
    <n v="0.4"/>
    <n v="0.17249999999999999"/>
    <n v="0.17249999999999999"/>
    <n v="0"/>
    <n v="0"/>
    <n v="1"/>
    <n v="0.17249999999999999"/>
    <n v="28801"/>
    <n v="1221447"/>
    <x v="9"/>
    <x v="316"/>
    <s v="PC(PCR):LUPOY ER1000MA_RC00101"/>
    <s v="transparent"/>
    <n v="1.17"/>
    <s v="  Ruicheng "/>
    <m/>
    <m/>
    <x v="541"/>
    <n v="0"/>
    <n v="34"/>
    <s v="2025年2月11日确认新单价-Srikanth"/>
  </r>
  <r>
    <x v="4"/>
    <s v="HP"/>
    <s v="Spin Wheel"/>
    <s v="22150202009-14416414-00"/>
    <s v="JEE"/>
    <s v="X3 Pro/unibody/Core"/>
    <s v="Plastic"/>
    <x v="2"/>
    <x v="2"/>
    <d v="2025-03-07T00:00:00"/>
    <n v="0.5"/>
    <n v="0.128"/>
    <n v="0.128"/>
    <n v="0"/>
    <n v="0"/>
    <n v="1"/>
    <n v="0.1285"/>
    <n v="51400"/>
    <n v="3068940"/>
    <x v="9"/>
    <x v="317"/>
    <s v=" PC:LG LUPOY SC1004L-Colored "/>
    <s v="Black"/>
    <n v="0.69499999999999995"/>
    <s v=" Ruicheng"/>
    <m/>
    <m/>
    <x v="542"/>
    <n v="0"/>
    <n v="185"/>
    <s v="2025年2月11日确认新单价-Srikanth"/>
  </r>
  <r>
    <x v="4"/>
    <s v="HP"/>
    <s v="Display bracket"/>
    <s v="22150202021-14416669-00"/>
    <s v="JEE"/>
    <s v="X3 Pro/unibody/Core"/>
    <s v="Plastic"/>
    <x v="2"/>
    <x v="2"/>
    <d v="2025-03-07T00:00:00"/>
    <n v="0.5"/>
    <n v="2.4180000000000001"/>
    <n v="2.4180000000000001"/>
    <n v="0"/>
    <n v="0"/>
    <n v="1"/>
    <n v="2.5636999999999999"/>
    <n v="120000"/>
    <n v="2966979"/>
    <x v="16"/>
    <x v="318"/>
    <s v="PC  PCRLUPOY GP1000MA BC90515 40%半透黑"/>
    <s v="Black"/>
    <n v="3.41"/>
    <s v=" Ruicheng"/>
    <s v=" Painting "/>
    <n v="1.76"/>
    <x v="543"/>
    <n v="211200"/>
    <n v="618"/>
    <s v="2025年2月11日确认新单价-Srikanth"/>
  </r>
  <r>
    <x v="4"/>
    <s v="HP"/>
    <s v=" PCBA Bracket "/>
    <s v="22150202018-14416761-00"/>
    <s v="JEE"/>
    <s v="X3 Pro/unibody/Core"/>
    <s v="Plastic"/>
    <x v="2"/>
    <x v="2"/>
    <d v="2025-03-07T00:00:00"/>
    <n v="0.2"/>
    <n v="0.156"/>
    <n v="0.156"/>
    <n v="0"/>
    <n v="0"/>
    <n v="1"/>
    <n v="0.1608"/>
    <n v="0"/>
    <n v="3115274"/>
    <x v="9"/>
    <x v="319"/>
    <s v="PC+50%PCR LUPOY ER1004N BC90513 black"/>
    <s v="Black"/>
    <n v="1.1200000000000001"/>
    <s v="  Ruicheng "/>
    <m/>
    <n v="0"/>
    <x v="64"/>
    <n v="0"/>
    <n v="322"/>
    <s v="2025年2月11日确认新单价-Srikanth"/>
  </r>
  <r>
    <x v="4"/>
    <s v="HP"/>
    <s v=" Shut Door"/>
    <s v="22150202007-14416663-00"/>
    <s v="JEE"/>
    <s v="X3 Hyper Pro/uinbody pro/core"/>
    <s v="Plastic"/>
    <x v="2"/>
    <x v="2"/>
    <d v="2025-03-07T00:00:00"/>
    <n v="0.5"/>
    <n v="0.12280000000000001"/>
    <n v="0.12280000000000001"/>
    <n v="0"/>
    <n v="0"/>
    <n v="1"/>
    <n v="0.12280000000000001"/>
    <n v="0"/>
    <n v="3603785"/>
    <x v="17"/>
    <x v="320"/>
    <s v="POM C9021 black"/>
    <s v="Black"/>
    <n v="0.52"/>
    <s v="  Ruicheng "/>
    <m/>
    <m/>
    <x v="64"/>
    <n v="0"/>
    <n v="133"/>
    <s v="2025年2月11日确认新单价-Srikanth"/>
  </r>
  <r>
    <x v="5"/>
    <s v="HP"/>
    <s v="Crown Support"/>
    <s v="23590202001-15365695-00"/>
    <s v="JEE"/>
    <s v="X3 uinbody /core"/>
    <s v="Plastic"/>
    <x v="2"/>
    <x v="2"/>
    <d v="2025-03-07T00:00:00"/>
    <n v="0.2"/>
    <n v="0.12"/>
    <n v="0.12"/>
    <n v="0"/>
    <n v="0"/>
    <n v="1"/>
    <n v="0.12559999999999999"/>
    <n v="38000"/>
    <n v="2339912"/>
    <x v="9"/>
    <x v="321"/>
    <s v="PC LG LUPOY SC1004L"/>
    <s v="Black"/>
    <n v="0.7"/>
    <s v="  Ruicheng "/>
    <m/>
    <m/>
    <x v="544"/>
    <n v="0"/>
    <n v="167"/>
    <s v="2025年2月11日确认新单价-Srikanth"/>
  </r>
  <r>
    <x v="5"/>
    <s v="HP"/>
    <s v="Connector frame"/>
    <s v="23590202001-15038886-00"/>
    <s v="JEE"/>
    <s v="X3 Hyper core/unibody"/>
    <s v="Plastic"/>
    <x v="2"/>
    <x v="2"/>
    <d v="2025-03-07T00:00:00"/>
    <n v="0.4"/>
    <n v="0.14399999999999999"/>
    <n v="0.14399999999999999"/>
    <n v="0"/>
    <n v="0"/>
    <n v="1"/>
    <n v="0.2757"/>
    <n v="28801"/>
    <n v="1822886"/>
    <x v="18"/>
    <x v="322"/>
    <s v="PC+50%PCR LUPOY ER1000MA BC90515 （80%）透光"/>
    <s v="transparent"/>
    <n v="1.72"/>
    <s v="  Ruicheng "/>
    <m/>
    <m/>
    <x v="545"/>
    <n v="0"/>
    <n v="226"/>
    <s v="2025年2月11日确认新单价-Srikanth"/>
  </r>
  <r>
    <x v="5"/>
    <s v="HP"/>
    <s v="Battery carrier"/>
    <s v="23480202012-16562410-00"/>
    <s v="JEE"/>
    <s v="X3 Core"/>
    <s v="Plastic"/>
    <x v="2"/>
    <x v="2"/>
    <d v="2025-03-07T00:00:00"/>
    <n v="0.4"/>
    <n v="0.80869999999999997"/>
    <n v="1.0757000000000001"/>
    <n v="0.26700000000000002"/>
    <n v="0.10680000000000001"/>
    <n v="1"/>
    <n v="0.80869999999999997"/>
    <n v="11088"/>
    <n v="904355"/>
    <x v="19"/>
    <x v="345"/>
    <s v="PC+75%PCR LUPOY ER1006FZ BC90513"/>
    <s v="Black"/>
    <n v="5.75"/>
    <s v="  Ruicheng "/>
    <m/>
    <m/>
    <x v="546"/>
    <n v="0"/>
    <n v="218"/>
    <s v="2025年2月11日确认新单价-Srikanth"/>
  </r>
  <r>
    <x v="5"/>
    <s v="HP"/>
    <s v="Shutter Door Support"/>
    <s v="23480202005-16562024-00"/>
    <s v="JEE"/>
    <s v="X3 uinbody pro/core"/>
    <s v="Plastic"/>
    <x v="2"/>
    <x v="2"/>
    <d v="2025-03-07T00:00:00"/>
    <n v="0.2"/>
    <n v="0.52349999999999997"/>
    <n v="0.70150000000000001"/>
    <n v="0.17799999999999999"/>
    <n v="0.10680000000000001"/>
    <n v="1"/>
    <n v="0.61240000000000006"/>
    <n v="-9680"/>
    <n v="1694267"/>
    <x v="19"/>
    <x v="346"/>
    <s v="PC+50%PCR LUPOY ER1004N BC90513+_x000a_BASF TPU 60A ELASTOLLAN  SP9324 BLACK"/>
    <s v="Black"/>
    <n v="3.27"/>
    <s v="  Ruicheng "/>
    <m/>
    <m/>
    <x v="547"/>
    <n v="0"/>
    <n v="404"/>
    <s v="2025年2月11日确认新单价-Srikanth"/>
  </r>
  <r>
    <x v="5"/>
    <s v="HP"/>
    <s v="Button Bracket"/>
    <s v="23480202011-16562262-00"/>
    <s v="JEE"/>
    <s v="X3 Core"/>
    <s v="Plastic"/>
    <x v="2"/>
    <x v="2"/>
    <d v="2025-03-07T00:00:00"/>
    <n v="0.5"/>
    <n v="0.29380000000000001"/>
    <n v="0.41710000000000003"/>
    <n v="0.12330000000000001"/>
    <n v="6.1699999999999998E-2"/>
    <n v="1"/>
    <n v="0.29380000000000001"/>
    <n v="49500"/>
    <n v="1260235"/>
    <x v="21"/>
    <x v="347"/>
    <s v="PC+50%PCR LUPOY ER1004N BC90513 black"/>
    <s v="Black"/>
    <n v="1.78"/>
    <s v="  Ruicheng "/>
    <m/>
    <m/>
    <x v="548"/>
    <n v="0"/>
    <s v=" -   "/>
    <s v="2025年2月11日确认新单价-Srikanth"/>
  </r>
  <r>
    <x v="5"/>
    <s v="HP"/>
    <s v="Button"/>
    <s v="23480202017-16869567-00"/>
    <s v="JEE"/>
    <s v="X3 Core"/>
    <s v="Plastic"/>
    <x v="2"/>
    <x v="2"/>
    <d v="2025-03-07T00:00:00"/>
    <n v="0.5"/>
    <n v="1.0629"/>
    <n v="1.1322000000000001"/>
    <n v="6.93E-2"/>
    <n v="3.4700000000000002E-2"/>
    <n v="1"/>
    <n v="1.0629"/>
    <n v="5555"/>
    <n v="1153339"/>
    <x v="22"/>
    <x v="348"/>
    <s v="LUPOY ER1000MA E6098"/>
    <s v="transparent black"/>
    <n v="2.38"/>
    <s v="  Ruicheng "/>
    <s v=" Painting "/>
    <n v="0.8"/>
    <x v="549"/>
    <n v="4444"/>
    <n v="286"/>
    <s v="2025年2月11日确认新单价-Srikanth"/>
  </r>
  <r>
    <x v="5"/>
    <s v="HP"/>
    <s v="Button"/>
    <s v="23480202017-16917637-00"/>
    <s v="JEE"/>
    <s v="X3 Core"/>
    <s v="Plastic"/>
    <x v="2"/>
    <x v="2"/>
    <d v="2025-03-07T00:00:00"/>
    <n v="0.5"/>
    <n v="1.0629"/>
    <n v="1.1322000000000001"/>
    <n v="6.93E-2"/>
    <n v="3.4700000000000002E-2"/>
    <n v="1"/>
    <n v="1.0629"/>
    <n v="6000"/>
    <n v="30500"/>
    <x v="39"/>
    <x v="253"/>
    <s v="LUPOY ER1000MA E6098"/>
    <s v="transparent grey"/>
    <n v="2.38"/>
    <s v="  Ruicheng "/>
    <s v=" Painting "/>
    <n v="0.8"/>
    <x v="550"/>
    <n v="4800"/>
    <n v="286"/>
    <s v="2025年2月11日确认新单价-Srikanth"/>
  </r>
  <r>
    <x v="5"/>
    <s v="HP"/>
    <s v="Light guide"/>
    <s v="23480202018-16562213-00"/>
    <s v="JEE"/>
    <s v="X3 Core"/>
    <s v="Plastic"/>
    <x v="2"/>
    <x v="2"/>
    <d v="2025-03-07T00:00:00"/>
    <n v="0.2"/>
    <n v="0.41389999999999999"/>
    <n v="0.54320000000000002"/>
    <n v="0.1293"/>
    <n v="5.1700000000000003E-2"/>
    <n v="1"/>
    <n v="0.41389999999999999"/>
    <n v="26300"/>
    <n v="55300"/>
    <x v="23"/>
    <x v="349"/>
    <s v="PC:LG LUPOY GP1000M  透明（1st shot)_x000a_BASF TPU 60A ELASTOLLAN  SP9324 BLACK（2nd shot)"/>
    <s v="Black"/>
    <n v="3.67"/>
    <s v="  Ruicheng "/>
    <m/>
    <m/>
    <x v="551"/>
    <n v="0"/>
    <n v="257"/>
    <s v="2025年2月11日确认新单价-Srikanth"/>
  </r>
  <r>
    <x v="5"/>
    <s v="HP"/>
    <s v="Crown Support"/>
    <n v="23590202001"/>
    <s v="JEE"/>
    <s v="X3 Core"/>
    <s v="Plastic"/>
    <x v="2"/>
    <x v="2"/>
    <d v="2025-03-07T00:00:00"/>
    <n v="0.4"/>
    <m/>
    <m/>
    <m/>
    <m/>
    <m/>
    <m/>
    <n v="0"/>
    <n v="0"/>
    <x v="35"/>
    <x v="299"/>
    <m/>
    <m/>
    <m/>
    <m/>
    <m/>
    <m/>
    <x v="446"/>
    <m/>
    <m/>
    <s v="ECN cost pending for amortized_x000a_no indicated to product"/>
  </r>
  <r>
    <x v="10"/>
    <s v="MODI"/>
    <s v="protective shell"/>
    <n v="120040670018926"/>
    <s v="JEE"/>
    <s v="unique"/>
    <s v="Metal"/>
    <x v="2"/>
    <x v="2"/>
    <d v="2025-03-07T00:00:00"/>
    <n v="0.3"/>
    <n v="0.42570000000000002"/>
    <n v="0.42709999999999998"/>
    <n v="1.4002579999999999E-3"/>
    <n v="4.0000000000000002E-4"/>
    <n v="1"/>
    <n v="0.42570000000000002"/>
    <n v="0"/>
    <n v="11211518"/>
    <x v="41"/>
    <x v="329"/>
    <s v=" Al6063 "/>
    <s v="Primary colour"/>
    <n v="8.3000000000000007"/>
    <s v=" Weihua "/>
    <m/>
    <s v=" ¥-   "/>
    <x v="552"/>
    <s v=" ¥-   "/>
    <s v=" -   "/>
    <m/>
  </r>
  <r>
    <x v="11"/>
    <s v="MODI"/>
    <s v="protective shell"/>
    <n v="120040670025620"/>
    <s v="JEE"/>
    <s v="unique"/>
    <s v="Metal"/>
    <x v="2"/>
    <x v="2"/>
    <d v="2025-03-07T00:00:00"/>
    <n v="0.3"/>
    <n v="0.92"/>
    <n v="0.92"/>
    <n v="0"/>
    <s v=" ¥-   "/>
    <n v="1"/>
    <n v="0.92"/>
    <n v="0"/>
    <n v="7056954"/>
    <x v="39"/>
    <x v="268"/>
    <s v=" Al6063 "/>
    <s v="Primary colour"/>
    <n v="12.43"/>
    <s v=" Weihua "/>
    <m/>
    <s v=" ¥-   "/>
    <x v="552"/>
    <s v=" ¥-   "/>
    <s v=" -   "/>
    <m/>
  </r>
  <r>
    <x v="12"/>
    <s v="MODI"/>
    <s v="protective shell"/>
    <n v="120040670017654"/>
    <s v="JEE"/>
    <s v="unique"/>
    <s v="Metal"/>
    <x v="2"/>
    <x v="2"/>
    <d v="2025-03-07T00:00:00"/>
    <n v="0.3"/>
    <n v="0.34649999999999997"/>
    <n v="0.34739999999999999"/>
    <n v="8.9999999999999998E-4"/>
    <n v="2.9999999999999997E-4"/>
    <n v="1"/>
    <n v="0.34649999999999997"/>
    <n v="515088"/>
    <n v="742646"/>
    <x v="42"/>
    <x v="350"/>
    <s v=" Al6063 "/>
    <s v="Primary colour"/>
    <n v="7.2"/>
    <s v=" Weihua "/>
    <m/>
    <n v="0"/>
    <x v="553"/>
    <n v="0"/>
    <n v="3709"/>
    <m/>
  </r>
  <r>
    <x v="8"/>
    <s v="RCS DEVICE"/>
    <s v="Battery holder"/>
    <n v="130020390000222"/>
    <s v="JEE"/>
    <s v="unique"/>
    <s v="Plastic"/>
    <x v="2"/>
    <x v="2"/>
    <d v="2025-03-07T00:00:00"/>
    <n v="0.5"/>
    <n v="0.42270000000000002"/>
    <n v="0.42270000000000002"/>
    <n v="0"/>
    <n v="0"/>
    <n v="1"/>
    <n v="0.25"/>
    <n v="0"/>
    <n v="14108401"/>
    <x v="43"/>
    <x v="50"/>
    <s v=" PCTG TX1501HF "/>
    <s v="Black"/>
    <n v="2.09"/>
    <s v="Makrolon"/>
    <m/>
    <n v="0"/>
    <x v="64"/>
    <n v="0"/>
    <n v="0"/>
    <m/>
  </r>
  <r>
    <x v="6"/>
    <s v="RCS POD"/>
    <s v="Cartomizer tube"/>
    <n v="130010390000214"/>
    <s v="JEE"/>
    <s v="unique"/>
    <s v="Plastic"/>
    <x v="2"/>
    <x v="2"/>
    <d v="2025-03-07T00:00:00"/>
    <n v="0.5"/>
    <n v="0.25380000000000003"/>
    <n v="0.28599999999999998"/>
    <n v="3.2199999999999999E-2"/>
    <n v="1.61E-2"/>
    <n v="1"/>
    <n v="0.25"/>
    <n v="14494200"/>
    <n v="515515354"/>
    <x v="44"/>
    <x v="351"/>
    <s v=" PCTG TX1501HF "/>
    <s v="transparent"/>
    <n v="2.09"/>
    <s v=" Eastman "/>
    <m/>
    <n v="0"/>
    <x v="554"/>
    <n v="0"/>
    <n v="30293"/>
    <s v="Indonesia"/>
  </r>
  <r>
    <x v="6"/>
    <s v="RCS POD"/>
    <s v="Heating holder"/>
    <n v="130010390000215"/>
    <s v="JEE"/>
    <s v="unique"/>
    <s v="Plastic"/>
    <x v="2"/>
    <x v="2"/>
    <d v="2025-03-07T00:00:00"/>
    <n v="0.5"/>
    <n v="7.6499999999999999E-2"/>
    <n v="8.9399999999999993E-2"/>
    <n v="1.29E-2"/>
    <n v="6.4000000000000003E-3"/>
    <n v="1"/>
    <n v="0.08"/>
    <n v="14640000"/>
    <n v="527178534"/>
    <x v="45"/>
    <x v="352"/>
    <s v=" PCTG TX1501HF "/>
    <s v="transparent"/>
    <n v="0.31"/>
    <s v=" Eastman "/>
    <m/>
    <n v="0"/>
    <x v="555"/>
    <n v="0"/>
    <n v="4538"/>
    <s v="Indonesia"/>
  </r>
  <r>
    <x v="6"/>
    <s v="RCS POD"/>
    <s v="Heater top cover"/>
    <s v="130010390000216"/>
    <s v="JEE"/>
    <s v="unique"/>
    <s v="Plastic"/>
    <x v="2"/>
    <x v="2"/>
    <d v="2025-03-07T00:00:00"/>
    <n v="0.5"/>
    <n v="8.5800000000000001E-2"/>
    <n v="9.9400000000000002E-2"/>
    <n v="1.3599999999999999E-2"/>
    <n v="6.7999999999999996E-3"/>
    <n v="1"/>
    <n v="0.09"/>
    <n v="14688000"/>
    <n v="535376511"/>
    <x v="46"/>
    <x v="353"/>
    <s v=" PCTG TX1501HF "/>
    <s v="transparent"/>
    <n v="0.5"/>
    <s v=" Eastman "/>
    <m/>
    <n v="0"/>
    <x v="556"/>
    <n v="0"/>
    <n v="7344"/>
    <s v="Indonesia"/>
  </r>
  <r>
    <x v="6"/>
    <s v="RCS POD"/>
    <s v="Cartomizer holder tap"/>
    <n v="130010390000221"/>
    <s v="JEE"/>
    <s v="unique"/>
    <s v="Plastic"/>
    <x v="2"/>
    <x v="2"/>
    <d v="2025-03-07T00:00:00"/>
    <n v="0.5"/>
    <n v="0.113"/>
    <n v="0.11940000000000001"/>
    <n v="6.4000000000000003E-3"/>
    <n v="3.2000000000000002E-3"/>
    <n v="1"/>
    <n v="0.11"/>
    <n v="14448000"/>
    <n v="532367613"/>
    <x v="47"/>
    <x v="354"/>
    <s v="PC2456"/>
    <s v="Black"/>
    <n v="1.29"/>
    <s v="Covestro"/>
    <m/>
    <n v="0"/>
    <x v="557"/>
    <n v="0"/>
    <n v="18638"/>
    <s v="Indonesia"/>
  </r>
  <r>
    <x v="6"/>
    <s v="RCS POD"/>
    <s v="Cartomizer tube"/>
    <n v="130010390000214"/>
    <s v="JEE"/>
    <s v="unique"/>
    <s v="Plastic"/>
    <x v="2"/>
    <x v="2"/>
    <d v="2025-03-07T00:00:00"/>
    <n v="0.5"/>
    <n v="0.25"/>
    <n v="0.28000000000000003"/>
    <n v="0.03"/>
    <n v="1.4999999999999999E-2"/>
    <n v="1"/>
    <n v="0.25"/>
    <n v="0"/>
    <n v="0"/>
    <x v="36"/>
    <x v="304"/>
    <s v=" PCTG TX1501HF "/>
    <s v="transparent"/>
    <n v="2.09"/>
    <s v=" Eastman "/>
    <m/>
    <n v="0"/>
    <x v="64"/>
    <n v="0"/>
    <s v=" -   "/>
    <s v="Indonesia-New tool"/>
  </r>
  <r>
    <x v="6"/>
    <s v="RCS POD"/>
    <s v="Heating holder"/>
    <n v="130010390000215"/>
    <s v="JEE"/>
    <s v="unique"/>
    <s v="Plastic"/>
    <x v="2"/>
    <x v="2"/>
    <d v="2025-03-07T00:00:00"/>
    <n v="0.5"/>
    <n v="0.08"/>
    <n v="0.09"/>
    <n v="0.02"/>
    <n v="0.01"/>
    <n v="1"/>
    <n v="0.08"/>
    <n v="0"/>
    <n v="0"/>
    <x v="37"/>
    <x v="305"/>
    <s v=" PCTG TX1501HF "/>
    <s v="transparent"/>
    <n v="0.31"/>
    <s v=" Eastman "/>
    <m/>
    <n v="0"/>
    <x v="64"/>
    <n v="0"/>
    <s v=" -   "/>
    <s v="Indonesia-New tool"/>
  </r>
  <r>
    <x v="6"/>
    <s v="RCS POD"/>
    <s v="Heater top cover"/>
    <n v="130010390000216"/>
    <s v="JEE"/>
    <s v="unique"/>
    <s v="Plastic"/>
    <x v="2"/>
    <x v="2"/>
    <d v="2025-03-07T00:00:00"/>
    <n v="0.5"/>
    <n v="0.09"/>
    <n v="0.1"/>
    <n v="0.02"/>
    <n v="0.01"/>
    <n v="1"/>
    <n v="0.09"/>
    <n v="0"/>
    <n v="0"/>
    <x v="37"/>
    <x v="305"/>
    <s v=" PCTG TX1501HF "/>
    <s v="transparent"/>
    <n v="0.5"/>
    <s v=" Eastman "/>
    <m/>
    <n v="0"/>
    <x v="64"/>
    <n v="0"/>
    <s v=" -   "/>
    <s v="Indonesia-New tool"/>
  </r>
  <r>
    <x v="6"/>
    <s v="RCS POD"/>
    <s v="Cartomizer holder tap"/>
    <n v="130010390000221"/>
    <s v="JEE"/>
    <s v="unique"/>
    <s v="Plastic"/>
    <x v="2"/>
    <x v="2"/>
    <d v="2025-03-07T00:00:00"/>
    <n v="0.5"/>
    <n v="0.11"/>
    <n v="0.13"/>
    <n v="0.01"/>
    <n v="5.0000000000000001E-3"/>
    <n v="1"/>
    <n v="0.11"/>
    <n v="0"/>
    <n v="0"/>
    <x v="38"/>
    <x v="306"/>
    <s v="PC2456"/>
    <s v="Black"/>
    <n v="1.29"/>
    <s v="Covestro"/>
    <m/>
    <n v="0"/>
    <x v="64"/>
    <n v="0"/>
    <s v=" -   "/>
    <s v="Indonesia-New tool"/>
  </r>
  <r>
    <x v="13"/>
    <s v="HP"/>
    <s v="Housing"/>
    <n v="120020670059452"/>
    <s v="JEE"/>
    <s v="unique"/>
    <s v="Metal"/>
    <x v="2"/>
    <x v="2"/>
    <d v="2025-03-07T00:00:00"/>
    <n v="0.5"/>
    <n v="24.844000000000001"/>
    <n v="25.105"/>
    <n v="0.26100000000000001"/>
    <n v="0.1305"/>
    <n v="1"/>
    <n v="24.844000000000001"/>
    <m/>
    <n v="0"/>
    <x v="51"/>
    <x v="336"/>
    <s v="Al6063"/>
    <s v="Black"/>
    <n v="19.760000000000002"/>
    <s v="weihua"/>
    <m/>
    <n v="11.66"/>
    <x v="64"/>
    <n v="0"/>
    <s v=" -   "/>
    <s v="DP"/>
  </r>
  <r>
    <x v="13"/>
    <s v="HP"/>
    <s v="Housing"/>
    <n v="120020670075269"/>
    <s v="JEE"/>
    <s v="unique"/>
    <s v="Metal"/>
    <x v="2"/>
    <x v="2"/>
    <d v="2025-03-07T00:00:00"/>
    <n v="0.5"/>
    <n v="24.844000000000001"/>
    <n v="25.105"/>
    <n v="0.26100000000000001"/>
    <n v="0.1305"/>
    <n v="1"/>
    <n v="24.844000000000001"/>
    <m/>
    <n v="0"/>
    <x v="39"/>
    <x v="253"/>
    <s v="Al6063"/>
    <s v="blue"/>
    <n v="19.760000000000002"/>
    <s v="weihua"/>
    <m/>
    <n v="11.66"/>
    <x v="64"/>
    <n v="0"/>
    <s v=" -   "/>
    <s v="DP"/>
  </r>
  <r>
    <x v="13"/>
    <s v="HP"/>
    <s v="Housing"/>
    <n v="120020670100568"/>
    <s v="JEE"/>
    <s v="unique"/>
    <s v="Metal"/>
    <x v="2"/>
    <x v="2"/>
    <d v="2025-03-07T00:00:00"/>
    <n v="0.5"/>
    <n v="24.844000000000001"/>
    <n v="25.105"/>
    <n v="0.26100000000000001"/>
    <n v="0.1305"/>
    <n v="1"/>
    <n v="24.844000000000001"/>
    <m/>
    <n v="0"/>
    <x v="39"/>
    <x v="253"/>
    <s v="Al6063"/>
    <s v="gold"/>
    <n v="19.760000000000002"/>
    <s v="weihua"/>
    <m/>
    <n v="11.66"/>
    <x v="64"/>
    <n v="0"/>
    <s v=" -   "/>
    <s v="DP"/>
  </r>
  <r>
    <x v="13"/>
    <s v="HP"/>
    <s v="Housing"/>
    <n v="120020670100562"/>
    <s v="JEE"/>
    <s v="unique"/>
    <s v="Metal"/>
    <x v="2"/>
    <x v="2"/>
    <d v="2025-03-07T00:00:00"/>
    <n v="0.5"/>
    <n v="24.844000000000001"/>
    <n v="25.105"/>
    <n v="0.26100000000000001"/>
    <n v="0.1305"/>
    <n v="1"/>
    <n v="24.844000000000001"/>
    <m/>
    <n v="0"/>
    <x v="39"/>
    <x v="253"/>
    <s v="Al6063"/>
    <s v="red"/>
    <n v="19.760000000000002"/>
    <s v="weihua"/>
    <m/>
    <n v="11.66"/>
    <x v="64"/>
    <n v="0"/>
    <s v=" -   "/>
    <s v="DP"/>
  </r>
  <r>
    <x v="13"/>
    <s v="HP"/>
    <s v="Top cover"/>
    <n v="120020670059451"/>
    <s v="JEE"/>
    <s v="unique"/>
    <s v="Metal"/>
    <x v="2"/>
    <x v="2"/>
    <d v="2025-03-07T00:00:00"/>
    <n v="0.5"/>
    <n v="20.678999999999998"/>
    <n v="20.806999999999999"/>
    <n v="0.128"/>
    <n v="6.4000000000000001E-2"/>
    <n v="1"/>
    <n v="20.678999999999998"/>
    <m/>
    <n v="0"/>
    <x v="52"/>
    <x v="337"/>
    <s v="Al6063"/>
    <s v="Black"/>
    <n v="20.6"/>
    <s v="jinqiao"/>
    <m/>
    <n v="8.9499999999999993"/>
    <x v="64"/>
    <n v="0"/>
    <s v=" -   "/>
    <s v="DP"/>
  </r>
  <r>
    <x v="13"/>
    <s v="HP"/>
    <s v="Top cover"/>
    <n v="120020670074687"/>
    <s v="JEE"/>
    <s v="unique"/>
    <s v="Metal"/>
    <x v="2"/>
    <x v="2"/>
    <d v="2025-03-07T00:00:00"/>
    <n v="0.5"/>
    <n v="20.678999999999998"/>
    <n v="20.806999999999999"/>
    <n v="0.128"/>
    <n v="6.4000000000000001E-2"/>
    <n v="1"/>
    <n v="20.678999999999998"/>
    <m/>
    <n v="0"/>
    <x v="39"/>
    <x v="253"/>
    <s v="Al6063"/>
    <s v="blue"/>
    <n v="20.6"/>
    <s v="jinqiao"/>
    <m/>
    <n v="8.9499999999999993"/>
    <x v="64"/>
    <n v="0"/>
    <s v=" -   "/>
    <s v="DP"/>
  </r>
  <r>
    <x v="13"/>
    <s v="HP"/>
    <s v="Top cover"/>
    <n v="120020670100487"/>
    <s v="JEE"/>
    <s v="unique"/>
    <s v="Metal"/>
    <x v="2"/>
    <x v="2"/>
    <d v="2025-03-07T00:00:00"/>
    <n v="0.5"/>
    <n v="20.678999999999998"/>
    <n v="20.806999999999999"/>
    <n v="0.128"/>
    <n v="6.4000000000000001E-2"/>
    <n v="1"/>
    <n v="20.678999999999998"/>
    <m/>
    <n v="0"/>
    <x v="39"/>
    <x v="253"/>
    <s v="Al6063"/>
    <s v="gold"/>
    <n v="20.6"/>
    <s v="jinqiao"/>
    <m/>
    <n v="8.9499999999999993"/>
    <x v="64"/>
    <n v="0"/>
    <s v=" -   "/>
    <s v="DP"/>
  </r>
  <r>
    <x v="13"/>
    <s v="HP"/>
    <s v="Top cover"/>
    <n v="120020670100483"/>
    <s v="JEE"/>
    <s v="unique"/>
    <s v="Metal"/>
    <x v="2"/>
    <x v="2"/>
    <d v="2025-03-07T00:00:00"/>
    <n v="0.5"/>
    <n v="20.678999999999998"/>
    <n v="20.806999999999999"/>
    <n v="0.128"/>
    <n v="6.4000000000000001E-2"/>
    <n v="1"/>
    <n v="20.678999999999998"/>
    <m/>
    <n v="0"/>
    <x v="39"/>
    <x v="253"/>
    <s v="Al6063"/>
    <s v="red"/>
    <n v="20.6"/>
    <s v="jinqiao"/>
    <m/>
    <n v="8.9499999999999993"/>
    <x v="64"/>
    <n v="0"/>
    <s v=" -   "/>
    <s v="DP"/>
  </r>
  <r>
    <x v="13"/>
    <s v="HP"/>
    <s v="Slider bracket"/>
    <n v="120020670059261"/>
    <s v="JEE"/>
    <s v="unique"/>
    <s v="Metal"/>
    <x v="2"/>
    <x v="2"/>
    <d v="2025-03-07T00:00:00"/>
    <n v="0.5"/>
    <n v="2.44"/>
    <n v="2.4569999999999999"/>
    <n v="1.7000000000000001E-2"/>
    <n v="8.5000000000000006E-3"/>
    <n v="1"/>
    <n v="2.44"/>
    <m/>
    <n v="0"/>
    <x v="53"/>
    <x v="338"/>
    <s v="Al6063"/>
    <s v="Black"/>
    <n v="4.01"/>
    <s v="jinqiao"/>
    <m/>
    <n v="0.11"/>
    <x v="64"/>
    <n v="0"/>
    <s v=" -   "/>
    <s v="DP"/>
  </r>
  <r>
    <x v="13"/>
    <s v="HP"/>
    <s v="Slider bracket"/>
    <n v="120020670075217"/>
    <s v="JEE"/>
    <s v="unique"/>
    <s v="Metal"/>
    <x v="2"/>
    <x v="2"/>
    <d v="2025-03-07T00:00:00"/>
    <n v="0.5"/>
    <n v="2.44"/>
    <n v="2.4569999999999999"/>
    <n v="1.7000000000000001E-2"/>
    <n v="8.5000000000000006E-3"/>
    <n v="1"/>
    <n v="2.44"/>
    <m/>
    <n v="0"/>
    <x v="39"/>
    <x v="253"/>
    <s v="Al6063"/>
    <s v="blue"/>
    <n v="4.01"/>
    <s v="jinqiao"/>
    <m/>
    <n v="0.11"/>
    <x v="64"/>
    <n v="0"/>
    <s v=" -   "/>
    <s v="DP"/>
  </r>
  <r>
    <x v="13"/>
    <s v="HP"/>
    <s v="Slider bracket"/>
    <n v="120020670101988"/>
    <s v="JEE"/>
    <s v="unique"/>
    <s v="Metal"/>
    <x v="2"/>
    <x v="2"/>
    <d v="2025-03-07T00:00:00"/>
    <n v="0.5"/>
    <n v="2.44"/>
    <n v="2.4569999999999999"/>
    <n v="1.7000000000000001E-2"/>
    <n v="8.5000000000000006E-3"/>
    <n v="1"/>
    <n v="2.44"/>
    <m/>
    <n v="0"/>
    <x v="39"/>
    <x v="253"/>
    <s v="Al6063"/>
    <s v="red"/>
    <n v="4.01"/>
    <s v="jinqiao"/>
    <m/>
    <n v="0.11"/>
    <x v="64"/>
    <n v="0"/>
    <s v=" -   "/>
    <s v="DP"/>
  </r>
  <r>
    <x v="13"/>
    <s v="HP"/>
    <s v="Slider bracket"/>
    <n v="120020670101992"/>
    <s v="JEE"/>
    <s v="unique"/>
    <s v="Metal"/>
    <x v="2"/>
    <x v="2"/>
    <d v="2025-03-07T00:00:00"/>
    <n v="0.5"/>
    <n v="2.44"/>
    <n v="2.4569999999999999"/>
    <n v="1.7000000000000001E-2"/>
    <n v="8.5000000000000006E-3"/>
    <n v="1"/>
    <n v="2.44"/>
    <m/>
    <n v="0"/>
    <x v="39"/>
    <x v="253"/>
    <s v="Al6063"/>
    <s v="gold"/>
    <n v="4.01"/>
    <s v="jinqiao"/>
    <m/>
    <n v="0.11"/>
    <x v="64"/>
    <n v="0"/>
    <s v=" -   "/>
    <s v="DP"/>
  </r>
  <r>
    <x v="13"/>
    <s v="HP"/>
    <s v="Slider cover"/>
    <n v="240000090201002"/>
    <s v="JEE"/>
    <s v="unique"/>
    <s v="Metal"/>
    <x v="2"/>
    <x v="2"/>
    <d v="2025-03-07T00:00:00"/>
    <n v="0.5"/>
    <n v="2.0219999999999998"/>
    <n v="2.0299999999999998"/>
    <n v="8.0000000000000002E-3"/>
    <n v="4.0000000000000001E-3"/>
    <n v="1"/>
    <n v="2.0219999999999998"/>
    <m/>
    <n v="0"/>
    <x v="54"/>
    <x v="339"/>
    <s v="Al6063"/>
    <s v="orange"/>
    <n v="2.7"/>
    <s v="jinqiao"/>
    <m/>
    <n v="0.17"/>
    <x v="64"/>
    <n v="0"/>
    <s v=" -   "/>
    <s v="DP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3">
  <r>
    <x v="0"/>
    <s v="MODI"/>
    <s v="Mouth Piece"/>
    <s v="310493191000"/>
    <s v="JEE"/>
    <n v="2023"/>
    <n v="3"/>
    <s v="MP"/>
    <d v="2024-10-25T00:00:00"/>
    <n v="32"/>
    <n v="1261807.65957447"/>
    <n v="8832653.6170212906"/>
    <n v="1000000"/>
    <x v="0"/>
    <d v="2023-03-27T00:00:00"/>
    <n v="680000"/>
    <n v="7"/>
    <n v="4760000"/>
    <s v="Srikanth Naule"/>
    <s v="Approved"/>
    <s v="Yes"/>
    <m/>
  </r>
  <r>
    <x v="0"/>
    <s v="MODI"/>
    <s v="Top Plastic Bracket"/>
    <s v="310493192000"/>
    <s v="JEE"/>
    <n v="2023"/>
    <n v="3"/>
    <s v="MP"/>
    <d v="2024-10-25T00:00:00"/>
    <n v="48"/>
    <n v="4447872"/>
    <n v="22239360"/>
    <n v="1000000"/>
    <x v="0"/>
    <d v="2023-03-27T00:00:00"/>
    <n v="690000"/>
    <n v="5"/>
    <n v="3450000"/>
    <s v="Srikanth Naule"/>
    <s v="Approved"/>
    <s v="Yes"/>
    <m/>
  </r>
  <r>
    <x v="0"/>
    <s v="MODI"/>
    <s v=" Bottom Plastic Bracket"/>
    <s v="310493193000"/>
    <s v="JEE"/>
    <n v="2023"/>
    <n v="3"/>
    <s v="MP"/>
    <d v="2024-10-25T00:00:00"/>
    <n v="48"/>
    <n v="2703873.556231"/>
    <n v="13519367.781155"/>
    <n v="1000000"/>
    <x v="0"/>
    <d v="2023-03-27T00:00:00"/>
    <n v="748000"/>
    <n v="5"/>
    <n v="3740000"/>
    <s v="Srikanth Naule"/>
    <s v="Approved"/>
    <s v="Yes"/>
    <m/>
  </r>
  <r>
    <x v="0"/>
    <s v="MODI"/>
    <s v=" Bottom cap"/>
    <s v="310493194000"/>
    <s v="JEE"/>
    <n v="2023"/>
    <n v="3"/>
    <s v="MP"/>
    <d v="2024-10-25T00:00:00"/>
    <n v="48"/>
    <n v="3706560"/>
    <n v="18532800"/>
    <n v="1000000"/>
    <x v="0"/>
    <d v="2023-03-27T00:00:00"/>
    <n v="690000"/>
    <n v="5"/>
    <n v="3450000"/>
    <s v="Srikanth Naule"/>
    <s v="Approved"/>
    <s v="Yes"/>
    <m/>
  </r>
  <r>
    <x v="0"/>
    <s v="MODI"/>
    <s v="Air Flow slider"/>
    <s v="310493195000"/>
    <s v="JEE"/>
    <n v="2023"/>
    <n v="3"/>
    <s v="MP"/>
    <d v="2024-10-25T00:00:00"/>
    <n v="48"/>
    <n v="3801600"/>
    <n v="19008000"/>
    <n v="1000000"/>
    <x v="0"/>
    <d v="2023-03-27T00:00:00"/>
    <n v="680000"/>
    <n v="5"/>
    <n v="3400000"/>
    <s v="Srikanth Naule"/>
    <s v="Approved"/>
    <s v="Yes"/>
    <m/>
  </r>
  <r>
    <x v="1"/>
    <s v="RCS DEVICE"/>
    <s v="Top cover"/>
    <s v="130040670021260"/>
    <s v="JEE"/>
    <n v="2024"/>
    <n v="1"/>
    <s v="MP"/>
    <d v="2024-10-25T00:00:00"/>
    <n v="4"/>
    <n v="211822"/>
    <n v="211822"/>
    <n v="300000"/>
    <x v="1"/>
    <d v="2023-11-01T00:00:00"/>
    <n v="160000"/>
    <n v="1"/>
    <n v="160000"/>
    <s v="Chris"/>
    <s v="Approved"/>
    <s v="Yes"/>
    <m/>
  </r>
  <r>
    <x v="1"/>
    <s v="RCS DEVICE"/>
    <s v="Bottom cover"/>
    <s v="130040670021261"/>
    <s v="JEE"/>
    <n v="2024"/>
    <n v="1"/>
    <s v="MP"/>
    <d v="2024-10-25T00:00:00"/>
    <n v="4"/>
    <n v="211822"/>
    <n v="211822"/>
    <n v="300000"/>
    <x v="1"/>
    <d v="2023-11-01T00:00:00"/>
    <n v="180000"/>
    <n v="1"/>
    <n v="180000"/>
    <s v="Chris"/>
    <s v="Approved"/>
    <s v="Yes"/>
    <m/>
  </r>
  <r>
    <x v="1"/>
    <s v="RCS DEVICE"/>
    <s v="Button"/>
    <s v="130040670021263"/>
    <s v="JEE"/>
    <n v="2024"/>
    <n v="1"/>
    <s v="MP"/>
    <d v="2024-10-25T00:00:00"/>
    <n v="4"/>
    <n v="296530"/>
    <n v="296530"/>
    <n v="300000"/>
    <x v="1"/>
    <d v="2023-11-01T00:00:00"/>
    <n v="140000"/>
    <n v="1"/>
    <n v="140000"/>
    <s v="Chris"/>
    <s v="Approved"/>
    <s v="Yes"/>
    <m/>
  </r>
  <r>
    <x v="1"/>
    <s v="RCS DEVICE"/>
    <s v="PCB holder"/>
    <s v="130040670021262"/>
    <s v="JEE"/>
    <n v="2024"/>
    <n v="1"/>
    <s v="MP"/>
    <d v="2024-10-25T00:00:00"/>
    <n v="4"/>
    <n v="296530"/>
    <n v="296530"/>
    <n v="300000"/>
    <x v="1"/>
    <d v="2023-11-01T00:00:00"/>
    <n v="180000"/>
    <n v="1"/>
    <n v="180000"/>
    <s v="Chris"/>
    <s v="Approved"/>
    <s v="Yes"/>
    <m/>
  </r>
  <r>
    <x v="2"/>
    <s v="RCS DEVICE"/>
    <s v="Battery tube"/>
    <s v="120020670031773"/>
    <s v="JEE"/>
    <n v="2024"/>
    <n v="6"/>
    <s v="MP"/>
    <d v="2024-10-25T00:00:00"/>
    <n v="8"/>
    <n v="356448"/>
    <n v="356448"/>
    <n v="1000000"/>
    <x v="0"/>
    <d v="2024-04-01T00:00:00"/>
    <n v="280000"/>
    <n v="1"/>
    <n v="280000"/>
    <s v="Chris"/>
    <s v="Approved"/>
    <s v="No"/>
    <m/>
  </r>
  <r>
    <x v="2"/>
    <s v="RCS DEVICE"/>
    <s v="Bottom cap"/>
    <s v="130020670031775"/>
    <s v="JEE"/>
    <n v="2024"/>
    <n v="6"/>
    <s v="MP"/>
    <d v="2024-10-25T00:00:00"/>
    <n v="16"/>
    <n v="750432"/>
    <n v="750432"/>
    <n v="1000000"/>
    <x v="0"/>
    <d v="2024-04-01T00:00:00"/>
    <n v="460000"/>
    <n v="1"/>
    <n v="460000"/>
    <s v="Chris"/>
    <s v="Approved"/>
    <s v="No"/>
    <m/>
  </r>
  <r>
    <x v="2"/>
    <s v="RCS DEVICE"/>
    <s v="Holder"/>
    <s v="130020670031776"/>
    <s v="JEE"/>
    <n v="2024"/>
    <n v="6"/>
    <s v="MP"/>
    <d v="2024-10-25T00:00:00"/>
    <n v="16"/>
    <n v="893952"/>
    <n v="893952"/>
    <n v="1000000"/>
    <x v="0"/>
    <d v="2024-04-01T00:00:00"/>
    <n v="420000"/>
    <n v="1"/>
    <n v="420000"/>
    <s v="Chris"/>
    <s v="Approved"/>
    <s v="No"/>
    <m/>
  </r>
  <r>
    <x v="2"/>
    <s v="RCS DEVICE"/>
    <s v="Button"/>
    <s v="130020670031777"/>
    <s v="JEE"/>
    <n v="2024"/>
    <n v="6"/>
    <s v="MP"/>
    <d v="2024-10-25T00:00:00"/>
    <n v="16"/>
    <n v="893952"/>
    <n v="893952"/>
    <n v="1000000"/>
    <x v="0"/>
    <d v="2024-04-01T00:00:00"/>
    <n v="400000"/>
    <n v="1"/>
    <n v="400000"/>
    <s v="Chris"/>
    <s v="Approved"/>
    <s v="No"/>
    <m/>
  </r>
  <r>
    <x v="2"/>
    <s v="RCS DEVICE"/>
    <s v="Light guide"/>
    <s v="130020670035243"/>
    <s v="JEE"/>
    <n v="2024"/>
    <n v="6"/>
    <s v="MP"/>
    <d v="2024-10-25T00:00:00"/>
    <n v="16"/>
    <n v="903168"/>
    <n v="903168"/>
    <n v="1000000"/>
    <x v="0"/>
    <d v="2024-04-01T00:00:00"/>
    <n v="400000"/>
    <n v="1"/>
    <n v="400000"/>
    <s v="Chris"/>
    <s v="Approved"/>
    <s v="No"/>
    <m/>
  </r>
  <r>
    <x v="3"/>
    <s v="RCS POD"/>
    <s v="Cartomizer tube"/>
    <s v="130010390000214"/>
    <s v="JEE"/>
    <n v="2022"/>
    <n v="6"/>
    <s v="MP"/>
    <d v="2024-10-25T00:00:00"/>
    <n v="16"/>
    <n v="1185600"/>
    <n v="23712000"/>
    <n v="1000000"/>
    <x v="0"/>
    <d v="2022-06-01T00:00:00"/>
    <n v="1238376.0479806501"/>
    <n v="20"/>
    <n v="24767520.959613003"/>
    <s v="Smoore"/>
    <s v="Approved"/>
    <s v="Yes"/>
    <m/>
  </r>
  <r>
    <x v="3"/>
    <s v="RCS POD"/>
    <s v="Heating holder"/>
    <s v="130010390000215"/>
    <s v="JEE"/>
    <n v="2022"/>
    <n v="6"/>
    <s v="MP"/>
    <d v="2024-10-25T00:00:00"/>
    <n v="32"/>
    <n v="2695680"/>
    <n v="21565440"/>
    <n v="1000000"/>
    <x v="0"/>
    <d v="2022-06-01T00:00:00"/>
    <n v="1285062.3035139963"/>
    <n v="8"/>
    <n v="10280498.42811197"/>
    <s v="Smoore"/>
    <s v="Approved"/>
    <s v="Yes"/>
    <m/>
  </r>
  <r>
    <x v="3"/>
    <s v="RCS POD"/>
    <s v="Heater top cover"/>
    <s v="130010390000216"/>
    <s v="JEE"/>
    <n v="2022"/>
    <n v="6"/>
    <s v="MP"/>
    <d v="2024-10-25T00:00:00"/>
    <n v="32"/>
    <n v="2695680"/>
    <n v="21565440"/>
    <n v="1000000"/>
    <x v="0"/>
    <d v="2022-06-01T00:00:00"/>
    <n v="1291848.7744637618"/>
    <n v="8"/>
    <n v="10334790.195710095"/>
    <s v="Smoore"/>
    <s v="Approved"/>
    <s v="Yes"/>
    <m/>
  </r>
  <r>
    <x v="3"/>
    <s v="RCS POD"/>
    <s v="Cartomizer holder tap"/>
    <s v="130010390000221"/>
    <s v="JEE"/>
    <n v="2022"/>
    <n v="6"/>
    <s v="MP"/>
    <d v="2024-10-25T00:00:00"/>
    <n v="32"/>
    <n v="2526368"/>
    <n v="20210944"/>
    <n v="1000000"/>
    <x v="0"/>
    <d v="2022-06-01T00:00:00"/>
    <n v="651365.50034989498"/>
    <n v="8"/>
    <n v="5210924.0027991598"/>
    <s v="Smoore"/>
    <s v="Approved"/>
    <s v="Yes"/>
    <m/>
  </r>
  <r>
    <x v="4"/>
    <s v="RCS POD"/>
    <s v="Cartomizer tube"/>
    <s v="130010390000214"/>
    <s v="JEE"/>
    <n v="2023"/>
    <n v="6"/>
    <s v="MP"/>
    <d v="2024-10-25T00:00:00"/>
    <n v="16"/>
    <n v="1185600"/>
    <n v="1185600"/>
    <n v="1000000"/>
    <x v="0"/>
    <d v="2023-06-01T00:00:00"/>
    <n v="4584750.8495575199"/>
    <n v="1"/>
    <n v="4584750.8495575199"/>
    <s v="Chris"/>
    <s v="Approved"/>
    <s v="No"/>
    <s v="Indonesia"/>
  </r>
  <r>
    <x v="4"/>
    <s v="RCS POD"/>
    <s v="Cartomizer tube"/>
    <s v="130010390000214"/>
    <s v="JEE"/>
    <n v="2023"/>
    <n v="6"/>
    <s v="MP"/>
    <d v="2024-10-25T00:00:00"/>
    <n v="16"/>
    <n v="1185600"/>
    <n v="1185600"/>
    <n v="1000000"/>
    <x v="0"/>
    <d v="2023-06-01T00:00:00"/>
    <n v="3933456.3584070802"/>
    <n v="1"/>
    <n v="3933456.3584070802"/>
    <s v="Chris"/>
    <s v="Approved"/>
    <s v="No"/>
    <s v="Indonesia"/>
  </r>
  <r>
    <x v="4"/>
    <s v="RCS POD"/>
    <s v="Cartomizer tube"/>
    <s v="130010390000214"/>
    <s v="JEE"/>
    <n v="2023"/>
    <n v="6"/>
    <s v="MP"/>
    <d v="2024-10-25T00:00:00"/>
    <n v="16"/>
    <n v="1185600"/>
    <n v="1185600"/>
    <n v="1000000"/>
    <x v="1"/>
    <d v="2023-01-01T00:00:00"/>
    <n v="98000"/>
    <n v="1"/>
    <n v="98000"/>
    <s v="Chris"/>
    <s v="Approved"/>
    <s v="No"/>
    <s v="China"/>
  </r>
  <r>
    <x v="5"/>
    <s v="HP"/>
    <s v="Botton cover"/>
    <n v="22150202014"/>
    <s v="JEE"/>
    <n v="2023"/>
    <n v="1"/>
    <s v="MP"/>
    <d v="2024-10-25T00:00:00"/>
    <n v="16"/>
    <n v="860860"/>
    <n v="860860"/>
    <n v="1000000"/>
    <x v="0"/>
    <d v="2023-01-01T00:00:00"/>
    <n v="105000"/>
    <n v="1"/>
    <n v="105000"/>
    <s v="Chris"/>
    <s v="Approved"/>
    <s v="Yes"/>
    <s v="China"/>
  </r>
  <r>
    <x v="5"/>
    <s v="HP"/>
    <s v="Cleanout door"/>
    <n v="22150202015"/>
    <s v="JEE"/>
    <n v="2023"/>
    <n v="1"/>
    <s v="MP"/>
    <d v="2024-10-25T00:00:00"/>
    <n v="16"/>
    <n v="531960"/>
    <n v="531960"/>
    <n v="1000000"/>
    <x v="0"/>
    <d v="2023-01-01T00:00:00"/>
    <n v="376000"/>
    <n v="1"/>
    <n v="376000"/>
    <s v="Chris"/>
    <s v="Approved"/>
    <s v="Yes"/>
    <s v="China"/>
  </r>
  <r>
    <x v="5"/>
    <s v="HP"/>
    <s v="Button"/>
    <n v="22150202010"/>
    <s v="JEE"/>
    <n v="2023"/>
    <n v="1"/>
    <s v="MP"/>
    <d v="2024-10-25T00:00:00"/>
    <n v="16"/>
    <n v="994136"/>
    <n v="994136"/>
    <n v="1000000"/>
    <x v="0"/>
    <d v="2023-01-01T00:00:00"/>
    <n v="98350"/>
    <n v="1"/>
    <n v="98350"/>
    <s v="Chris"/>
    <s v="Approved"/>
    <s v="Yes"/>
    <s v="China"/>
  </r>
  <r>
    <x v="5"/>
    <s v="HP"/>
    <s v="Crown Support"/>
    <n v="22150202008"/>
    <s v="JEE"/>
    <n v="2023"/>
    <n v="1"/>
    <s v="MP"/>
    <d v="2024-10-25T00:00:00"/>
    <n v="16"/>
    <n v="1129700"/>
    <n v="1129700"/>
    <n v="1000000"/>
    <x v="0"/>
    <d v="2023-01-01T00:00:00"/>
    <n v="110600"/>
    <n v="1"/>
    <n v="110600"/>
    <s v="Chris"/>
    <s v="Approved"/>
    <s v="Yes"/>
    <s v="China"/>
  </r>
  <r>
    <x v="5"/>
    <s v="HP"/>
    <s v="Connector frame"/>
    <n v="22150202017"/>
    <s v="JEE"/>
    <n v="2023"/>
    <n v="1"/>
    <s v="MP"/>
    <d v="2024-10-25T00:00:00"/>
    <n v="16"/>
    <n v="1141140"/>
    <n v="1141140"/>
    <n v="1000000"/>
    <x v="0"/>
    <d v="2023-01-01T00:00:00"/>
    <n v="98000"/>
    <n v="1"/>
    <n v="98000"/>
    <s v="Chris"/>
    <s v="Approved"/>
    <s v="Yes"/>
    <s v="China"/>
  </r>
  <r>
    <x v="5"/>
    <s v="HP"/>
    <s v="Spin Wheel"/>
    <n v="22150202009"/>
    <s v="JEE"/>
    <n v="2023"/>
    <n v="1"/>
    <s v="MP"/>
    <d v="2024-10-25T00:00:00"/>
    <n v="16"/>
    <n v="988416"/>
    <n v="988416"/>
    <n v="1000000"/>
    <x v="0"/>
    <d v="2023-01-01T00:00:00"/>
    <n v="98000"/>
    <n v="1"/>
    <n v="98000"/>
    <s v="Chris"/>
    <s v="Approved"/>
    <s v="Yes"/>
    <s v="China"/>
  </r>
  <r>
    <x v="5"/>
    <s v="HP"/>
    <s v="Display bracket"/>
    <n v="22150202021"/>
    <s v="JEE"/>
    <n v="2023"/>
    <n v="1"/>
    <s v="MP"/>
    <d v="2024-10-25T00:00:00"/>
    <n v="16"/>
    <n v="1251978"/>
    <n v="1251978"/>
    <n v="1000000"/>
    <x v="0"/>
    <d v="2023-01-01T00:00:00"/>
    <n v="200100"/>
    <n v="1"/>
    <n v="200100"/>
    <s v="Chris"/>
    <s v="Approved"/>
    <s v="Yes"/>
    <s v="China"/>
  </r>
  <r>
    <x v="5"/>
    <s v="HP"/>
    <s v=" PCBA Bracket "/>
    <n v="22150202018"/>
    <s v="JEE"/>
    <n v="2023"/>
    <n v="1"/>
    <s v="MP"/>
    <d v="2024-10-25T00:00:00"/>
    <n v="16"/>
    <n v="1065064"/>
    <n v="1065064"/>
    <n v="1000000"/>
    <x v="0"/>
    <d v="2023-01-01T00:00:00"/>
    <n v="98000"/>
    <n v="1"/>
    <n v="98000"/>
    <s v="Chris"/>
    <s v="Approved"/>
    <s v="Yes"/>
    <s v="China"/>
  </r>
  <r>
    <x v="5"/>
    <s v="HP"/>
    <s v=" Shut Door"/>
    <n v="22150202007"/>
    <s v="JEE"/>
    <n v="2023"/>
    <n v="1"/>
    <s v="MP"/>
    <d v="2024-10-25T00:00:00"/>
    <n v="16"/>
    <n v="1129700"/>
    <n v="1129700"/>
    <n v="1000000"/>
    <x v="0"/>
    <d v="2023-01-01T00:00:00"/>
    <n v="130350"/>
    <n v="1"/>
    <n v="130350"/>
    <s v="Chris"/>
    <s v="Approved"/>
    <s v="Yes"/>
    <s v="China"/>
  </r>
  <r>
    <x v="6"/>
    <s v="HP"/>
    <s v="Crown Support"/>
    <n v="23590202001"/>
    <s v="JEE"/>
    <n v="2023"/>
    <n v="1"/>
    <s v="MP"/>
    <d v="2024-10-25T00:00:00"/>
    <n v="16"/>
    <n v="50284"/>
    <n v="50284"/>
    <n v="1000000"/>
    <x v="0"/>
    <d v="2023-01-01T00:00:00"/>
    <n v="98000"/>
    <n v="1"/>
    <n v="98000"/>
    <s v="Chris"/>
    <s v="Approved"/>
    <s v="Yes"/>
    <s v="China"/>
  </r>
  <r>
    <x v="6"/>
    <s v="HP"/>
    <s v="Connector frame"/>
    <n v="23480202015"/>
    <s v="JEE"/>
    <n v="2023"/>
    <n v="1"/>
    <s v="MP"/>
    <d v="2024-10-25T00:00:00"/>
    <n v="16"/>
    <n v="1251978"/>
    <n v="1251978"/>
    <n v="1000000"/>
    <x v="0"/>
    <d v="2023-01-01T00:00:00"/>
    <n v="188000"/>
    <n v="1"/>
    <n v="188000"/>
    <s v="Chris"/>
    <s v="Approved"/>
    <s v="Yes"/>
    <s v="China"/>
  </r>
  <r>
    <x v="6"/>
    <s v="HP"/>
    <s v="Battery carrier"/>
    <n v="23480202012"/>
    <s v="JEE"/>
    <n v="2023"/>
    <n v="1"/>
    <s v="MP"/>
    <d v="2024-10-25T00:00:00"/>
    <n v="4"/>
    <n v="260832"/>
    <n v="521664"/>
    <n v="1000000"/>
    <x v="0"/>
    <d v="2023-01-01T00:00:00"/>
    <n v="320000"/>
    <n v="2"/>
    <n v="640000"/>
    <s v="Chris"/>
    <s v="Approved"/>
    <s v="No"/>
    <s v="China"/>
  </r>
  <r>
    <x v="6"/>
    <s v="HP"/>
    <s v="Shutter Door Support"/>
    <n v="23480202005"/>
    <s v="JEE"/>
    <n v="2023"/>
    <n v="1"/>
    <s v="MP"/>
    <d v="2024-10-25T00:00:00"/>
    <n v="8"/>
    <n v="387114"/>
    <n v="774228"/>
    <n v="1000000"/>
    <x v="0"/>
    <d v="2023-01-01T00:00:00"/>
    <n v="320000"/>
    <n v="2"/>
    <n v="640000"/>
    <s v="Chris"/>
    <s v="Approved"/>
    <s v="No"/>
    <s v="China"/>
  </r>
  <r>
    <x v="6"/>
    <s v="HP"/>
    <s v="Button Bracket"/>
    <n v="23480202011"/>
    <s v="JEE"/>
    <n v="2023"/>
    <n v="1"/>
    <s v="MP"/>
    <d v="2024-10-25T00:00:00"/>
    <n v="16"/>
    <n v="1153152"/>
    <n v="1153152"/>
    <n v="1000000"/>
    <x v="0"/>
    <d v="2023-01-01T00:00:00"/>
    <n v="370000"/>
    <n v="1"/>
    <n v="370000"/>
    <s v="Chris"/>
    <s v="Approved"/>
    <s v="No"/>
    <s v="China"/>
  </r>
  <r>
    <x v="6"/>
    <s v="HP"/>
    <s v="Button"/>
    <n v="23480202017"/>
    <s v="JEE"/>
    <n v="2023"/>
    <n v="1"/>
    <s v="MP"/>
    <d v="2024-10-25T00:00:00"/>
    <n v="16"/>
    <n v="781196"/>
    <n v="781196"/>
    <n v="1000000"/>
    <x v="0"/>
    <d v="2023-01-01T00:00:00"/>
    <n v="484014"/>
    <n v="1"/>
    <n v="484014"/>
    <s v="Chris"/>
    <s v="Approved"/>
    <s v="No"/>
    <s v="China"/>
  </r>
  <r>
    <x v="6"/>
    <s v="HP"/>
    <s v="Light guide"/>
    <n v="23480202018"/>
    <s v="JEE"/>
    <n v="2023"/>
    <n v="1"/>
    <s v="MP"/>
    <d v="2024-10-25T00:00:00"/>
    <n v="16"/>
    <n v="665808"/>
    <n v="665808"/>
    <n v="1000000"/>
    <x v="0"/>
    <d v="2023-01-01T00:00:00"/>
    <n v="452729"/>
    <n v="1"/>
    <n v="452729"/>
    <s v="Chris"/>
    <s v="Approved"/>
    <s v="No"/>
    <s v="China"/>
  </r>
  <r>
    <x v="5"/>
    <s v="HP"/>
    <s v="Crown Support"/>
    <n v="22150202008"/>
    <s v="JEE"/>
    <n v="2023"/>
    <n v="10"/>
    <s v="MP"/>
    <d v="2024-10-25T00:00:00"/>
    <m/>
    <m/>
    <n v="0"/>
    <m/>
    <x v="2"/>
    <d v="2023-10-11T00:00:00"/>
    <n v="12600"/>
    <n v="1"/>
    <n v="12600"/>
    <s v="Chris"/>
    <s v="Approved"/>
    <s v="No"/>
    <s v="China"/>
  </r>
  <r>
    <x v="6"/>
    <s v="HP"/>
    <s v="Light guide"/>
    <n v="23480202018"/>
    <s v="JEE"/>
    <n v="2023"/>
    <n v="10"/>
    <s v="MP"/>
    <d v="2024-10-25T00:00:00"/>
    <m/>
    <m/>
    <n v="0"/>
    <m/>
    <x v="2"/>
    <d v="2023-10-21T00:00:00"/>
    <n v="53870"/>
    <n v="1"/>
    <n v="53870"/>
    <s v="Chris"/>
    <s v="Approved"/>
    <s v="No"/>
    <s v="China"/>
  </r>
  <r>
    <x v="6"/>
    <s v="HP"/>
    <s v="Shutter Door Support"/>
    <n v="23480202005"/>
    <s v="JEE"/>
    <n v="2023"/>
    <n v="10"/>
    <s v="MP"/>
    <d v="2024-10-25T00:00:00"/>
    <m/>
    <m/>
    <n v="0"/>
    <m/>
    <x v="2"/>
    <d v="2023-10-24T00:00:00"/>
    <n v="35296"/>
    <n v="1"/>
    <n v="35296"/>
    <s v="Chris"/>
    <s v="Approved"/>
    <s v="No"/>
    <s v="China"/>
  </r>
  <r>
    <x v="6"/>
    <s v="HP"/>
    <s v="Button"/>
    <n v="23480202017"/>
    <s v="JEE"/>
    <n v="2023"/>
    <n v="10"/>
    <s v="MP"/>
    <d v="2024-10-25T00:00:00"/>
    <m/>
    <m/>
    <n v="0"/>
    <m/>
    <x v="2"/>
    <d v="2023-10-10T00:00:00"/>
    <n v="207000"/>
    <n v="1"/>
    <n v="207000"/>
    <s v="Chris"/>
    <s v="Approved"/>
    <s v="No"/>
    <s v="China"/>
  </r>
  <r>
    <x v="6"/>
    <s v="HP"/>
    <s v="Button"/>
    <n v="23480202017"/>
    <s v="JEE"/>
    <n v="2023"/>
    <n v="10"/>
    <s v="MP"/>
    <d v="2024-10-25T00:00:00"/>
    <m/>
    <m/>
    <n v="0"/>
    <m/>
    <x v="2"/>
    <d v="2023-10-21T00:00:00"/>
    <n v="35513"/>
    <n v="1"/>
    <n v="35513"/>
    <s v="Chris"/>
    <s v="Approved"/>
    <s v="No"/>
    <s v="China"/>
  </r>
  <r>
    <x v="6"/>
    <s v="HP"/>
    <s v="Light guide"/>
    <n v="23480202018"/>
    <s v="JEE"/>
    <n v="2023"/>
    <n v="11"/>
    <s v="MP"/>
    <d v="2024-10-25T00:00:00"/>
    <m/>
    <m/>
    <n v="0"/>
    <m/>
    <x v="2"/>
    <d v="2023-11-24T00:00:00"/>
    <n v="10859"/>
    <n v="1"/>
    <n v="10859"/>
    <s v="Chris"/>
    <s v="Approved"/>
    <s v="No"/>
    <s v="China"/>
  </r>
  <r>
    <x v="6"/>
    <s v="HP"/>
    <s v="Button"/>
    <n v="23480202017"/>
    <s v="JEE"/>
    <n v="2023"/>
    <n v="11"/>
    <s v="MP"/>
    <d v="2024-10-25T00:00:00"/>
    <m/>
    <m/>
    <n v="0"/>
    <m/>
    <x v="2"/>
    <d v="2023-11-24T00:00:00"/>
    <n v="26171"/>
    <n v="1"/>
    <n v="26171"/>
    <s v="Chris"/>
    <s v="Approved"/>
    <s v="No"/>
    <s v="China"/>
  </r>
  <r>
    <x v="7"/>
    <s v="HP"/>
    <s v="Connect frame"/>
    <n v="22150202017"/>
    <s v="JEE"/>
    <n v="2023"/>
    <n v="6"/>
    <s v="POC"/>
    <d v="2024-10-25T00:00:00"/>
    <m/>
    <m/>
    <m/>
    <m/>
    <x v="3"/>
    <d v="2023-06-01T00:00:00"/>
    <n v="6415"/>
    <n v="1"/>
    <n v="6415"/>
    <s v="Chris"/>
    <s v="Approved"/>
    <s v="Yes"/>
    <m/>
  </r>
  <r>
    <x v="7"/>
    <s v="HP"/>
    <s v="Connect frame"/>
    <n v="22150202017"/>
    <s v="JEE"/>
    <n v="2023"/>
    <n v="6"/>
    <s v="POC"/>
    <d v="2024-10-25T00:00:00"/>
    <m/>
    <m/>
    <m/>
    <m/>
    <x v="3"/>
    <d v="2023-06-01T00:00:00"/>
    <n v="3088"/>
    <n v="1"/>
    <n v="3088"/>
    <s v="Chris"/>
    <s v="Approved"/>
    <s v="Yes"/>
    <m/>
  </r>
  <r>
    <x v="7"/>
    <s v="HP"/>
    <s v="Connect frame"/>
    <n v="22150202017"/>
    <s v="JEE"/>
    <n v="2023"/>
    <n v="6"/>
    <s v="POC"/>
    <d v="2024-10-25T00:00:00"/>
    <m/>
    <m/>
    <m/>
    <m/>
    <x v="3"/>
    <d v="2023-06-01T00:00:00"/>
    <n v="10183"/>
    <n v="1"/>
    <n v="10183"/>
    <s v="Chris"/>
    <s v="Approved"/>
    <s v="Yes"/>
    <m/>
  </r>
  <r>
    <x v="7"/>
    <s v="HP"/>
    <s v="Display bracket"/>
    <n v="22150202021"/>
    <s v="JEE"/>
    <n v="2023"/>
    <n v="6"/>
    <s v="POC"/>
    <d v="2024-10-25T00:00:00"/>
    <m/>
    <m/>
    <m/>
    <m/>
    <x v="3"/>
    <d v="2023-06-01T00:00:00"/>
    <n v="9977"/>
    <n v="1"/>
    <n v="9977"/>
    <s v="Chris"/>
    <s v="Approved"/>
    <s v="Yes"/>
    <m/>
  </r>
  <r>
    <x v="7"/>
    <s v="HP"/>
    <s v="Spin Wheel"/>
    <n v="22150202009"/>
    <s v="JEE"/>
    <n v="2023"/>
    <n v="6"/>
    <s v="POC"/>
    <d v="2024-10-25T00:00:00"/>
    <m/>
    <m/>
    <m/>
    <m/>
    <x v="3"/>
    <d v="2023-06-01T00:00:00"/>
    <n v="9245"/>
    <n v="1"/>
    <n v="9245"/>
    <s v="Chris"/>
    <s v="Approved"/>
    <s v="Yes"/>
    <m/>
  </r>
  <r>
    <x v="7"/>
    <s v="HP"/>
    <s v="Botton cover"/>
    <n v="22150202014"/>
    <s v="JEE"/>
    <n v="2023"/>
    <n v="6"/>
    <s v="POC"/>
    <d v="2024-10-25T00:00:00"/>
    <m/>
    <m/>
    <m/>
    <m/>
    <x v="3"/>
    <d v="2023-06-01T00:00:00"/>
    <n v="6998"/>
    <n v="1"/>
    <n v="6998"/>
    <s v="Chris"/>
    <s v="Approved"/>
    <s v="Yes"/>
    <m/>
  </r>
  <r>
    <x v="7"/>
    <s v="HP"/>
    <s v="Cleanout door"/>
    <n v="22150202015"/>
    <s v="JEE"/>
    <n v="2023"/>
    <n v="6"/>
    <s v="POC"/>
    <d v="2024-10-25T00:00:00"/>
    <m/>
    <m/>
    <m/>
    <m/>
    <x v="3"/>
    <d v="2023-06-01T00:00:00"/>
    <n v="13970"/>
    <n v="1"/>
    <n v="13970"/>
    <s v="Chris"/>
    <s v="Approved"/>
    <s v="Yes"/>
    <m/>
  </r>
  <r>
    <x v="7"/>
    <s v="HP"/>
    <s v="shut door"/>
    <n v="22150202007"/>
    <s v="JEE"/>
    <n v="2023"/>
    <n v="6"/>
    <s v="POC"/>
    <d v="2024-10-25T00:00:00"/>
    <m/>
    <m/>
    <m/>
    <m/>
    <x v="3"/>
    <d v="2023-06-01T00:00:00"/>
    <n v="11686"/>
    <n v="1"/>
    <n v="11686"/>
    <s v="Chris"/>
    <s v="Approved"/>
    <s v="Yes"/>
    <m/>
  </r>
  <r>
    <x v="6"/>
    <s v="HP"/>
    <s v="Button Bracket"/>
    <n v="23480202011"/>
    <s v="JEE"/>
    <n v="2023"/>
    <n v="7"/>
    <s v="POC"/>
    <d v="2024-10-25T00:00:00"/>
    <m/>
    <m/>
    <m/>
    <m/>
    <x v="3"/>
    <d v="2023-07-01T00:00:00"/>
    <n v="9201"/>
    <n v="1"/>
    <n v="9201"/>
    <s v="Chris"/>
    <s v="Approved"/>
    <s v="Yes"/>
    <m/>
  </r>
  <r>
    <x v="6"/>
    <s v="HP"/>
    <s v="Button Bracket"/>
    <n v="23480202011"/>
    <s v="JEE"/>
    <n v="2023"/>
    <n v="7"/>
    <s v="POC"/>
    <d v="2024-10-25T00:00:00"/>
    <m/>
    <m/>
    <m/>
    <m/>
    <x v="3"/>
    <d v="2023-07-01T00:00:00"/>
    <n v="20444"/>
    <n v="1"/>
    <n v="20444"/>
    <s v="Chris"/>
    <s v="Approved"/>
    <s v="Yes"/>
    <m/>
  </r>
  <r>
    <x v="7"/>
    <s v="HP"/>
    <s v="Button"/>
    <n v="22150202010"/>
    <s v="JEE"/>
    <n v="2023"/>
    <n v="7"/>
    <s v="POC"/>
    <d v="2024-10-25T00:00:00"/>
    <m/>
    <m/>
    <m/>
    <m/>
    <x v="3"/>
    <d v="2023-07-01T00:00:00"/>
    <n v="6869"/>
    <n v="1"/>
    <n v="6869"/>
    <s v="Chris"/>
    <s v="Approved"/>
    <s v="Yes"/>
    <m/>
  </r>
  <r>
    <x v="7"/>
    <s v="HP"/>
    <s v="Connect frame"/>
    <n v="22150202017"/>
    <s v="JEE"/>
    <n v="2023"/>
    <n v="7"/>
    <s v="POC"/>
    <d v="2024-10-25T00:00:00"/>
    <m/>
    <m/>
    <m/>
    <m/>
    <x v="3"/>
    <d v="2023-07-01T00:00:00"/>
    <n v="32659"/>
    <n v="1"/>
    <n v="32659"/>
    <s v="Chris"/>
    <s v="Approved"/>
    <s v="Yes"/>
    <m/>
  </r>
  <r>
    <x v="7"/>
    <s v="HP"/>
    <s v="Crown Support"/>
    <n v="22150202008"/>
    <s v="JEE"/>
    <n v="2023"/>
    <n v="7"/>
    <s v="POC"/>
    <d v="2024-10-25T00:00:00"/>
    <m/>
    <m/>
    <m/>
    <m/>
    <x v="3"/>
    <d v="2023-07-01T00:00:00"/>
    <n v="47920"/>
    <n v="1"/>
    <n v="47920"/>
    <s v="Chris"/>
    <s v="Approved"/>
    <s v="Yes"/>
    <m/>
  </r>
  <r>
    <x v="7"/>
    <s v="HP"/>
    <s v="Display bracket"/>
    <n v="22150202021"/>
    <s v="JEE"/>
    <n v="2023"/>
    <n v="7"/>
    <s v="POC"/>
    <d v="2024-10-25T00:00:00"/>
    <m/>
    <m/>
    <m/>
    <m/>
    <x v="3"/>
    <d v="2023-07-01T00:00:00"/>
    <n v="86249"/>
    <n v="1"/>
    <n v="86249"/>
    <s v="Chris"/>
    <s v="Approved"/>
    <s v="Yes"/>
    <m/>
  </r>
  <r>
    <x v="7"/>
    <s v="HP"/>
    <s v="PCBA bracket"/>
    <n v="22150202018"/>
    <s v="JEE"/>
    <n v="2023"/>
    <n v="7"/>
    <s v="POC"/>
    <d v="2024-10-25T00:00:00"/>
    <m/>
    <m/>
    <m/>
    <m/>
    <x v="3"/>
    <d v="2023-07-01T00:00:00"/>
    <n v="17884"/>
    <n v="1"/>
    <n v="17884"/>
    <s v="Chris"/>
    <s v="Approved"/>
    <s v="Yes"/>
    <m/>
  </r>
  <r>
    <x v="7"/>
    <s v="HP"/>
    <s v="shut door"/>
    <n v="22150202007"/>
    <s v="JEE"/>
    <n v="2023"/>
    <n v="7"/>
    <s v="POC"/>
    <d v="2024-10-25T00:00:00"/>
    <m/>
    <m/>
    <m/>
    <m/>
    <x v="3"/>
    <d v="2023-07-01T00:00:00"/>
    <n v="44712"/>
    <n v="1"/>
    <n v="44712"/>
    <s v="Chris"/>
    <s v="Approved"/>
    <s v="Yes"/>
    <m/>
  </r>
  <r>
    <x v="7"/>
    <s v="HP"/>
    <s v="Spin wheel"/>
    <n v="22150202009"/>
    <s v="JEE"/>
    <n v="2023"/>
    <n v="7"/>
    <s v="POC"/>
    <d v="2024-10-25T00:00:00"/>
    <m/>
    <m/>
    <m/>
    <m/>
    <x v="3"/>
    <d v="2023-07-01T00:00:00"/>
    <n v="44732"/>
    <n v="1"/>
    <n v="44732"/>
    <s v="Chris"/>
    <s v="Approved"/>
    <s v="Yes"/>
    <m/>
  </r>
  <r>
    <x v="6"/>
    <s v="HP"/>
    <s v="Shutter Door Support"/>
    <n v="23480202005"/>
    <s v="JEE"/>
    <n v="2023"/>
    <n v="7"/>
    <s v="POC"/>
    <d v="2024-10-25T00:00:00"/>
    <m/>
    <m/>
    <m/>
    <m/>
    <x v="3"/>
    <d v="2023-07-01T00:00:00"/>
    <n v="22032"/>
    <n v="1"/>
    <n v="22032"/>
    <s v="Chris"/>
    <s v="Approved"/>
    <s v="Yes"/>
    <m/>
  </r>
  <r>
    <x v="6"/>
    <s v="HP"/>
    <s v="Top cover"/>
    <n v="23480202009"/>
    <s v="JEE"/>
    <n v="2023"/>
    <n v="7"/>
    <s v="POC"/>
    <d v="2024-10-25T00:00:00"/>
    <m/>
    <m/>
    <m/>
    <m/>
    <x v="3"/>
    <d v="2023-07-01T00:00:00"/>
    <n v="8510"/>
    <n v="1"/>
    <n v="8510"/>
    <s v="Chris"/>
    <s v="Approved"/>
    <s v="Yes"/>
    <m/>
  </r>
  <r>
    <x v="7"/>
    <s v="HP"/>
    <s v="PCBA bracket"/>
    <n v="22150202018"/>
    <s v="JEE"/>
    <n v="2023"/>
    <n v="7"/>
    <s v="POC"/>
    <d v="2024-10-25T00:00:00"/>
    <m/>
    <m/>
    <m/>
    <m/>
    <x v="3"/>
    <d v="2023-07-01T00:00:00"/>
    <n v="14701"/>
    <n v="1"/>
    <n v="14701"/>
    <s v="Chris"/>
    <s v="Approved"/>
    <s v="Yes"/>
    <m/>
  </r>
  <r>
    <x v="7"/>
    <s v="HP"/>
    <s v="Spin wheel"/>
    <n v="22150202009"/>
    <s v="JEE"/>
    <n v="2023"/>
    <n v="7"/>
    <s v="POC"/>
    <d v="2024-10-25T00:00:00"/>
    <m/>
    <m/>
    <m/>
    <m/>
    <x v="3"/>
    <d v="2023-07-01T00:00:00"/>
    <n v="5966"/>
    <n v="1"/>
    <n v="5966"/>
    <s v="Chris"/>
    <s v="Approved"/>
    <s v="Yes"/>
    <m/>
  </r>
  <r>
    <x v="7"/>
    <s v="HP"/>
    <s v="Botton cover"/>
    <n v="22150202014"/>
    <s v="JEE"/>
    <n v="2023"/>
    <n v="7"/>
    <s v="POC"/>
    <d v="2024-10-25T00:00:00"/>
    <m/>
    <m/>
    <m/>
    <m/>
    <x v="3"/>
    <d v="2023-07-01T00:00:00"/>
    <n v="6554"/>
    <n v="1"/>
    <n v="6554"/>
    <s v="Chris"/>
    <s v="Approved"/>
    <s v="Yes"/>
    <m/>
  </r>
  <r>
    <x v="6"/>
    <s v="HP"/>
    <s v="Shutter Door Support"/>
    <n v="23480202005"/>
    <s v="JEE"/>
    <n v="2023"/>
    <n v="8"/>
    <s v="POC"/>
    <d v="2024-10-25T00:00:00"/>
    <m/>
    <m/>
    <m/>
    <m/>
    <x v="3"/>
    <d v="2023-08-01T00:00:00"/>
    <n v="20085"/>
    <n v="1"/>
    <n v="20085"/>
    <s v="Chris"/>
    <s v="Approved"/>
    <s v="Yes"/>
    <m/>
  </r>
  <r>
    <x v="6"/>
    <s v="HP"/>
    <s v="Button"/>
    <n v="23480202010"/>
    <s v="JEE"/>
    <n v="2023"/>
    <n v="8"/>
    <s v="POC"/>
    <d v="2024-10-25T00:00:00"/>
    <m/>
    <m/>
    <m/>
    <m/>
    <x v="3"/>
    <d v="2023-08-01T00:00:00"/>
    <n v="31764"/>
    <n v="1"/>
    <n v="31764"/>
    <s v="Chris"/>
    <s v="Approved"/>
    <s v="Yes"/>
    <m/>
  </r>
  <r>
    <x v="7"/>
    <s v="HP"/>
    <s v="Top cover"/>
    <n v="23480202009"/>
    <s v="JEE"/>
    <n v="2023"/>
    <n v="8"/>
    <s v="POC"/>
    <d v="2024-10-25T00:00:00"/>
    <m/>
    <m/>
    <m/>
    <m/>
    <x v="3"/>
    <d v="2023-08-01T00:00:00"/>
    <n v="32073"/>
    <n v="1"/>
    <n v="32073"/>
    <s v="Chris"/>
    <s v="Approved"/>
    <s v="Yes"/>
    <m/>
  </r>
  <r>
    <x v="6"/>
    <s v="HP"/>
    <s v="Battery carrier"/>
    <n v="23480202012"/>
    <s v="JEE"/>
    <n v="2023"/>
    <n v="8"/>
    <s v="POC"/>
    <d v="2024-10-25T00:00:00"/>
    <m/>
    <m/>
    <m/>
    <m/>
    <x v="3"/>
    <d v="2023-08-01T00:00:00"/>
    <n v="27115"/>
    <n v="1"/>
    <n v="27115"/>
    <s v="Chris"/>
    <s v="Approved"/>
    <s v="Yes"/>
    <m/>
  </r>
  <r>
    <x v="6"/>
    <s v="HP"/>
    <s v="Button Bracket"/>
    <n v="23480202011"/>
    <s v="JEE"/>
    <n v="2023"/>
    <n v="8"/>
    <s v="POC"/>
    <d v="2024-10-25T00:00:00"/>
    <m/>
    <m/>
    <m/>
    <m/>
    <x v="3"/>
    <d v="2023-08-01T00:00:00"/>
    <n v="18633"/>
    <n v="1"/>
    <n v="18633"/>
    <s v="Chris"/>
    <s v="Approved"/>
    <s v="Yes"/>
    <m/>
  </r>
  <r>
    <x v="6"/>
    <s v="HP"/>
    <s v="Connect frame"/>
    <n v="22150202015"/>
    <s v="JEE"/>
    <n v="2023"/>
    <n v="8"/>
    <s v="POC"/>
    <d v="2024-10-25T00:00:00"/>
    <m/>
    <m/>
    <m/>
    <m/>
    <x v="3"/>
    <d v="2023-08-01T00:00:00"/>
    <n v="5740"/>
    <n v="1"/>
    <n v="5740"/>
    <s v="Chris"/>
    <s v="Approved"/>
    <s v="Yes"/>
    <m/>
  </r>
  <r>
    <x v="7"/>
    <s v="HP"/>
    <s v="Crown support"/>
    <n v="22150202008"/>
    <s v="JEE"/>
    <n v="2023"/>
    <n v="8"/>
    <s v="POC"/>
    <d v="2024-10-25T00:00:00"/>
    <m/>
    <m/>
    <m/>
    <m/>
    <x v="3"/>
    <d v="2023-08-01T00:00:00"/>
    <n v="12359"/>
    <n v="1"/>
    <n v="12359"/>
    <s v="Chris"/>
    <s v="Approved"/>
    <s v="Yes"/>
    <m/>
  </r>
  <r>
    <x v="7"/>
    <s v="HP"/>
    <s v="PCBA bracket"/>
    <n v="22150202018"/>
    <s v="JEE"/>
    <n v="2023"/>
    <n v="8"/>
    <s v="POC"/>
    <d v="2024-10-25T00:00:00"/>
    <m/>
    <m/>
    <m/>
    <m/>
    <x v="3"/>
    <d v="2023-08-01T00:00:00"/>
    <n v="22070"/>
    <n v="1"/>
    <n v="22070"/>
    <s v="Chris"/>
    <s v="Approved"/>
    <s v="Yes"/>
    <m/>
  </r>
  <r>
    <x v="7"/>
    <s v="HP"/>
    <s v="Cleanout door"/>
    <n v="22150202015"/>
    <s v="JEE"/>
    <n v="2023"/>
    <n v="8"/>
    <s v="POC"/>
    <d v="2024-10-25T00:00:00"/>
    <m/>
    <m/>
    <m/>
    <m/>
    <x v="3"/>
    <d v="2023-08-01T00:00:00"/>
    <n v="13648"/>
    <n v="1"/>
    <n v="13648"/>
    <s v="Chris"/>
    <s v="Approved"/>
    <s v="Yes"/>
    <m/>
  </r>
  <r>
    <x v="6"/>
    <s v="HP"/>
    <s v="botton"/>
    <n v="23480202010"/>
    <s v="JEE"/>
    <n v="2023"/>
    <n v="8"/>
    <s v="POC"/>
    <d v="2024-10-25T00:00:00"/>
    <m/>
    <m/>
    <m/>
    <m/>
    <x v="3"/>
    <d v="2023-08-01T00:00:00"/>
    <n v="10914"/>
    <n v="1"/>
    <n v="10914"/>
    <s v="Chris"/>
    <s v="Approved"/>
    <s v="Yes"/>
    <m/>
  </r>
  <r>
    <x v="7"/>
    <s v="HP"/>
    <s v="Connect frame"/>
    <n v="22150202017"/>
    <s v="JEE"/>
    <n v="2023"/>
    <n v="8"/>
    <s v="POC"/>
    <d v="2024-10-25T00:00:00"/>
    <m/>
    <m/>
    <m/>
    <m/>
    <x v="3"/>
    <d v="2023-08-01T00:00:00"/>
    <n v="10120"/>
    <n v="1"/>
    <n v="10120"/>
    <s v="Chris"/>
    <s v="Approved"/>
    <s v="Yes"/>
    <m/>
  </r>
  <r>
    <x v="6"/>
    <s v="HP"/>
    <s v="Connect frame"/>
    <n v="22150202017"/>
    <s v="JEE"/>
    <n v="2023"/>
    <n v="8"/>
    <s v="POC"/>
    <d v="2024-10-25T00:00:00"/>
    <m/>
    <m/>
    <m/>
    <m/>
    <x v="3"/>
    <d v="2023-08-01T00:00:00"/>
    <n v="8639"/>
    <n v="1"/>
    <n v="8639"/>
    <s v="Chris"/>
    <s v="Approved"/>
    <s v="Yes"/>
    <m/>
  </r>
  <r>
    <x v="6"/>
    <s v="HP"/>
    <s v="Battery carrier"/>
    <n v="23480202012"/>
    <s v="JEE"/>
    <n v="2023"/>
    <n v="8"/>
    <s v="POC"/>
    <d v="2024-10-25T00:00:00"/>
    <m/>
    <m/>
    <m/>
    <m/>
    <x v="3"/>
    <d v="2023-08-01T00:00:00"/>
    <n v="8944"/>
    <n v="1"/>
    <n v="8944"/>
    <s v="Chris"/>
    <s v="Approved"/>
    <s v="Yes"/>
    <m/>
  </r>
  <r>
    <x v="6"/>
    <s v="HP"/>
    <s v="Botton bracket"/>
    <n v="23480202011"/>
    <s v="JEE"/>
    <n v="2023"/>
    <n v="8"/>
    <s v="POC"/>
    <d v="2024-10-25T00:00:00"/>
    <m/>
    <m/>
    <m/>
    <m/>
    <x v="3"/>
    <d v="2023-08-01T00:00:00"/>
    <n v="18874"/>
    <n v="1"/>
    <n v="18874"/>
    <s v="Chris"/>
    <s v="Approved"/>
    <s v="Yes"/>
    <m/>
  </r>
  <r>
    <x v="6"/>
    <s v="HP"/>
    <s v="Button Bracket"/>
    <n v="23480202011"/>
    <s v="JEE"/>
    <n v="2023"/>
    <n v="8"/>
    <s v="POC"/>
    <d v="2024-10-25T00:00:00"/>
    <m/>
    <m/>
    <m/>
    <m/>
    <x v="3"/>
    <d v="2023-08-01T00:00:00"/>
    <n v="124820"/>
    <n v="1"/>
    <n v="124820"/>
    <s v="Chris"/>
    <s v="Approved"/>
    <s v="Yes"/>
    <m/>
  </r>
  <r>
    <x v="6"/>
    <s v="HP"/>
    <s v="Top cover"/>
    <n v="23480202009"/>
    <s v="JEE"/>
    <n v="2023"/>
    <n v="8"/>
    <s v="POC"/>
    <d v="2024-10-25T00:00:00"/>
    <m/>
    <m/>
    <m/>
    <m/>
    <x v="3"/>
    <d v="2023-08-01T00:00:00"/>
    <n v="108927"/>
    <n v="1"/>
    <n v="108927"/>
    <s v="Chris"/>
    <s v="Approved"/>
    <s v="Yes"/>
    <m/>
  </r>
  <r>
    <x v="6"/>
    <s v="HP"/>
    <s v="Shutter Door Support"/>
    <n v="23480202005"/>
    <s v="JEE"/>
    <n v="2023"/>
    <n v="8"/>
    <s v="POC"/>
    <d v="2024-10-25T00:00:00"/>
    <m/>
    <m/>
    <m/>
    <m/>
    <x v="3"/>
    <d v="2023-08-01T00:00:00"/>
    <n v="217479"/>
    <n v="1"/>
    <n v="217479"/>
    <s v="Chris"/>
    <s v="Approved"/>
    <s v="Yes"/>
    <m/>
  </r>
  <r>
    <x v="6"/>
    <s v="HP"/>
    <s v="Button"/>
    <n v="23480202010"/>
    <s v="JEE"/>
    <n v="2023"/>
    <n v="8"/>
    <s v="POC"/>
    <d v="2024-10-25T00:00:00"/>
    <m/>
    <m/>
    <m/>
    <m/>
    <x v="3"/>
    <d v="2023-08-01T00:00:00"/>
    <n v="117994"/>
    <n v="1"/>
    <n v="117994"/>
    <s v="Chris"/>
    <s v="Approved"/>
    <s v="Yes"/>
    <m/>
  </r>
  <r>
    <x v="6"/>
    <s v="HP"/>
    <s v="Battery carrier"/>
    <n v="23480202012"/>
    <s v="JEE"/>
    <n v="2023"/>
    <n v="8"/>
    <s v="POC"/>
    <d v="2024-10-25T00:00:00"/>
    <m/>
    <m/>
    <m/>
    <m/>
    <x v="3"/>
    <d v="2023-08-01T00:00:00"/>
    <n v="95483"/>
    <n v="1"/>
    <n v="95483"/>
    <s v="Chris"/>
    <s v="Approved"/>
    <s v="Yes"/>
    <m/>
  </r>
  <r>
    <x v="6"/>
    <s v="HP"/>
    <s v="Connect frame"/>
    <n v="23480202015"/>
    <s v="JEE"/>
    <n v="2023"/>
    <n v="8"/>
    <s v="POC"/>
    <d v="2024-10-25T00:00:00"/>
    <m/>
    <m/>
    <m/>
    <m/>
    <x v="3"/>
    <d v="2023-08-01T00:00:00"/>
    <n v="95483"/>
    <n v="1"/>
    <n v="95483"/>
    <s v="Chris"/>
    <s v="Approved"/>
    <s v="Yes"/>
    <m/>
  </r>
  <r>
    <x v="6"/>
    <s v="HP"/>
    <s v="Top cover"/>
    <n v="23480202009"/>
    <s v="JEE"/>
    <n v="2023"/>
    <n v="8"/>
    <s v="POC"/>
    <d v="2024-10-25T00:00:00"/>
    <m/>
    <m/>
    <m/>
    <m/>
    <x v="3"/>
    <d v="2023-08-01T00:00:00"/>
    <n v="230000"/>
    <n v="1"/>
    <n v="230000"/>
    <s v="Chris"/>
    <s v="Approved"/>
    <s v="Yes"/>
    <m/>
  </r>
  <r>
    <x v="6"/>
    <s v="HP"/>
    <s v="Button"/>
    <n v="23480202010"/>
    <s v="JEE"/>
    <n v="2023"/>
    <n v="8"/>
    <s v="POC"/>
    <d v="2024-10-25T00:00:00"/>
    <m/>
    <m/>
    <m/>
    <m/>
    <x v="3"/>
    <d v="2023-08-01T00:00:00"/>
    <n v="315000"/>
    <n v="1"/>
    <n v="315000"/>
    <s v="Chris"/>
    <s v="Approved"/>
    <s v="Yes"/>
    <m/>
  </r>
  <r>
    <x v="6"/>
    <s v="HP"/>
    <s v="Display bracket"/>
    <n v="23480202010"/>
    <s v="JEE"/>
    <n v="2023"/>
    <n v="8"/>
    <s v="POC"/>
    <d v="2024-10-25T00:00:00"/>
    <m/>
    <m/>
    <m/>
    <m/>
    <x v="3"/>
    <d v="2023-08-01T00:00:00"/>
    <n v="138000"/>
    <n v="1"/>
    <n v="138000"/>
    <s v="Chris"/>
    <s v="Approved"/>
    <s v="Yes"/>
    <m/>
  </r>
  <r>
    <x v="6"/>
    <s v="HP"/>
    <s v="Button"/>
    <n v="23480202017"/>
    <s v="JEE"/>
    <n v="2023"/>
    <n v="3"/>
    <s v="POC"/>
    <d v="2024-10-25T00:00:00"/>
    <m/>
    <m/>
    <n v="0"/>
    <m/>
    <x v="3"/>
    <d v="2024-03-25T00:00:00"/>
    <n v="8471.1"/>
    <n v="1"/>
    <n v="8471.1"/>
    <s v="Chris"/>
    <s v="Approved"/>
    <s v="Yes"/>
    <s v="China"/>
  </r>
  <r>
    <x v="6"/>
    <s v="HP"/>
    <s v="Shutter Door Support"/>
    <n v="23480202005"/>
    <s v="JEE"/>
    <n v="2023"/>
    <n v="3"/>
    <s v="POC"/>
    <d v="2024-10-25T00:00:00"/>
    <m/>
    <m/>
    <n v="0"/>
    <m/>
    <x v="3"/>
    <d v="2024-03-25T00:00:00"/>
    <n v="21437"/>
    <n v="1"/>
    <n v="21437"/>
    <s v="Chris"/>
    <s v="Approved"/>
    <s v="Yes"/>
    <s v="China"/>
  </r>
  <r>
    <x v="6"/>
    <s v="HP"/>
    <s v="Battery carrier"/>
    <n v="23480202012"/>
    <s v="JEE"/>
    <n v="2023"/>
    <n v="3"/>
    <s v="POC"/>
    <d v="2024-10-25T00:00:00"/>
    <m/>
    <m/>
    <n v="0"/>
    <m/>
    <x v="3"/>
    <d v="2024-03-25T00:00:00"/>
    <n v="8396.2150000000001"/>
    <n v="1"/>
    <n v="8396.2150000000001"/>
    <s v="Chris"/>
    <s v="Approved"/>
    <s v="Yes"/>
    <s v="China"/>
  </r>
  <r>
    <x v="6"/>
    <s v="HP"/>
    <s v="Battery carrier"/>
    <n v="23480202012"/>
    <s v="JEE"/>
    <n v="2023"/>
    <n v="3"/>
    <s v="POC"/>
    <d v="2024-10-25T00:00:00"/>
    <m/>
    <m/>
    <n v="0"/>
    <m/>
    <x v="3"/>
    <d v="2024-03-25T00:00:00"/>
    <n v="43769.9"/>
    <n v="1"/>
    <n v="43769.9"/>
    <s v="Chris"/>
    <s v="Approved"/>
    <s v="Yes"/>
    <s v="China"/>
  </r>
  <r>
    <x v="6"/>
    <s v="HP"/>
    <s v="Button Bracket"/>
    <n v="23480202011"/>
    <s v="JEE"/>
    <n v="2023"/>
    <n v="3"/>
    <s v="POC"/>
    <d v="2024-10-25T00:00:00"/>
    <m/>
    <m/>
    <n v="0"/>
    <m/>
    <x v="3"/>
    <d v="2024-03-25T00:00:00"/>
    <n v="10892.07"/>
    <n v="1"/>
    <n v="10892.07"/>
    <s v="Chris"/>
    <s v="Approved"/>
    <s v="Yes"/>
    <s v="China"/>
  </r>
  <r>
    <x v="6"/>
    <s v="HP"/>
    <s v="Light guide"/>
    <n v="23480202018"/>
    <s v="JEE"/>
    <n v="2023"/>
    <n v="3"/>
    <s v="POC"/>
    <d v="2024-10-25T00:00:00"/>
    <m/>
    <m/>
    <n v="0"/>
    <m/>
    <x v="3"/>
    <d v="2024-03-25T00:00:00"/>
    <n v="41897.01"/>
    <n v="1"/>
    <n v="41897.01"/>
    <s v="Chris"/>
    <s v="Approved"/>
    <s v="Yes"/>
    <s v="China"/>
  </r>
  <r>
    <x v="8"/>
    <s v="HP"/>
    <s v="Housing"/>
    <s v="0600201003"/>
    <s v="JEE"/>
    <n v="2023"/>
    <n v="5"/>
    <s v="POP"/>
    <d v="2024-10-25T00:00:00"/>
    <n v="1"/>
    <n v="10000"/>
    <n v="10000"/>
    <n v="50000"/>
    <x v="1"/>
    <d v="2024-05-10T00:00:00"/>
    <n v="672500"/>
    <n v="1"/>
    <n v="672500"/>
    <s v="Chris"/>
    <s v="Approved"/>
    <s v="No"/>
    <m/>
  </r>
  <r>
    <x v="8"/>
    <s v="HP"/>
    <s v="MAIN CHASISS "/>
    <s v="0600202009"/>
    <s v="JEE"/>
    <n v="2023"/>
    <n v="5"/>
    <s v="POP"/>
    <d v="2024-10-25T00:00:00"/>
    <n v="1"/>
    <n v="580882.36631039996"/>
    <n v="580882.36631039996"/>
    <n v="500000"/>
    <x v="1"/>
    <d v="2024-05-10T00:00:00"/>
    <n v="302500"/>
    <n v="1"/>
    <n v="302500"/>
    <s v="Chris"/>
    <s v="Approved"/>
    <s v="No"/>
    <m/>
  </r>
  <r>
    <x v="8"/>
    <s v="HP"/>
    <s v="Top cover"/>
    <s v="0600201010"/>
    <s v="JEE"/>
    <n v="2023"/>
    <n v="5"/>
    <s v="POP"/>
    <d v="2024-10-25T00:00:00"/>
    <n v="1"/>
    <n v="10000"/>
    <n v="10000"/>
    <n v="500000"/>
    <x v="1"/>
    <d v="2024-05-10T00:00:00"/>
    <n v="55400"/>
    <n v="1"/>
    <n v="55400"/>
    <s v="Chris"/>
    <s v="Approved"/>
    <s v="No"/>
    <m/>
  </r>
  <r>
    <x v="9"/>
    <s v="HP"/>
    <s v="Slider bracket"/>
    <s v="0620201006"/>
    <s v="JEE"/>
    <n v="2023"/>
    <n v="5"/>
    <s v="POP"/>
    <d v="2024-10-25T00:00:00"/>
    <n v="1"/>
    <n v="10000"/>
    <n v="10000"/>
    <n v="500000"/>
    <x v="1"/>
    <d v="2024-05-10T00:00:00"/>
    <n v="39200"/>
    <n v="1"/>
    <n v="39200"/>
    <s v="Chris"/>
    <s v="Approved"/>
    <s v="No"/>
    <m/>
  </r>
  <r>
    <x v="9"/>
    <s v="HP"/>
    <s v="Heat transferring tube"/>
    <s v="06002010034"/>
    <s v="JEE"/>
    <n v="2023"/>
    <n v="5"/>
    <s v="POP"/>
    <d v="2024-10-25T00:00:00"/>
    <n v="1"/>
    <n v="10000"/>
    <n v="10000"/>
    <n v="50000"/>
    <x v="1"/>
    <d v="2024-05-10T00:00:00"/>
    <n v="144981"/>
    <n v="1"/>
    <n v="144981"/>
    <s v="Chris"/>
    <s v="Approved"/>
    <s v="No"/>
    <m/>
  </r>
  <r>
    <x v="9"/>
    <s v="HP"/>
    <s v="Slider bracket"/>
    <s v="0620201006"/>
    <s v="JEE"/>
    <n v="2023"/>
    <n v="5"/>
    <s v="POP"/>
    <d v="2024-10-25T00:00:00"/>
    <n v="1"/>
    <n v="10000"/>
    <n v="10000"/>
    <n v="50000"/>
    <x v="1"/>
    <d v="2024-05-10T00:00:00"/>
    <n v="12500"/>
    <n v="1"/>
    <n v="12500"/>
    <s v="Chris"/>
    <s v="Approved"/>
    <s v="No"/>
    <m/>
  </r>
  <r>
    <x v="9"/>
    <s v="HP"/>
    <s v="Heat transferring tube"/>
    <s v="06002010034"/>
    <s v="JEE"/>
    <n v="2023"/>
    <n v="5"/>
    <s v="POP"/>
    <d v="2024-10-25T00:00:00"/>
    <n v="1"/>
    <n v="10000"/>
    <n v="10000"/>
    <n v="50000"/>
    <x v="1"/>
    <d v="2024-05-10T00:00:00"/>
    <n v="20500"/>
    <n v="1"/>
    <n v="20500"/>
    <s v="Chris"/>
    <s v="Approved"/>
    <s v="No"/>
    <m/>
  </r>
  <r>
    <x v="9"/>
    <s v="HP"/>
    <s v="cap pogo pin"/>
    <s v="0620201009"/>
    <s v="JEE"/>
    <n v="2023"/>
    <n v="5"/>
    <s v="POP"/>
    <d v="2024-10-25T00:00:00"/>
    <n v="1"/>
    <n v="10000"/>
    <n v="10000"/>
    <n v="50000"/>
    <x v="1"/>
    <d v="2024-05-10T00:00:00"/>
    <n v="63000"/>
    <n v="1"/>
    <n v="63000"/>
    <s v="Chris"/>
    <s v="Approved"/>
    <s v="No"/>
    <m/>
  </r>
  <r>
    <x v="9"/>
    <s v="HP"/>
    <s v="SLIDER RAIL"/>
    <s v="06202021007"/>
    <s v="JEE"/>
    <n v="2023"/>
    <n v="5"/>
    <s v="POP"/>
    <d v="2024-10-25T00:00:00"/>
    <n v="1"/>
    <n v="10000"/>
    <n v="10000"/>
    <n v="50000"/>
    <x v="1"/>
    <d v="2024-05-10T00:00:00"/>
    <n v="135260"/>
    <n v="1"/>
    <n v="135260"/>
    <s v="Chris"/>
    <s v="Approved"/>
    <s v="No"/>
    <m/>
  </r>
  <r>
    <x v="8"/>
    <s v="HP"/>
    <s v="HOUSING"/>
    <s v="0600201003"/>
    <s v="JEE"/>
    <n v="2023"/>
    <n v="5"/>
    <s v="POP"/>
    <d v="2024-10-25T00:00:00"/>
    <m/>
    <m/>
    <n v="0"/>
    <m/>
    <x v="1"/>
    <d v="2024-05-10T00:00:00"/>
    <n v="33452.212389380496"/>
    <n v="1"/>
    <n v="33452.212389380496"/>
    <s v="Chris"/>
    <s v="Approved"/>
    <s v="No"/>
    <m/>
  </r>
  <r>
    <x v="8"/>
    <s v="HP"/>
    <s v="MAIN_CHASISS "/>
    <s v="0600202009"/>
    <s v="JEE"/>
    <n v="2023"/>
    <n v="5"/>
    <s v="POP"/>
    <d v="2024-10-25T00:00:00"/>
    <m/>
    <m/>
    <n v="0"/>
    <m/>
    <x v="1"/>
    <d v="2024-05-10T00:00:00"/>
    <n v="89692.734513274307"/>
    <n v="1"/>
    <n v="89692.734513274307"/>
    <s v="Chris"/>
    <s v="Approved"/>
    <s v="No"/>
    <m/>
  </r>
  <r>
    <x v="8"/>
    <s v="HP"/>
    <s v="TOP_COVER"/>
    <s v="0600201010"/>
    <s v="JEE"/>
    <n v="2023"/>
    <n v="5"/>
    <s v="POP"/>
    <d v="2024-10-25T00:00:00"/>
    <m/>
    <m/>
    <n v="0"/>
    <m/>
    <x v="1"/>
    <d v="2024-05-10T00:00:00"/>
    <n v="3451.3274336283198"/>
    <n v="1"/>
    <n v="3451.3274336283198"/>
    <s v="Chris"/>
    <s v="Approved"/>
    <s v="No"/>
    <m/>
  </r>
  <r>
    <x v="8"/>
    <s v="HP"/>
    <s v="HEATING PIN LSR SUB"/>
    <s v="0600204088"/>
    <s v="JEE"/>
    <n v="2023"/>
    <n v="5"/>
    <s v="POP"/>
    <d v="2024-10-25T00:00:00"/>
    <m/>
    <m/>
    <n v="0"/>
    <m/>
    <x v="1"/>
    <d v="2024-05-10T00:00:00"/>
    <n v="20000"/>
    <n v="1"/>
    <n v="20000"/>
    <s v="Chris"/>
    <s v="Approved"/>
    <s v="No"/>
    <m/>
  </r>
  <r>
    <x v="8"/>
    <s v="HP"/>
    <s v="HEATING PIN LSR SUB"/>
    <s v="0600204088"/>
    <s v="JEE"/>
    <n v="2023"/>
    <n v="5"/>
    <s v="POP"/>
    <d v="2024-10-25T00:00:00"/>
    <m/>
    <m/>
    <n v="0"/>
    <m/>
    <x v="1"/>
    <d v="2024-05-10T00:00:00"/>
    <n v="6650"/>
    <n v="1"/>
    <n v="6650"/>
    <s v="Chris"/>
    <s v="Approved"/>
    <s v="No"/>
    <m/>
  </r>
  <r>
    <x v="8"/>
    <s v="HP"/>
    <s v="HEATING PIN LSR SUB"/>
    <s v="0600204088"/>
    <s v="JEE"/>
    <n v="2023"/>
    <n v="5"/>
    <s v="POP"/>
    <d v="2024-10-25T00:00:00"/>
    <m/>
    <m/>
    <n v="0"/>
    <m/>
    <x v="1"/>
    <d v="2024-05-10T00:00:00"/>
    <n v="38480"/>
    <n v="1"/>
    <n v="38480"/>
    <s v="Chris"/>
    <s v="Approved"/>
    <s v="No"/>
    <m/>
  </r>
  <r>
    <x v="3"/>
    <s v="RCS POD"/>
    <s v="Cartomizer tube"/>
    <s v="130010390000214"/>
    <s v="JEE"/>
    <n v="2024"/>
    <n v="11"/>
    <s v="MP"/>
    <d v="2024-11-12T00:00:00"/>
    <n v="16"/>
    <n v="1185600"/>
    <n v="13041600"/>
    <n v="1000000"/>
    <x v="0"/>
    <d v="2024-11-02T00:00:00"/>
    <n v="668099.36050000007"/>
    <n v="11"/>
    <n v="7349092.9655000009"/>
    <s v="Candy"/>
    <s v="Approved"/>
    <s v="No"/>
    <m/>
  </r>
  <r>
    <x v="3"/>
    <s v="RCS POD"/>
    <s v="Heating holder"/>
    <s v="130010390000214"/>
    <s v="JEE"/>
    <n v="2024"/>
    <n v="11"/>
    <s v="MP"/>
    <d v="2024-11-12T00:00:00"/>
    <n v="32"/>
    <n v="2695680"/>
    <n v="13478400"/>
    <n v="1000000"/>
    <x v="0"/>
    <d v="2024-11-02T00:00:00"/>
    <n v="733968.30650000006"/>
    <n v="5"/>
    <n v="3669841.5325000002"/>
    <s v="Candy"/>
    <s v="Approved"/>
    <s v="No"/>
    <m/>
  </r>
  <r>
    <x v="3"/>
    <s v="RCS POD"/>
    <s v="Heater top cover"/>
    <s v="130010390000214"/>
    <s v="JEE"/>
    <n v="2024"/>
    <n v="11"/>
    <s v="MP"/>
    <d v="2024-11-12T00:00:00"/>
    <n v="32"/>
    <n v="2695680"/>
    <n v="13478400"/>
    <n v="1000000"/>
    <x v="0"/>
    <d v="2024-11-02T00:00:00"/>
    <n v="733968.30650000006"/>
    <n v="5"/>
    <n v="3669841.5325000002"/>
    <s v="Candy"/>
    <s v="Approved"/>
    <s v="No"/>
    <m/>
  </r>
  <r>
    <x v="3"/>
    <s v="RCS POD"/>
    <s v="Cartomizer holder tap"/>
    <s v="130010390000214"/>
    <s v="JEE"/>
    <n v="2024"/>
    <n v="11"/>
    <s v="MP"/>
    <d v="2024-11-12T00:00:00"/>
    <n v="32"/>
    <n v="2526368"/>
    <n v="12631840"/>
    <n v="1000000"/>
    <x v="0"/>
    <d v="2024-11-02T00:00:00"/>
    <n v="498722.00950000004"/>
    <n v="5"/>
    <n v="2493610.0475000003"/>
    <s v="Candy"/>
    <s v="Approved"/>
    <s v="No"/>
    <m/>
  </r>
  <r>
    <x v="10"/>
    <s v="MODI"/>
    <s v="protective shell"/>
    <n v="120040670018926"/>
    <s v="JEE"/>
    <n v="2024"/>
    <n v="1"/>
    <s v="MP"/>
    <d v="2025-02-18T00:00:00"/>
    <n v="1"/>
    <n v="11108448"/>
    <n v="44433792"/>
    <n v="60000000"/>
    <x v="0"/>
    <d v="2024-01-03T00:00:00"/>
    <n v="3500"/>
    <n v="4"/>
    <n v="14000"/>
    <s v="Chris"/>
    <s v="Approved"/>
    <s v="No"/>
    <m/>
  </r>
  <r>
    <x v="11"/>
    <s v="MODI"/>
    <s v="protective shell"/>
    <n v="120040670025620"/>
    <s v="JEE"/>
    <n v="2024"/>
    <n v="1"/>
    <s v="MP"/>
    <d v="2025-02-18T00:00:00"/>
    <n v="1"/>
    <n v="1834560"/>
    <n v="3669120"/>
    <n v="2000000"/>
    <x v="0"/>
    <d v="2024-01-03T00:00:00"/>
    <n v="0"/>
    <n v="2"/>
    <n v="0"/>
    <s v="Chris"/>
    <s v="Approved"/>
    <s v="No"/>
    <s v="JEE agree no tooling cost to BAT for 3K/5K"/>
  </r>
  <r>
    <x v="12"/>
    <s v="MODI"/>
    <s v="protective shell"/>
    <n v="120040670017654"/>
    <s v="JEE"/>
    <n v="2024"/>
    <n v="9"/>
    <s v="MP"/>
    <d v="2025-02-18T00:00:00"/>
    <n v="1"/>
    <n v="1851408"/>
    <n v="11108448"/>
    <n v="120000000"/>
    <x v="0"/>
    <d v="2024-09-03T00:00:00"/>
    <n v="18500"/>
    <n v="6"/>
    <n v="111000"/>
    <s v="Chris"/>
    <s v="Approved"/>
    <s v="No"/>
    <m/>
  </r>
  <r>
    <x v="13"/>
    <s v="RCS DEVICE"/>
    <s v="Battery holder"/>
    <s v="130020390000222"/>
    <s v="JEE"/>
    <n v="2020"/>
    <n v="1"/>
    <s v="MP"/>
    <d v="2025-02-18T00:00:00"/>
    <n v="9"/>
    <n v="812968"/>
    <n v="812968"/>
    <n v="1000000"/>
    <x v="0"/>
    <d v="2020-01-01T00:00:00"/>
    <n v="600000"/>
    <n v="1"/>
    <n v="600000"/>
    <s v="Smoore"/>
    <s v="Approved"/>
    <s v="Yes"/>
    <m/>
  </r>
  <r>
    <x v="14"/>
    <s v="HP"/>
    <s v="Housing"/>
    <s v="240000090201004"/>
    <s v="JEE"/>
    <n v="2024"/>
    <n v="9"/>
    <s v="MP"/>
    <d v="2025-02-18T00:00:00"/>
    <n v="1"/>
    <n v="200000"/>
    <n v="200000"/>
    <n v="1000000"/>
    <x v="0"/>
    <d v="2024-12-01T00:00:00"/>
    <n v="776500"/>
    <n v="1"/>
    <n v="776500"/>
    <s v="Srikanth Naule"/>
    <s v="Not Approved"/>
    <s v="No"/>
    <s v="Metal parts ，Metal tool&amp; fixtures"/>
  </r>
  <r>
    <x v="14"/>
    <s v="HP"/>
    <s v="Top cover"/>
    <s v="240000090201003"/>
    <s v="JEE"/>
    <n v="2024"/>
    <n v="9"/>
    <s v="MP"/>
    <d v="2025-02-18T00:00:00"/>
    <n v="1"/>
    <n v="200000"/>
    <n v="200000"/>
    <n v="1000000"/>
    <x v="0"/>
    <d v="2024-12-01T00:00:00"/>
    <n v="441700"/>
    <n v="1"/>
    <n v="441700"/>
    <s v="Srikanth Naule"/>
    <s v="Not Approved"/>
    <s v="No"/>
    <s v="Metal parts ，Metal tool&amp; fixtures"/>
  </r>
  <r>
    <x v="14"/>
    <s v="HP"/>
    <s v="Slider bracket"/>
    <s v="240000090201001"/>
    <s v="JEE"/>
    <n v="2024"/>
    <n v="9"/>
    <s v="MP"/>
    <d v="2025-02-18T00:00:00"/>
    <n v="1"/>
    <n v="200000"/>
    <n v="200000"/>
    <n v="1000000"/>
    <x v="0"/>
    <d v="2024-12-01T00:00:00"/>
    <n v="51500"/>
    <n v="1"/>
    <n v="51500"/>
    <s v="Srikanth Naule"/>
    <s v="Not Approved"/>
    <s v="No"/>
    <s v="Metal parts ，Metal tool&amp; fixtures"/>
  </r>
  <r>
    <x v="14"/>
    <s v="HP"/>
    <s v="Slider cover"/>
    <n v="240000090201002"/>
    <s v="JEE"/>
    <n v="2024"/>
    <n v="9"/>
    <s v="MP"/>
    <d v="2025-02-18T00:00:00"/>
    <n v="1"/>
    <n v="200000"/>
    <n v="200000"/>
    <n v="1000000"/>
    <x v="0"/>
    <d v="2024-12-01T00:00:00"/>
    <n v="26500"/>
    <n v="1"/>
    <n v="26500"/>
    <s v="Srikanth Naule"/>
    <s v="Not Approved"/>
    <s v="No"/>
    <s v="Metal parts ，Metal tool&amp; fixtures"/>
  </r>
  <r>
    <x v="14"/>
    <s v="HP"/>
    <s v="Housing"/>
    <n v="240000090201004"/>
    <s v="JEE"/>
    <n v="2024"/>
    <n v="9"/>
    <s v="POC"/>
    <d v="2025-02-18T00:00:00"/>
    <n v="1"/>
    <n v="1000"/>
    <n v="2000"/>
    <n v="1000000"/>
    <x v="1"/>
    <d v="2024-09-01T00:00:00"/>
    <n v="3276"/>
    <n v="2"/>
    <n v="6552"/>
    <s v="Srikanth Naule"/>
    <s v="Not Approved"/>
    <s v="No"/>
    <s v="NPI COST"/>
  </r>
  <r>
    <x v="14"/>
    <s v="HP"/>
    <s v="Housing"/>
    <n v="240000090201004"/>
    <s v="JEE"/>
    <n v="2024"/>
    <n v="9"/>
    <s v="POC"/>
    <d v="2025-02-18T00:00:00"/>
    <n v="1"/>
    <n v="1000"/>
    <n v="1000"/>
    <n v="1000000"/>
    <x v="1"/>
    <d v="2024-09-01T00:00:00"/>
    <n v="4914"/>
    <n v="1"/>
    <n v="4914"/>
    <s v="Srikanth Naule"/>
    <s v="Not Approved"/>
    <s v="No"/>
    <s v="NPI COST"/>
  </r>
  <r>
    <x v="14"/>
    <s v="HP"/>
    <s v="Housing"/>
    <n v="240000090201004"/>
    <s v="JEE"/>
    <n v="2024"/>
    <n v="9"/>
    <s v="POC"/>
    <d v="2025-02-18T00:00:00"/>
    <n v="1"/>
    <n v="1000"/>
    <n v="1000"/>
    <n v="1000000"/>
    <x v="1"/>
    <d v="2024-09-01T00:00:00"/>
    <n v="13260"/>
    <n v="1"/>
    <n v="13260"/>
    <s v="Srikanth Naule"/>
    <s v="Not Approved"/>
    <s v="No"/>
    <s v="NPI COST"/>
  </r>
  <r>
    <x v="14"/>
    <s v="HP"/>
    <s v="Housing"/>
    <n v="240000090201004"/>
    <s v="JEE"/>
    <n v="2024"/>
    <n v="9"/>
    <s v="POC"/>
    <d v="2025-02-18T00:00:00"/>
    <n v="1"/>
    <n v="1000"/>
    <n v="7000"/>
    <n v="1000000"/>
    <x v="1"/>
    <d v="2024-09-01T00:00:00"/>
    <n v="1105"/>
    <n v="7"/>
    <n v="7735"/>
    <s v="Srikanth Naule"/>
    <s v="Not Approved"/>
    <s v="No"/>
    <s v="NPI COST"/>
  </r>
  <r>
    <x v="14"/>
    <s v="HP"/>
    <s v="Housing"/>
    <n v="240000090201004"/>
    <s v="JEE"/>
    <n v="2024"/>
    <n v="9"/>
    <s v="POC"/>
    <d v="2025-02-18T00:00:00"/>
    <n v="1"/>
    <n v="1000"/>
    <n v="2000"/>
    <n v="1000000"/>
    <x v="1"/>
    <d v="2024-09-01T00:00:00"/>
    <n v="331.5"/>
    <n v="2"/>
    <n v="663"/>
    <s v="Srikanth Naule"/>
    <s v="Not Approved"/>
    <s v="No"/>
    <s v="NPI COST"/>
  </r>
  <r>
    <x v="14"/>
    <s v="HP"/>
    <s v="Housing"/>
    <n v="240000090201004"/>
    <s v="JEE"/>
    <n v="2024"/>
    <n v="9"/>
    <s v="POC"/>
    <d v="2025-02-18T00:00:00"/>
    <n v="1"/>
    <n v="1000"/>
    <n v="1000"/>
    <n v="1000000"/>
    <x v="1"/>
    <d v="2024-09-01T00:00:00"/>
    <n v="13000"/>
    <n v="1"/>
    <n v="13000"/>
    <s v="Srikanth Naule"/>
    <s v="Not Approved"/>
    <s v="No"/>
    <s v="NPI COST"/>
  </r>
  <r>
    <x v="14"/>
    <s v="HP"/>
    <s v="Housing"/>
    <n v="240000090201004"/>
    <s v="JEE"/>
    <n v="2024"/>
    <n v="9"/>
    <s v="POC"/>
    <d v="2025-02-18T00:00:00"/>
    <n v="1"/>
    <n v="1000"/>
    <n v="2000"/>
    <n v="1000000"/>
    <x v="1"/>
    <d v="2024-09-01T00:00:00"/>
    <n v="2000"/>
    <n v="2"/>
    <n v="4000"/>
    <s v="Srikanth Naule"/>
    <s v="Not Approved"/>
    <s v="No"/>
    <s v="NPI COST"/>
  </r>
  <r>
    <x v="14"/>
    <s v="HP"/>
    <s v="Housing"/>
    <n v="240000090201004"/>
    <s v="JEE"/>
    <n v="2024"/>
    <n v="9"/>
    <s v="POC"/>
    <d v="2025-02-18T00:00:00"/>
    <n v="1"/>
    <n v="1000"/>
    <n v="58000"/>
    <n v="1000000"/>
    <x v="1"/>
    <d v="2024-09-01T00:00:00"/>
    <n v="3150"/>
    <n v="58"/>
    <n v="182700"/>
    <s v="Srikanth Naule"/>
    <s v="Not Approved"/>
    <s v="No"/>
    <s v="NPI COST"/>
  </r>
  <r>
    <x v="14"/>
    <s v="HP"/>
    <s v="Housing"/>
    <n v="240000090201004"/>
    <s v="JEE"/>
    <n v="2024"/>
    <n v="9"/>
    <s v="POC"/>
    <d v="2025-02-18T00:00:00"/>
    <n v="1"/>
    <n v="1000"/>
    <n v="5000"/>
    <n v="1000000"/>
    <x v="1"/>
    <d v="2024-09-01T00:00:00"/>
    <n v="1275"/>
    <n v="5"/>
    <n v="6375"/>
    <s v="Srikanth Naule"/>
    <s v="Not Approved"/>
    <s v="No"/>
    <s v="NPI COST"/>
  </r>
  <r>
    <x v="14"/>
    <s v="HP"/>
    <s v="Housing"/>
    <n v="240000090201004"/>
    <s v="JEE"/>
    <n v="2024"/>
    <n v="9"/>
    <s v="POC"/>
    <d v="2025-02-18T00:00:00"/>
    <n v="1"/>
    <n v="1000"/>
    <n v="4000"/>
    <n v="1000000"/>
    <x v="1"/>
    <d v="2024-09-01T00:00:00"/>
    <n v="3150"/>
    <n v="4"/>
    <n v="12600"/>
    <s v="Srikanth Naule"/>
    <s v="Not Approved"/>
    <s v="No"/>
    <s v="NPI COST"/>
  </r>
  <r>
    <x v="14"/>
    <s v="HP"/>
    <s v="Housing"/>
    <n v="240000090201004"/>
    <s v="JEE"/>
    <n v="2024"/>
    <n v="9"/>
    <s v="POC"/>
    <d v="2025-02-18T00:00:00"/>
    <n v="1"/>
    <n v="1000"/>
    <n v="1000"/>
    <n v="1000000"/>
    <x v="1"/>
    <d v="2024-09-01T00:00:00"/>
    <n v="1275"/>
    <n v="1"/>
    <n v="1275"/>
    <s v="Srikanth Naule"/>
    <s v="Not Approved"/>
    <s v="No"/>
    <s v="NPI COST"/>
  </r>
  <r>
    <x v="14"/>
    <s v="HP"/>
    <s v="Housing"/>
    <n v="240000090201004"/>
    <s v="JEE"/>
    <n v="2024"/>
    <n v="9"/>
    <s v="POC"/>
    <d v="2025-02-18T00:00:00"/>
    <n v="1"/>
    <n v="1000"/>
    <n v="1000"/>
    <n v="1000000"/>
    <x v="1"/>
    <d v="2024-09-01T00:00:00"/>
    <n v="1275"/>
    <n v="1"/>
    <n v="1275"/>
    <s v="Srikanth Naule"/>
    <s v="Not Approved"/>
    <s v="No"/>
    <s v="NPI COST"/>
  </r>
  <r>
    <x v="14"/>
    <s v="HP"/>
    <s v="Housing"/>
    <n v="240000090201004"/>
    <s v="JEE"/>
    <n v="2024"/>
    <n v="9"/>
    <s v="POC"/>
    <d v="2025-02-18T00:00:00"/>
    <n v="1"/>
    <n v="1000"/>
    <n v="1000"/>
    <n v="1000000"/>
    <x v="1"/>
    <d v="2024-09-01T00:00:00"/>
    <n v="8000"/>
    <n v="1"/>
    <n v="800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2000"/>
    <n v="1000000"/>
    <x v="1"/>
    <d v="2024-09-01T00:00:00"/>
    <n v="1000"/>
    <n v="2"/>
    <n v="200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47000"/>
    <n v="1000000"/>
    <x v="1"/>
    <d v="2024-09-01T00:00:00"/>
    <n v="1530"/>
    <n v="47"/>
    <n v="7191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14000"/>
    <n v="1000000"/>
    <x v="1"/>
    <d v="2024-09-01T00:00:00"/>
    <n v="1530"/>
    <n v="14"/>
    <n v="2142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1000"/>
    <n v="1000000"/>
    <x v="1"/>
    <d v="2024-09-01T00:00:00"/>
    <n v="850"/>
    <n v="1"/>
    <n v="85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2000"/>
    <n v="1000000"/>
    <x v="1"/>
    <d v="2024-09-01T00:00:00"/>
    <n v="850"/>
    <n v="2"/>
    <n v="170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1000"/>
    <n v="1000000"/>
    <x v="1"/>
    <d v="2024-09-01T00:00:00"/>
    <n v="1800"/>
    <n v="1"/>
    <n v="180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2000"/>
    <n v="1000000"/>
    <x v="1"/>
    <d v="2024-09-01T00:00:00"/>
    <n v="1800"/>
    <n v="2"/>
    <n v="360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3000"/>
    <n v="1000000"/>
    <x v="1"/>
    <d v="2024-09-01T00:00:00"/>
    <n v="850"/>
    <n v="3"/>
    <n v="255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1000"/>
    <n v="1000000"/>
    <x v="1"/>
    <d v="2024-09-01T00:00:00"/>
    <n v="850"/>
    <n v="1"/>
    <n v="85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1000"/>
    <n v="1000000"/>
    <x v="1"/>
    <d v="2024-09-01T00:00:00"/>
    <n v="13000"/>
    <n v="1"/>
    <n v="1300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1000"/>
    <n v="1000000"/>
    <x v="1"/>
    <d v="2024-09-01T00:00:00"/>
    <n v="3000"/>
    <n v="1"/>
    <n v="300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4000"/>
    <n v="1000000"/>
    <x v="1"/>
    <d v="2024-09-01T00:00:00"/>
    <n v="2574"/>
    <n v="4"/>
    <n v="10296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1000"/>
    <n v="1000000"/>
    <x v="1"/>
    <d v="2024-09-01T00:00:00"/>
    <n v="3094"/>
    <n v="1"/>
    <n v="3094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7000"/>
    <n v="1000000"/>
    <x v="1"/>
    <d v="2024-09-01T00:00:00"/>
    <n v="9945"/>
    <n v="7"/>
    <n v="69615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2000"/>
    <n v="1000000"/>
    <x v="1"/>
    <d v="2024-09-01T00:00:00"/>
    <n v="1105"/>
    <n v="2"/>
    <n v="2210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2000"/>
    <n v="1000000"/>
    <x v="1"/>
    <d v="2024-09-01T00:00:00"/>
    <n v="331.5"/>
    <n v="2"/>
    <n v="663"/>
    <s v="Srikanth Naule"/>
    <s v="Not Approved"/>
    <s v="No"/>
    <s v="NPI COST"/>
  </r>
  <r>
    <x v="14"/>
    <s v="HP"/>
    <s v="Top cover"/>
    <n v="240000090201003"/>
    <s v="JEE"/>
    <n v="2024"/>
    <n v="9"/>
    <s v="POC"/>
    <d v="2025-02-18T00:00:00"/>
    <n v="1"/>
    <n v="1000"/>
    <n v="1000"/>
    <n v="1000000"/>
    <x v="1"/>
    <d v="2024-09-01T00:00:00"/>
    <n v="13000"/>
    <n v="1"/>
    <n v="13000"/>
    <s v="Srikanth Naule"/>
    <s v="Not Approved"/>
    <s v="No"/>
    <s v="NPI COST"/>
  </r>
  <r>
    <x v="14"/>
    <s v="HP"/>
    <s v="Slider bracket"/>
    <n v="240000090201001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 COST"/>
  </r>
  <r>
    <x v="14"/>
    <s v="HP"/>
    <s v="Slider bracket"/>
    <n v="240000090201001"/>
    <s v="JEE"/>
    <n v="2024"/>
    <n v="9"/>
    <s v="POC"/>
    <d v="2025-02-18T00:00:00"/>
    <n v="1"/>
    <n v="1000"/>
    <n v="1000"/>
    <n v="1000000"/>
    <x v="1"/>
    <d v="2024-09-01T00:00:00"/>
    <n v="1530"/>
    <n v="1"/>
    <n v="1530"/>
    <s v="Srikanth Naule"/>
    <s v="Not Approved"/>
    <s v="No"/>
    <s v="NPI COST"/>
  </r>
  <r>
    <x v="14"/>
    <s v="HP"/>
    <s v="Slider bracket"/>
    <n v="240000090201001"/>
    <s v="JEE"/>
    <n v="2024"/>
    <n v="9"/>
    <s v="POC"/>
    <d v="2025-02-18T00:00:00"/>
    <n v="1"/>
    <n v="1000"/>
    <n v="6000"/>
    <n v="1000000"/>
    <x v="1"/>
    <d v="2024-09-01T00:00:00"/>
    <n v="1530"/>
    <n v="6"/>
    <n v="9180"/>
    <s v="Srikanth Naule"/>
    <s v="Not Approved"/>
    <s v="No"/>
    <s v="NPI COST"/>
  </r>
  <r>
    <x v="14"/>
    <s v="HP"/>
    <s v="Slider bracket"/>
    <n v="240000090201001"/>
    <s v="JEE"/>
    <n v="2024"/>
    <n v="9"/>
    <s v="POC"/>
    <d v="2025-02-18T00:00:00"/>
    <n v="1"/>
    <n v="1000"/>
    <n v="1000"/>
    <n v="1000000"/>
    <x v="1"/>
    <d v="2024-09-01T00:00:00"/>
    <n v="1275"/>
    <n v="1"/>
    <n v="1275"/>
    <s v="Srikanth Naule"/>
    <s v="Not Approved"/>
    <s v="No"/>
    <s v="NPI COST"/>
  </r>
  <r>
    <x v="14"/>
    <s v="HP"/>
    <s v="Slider bracket"/>
    <n v="240000090201001"/>
    <s v="JEE"/>
    <n v="2024"/>
    <n v="9"/>
    <s v="POC"/>
    <d v="2025-02-18T00:00:00"/>
    <n v="1"/>
    <n v="1000"/>
    <n v="1000"/>
    <n v="1000000"/>
    <x v="1"/>
    <d v="2024-09-01T00:00:00"/>
    <n v="1275"/>
    <n v="1"/>
    <n v="1275"/>
    <s v="Srikanth Naule"/>
    <s v="Not Approved"/>
    <s v="No"/>
    <s v="NPI COST"/>
  </r>
  <r>
    <x v="14"/>
    <s v="HP"/>
    <s v="Slider bracket"/>
    <n v="240000090201001"/>
    <s v="JEE"/>
    <n v="2024"/>
    <n v="9"/>
    <s v="POC"/>
    <d v="2025-02-18T00:00:00"/>
    <n v="1"/>
    <n v="1000"/>
    <n v="4000"/>
    <n v="1000000"/>
    <x v="1"/>
    <d v="2024-09-01T00:00:00"/>
    <n v="1530"/>
    <n v="4"/>
    <n v="6120"/>
    <s v="Srikanth Naule"/>
    <s v="Not Approved"/>
    <s v="No"/>
    <s v="NPI COST"/>
  </r>
  <r>
    <x v="14"/>
    <s v="HP"/>
    <s v="Slider bracket"/>
    <n v="240000090201001"/>
    <s v="JEE"/>
    <n v="2024"/>
    <n v="9"/>
    <s v="POC"/>
    <d v="2025-02-18T00:00:00"/>
    <n v="1"/>
    <n v="1000"/>
    <n v="1000"/>
    <n v="1000000"/>
    <x v="1"/>
    <d v="2024-09-01T00:00:00"/>
    <n v="2550"/>
    <n v="1"/>
    <n v="2550"/>
    <s v="Srikanth Naule"/>
    <s v="Not Approved"/>
    <s v="No"/>
    <s v="NPI COST"/>
  </r>
  <r>
    <x v="14"/>
    <s v="HP"/>
    <s v="Slider cover"/>
    <n v="240000090201002"/>
    <s v="JEE"/>
    <n v="2024"/>
    <n v="9"/>
    <s v="POC"/>
    <d v="2025-02-18T00:00:00"/>
    <n v="1"/>
    <n v="1000"/>
    <n v="1000"/>
    <n v="1000000"/>
    <x v="1"/>
    <d v="2024-09-01T00:00:00"/>
    <n v="4250"/>
    <n v="1"/>
    <n v="4250"/>
    <s v="Srikanth Naule"/>
    <s v="Not Approved"/>
    <s v="No"/>
    <s v="NPI COST"/>
  </r>
  <r>
    <x v="14"/>
    <s v="HP"/>
    <s v="Slider cover"/>
    <n v="240000090201002"/>
    <s v="JEE"/>
    <n v="2024"/>
    <n v="9"/>
    <s v="POC"/>
    <d v="2025-02-18T00:00:00"/>
    <n v="1"/>
    <n v="1000"/>
    <n v="1000"/>
    <n v="1000000"/>
    <x v="1"/>
    <d v="2024-09-01T00:00:00"/>
    <n v="1350"/>
    <n v="1"/>
    <n v="1350"/>
    <s v="Srikanth Naule"/>
    <s v="Not Approved"/>
    <s v="No"/>
    <s v="NPI COST"/>
  </r>
  <r>
    <x v="14"/>
    <s v="HP"/>
    <s v="Slider cover"/>
    <n v="240000090201002"/>
    <s v="JEE"/>
    <n v="2024"/>
    <n v="9"/>
    <s v="POC"/>
    <d v="2025-02-18T00:00:00"/>
    <n v="1"/>
    <n v="1000"/>
    <n v="1000"/>
    <n v="1000000"/>
    <x v="1"/>
    <d v="2024-09-01T00:00:00"/>
    <n v="1350"/>
    <n v="1"/>
    <n v="1350"/>
    <s v="Srikanth Naule"/>
    <s v="Not Approved"/>
    <s v="No"/>
    <s v="NPI COST"/>
  </r>
  <r>
    <x v="14"/>
    <s v="HP"/>
    <s v="Slider cover"/>
    <n v="240000090201002"/>
    <s v="JEE"/>
    <n v="2024"/>
    <n v="9"/>
    <s v="POC"/>
    <d v="2025-02-18T00:00:00"/>
    <n v="1"/>
    <n v="1000"/>
    <n v="1000"/>
    <n v="1000000"/>
    <x v="1"/>
    <d v="2024-09-01T00:00:00"/>
    <n v="900"/>
    <n v="1"/>
    <n v="900"/>
    <s v="Srikanth Naule"/>
    <s v="Not Approved"/>
    <s v="No"/>
    <s v="NPI COST"/>
  </r>
  <r>
    <x v="14"/>
    <s v="HP"/>
    <s v="Slider cover"/>
    <n v="240000090201002"/>
    <s v="JEE"/>
    <n v="2024"/>
    <n v="9"/>
    <s v="POC"/>
    <d v="2025-02-18T00:00:00"/>
    <n v="1"/>
    <n v="1000"/>
    <n v="1000"/>
    <n v="1000000"/>
    <x v="1"/>
    <d v="2024-09-01T00:00:00"/>
    <n v="1275"/>
    <n v="1"/>
    <n v="1275"/>
    <s v="Srikanth Naule"/>
    <s v="Not Approved"/>
    <s v="No"/>
    <s v="NPI COST"/>
  </r>
  <r>
    <x v="14"/>
    <s v="HP"/>
    <s v="Slider cover"/>
    <n v="240000090201002"/>
    <s v="JEE"/>
    <n v="2024"/>
    <n v="9"/>
    <s v="POC"/>
    <d v="2025-02-18T00:00:00"/>
    <n v="1"/>
    <n v="1000"/>
    <n v="1000"/>
    <n v="1000000"/>
    <x v="1"/>
    <d v="2024-09-01T00:00:00"/>
    <n v="1350"/>
    <n v="1"/>
    <n v="1350"/>
    <s v="Srikanth Naule"/>
    <s v="Not Approved"/>
    <s v="No"/>
    <s v="NPI COST"/>
  </r>
  <r>
    <x v="14"/>
    <s v="HP"/>
    <s v="USB Deco"/>
    <n v="240000090201005"/>
    <s v="JEE"/>
    <n v="2024"/>
    <n v="9"/>
    <s v="POC"/>
    <d v="2025-02-18T00:00:00"/>
    <n v="1"/>
    <n v="1000"/>
    <n v="1000"/>
    <n v="1000000"/>
    <x v="1"/>
    <d v="2024-09-01T00:00:00"/>
    <n v="6800"/>
    <n v="1"/>
    <n v="6800"/>
    <s v="Srikanth Naule"/>
    <s v="Not Approved"/>
    <s v="No"/>
    <s v="NPI COST"/>
  </r>
  <r>
    <x v="14"/>
    <s v="HP"/>
    <s v="USB Deco"/>
    <n v="240000090201005"/>
    <s v="JEE"/>
    <n v="2024"/>
    <n v="9"/>
    <s v="POC"/>
    <d v="2025-02-18T00:00:00"/>
    <n v="1"/>
    <n v="1000"/>
    <n v="1000"/>
    <n v="1000000"/>
    <x v="1"/>
    <d v="2024-09-01T00:00:00"/>
    <n v="2250"/>
    <n v="1"/>
    <n v="2250"/>
    <s v="Srikanth Naule"/>
    <s v="Not Approved"/>
    <s v="No"/>
    <s v="NPI COST"/>
  </r>
  <r>
    <x v="14"/>
    <s v="HP"/>
    <s v="USB Deco"/>
    <n v="240000090201005"/>
    <s v="JEE"/>
    <n v="2024"/>
    <n v="9"/>
    <s v="POC"/>
    <d v="2025-02-18T00:00:00"/>
    <n v="1"/>
    <n v="1000"/>
    <n v="4000"/>
    <n v="1000000"/>
    <x v="1"/>
    <d v="2024-09-01T00:00:00"/>
    <n v="2250"/>
    <n v="4"/>
    <n v="9000"/>
    <s v="Srikanth Naule"/>
    <s v="Not Approved"/>
    <s v="No"/>
    <s v="NPI COST"/>
  </r>
  <r>
    <x v="14"/>
    <s v="HP"/>
    <s v="USB Deco"/>
    <n v="240000090201005"/>
    <s v="JEE"/>
    <n v="2024"/>
    <n v="9"/>
    <s v="POC"/>
    <d v="2025-02-18T00:00:00"/>
    <n v="1"/>
    <n v="1000"/>
    <n v="1000"/>
    <n v="1000000"/>
    <x v="1"/>
    <d v="2024-09-01T00:00:00"/>
    <n v="1275"/>
    <n v="1"/>
    <n v="1275"/>
    <s v="Srikanth Naule"/>
    <s v="Not Approved"/>
    <s v="No"/>
    <s v="NPI COST"/>
  </r>
  <r>
    <x v="14"/>
    <s v="HP"/>
    <s v="USB Deco"/>
    <n v="240000090201005"/>
    <s v="JEE"/>
    <n v="2024"/>
    <n v="9"/>
    <s v="POC"/>
    <d v="2025-02-18T00:00:00"/>
    <n v="1"/>
    <n v="1000"/>
    <n v="2000"/>
    <n v="1000000"/>
    <x v="1"/>
    <d v="2024-09-01T00:00:00"/>
    <n v="2125"/>
    <n v="2"/>
    <n v="4250"/>
    <s v="Srikanth Naule"/>
    <s v="Not Approved"/>
    <s v="No"/>
    <s v="NPI COST"/>
  </r>
  <r>
    <x v="14"/>
    <s v="HP"/>
    <s v="USB Deco"/>
    <n v="240000090201005"/>
    <s v="JEE"/>
    <n v="2024"/>
    <n v="9"/>
    <s v="POC"/>
    <d v="2025-02-18T00:00:00"/>
    <n v="1"/>
    <n v="1000"/>
    <n v="1000"/>
    <n v="1000000"/>
    <x v="1"/>
    <d v="2024-09-01T00:00:00"/>
    <n v="1275"/>
    <n v="1"/>
    <n v="1275"/>
    <s v="Srikanth Naule"/>
    <s v="Not Approved"/>
    <s v="No"/>
    <s v="NPI COST"/>
  </r>
  <r>
    <x v="14"/>
    <s v="HP"/>
    <s v="USB Deco"/>
    <n v="240000090201005"/>
    <s v="JEE"/>
    <n v="2024"/>
    <n v="9"/>
    <s v="POC"/>
    <d v="2025-02-18T00:00:00"/>
    <n v="1"/>
    <n v="1000"/>
    <n v="1000"/>
    <n v="1000000"/>
    <x v="1"/>
    <d v="2024-09-01T00:00:00"/>
    <n v="8000"/>
    <n v="1"/>
    <n v="8000"/>
    <s v="Srikanth Naule"/>
    <s v="Not Approved"/>
    <s v="No"/>
    <s v="NPI COST"/>
  </r>
  <r>
    <x v="14"/>
    <s v="HP"/>
    <s v="USB Deco"/>
    <n v="240000090201005"/>
    <s v="JEE"/>
    <n v="2024"/>
    <n v="9"/>
    <s v="POC"/>
    <d v="2025-02-18T00:00:00"/>
    <n v="1"/>
    <n v="1000"/>
    <n v="1000"/>
    <n v="1000000"/>
    <x v="1"/>
    <d v="2024-09-01T00:00:00"/>
    <n v="1000"/>
    <n v="1"/>
    <n v="1000"/>
    <s v="Srikanth Naule"/>
    <s v="Not Approved"/>
    <s v="No"/>
    <s v="NPI COST"/>
  </r>
  <r>
    <x v="15"/>
    <s v="HP"/>
    <s v="HOUSING_NMT"/>
    <n v="120020670103672"/>
    <s v="JEE"/>
    <n v="2024"/>
    <n v="9"/>
    <s v="POC"/>
    <d v="2025-02-18T00:00:00"/>
    <n v="1"/>
    <n v="1000"/>
    <n v="1000"/>
    <n v="1000000"/>
    <x v="1"/>
    <d v="2024-09-01T00:00:00"/>
    <n v="3500"/>
    <n v="1"/>
    <n v="3500"/>
    <s v="Srikanth Naule"/>
    <s v="Not Approved"/>
    <s v="No"/>
    <s v="NPI-POC"/>
  </r>
  <r>
    <x v="15"/>
    <s v="HP"/>
    <s v="HOUSING_NMT"/>
    <n v="120020670103672"/>
    <s v="JEE"/>
    <n v="2024"/>
    <n v="9"/>
    <s v="POC"/>
    <d v="2025-02-18T00:00:00"/>
    <n v="1"/>
    <n v="1000"/>
    <n v="1000"/>
    <n v="1000000"/>
    <x v="1"/>
    <d v="2024-09-01T00:00:00"/>
    <n v="1000"/>
    <n v="1"/>
    <n v="1000"/>
    <s v="Srikanth Naule"/>
    <s v="Not Approved"/>
    <s v="No"/>
    <s v="NPI-POC"/>
  </r>
  <r>
    <x v="15"/>
    <s v="HP"/>
    <s v="HOUSING_NMT"/>
    <n v="120020670103672"/>
    <s v="JEE"/>
    <n v="2024"/>
    <n v="9"/>
    <s v="POC"/>
    <d v="2025-02-18T00:00:00"/>
    <n v="1"/>
    <n v="1000"/>
    <n v="1000"/>
    <n v="1000000"/>
    <x v="1"/>
    <d v="2024-09-01T00:00:00"/>
    <n v="1000"/>
    <n v="1"/>
    <n v="1000"/>
    <s v="Srikanth Naule"/>
    <s v="Not Approved"/>
    <s v="No"/>
    <s v="NPI-POC"/>
  </r>
  <r>
    <x v="15"/>
    <s v="HP"/>
    <s v="HOUSING_NMT"/>
    <n v="120020670103672"/>
    <s v="JEE"/>
    <n v="2024"/>
    <n v="9"/>
    <s v="POC"/>
    <d v="2025-02-18T00:00:00"/>
    <n v="1"/>
    <n v="1000"/>
    <n v="54000"/>
    <n v="1000000"/>
    <x v="1"/>
    <d v="2024-09-01T00:00:00"/>
    <n v="3500"/>
    <n v="54"/>
    <n v="189000"/>
    <s v="Srikanth Naule"/>
    <s v="Not Approved"/>
    <s v="No"/>
    <s v="NPI-POC"/>
  </r>
  <r>
    <x v="15"/>
    <s v="HP"/>
    <s v="HOUSING_NMT"/>
    <n v="120020670103672"/>
    <s v="JEE"/>
    <n v="2024"/>
    <n v="9"/>
    <s v="POC"/>
    <d v="2025-02-18T00:00:00"/>
    <n v="1"/>
    <n v="1000"/>
    <n v="2000"/>
    <n v="1000000"/>
    <x v="1"/>
    <d v="2024-09-01T00:00:00"/>
    <n v="248500"/>
    <n v="2"/>
    <n v="497000"/>
    <s v="Srikanth Naule"/>
    <s v="Not Approved"/>
    <s v="No"/>
    <s v="NPI-POC"/>
  </r>
  <r>
    <x v="15"/>
    <s v="HP"/>
    <s v="HOUSING_NMT"/>
    <n v="120020670103672"/>
    <s v="JEE"/>
    <n v="2024"/>
    <n v="9"/>
    <s v="POC"/>
    <d v="2025-02-18T00:00:00"/>
    <n v="1"/>
    <n v="1000"/>
    <n v="35000"/>
    <n v="1000000"/>
    <x v="1"/>
    <d v="2024-09-01T00:00:00"/>
    <n v="3500"/>
    <n v="35"/>
    <n v="122500"/>
    <s v="Srikanth Naule"/>
    <s v="Not Approved"/>
    <s v="No"/>
    <s v="NPI-POC"/>
  </r>
  <r>
    <x v="15"/>
    <s v="HP"/>
    <s v="HOUSING_NMT"/>
    <n v="120020670103672"/>
    <s v="JEE"/>
    <n v="2024"/>
    <n v="9"/>
    <s v="POC"/>
    <d v="2025-02-18T00:00:00"/>
    <n v="1"/>
    <n v="1000"/>
    <n v="3000"/>
    <n v="1000000"/>
    <x v="1"/>
    <d v="2024-09-01T00:00:00"/>
    <n v="3500"/>
    <n v="3"/>
    <n v="10500"/>
    <s v="Srikanth Naule"/>
    <s v="Not Approved"/>
    <s v="No"/>
    <s v="NPI-POC"/>
  </r>
  <r>
    <x v="15"/>
    <s v="HP"/>
    <s v="HOUSING_NMT"/>
    <n v="120020670103672"/>
    <s v="JEE"/>
    <n v="2024"/>
    <n v="9"/>
    <s v="POC"/>
    <d v="2025-02-18T00:00:00"/>
    <n v="1"/>
    <n v="1000"/>
    <n v="2000"/>
    <n v="1000000"/>
    <x v="1"/>
    <d v="2024-09-01T00:00:00"/>
    <n v="1500"/>
    <n v="2"/>
    <n v="3000"/>
    <s v="Srikanth Naule"/>
    <s v="Not Approved"/>
    <s v="No"/>
    <s v="NPI-POC"/>
  </r>
  <r>
    <x v="15"/>
    <s v="HP"/>
    <s v="HOUSING_NMT"/>
    <n v="120020670103672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HOUSING_NMT"/>
    <n v="120020670103672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HOUSING_NMT"/>
    <n v="120020670103672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HOUSING_NMT"/>
    <n v="120020670103672"/>
    <s v="JEE"/>
    <n v="2024"/>
    <n v="9"/>
    <s v="POC"/>
    <d v="2025-02-18T00:00:00"/>
    <n v="1"/>
    <n v="1000"/>
    <n v="2000"/>
    <n v="1000000"/>
    <x v="1"/>
    <d v="2024-09-01T00:00:00"/>
    <n v="1500"/>
    <n v="2"/>
    <n v="3000"/>
    <s v="Srikanth Naule"/>
    <s v="Not Approved"/>
    <s v="No"/>
    <s v="NPI-POC"/>
  </r>
  <r>
    <x v="15"/>
    <s v="HP"/>
    <s v="HOUSING_NMT"/>
    <n v="120020670103672"/>
    <s v="JEE"/>
    <n v="2024"/>
    <n v="9"/>
    <s v="POC"/>
    <d v="2025-02-18T00:00:00"/>
    <n v="1"/>
    <n v="1000"/>
    <n v="1000"/>
    <n v="1000000"/>
    <x v="1"/>
    <d v="2024-09-01T00:00:00"/>
    <n v="1000"/>
    <n v="1"/>
    <n v="1000"/>
    <s v="Srikanth Naule"/>
    <s v="Not Approved"/>
    <s v="No"/>
    <s v="NPI-POC"/>
  </r>
  <r>
    <x v="15"/>
    <s v="HP"/>
    <s v="DECO_RING"/>
    <n v="240000600201044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POC"/>
  </r>
  <r>
    <x v="15"/>
    <s v="HP"/>
    <s v="DECO_RING"/>
    <n v="240000600201044"/>
    <s v="JEE"/>
    <n v="2024"/>
    <n v="9"/>
    <s v="POC"/>
    <d v="2025-02-18T00:00:00"/>
    <n v="1"/>
    <n v="1000"/>
    <n v="4000"/>
    <n v="1000000"/>
    <x v="1"/>
    <d v="2024-09-01T00:00:00"/>
    <n v="2500"/>
    <n v="4"/>
    <n v="10000"/>
    <s v="Srikanth Naule"/>
    <s v="Not Approved"/>
    <s v="No"/>
    <s v="NPI-POC"/>
  </r>
  <r>
    <x v="15"/>
    <s v="HP"/>
    <s v="DECO_RING"/>
    <n v="240000600201044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DECO_RING"/>
    <n v="240000600201044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DECO_RING"/>
    <n v="240000600201044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-POC"/>
  </r>
  <r>
    <x v="15"/>
    <s v="HP"/>
    <s v="DECO_RING"/>
    <n v="240000600201044"/>
    <s v="JEE"/>
    <n v="2024"/>
    <n v="9"/>
    <s v="POC"/>
    <d v="2025-02-18T00:00:00"/>
    <n v="1"/>
    <n v="1000"/>
    <n v="10000"/>
    <n v="1000000"/>
    <x v="1"/>
    <d v="2024-09-01T00:00:00"/>
    <n v="2500"/>
    <n v="10"/>
    <n v="25000"/>
    <s v="Srikanth Naule"/>
    <s v="Not Approved"/>
    <s v="No"/>
    <s v="NPI-POC"/>
  </r>
  <r>
    <x v="15"/>
    <s v="HP"/>
    <s v="DECO_RING"/>
    <n v="240000600201044"/>
    <s v="JEE"/>
    <n v="2024"/>
    <n v="9"/>
    <s v="POC"/>
    <d v="2025-02-18T00:00:00"/>
    <n v="1"/>
    <n v="1000"/>
    <n v="4000"/>
    <n v="1000000"/>
    <x v="1"/>
    <d v="2024-09-01T00:00:00"/>
    <n v="2500"/>
    <n v="4"/>
    <n v="10000"/>
    <s v="Srikanth Naule"/>
    <s v="Not Approved"/>
    <s v="No"/>
    <s v="NPI-POC"/>
  </r>
  <r>
    <x v="15"/>
    <s v="HP"/>
    <s v="DECO_RING"/>
    <n v="240000600201044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DECO_RING"/>
    <n v="240000600201044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DECO_RING"/>
    <n v="240000600201044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SLIDER_BRACKET NMT"/>
    <n v="240000600201045"/>
    <s v="JEE"/>
    <n v="2024"/>
    <n v="9"/>
    <s v="POC"/>
    <d v="2025-02-18T00:00:00"/>
    <n v="1"/>
    <n v="1000"/>
    <n v="1000"/>
    <n v="1000000"/>
    <x v="1"/>
    <d v="2024-09-01T00:00:00"/>
    <n v="8000"/>
    <n v="1"/>
    <n v="8000"/>
    <s v="Srikanth Naule"/>
    <s v="Not Approved"/>
    <s v="No"/>
    <s v="NPI-POC"/>
  </r>
  <r>
    <x v="15"/>
    <s v="HP"/>
    <s v="SLIDER_BRACKET NMT"/>
    <n v="240000600201045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-POC"/>
  </r>
  <r>
    <x v="15"/>
    <s v="HP"/>
    <s v="SLIDER_BRACKET NMT"/>
    <n v="240000600201045"/>
    <s v="JEE"/>
    <n v="2024"/>
    <n v="9"/>
    <s v="POC"/>
    <d v="2025-02-18T00:00:00"/>
    <n v="1"/>
    <n v="1000"/>
    <n v="1000"/>
    <n v="1000000"/>
    <x v="1"/>
    <d v="2024-09-01T00:00:00"/>
    <n v="101500"/>
    <n v="1"/>
    <n v="101500"/>
    <s v="Srikanth Naule"/>
    <s v="Not Approved"/>
    <s v="No"/>
    <s v="NPI-POC"/>
  </r>
  <r>
    <x v="15"/>
    <s v="HP"/>
    <s v="SLIDER_BRACKET NMT"/>
    <n v="240000600201045"/>
    <s v="JEE"/>
    <n v="2024"/>
    <n v="9"/>
    <s v="POC"/>
    <d v="2025-02-18T00:00:00"/>
    <n v="1"/>
    <n v="1000"/>
    <n v="4000"/>
    <n v="1000000"/>
    <x v="1"/>
    <d v="2024-09-01T00:00:00"/>
    <n v="35000"/>
    <n v="4"/>
    <n v="140000"/>
    <s v="Srikanth Naule"/>
    <s v="Not Approved"/>
    <s v="No"/>
    <s v="NPI-POC"/>
  </r>
  <r>
    <x v="15"/>
    <s v="HP"/>
    <s v="SLIDER_BRACKET NMT"/>
    <n v="240000600201045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SLIDER_BRACKET NMT"/>
    <n v="240000600201045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SLIDER_BRACKET NMT"/>
    <n v="240000600201045"/>
    <s v="JEE"/>
    <n v="2024"/>
    <n v="9"/>
    <s v="POC"/>
    <d v="2025-02-18T00:00:00"/>
    <n v="1"/>
    <n v="1000"/>
    <n v="2000"/>
    <n v="1000000"/>
    <x v="1"/>
    <d v="2024-09-01T00:00:00"/>
    <n v="12500"/>
    <n v="2"/>
    <n v="25000"/>
    <s v="Srikanth Naule"/>
    <s v="Not Approved"/>
    <s v="No"/>
    <s v="NPI-POC"/>
  </r>
  <r>
    <x v="15"/>
    <s v="HP"/>
    <s v="SLIDER_BRACKET NMT"/>
    <n v="240000600201045"/>
    <s v="JEE"/>
    <n v="2024"/>
    <n v="9"/>
    <s v="POC"/>
    <d v="2025-02-18T00:00:00"/>
    <n v="1"/>
    <n v="1000"/>
    <n v="1000"/>
    <n v="1000000"/>
    <x v="1"/>
    <d v="2024-09-01T00:00:00"/>
    <n v="3000"/>
    <n v="1"/>
    <n v="3000"/>
    <s v="Srikanth Naule"/>
    <s v="Not Approved"/>
    <s v="No"/>
    <s v="NPI-POC"/>
  </r>
  <r>
    <x v="15"/>
    <s v="HP"/>
    <s v="SLIDER_RAIL  NMT"/>
    <n v="120020670103666"/>
    <s v="JEE"/>
    <n v="2024"/>
    <n v="9"/>
    <s v="POC"/>
    <d v="2025-02-18T00:00:00"/>
    <n v="1"/>
    <n v="1000"/>
    <n v="1000"/>
    <n v="1000000"/>
    <x v="1"/>
    <d v="2024-09-01T00:00:00"/>
    <n v="8000"/>
    <n v="1"/>
    <n v="8000"/>
    <s v="Srikanth Naule"/>
    <s v="Not Approved"/>
    <s v="No"/>
    <s v="NPI-POC"/>
  </r>
  <r>
    <x v="15"/>
    <s v="HP"/>
    <s v="SLIDER_RAIL  NMT"/>
    <n v="120020670103666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-POC"/>
  </r>
  <r>
    <x v="15"/>
    <s v="HP"/>
    <s v="SLIDER_RAIL  NMT"/>
    <n v="120020670103666"/>
    <s v="JEE"/>
    <n v="2024"/>
    <n v="9"/>
    <s v="POC"/>
    <d v="2025-02-18T00:00:00"/>
    <n v="1"/>
    <n v="1000"/>
    <n v="1000"/>
    <n v="1000000"/>
    <x v="1"/>
    <d v="2024-09-01T00:00:00"/>
    <n v="101500"/>
    <n v="1"/>
    <n v="101500"/>
    <s v="Srikanth Naule"/>
    <s v="Not Approved"/>
    <s v="No"/>
    <s v="NPI-POC"/>
  </r>
  <r>
    <x v="15"/>
    <s v="HP"/>
    <s v="SLIDER_RAIL  NMT"/>
    <n v="120020670103666"/>
    <s v="JEE"/>
    <n v="2024"/>
    <n v="9"/>
    <s v="POC"/>
    <d v="2025-02-18T00:00:00"/>
    <n v="1"/>
    <n v="1000"/>
    <n v="4000"/>
    <n v="1000000"/>
    <x v="1"/>
    <d v="2024-09-01T00:00:00"/>
    <n v="35000"/>
    <n v="4"/>
    <n v="140000"/>
    <s v="Srikanth Naule"/>
    <s v="Not Approved"/>
    <s v="No"/>
    <s v="NPI-POC"/>
  </r>
  <r>
    <x v="15"/>
    <s v="HP"/>
    <s v="SLIDER_RAIL  NMT"/>
    <n v="120020670103666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SLIDER_RAIL  NMT"/>
    <n v="120020670103666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SLIDER_RAIL  NMT"/>
    <n v="120020670103666"/>
    <s v="JEE"/>
    <n v="2024"/>
    <n v="9"/>
    <s v="POC"/>
    <d v="2025-02-18T00:00:00"/>
    <n v="1"/>
    <n v="1000"/>
    <n v="2000"/>
    <n v="1000000"/>
    <x v="1"/>
    <d v="2024-09-01T00:00:00"/>
    <n v="17500"/>
    <n v="2"/>
    <n v="35000"/>
    <s v="Srikanth Naule"/>
    <s v="Not Approved"/>
    <s v="No"/>
    <s v="NPI-POC"/>
  </r>
  <r>
    <x v="15"/>
    <s v="HP"/>
    <s v="SLIDER_RAIL  NMT"/>
    <n v="120020670103666"/>
    <s v="JEE"/>
    <n v="2024"/>
    <n v="9"/>
    <s v="POC"/>
    <d v="2025-02-18T00:00:00"/>
    <n v="1"/>
    <n v="1000"/>
    <n v="1000"/>
    <n v="1000000"/>
    <x v="1"/>
    <d v="2024-09-01T00:00:00"/>
    <n v="3000"/>
    <n v="1"/>
    <n v="3000"/>
    <s v="Srikanth Naule"/>
    <s v="Not Approved"/>
    <s v="No"/>
    <s v="NPI-POC"/>
  </r>
  <r>
    <x v="15"/>
    <s v="HP"/>
    <s v="SLIDER_COVER"/>
    <n v="120020670103664"/>
    <s v="JEE"/>
    <n v="2024"/>
    <n v="9"/>
    <s v="POC"/>
    <d v="2025-02-18T00:00:00"/>
    <n v="1"/>
    <n v="1000"/>
    <n v="1000"/>
    <n v="1000000"/>
    <x v="1"/>
    <d v="2024-09-01T00:00:00"/>
    <n v="8000"/>
    <n v="1"/>
    <n v="8000"/>
    <s v="Srikanth Naule"/>
    <s v="Not Approved"/>
    <s v="No"/>
    <s v="NPI-POC"/>
  </r>
  <r>
    <x v="15"/>
    <s v="HP"/>
    <s v="SLIDER_COVER"/>
    <n v="120020670103664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POC"/>
  </r>
  <r>
    <x v="15"/>
    <s v="HP"/>
    <s v="SLIDER_COVER"/>
    <n v="120020670103664"/>
    <s v="JEE"/>
    <n v="2024"/>
    <n v="9"/>
    <s v="POC"/>
    <d v="2025-02-18T00:00:00"/>
    <n v="1"/>
    <n v="1000"/>
    <n v="2000"/>
    <n v="1000000"/>
    <x v="1"/>
    <d v="2024-09-01T00:00:00"/>
    <n v="2500"/>
    <n v="2"/>
    <n v="5000"/>
    <s v="Srikanth Naule"/>
    <s v="Not Approved"/>
    <s v="No"/>
    <s v="NPI-POC"/>
  </r>
  <r>
    <x v="15"/>
    <s v="HP"/>
    <s v="SLIDER_COVER"/>
    <n v="120020670103664"/>
    <s v="JEE"/>
    <n v="2024"/>
    <n v="9"/>
    <s v="POC"/>
    <d v="2025-02-18T00:00:00"/>
    <n v="1"/>
    <n v="1000"/>
    <n v="2000"/>
    <n v="1000000"/>
    <x v="1"/>
    <d v="2024-09-01T00:00:00"/>
    <n v="2000"/>
    <n v="2"/>
    <n v="4000"/>
    <s v="Srikanth Naule"/>
    <s v="Not Approved"/>
    <s v="No"/>
    <s v="NPI-POC"/>
  </r>
  <r>
    <x v="15"/>
    <s v="HP"/>
    <s v="SLIDER_COVER"/>
    <n v="120020670103664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POC"/>
  </r>
  <r>
    <x v="15"/>
    <s v="HP"/>
    <s v="SLIDER_COVER"/>
    <n v="120020670103664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SLIDER_COVER"/>
    <n v="120020670103664"/>
    <s v="JEE"/>
    <n v="2024"/>
    <n v="9"/>
    <s v="POC"/>
    <d v="2025-02-18T00:00:00"/>
    <n v="1"/>
    <n v="1000"/>
    <n v="3000"/>
    <n v="1000000"/>
    <x v="1"/>
    <d v="2024-09-01T00:00:00"/>
    <n v="1500"/>
    <n v="3"/>
    <n v="4500"/>
    <s v="Srikanth Naule"/>
    <s v="Not Approved"/>
    <s v="No"/>
    <s v="NPI-POC"/>
  </r>
  <r>
    <x v="15"/>
    <s v="HP"/>
    <s v="SLIDER_COVER"/>
    <n v="120020670103664"/>
    <s v="JEE"/>
    <n v="2024"/>
    <n v="9"/>
    <s v="POC"/>
    <d v="2025-02-18T00:00:00"/>
    <n v="1"/>
    <n v="1000"/>
    <n v="1000"/>
    <n v="1000000"/>
    <x v="1"/>
    <d v="2024-09-01T00:00:00"/>
    <n v="1000"/>
    <n v="1"/>
    <n v="1000"/>
    <s v="Srikanth Naule"/>
    <s v="Not Approved"/>
    <s v="No"/>
    <s v="NPI-POC"/>
  </r>
  <r>
    <x v="15"/>
    <s v="HP"/>
    <s v="POGO_PIN_CAP"/>
    <n v="240000600201043"/>
    <s v="JEE"/>
    <n v="2024"/>
    <n v="9"/>
    <s v="POC"/>
    <d v="2025-02-18T00:00:00"/>
    <n v="1"/>
    <n v="1000"/>
    <n v="1000"/>
    <n v="1000000"/>
    <x v="1"/>
    <d v="2024-09-01T00:00:00"/>
    <n v="88000"/>
    <n v="1"/>
    <n v="88000"/>
    <s v="Srikanth Naule"/>
    <s v="Not Approved"/>
    <s v="No"/>
    <s v="NPI-POC"/>
  </r>
  <r>
    <x v="15"/>
    <s v="HP"/>
    <s v="POGO_PIN_CAP"/>
    <n v="240000600201043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-POC"/>
  </r>
  <r>
    <x v="15"/>
    <s v="HP"/>
    <s v="USB_BTB_CAP"/>
    <n v="120020670103677"/>
    <s v="JEE"/>
    <n v="2024"/>
    <n v="9"/>
    <s v="POC"/>
    <d v="2025-02-18T00:00:00"/>
    <n v="1"/>
    <n v="1000"/>
    <n v="1000"/>
    <n v="1000000"/>
    <x v="1"/>
    <d v="2024-09-01T00:00:00"/>
    <n v="8000"/>
    <n v="1"/>
    <n v="8000"/>
    <s v="Srikanth Naule"/>
    <s v="Not Approved"/>
    <s v="No"/>
    <s v="NPI-POC"/>
  </r>
  <r>
    <x v="15"/>
    <s v="HP"/>
    <s v="USB_BTB_CAP"/>
    <n v="120020670103677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-POC"/>
  </r>
  <r>
    <x v="15"/>
    <s v="HP"/>
    <s v="USB_BTB_CAP"/>
    <n v="120020670103677"/>
    <s v="JEE"/>
    <n v="2024"/>
    <n v="9"/>
    <s v="POC"/>
    <d v="2025-02-18T00:00:00"/>
    <n v="1"/>
    <n v="1000"/>
    <n v="3000"/>
    <n v="1000000"/>
    <x v="1"/>
    <d v="2024-09-01T00:00:00"/>
    <n v="27500"/>
    <n v="3"/>
    <n v="82500"/>
    <s v="Srikanth Naule"/>
    <s v="Not Approved"/>
    <s v="No"/>
    <s v="NPI-POC"/>
  </r>
  <r>
    <x v="15"/>
    <s v="HP"/>
    <s v="USB_BTB_CAP"/>
    <n v="120020670103677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USB_BTB_CAP"/>
    <n v="120020670103677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USB_BTB_CAP"/>
    <n v="120020670103677"/>
    <s v="JEE"/>
    <n v="2024"/>
    <n v="9"/>
    <s v="POC"/>
    <d v="2025-02-18T00:00:00"/>
    <n v="1"/>
    <n v="1000"/>
    <n v="2000"/>
    <n v="1000000"/>
    <x v="1"/>
    <d v="2024-09-01T00:00:00"/>
    <n v="20000"/>
    <n v="2"/>
    <n v="40000"/>
    <s v="Srikanth Naule"/>
    <s v="Not Approved"/>
    <s v="No"/>
    <s v="NPI-POC"/>
  </r>
  <r>
    <x v="15"/>
    <s v="HP"/>
    <s v="USB_BTB_CAP"/>
    <n v="120020670103677"/>
    <s v="JEE"/>
    <n v="2024"/>
    <n v="9"/>
    <s v="POC"/>
    <d v="2025-02-18T00:00:00"/>
    <n v="1"/>
    <n v="1000"/>
    <n v="1000"/>
    <n v="1000000"/>
    <x v="1"/>
    <d v="2024-09-01T00:00:00"/>
    <n v="1000"/>
    <n v="1"/>
    <n v="10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1000"/>
    <n v="1000000"/>
    <x v="1"/>
    <d v="2024-09-01T00:00:00"/>
    <n v="2000"/>
    <n v="1"/>
    <n v="20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11000"/>
    <n v="1000000"/>
    <x v="1"/>
    <d v="2024-09-01T00:00:00"/>
    <n v="3500"/>
    <n v="11"/>
    <n v="385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4000"/>
    <n v="1000000"/>
    <x v="1"/>
    <d v="2024-09-01T00:00:00"/>
    <n v="3500"/>
    <n v="4"/>
    <n v="140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2000"/>
    <n v="1000000"/>
    <x v="1"/>
    <d v="2024-09-01T00:00:00"/>
    <n v="2500"/>
    <n v="2"/>
    <n v="50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1000"/>
    <n v="1000000"/>
    <x v="1"/>
    <d v="2024-09-01T00:00:00"/>
    <n v="1000"/>
    <n v="1"/>
    <n v="10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6000"/>
    <n v="1000000"/>
    <x v="1"/>
    <d v="2024-09-01T00:00:00"/>
    <n v="3500"/>
    <n v="6"/>
    <n v="21000"/>
    <s v="Srikanth Naule"/>
    <s v="Not Approved"/>
    <s v="No"/>
    <s v="NPI-POC"/>
  </r>
  <r>
    <x v="15"/>
    <s v="HP"/>
    <s v="PEN_TOP_COVER"/>
    <n v="240000600201001"/>
    <s v="JEE"/>
    <n v="2024"/>
    <n v="9"/>
    <s v="POC"/>
    <d v="2025-02-18T00:00:00"/>
    <n v="1"/>
    <n v="1000"/>
    <n v="1000"/>
    <n v="1000000"/>
    <x v="1"/>
    <d v="2024-09-01T00:00:00"/>
    <n v="3000"/>
    <n v="1"/>
    <n v="3000"/>
    <s v="Srikanth Naule"/>
    <s v="Not Approved"/>
    <s v="No"/>
    <s v="NPI-POC"/>
  </r>
  <r>
    <x v="15"/>
    <s v="HP"/>
    <s v="BUTTON"/>
    <n v="240000600201007"/>
    <s v="JEE"/>
    <n v="2024"/>
    <n v="9"/>
    <s v="POC"/>
    <d v="2025-02-18T00:00:00"/>
    <n v="1"/>
    <n v="1000"/>
    <n v="1000"/>
    <n v="1000000"/>
    <x v="1"/>
    <d v="2024-09-01T00:00:00"/>
    <n v="8000"/>
    <n v="1"/>
    <n v="8000"/>
    <s v="Srikanth Naule"/>
    <s v="Not Approved"/>
    <s v="No"/>
    <s v="NPI-POC"/>
  </r>
  <r>
    <x v="15"/>
    <s v="HP"/>
    <s v="BUTTON"/>
    <n v="240000600201007"/>
    <s v="JEE"/>
    <n v="2024"/>
    <n v="9"/>
    <s v="POC"/>
    <d v="2025-02-18T00:00:00"/>
    <n v="1"/>
    <n v="1000"/>
    <n v="4000"/>
    <n v="1000000"/>
    <x v="1"/>
    <d v="2024-09-01T00:00:00"/>
    <n v="2500"/>
    <n v="4"/>
    <n v="10000"/>
    <s v="Srikanth Naule"/>
    <s v="Not Approved"/>
    <s v="No"/>
    <s v="NPI-POC"/>
  </r>
  <r>
    <x v="15"/>
    <s v="HP"/>
    <s v="BUTTON"/>
    <n v="240000600201007"/>
    <s v="JEE"/>
    <n v="2024"/>
    <n v="9"/>
    <s v="POC"/>
    <d v="2025-02-18T00:00:00"/>
    <n v="1"/>
    <n v="1000"/>
    <n v="3000"/>
    <n v="1000000"/>
    <x v="1"/>
    <d v="2024-09-01T00:00:00"/>
    <n v="2500"/>
    <n v="3"/>
    <n v="7500"/>
    <s v="Srikanth Naule"/>
    <s v="Not Approved"/>
    <s v="No"/>
    <s v="NPI-POC"/>
  </r>
  <r>
    <x v="15"/>
    <s v="HP"/>
    <s v="BUTTON"/>
    <n v="240000600201007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BUTTON"/>
    <n v="240000600201007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POC"/>
  </r>
  <r>
    <x v="15"/>
    <s v="HP"/>
    <s v="BUTTON"/>
    <n v="240000600201007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BUTTON"/>
    <n v="240000600201007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POC"/>
  </r>
  <r>
    <x v="15"/>
    <s v="HP"/>
    <s v="PEN_BATTERY_CONNECTOR_HOLDER"/>
    <n v="120020670100299"/>
    <s v="JEE"/>
    <n v="2024"/>
    <n v="9"/>
    <s v="POC"/>
    <d v="2025-02-18T00:00:00"/>
    <n v="1"/>
    <n v="1000"/>
    <n v="1000"/>
    <n v="1000000"/>
    <x v="1"/>
    <d v="2024-09-01T00:00:00"/>
    <n v="26000"/>
    <n v="1"/>
    <n v="26000"/>
    <s v="Srikanth Naule"/>
    <s v="Not Approved"/>
    <s v="No"/>
    <s v="NPI-POC"/>
  </r>
  <r>
    <x v="15"/>
    <s v="HP"/>
    <s v="PEN_HOUSING"/>
    <n v="240000600201003"/>
    <s v="JEE"/>
    <n v="2024"/>
    <n v="9"/>
    <s v="POC"/>
    <d v="2025-02-18T00:00:00"/>
    <n v="1"/>
    <n v="1000"/>
    <n v="1000"/>
    <n v="1000000"/>
    <x v="1"/>
    <d v="2024-09-01T00:00:00"/>
    <n v="2000"/>
    <n v="1"/>
    <n v="2000"/>
    <s v="Srikanth Naule"/>
    <s v="Not Approved"/>
    <s v="No"/>
    <s v="NPI-POC"/>
  </r>
  <r>
    <x v="15"/>
    <s v="HP"/>
    <s v="PEN_HOUSING"/>
    <n v="240000600201003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PEN_HOUSING"/>
    <n v="240000600201003"/>
    <s v="JEE"/>
    <n v="2024"/>
    <n v="9"/>
    <s v="POC"/>
    <d v="2025-02-18T00:00:00"/>
    <n v="1"/>
    <n v="1000"/>
    <n v="25000"/>
    <n v="1000000"/>
    <x v="1"/>
    <d v="2024-09-01T00:00:00"/>
    <n v="3500"/>
    <n v="25"/>
    <n v="87500"/>
    <s v="Srikanth Naule"/>
    <s v="Not Approved"/>
    <s v="No"/>
    <s v="NPI-POC"/>
  </r>
  <r>
    <x v="15"/>
    <s v="HP"/>
    <s v="PEN_HOUSING"/>
    <n v="240000600201003"/>
    <s v="JEE"/>
    <n v="2024"/>
    <n v="9"/>
    <s v="POC"/>
    <d v="2025-02-18T00:00:00"/>
    <n v="1"/>
    <n v="1000"/>
    <n v="2000"/>
    <n v="1000000"/>
    <x v="1"/>
    <d v="2024-09-01T00:00:00"/>
    <n v="1500"/>
    <n v="2"/>
    <n v="3000"/>
    <s v="Srikanth Naule"/>
    <s v="Not Approved"/>
    <s v="No"/>
    <s v="NPI-POC"/>
  </r>
  <r>
    <x v="15"/>
    <s v="HP"/>
    <s v="PEN_HOUSING"/>
    <n v="240000600201003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PEN_HOUSING"/>
    <n v="240000600201003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-POC"/>
  </r>
  <r>
    <x v="15"/>
    <s v="HP"/>
    <s v="PEN_HOUSING"/>
    <n v="240000600201003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PEN_HOUSING"/>
    <n v="240000600201003"/>
    <s v="JEE"/>
    <n v="2024"/>
    <n v="9"/>
    <s v="POC"/>
    <d v="2025-02-18T00:00:00"/>
    <n v="1"/>
    <n v="1000"/>
    <n v="1000"/>
    <n v="1000000"/>
    <x v="1"/>
    <d v="2024-09-01T00:00:00"/>
    <n v="3500"/>
    <n v="1"/>
    <n v="3500"/>
    <s v="Srikanth Naule"/>
    <s v="Not Approved"/>
    <s v="No"/>
    <s v="NPI-POC"/>
  </r>
  <r>
    <x v="15"/>
    <s v="HP"/>
    <s v="PEN_HOUSING"/>
    <n v="240000600201003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PEN_HOUSING"/>
    <n v="240000600201003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POC"/>
  </r>
  <r>
    <x v="15"/>
    <s v="HP"/>
    <s v="PEN_HOUSING"/>
    <n v="240000600201003"/>
    <s v="JEE"/>
    <n v="2024"/>
    <n v="9"/>
    <s v="POC"/>
    <d v="2025-02-18T00:00:00"/>
    <n v="1"/>
    <n v="1000"/>
    <n v="1000"/>
    <n v="1000000"/>
    <x v="1"/>
    <d v="2024-09-01T00:00:00"/>
    <n v="500"/>
    <n v="1"/>
    <n v="500"/>
    <s v="Srikanth Naule"/>
    <s v="Not Approved"/>
    <s v="No"/>
    <s v="NPI-POC"/>
  </r>
  <r>
    <x v="15"/>
    <s v="HP"/>
    <s v="PEN_HOUSING"/>
    <n v="240000600201003"/>
    <s v="JEE"/>
    <n v="2024"/>
    <n v="9"/>
    <s v="POC"/>
    <d v="2025-02-18T00:00:00"/>
    <n v="1"/>
    <n v="1000"/>
    <n v="1000"/>
    <n v="1000000"/>
    <x v="1"/>
    <d v="2024-09-01T00:00:00"/>
    <n v="3000"/>
    <n v="1"/>
    <n v="3000"/>
    <s v="Srikanth Naule"/>
    <s v="Not Approved"/>
    <s v="No"/>
    <s v="NPI-POC"/>
  </r>
  <r>
    <x v="15"/>
    <s v="HP"/>
    <s v="Housing-Smp/Global"/>
    <n v="240000600201005"/>
    <s v="JEE"/>
    <n v="2024"/>
    <n v="9"/>
    <s v="POC"/>
    <d v="2025-02-18T00:00:00"/>
    <n v="1"/>
    <n v="1000"/>
    <n v="2000"/>
    <n v="1000000"/>
    <x v="1"/>
    <d v="2024-09-01T00:00:00"/>
    <n v="2000"/>
    <n v="2"/>
    <n v="4000"/>
    <s v="Srikanth Naule"/>
    <s v="Not Approved"/>
    <s v="No"/>
    <s v="NPI-SMP"/>
  </r>
  <r>
    <x v="15"/>
    <s v="HP"/>
    <s v="Housing-Smp/Global"/>
    <n v="240000600201005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Housing-Smp/Global"/>
    <n v="240000600201005"/>
    <s v="JEE"/>
    <n v="2024"/>
    <n v="9"/>
    <s v="POC"/>
    <d v="2025-02-18T00:00:00"/>
    <n v="1"/>
    <n v="1000"/>
    <n v="10000"/>
    <n v="1000000"/>
    <x v="1"/>
    <d v="2024-09-01T00:00:00"/>
    <n v="3500"/>
    <n v="10"/>
    <n v="35000"/>
    <s v="Srikanth Naule"/>
    <s v="Not Approved"/>
    <s v="No"/>
    <s v="NPI-SMP"/>
  </r>
  <r>
    <x v="15"/>
    <s v="HP"/>
    <s v="Housing-Smp/Global"/>
    <n v="240000600201005"/>
    <s v="JEE"/>
    <n v="2024"/>
    <n v="9"/>
    <s v="POC"/>
    <d v="2025-02-18T00:00:00"/>
    <n v="1"/>
    <n v="1000"/>
    <n v="2000"/>
    <n v="1000000"/>
    <x v="1"/>
    <d v="2024-09-01T00:00:00"/>
    <n v="1500"/>
    <n v="2"/>
    <n v="3000"/>
    <s v="Srikanth Naule"/>
    <s v="Not Approved"/>
    <s v="No"/>
    <s v="NPI-SMP"/>
  </r>
  <r>
    <x v="15"/>
    <s v="HP"/>
    <s v="Housing-Smp/Global"/>
    <n v="240000600201005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Housing-Smp/Global"/>
    <n v="240000600201005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-SMP"/>
  </r>
  <r>
    <x v="15"/>
    <s v="HP"/>
    <s v="Housing-Smp/Global"/>
    <n v="240000600201005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Housing-Smp/Global"/>
    <n v="240000600201005"/>
    <s v="JEE"/>
    <n v="2024"/>
    <n v="9"/>
    <s v="POC"/>
    <d v="2025-02-18T00:00:00"/>
    <n v="1"/>
    <n v="1000"/>
    <n v="1000"/>
    <n v="1000000"/>
    <x v="1"/>
    <d v="2024-09-01T00:00:00"/>
    <n v="3500"/>
    <n v="1"/>
    <n v="3500"/>
    <s v="Srikanth Naule"/>
    <s v="Not Approved"/>
    <s v="No"/>
    <s v="NPI-SMP"/>
  </r>
  <r>
    <x v="15"/>
    <s v="HP"/>
    <s v="Housing-Smp/Global"/>
    <n v="240000600201005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Housing-Smp/Global"/>
    <n v="240000600201005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Housing-Smp/Global"/>
    <n v="240000600201005"/>
    <s v="JEE"/>
    <n v="2024"/>
    <n v="9"/>
    <s v="POC"/>
    <d v="2025-02-18T00:00:00"/>
    <n v="1"/>
    <n v="1000"/>
    <n v="1000"/>
    <n v="1000000"/>
    <x v="1"/>
    <d v="2024-09-01T00:00:00"/>
    <n v="500"/>
    <n v="1"/>
    <n v="500"/>
    <s v="Srikanth Naule"/>
    <s v="Not Approved"/>
    <s v="No"/>
    <s v="NPI-SMP"/>
  </r>
  <r>
    <x v="15"/>
    <s v="HP"/>
    <s v="Housing-Smp/Global"/>
    <n v="240000600201005"/>
    <s v="JEE"/>
    <n v="2024"/>
    <n v="9"/>
    <s v="POC"/>
    <d v="2025-02-18T00:00:00"/>
    <n v="1"/>
    <n v="1000"/>
    <n v="1000"/>
    <n v="1000000"/>
    <x v="1"/>
    <d v="2024-09-01T00:00:00"/>
    <n v="3000"/>
    <n v="1"/>
    <n v="30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1000"/>
    <n v="1000000"/>
    <x v="1"/>
    <d v="2024-09-01T00:00:00"/>
    <n v="2000"/>
    <n v="1"/>
    <n v="20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1000"/>
    <n v="1000000"/>
    <x v="1"/>
    <d v="2024-09-01T00:00:00"/>
    <n v="3500"/>
    <n v="1"/>
    <n v="35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3000"/>
    <n v="1000000"/>
    <x v="1"/>
    <d v="2024-09-01T00:00:00"/>
    <n v="3500"/>
    <n v="3"/>
    <n v="105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1000"/>
    <n v="1000000"/>
    <x v="1"/>
    <d v="2024-09-01T00:00:00"/>
    <n v="1000"/>
    <n v="1"/>
    <n v="10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5000"/>
    <n v="1000000"/>
    <x v="1"/>
    <d v="2024-09-01T00:00:00"/>
    <n v="3500"/>
    <n v="5"/>
    <n v="17500"/>
    <s v="Srikanth Naule"/>
    <s v="Not Approved"/>
    <s v="No"/>
    <s v="NPI-SMP"/>
  </r>
  <r>
    <x v="15"/>
    <s v="HP"/>
    <s v="TOP_COVER"/>
    <n v="240000600201008"/>
    <s v="JEE"/>
    <n v="2024"/>
    <n v="9"/>
    <s v="POC"/>
    <d v="2025-02-18T00:00:00"/>
    <n v="1"/>
    <n v="1000"/>
    <n v="1000"/>
    <n v="1000000"/>
    <x v="1"/>
    <d v="2024-09-01T00:00:00"/>
    <n v="3000"/>
    <n v="1"/>
    <n v="3000"/>
    <s v="Srikanth Naule"/>
    <s v="Not Approved"/>
    <s v="No"/>
    <s v="NPI-SMP"/>
  </r>
  <r>
    <x v="15"/>
    <s v="HP"/>
    <s v="BUTTON"/>
    <n v="240000600201007"/>
    <s v="JEE"/>
    <n v="2024"/>
    <n v="9"/>
    <s v="POC"/>
    <d v="2025-02-18T00:00:00"/>
    <n v="1"/>
    <n v="1000"/>
    <n v="1000"/>
    <n v="1000000"/>
    <x v="1"/>
    <d v="2024-09-01T00:00:00"/>
    <n v="8000"/>
    <n v="1"/>
    <n v="8000"/>
    <s v="Srikanth Naule"/>
    <s v="Not Approved"/>
    <s v="No"/>
    <s v="NPI-SMP"/>
  </r>
  <r>
    <x v="15"/>
    <s v="HP"/>
    <s v="BUTTON"/>
    <n v="240000600201007"/>
    <s v="JEE"/>
    <n v="2024"/>
    <n v="9"/>
    <s v="POC"/>
    <d v="2025-02-18T00:00:00"/>
    <n v="1"/>
    <n v="1000"/>
    <n v="2000"/>
    <n v="1000000"/>
    <x v="1"/>
    <d v="2024-09-01T00:00:00"/>
    <n v="2500"/>
    <n v="2"/>
    <n v="5000"/>
    <s v="Srikanth Naule"/>
    <s v="Not Approved"/>
    <s v="No"/>
    <s v="NPI-SMP"/>
  </r>
  <r>
    <x v="15"/>
    <s v="HP"/>
    <s v="BUTTON"/>
    <n v="240000600201007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SMP"/>
  </r>
  <r>
    <x v="15"/>
    <s v="HP"/>
    <s v="BUTTON"/>
    <n v="240000600201007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BUTTON"/>
    <n v="240000600201007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SMP"/>
  </r>
  <r>
    <x v="15"/>
    <s v="HP"/>
    <s v="BUTTON"/>
    <n v="240000600201007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BUTTON"/>
    <n v="240000600201007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SMP"/>
  </r>
  <r>
    <x v="15"/>
    <s v="HP"/>
    <s v="CASE_DECO_RING"/>
    <n v="240000600201044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SMP"/>
  </r>
  <r>
    <x v="15"/>
    <s v="HP"/>
    <s v="CASE_DECO_RING"/>
    <n v="240000600201044"/>
    <s v="JEE"/>
    <n v="2024"/>
    <n v="9"/>
    <s v="POC"/>
    <d v="2025-02-18T00:00:00"/>
    <n v="1"/>
    <n v="1000"/>
    <n v="2000"/>
    <n v="1000000"/>
    <x v="1"/>
    <d v="2024-09-01T00:00:00"/>
    <n v="2500"/>
    <n v="2"/>
    <n v="5000"/>
    <s v="Srikanth Naule"/>
    <s v="Not Approved"/>
    <s v="No"/>
    <s v="NPI-SMP"/>
  </r>
  <r>
    <x v="15"/>
    <s v="HP"/>
    <s v="CASE_DECO_RING"/>
    <n v="240000600201044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CASE_DECO_RING"/>
    <n v="240000600201044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CASE_DECO_RING"/>
    <n v="240000600201044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-SMP"/>
  </r>
  <r>
    <x v="15"/>
    <s v="HP"/>
    <s v="CASE_DECO_RING"/>
    <n v="240000600201044"/>
    <s v="JEE"/>
    <n v="2024"/>
    <n v="9"/>
    <s v="POC"/>
    <d v="2025-02-18T00:00:00"/>
    <n v="1"/>
    <n v="1000"/>
    <n v="3000"/>
    <n v="1000000"/>
    <x v="1"/>
    <d v="2024-09-01T00:00:00"/>
    <n v="2500"/>
    <n v="3"/>
    <n v="7500"/>
    <s v="Srikanth Naule"/>
    <s v="Not Approved"/>
    <s v="No"/>
    <s v="NPI-SMP"/>
  </r>
  <r>
    <x v="15"/>
    <s v="HP"/>
    <s v="CASE_DECO_RING"/>
    <n v="240000600201044"/>
    <s v="JEE"/>
    <n v="2024"/>
    <n v="9"/>
    <s v="POC"/>
    <d v="2025-02-18T00:00:00"/>
    <n v="1"/>
    <n v="1000"/>
    <n v="2000"/>
    <n v="1000000"/>
    <x v="1"/>
    <d v="2024-09-01T00:00:00"/>
    <n v="2500"/>
    <n v="2"/>
    <n v="5000"/>
    <s v="Srikanth Naule"/>
    <s v="Not Approved"/>
    <s v="No"/>
    <s v="NPI-SMP"/>
  </r>
  <r>
    <x v="15"/>
    <s v="HP"/>
    <s v="CASE_DECO_RING"/>
    <n v="240000600201044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CASE_DECO_RING"/>
    <n v="240000600201044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SMP"/>
  </r>
  <r>
    <x v="15"/>
    <s v="HP"/>
    <s v="CASE_DECO_RING"/>
    <n v="240000600201044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CASE_DECO_RING"/>
    <n v="240000600201044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CASE_DECO_RING"/>
    <n v="240000600201044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SMP"/>
  </r>
  <r>
    <x v="15"/>
    <s v="HP"/>
    <s v="CASE_SLIDER_BRACKET"/>
    <n v="240000600201045"/>
    <s v="JEE"/>
    <n v="2024"/>
    <n v="9"/>
    <s v="POC"/>
    <d v="2025-02-18T00:00:00"/>
    <n v="1"/>
    <n v="1000"/>
    <n v="1000"/>
    <n v="1000000"/>
    <x v="1"/>
    <d v="2024-09-01T00:00:00"/>
    <n v="8000"/>
    <n v="1"/>
    <n v="8000"/>
    <s v="Srikanth Naule"/>
    <s v="Not Approved"/>
    <s v="No"/>
    <s v="NPI-SMP"/>
  </r>
  <r>
    <x v="15"/>
    <s v="HP"/>
    <s v="CASE_SLIDER_BRACKET"/>
    <n v="240000600201045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SMP"/>
  </r>
  <r>
    <x v="15"/>
    <s v="HP"/>
    <s v="CASE_SLIDER_BRACKET"/>
    <n v="240000600201045"/>
    <s v="JEE"/>
    <n v="2024"/>
    <n v="9"/>
    <s v="POC"/>
    <d v="2025-02-18T00:00:00"/>
    <n v="1"/>
    <n v="1000"/>
    <n v="4000"/>
    <n v="1000000"/>
    <x v="1"/>
    <d v="2024-09-01T00:00:00"/>
    <n v="2500"/>
    <n v="4"/>
    <n v="10000"/>
    <s v="Srikanth Naule"/>
    <s v="Not Approved"/>
    <s v="No"/>
    <s v="NPI-SMP"/>
  </r>
  <r>
    <x v="15"/>
    <s v="HP"/>
    <s v="CASE_SLIDER_BRACKET"/>
    <n v="240000600201045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CASE_SLIDER_BRACKET"/>
    <n v="240000600201045"/>
    <s v="JEE"/>
    <n v="2024"/>
    <n v="9"/>
    <s v="POC"/>
    <d v="2025-02-18T00:00:00"/>
    <n v="1"/>
    <n v="1000"/>
    <n v="1000"/>
    <n v="1000000"/>
    <x v="1"/>
    <d v="2024-09-01T00:00:00"/>
    <n v="2500"/>
    <n v="1"/>
    <n v="2500"/>
    <s v="Srikanth Naule"/>
    <s v="Not Approved"/>
    <s v="No"/>
    <s v="NPI-SMP"/>
  </r>
  <r>
    <x v="15"/>
    <s v="HP"/>
    <s v="CASE_SLIDER_BRACKET"/>
    <n v="240000600201045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CASE_SLIDER_BRACKET"/>
    <n v="240000600201045"/>
    <s v="JEE"/>
    <n v="2024"/>
    <n v="9"/>
    <s v="POC"/>
    <d v="2025-02-18T00:00:00"/>
    <n v="1"/>
    <n v="1000"/>
    <n v="2000"/>
    <n v="1000000"/>
    <x v="1"/>
    <d v="2024-09-01T00:00:00"/>
    <n v="2500"/>
    <n v="2"/>
    <n v="5000"/>
    <s v="Srikanth Naule"/>
    <s v="Not Approved"/>
    <s v="No"/>
    <s v="NPI-SMP"/>
  </r>
  <r>
    <x v="15"/>
    <s v="HP"/>
    <s v="CASE_SLIDER_BRACKET"/>
    <n v="240000600201045"/>
    <s v="JEE"/>
    <n v="2024"/>
    <n v="9"/>
    <s v="POC"/>
    <d v="2025-02-18T00:00:00"/>
    <n v="1"/>
    <n v="1000"/>
    <n v="1000"/>
    <n v="1000000"/>
    <x v="1"/>
    <d v="2024-09-01T00:00:00"/>
    <n v="1500"/>
    <n v="1"/>
    <n v="1500"/>
    <s v="Srikanth Naule"/>
    <s v="Not Approved"/>
    <s v="No"/>
    <s v="NPI-SMP"/>
  </r>
  <r>
    <x v="15"/>
    <s v="HP"/>
    <s v="CASE_SLIDER_BRACKET"/>
    <n v="240000600201045"/>
    <s v="JEE"/>
    <n v="2024"/>
    <n v="9"/>
    <s v="POC"/>
    <d v="2025-02-18T00:00:00"/>
    <n v="1"/>
    <n v="1000"/>
    <n v="1000"/>
    <n v="1000000"/>
    <x v="1"/>
    <d v="2024-09-01T00:00:00"/>
    <n v="3000"/>
    <n v="1"/>
    <n v="3000"/>
    <s v="Srikanth Naule"/>
    <s v="Not Approved"/>
    <s v="No"/>
    <s v="NPI-SMP"/>
  </r>
  <r>
    <x v="15"/>
    <s v="HP"/>
    <s v="CASE_POGO_PIN_CAP"/>
    <n v="240000600201043"/>
    <s v="JEE"/>
    <n v="2024"/>
    <n v="9"/>
    <s v="POC"/>
    <d v="2025-02-18T00:00:00"/>
    <n v="1"/>
    <n v="1000"/>
    <n v="1000"/>
    <n v="1000000"/>
    <x v="1"/>
    <d v="2024-09-01T00:00:00"/>
    <n v="88000"/>
    <n v="1"/>
    <n v="88000"/>
    <s v="Srikanth Naule"/>
    <s v="Not Approved"/>
    <s v="No"/>
    <s v="NPI-SMP"/>
  </r>
  <r>
    <x v="15"/>
    <s v="HP"/>
    <s v="CASE_POGO_PIN_CAP"/>
    <n v="240000600201043"/>
    <s v="JEE"/>
    <n v="2024"/>
    <n v="9"/>
    <s v="POC"/>
    <d v="2025-02-18T00:00:00"/>
    <n v="1"/>
    <n v="1000"/>
    <n v="1000"/>
    <n v="1000000"/>
    <x v="1"/>
    <d v="2024-09-01T00:00:00"/>
    <n v="5000"/>
    <n v="1"/>
    <n v="5000"/>
    <s v="Srikanth Naule"/>
    <s v="Not Approved"/>
    <s v="No"/>
    <s v="NPI-SMP"/>
  </r>
  <r>
    <x v="15"/>
    <s v="HP"/>
    <s v="CASE_SLIDER_RAIL"/>
    <n v="240000600201042"/>
    <s v="JEE"/>
    <n v="2024"/>
    <n v="9"/>
    <s v="POC"/>
    <d v="2025-02-18T00:00:00"/>
    <n v="1"/>
    <n v="1000"/>
    <n v="1000"/>
    <n v="1000000"/>
    <x v="1"/>
    <d v="2024-09-01T00:00:00"/>
    <n v="33900"/>
    <n v="1"/>
    <n v="33900"/>
    <s v="Srikanth Naule"/>
    <s v="Not Approved"/>
    <s v="No"/>
    <s v="NPI-SMP"/>
  </r>
  <r>
    <x v="15"/>
    <s v="HP"/>
    <s v="CASE_SLIDER_RAIL"/>
    <n v="240000600201042"/>
    <s v="JEE"/>
    <n v="2024"/>
    <n v="9"/>
    <s v="POC"/>
    <d v="2025-02-18T00:00:00"/>
    <n v="1"/>
    <n v="1000"/>
    <n v="1000"/>
    <n v="1000000"/>
    <x v="1"/>
    <d v="2024-09-01T00:00:00"/>
    <n v="11300"/>
    <n v="1"/>
    <n v="11300"/>
    <s v="Srikanth Naule"/>
    <s v="Not Approved"/>
    <s v="No"/>
    <s v="NPI-SMP"/>
  </r>
  <r>
    <x v="15"/>
    <s v="HP"/>
    <s v="CASE_METAL_PLAT"/>
    <n v="230000410201046"/>
    <s v="JEE"/>
    <n v="2024"/>
    <n v="9"/>
    <s v="POC"/>
    <d v="2025-02-18T00:00:00"/>
    <n v="1"/>
    <n v="1000"/>
    <n v="1000"/>
    <n v="1000000"/>
    <x v="1"/>
    <d v="2024-09-01T00:00:00"/>
    <n v="26000"/>
    <n v="1"/>
    <n v="26000"/>
    <s v="Srikanth Naule"/>
    <s v="Not Approved"/>
    <s v="No"/>
    <s v="NPI-SM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19" firstHeaderRow="0" firstDataRow="1" firstDataCol="1" rowPageCount="2" colPageCount="1"/>
  <pivotFields count="31">
    <pivotField axis="axisRow" showAll="0">
      <items count="15">
        <item x="13"/>
        <item x="8"/>
        <item x="6"/>
        <item x="11"/>
        <item x="10"/>
        <item x="5"/>
        <item x="9"/>
        <item x="4"/>
        <item x="1"/>
        <item x="2"/>
        <item x="12"/>
        <item x="7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h="1" x="1"/>
        <item x="2"/>
        <item t="default"/>
      </items>
    </pivotField>
    <pivotField axis="axisPage" multipleItemSelectionAllowed="1" showAll="0">
      <items count="13"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0"/>
        <item t="default"/>
      </items>
    </pivotField>
    <pivotField numFmtId="14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6">
        <item x="4"/>
        <item x="41"/>
        <item x="54"/>
        <item x="53"/>
        <item x="9"/>
        <item x="14"/>
        <item x="12"/>
        <item x="15"/>
        <item x="42"/>
        <item x="17"/>
        <item x="18"/>
        <item x="16"/>
        <item x="5"/>
        <item x="21"/>
        <item x="13"/>
        <item x="35"/>
        <item x="40"/>
        <item x="8"/>
        <item x="7"/>
        <item x="52"/>
        <item x="23"/>
        <item x="6"/>
        <item x="22"/>
        <item x="43"/>
        <item x="19"/>
        <item x="20"/>
        <item x="51"/>
        <item x="50"/>
        <item x="38"/>
        <item x="3"/>
        <item x="1"/>
        <item x="37"/>
        <item x="49"/>
        <item x="2"/>
        <item x="11"/>
        <item x="34"/>
        <item x="10"/>
        <item x="33"/>
        <item x="0"/>
        <item x="47"/>
        <item x="27"/>
        <item x="36"/>
        <item x="48"/>
        <item x="25"/>
        <item x="45"/>
        <item x="26"/>
        <item x="46"/>
        <item x="24"/>
        <item x="44"/>
        <item x="32"/>
        <item x="31"/>
        <item x="29"/>
        <item x="30"/>
        <item x="28"/>
        <item x="39"/>
        <item t="default"/>
      </items>
    </pivotField>
    <pivotField dataField="1" showAll="0">
      <items count="356">
        <item x="351"/>
        <item x="332"/>
        <item x="300"/>
        <item x="284"/>
        <item x="264"/>
        <item x="354"/>
        <item x="353"/>
        <item x="335"/>
        <item x="352"/>
        <item x="301"/>
        <item x="334"/>
        <item x="287"/>
        <item x="333"/>
        <item x="267"/>
        <item x="303"/>
        <item x="302"/>
        <item x="286"/>
        <item x="285"/>
        <item x="266"/>
        <item x="265"/>
        <item x="318"/>
        <item x="171"/>
        <item x="184"/>
        <item x="156"/>
        <item x="144"/>
        <item x="314"/>
        <item x="168"/>
        <item x="182"/>
        <item x="152"/>
        <item x="131"/>
        <item x="141"/>
        <item x="316"/>
        <item x="154"/>
        <item x="142"/>
        <item x="127"/>
        <item x="129"/>
        <item x="118"/>
        <item x="116"/>
        <item x="102"/>
        <item x="120"/>
        <item x="86"/>
        <item x="104"/>
        <item x="329"/>
        <item x="50"/>
        <item x="106"/>
        <item x="328"/>
        <item x="88"/>
        <item x="324"/>
        <item x="346"/>
        <item x="339"/>
        <item x="319"/>
        <item x="172"/>
        <item x="312"/>
        <item x="320"/>
        <item x="166"/>
        <item x="317"/>
        <item x="173"/>
        <item x="185"/>
        <item x="277"/>
        <item x="157"/>
        <item x="90"/>
        <item x="170"/>
        <item x="338"/>
        <item x="150"/>
        <item x="145"/>
        <item x="321"/>
        <item x="158"/>
        <item x="174"/>
        <item x="293"/>
        <item x="259"/>
        <item x="139"/>
        <item x="155"/>
        <item x="132"/>
        <item x="315"/>
        <item x="81"/>
        <item x="80"/>
        <item x="125"/>
        <item x="159"/>
        <item x="146"/>
        <item x="143"/>
        <item x="79"/>
        <item x="130"/>
        <item x="114"/>
        <item x="169"/>
        <item x="183"/>
        <item x="121"/>
        <item x="153"/>
        <item x="107"/>
        <item x="100"/>
        <item x="78"/>
        <item x="91"/>
        <item x="128"/>
        <item x="119"/>
        <item x="77"/>
        <item x="117"/>
        <item x="147"/>
        <item x="133"/>
        <item x="105"/>
        <item x="103"/>
        <item x="76"/>
        <item x="134"/>
        <item x="84"/>
        <item x="123"/>
        <item x="89"/>
        <item x="109"/>
        <item x="93"/>
        <item x="87"/>
        <item x="75"/>
        <item x="122"/>
        <item x="108"/>
        <item x="350"/>
        <item x="331"/>
        <item x="92"/>
        <item x="322"/>
        <item x="175"/>
        <item x="186"/>
        <item x="278"/>
        <item x="348"/>
        <item x="326"/>
        <item x="160"/>
        <item x="148"/>
        <item x="340"/>
        <item x="135"/>
        <item x="307"/>
        <item x="110"/>
        <item x="94"/>
        <item x="288"/>
        <item x="347"/>
        <item x="269"/>
        <item x="325"/>
        <item x="252"/>
        <item x="281"/>
        <item x="296"/>
        <item x="254"/>
        <item x="262"/>
        <item x="198"/>
        <item x="313"/>
        <item x="70"/>
        <item x="189"/>
        <item x="65"/>
        <item x="276"/>
        <item x="181"/>
        <item x="167"/>
        <item x="330"/>
        <item x="60"/>
        <item x="56"/>
        <item x="51"/>
        <item x="344"/>
        <item x="311"/>
        <item x="178"/>
        <item x="151"/>
        <item x="349"/>
        <item x="292"/>
        <item x="327"/>
        <item x="140"/>
        <item x="343"/>
        <item x="310"/>
        <item x="341"/>
        <item x="291"/>
        <item x="308"/>
        <item x="163"/>
        <item x="273"/>
        <item x="126"/>
        <item x="289"/>
        <item x="115"/>
        <item x="258"/>
        <item x="272"/>
        <item x="101"/>
        <item x="342"/>
        <item x="309"/>
        <item x="290"/>
        <item x="257"/>
        <item x="85"/>
        <item x="271"/>
        <item x="295"/>
        <item x="74"/>
        <item x="113"/>
        <item x="270"/>
        <item x="256"/>
        <item x="97"/>
        <item x="73"/>
        <item x="72"/>
        <item x="69"/>
        <item x="255"/>
        <item x="68"/>
        <item x="299"/>
        <item x="298"/>
        <item x="283"/>
        <item x="64"/>
        <item x="67"/>
        <item x="63"/>
        <item x="200"/>
        <item x="345"/>
        <item x="59"/>
        <item x="54"/>
        <item x="55"/>
        <item x="323"/>
        <item x="297"/>
        <item x="71"/>
        <item x="195"/>
        <item x="294"/>
        <item x="280"/>
        <item x="282"/>
        <item x="191"/>
        <item x="62"/>
        <item x="58"/>
        <item x="279"/>
        <item x="53"/>
        <item x="263"/>
        <item x="66"/>
        <item x="180"/>
        <item x="199"/>
        <item x="194"/>
        <item x="165"/>
        <item x="337"/>
        <item x="261"/>
        <item x="260"/>
        <item x="196"/>
        <item x="197"/>
        <item x="248"/>
        <item x="190"/>
        <item x="138"/>
        <item x="99"/>
        <item x="61"/>
        <item x="179"/>
        <item x="57"/>
        <item x="52"/>
        <item x="192"/>
        <item x="164"/>
        <item x="187"/>
        <item x="149"/>
        <item x="137"/>
        <item x="98"/>
        <item x="193"/>
        <item x="176"/>
        <item x="188"/>
        <item x="177"/>
        <item x="161"/>
        <item x="111"/>
        <item x="162"/>
        <item x="95"/>
        <item x="244"/>
        <item x="136"/>
        <item x="124"/>
        <item x="112"/>
        <item x="96"/>
        <item x="336"/>
        <item x="240"/>
        <item x="236"/>
        <item x="232"/>
        <item x="228"/>
        <item x="224"/>
        <item x="220"/>
        <item x="216"/>
        <item x="212"/>
        <item x="208"/>
        <item x="306"/>
        <item x="204"/>
        <item x="49"/>
        <item x="44"/>
        <item x="39"/>
        <item x="34"/>
        <item x="29"/>
        <item x="24"/>
        <item x="19"/>
        <item x="14"/>
        <item x="9"/>
        <item x="251"/>
        <item x="4"/>
        <item x="250"/>
        <item x="46"/>
        <item x="41"/>
        <item x="36"/>
        <item x="31"/>
        <item x="26"/>
        <item x="21"/>
        <item x="16"/>
        <item x="11"/>
        <item x="6"/>
        <item x="48"/>
        <item x="43"/>
        <item x="38"/>
        <item x="47"/>
        <item x="42"/>
        <item x="37"/>
        <item x="33"/>
        <item x="1"/>
        <item x="32"/>
        <item x="28"/>
        <item x="27"/>
        <item x="23"/>
        <item x="247"/>
        <item x="22"/>
        <item x="18"/>
        <item x="246"/>
        <item x="13"/>
        <item x="17"/>
        <item x="8"/>
        <item x="12"/>
        <item x="3"/>
        <item x="7"/>
        <item x="2"/>
        <item x="243"/>
        <item x="242"/>
        <item x="239"/>
        <item x="305"/>
        <item x="238"/>
        <item x="235"/>
        <item x="45"/>
        <item x="40"/>
        <item x="35"/>
        <item x="30"/>
        <item x="234"/>
        <item x="25"/>
        <item x="20"/>
        <item x="83"/>
        <item x="275"/>
        <item x="15"/>
        <item x="231"/>
        <item x="230"/>
        <item x="10"/>
        <item x="5"/>
        <item x="0"/>
        <item x="227"/>
        <item x="226"/>
        <item x="223"/>
        <item x="222"/>
        <item x="82"/>
        <item x="274"/>
        <item x="219"/>
        <item x="218"/>
        <item x="214"/>
        <item x="215"/>
        <item x="249"/>
        <item x="210"/>
        <item x="211"/>
        <item x="206"/>
        <item x="207"/>
        <item x="245"/>
        <item x="202"/>
        <item x="203"/>
        <item x="241"/>
        <item x="304"/>
        <item x="237"/>
        <item x="233"/>
        <item x="229"/>
        <item x="225"/>
        <item x="221"/>
        <item x="217"/>
        <item x="213"/>
        <item x="209"/>
        <item x="205"/>
        <item x="201"/>
        <item x="268"/>
        <item x="25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559">
        <item x="451"/>
        <item x="452"/>
        <item x="409"/>
        <item x="411"/>
        <item x="402"/>
        <item x="547"/>
        <item x="505"/>
        <item x="64"/>
        <item x="519"/>
        <item x="85"/>
        <item x="81"/>
        <item x="80"/>
        <item x="540"/>
        <item x="537"/>
        <item x="83"/>
        <item x="423"/>
        <item x="424"/>
        <item x="461"/>
        <item x="79"/>
        <item x="539"/>
        <item x="364"/>
        <item x="78"/>
        <item x="52"/>
        <item x="51"/>
        <item x="459"/>
        <item x="467"/>
        <item x="536"/>
        <item x="147"/>
        <item x="466"/>
        <item x="145"/>
        <item x="84"/>
        <item x="343"/>
        <item x="376"/>
        <item x="481"/>
        <item x="460"/>
        <item x="191"/>
        <item x="160"/>
        <item x="339"/>
        <item x="367"/>
        <item x="545"/>
        <item x="377"/>
        <item x="161"/>
        <item x="521"/>
        <item x="132"/>
        <item x="531"/>
        <item x="538"/>
        <item x="82"/>
        <item x="421"/>
        <item x="544"/>
        <item x="533"/>
        <item x="494"/>
        <item x="118"/>
        <item x="541"/>
        <item x="530"/>
        <item x="522"/>
        <item x="457"/>
        <item x="488"/>
        <item x="458"/>
        <item x="151"/>
        <item x="549"/>
        <item x="220"/>
        <item x="365"/>
        <item x="542"/>
        <item x="420"/>
        <item x="453"/>
        <item x="366"/>
        <item x="535"/>
        <item x="474"/>
        <item x="550"/>
        <item x="146"/>
        <item x="120"/>
        <item x="144"/>
        <item x="235"/>
        <item x="528"/>
        <item x="77"/>
        <item x="518"/>
        <item x="49"/>
        <item x="363"/>
        <item x="208"/>
        <item x="48"/>
        <item x="520"/>
        <item x="50"/>
        <item x="422"/>
        <item x="45"/>
        <item x="469"/>
        <item x="456"/>
        <item x="526"/>
        <item x="532"/>
        <item x="455"/>
        <item x="340"/>
        <item x="475"/>
        <item x="517"/>
        <item x="166"/>
        <item x="130"/>
        <item x="465"/>
        <item x="434"/>
        <item x="546"/>
        <item x="483"/>
        <item x="47"/>
        <item x="506"/>
        <item x="435"/>
        <item x="60"/>
        <item x="515"/>
        <item x="472"/>
        <item x="470"/>
        <item x="523"/>
        <item x="117"/>
        <item x="478"/>
        <item x="46"/>
        <item x="342"/>
        <item x="492"/>
        <item x="551"/>
        <item x="75"/>
        <item x="176"/>
        <item x="498"/>
        <item x="382"/>
        <item x="501"/>
        <item x="499"/>
        <item x="35"/>
        <item x="59"/>
        <item x="484"/>
        <item x="74"/>
        <item x="534"/>
        <item x="344"/>
        <item x="165"/>
        <item x="471"/>
        <item x="142"/>
        <item x="529"/>
        <item x="136"/>
        <item x="482"/>
        <item x="381"/>
        <item x="122"/>
        <item x="473"/>
        <item x="89"/>
        <item x="43"/>
        <item x="140"/>
        <item x="548"/>
        <item x="206"/>
        <item x="101"/>
        <item x="40"/>
        <item x="236"/>
        <item x="139"/>
        <item x="113"/>
        <item x="490"/>
        <item x="476"/>
        <item x="133"/>
        <item x="378"/>
        <item x="209"/>
        <item x="157"/>
        <item x="57"/>
        <item x="221"/>
        <item x="388"/>
        <item x="346"/>
        <item x="493"/>
        <item x="170"/>
        <item x="524"/>
        <item x="231"/>
        <item x="454"/>
        <item x="210"/>
        <item x="500"/>
        <item x="42"/>
        <item x="63"/>
        <item x="345"/>
        <item x="347"/>
        <item x="487"/>
        <item x="41"/>
        <item x="153"/>
        <item x="38"/>
        <item x="135"/>
        <item x="226"/>
        <item x="88"/>
        <item x="468"/>
        <item x="496"/>
        <item x="121"/>
        <item x="480"/>
        <item x="119"/>
        <item x="485"/>
        <item x="177"/>
        <item x="464"/>
        <item x="514"/>
        <item x="338"/>
        <item x="440"/>
        <item x="87"/>
        <item x="525"/>
        <item x="445"/>
        <item x="495"/>
        <item x="158"/>
        <item x="527"/>
        <item x="463"/>
        <item x="152"/>
        <item x="439"/>
        <item x="442"/>
        <item x="516"/>
        <item x="436"/>
        <item x="222"/>
        <item x="86"/>
        <item x="71"/>
        <item x="128"/>
        <item x="241"/>
        <item x="211"/>
        <item x="489"/>
        <item x="225"/>
        <item x="90"/>
        <item x="187"/>
        <item x="386"/>
        <item x="441"/>
        <item x="168"/>
        <item x="134"/>
        <item x="44"/>
        <item x="169"/>
        <item x="372"/>
        <item x="202"/>
        <item x="246"/>
        <item x="182"/>
        <item x="37"/>
        <item x="186"/>
        <item x="239"/>
        <item x="224"/>
        <item x="62"/>
        <item x="178"/>
        <item x="196"/>
        <item x="156"/>
        <item x="131"/>
        <item x="486"/>
        <item x="216"/>
        <item x="237"/>
        <item x="180"/>
        <item x="438"/>
        <item x="242"/>
        <item x="172"/>
        <item x="126"/>
        <item x="383"/>
        <item x="171"/>
        <item x="181"/>
        <item x="427"/>
        <item x="195"/>
        <item x="30"/>
        <item x="194"/>
        <item x="429"/>
        <item x="240"/>
        <item x="14"/>
        <item x="371"/>
        <item x="159"/>
        <item x="228"/>
        <item x="127"/>
        <item x="141"/>
        <item x="380"/>
        <item x="55"/>
        <item x="36"/>
        <item x="507"/>
        <item x="428"/>
        <item x="155"/>
        <item x="111"/>
        <item x="67"/>
        <item x="497"/>
        <item x="227"/>
        <item x="244"/>
        <item x="33"/>
        <item x="76"/>
        <item x="116"/>
        <item x="430"/>
        <item x="73"/>
        <item x="149"/>
        <item x="192"/>
        <item x="115"/>
        <item x="13"/>
        <item x="200"/>
        <item x="214"/>
        <item x="11"/>
        <item x="190"/>
        <item x="384"/>
        <item x="9"/>
        <item x="370"/>
        <item x="197"/>
        <item x="95"/>
        <item x="332"/>
        <item x="234"/>
        <item x="443"/>
        <item x="94"/>
        <item x="125"/>
        <item x="124"/>
        <item x="72"/>
        <item x="333"/>
        <item x="479"/>
        <item x="99"/>
        <item x="56"/>
        <item x="183"/>
        <item x="375"/>
        <item x="68"/>
        <item x="28"/>
        <item x="39"/>
        <item x="185"/>
        <item x="12"/>
        <item x="32"/>
        <item x="97"/>
        <item x="369"/>
        <item x="25"/>
        <item x="100"/>
        <item x="373"/>
        <item x="112"/>
        <item x="27"/>
        <item x="444"/>
        <item x="205"/>
        <item x="334"/>
        <item x="184"/>
        <item x="385"/>
        <item x="6"/>
        <item x="92"/>
        <item x="230"/>
        <item x="341"/>
        <item x="20"/>
        <item x="229"/>
        <item x="477"/>
        <item x="215"/>
        <item x="213"/>
        <item x="18"/>
        <item x="331"/>
        <item x="138"/>
        <item x="426"/>
        <item x="31"/>
        <item x="23"/>
        <item x="245"/>
        <item x="553"/>
        <item x="8"/>
        <item x="337"/>
        <item x="503"/>
        <item x="212"/>
        <item x="374"/>
        <item x="150"/>
        <item x="163"/>
        <item x="7"/>
        <item x="98"/>
        <item x="336"/>
        <item x="164"/>
        <item x="93"/>
        <item x="217"/>
        <item x="61"/>
        <item x="450"/>
        <item x="509"/>
        <item x="69"/>
        <item x="26"/>
        <item x="219"/>
        <item x="433"/>
        <item x="199"/>
        <item x="16"/>
        <item x="387"/>
        <item x="243"/>
        <item x="17"/>
        <item x="432"/>
        <item x="34"/>
        <item x="174"/>
        <item x="58"/>
        <item x="22"/>
        <item x="207"/>
        <item x="137"/>
        <item x="198"/>
        <item x="203"/>
        <item x="204"/>
        <item x="201"/>
        <item x="543"/>
        <item x="379"/>
        <item x="21"/>
        <item x="70"/>
        <item x="162"/>
        <item x="329"/>
        <item x="10"/>
        <item x="232"/>
        <item x="491"/>
        <item x="129"/>
        <item x="104"/>
        <item x="327"/>
        <item x="218"/>
        <item x="175"/>
        <item x="233"/>
        <item x="65"/>
        <item x="91"/>
        <item x="143"/>
        <item x="390"/>
        <item x="431"/>
        <item x="54"/>
        <item x="391"/>
        <item x="148"/>
        <item x="189"/>
        <item x="392"/>
        <item x="66"/>
        <item x="179"/>
        <item x="96"/>
        <item x="53"/>
        <item x="328"/>
        <item x="29"/>
        <item x="437"/>
        <item x="448"/>
        <item x="238"/>
        <item x="414"/>
        <item x="193"/>
        <item x="449"/>
        <item x="110"/>
        <item x="123"/>
        <item x="349"/>
        <item x="109"/>
        <item x="404"/>
        <item x="284"/>
        <item x="188"/>
        <item x="350"/>
        <item x="285"/>
        <item x="351"/>
        <item x="223"/>
        <item x="280"/>
        <item x="286"/>
        <item x="416"/>
        <item x="107"/>
        <item x="281"/>
        <item x="282"/>
        <item x="368"/>
        <item x="173"/>
        <item x="362"/>
        <item x="5"/>
        <item x="288"/>
        <item x="276"/>
        <item x="308"/>
        <item x="425"/>
        <item x="462"/>
        <item x="317"/>
        <item x="108"/>
        <item x="24"/>
        <item x="289"/>
        <item x="335"/>
        <item x="19"/>
        <item x="316"/>
        <item x="277"/>
        <item x="290"/>
        <item x="511"/>
        <item x="264"/>
        <item x="309"/>
        <item x="278"/>
        <item x="15"/>
        <item x="272"/>
        <item x="512"/>
        <item x="310"/>
        <item x="167"/>
        <item x="403"/>
        <item x="326"/>
        <item x="265"/>
        <item x="273"/>
        <item x="154"/>
        <item x="274"/>
        <item x="266"/>
        <item x="292"/>
        <item x="513"/>
        <item x="3"/>
        <item x="361"/>
        <item x="389"/>
        <item x="114"/>
        <item x="555"/>
        <item x="300"/>
        <item x="296"/>
        <item x="294"/>
        <item x="293"/>
        <item x="360"/>
        <item x="419"/>
        <item x="397"/>
        <item x="297"/>
        <item x="301"/>
        <item x="268"/>
        <item x="304"/>
        <item x="556"/>
        <item x="319"/>
        <item x="302"/>
        <item x="298"/>
        <item x="269"/>
        <item x="305"/>
        <item x="1"/>
        <item x="306"/>
        <item x="320"/>
        <item x="256"/>
        <item x="447"/>
        <item x="270"/>
        <item x="348"/>
        <item x="260"/>
        <item x="321"/>
        <item x="312"/>
        <item x="359"/>
        <item x="355"/>
        <item x="103"/>
        <item x="557"/>
        <item x="408"/>
        <item x="257"/>
        <item x="252"/>
        <item x="261"/>
        <item x="258"/>
        <item x="330"/>
        <item x="283"/>
        <item x="279"/>
        <item x="262"/>
        <item x="253"/>
        <item x="314"/>
        <item x="394"/>
        <item x="105"/>
        <item x="313"/>
        <item x="254"/>
        <item x="399"/>
        <item x="106"/>
        <item x="4"/>
        <item x="323"/>
        <item x="415"/>
        <item x="315"/>
        <item x="287"/>
        <item x="324"/>
        <item x="353"/>
        <item x="325"/>
        <item x="275"/>
        <item x="2"/>
        <item x="307"/>
        <item x="400"/>
        <item x="354"/>
        <item x="357"/>
        <item x="263"/>
        <item x="405"/>
        <item x="510"/>
        <item x="356"/>
        <item x="102"/>
        <item x="271"/>
        <item x="401"/>
        <item x="291"/>
        <item x="358"/>
        <item x="398"/>
        <item x="410"/>
        <item x="299"/>
        <item x="417"/>
        <item x="413"/>
        <item x="295"/>
        <item x="554"/>
        <item x="352"/>
        <item x="303"/>
        <item x="267"/>
        <item x="318"/>
        <item x="418"/>
        <item x="255"/>
        <item x="259"/>
        <item x="502"/>
        <item x="251"/>
        <item x="412"/>
        <item x="311"/>
        <item x="508"/>
        <item x="393"/>
        <item x="322"/>
        <item x="407"/>
        <item x="395"/>
        <item x="504"/>
        <item x="396"/>
        <item x="0"/>
        <item x="406"/>
        <item x="248"/>
        <item x="249"/>
        <item x="250"/>
        <item x="247"/>
        <item x="552"/>
        <item x="446"/>
        <item t="default"/>
      </items>
    </pivotField>
    <pivotField showAll="0"/>
    <pivotField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7" hier="-1"/>
    <pageField fld="8" hier="-1"/>
  </pageFields>
  <dataFields count="3">
    <dataField name="Sum of Total Capex Cost" fld="19" baseField="0" baseItem="0"/>
    <dataField name="Sum of Remaining Capex Cost" fld="20" baseField="0" baseItem="0"/>
    <dataField name="Sum of Total Spend" fld="27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 rowPageCount="1" colPageCount="1"/>
  <pivotFields count="22">
    <pivotField axis="axisRow" showAll="0">
      <items count="17">
        <item x="14"/>
        <item x="15"/>
        <item x="13"/>
        <item x="3"/>
        <item x="8"/>
        <item x="9"/>
        <item x="11"/>
        <item x="10"/>
        <item x="6"/>
        <item x="7"/>
        <item x="5"/>
        <item x="1"/>
        <item x="2"/>
        <item x="12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Page" multipleItemSelectionAllowed="1" showAll="0">
      <items count="5">
        <item x="0"/>
        <item x="2"/>
        <item h="1" x="1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2"/>
    </i>
    <i>
      <x v="3"/>
    </i>
    <i>
      <x v="6"/>
    </i>
    <i>
      <x v="7"/>
    </i>
    <i>
      <x v="8"/>
    </i>
    <i>
      <x v="10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13" hier="-1"/>
  </pageFields>
  <dataFields count="1">
    <dataField name="Sum of Total Tool cost" fld="17" baseField="0" baseItem="0" numFmtId="188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Tool cost" fld="17" baseField="0" baseItem="0" numFmtId="184"/>
  </dataFields>
  <formats count="6">
    <format dxfId="5">
      <pivotArea outline="0" collapsedLevelsAreSubtotals="1" fieldPosition="0"/>
    </format>
    <format dxfId="4">
      <pivotArea dataOnly="0" labelOnly="1" fieldPosition="0">
        <references count="1">
          <reference field="13" count="0"/>
        </references>
      </pivotArea>
    </format>
    <format dxfId="3">
      <pivotArea dataOnly="0" labelOnly="1" grandCol="1" outline="0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13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3" dT="2025-01-02T07:57:48.93" personId="{1CBE432E-35F2-4228-AF81-55F4DEC935C1}" id="{F4D985FD-F0E8-43CE-A3E5-5ED5F32AC551}">
    <text>Follow with the description in latest 2D drawings.</text>
  </threadedComment>
  <threadedComment ref="AA3" dT="2025-01-07T02:03:59.76" personId="{1CBE432E-35F2-4228-AF81-55F4DEC935C1}" id="{85ACBDA2-6C75-4563-8A8E-8CE092D1B57F}">
    <text>Painting, anodizing, printing or others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C50" sqref="C50"/>
    </sheetView>
  </sheetViews>
  <sheetFormatPr defaultRowHeight="14.25" x14ac:dyDescent="0.2"/>
  <cols>
    <col min="1" max="1" width="19.125" bestFit="1" customWidth="1"/>
    <col min="2" max="2" width="21.375" bestFit="1" customWidth="1"/>
    <col min="3" max="3" width="25.875" bestFit="1" customWidth="1"/>
    <col min="4" max="4" width="17.125" bestFit="1" customWidth="1"/>
  </cols>
  <sheetData>
    <row r="1" spans="1:4" x14ac:dyDescent="0.2">
      <c r="A1" s="176" t="s">
        <v>15</v>
      </c>
      <c r="B1" s="334">
        <v>2025</v>
      </c>
    </row>
    <row r="2" spans="1:4" x14ac:dyDescent="0.2">
      <c r="A2" s="176" t="s">
        <v>16</v>
      </c>
      <c r="B2" s="334">
        <v>2</v>
      </c>
    </row>
    <row r="4" spans="1:4" x14ac:dyDescent="0.2">
      <c r="A4" s="176" t="s">
        <v>397</v>
      </c>
      <c r="B4" t="s">
        <v>398</v>
      </c>
      <c r="C4" t="s">
        <v>399</v>
      </c>
      <c r="D4" t="s">
        <v>400</v>
      </c>
    </row>
    <row r="5" spans="1:4" x14ac:dyDescent="0.2">
      <c r="A5" s="334" t="s">
        <v>235</v>
      </c>
      <c r="B5" s="335">
        <v>1296200</v>
      </c>
      <c r="C5" s="335">
        <v>1296200</v>
      </c>
      <c r="D5" s="335">
        <v>0</v>
      </c>
    </row>
    <row r="6" spans="1:4" x14ac:dyDescent="0.2">
      <c r="A6" s="334" t="s">
        <v>163</v>
      </c>
      <c r="B6" s="335">
        <v>600000</v>
      </c>
      <c r="C6" s="335">
        <v>0</v>
      </c>
      <c r="D6" s="335">
        <v>0</v>
      </c>
    </row>
    <row r="7" spans="1:4" x14ac:dyDescent="0.2">
      <c r="A7" s="334" t="s">
        <v>124</v>
      </c>
      <c r="B7" s="335">
        <v>67776119.129999995</v>
      </c>
      <c r="C7" s="335">
        <v>5755257.3699999982</v>
      </c>
      <c r="D7" s="335">
        <v>8645429.5199999996</v>
      </c>
    </row>
    <row r="8" spans="1:4" x14ac:dyDescent="0.2">
      <c r="A8" s="334" t="s">
        <v>232</v>
      </c>
      <c r="B8" s="335"/>
      <c r="C8" s="335">
        <v>0</v>
      </c>
      <c r="D8" s="335">
        <v>0</v>
      </c>
    </row>
    <row r="9" spans="1:4" x14ac:dyDescent="0.2">
      <c r="A9" s="334" t="s">
        <v>228</v>
      </c>
      <c r="B9" s="335">
        <v>14000</v>
      </c>
      <c r="C9" s="335">
        <v>-1699.0204000000001</v>
      </c>
      <c r="D9" s="335">
        <v>0</v>
      </c>
    </row>
    <row r="10" spans="1:4" x14ac:dyDescent="0.2">
      <c r="A10" s="334" t="s">
        <v>110</v>
      </c>
      <c r="B10" s="335">
        <v>3254051</v>
      </c>
      <c r="C10" s="335">
        <v>1639778.99</v>
      </c>
      <c r="D10" s="335">
        <v>61858.570000000007</v>
      </c>
    </row>
    <row r="11" spans="1:4" x14ac:dyDescent="0.2">
      <c r="A11" s="334" t="s">
        <v>167</v>
      </c>
      <c r="B11" s="335"/>
      <c r="C11" s="335"/>
      <c r="D11" s="335">
        <v>6711.7300000000005</v>
      </c>
    </row>
    <row r="12" spans="1:4" x14ac:dyDescent="0.2">
      <c r="A12" s="334" t="s">
        <v>89</v>
      </c>
      <c r="B12" s="335">
        <v>1314400</v>
      </c>
      <c r="C12" s="335">
        <v>-346227.86999999994</v>
      </c>
      <c r="D12" s="335">
        <v>301707.37</v>
      </c>
    </row>
    <row r="13" spans="1:4" x14ac:dyDescent="0.2">
      <c r="A13" s="334" t="s">
        <v>57</v>
      </c>
      <c r="B13" s="335">
        <v>0</v>
      </c>
      <c r="C13" s="335">
        <v>0</v>
      </c>
      <c r="D13" s="335">
        <v>0</v>
      </c>
    </row>
    <row r="14" spans="1:4" x14ac:dyDescent="0.2">
      <c r="A14" s="334" t="s">
        <v>72</v>
      </c>
      <c r="B14" s="335">
        <v>1960000</v>
      </c>
      <c r="C14" s="335">
        <v>1423826.0599999998</v>
      </c>
      <c r="D14" s="335">
        <v>1089578.6600000001</v>
      </c>
    </row>
    <row r="15" spans="1:4" x14ac:dyDescent="0.2">
      <c r="A15" s="334" t="s">
        <v>233</v>
      </c>
      <c r="B15" s="335">
        <v>111000</v>
      </c>
      <c r="C15" s="335">
        <v>110343.87</v>
      </c>
      <c r="D15" s="335">
        <v>178941.57</v>
      </c>
    </row>
    <row r="16" spans="1:4" x14ac:dyDescent="0.2">
      <c r="A16" s="334" t="s">
        <v>159</v>
      </c>
      <c r="B16" s="335">
        <v>0</v>
      </c>
      <c r="C16" s="335">
        <v>0</v>
      </c>
      <c r="D16" s="335">
        <v>0</v>
      </c>
    </row>
    <row r="17" spans="1:4" x14ac:dyDescent="0.2">
      <c r="A17" s="334" t="s">
        <v>83</v>
      </c>
      <c r="B17" s="335">
        <v>8518207.209999999</v>
      </c>
      <c r="C17" s="335">
        <v>8518207.209999999</v>
      </c>
      <c r="D17" s="335">
        <v>0</v>
      </c>
    </row>
    <row r="18" spans="1:4" x14ac:dyDescent="0.2">
      <c r="A18" s="334" t="s">
        <v>39</v>
      </c>
      <c r="B18" s="335">
        <v>18800000</v>
      </c>
      <c r="C18" s="335">
        <v>0</v>
      </c>
      <c r="D18" s="335">
        <v>126545.15</v>
      </c>
    </row>
    <row r="19" spans="1:4" x14ac:dyDescent="0.2">
      <c r="A19" s="334" t="s">
        <v>395</v>
      </c>
      <c r="B19" s="335">
        <v>103643977.33999999</v>
      </c>
      <c r="C19" s="335">
        <v>18395686.609599996</v>
      </c>
      <c r="D19" s="335">
        <v>10410772.57</v>
      </c>
    </row>
  </sheetData>
  <phoneticPr fontId="3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J18" sqref="J18"/>
    </sheetView>
  </sheetViews>
  <sheetFormatPr defaultRowHeight="14.25" x14ac:dyDescent="0.2"/>
  <cols>
    <col min="1" max="1" width="19.125" bestFit="1" customWidth="1"/>
    <col min="2" max="2" width="19.5" bestFit="1" customWidth="1"/>
  </cols>
  <sheetData>
    <row r="1" spans="1:2" x14ac:dyDescent="0.2">
      <c r="A1" s="176" t="s">
        <v>251</v>
      </c>
      <c r="B1" t="s">
        <v>401</v>
      </c>
    </row>
    <row r="3" spans="1:2" x14ac:dyDescent="0.2">
      <c r="A3" s="176" t="s">
        <v>397</v>
      </c>
      <c r="B3" t="s">
        <v>396</v>
      </c>
    </row>
    <row r="4" spans="1:2" x14ac:dyDescent="0.2">
      <c r="A4" s="334" t="s">
        <v>235</v>
      </c>
      <c r="B4" s="336">
        <v>1296200</v>
      </c>
    </row>
    <row r="5" spans="1:2" x14ac:dyDescent="0.2">
      <c r="A5" s="334" t="s">
        <v>163</v>
      </c>
      <c r="B5" s="336">
        <v>600000</v>
      </c>
    </row>
    <row r="6" spans="1:2" x14ac:dyDescent="0.2">
      <c r="A6" s="334" t="s">
        <v>124</v>
      </c>
      <c r="B6" s="336">
        <v>67776119.664234221</v>
      </c>
    </row>
    <row r="7" spans="1:2" x14ac:dyDescent="0.2">
      <c r="A7" s="334" t="s">
        <v>232</v>
      </c>
      <c r="B7" s="336">
        <v>0</v>
      </c>
    </row>
    <row r="8" spans="1:2" x14ac:dyDescent="0.2">
      <c r="A8" s="334" t="s">
        <v>228</v>
      </c>
      <c r="B8" s="336">
        <v>14000</v>
      </c>
    </row>
    <row r="9" spans="1:2" x14ac:dyDescent="0.2">
      <c r="A9" s="334" t="s">
        <v>110</v>
      </c>
      <c r="B9" s="336">
        <v>3241452</v>
      </c>
    </row>
    <row r="10" spans="1:2" x14ac:dyDescent="0.2">
      <c r="A10" s="334" t="s">
        <v>277</v>
      </c>
      <c r="B10" s="336">
        <v>1327000</v>
      </c>
    </row>
    <row r="11" spans="1:2" x14ac:dyDescent="0.2">
      <c r="A11" s="334" t="s">
        <v>72</v>
      </c>
      <c r="B11" s="336">
        <v>1960000</v>
      </c>
    </row>
    <row r="12" spans="1:2" x14ac:dyDescent="0.2">
      <c r="A12" s="334" t="s">
        <v>233</v>
      </c>
      <c r="B12" s="336">
        <v>111000</v>
      </c>
    </row>
    <row r="13" spans="1:2" x14ac:dyDescent="0.2">
      <c r="A13" s="334" t="s">
        <v>83</v>
      </c>
      <c r="B13" s="336">
        <v>8518207.2079645991</v>
      </c>
    </row>
    <row r="14" spans="1:2" x14ac:dyDescent="0.2">
      <c r="A14" s="334" t="s">
        <v>268</v>
      </c>
      <c r="B14" s="336">
        <v>18800000</v>
      </c>
    </row>
    <row r="15" spans="1:2" x14ac:dyDescent="0.2">
      <c r="A15" s="334" t="s">
        <v>395</v>
      </c>
      <c r="B15" s="336">
        <v>103643978.87219882</v>
      </c>
    </row>
  </sheetData>
  <phoneticPr fontId="3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792"/>
  <sheetViews>
    <sheetView tabSelected="1" zoomScale="82" zoomScaleNormal="82" zoomScaleSheetLayoutView="58" workbookViewId="0">
      <pane xSplit="3" ySplit="3" topLeftCell="D4" activePane="bottomRight" state="frozen"/>
      <selection pane="topRight" activeCell="E1" sqref="E1"/>
      <selection pane="bottomLeft" activeCell="A4" sqref="A4"/>
      <selection pane="bottomRight" activeCell="D2" sqref="C2:D2"/>
    </sheetView>
  </sheetViews>
  <sheetFormatPr defaultColWidth="8.75" defaultRowHeight="14.25" x14ac:dyDescent="0.2"/>
  <cols>
    <col min="1" max="1" width="24.125" style="103" customWidth="1"/>
    <col min="2" max="2" width="17.25" style="5" customWidth="1"/>
    <col min="3" max="3" width="21.375" style="267" customWidth="1"/>
    <col min="4" max="4" width="29.375" style="5" customWidth="1"/>
    <col min="5" max="5" width="14.125" style="5" customWidth="1"/>
    <col min="6" max="6" width="30" style="5" customWidth="1"/>
    <col min="7" max="8" width="14.125" style="5" customWidth="1"/>
    <col min="9" max="9" width="14.125" style="109" customWidth="1"/>
    <col min="10" max="10" width="18.125" style="5" customWidth="1"/>
    <col min="11" max="11" width="14.125" style="55" customWidth="1"/>
    <col min="12" max="13" width="14.125" style="56" customWidth="1"/>
    <col min="14" max="14" width="13.375" style="56" customWidth="1"/>
    <col min="15" max="15" width="17.125" style="56" customWidth="1"/>
    <col min="16" max="16" width="17.125" style="55" customWidth="1"/>
    <col min="17" max="17" width="17.125" style="56" customWidth="1"/>
    <col min="18" max="18" width="14.125" style="80" customWidth="1"/>
    <col min="19" max="19" width="14.125" style="81" customWidth="1"/>
    <col min="20" max="20" width="18.125" style="58" customWidth="1"/>
    <col min="21" max="21" width="17.875" style="56" customWidth="1"/>
    <col min="22" max="22" width="34.375" style="294" customWidth="1"/>
    <col min="23" max="23" width="18.625" style="53" customWidth="1"/>
    <col min="24" max="24" width="14.125" style="321" customWidth="1"/>
    <col min="25" max="25" width="14.125" style="53" customWidth="1"/>
    <col min="26" max="26" width="18" style="53" customWidth="1"/>
    <col min="27" max="29" width="14.125" style="59" customWidth="1"/>
    <col min="30" max="30" width="14.125" style="57" customWidth="1"/>
    <col min="31" max="31" width="54.875" style="5" customWidth="1"/>
    <col min="32" max="32" width="8.75" style="5"/>
    <col min="33" max="33" width="9.625" style="5"/>
    <col min="34" max="16384" width="8.75" style="5"/>
  </cols>
  <sheetData>
    <row r="1" spans="1:31" ht="18" x14ac:dyDescent="0.2">
      <c r="A1" s="106" t="s">
        <v>0</v>
      </c>
      <c r="B1" s="60" t="s">
        <v>1</v>
      </c>
      <c r="C1" s="263" t="s">
        <v>2</v>
      </c>
      <c r="D1" s="61" t="s">
        <v>3</v>
      </c>
      <c r="E1" s="60" t="s">
        <v>4</v>
      </c>
      <c r="F1" s="62" t="s">
        <v>5</v>
      </c>
      <c r="G1" s="5" t="s">
        <v>6</v>
      </c>
      <c r="J1" s="53"/>
      <c r="K1" s="53"/>
      <c r="O1" s="65"/>
      <c r="P1" s="68"/>
      <c r="Q1" s="65"/>
      <c r="R1" s="81"/>
    </row>
    <row r="2" spans="1:31" ht="17.25" x14ac:dyDescent="0.25">
      <c r="B2" s="63"/>
      <c r="C2" s="264" t="s">
        <v>7</v>
      </c>
      <c r="D2" s="63"/>
      <c r="E2" s="63"/>
      <c r="F2" s="63"/>
      <c r="G2" s="63"/>
      <c r="I2" s="54"/>
      <c r="R2" s="81"/>
    </row>
    <row r="3" spans="1:31" s="53" customFormat="1" ht="28.5" x14ac:dyDescent="0.2">
      <c r="A3" s="102" t="s">
        <v>8</v>
      </c>
      <c r="B3" s="64" t="s">
        <v>9</v>
      </c>
      <c r="C3" s="265" t="s">
        <v>10</v>
      </c>
      <c r="D3" s="14" t="s">
        <v>11</v>
      </c>
      <c r="E3" s="14" t="s">
        <v>12</v>
      </c>
      <c r="F3" s="14" t="s">
        <v>13</v>
      </c>
      <c r="G3" s="101" t="s">
        <v>14</v>
      </c>
      <c r="H3" s="90" t="s">
        <v>15</v>
      </c>
      <c r="I3" s="90" t="s">
        <v>16</v>
      </c>
      <c r="J3" s="91" t="s">
        <v>17</v>
      </c>
      <c r="K3" s="92" t="s">
        <v>18</v>
      </c>
      <c r="L3" s="93" t="s">
        <v>19</v>
      </c>
      <c r="M3" s="93" t="s">
        <v>20</v>
      </c>
      <c r="N3" s="93" t="s">
        <v>21</v>
      </c>
      <c r="O3" s="94" t="s">
        <v>22</v>
      </c>
      <c r="P3" s="95" t="s">
        <v>23</v>
      </c>
      <c r="Q3" s="96" t="s">
        <v>24</v>
      </c>
      <c r="R3" s="93" t="s">
        <v>25</v>
      </c>
      <c r="S3" s="97" t="s">
        <v>26</v>
      </c>
      <c r="T3" s="93" t="s">
        <v>27</v>
      </c>
      <c r="U3" s="93" t="s">
        <v>28</v>
      </c>
      <c r="V3" s="295" t="s">
        <v>29</v>
      </c>
      <c r="W3" s="98" t="s">
        <v>30</v>
      </c>
      <c r="X3" s="322" t="s">
        <v>31</v>
      </c>
      <c r="Y3" s="99" t="s">
        <v>32</v>
      </c>
      <c r="Z3" s="100" t="s">
        <v>33</v>
      </c>
      <c r="AA3" s="99" t="s">
        <v>34</v>
      </c>
      <c r="AB3" s="99" t="s">
        <v>35</v>
      </c>
      <c r="AC3" s="99" t="s">
        <v>36</v>
      </c>
      <c r="AD3" s="99" t="s">
        <v>37</v>
      </c>
      <c r="AE3" s="90" t="s">
        <v>38</v>
      </c>
    </row>
    <row r="4" spans="1:31" s="112" customFormat="1" x14ac:dyDescent="0.2">
      <c r="A4" s="110" t="s">
        <v>39</v>
      </c>
      <c r="B4" s="114" t="str">
        <f>VLOOKUP(A4,Sheet1!A:B,2,0)</f>
        <v>MODI</v>
      </c>
      <c r="C4" s="115" t="s">
        <v>40</v>
      </c>
      <c r="D4" s="161" t="s">
        <v>41</v>
      </c>
      <c r="E4" s="111" t="s">
        <v>42</v>
      </c>
      <c r="F4" s="111" t="s">
        <v>43</v>
      </c>
      <c r="G4" s="162" t="s">
        <v>44</v>
      </c>
      <c r="H4" s="150">
        <v>2023</v>
      </c>
      <c r="I4" s="116">
        <v>12</v>
      </c>
      <c r="J4" s="117">
        <v>45590</v>
      </c>
      <c r="K4" s="118">
        <v>0.5</v>
      </c>
      <c r="L4" s="119">
        <v>0.313524986358025</v>
      </c>
      <c r="M4" s="119">
        <v>0.334774986358025</v>
      </c>
      <c r="N4" s="119">
        <f t="shared" ref="N4:N24" si="0">M4-L4</f>
        <v>2.1249999999999991E-2</v>
      </c>
      <c r="O4" s="119">
        <f>N4*K4</f>
        <v>1.0624999999999996E-2</v>
      </c>
      <c r="P4" s="120">
        <v>1</v>
      </c>
      <c r="Q4" s="119">
        <f>P4*L4</f>
        <v>0.313524986358025</v>
      </c>
      <c r="R4" s="121">
        <v>30954490</v>
      </c>
      <c r="S4" s="122">
        <f>R4</f>
        <v>30954490</v>
      </c>
      <c r="T4" s="119">
        <v>4760000</v>
      </c>
      <c r="U4" s="119">
        <f>T4-N4*S4</f>
        <v>4102217.0875000004</v>
      </c>
      <c r="V4" s="134" t="s">
        <v>45</v>
      </c>
      <c r="W4" s="123"/>
      <c r="X4" s="124">
        <v>6.7279999999999998</v>
      </c>
      <c r="Y4" s="124" t="s">
        <v>46</v>
      </c>
      <c r="Z4" s="124"/>
      <c r="AA4" s="125">
        <v>0</v>
      </c>
      <c r="AB4" s="126">
        <f t="shared" ref="AB4:AB67" si="1">M4*R4</f>
        <v>10362788.967469621</v>
      </c>
      <c r="AC4" s="126">
        <f>R4*AA4</f>
        <v>0</v>
      </c>
      <c r="AD4" s="127">
        <f t="shared" ref="AD4:AD67" si="2">R4*X4/1000</f>
        <v>208261.80872</v>
      </c>
      <c r="AE4" s="123"/>
    </row>
    <row r="5" spans="1:31" s="112" customFormat="1" x14ac:dyDescent="0.2">
      <c r="A5" s="110" t="s">
        <v>39</v>
      </c>
      <c r="B5" s="114" t="str">
        <f>VLOOKUP(A5,Sheet1!A:B,2,0)</f>
        <v>MODI</v>
      </c>
      <c r="C5" s="115" t="s">
        <v>47</v>
      </c>
      <c r="D5" s="161" t="s">
        <v>48</v>
      </c>
      <c r="E5" s="111" t="s">
        <v>42</v>
      </c>
      <c r="F5" s="111" t="s">
        <v>43</v>
      </c>
      <c r="G5" s="162" t="s">
        <v>44</v>
      </c>
      <c r="H5" s="150">
        <v>2023</v>
      </c>
      <c r="I5" s="116">
        <v>12</v>
      </c>
      <c r="J5" s="117">
        <v>45590</v>
      </c>
      <c r="K5" s="118">
        <v>0.5</v>
      </c>
      <c r="L5" s="119">
        <v>4.21539321081182E-2</v>
      </c>
      <c r="M5" s="119">
        <v>5.6528932108118199E-2</v>
      </c>
      <c r="N5" s="119">
        <f t="shared" si="0"/>
        <v>1.4374999999999999E-2</v>
      </c>
      <c r="O5" s="119">
        <f t="shared" ref="O5:O68" si="3">N5*K5</f>
        <v>7.1874999999999994E-3</v>
      </c>
      <c r="P5" s="120">
        <v>1</v>
      </c>
      <c r="Q5" s="119">
        <f t="shared" ref="Q5:Q68" si="4">P5*L5</f>
        <v>4.21539321081182E-2</v>
      </c>
      <c r="R5" s="121">
        <v>27721346</v>
      </c>
      <c r="S5" s="122">
        <f>R5</f>
        <v>27721346</v>
      </c>
      <c r="T5" s="119">
        <v>3450000</v>
      </c>
      <c r="U5" s="119">
        <f t="shared" ref="U5:U53" si="5">T5-N5*S5</f>
        <v>3051505.6512500001</v>
      </c>
      <c r="V5" s="134" t="s">
        <v>45</v>
      </c>
      <c r="W5" s="123"/>
      <c r="X5" s="124">
        <v>0.87</v>
      </c>
      <c r="Y5" s="124" t="s">
        <v>46</v>
      </c>
      <c r="Z5" s="124"/>
      <c r="AA5" s="125">
        <v>0</v>
      </c>
      <c r="AB5" s="126">
        <f t="shared" si="1"/>
        <v>1567058.085979654</v>
      </c>
      <c r="AC5" s="126">
        <f t="shared" ref="AC5:AC68" si="6">R5*AA5</f>
        <v>0</v>
      </c>
      <c r="AD5" s="127">
        <f t="shared" si="2"/>
        <v>24117.571019999999</v>
      </c>
      <c r="AE5" s="123"/>
    </row>
    <row r="6" spans="1:31" s="112" customFormat="1" x14ac:dyDescent="0.2">
      <c r="A6" s="110" t="s">
        <v>39</v>
      </c>
      <c r="B6" s="114" t="str">
        <f>VLOOKUP(A6,Sheet1!A:B,2,0)</f>
        <v>MODI</v>
      </c>
      <c r="C6" s="115" t="s">
        <v>49</v>
      </c>
      <c r="D6" s="161" t="s">
        <v>50</v>
      </c>
      <c r="E6" s="111" t="s">
        <v>42</v>
      </c>
      <c r="F6" s="111" t="s">
        <v>43</v>
      </c>
      <c r="G6" s="162" t="s">
        <v>44</v>
      </c>
      <c r="H6" s="150">
        <v>2023</v>
      </c>
      <c r="I6" s="116">
        <v>12</v>
      </c>
      <c r="J6" s="117">
        <v>45590</v>
      </c>
      <c r="K6" s="118">
        <v>0.5</v>
      </c>
      <c r="L6" s="119">
        <v>7.2210434624191605E-2</v>
      </c>
      <c r="M6" s="119">
        <v>8.7793767957524901E-2</v>
      </c>
      <c r="N6" s="119">
        <f t="shared" si="0"/>
        <v>1.5583333333333296E-2</v>
      </c>
      <c r="O6" s="119">
        <f t="shared" si="3"/>
        <v>7.7916666666666481E-3</v>
      </c>
      <c r="P6" s="120">
        <v>1</v>
      </c>
      <c r="Q6" s="119">
        <f t="shared" si="4"/>
        <v>7.2210434624191605E-2</v>
      </c>
      <c r="R6" s="121">
        <v>30135782</v>
      </c>
      <c r="S6" s="122">
        <f>R6</f>
        <v>30135782</v>
      </c>
      <c r="T6" s="119">
        <v>3740000</v>
      </c>
      <c r="U6" s="119">
        <f t="shared" si="5"/>
        <v>3270384.0638333345</v>
      </c>
      <c r="V6" s="134" t="s">
        <v>45</v>
      </c>
      <c r="W6" s="123"/>
      <c r="X6" s="124">
        <v>1.1779999999999999</v>
      </c>
      <c r="Y6" s="124" t="s">
        <v>46</v>
      </c>
      <c r="Z6" s="124"/>
      <c r="AA6" s="125">
        <v>0</v>
      </c>
      <c r="AB6" s="126">
        <f t="shared" si="1"/>
        <v>2645733.8521265555</v>
      </c>
      <c r="AC6" s="126">
        <f t="shared" si="6"/>
        <v>0</v>
      </c>
      <c r="AD6" s="127">
        <f t="shared" si="2"/>
        <v>35499.951195999995</v>
      </c>
      <c r="AE6" s="123"/>
    </row>
    <row r="7" spans="1:31" s="112" customFormat="1" x14ac:dyDescent="0.2">
      <c r="A7" s="110" t="s">
        <v>39</v>
      </c>
      <c r="B7" s="114" t="str">
        <f>VLOOKUP(A7,Sheet1!A:B,2,0)</f>
        <v>MODI</v>
      </c>
      <c r="C7" s="128" t="s">
        <v>51</v>
      </c>
      <c r="D7" s="161" t="s">
        <v>52</v>
      </c>
      <c r="E7" s="111" t="s">
        <v>42</v>
      </c>
      <c r="F7" s="111" t="s">
        <v>43</v>
      </c>
      <c r="G7" s="162" t="s">
        <v>44</v>
      </c>
      <c r="H7" s="150">
        <v>2023</v>
      </c>
      <c r="I7" s="116">
        <v>12</v>
      </c>
      <c r="J7" s="117">
        <v>45590</v>
      </c>
      <c r="K7" s="118">
        <v>0.5</v>
      </c>
      <c r="L7" s="119">
        <v>6.6190725348954399E-2</v>
      </c>
      <c r="M7" s="119">
        <v>8.0565725348954398E-2</v>
      </c>
      <c r="N7" s="119">
        <f t="shared" si="0"/>
        <v>1.4374999999999999E-2</v>
      </c>
      <c r="O7" s="119">
        <f t="shared" si="3"/>
        <v>7.1874999999999994E-3</v>
      </c>
      <c r="P7" s="120">
        <v>1</v>
      </c>
      <c r="Q7" s="119">
        <f t="shared" si="4"/>
        <v>6.6190725348954399E-2</v>
      </c>
      <c r="R7" s="121">
        <v>15794015</v>
      </c>
      <c r="S7" s="122">
        <f>R7</f>
        <v>15794015</v>
      </c>
      <c r="T7" s="119">
        <v>3450000</v>
      </c>
      <c r="U7" s="119">
        <f t="shared" si="5"/>
        <v>3222961.0343749998</v>
      </c>
      <c r="V7" s="134" t="s">
        <v>53</v>
      </c>
      <c r="W7" s="123"/>
      <c r="X7" s="124">
        <v>1.1779999999999999</v>
      </c>
      <c r="Y7" s="124" t="s">
        <v>54</v>
      </c>
      <c r="Z7" s="124"/>
      <c r="AA7" s="125">
        <v>0</v>
      </c>
      <c r="AB7" s="126">
        <f t="shared" si="1"/>
        <v>1272456.2746472659</v>
      </c>
      <c r="AC7" s="126">
        <f t="shared" si="6"/>
        <v>0</v>
      </c>
      <c r="AD7" s="127">
        <f t="shared" si="2"/>
        <v>18605.34967</v>
      </c>
      <c r="AE7" s="123"/>
    </row>
    <row r="8" spans="1:31" s="112" customFormat="1" x14ac:dyDescent="0.2">
      <c r="A8" s="110" t="s">
        <v>39</v>
      </c>
      <c r="B8" s="114" t="str">
        <f>VLOOKUP(A8,Sheet1!A:B,2,0)</f>
        <v>MODI</v>
      </c>
      <c r="C8" s="115" t="s">
        <v>55</v>
      </c>
      <c r="D8" s="161" t="s">
        <v>56</v>
      </c>
      <c r="E8" s="111" t="s">
        <v>42</v>
      </c>
      <c r="F8" s="111" t="s">
        <v>43</v>
      </c>
      <c r="G8" s="162" t="s">
        <v>44</v>
      </c>
      <c r="H8" s="150">
        <v>2023</v>
      </c>
      <c r="I8" s="116">
        <v>12</v>
      </c>
      <c r="J8" s="117">
        <v>45590</v>
      </c>
      <c r="K8" s="118">
        <v>0.5</v>
      </c>
      <c r="L8" s="119">
        <v>3.8519575097127702E-2</v>
      </c>
      <c r="M8" s="119">
        <v>5.2686241763794397E-2</v>
      </c>
      <c r="N8" s="119">
        <f t="shared" si="0"/>
        <v>1.4166666666666695E-2</v>
      </c>
      <c r="O8" s="119">
        <f t="shared" si="3"/>
        <v>7.0833333333333477E-3</v>
      </c>
      <c r="P8" s="120">
        <v>1</v>
      </c>
      <c r="Q8" s="119">
        <f t="shared" si="4"/>
        <v>3.8519575097127702E-2</v>
      </c>
      <c r="R8" s="121">
        <v>42312050</v>
      </c>
      <c r="S8" s="122">
        <f>R8</f>
        <v>42312050</v>
      </c>
      <c r="T8" s="119">
        <v>3400000</v>
      </c>
      <c r="U8" s="119">
        <f t="shared" si="5"/>
        <v>2800579.2916666656</v>
      </c>
      <c r="V8" s="134" t="s">
        <v>53</v>
      </c>
      <c r="W8" s="123"/>
      <c r="X8" s="124">
        <v>0.13400000000000001</v>
      </c>
      <c r="Y8" s="124" t="s">
        <v>54</v>
      </c>
      <c r="Z8" s="124"/>
      <c r="AA8" s="125">
        <v>0</v>
      </c>
      <c r="AB8" s="126">
        <f t="shared" si="1"/>
        <v>2229262.8958217567</v>
      </c>
      <c r="AC8" s="126">
        <f t="shared" si="6"/>
        <v>0</v>
      </c>
      <c r="AD8" s="127">
        <f t="shared" si="2"/>
        <v>5669.8146999999999</v>
      </c>
      <c r="AE8" s="123"/>
    </row>
    <row r="9" spans="1:31" s="112" customFormat="1" x14ac:dyDescent="0.2">
      <c r="A9" s="110" t="s">
        <v>39</v>
      </c>
      <c r="B9" s="114" t="str">
        <f>VLOOKUP(A9,Sheet1!A:B,2,0)</f>
        <v>MODI</v>
      </c>
      <c r="C9" s="115" t="s">
        <v>40</v>
      </c>
      <c r="D9" s="161" t="s">
        <v>41</v>
      </c>
      <c r="E9" s="111" t="s">
        <v>42</v>
      </c>
      <c r="F9" s="111" t="s">
        <v>43</v>
      </c>
      <c r="G9" s="162" t="s">
        <v>44</v>
      </c>
      <c r="H9" s="150">
        <v>2024</v>
      </c>
      <c r="I9" s="116">
        <v>1</v>
      </c>
      <c r="J9" s="117">
        <v>45590</v>
      </c>
      <c r="K9" s="118">
        <v>0.5</v>
      </c>
      <c r="L9" s="119">
        <v>0.313524986358025</v>
      </c>
      <c r="M9" s="119">
        <v>0.334774986358025</v>
      </c>
      <c r="N9" s="119">
        <f t="shared" si="0"/>
        <v>2.1249999999999991E-2</v>
      </c>
      <c r="O9" s="119">
        <f t="shared" si="3"/>
        <v>1.0624999999999996E-2</v>
      </c>
      <c r="P9" s="120">
        <v>1</v>
      </c>
      <c r="Q9" s="119">
        <f t="shared" si="4"/>
        <v>0.313524986358025</v>
      </c>
      <c r="R9" s="121">
        <v>2479038</v>
      </c>
      <c r="S9" s="122">
        <f t="shared" ref="S9:S53" si="7">R9+S4</f>
        <v>33433528</v>
      </c>
      <c r="T9" s="119">
        <v>4760000</v>
      </c>
      <c r="U9" s="119">
        <f t="shared" si="5"/>
        <v>4049537.5300000003</v>
      </c>
      <c r="V9" s="134" t="s">
        <v>45</v>
      </c>
      <c r="W9" s="123"/>
      <c r="X9" s="124">
        <v>6.7279999999999998</v>
      </c>
      <c r="Y9" s="124" t="s">
        <v>46</v>
      </c>
      <c r="Z9" s="124"/>
      <c r="AA9" s="125">
        <v>0</v>
      </c>
      <c r="AB9" s="126">
        <f t="shared" si="1"/>
        <v>829919.91263102554</v>
      </c>
      <c r="AC9" s="126">
        <f t="shared" si="6"/>
        <v>0</v>
      </c>
      <c r="AD9" s="127">
        <f t="shared" si="2"/>
        <v>16678.967664</v>
      </c>
      <c r="AE9" s="123"/>
    </row>
    <row r="10" spans="1:31" s="112" customFormat="1" x14ac:dyDescent="0.2">
      <c r="A10" s="110" t="s">
        <v>39</v>
      </c>
      <c r="B10" s="114" t="str">
        <f>VLOOKUP(A10,Sheet1!A:B,2,0)</f>
        <v>MODI</v>
      </c>
      <c r="C10" s="115" t="s">
        <v>47</v>
      </c>
      <c r="D10" s="161" t="s">
        <v>48</v>
      </c>
      <c r="E10" s="111" t="s">
        <v>42</v>
      </c>
      <c r="F10" s="111" t="s">
        <v>43</v>
      </c>
      <c r="G10" s="162" t="s">
        <v>44</v>
      </c>
      <c r="H10" s="150">
        <v>2024</v>
      </c>
      <c r="I10" s="116">
        <v>1</v>
      </c>
      <c r="J10" s="117">
        <v>45590</v>
      </c>
      <c r="K10" s="118">
        <v>0.5</v>
      </c>
      <c r="L10" s="119">
        <v>4.21539321081182E-2</v>
      </c>
      <c r="M10" s="119">
        <v>5.6528932108118199E-2</v>
      </c>
      <c r="N10" s="119">
        <f t="shared" si="0"/>
        <v>1.4374999999999999E-2</v>
      </c>
      <c r="O10" s="119">
        <f t="shared" si="3"/>
        <v>7.1874999999999994E-3</v>
      </c>
      <c r="P10" s="120">
        <v>1</v>
      </c>
      <c r="Q10" s="119">
        <f t="shared" si="4"/>
        <v>4.21539321081182E-2</v>
      </c>
      <c r="R10" s="121">
        <v>2530321</v>
      </c>
      <c r="S10" s="122">
        <f t="shared" si="7"/>
        <v>30251667</v>
      </c>
      <c r="T10" s="119">
        <v>3450000</v>
      </c>
      <c r="U10" s="119">
        <f t="shared" si="5"/>
        <v>3015132.2868750002</v>
      </c>
      <c r="V10" s="134" t="s">
        <v>45</v>
      </c>
      <c r="W10" s="123"/>
      <c r="X10" s="124">
        <v>0.87</v>
      </c>
      <c r="Y10" s="124" t="s">
        <v>46</v>
      </c>
      <c r="Z10" s="124"/>
      <c r="AA10" s="125">
        <v>0</v>
      </c>
      <c r="AB10" s="126">
        <f t="shared" si="1"/>
        <v>143036.34402074575</v>
      </c>
      <c r="AC10" s="126">
        <f t="shared" si="6"/>
        <v>0</v>
      </c>
      <c r="AD10" s="127">
        <f t="shared" si="2"/>
        <v>2201.3792699999999</v>
      </c>
      <c r="AE10" s="123"/>
    </row>
    <row r="11" spans="1:31" s="112" customFormat="1" x14ac:dyDescent="0.2">
      <c r="A11" s="110" t="s">
        <v>39</v>
      </c>
      <c r="B11" s="114" t="str">
        <f>VLOOKUP(A11,Sheet1!A:B,2,0)</f>
        <v>MODI</v>
      </c>
      <c r="C11" s="115" t="s">
        <v>49</v>
      </c>
      <c r="D11" s="161" t="s">
        <v>50</v>
      </c>
      <c r="E11" s="111" t="s">
        <v>42</v>
      </c>
      <c r="F11" s="111" t="s">
        <v>43</v>
      </c>
      <c r="G11" s="162" t="s">
        <v>44</v>
      </c>
      <c r="H11" s="150">
        <v>2024</v>
      </c>
      <c r="I11" s="116">
        <v>1</v>
      </c>
      <c r="J11" s="117">
        <v>45590</v>
      </c>
      <c r="K11" s="118">
        <v>0.5</v>
      </c>
      <c r="L11" s="119">
        <v>7.2210434624191605E-2</v>
      </c>
      <c r="M11" s="119">
        <v>8.7793767957524901E-2</v>
      </c>
      <c r="N11" s="119">
        <f t="shared" si="0"/>
        <v>1.5583333333333296E-2</v>
      </c>
      <c r="O11" s="119">
        <f t="shared" si="3"/>
        <v>7.7916666666666481E-3</v>
      </c>
      <c r="P11" s="120">
        <v>1</v>
      </c>
      <c r="Q11" s="119">
        <f t="shared" si="4"/>
        <v>7.2210434624191605E-2</v>
      </c>
      <c r="R11" s="121">
        <v>2184407</v>
      </c>
      <c r="S11" s="122">
        <f t="shared" si="7"/>
        <v>32320189</v>
      </c>
      <c r="T11" s="119">
        <v>3740000</v>
      </c>
      <c r="U11" s="119">
        <f t="shared" si="5"/>
        <v>3236343.721416668</v>
      </c>
      <c r="V11" s="134" t="s">
        <v>45</v>
      </c>
      <c r="W11" s="123"/>
      <c r="X11" s="124">
        <v>1.1779999999999999</v>
      </c>
      <c r="Y11" s="124" t="s">
        <v>46</v>
      </c>
      <c r="Z11" s="124"/>
      <c r="AA11" s="125">
        <v>0</v>
      </c>
      <c r="AB11" s="126">
        <f t="shared" si="1"/>
        <v>191777.3212827931</v>
      </c>
      <c r="AC11" s="126">
        <f t="shared" si="6"/>
        <v>0</v>
      </c>
      <c r="AD11" s="127">
        <f t="shared" si="2"/>
        <v>2573.2314459999998</v>
      </c>
      <c r="AE11" s="123"/>
    </row>
    <row r="12" spans="1:31" s="112" customFormat="1" x14ac:dyDescent="0.2">
      <c r="A12" s="110" t="s">
        <v>39</v>
      </c>
      <c r="B12" s="114" t="str">
        <f>VLOOKUP(A12,Sheet1!A:B,2,0)</f>
        <v>MODI</v>
      </c>
      <c r="C12" s="128" t="s">
        <v>51</v>
      </c>
      <c r="D12" s="161" t="s">
        <v>52</v>
      </c>
      <c r="E12" s="111" t="s">
        <v>42</v>
      </c>
      <c r="F12" s="111" t="s">
        <v>43</v>
      </c>
      <c r="G12" s="162" t="s">
        <v>44</v>
      </c>
      <c r="H12" s="150">
        <v>2024</v>
      </c>
      <c r="I12" s="116">
        <v>1</v>
      </c>
      <c r="J12" s="117">
        <v>45590</v>
      </c>
      <c r="K12" s="118">
        <v>0.5</v>
      </c>
      <c r="L12" s="119">
        <v>6.6190725348954399E-2</v>
      </c>
      <c r="M12" s="119">
        <v>8.0565725348954398E-2</v>
      </c>
      <c r="N12" s="119">
        <f t="shared" si="0"/>
        <v>1.4374999999999999E-2</v>
      </c>
      <c r="O12" s="119">
        <f t="shared" si="3"/>
        <v>7.1874999999999994E-3</v>
      </c>
      <c r="P12" s="120">
        <v>1</v>
      </c>
      <c r="Q12" s="119">
        <f t="shared" si="4"/>
        <v>6.6190725348954399E-2</v>
      </c>
      <c r="R12" s="121">
        <v>2258856</v>
      </c>
      <c r="S12" s="122">
        <f t="shared" si="7"/>
        <v>18052871</v>
      </c>
      <c r="T12" s="119">
        <v>3450000</v>
      </c>
      <c r="U12" s="119">
        <f t="shared" si="5"/>
        <v>3190489.9793750001</v>
      </c>
      <c r="V12" s="134" t="s">
        <v>53</v>
      </c>
      <c r="W12" s="123"/>
      <c r="X12" s="124">
        <v>1.1779999999999999</v>
      </c>
      <c r="Y12" s="124" t="s">
        <v>54</v>
      </c>
      <c r="Z12" s="124"/>
      <c r="AA12" s="125">
        <v>0</v>
      </c>
      <c r="AB12" s="126">
        <f t="shared" si="1"/>
        <v>181986.37209883775</v>
      </c>
      <c r="AC12" s="126">
        <f t="shared" si="6"/>
        <v>0</v>
      </c>
      <c r="AD12" s="127">
        <f t="shared" si="2"/>
        <v>2660.9323679999998</v>
      </c>
      <c r="AE12" s="123"/>
    </row>
    <row r="13" spans="1:31" s="112" customFormat="1" x14ac:dyDescent="0.2">
      <c r="A13" s="110" t="s">
        <v>39</v>
      </c>
      <c r="B13" s="114" t="str">
        <f>VLOOKUP(A13,Sheet1!A:B,2,0)</f>
        <v>MODI</v>
      </c>
      <c r="C13" s="115" t="s">
        <v>55</v>
      </c>
      <c r="D13" s="161" t="s">
        <v>56</v>
      </c>
      <c r="E13" s="111" t="s">
        <v>42</v>
      </c>
      <c r="F13" s="111" t="s">
        <v>43</v>
      </c>
      <c r="G13" s="162" t="s">
        <v>44</v>
      </c>
      <c r="H13" s="150">
        <v>2024</v>
      </c>
      <c r="I13" s="116">
        <v>1</v>
      </c>
      <c r="J13" s="117">
        <v>45590</v>
      </c>
      <c r="K13" s="118">
        <v>0.5</v>
      </c>
      <c r="L13" s="119">
        <v>3.8519575097127702E-2</v>
      </c>
      <c r="M13" s="119">
        <v>5.2686241763794397E-2</v>
      </c>
      <c r="N13" s="119">
        <f t="shared" si="0"/>
        <v>1.4166666666666695E-2</v>
      </c>
      <c r="O13" s="119">
        <f t="shared" si="3"/>
        <v>7.0833333333333477E-3</v>
      </c>
      <c r="P13" s="120">
        <v>1</v>
      </c>
      <c r="Q13" s="119">
        <f t="shared" si="4"/>
        <v>3.8519575097127702E-2</v>
      </c>
      <c r="R13" s="121">
        <v>1792586</v>
      </c>
      <c r="S13" s="122">
        <f t="shared" si="7"/>
        <v>44104636</v>
      </c>
      <c r="T13" s="119">
        <v>3400000</v>
      </c>
      <c r="U13" s="119">
        <f t="shared" si="5"/>
        <v>2775184.3233333323</v>
      </c>
      <c r="V13" s="134" t="s">
        <v>53</v>
      </c>
      <c r="W13" s="123"/>
      <c r="X13" s="124">
        <v>0.13400000000000001</v>
      </c>
      <c r="Y13" s="124" t="s">
        <v>54</v>
      </c>
      <c r="Z13" s="124"/>
      <c r="AA13" s="125">
        <v>0</v>
      </c>
      <c r="AB13" s="126">
        <f t="shared" si="1"/>
        <v>94444.619378393138</v>
      </c>
      <c r="AC13" s="126">
        <f t="shared" si="6"/>
        <v>0</v>
      </c>
      <c r="AD13" s="127">
        <f t="shared" si="2"/>
        <v>240.206524</v>
      </c>
      <c r="AE13" s="123"/>
    </row>
    <row r="14" spans="1:31" s="112" customFormat="1" x14ac:dyDescent="0.2">
      <c r="A14" s="110" t="s">
        <v>39</v>
      </c>
      <c r="B14" s="114" t="str">
        <f>VLOOKUP(A14,Sheet1!A:B,2,0)</f>
        <v>MODI</v>
      </c>
      <c r="C14" s="115" t="s">
        <v>40</v>
      </c>
      <c r="D14" s="161" t="s">
        <v>41</v>
      </c>
      <c r="E14" s="111" t="s">
        <v>42</v>
      </c>
      <c r="F14" s="111" t="s">
        <v>43</v>
      </c>
      <c r="G14" s="162" t="s">
        <v>44</v>
      </c>
      <c r="H14" s="150">
        <v>2024</v>
      </c>
      <c r="I14" s="116">
        <v>2</v>
      </c>
      <c r="J14" s="117">
        <v>45590</v>
      </c>
      <c r="K14" s="118">
        <v>0.5</v>
      </c>
      <c r="L14" s="119">
        <v>0.313524986358025</v>
      </c>
      <c r="M14" s="119">
        <v>0.334774986358025</v>
      </c>
      <c r="N14" s="119">
        <f t="shared" si="0"/>
        <v>2.1249999999999991E-2</v>
      </c>
      <c r="O14" s="119">
        <f t="shared" si="3"/>
        <v>1.0624999999999996E-2</v>
      </c>
      <c r="P14" s="120">
        <v>1</v>
      </c>
      <c r="Q14" s="119">
        <f t="shared" si="4"/>
        <v>0.313524986358025</v>
      </c>
      <c r="R14" s="121">
        <v>1002816</v>
      </c>
      <c r="S14" s="122">
        <f t="shared" si="7"/>
        <v>34436344</v>
      </c>
      <c r="T14" s="119">
        <v>4760000</v>
      </c>
      <c r="U14" s="119">
        <f t="shared" si="5"/>
        <v>4028227.6900000004</v>
      </c>
      <c r="V14" s="134" t="s">
        <v>45</v>
      </c>
      <c r="W14" s="123"/>
      <c r="X14" s="124">
        <v>6.7279999999999998</v>
      </c>
      <c r="Y14" s="124" t="s">
        <v>46</v>
      </c>
      <c r="Z14" s="124"/>
      <c r="AA14" s="125">
        <v>0</v>
      </c>
      <c r="AB14" s="126">
        <f t="shared" si="1"/>
        <v>335717.7127196092</v>
      </c>
      <c r="AC14" s="126">
        <f t="shared" si="6"/>
        <v>0</v>
      </c>
      <c r="AD14" s="127">
        <f t="shared" si="2"/>
        <v>6746.9460479999998</v>
      </c>
      <c r="AE14" s="123"/>
    </row>
    <row r="15" spans="1:31" s="112" customFormat="1" x14ac:dyDescent="0.2">
      <c r="A15" s="110" t="s">
        <v>39</v>
      </c>
      <c r="B15" s="114" t="str">
        <f>VLOOKUP(A15,Sheet1!A:B,2,0)</f>
        <v>MODI</v>
      </c>
      <c r="C15" s="115" t="s">
        <v>47</v>
      </c>
      <c r="D15" s="161" t="s">
        <v>48</v>
      </c>
      <c r="E15" s="111" t="s">
        <v>42</v>
      </c>
      <c r="F15" s="111" t="s">
        <v>43</v>
      </c>
      <c r="G15" s="162" t="s">
        <v>44</v>
      </c>
      <c r="H15" s="150">
        <v>2024</v>
      </c>
      <c r="I15" s="116">
        <v>2</v>
      </c>
      <c r="J15" s="117">
        <v>45590</v>
      </c>
      <c r="K15" s="118">
        <v>0.5</v>
      </c>
      <c r="L15" s="119">
        <v>4.21539321081182E-2</v>
      </c>
      <c r="M15" s="119">
        <v>5.6528932108118199E-2</v>
      </c>
      <c r="N15" s="119">
        <f t="shared" si="0"/>
        <v>1.4374999999999999E-2</v>
      </c>
      <c r="O15" s="119">
        <f t="shared" si="3"/>
        <v>7.1874999999999994E-3</v>
      </c>
      <c r="P15" s="120">
        <v>1</v>
      </c>
      <c r="Q15" s="119">
        <f t="shared" si="4"/>
        <v>4.21539321081182E-2</v>
      </c>
      <c r="R15" s="121">
        <v>1600000</v>
      </c>
      <c r="S15" s="122">
        <f t="shared" si="7"/>
        <v>31851667</v>
      </c>
      <c r="T15" s="119">
        <v>3450000</v>
      </c>
      <c r="U15" s="119">
        <f t="shared" si="5"/>
        <v>2992132.2868750002</v>
      </c>
      <c r="V15" s="134" t="s">
        <v>45</v>
      </c>
      <c r="W15" s="123"/>
      <c r="X15" s="124">
        <v>0.87</v>
      </c>
      <c r="Y15" s="124" t="s">
        <v>46</v>
      </c>
      <c r="Z15" s="124"/>
      <c r="AA15" s="125">
        <v>0</v>
      </c>
      <c r="AB15" s="126">
        <f t="shared" si="1"/>
        <v>90446.291372989115</v>
      </c>
      <c r="AC15" s="126">
        <f t="shared" si="6"/>
        <v>0</v>
      </c>
      <c r="AD15" s="127">
        <f t="shared" si="2"/>
        <v>1392</v>
      </c>
      <c r="AE15" s="123"/>
    </row>
    <row r="16" spans="1:31" s="112" customFormat="1" x14ac:dyDescent="0.2">
      <c r="A16" s="110" t="s">
        <v>39</v>
      </c>
      <c r="B16" s="114" t="str">
        <f>VLOOKUP(A16,Sheet1!A:B,2,0)</f>
        <v>MODI</v>
      </c>
      <c r="C16" s="115" t="s">
        <v>49</v>
      </c>
      <c r="D16" s="161" t="s">
        <v>50</v>
      </c>
      <c r="E16" s="111" t="s">
        <v>42</v>
      </c>
      <c r="F16" s="111" t="s">
        <v>43</v>
      </c>
      <c r="G16" s="162" t="s">
        <v>44</v>
      </c>
      <c r="H16" s="150">
        <v>2024</v>
      </c>
      <c r="I16" s="116">
        <v>2</v>
      </c>
      <c r="J16" s="117">
        <v>45590</v>
      </c>
      <c r="K16" s="118">
        <v>0.5</v>
      </c>
      <c r="L16" s="119">
        <v>7.2210434624191605E-2</v>
      </c>
      <c r="M16" s="119">
        <v>8.7793767957524901E-2</v>
      </c>
      <c r="N16" s="119">
        <f t="shared" si="0"/>
        <v>1.5583333333333296E-2</v>
      </c>
      <c r="O16" s="119">
        <f t="shared" si="3"/>
        <v>7.7916666666666481E-3</v>
      </c>
      <c r="P16" s="120">
        <v>1</v>
      </c>
      <c r="Q16" s="119">
        <f t="shared" si="4"/>
        <v>7.2210434624191605E-2</v>
      </c>
      <c r="R16" s="121">
        <v>1332000</v>
      </c>
      <c r="S16" s="122">
        <f t="shared" si="7"/>
        <v>33652189</v>
      </c>
      <c r="T16" s="119">
        <v>3740000</v>
      </c>
      <c r="U16" s="119">
        <f t="shared" si="5"/>
        <v>3215586.721416668</v>
      </c>
      <c r="V16" s="134" t="s">
        <v>45</v>
      </c>
      <c r="W16" s="123"/>
      <c r="X16" s="124">
        <v>1.1779999999999999</v>
      </c>
      <c r="Y16" s="124" t="s">
        <v>46</v>
      </c>
      <c r="Z16" s="124"/>
      <c r="AA16" s="125">
        <v>0</v>
      </c>
      <c r="AB16" s="126">
        <f t="shared" si="1"/>
        <v>116941.29891942316</v>
      </c>
      <c r="AC16" s="126">
        <f t="shared" si="6"/>
        <v>0</v>
      </c>
      <c r="AD16" s="127">
        <f t="shared" si="2"/>
        <v>1569.096</v>
      </c>
      <c r="AE16" s="123"/>
    </row>
    <row r="17" spans="1:31" s="112" customFormat="1" x14ac:dyDescent="0.2">
      <c r="A17" s="110" t="s">
        <v>39</v>
      </c>
      <c r="B17" s="114" t="str">
        <f>VLOOKUP(A17,Sheet1!A:B,2,0)</f>
        <v>MODI</v>
      </c>
      <c r="C17" s="128" t="s">
        <v>51</v>
      </c>
      <c r="D17" s="161" t="s">
        <v>52</v>
      </c>
      <c r="E17" s="111" t="s">
        <v>42</v>
      </c>
      <c r="F17" s="111" t="s">
        <v>43</v>
      </c>
      <c r="G17" s="162" t="s">
        <v>44</v>
      </c>
      <c r="H17" s="150">
        <v>2024</v>
      </c>
      <c r="I17" s="116">
        <v>2</v>
      </c>
      <c r="J17" s="117">
        <v>45590</v>
      </c>
      <c r="K17" s="118">
        <v>0.5</v>
      </c>
      <c r="L17" s="119">
        <v>6.6190725348954399E-2</v>
      </c>
      <c r="M17" s="119">
        <v>8.0565725348954398E-2</v>
      </c>
      <c r="N17" s="119">
        <f t="shared" si="0"/>
        <v>1.4374999999999999E-2</v>
      </c>
      <c r="O17" s="119">
        <f t="shared" si="3"/>
        <v>7.1874999999999994E-3</v>
      </c>
      <c r="P17" s="120">
        <v>1</v>
      </c>
      <c r="Q17" s="119">
        <f t="shared" si="4"/>
        <v>6.6190725348954399E-2</v>
      </c>
      <c r="R17" s="121">
        <v>1095430</v>
      </c>
      <c r="S17" s="122">
        <f t="shared" si="7"/>
        <v>19148301</v>
      </c>
      <c r="T17" s="119">
        <v>3450000</v>
      </c>
      <c r="U17" s="119">
        <f t="shared" si="5"/>
        <v>3174743.1731250002</v>
      </c>
      <c r="V17" s="134" t="s">
        <v>53</v>
      </c>
      <c r="W17" s="123"/>
      <c r="X17" s="124">
        <v>1.1779999999999999</v>
      </c>
      <c r="Y17" s="124" t="s">
        <v>54</v>
      </c>
      <c r="Z17" s="124"/>
      <c r="AA17" s="125">
        <v>0</v>
      </c>
      <c r="AB17" s="126">
        <f t="shared" si="1"/>
        <v>88254.11251900511</v>
      </c>
      <c r="AC17" s="126">
        <f t="shared" si="6"/>
        <v>0</v>
      </c>
      <c r="AD17" s="127">
        <f t="shared" si="2"/>
        <v>1290.4165399999999</v>
      </c>
      <c r="AE17" s="123"/>
    </row>
    <row r="18" spans="1:31" s="112" customFormat="1" x14ac:dyDescent="0.2">
      <c r="A18" s="110" t="s">
        <v>39</v>
      </c>
      <c r="B18" s="114" t="str">
        <f>VLOOKUP(A18,Sheet1!A:B,2,0)</f>
        <v>MODI</v>
      </c>
      <c r="C18" s="115" t="s">
        <v>55</v>
      </c>
      <c r="D18" s="161" t="s">
        <v>56</v>
      </c>
      <c r="E18" s="111" t="s">
        <v>42</v>
      </c>
      <c r="F18" s="111" t="s">
        <v>43</v>
      </c>
      <c r="G18" s="162" t="s">
        <v>44</v>
      </c>
      <c r="H18" s="150">
        <v>2024</v>
      </c>
      <c r="I18" s="116">
        <v>2</v>
      </c>
      <c r="J18" s="117">
        <v>45590</v>
      </c>
      <c r="K18" s="118">
        <v>0.5</v>
      </c>
      <c r="L18" s="119">
        <v>3.8519575097127702E-2</v>
      </c>
      <c r="M18" s="119">
        <v>5.2686241763794397E-2</v>
      </c>
      <c r="N18" s="119">
        <f t="shared" si="0"/>
        <v>1.4166666666666695E-2</v>
      </c>
      <c r="O18" s="119">
        <f t="shared" si="3"/>
        <v>7.0833333333333477E-3</v>
      </c>
      <c r="P18" s="120">
        <v>1</v>
      </c>
      <c r="Q18" s="119">
        <f t="shared" si="4"/>
        <v>3.8519575097127702E-2</v>
      </c>
      <c r="R18" s="121">
        <v>1241998</v>
      </c>
      <c r="S18" s="122">
        <f t="shared" si="7"/>
        <v>45346634</v>
      </c>
      <c r="T18" s="119">
        <v>3400000</v>
      </c>
      <c r="U18" s="119">
        <f t="shared" si="5"/>
        <v>2757589.3516666656</v>
      </c>
      <c r="V18" s="134" t="s">
        <v>53</v>
      </c>
      <c r="W18" s="123"/>
      <c r="X18" s="124">
        <v>0.13400000000000001</v>
      </c>
      <c r="Y18" s="124" t="s">
        <v>54</v>
      </c>
      <c r="Z18" s="124"/>
      <c r="AA18" s="125">
        <v>0</v>
      </c>
      <c r="AB18" s="126">
        <f t="shared" si="1"/>
        <v>65436.206898149117</v>
      </c>
      <c r="AC18" s="126">
        <f t="shared" si="6"/>
        <v>0</v>
      </c>
      <c r="AD18" s="127">
        <f t="shared" si="2"/>
        <v>166.42773200000002</v>
      </c>
      <c r="AE18" s="123"/>
    </row>
    <row r="19" spans="1:31" s="112" customFormat="1" x14ac:dyDescent="0.2">
      <c r="A19" s="110" t="s">
        <v>39</v>
      </c>
      <c r="B19" s="114" t="str">
        <f>VLOOKUP(A19,Sheet1!A:B,2,0)</f>
        <v>MODI</v>
      </c>
      <c r="C19" s="115" t="s">
        <v>40</v>
      </c>
      <c r="D19" s="161" t="s">
        <v>41</v>
      </c>
      <c r="E19" s="111" t="s">
        <v>42</v>
      </c>
      <c r="F19" s="111" t="s">
        <v>43</v>
      </c>
      <c r="G19" s="162" t="s">
        <v>44</v>
      </c>
      <c r="H19" s="150">
        <v>2024</v>
      </c>
      <c r="I19" s="116">
        <v>3</v>
      </c>
      <c r="J19" s="117">
        <v>45590</v>
      </c>
      <c r="K19" s="118">
        <v>0.5</v>
      </c>
      <c r="L19" s="119">
        <v>0.313524986358025</v>
      </c>
      <c r="M19" s="119">
        <v>0.334774986358025</v>
      </c>
      <c r="N19" s="119">
        <f t="shared" si="0"/>
        <v>2.1249999999999991E-2</v>
      </c>
      <c r="O19" s="119">
        <f t="shared" si="3"/>
        <v>1.0624999999999996E-2</v>
      </c>
      <c r="P19" s="120">
        <v>1</v>
      </c>
      <c r="Q19" s="119">
        <f t="shared" si="4"/>
        <v>0.313524986358025</v>
      </c>
      <c r="R19" s="121">
        <v>3074296</v>
      </c>
      <c r="S19" s="122">
        <f t="shared" si="7"/>
        <v>37510640</v>
      </c>
      <c r="T19" s="119">
        <v>4760000</v>
      </c>
      <c r="U19" s="119">
        <f t="shared" si="5"/>
        <v>3962898.9000000004</v>
      </c>
      <c r="V19" s="134" t="s">
        <v>45</v>
      </c>
      <c r="W19" s="123"/>
      <c r="X19" s="124">
        <v>6.7279999999999998</v>
      </c>
      <c r="Y19" s="124" t="s">
        <v>46</v>
      </c>
      <c r="Z19" s="124"/>
      <c r="AA19" s="125">
        <v>0</v>
      </c>
      <c r="AB19" s="126">
        <f t="shared" si="1"/>
        <v>1029197.4014605308</v>
      </c>
      <c r="AC19" s="126">
        <f t="shared" si="6"/>
        <v>0</v>
      </c>
      <c r="AD19" s="127">
        <f t="shared" si="2"/>
        <v>20683.863487999999</v>
      </c>
      <c r="AE19" s="123"/>
    </row>
    <row r="20" spans="1:31" s="112" customFormat="1" x14ac:dyDescent="0.2">
      <c r="A20" s="110" t="s">
        <v>39</v>
      </c>
      <c r="B20" s="114" t="str">
        <f>VLOOKUP(A20,Sheet1!A:B,2,0)</f>
        <v>MODI</v>
      </c>
      <c r="C20" s="115" t="s">
        <v>47</v>
      </c>
      <c r="D20" s="161" t="s">
        <v>48</v>
      </c>
      <c r="E20" s="111" t="s">
        <v>42</v>
      </c>
      <c r="F20" s="111" t="s">
        <v>43</v>
      </c>
      <c r="G20" s="162" t="s">
        <v>44</v>
      </c>
      <c r="H20" s="150">
        <v>2024</v>
      </c>
      <c r="I20" s="116">
        <v>3</v>
      </c>
      <c r="J20" s="117">
        <v>45590</v>
      </c>
      <c r="K20" s="118">
        <v>0.5</v>
      </c>
      <c r="L20" s="119">
        <v>4.21539321081182E-2</v>
      </c>
      <c r="M20" s="119">
        <v>5.6528932108118199E-2</v>
      </c>
      <c r="N20" s="119">
        <f t="shared" si="0"/>
        <v>1.4374999999999999E-2</v>
      </c>
      <c r="O20" s="119">
        <f t="shared" si="3"/>
        <v>7.1874999999999994E-3</v>
      </c>
      <c r="P20" s="120">
        <v>1</v>
      </c>
      <c r="Q20" s="119">
        <f t="shared" si="4"/>
        <v>4.21539321081182E-2</v>
      </c>
      <c r="R20" s="121">
        <v>1600000</v>
      </c>
      <c r="S20" s="122">
        <f t="shared" si="7"/>
        <v>33451667</v>
      </c>
      <c r="T20" s="119">
        <v>3450000</v>
      </c>
      <c r="U20" s="119">
        <f t="shared" si="5"/>
        <v>2969132.2868750002</v>
      </c>
      <c r="V20" s="134" t="s">
        <v>45</v>
      </c>
      <c r="W20" s="123"/>
      <c r="X20" s="124">
        <v>0.87</v>
      </c>
      <c r="Y20" s="124" t="s">
        <v>46</v>
      </c>
      <c r="Z20" s="124"/>
      <c r="AA20" s="125">
        <v>0</v>
      </c>
      <c r="AB20" s="126">
        <f t="shared" si="1"/>
        <v>90446.291372989115</v>
      </c>
      <c r="AC20" s="126">
        <f t="shared" si="6"/>
        <v>0</v>
      </c>
      <c r="AD20" s="127">
        <f t="shared" si="2"/>
        <v>1392</v>
      </c>
      <c r="AE20" s="123"/>
    </row>
    <row r="21" spans="1:31" s="112" customFormat="1" x14ac:dyDescent="0.2">
      <c r="A21" s="110" t="s">
        <v>39</v>
      </c>
      <c r="B21" s="114" t="str">
        <f>VLOOKUP(A21,Sheet1!A:B,2,0)</f>
        <v>MODI</v>
      </c>
      <c r="C21" s="115" t="s">
        <v>49</v>
      </c>
      <c r="D21" s="161" t="s">
        <v>50</v>
      </c>
      <c r="E21" s="111" t="s">
        <v>42</v>
      </c>
      <c r="F21" s="111" t="s">
        <v>43</v>
      </c>
      <c r="G21" s="162" t="s">
        <v>44</v>
      </c>
      <c r="H21" s="150">
        <v>2024</v>
      </c>
      <c r="I21" s="116">
        <v>3</v>
      </c>
      <c r="J21" s="117">
        <v>45590</v>
      </c>
      <c r="K21" s="118">
        <v>0.5</v>
      </c>
      <c r="L21" s="119">
        <v>7.2210434624191605E-2</v>
      </c>
      <c r="M21" s="119">
        <v>8.7793767957524901E-2</v>
      </c>
      <c r="N21" s="119">
        <f t="shared" si="0"/>
        <v>1.5583333333333296E-2</v>
      </c>
      <c r="O21" s="119">
        <f t="shared" si="3"/>
        <v>7.7916666666666481E-3</v>
      </c>
      <c r="P21" s="120">
        <v>1</v>
      </c>
      <c r="Q21" s="119">
        <f t="shared" si="4"/>
        <v>7.2210434624191605E-2</v>
      </c>
      <c r="R21" s="121">
        <v>2536763</v>
      </c>
      <c r="S21" s="122">
        <f t="shared" si="7"/>
        <v>36188952</v>
      </c>
      <c r="T21" s="119">
        <v>3740000</v>
      </c>
      <c r="U21" s="119">
        <f t="shared" si="5"/>
        <v>3176055.4980000015</v>
      </c>
      <c r="V21" s="134" t="s">
        <v>45</v>
      </c>
      <c r="W21" s="123"/>
      <c r="X21" s="124">
        <v>1.1779999999999999</v>
      </c>
      <c r="Y21" s="124" t="s">
        <v>46</v>
      </c>
      <c r="Z21" s="124"/>
      <c r="AA21" s="125">
        <v>0</v>
      </c>
      <c r="AB21" s="126">
        <f t="shared" si="1"/>
        <v>222711.98218523475</v>
      </c>
      <c r="AC21" s="126">
        <f t="shared" si="6"/>
        <v>0</v>
      </c>
      <c r="AD21" s="127">
        <f t="shared" si="2"/>
        <v>2988.3068139999996</v>
      </c>
      <c r="AE21" s="123"/>
    </row>
    <row r="22" spans="1:31" s="112" customFormat="1" x14ac:dyDescent="0.2">
      <c r="A22" s="110" t="s">
        <v>39</v>
      </c>
      <c r="B22" s="114" t="str">
        <f>VLOOKUP(A22,Sheet1!A:B,2,0)</f>
        <v>MODI</v>
      </c>
      <c r="C22" s="128" t="s">
        <v>51</v>
      </c>
      <c r="D22" s="161" t="s">
        <v>52</v>
      </c>
      <c r="E22" s="111" t="s">
        <v>42</v>
      </c>
      <c r="F22" s="111" t="s">
        <v>43</v>
      </c>
      <c r="G22" s="162" t="s">
        <v>44</v>
      </c>
      <c r="H22" s="150">
        <v>2024</v>
      </c>
      <c r="I22" s="116">
        <v>3</v>
      </c>
      <c r="J22" s="117">
        <v>45590</v>
      </c>
      <c r="K22" s="118">
        <v>0.5</v>
      </c>
      <c r="L22" s="119">
        <v>6.6190725348954399E-2</v>
      </c>
      <c r="M22" s="119">
        <v>8.0565725348954398E-2</v>
      </c>
      <c r="N22" s="119">
        <f t="shared" si="0"/>
        <v>1.4374999999999999E-2</v>
      </c>
      <c r="O22" s="119">
        <f t="shared" si="3"/>
        <v>7.1874999999999994E-3</v>
      </c>
      <c r="P22" s="120">
        <v>1</v>
      </c>
      <c r="Q22" s="119">
        <f t="shared" si="4"/>
        <v>6.6190725348954399E-2</v>
      </c>
      <c r="R22" s="121">
        <v>2974654</v>
      </c>
      <c r="S22" s="122">
        <f t="shared" si="7"/>
        <v>22122955</v>
      </c>
      <c r="T22" s="119">
        <v>3450000</v>
      </c>
      <c r="U22" s="119">
        <f t="shared" si="5"/>
        <v>3131982.5218750001</v>
      </c>
      <c r="V22" s="134" t="s">
        <v>53</v>
      </c>
      <c r="W22" s="123"/>
      <c r="X22" s="124">
        <v>1.1779999999999999</v>
      </c>
      <c r="Y22" s="124" t="s">
        <v>54</v>
      </c>
      <c r="Z22" s="124"/>
      <c r="AA22" s="125">
        <v>0</v>
      </c>
      <c r="AB22" s="126">
        <f t="shared" si="1"/>
        <v>239655.15717216861</v>
      </c>
      <c r="AC22" s="126">
        <f t="shared" si="6"/>
        <v>0</v>
      </c>
      <c r="AD22" s="127">
        <f t="shared" si="2"/>
        <v>3504.1424120000001</v>
      </c>
      <c r="AE22" s="123"/>
    </row>
    <row r="23" spans="1:31" s="112" customFormat="1" x14ac:dyDescent="0.2">
      <c r="A23" s="110" t="s">
        <v>39</v>
      </c>
      <c r="B23" s="114" t="str">
        <f>VLOOKUP(A23,Sheet1!A:B,2,0)</f>
        <v>MODI</v>
      </c>
      <c r="C23" s="115" t="s">
        <v>55</v>
      </c>
      <c r="D23" s="161" t="s">
        <v>56</v>
      </c>
      <c r="E23" s="111" t="s">
        <v>42</v>
      </c>
      <c r="F23" s="111" t="s">
        <v>43</v>
      </c>
      <c r="G23" s="162" t="s">
        <v>44</v>
      </c>
      <c r="H23" s="150">
        <v>2024</v>
      </c>
      <c r="I23" s="116">
        <v>3</v>
      </c>
      <c r="J23" s="117">
        <v>45590</v>
      </c>
      <c r="K23" s="118">
        <v>0.5</v>
      </c>
      <c r="L23" s="119">
        <v>3.8519575097127702E-2</v>
      </c>
      <c r="M23" s="119">
        <v>5.2686241763794397E-2</v>
      </c>
      <c r="N23" s="119">
        <f t="shared" si="0"/>
        <v>1.4166666666666695E-2</v>
      </c>
      <c r="O23" s="119">
        <f t="shared" si="3"/>
        <v>7.0833333333333477E-3</v>
      </c>
      <c r="P23" s="120">
        <v>1</v>
      </c>
      <c r="Q23" s="119">
        <f t="shared" si="4"/>
        <v>3.8519575097127702E-2</v>
      </c>
      <c r="R23" s="121">
        <v>2919409</v>
      </c>
      <c r="S23" s="122">
        <f t="shared" si="7"/>
        <v>48266043</v>
      </c>
      <c r="T23" s="119">
        <v>3400000</v>
      </c>
      <c r="U23" s="119">
        <f t="shared" si="5"/>
        <v>2716231.0574999987</v>
      </c>
      <c r="V23" s="134" t="s">
        <v>53</v>
      </c>
      <c r="W23" s="123"/>
      <c r="X23" s="124">
        <v>0.13400000000000001</v>
      </c>
      <c r="Y23" s="124" t="s">
        <v>54</v>
      </c>
      <c r="Z23" s="124"/>
      <c r="AA23" s="125">
        <v>0</v>
      </c>
      <c r="AB23" s="126">
        <f t="shared" si="1"/>
        <v>153812.68838139725</v>
      </c>
      <c r="AC23" s="126">
        <f t="shared" si="6"/>
        <v>0</v>
      </c>
      <c r="AD23" s="127">
        <f t="shared" si="2"/>
        <v>391.20080600000006</v>
      </c>
      <c r="AE23" s="123"/>
    </row>
    <row r="24" spans="1:31" s="112" customFormat="1" x14ac:dyDescent="0.2">
      <c r="A24" s="110" t="s">
        <v>39</v>
      </c>
      <c r="B24" s="114" t="str">
        <f>VLOOKUP(A24,Sheet1!A:B,2,0)</f>
        <v>MODI</v>
      </c>
      <c r="C24" s="115" t="s">
        <v>40</v>
      </c>
      <c r="D24" s="161" t="s">
        <v>41</v>
      </c>
      <c r="E24" s="111" t="s">
        <v>42</v>
      </c>
      <c r="F24" s="111" t="s">
        <v>43</v>
      </c>
      <c r="G24" s="162" t="s">
        <v>44</v>
      </c>
      <c r="H24" s="150">
        <v>2024</v>
      </c>
      <c r="I24" s="116">
        <v>4</v>
      </c>
      <c r="J24" s="117">
        <v>45590</v>
      </c>
      <c r="K24" s="118">
        <v>0.5</v>
      </c>
      <c r="L24" s="119">
        <v>0.313524986358025</v>
      </c>
      <c r="M24" s="119">
        <v>0.334774986358025</v>
      </c>
      <c r="N24" s="119">
        <f t="shared" si="0"/>
        <v>2.1249999999999991E-2</v>
      </c>
      <c r="O24" s="119">
        <f t="shared" si="3"/>
        <v>1.0624999999999996E-2</v>
      </c>
      <c r="P24" s="120">
        <v>1</v>
      </c>
      <c r="Q24" s="119">
        <f t="shared" si="4"/>
        <v>0.313524986358025</v>
      </c>
      <c r="R24" s="121">
        <v>2735456</v>
      </c>
      <c r="S24" s="122">
        <f t="shared" si="7"/>
        <v>40246096</v>
      </c>
      <c r="T24" s="119">
        <v>4760000</v>
      </c>
      <c r="U24" s="119">
        <f t="shared" si="5"/>
        <v>3904770.4600000004</v>
      </c>
      <c r="V24" s="134" t="s">
        <v>45</v>
      </c>
      <c r="W24" s="123"/>
      <c r="X24" s="124">
        <v>6.7279999999999998</v>
      </c>
      <c r="Y24" s="124" t="s">
        <v>46</v>
      </c>
      <c r="Z24" s="124"/>
      <c r="AA24" s="125">
        <v>0</v>
      </c>
      <c r="AB24" s="126">
        <f t="shared" si="1"/>
        <v>915762.24508297758</v>
      </c>
      <c r="AC24" s="126">
        <f t="shared" si="6"/>
        <v>0</v>
      </c>
      <c r="AD24" s="127">
        <f t="shared" si="2"/>
        <v>18404.147967999997</v>
      </c>
      <c r="AE24" s="123"/>
    </row>
    <row r="25" spans="1:31" s="112" customFormat="1" x14ac:dyDescent="0.2">
      <c r="A25" s="110" t="s">
        <v>39</v>
      </c>
      <c r="B25" s="114" t="str">
        <f>VLOOKUP(A25,Sheet1!A:B,2,0)</f>
        <v>MODI</v>
      </c>
      <c r="C25" s="115" t="s">
        <v>47</v>
      </c>
      <c r="D25" s="161" t="s">
        <v>48</v>
      </c>
      <c r="E25" s="111" t="s">
        <v>42</v>
      </c>
      <c r="F25" s="111" t="s">
        <v>43</v>
      </c>
      <c r="G25" s="162" t="s">
        <v>44</v>
      </c>
      <c r="H25" s="150">
        <v>2024</v>
      </c>
      <c r="I25" s="116">
        <v>4</v>
      </c>
      <c r="J25" s="117">
        <v>45590</v>
      </c>
      <c r="K25" s="118">
        <v>0.5</v>
      </c>
      <c r="L25" s="119">
        <v>4.21539321081182E-2</v>
      </c>
      <c r="M25" s="119">
        <v>5.6528932108118199E-2</v>
      </c>
      <c r="N25" s="119">
        <f t="shared" ref="N25:N88" si="8">M25-L25</f>
        <v>1.4374999999999999E-2</v>
      </c>
      <c r="O25" s="119">
        <f t="shared" si="3"/>
        <v>7.1874999999999994E-3</v>
      </c>
      <c r="P25" s="120">
        <v>1</v>
      </c>
      <c r="Q25" s="119">
        <f t="shared" si="4"/>
        <v>4.21539321081182E-2</v>
      </c>
      <c r="R25" s="121">
        <v>2637609</v>
      </c>
      <c r="S25" s="122">
        <f t="shared" si="7"/>
        <v>36089276</v>
      </c>
      <c r="T25" s="119">
        <v>3450000</v>
      </c>
      <c r="U25" s="119">
        <f t="shared" si="5"/>
        <v>2931216.6575000002</v>
      </c>
      <c r="V25" s="134" t="s">
        <v>45</v>
      </c>
      <c r="W25" s="123"/>
      <c r="X25" s="124">
        <v>0.87</v>
      </c>
      <c r="Y25" s="124" t="s">
        <v>46</v>
      </c>
      <c r="Z25" s="124"/>
      <c r="AA25" s="125">
        <v>0</v>
      </c>
      <c r="AB25" s="126">
        <f t="shared" si="1"/>
        <v>149101.22008876153</v>
      </c>
      <c r="AC25" s="126">
        <f t="shared" si="6"/>
        <v>0</v>
      </c>
      <c r="AD25" s="127">
        <f t="shared" si="2"/>
        <v>2294.71983</v>
      </c>
      <c r="AE25" s="123"/>
    </row>
    <row r="26" spans="1:31" s="112" customFormat="1" x14ac:dyDescent="0.2">
      <c r="A26" s="110" t="s">
        <v>39</v>
      </c>
      <c r="B26" s="114" t="str">
        <f>VLOOKUP(A26,Sheet1!A:B,2,0)</f>
        <v>MODI</v>
      </c>
      <c r="C26" s="115" t="s">
        <v>49</v>
      </c>
      <c r="D26" s="161" t="s">
        <v>50</v>
      </c>
      <c r="E26" s="111" t="s">
        <v>42</v>
      </c>
      <c r="F26" s="111" t="s">
        <v>43</v>
      </c>
      <c r="G26" s="162" t="s">
        <v>44</v>
      </c>
      <c r="H26" s="150">
        <v>2024</v>
      </c>
      <c r="I26" s="116">
        <v>4</v>
      </c>
      <c r="J26" s="117">
        <v>45590</v>
      </c>
      <c r="K26" s="118">
        <v>0.5</v>
      </c>
      <c r="L26" s="119">
        <v>7.2210434624191605E-2</v>
      </c>
      <c r="M26" s="119">
        <v>8.7793767957524901E-2</v>
      </c>
      <c r="N26" s="119">
        <f t="shared" si="8"/>
        <v>1.5583333333333296E-2</v>
      </c>
      <c r="O26" s="119">
        <f t="shared" si="3"/>
        <v>7.7916666666666481E-3</v>
      </c>
      <c r="P26" s="120">
        <v>1</v>
      </c>
      <c r="Q26" s="119">
        <f t="shared" si="4"/>
        <v>7.2210434624191605E-2</v>
      </c>
      <c r="R26" s="121">
        <v>3487788</v>
      </c>
      <c r="S26" s="122">
        <f t="shared" si="7"/>
        <v>39676740</v>
      </c>
      <c r="T26" s="119">
        <v>3740000</v>
      </c>
      <c r="U26" s="119">
        <f t="shared" si="5"/>
        <v>3121704.1350000016</v>
      </c>
      <c r="V26" s="134" t="s">
        <v>45</v>
      </c>
      <c r="W26" s="123"/>
      <c r="X26" s="124">
        <v>1.1779999999999999</v>
      </c>
      <c r="Y26" s="124" t="s">
        <v>46</v>
      </c>
      <c r="Z26" s="124"/>
      <c r="AA26" s="125">
        <v>0</v>
      </c>
      <c r="AB26" s="126">
        <f t="shared" si="1"/>
        <v>306206.05035703984</v>
      </c>
      <c r="AC26" s="126">
        <f t="shared" si="6"/>
        <v>0</v>
      </c>
      <c r="AD26" s="127">
        <f t="shared" si="2"/>
        <v>4108.6142639999998</v>
      </c>
      <c r="AE26" s="123"/>
    </row>
    <row r="27" spans="1:31" s="112" customFormat="1" x14ac:dyDescent="0.2">
      <c r="A27" s="110" t="s">
        <v>39</v>
      </c>
      <c r="B27" s="114" t="str">
        <f>VLOOKUP(A27,Sheet1!A:B,2,0)</f>
        <v>MODI</v>
      </c>
      <c r="C27" s="128" t="s">
        <v>51</v>
      </c>
      <c r="D27" s="161" t="s">
        <v>52</v>
      </c>
      <c r="E27" s="111" t="s">
        <v>42</v>
      </c>
      <c r="F27" s="111" t="s">
        <v>43</v>
      </c>
      <c r="G27" s="162" t="s">
        <v>44</v>
      </c>
      <c r="H27" s="150">
        <v>2024</v>
      </c>
      <c r="I27" s="116">
        <v>4</v>
      </c>
      <c r="J27" s="117">
        <v>45590</v>
      </c>
      <c r="K27" s="118">
        <v>0.5</v>
      </c>
      <c r="L27" s="119">
        <v>6.6190725348954399E-2</v>
      </c>
      <c r="M27" s="119">
        <v>8.0565725348954398E-2</v>
      </c>
      <c r="N27" s="119">
        <f t="shared" si="8"/>
        <v>1.4374999999999999E-2</v>
      </c>
      <c r="O27" s="119">
        <f t="shared" si="3"/>
        <v>7.1874999999999994E-3</v>
      </c>
      <c r="P27" s="120">
        <v>1</v>
      </c>
      <c r="Q27" s="119">
        <f t="shared" si="4"/>
        <v>6.6190725348954399E-2</v>
      </c>
      <c r="R27" s="121">
        <v>3256281</v>
      </c>
      <c r="S27" s="122">
        <f t="shared" si="7"/>
        <v>25379236</v>
      </c>
      <c r="T27" s="119">
        <v>3450000</v>
      </c>
      <c r="U27" s="119">
        <f t="shared" si="5"/>
        <v>3085173.4824999999</v>
      </c>
      <c r="V27" s="134" t="s">
        <v>53</v>
      </c>
      <c r="W27" s="123"/>
      <c r="X27" s="124">
        <v>1.1779999999999999</v>
      </c>
      <c r="Y27" s="124" t="s">
        <v>54</v>
      </c>
      <c r="Z27" s="124"/>
      <c r="AA27" s="125">
        <v>0</v>
      </c>
      <c r="AB27" s="126">
        <f t="shared" si="1"/>
        <v>262344.6407050186</v>
      </c>
      <c r="AC27" s="126">
        <f t="shared" si="6"/>
        <v>0</v>
      </c>
      <c r="AD27" s="127">
        <f t="shared" si="2"/>
        <v>3835.8990179999996</v>
      </c>
      <c r="AE27" s="123"/>
    </row>
    <row r="28" spans="1:31" s="112" customFormat="1" x14ac:dyDescent="0.2">
      <c r="A28" s="110" t="s">
        <v>39</v>
      </c>
      <c r="B28" s="114" t="str">
        <f>VLOOKUP(A28,Sheet1!A:B,2,0)</f>
        <v>MODI</v>
      </c>
      <c r="C28" s="115" t="s">
        <v>55</v>
      </c>
      <c r="D28" s="161" t="s">
        <v>56</v>
      </c>
      <c r="E28" s="111" t="s">
        <v>42</v>
      </c>
      <c r="F28" s="111" t="s">
        <v>43</v>
      </c>
      <c r="G28" s="162" t="s">
        <v>44</v>
      </c>
      <c r="H28" s="150">
        <v>2024</v>
      </c>
      <c r="I28" s="116">
        <v>4</v>
      </c>
      <c r="J28" s="117">
        <v>45590</v>
      </c>
      <c r="K28" s="118">
        <v>0.5</v>
      </c>
      <c r="L28" s="119">
        <v>3.8519575097127702E-2</v>
      </c>
      <c r="M28" s="119">
        <v>5.2686241763794397E-2</v>
      </c>
      <c r="N28" s="119">
        <f t="shared" si="8"/>
        <v>1.4166666666666695E-2</v>
      </c>
      <c r="O28" s="119">
        <f t="shared" si="3"/>
        <v>7.0833333333333477E-3</v>
      </c>
      <c r="P28" s="120">
        <v>1</v>
      </c>
      <c r="Q28" s="119">
        <f t="shared" si="4"/>
        <v>3.8519575097127702E-2</v>
      </c>
      <c r="R28" s="121">
        <v>3335589</v>
      </c>
      <c r="S28" s="122">
        <f t="shared" si="7"/>
        <v>51601632</v>
      </c>
      <c r="T28" s="119">
        <v>3400000</v>
      </c>
      <c r="U28" s="119">
        <f t="shared" si="5"/>
        <v>2668976.8799999985</v>
      </c>
      <c r="V28" s="134" t="s">
        <v>53</v>
      </c>
      <c r="W28" s="123"/>
      <c r="X28" s="124">
        <v>0.13400000000000001</v>
      </c>
      <c r="Y28" s="124" t="s">
        <v>54</v>
      </c>
      <c r="Z28" s="124"/>
      <c r="AA28" s="125">
        <v>0</v>
      </c>
      <c r="AB28" s="126">
        <f t="shared" si="1"/>
        <v>175739.64847865319</v>
      </c>
      <c r="AC28" s="126">
        <f t="shared" si="6"/>
        <v>0</v>
      </c>
      <c r="AD28" s="127">
        <f t="shared" si="2"/>
        <v>446.96892600000001</v>
      </c>
      <c r="AE28" s="123"/>
    </row>
    <row r="29" spans="1:31" s="112" customFormat="1" x14ac:dyDescent="0.2">
      <c r="A29" s="110" t="s">
        <v>39</v>
      </c>
      <c r="B29" s="114" t="str">
        <f>VLOOKUP(A29,Sheet1!A:B,2,0)</f>
        <v>MODI</v>
      </c>
      <c r="C29" s="115" t="s">
        <v>40</v>
      </c>
      <c r="D29" s="161" t="s">
        <v>41</v>
      </c>
      <c r="E29" s="111" t="s">
        <v>42</v>
      </c>
      <c r="F29" s="111" t="s">
        <v>43</v>
      </c>
      <c r="G29" s="162" t="s">
        <v>44</v>
      </c>
      <c r="H29" s="150">
        <v>2024</v>
      </c>
      <c r="I29" s="116">
        <v>5</v>
      </c>
      <c r="J29" s="117">
        <v>45590</v>
      </c>
      <c r="K29" s="118">
        <v>0.5</v>
      </c>
      <c r="L29" s="119">
        <v>0.313524986358025</v>
      </c>
      <c r="M29" s="119">
        <v>0.334774986358025</v>
      </c>
      <c r="N29" s="119">
        <f t="shared" si="8"/>
        <v>2.1249999999999991E-2</v>
      </c>
      <c r="O29" s="119">
        <f t="shared" si="3"/>
        <v>1.0624999999999996E-2</v>
      </c>
      <c r="P29" s="120">
        <v>1</v>
      </c>
      <c r="Q29" s="119">
        <f t="shared" si="4"/>
        <v>0.313524986358025</v>
      </c>
      <c r="R29" s="121">
        <v>2634181</v>
      </c>
      <c r="S29" s="122">
        <f t="shared" si="7"/>
        <v>42880277</v>
      </c>
      <c r="T29" s="119">
        <v>4760000</v>
      </c>
      <c r="U29" s="119">
        <f t="shared" si="5"/>
        <v>3848794.1137500005</v>
      </c>
      <c r="V29" s="134" t="s">
        <v>45</v>
      </c>
      <c r="W29" s="123"/>
      <c r="X29" s="124">
        <v>6.7279999999999998</v>
      </c>
      <c r="Y29" s="124" t="s">
        <v>46</v>
      </c>
      <c r="Z29" s="124"/>
      <c r="AA29" s="125">
        <v>0</v>
      </c>
      <c r="AB29" s="126">
        <f t="shared" si="1"/>
        <v>881857.90833956865</v>
      </c>
      <c r="AC29" s="126">
        <f t="shared" si="6"/>
        <v>0</v>
      </c>
      <c r="AD29" s="127">
        <f t="shared" si="2"/>
        <v>17722.769767999998</v>
      </c>
      <c r="AE29" s="123"/>
    </row>
    <row r="30" spans="1:31" s="112" customFormat="1" x14ac:dyDescent="0.2">
      <c r="A30" s="110" t="s">
        <v>39</v>
      </c>
      <c r="B30" s="114" t="str">
        <f>VLOOKUP(A30,Sheet1!A:B,2,0)</f>
        <v>MODI</v>
      </c>
      <c r="C30" s="115" t="s">
        <v>47</v>
      </c>
      <c r="D30" s="161" t="s">
        <v>48</v>
      </c>
      <c r="E30" s="111" t="s">
        <v>42</v>
      </c>
      <c r="F30" s="111" t="s">
        <v>43</v>
      </c>
      <c r="G30" s="162" t="s">
        <v>44</v>
      </c>
      <c r="H30" s="150">
        <v>2024</v>
      </c>
      <c r="I30" s="116">
        <v>5</v>
      </c>
      <c r="J30" s="117">
        <v>45590</v>
      </c>
      <c r="K30" s="118">
        <v>0.5</v>
      </c>
      <c r="L30" s="119">
        <v>4.21539321081182E-2</v>
      </c>
      <c r="M30" s="119">
        <v>5.6528932108118199E-2</v>
      </c>
      <c r="N30" s="119">
        <f t="shared" si="8"/>
        <v>1.4374999999999999E-2</v>
      </c>
      <c r="O30" s="119">
        <f t="shared" si="3"/>
        <v>7.1874999999999994E-3</v>
      </c>
      <c r="P30" s="120">
        <v>1</v>
      </c>
      <c r="Q30" s="119">
        <f t="shared" si="4"/>
        <v>4.21539321081182E-2</v>
      </c>
      <c r="R30" s="121">
        <v>2144000</v>
      </c>
      <c r="S30" s="122">
        <f t="shared" si="7"/>
        <v>38233276</v>
      </c>
      <c r="T30" s="119">
        <v>3450000</v>
      </c>
      <c r="U30" s="119">
        <f t="shared" si="5"/>
        <v>2900396.6575000002</v>
      </c>
      <c r="V30" s="134" t="s">
        <v>45</v>
      </c>
      <c r="W30" s="123"/>
      <c r="X30" s="124">
        <v>0.87</v>
      </c>
      <c r="Y30" s="124" t="s">
        <v>46</v>
      </c>
      <c r="Z30" s="124"/>
      <c r="AA30" s="125">
        <v>0</v>
      </c>
      <c r="AB30" s="126">
        <f t="shared" si="1"/>
        <v>121198.03043980541</v>
      </c>
      <c r="AC30" s="126">
        <f t="shared" si="6"/>
        <v>0</v>
      </c>
      <c r="AD30" s="127">
        <f t="shared" si="2"/>
        <v>1865.28</v>
      </c>
      <c r="AE30" s="123"/>
    </row>
    <row r="31" spans="1:31" s="112" customFormat="1" x14ac:dyDescent="0.2">
      <c r="A31" s="110" t="s">
        <v>39</v>
      </c>
      <c r="B31" s="114" t="str">
        <f>VLOOKUP(A31,Sheet1!A:B,2,0)</f>
        <v>MODI</v>
      </c>
      <c r="C31" s="115" t="s">
        <v>49</v>
      </c>
      <c r="D31" s="161" t="s">
        <v>50</v>
      </c>
      <c r="E31" s="111" t="s">
        <v>42</v>
      </c>
      <c r="F31" s="111" t="s">
        <v>43</v>
      </c>
      <c r="G31" s="162" t="s">
        <v>44</v>
      </c>
      <c r="H31" s="150">
        <v>2024</v>
      </c>
      <c r="I31" s="116">
        <v>5</v>
      </c>
      <c r="J31" s="117">
        <v>45590</v>
      </c>
      <c r="K31" s="118">
        <v>0.5</v>
      </c>
      <c r="L31" s="119">
        <v>7.2210434624191605E-2</v>
      </c>
      <c r="M31" s="119">
        <v>8.7793767957524901E-2</v>
      </c>
      <c r="N31" s="119">
        <f t="shared" si="8"/>
        <v>1.5583333333333296E-2</v>
      </c>
      <c r="O31" s="119">
        <f t="shared" si="3"/>
        <v>7.7916666666666481E-3</v>
      </c>
      <c r="P31" s="120">
        <v>1</v>
      </c>
      <c r="Q31" s="119">
        <f t="shared" si="4"/>
        <v>7.2210434624191605E-2</v>
      </c>
      <c r="R31" s="121">
        <v>2496000</v>
      </c>
      <c r="S31" s="122">
        <f t="shared" si="7"/>
        <v>42172740</v>
      </c>
      <c r="T31" s="119">
        <v>3740000</v>
      </c>
      <c r="U31" s="119">
        <f t="shared" si="5"/>
        <v>3082808.1350000016</v>
      </c>
      <c r="V31" s="134" t="s">
        <v>45</v>
      </c>
      <c r="W31" s="123"/>
      <c r="X31" s="124">
        <v>1.1779999999999999</v>
      </c>
      <c r="Y31" s="124" t="s">
        <v>46</v>
      </c>
      <c r="Z31" s="124"/>
      <c r="AA31" s="125">
        <v>0</v>
      </c>
      <c r="AB31" s="126">
        <f t="shared" si="1"/>
        <v>219133.24482198217</v>
      </c>
      <c r="AC31" s="126">
        <f t="shared" si="6"/>
        <v>0</v>
      </c>
      <c r="AD31" s="127">
        <f t="shared" si="2"/>
        <v>2940.288</v>
      </c>
      <c r="AE31" s="123"/>
    </row>
    <row r="32" spans="1:31" s="112" customFormat="1" x14ac:dyDescent="0.2">
      <c r="A32" s="110" t="s">
        <v>39</v>
      </c>
      <c r="B32" s="114" t="str">
        <f>VLOOKUP(A32,Sheet1!A:B,2,0)</f>
        <v>MODI</v>
      </c>
      <c r="C32" s="128" t="s">
        <v>51</v>
      </c>
      <c r="D32" s="161" t="s">
        <v>52</v>
      </c>
      <c r="E32" s="111" t="s">
        <v>42</v>
      </c>
      <c r="F32" s="111" t="s">
        <v>43</v>
      </c>
      <c r="G32" s="162" t="s">
        <v>44</v>
      </c>
      <c r="H32" s="150">
        <v>2024</v>
      </c>
      <c r="I32" s="116">
        <v>5</v>
      </c>
      <c r="J32" s="117">
        <v>45590</v>
      </c>
      <c r="K32" s="118">
        <v>0.5</v>
      </c>
      <c r="L32" s="119">
        <v>6.6190725348954399E-2</v>
      </c>
      <c r="M32" s="119">
        <v>8.0565725348954398E-2</v>
      </c>
      <c r="N32" s="119">
        <f t="shared" si="8"/>
        <v>1.4374999999999999E-2</v>
      </c>
      <c r="O32" s="119">
        <f t="shared" si="3"/>
        <v>7.1874999999999994E-3</v>
      </c>
      <c r="P32" s="120">
        <v>1</v>
      </c>
      <c r="Q32" s="119">
        <f t="shared" si="4"/>
        <v>6.6190725348954399E-2</v>
      </c>
      <c r="R32" s="121">
        <v>1677466</v>
      </c>
      <c r="S32" s="122">
        <f t="shared" si="7"/>
        <v>27056702</v>
      </c>
      <c r="T32" s="119">
        <v>3450000</v>
      </c>
      <c r="U32" s="119">
        <f t="shared" si="5"/>
        <v>3061059.9087499999</v>
      </c>
      <c r="V32" s="134" t="s">
        <v>53</v>
      </c>
      <c r="W32" s="123"/>
      <c r="X32" s="124">
        <v>1.1779999999999999</v>
      </c>
      <c r="Y32" s="124" t="s">
        <v>54</v>
      </c>
      <c r="Z32" s="124"/>
      <c r="AA32" s="125">
        <v>0</v>
      </c>
      <c r="AB32" s="126">
        <f t="shared" si="1"/>
        <v>135146.26503820915</v>
      </c>
      <c r="AC32" s="126">
        <f t="shared" si="6"/>
        <v>0</v>
      </c>
      <c r="AD32" s="127">
        <f t="shared" si="2"/>
        <v>1976.054948</v>
      </c>
      <c r="AE32" s="123"/>
    </row>
    <row r="33" spans="1:31" s="112" customFormat="1" x14ac:dyDescent="0.2">
      <c r="A33" s="110" t="s">
        <v>39</v>
      </c>
      <c r="B33" s="114" t="str">
        <f>VLOOKUP(A33,Sheet1!A:B,2,0)</f>
        <v>MODI</v>
      </c>
      <c r="C33" s="115" t="s">
        <v>55</v>
      </c>
      <c r="D33" s="161" t="s">
        <v>56</v>
      </c>
      <c r="E33" s="111" t="s">
        <v>42</v>
      </c>
      <c r="F33" s="111" t="s">
        <v>43</v>
      </c>
      <c r="G33" s="162" t="s">
        <v>44</v>
      </c>
      <c r="H33" s="150">
        <v>2024</v>
      </c>
      <c r="I33" s="116">
        <v>5</v>
      </c>
      <c r="J33" s="117">
        <v>45590</v>
      </c>
      <c r="K33" s="118">
        <v>0.5</v>
      </c>
      <c r="L33" s="119">
        <v>3.8519575097127702E-2</v>
      </c>
      <c r="M33" s="119">
        <v>5.2686241763794397E-2</v>
      </c>
      <c r="N33" s="119">
        <f t="shared" si="8"/>
        <v>1.4166666666666695E-2</v>
      </c>
      <c r="O33" s="119">
        <f t="shared" si="3"/>
        <v>7.0833333333333477E-3</v>
      </c>
      <c r="P33" s="120">
        <v>1</v>
      </c>
      <c r="Q33" s="119">
        <f t="shared" si="4"/>
        <v>3.8519575097127702E-2</v>
      </c>
      <c r="R33" s="121">
        <v>2104764</v>
      </c>
      <c r="S33" s="122">
        <f t="shared" si="7"/>
        <v>53706396</v>
      </c>
      <c r="T33" s="119">
        <v>3400000</v>
      </c>
      <c r="U33" s="119">
        <f t="shared" si="5"/>
        <v>2639159.3899999987</v>
      </c>
      <c r="V33" s="134" t="s">
        <v>53</v>
      </c>
      <c r="W33" s="123"/>
      <c r="X33" s="124">
        <v>0.13400000000000001</v>
      </c>
      <c r="Y33" s="124" t="s">
        <v>54</v>
      </c>
      <c r="Z33" s="124"/>
      <c r="AA33" s="125">
        <v>0</v>
      </c>
      <c r="AB33" s="126">
        <f t="shared" si="1"/>
        <v>110892.10495973095</v>
      </c>
      <c r="AC33" s="126">
        <f t="shared" si="6"/>
        <v>0</v>
      </c>
      <c r="AD33" s="127">
        <f t="shared" si="2"/>
        <v>282.03837599999997</v>
      </c>
      <c r="AE33" s="123"/>
    </row>
    <row r="34" spans="1:31" s="112" customFormat="1" x14ac:dyDescent="0.2">
      <c r="A34" s="110" t="s">
        <v>39</v>
      </c>
      <c r="B34" s="114" t="str">
        <f>VLOOKUP(A34,Sheet1!A:B,2,0)</f>
        <v>MODI</v>
      </c>
      <c r="C34" s="115" t="s">
        <v>40</v>
      </c>
      <c r="D34" s="161" t="s">
        <v>41</v>
      </c>
      <c r="E34" s="111" t="s">
        <v>42</v>
      </c>
      <c r="F34" s="111" t="s">
        <v>43</v>
      </c>
      <c r="G34" s="162" t="s">
        <v>44</v>
      </c>
      <c r="H34" s="150">
        <v>2024</v>
      </c>
      <c r="I34" s="116">
        <v>6</v>
      </c>
      <c r="J34" s="117">
        <v>45590</v>
      </c>
      <c r="K34" s="118">
        <v>0.5</v>
      </c>
      <c r="L34" s="119">
        <v>0.313524986358025</v>
      </c>
      <c r="M34" s="119">
        <v>0.334774986358025</v>
      </c>
      <c r="N34" s="119">
        <f t="shared" si="8"/>
        <v>2.1249999999999991E-2</v>
      </c>
      <c r="O34" s="119">
        <f t="shared" si="3"/>
        <v>1.0624999999999996E-2</v>
      </c>
      <c r="P34" s="120">
        <v>1</v>
      </c>
      <c r="Q34" s="119">
        <f t="shared" si="4"/>
        <v>0.313524986358025</v>
      </c>
      <c r="R34" s="121">
        <v>1470881</v>
      </c>
      <c r="S34" s="122">
        <f t="shared" si="7"/>
        <v>44351158</v>
      </c>
      <c r="T34" s="119">
        <v>4760000</v>
      </c>
      <c r="U34" s="119">
        <f t="shared" si="5"/>
        <v>3817537.8925000005</v>
      </c>
      <c r="V34" s="134" t="s">
        <v>45</v>
      </c>
      <c r="W34" s="123"/>
      <c r="X34" s="124">
        <v>6.7279999999999998</v>
      </c>
      <c r="Y34" s="124" t="s">
        <v>46</v>
      </c>
      <c r="Z34" s="124"/>
      <c r="AA34" s="125">
        <v>0</v>
      </c>
      <c r="AB34" s="126">
        <f t="shared" si="1"/>
        <v>492414.16670927819</v>
      </c>
      <c r="AC34" s="126">
        <f t="shared" si="6"/>
        <v>0</v>
      </c>
      <c r="AD34" s="127">
        <f t="shared" si="2"/>
        <v>9896.0873679999986</v>
      </c>
      <c r="AE34" s="123"/>
    </row>
    <row r="35" spans="1:31" s="112" customFormat="1" x14ac:dyDescent="0.2">
      <c r="A35" s="110" t="s">
        <v>39</v>
      </c>
      <c r="B35" s="114" t="str">
        <f>VLOOKUP(A35,Sheet1!A:B,2,0)</f>
        <v>MODI</v>
      </c>
      <c r="C35" s="115" t="s">
        <v>47</v>
      </c>
      <c r="D35" s="161" t="s">
        <v>48</v>
      </c>
      <c r="E35" s="111" t="s">
        <v>42</v>
      </c>
      <c r="F35" s="111" t="s">
        <v>43</v>
      </c>
      <c r="G35" s="162" t="s">
        <v>44</v>
      </c>
      <c r="H35" s="150">
        <v>2024</v>
      </c>
      <c r="I35" s="116">
        <v>6</v>
      </c>
      <c r="J35" s="117">
        <v>45590</v>
      </c>
      <c r="K35" s="118">
        <v>0.5</v>
      </c>
      <c r="L35" s="119">
        <v>4.21539321081182E-2</v>
      </c>
      <c r="M35" s="119">
        <v>5.6528932108118199E-2</v>
      </c>
      <c r="N35" s="119">
        <f t="shared" si="8"/>
        <v>1.4374999999999999E-2</v>
      </c>
      <c r="O35" s="119">
        <f t="shared" si="3"/>
        <v>7.1874999999999994E-3</v>
      </c>
      <c r="P35" s="120">
        <v>1</v>
      </c>
      <c r="Q35" s="119">
        <f t="shared" si="4"/>
        <v>4.21539321081182E-2</v>
      </c>
      <c r="R35" s="121">
        <v>1127988</v>
      </c>
      <c r="S35" s="122">
        <f t="shared" si="7"/>
        <v>39361264</v>
      </c>
      <c r="T35" s="119">
        <v>3450000</v>
      </c>
      <c r="U35" s="119">
        <f t="shared" si="5"/>
        <v>2884181.83</v>
      </c>
      <c r="V35" s="134" t="s">
        <v>45</v>
      </c>
      <c r="W35" s="123"/>
      <c r="X35" s="124">
        <v>0.87</v>
      </c>
      <c r="Y35" s="124" t="s">
        <v>46</v>
      </c>
      <c r="Z35" s="124"/>
      <c r="AA35" s="125">
        <v>0</v>
      </c>
      <c r="AB35" s="126">
        <f t="shared" si="1"/>
        <v>63763.957070772034</v>
      </c>
      <c r="AC35" s="126">
        <f t="shared" si="6"/>
        <v>0</v>
      </c>
      <c r="AD35" s="127">
        <f t="shared" si="2"/>
        <v>981.34955999999988</v>
      </c>
      <c r="AE35" s="123"/>
    </row>
    <row r="36" spans="1:31" s="112" customFormat="1" x14ac:dyDescent="0.2">
      <c r="A36" s="110" t="s">
        <v>39</v>
      </c>
      <c r="B36" s="114" t="str">
        <f>VLOOKUP(A36,Sheet1!A:B,2,0)</f>
        <v>MODI</v>
      </c>
      <c r="C36" s="115" t="s">
        <v>49</v>
      </c>
      <c r="D36" s="161" t="s">
        <v>50</v>
      </c>
      <c r="E36" s="111" t="s">
        <v>42</v>
      </c>
      <c r="F36" s="111" t="s">
        <v>43</v>
      </c>
      <c r="G36" s="162" t="s">
        <v>44</v>
      </c>
      <c r="H36" s="150">
        <v>2024</v>
      </c>
      <c r="I36" s="116">
        <v>6</v>
      </c>
      <c r="J36" s="117">
        <v>45590</v>
      </c>
      <c r="K36" s="118">
        <v>0.5</v>
      </c>
      <c r="L36" s="119">
        <v>7.2210434624191605E-2</v>
      </c>
      <c r="M36" s="119">
        <v>8.7793767957524901E-2</v>
      </c>
      <c r="N36" s="119">
        <f t="shared" si="8"/>
        <v>1.5583333333333296E-2</v>
      </c>
      <c r="O36" s="119">
        <f t="shared" si="3"/>
        <v>7.7916666666666481E-3</v>
      </c>
      <c r="P36" s="120">
        <v>1</v>
      </c>
      <c r="Q36" s="119">
        <f t="shared" si="4"/>
        <v>7.2210434624191605E-2</v>
      </c>
      <c r="R36" s="121">
        <v>1990000</v>
      </c>
      <c r="S36" s="122">
        <f t="shared" si="7"/>
        <v>44162740</v>
      </c>
      <c r="T36" s="119">
        <v>3740000</v>
      </c>
      <c r="U36" s="119">
        <f t="shared" si="5"/>
        <v>3051797.3016666682</v>
      </c>
      <c r="V36" s="134" t="s">
        <v>45</v>
      </c>
      <c r="W36" s="123"/>
      <c r="X36" s="124">
        <v>1.1779999999999999</v>
      </c>
      <c r="Y36" s="124" t="s">
        <v>46</v>
      </c>
      <c r="Z36" s="124"/>
      <c r="AA36" s="125">
        <v>0</v>
      </c>
      <c r="AB36" s="126">
        <f t="shared" si="1"/>
        <v>174709.59823547455</v>
      </c>
      <c r="AC36" s="126">
        <f t="shared" si="6"/>
        <v>0</v>
      </c>
      <c r="AD36" s="127">
        <f t="shared" si="2"/>
        <v>2344.2199999999998</v>
      </c>
      <c r="AE36" s="123"/>
    </row>
    <row r="37" spans="1:31" s="112" customFormat="1" x14ac:dyDescent="0.2">
      <c r="A37" s="110" t="s">
        <v>39</v>
      </c>
      <c r="B37" s="114" t="str">
        <f>VLOOKUP(A37,Sheet1!A:B,2,0)</f>
        <v>MODI</v>
      </c>
      <c r="C37" s="128" t="s">
        <v>51</v>
      </c>
      <c r="D37" s="161" t="s">
        <v>52</v>
      </c>
      <c r="E37" s="111" t="s">
        <v>42</v>
      </c>
      <c r="F37" s="111" t="s">
        <v>43</v>
      </c>
      <c r="G37" s="162" t="s">
        <v>44</v>
      </c>
      <c r="H37" s="150">
        <v>2024</v>
      </c>
      <c r="I37" s="116">
        <v>6</v>
      </c>
      <c r="J37" s="117">
        <v>45590</v>
      </c>
      <c r="K37" s="118">
        <v>0.5</v>
      </c>
      <c r="L37" s="119">
        <v>6.6190725348954399E-2</v>
      </c>
      <c r="M37" s="119">
        <v>8.0565725348954398E-2</v>
      </c>
      <c r="N37" s="119">
        <f t="shared" si="8"/>
        <v>1.4374999999999999E-2</v>
      </c>
      <c r="O37" s="119">
        <f t="shared" si="3"/>
        <v>7.1874999999999994E-3</v>
      </c>
      <c r="P37" s="120">
        <v>1</v>
      </c>
      <c r="Q37" s="119">
        <f t="shared" si="4"/>
        <v>6.6190725348954399E-2</v>
      </c>
      <c r="R37" s="121">
        <v>1467161</v>
      </c>
      <c r="S37" s="122">
        <f t="shared" si="7"/>
        <v>28523863</v>
      </c>
      <c r="T37" s="119">
        <v>3450000</v>
      </c>
      <c r="U37" s="119">
        <f t="shared" si="5"/>
        <v>3039969.4693749999</v>
      </c>
      <c r="V37" s="134" t="s">
        <v>53</v>
      </c>
      <c r="W37" s="123"/>
      <c r="X37" s="124">
        <v>1.1779999999999999</v>
      </c>
      <c r="Y37" s="124" t="s">
        <v>54</v>
      </c>
      <c r="Z37" s="124"/>
      <c r="AA37" s="125">
        <v>0</v>
      </c>
      <c r="AB37" s="126">
        <f t="shared" si="1"/>
        <v>118202.89016869728</v>
      </c>
      <c r="AC37" s="126">
        <f t="shared" si="6"/>
        <v>0</v>
      </c>
      <c r="AD37" s="127">
        <f t="shared" si="2"/>
        <v>1728.3156579999998</v>
      </c>
      <c r="AE37" s="123"/>
    </row>
    <row r="38" spans="1:31" s="112" customFormat="1" x14ac:dyDescent="0.2">
      <c r="A38" s="110" t="s">
        <v>39</v>
      </c>
      <c r="B38" s="114" t="str">
        <f>VLOOKUP(A38,Sheet1!A:B,2,0)</f>
        <v>MODI</v>
      </c>
      <c r="C38" s="115" t="s">
        <v>55</v>
      </c>
      <c r="D38" s="161" t="s">
        <v>56</v>
      </c>
      <c r="E38" s="111" t="s">
        <v>42</v>
      </c>
      <c r="F38" s="111" t="s">
        <v>43</v>
      </c>
      <c r="G38" s="162" t="s">
        <v>44</v>
      </c>
      <c r="H38" s="150">
        <v>2024</v>
      </c>
      <c r="I38" s="116">
        <v>6</v>
      </c>
      <c r="J38" s="117">
        <v>45590</v>
      </c>
      <c r="K38" s="118">
        <v>0.5</v>
      </c>
      <c r="L38" s="119">
        <v>3.8519575097127702E-2</v>
      </c>
      <c r="M38" s="119">
        <v>5.2686241763794397E-2</v>
      </c>
      <c r="N38" s="119">
        <f t="shared" si="8"/>
        <v>1.4166666666666695E-2</v>
      </c>
      <c r="O38" s="119">
        <f t="shared" si="3"/>
        <v>7.0833333333333477E-3</v>
      </c>
      <c r="P38" s="120">
        <v>1</v>
      </c>
      <c r="Q38" s="119">
        <f t="shared" si="4"/>
        <v>3.8519575097127702E-2</v>
      </c>
      <c r="R38" s="121">
        <v>1441694</v>
      </c>
      <c r="S38" s="122">
        <f t="shared" si="7"/>
        <v>55148090</v>
      </c>
      <c r="T38" s="119">
        <v>3400000</v>
      </c>
      <c r="U38" s="119">
        <f t="shared" si="5"/>
        <v>2618735.3916666652</v>
      </c>
      <c r="V38" s="134" t="s">
        <v>53</v>
      </c>
      <c r="W38" s="123"/>
      <c r="X38" s="124">
        <v>0.13400000000000001</v>
      </c>
      <c r="Y38" s="124" t="s">
        <v>54</v>
      </c>
      <c r="Z38" s="124"/>
      <c r="AA38" s="125">
        <v>0</v>
      </c>
      <c r="AB38" s="126">
        <f t="shared" si="1"/>
        <v>75957.438633411803</v>
      </c>
      <c r="AC38" s="126">
        <f t="shared" si="6"/>
        <v>0</v>
      </c>
      <c r="AD38" s="127">
        <f t="shared" si="2"/>
        <v>193.18699600000002</v>
      </c>
      <c r="AE38" s="123"/>
    </row>
    <row r="39" spans="1:31" s="112" customFormat="1" x14ac:dyDescent="0.2">
      <c r="A39" s="110" t="s">
        <v>39</v>
      </c>
      <c r="B39" s="114" t="str">
        <f>VLOOKUP(A39,Sheet1!A:B,2,0)</f>
        <v>MODI</v>
      </c>
      <c r="C39" s="115" t="s">
        <v>40</v>
      </c>
      <c r="D39" s="161" t="s">
        <v>41</v>
      </c>
      <c r="E39" s="111" t="s">
        <v>42</v>
      </c>
      <c r="F39" s="111" t="s">
        <v>43</v>
      </c>
      <c r="G39" s="162" t="s">
        <v>44</v>
      </c>
      <c r="H39" s="150">
        <v>2024</v>
      </c>
      <c r="I39" s="116">
        <v>7</v>
      </c>
      <c r="J39" s="117">
        <v>45590</v>
      </c>
      <c r="K39" s="118">
        <v>0.5</v>
      </c>
      <c r="L39" s="119">
        <v>0.313524986358025</v>
      </c>
      <c r="M39" s="119">
        <v>0.334774986358025</v>
      </c>
      <c r="N39" s="119">
        <f t="shared" si="8"/>
        <v>2.1249999999999991E-2</v>
      </c>
      <c r="O39" s="119">
        <f t="shared" si="3"/>
        <v>1.0624999999999996E-2</v>
      </c>
      <c r="P39" s="120">
        <v>1</v>
      </c>
      <c r="Q39" s="119">
        <f t="shared" si="4"/>
        <v>0.313524986358025</v>
      </c>
      <c r="R39" s="121">
        <v>722665</v>
      </c>
      <c r="S39" s="122">
        <f t="shared" si="7"/>
        <v>45073823</v>
      </c>
      <c r="T39" s="119">
        <v>4760000</v>
      </c>
      <c r="U39" s="119">
        <f t="shared" si="5"/>
        <v>3802181.2612500004</v>
      </c>
      <c r="V39" s="134" t="s">
        <v>45</v>
      </c>
      <c r="W39" s="123"/>
      <c r="X39" s="124">
        <v>6.7279999999999998</v>
      </c>
      <c r="Y39" s="124" t="s">
        <v>46</v>
      </c>
      <c r="Z39" s="124"/>
      <c r="AA39" s="125">
        <v>0</v>
      </c>
      <c r="AB39" s="126">
        <f t="shared" si="1"/>
        <v>241930.16551642213</v>
      </c>
      <c r="AC39" s="126">
        <f t="shared" si="6"/>
        <v>0</v>
      </c>
      <c r="AD39" s="127">
        <f t="shared" si="2"/>
        <v>4862.0901199999998</v>
      </c>
      <c r="AE39" s="123"/>
    </row>
    <row r="40" spans="1:31" s="112" customFormat="1" x14ac:dyDescent="0.2">
      <c r="A40" s="110" t="s">
        <v>39</v>
      </c>
      <c r="B40" s="114" t="str">
        <f>VLOOKUP(A40,Sheet1!A:B,2,0)</f>
        <v>MODI</v>
      </c>
      <c r="C40" s="115" t="s">
        <v>47</v>
      </c>
      <c r="D40" s="161" t="s">
        <v>48</v>
      </c>
      <c r="E40" s="111" t="s">
        <v>42</v>
      </c>
      <c r="F40" s="111" t="s">
        <v>43</v>
      </c>
      <c r="G40" s="162" t="s">
        <v>44</v>
      </c>
      <c r="H40" s="150">
        <v>2024</v>
      </c>
      <c r="I40" s="116">
        <v>7</v>
      </c>
      <c r="J40" s="117">
        <v>45590</v>
      </c>
      <c r="K40" s="118">
        <v>0.5</v>
      </c>
      <c r="L40" s="119">
        <v>4.21539321081182E-2</v>
      </c>
      <c r="M40" s="119">
        <v>5.6528932108118199E-2</v>
      </c>
      <c r="N40" s="119">
        <f t="shared" si="8"/>
        <v>1.4374999999999999E-2</v>
      </c>
      <c r="O40" s="119">
        <f t="shared" si="3"/>
        <v>7.1874999999999994E-3</v>
      </c>
      <c r="P40" s="120">
        <v>1</v>
      </c>
      <c r="Q40" s="119">
        <f t="shared" si="4"/>
        <v>4.21539321081182E-2</v>
      </c>
      <c r="R40" s="121">
        <v>299449</v>
      </c>
      <c r="S40" s="122">
        <f t="shared" si="7"/>
        <v>39660713</v>
      </c>
      <c r="T40" s="119">
        <v>3450000</v>
      </c>
      <c r="U40" s="119">
        <f t="shared" si="5"/>
        <v>2879877.2506249999</v>
      </c>
      <c r="V40" s="134" t="s">
        <v>45</v>
      </c>
      <c r="W40" s="123"/>
      <c r="X40" s="124">
        <v>0.87</v>
      </c>
      <c r="Y40" s="124" t="s">
        <v>46</v>
      </c>
      <c r="Z40" s="124"/>
      <c r="AA40" s="125">
        <v>0</v>
      </c>
      <c r="AB40" s="126">
        <f t="shared" si="1"/>
        <v>16927.532190843885</v>
      </c>
      <c r="AC40" s="126">
        <f t="shared" si="6"/>
        <v>0</v>
      </c>
      <c r="AD40" s="127">
        <f t="shared" si="2"/>
        <v>260.52062999999998</v>
      </c>
      <c r="AE40" s="123"/>
    </row>
    <row r="41" spans="1:31" s="112" customFormat="1" x14ac:dyDescent="0.2">
      <c r="A41" s="110" t="s">
        <v>39</v>
      </c>
      <c r="B41" s="114" t="str">
        <f>VLOOKUP(A41,Sheet1!A:B,2,0)</f>
        <v>MODI</v>
      </c>
      <c r="C41" s="115" t="s">
        <v>49</v>
      </c>
      <c r="D41" s="161" t="s">
        <v>50</v>
      </c>
      <c r="E41" s="111" t="s">
        <v>42</v>
      </c>
      <c r="F41" s="111" t="s">
        <v>43</v>
      </c>
      <c r="G41" s="162" t="s">
        <v>44</v>
      </c>
      <c r="H41" s="150">
        <v>2024</v>
      </c>
      <c r="I41" s="116">
        <v>7</v>
      </c>
      <c r="J41" s="117">
        <v>45590</v>
      </c>
      <c r="K41" s="118">
        <v>0.5</v>
      </c>
      <c r="L41" s="119">
        <v>7.2210434624191605E-2</v>
      </c>
      <c r="M41" s="119">
        <v>8.7793767957524901E-2</v>
      </c>
      <c r="N41" s="119">
        <f t="shared" si="8"/>
        <v>1.5583333333333296E-2</v>
      </c>
      <c r="O41" s="119">
        <f t="shared" si="3"/>
        <v>7.7916666666666481E-3</v>
      </c>
      <c r="P41" s="120">
        <v>1</v>
      </c>
      <c r="Q41" s="119">
        <f t="shared" si="4"/>
        <v>7.2210434624191605E-2</v>
      </c>
      <c r="R41" s="121">
        <v>795458</v>
      </c>
      <c r="S41" s="122">
        <f t="shared" si="7"/>
        <v>44958198</v>
      </c>
      <c r="T41" s="119">
        <v>3740000</v>
      </c>
      <c r="U41" s="119">
        <f t="shared" si="5"/>
        <v>3039401.4145000018</v>
      </c>
      <c r="V41" s="134" t="s">
        <v>45</v>
      </c>
      <c r="W41" s="123"/>
      <c r="X41" s="124">
        <v>1.1779999999999999</v>
      </c>
      <c r="Y41" s="124" t="s">
        <v>46</v>
      </c>
      <c r="Z41" s="124"/>
      <c r="AA41" s="125">
        <v>0</v>
      </c>
      <c r="AB41" s="126">
        <f t="shared" si="1"/>
        <v>69836.255071956839</v>
      </c>
      <c r="AC41" s="126">
        <f t="shared" si="6"/>
        <v>0</v>
      </c>
      <c r="AD41" s="127">
        <f t="shared" si="2"/>
        <v>937.04952400000002</v>
      </c>
      <c r="AE41" s="123"/>
    </row>
    <row r="42" spans="1:31" s="112" customFormat="1" x14ac:dyDescent="0.2">
      <c r="A42" s="110" t="s">
        <v>39</v>
      </c>
      <c r="B42" s="114" t="str">
        <f>VLOOKUP(A42,Sheet1!A:B,2,0)</f>
        <v>MODI</v>
      </c>
      <c r="C42" s="128" t="s">
        <v>51</v>
      </c>
      <c r="D42" s="161" t="s">
        <v>52</v>
      </c>
      <c r="E42" s="111" t="s">
        <v>42</v>
      </c>
      <c r="F42" s="111" t="s">
        <v>43</v>
      </c>
      <c r="G42" s="162" t="s">
        <v>44</v>
      </c>
      <c r="H42" s="150">
        <v>2024</v>
      </c>
      <c r="I42" s="116">
        <v>7</v>
      </c>
      <c r="J42" s="117">
        <v>45590</v>
      </c>
      <c r="K42" s="118">
        <v>0.5</v>
      </c>
      <c r="L42" s="119">
        <v>6.6190725348954399E-2</v>
      </c>
      <c r="M42" s="119">
        <v>8.0565725348954398E-2</v>
      </c>
      <c r="N42" s="119">
        <f t="shared" si="8"/>
        <v>1.4374999999999999E-2</v>
      </c>
      <c r="O42" s="119">
        <f t="shared" si="3"/>
        <v>7.1874999999999994E-3</v>
      </c>
      <c r="P42" s="120">
        <v>1</v>
      </c>
      <c r="Q42" s="119">
        <f t="shared" si="4"/>
        <v>6.6190725348954399E-2</v>
      </c>
      <c r="R42" s="121">
        <v>647397</v>
      </c>
      <c r="S42" s="122">
        <f t="shared" si="7"/>
        <v>29171260</v>
      </c>
      <c r="T42" s="119">
        <v>3450000</v>
      </c>
      <c r="U42" s="119">
        <f t="shared" si="5"/>
        <v>3030663.1375000002</v>
      </c>
      <c r="V42" s="134" t="s">
        <v>53</v>
      </c>
      <c r="W42" s="123"/>
      <c r="X42" s="124">
        <v>1.1779999999999999</v>
      </c>
      <c r="Y42" s="124" t="s">
        <v>54</v>
      </c>
      <c r="Z42" s="124"/>
      <c r="AA42" s="125">
        <v>0</v>
      </c>
      <c r="AB42" s="126">
        <f t="shared" si="1"/>
        <v>52158.008893737031</v>
      </c>
      <c r="AC42" s="126">
        <f t="shared" si="6"/>
        <v>0</v>
      </c>
      <c r="AD42" s="127">
        <f t="shared" si="2"/>
        <v>762.63366599999995</v>
      </c>
      <c r="AE42" s="123"/>
    </row>
    <row r="43" spans="1:31" s="112" customFormat="1" x14ac:dyDescent="0.2">
      <c r="A43" s="110" t="s">
        <v>39</v>
      </c>
      <c r="B43" s="114" t="str">
        <f>VLOOKUP(A43,Sheet1!A:B,2,0)</f>
        <v>MODI</v>
      </c>
      <c r="C43" s="115" t="s">
        <v>55</v>
      </c>
      <c r="D43" s="161" t="s">
        <v>56</v>
      </c>
      <c r="E43" s="111" t="s">
        <v>42</v>
      </c>
      <c r="F43" s="111" t="s">
        <v>43</v>
      </c>
      <c r="G43" s="162" t="s">
        <v>44</v>
      </c>
      <c r="H43" s="150">
        <v>2024</v>
      </c>
      <c r="I43" s="116">
        <v>7</v>
      </c>
      <c r="J43" s="117">
        <v>45590</v>
      </c>
      <c r="K43" s="118">
        <v>0.5</v>
      </c>
      <c r="L43" s="119">
        <v>3.8519575097127702E-2</v>
      </c>
      <c r="M43" s="119">
        <v>5.2686241763794397E-2</v>
      </c>
      <c r="N43" s="119">
        <f t="shared" si="8"/>
        <v>1.4166666666666695E-2</v>
      </c>
      <c r="O43" s="119">
        <f t="shared" si="3"/>
        <v>7.0833333333333477E-3</v>
      </c>
      <c r="P43" s="120">
        <v>1</v>
      </c>
      <c r="Q43" s="119">
        <f t="shared" si="4"/>
        <v>3.8519575097127702E-2</v>
      </c>
      <c r="R43" s="121">
        <v>597126</v>
      </c>
      <c r="S43" s="122">
        <f t="shared" si="7"/>
        <v>55745216</v>
      </c>
      <c r="T43" s="119">
        <v>3400000</v>
      </c>
      <c r="U43" s="119">
        <f t="shared" si="5"/>
        <v>2610276.1066666651</v>
      </c>
      <c r="V43" s="134" t="s">
        <v>53</v>
      </c>
      <c r="W43" s="123"/>
      <c r="X43" s="124">
        <v>0.13400000000000001</v>
      </c>
      <c r="Y43" s="124" t="s">
        <v>54</v>
      </c>
      <c r="Z43" s="124"/>
      <c r="AA43" s="125">
        <v>0</v>
      </c>
      <c r="AB43" s="126">
        <f t="shared" si="1"/>
        <v>31460.324799447495</v>
      </c>
      <c r="AC43" s="126">
        <f t="shared" si="6"/>
        <v>0</v>
      </c>
      <c r="AD43" s="127">
        <f t="shared" si="2"/>
        <v>80.014884000000009</v>
      </c>
      <c r="AE43" s="123"/>
    </row>
    <row r="44" spans="1:31" s="112" customFormat="1" x14ac:dyDescent="0.2">
      <c r="A44" s="110" t="s">
        <v>39</v>
      </c>
      <c r="B44" s="114" t="str">
        <f>VLOOKUP(A44,Sheet1!A:B,2,0)</f>
        <v>MODI</v>
      </c>
      <c r="C44" s="115" t="s">
        <v>40</v>
      </c>
      <c r="D44" s="161" t="s">
        <v>41</v>
      </c>
      <c r="E44" s="111" t="s">
        <v>42</v>
      </c>
      <c r="F44" s="111" t="s">
        <v>43</v>
      </c>
      <c r="G44" s="162" t="s">
        <v>44</v>
      </c>
      <c r="H44" s="150">
        <v>2024</v>
      </c>
      <c r="I44" s="116">
        <v>8</v>
      </c>
      <c r="J44" s="117">
        <v>45590</v>
      </c>
      <c r="K44" s="118">
        <v>0.5</v>
      </c>
      <c r="L44" s="119">
        <v>0.313524986358025</v>
      </c>
      <c r="M44" s="119">
        <v>0.334774986358025</v>
      </c>
      <c r="N44" s="119">
        <f t="shared" si="8"/>
        <v>2.1249999999999991E-2</v>
      </c>
      <c r="O44" s="119">
        <f t="shared" si="3"/>
        <v>1.0624999999999996E-2</v>
      </c>
      <c r="P44" s="120">
        <v>1</v>
      </c>
      <c r="Q44" s="119">
        <f t="shared" si="4"/>
        <v>0.313524986358025</v>
      </c>
      <c r="R44" s="121">
        <v>332325</v>
      </c>
      <c r="S44" s="122">
        <f t="shared" si="7"/>
        <v>45406148</v>
      </c>
      <c r="T44" s="119">
        <v>4760000</v>
      </c>
      <c r="U44" s="119">
        <f t="shared" si="5"/>
        <v>3795119.3550000004</v>
      </c>
      <c r="V44" s="134" t="s">
        <v>45</v>
      </c>
      <c r="W44" s="123"/>
      <c r="X44" s="124">
        <v>6.7279999999999998</v>
      </c>
      <c r="Y44" s="124" t="s">
        <v>46</v>
      </c>
      <c r="Z44" s="124"/>
      <c r="AA44" s="125">
        <v>0</v>
      </c>
      <c r="AB44" s="126">
        <f t="shared" si="1"/>
        <v>111254.09734143065</v>
      </c>
      <c r="AC44" s="126">
        <f t="shared" si="6"/>
        <v>0</v>
      </c>
      <c r="AD44" s="127">
        <f t="shared" si="2"/>
        <v>2235.8825999999999</v>
      </c>
      <c r="AE44" s="123"/>
    </row>
    <row r="45" spans="1:31" s="112" customFormat="1" x14ac:dyDescent="0.2">
      <c r="A45" s="110" t="s">
        <v>39</v>
      </c>
      <c r="B45" s="114" t="str">
        <f>VLOOKUP(A45,Sheet1!A:B,2,0)</f>
        <v>MODI</v>
      </c>
      <c r="C45" s="115" t="s">
        <v>47</v>
      </c>
      <c r="D45" s="161" t="s">
        <v>48</v>
      </c>
      <c r="E45" s="111" t="s">
        <v>42</v>
      </c>
      <c r="F45" s="111" t="s">
        <v>43</v>
      </c>
      <c r="G45" s="162" t="s">
        <v>44</v>
      </c>
      <c r="H45" s="150">
        <v>2024</v>
      </c>
      <c r="I45" s="116">
        <v>8</v>
      </c>
      <c r="J45" s="117">
        <v>45590</v>
      </c>
      <c r="K45" s="118">
        <v>0.5</v>
      </c>
      <c r="L45" s="119">
        <v>4.21539321081182E-2</v>
      </c>
      <c r="M45" s="119">
        <v>5.6528932108118199E-2</v>
      </c>
      <c r="N45" s="119">
        <f t="shared" si="8"/>
        <v>1.4374999999999999E-2</v>
      </c>
      <c r="O45" s="119">
        <f t="shared" si="3"/>
        <v>7.1874999999999994E-3</v>
      </c>
      <c r="P45" s="120">
        <v>1</v>
      </c>
      <c r="Q45" s="119">
        <f t="shared" si="4"/>
        <v>4.21539321081182E-2</v>
      </c>
      <c r="R45" s="121">
        <v>370587</v>
      </c>
      <c r="S45" s="122">
        <f t="shared" si="7"/>
        <v>40031300</v>
      </c>
      <c r="T45" s="119">
        <v>3450000</v>
      </c>
      <c r="U45" s="119">
        <f t="shared" si="5"/>
        <v>2874550.0625</v>
      </c>
      <c r="V45" s="134" t="s">
        <v>45</v>
      </c>
      <c r="W45" s="123"/>
      <c r="X45" s="124">
        <v>0.87</v>
      </c>
      <c r="Y45" s="124" t="s">
        <v>46</v>
      </c>
      <c r="Z45" s="124"/>
      <c r="AA45" s="125">
        <v>0</v>
      </c>
      <c r="AB45" s="126">
        <f t="shared" si="1"/>
        <v>20948.8873631512</v>
      </c>
      <c r="AC45" s="126">
        <f t="shared" si="6"/>
        <v>0</v>
      </c>
      <c r="AD45" s="127">
        <f t="shared" si="2"/>
        <v>322.41068999999999</v>
      </c>
      <c r="AE45" s="123"/>
    </row>
    <row r="46" spans="1:31" s="112" customFormat="1" x14ac:dyDescent="0.2">
      <c r="A46" s="110" t="s">
        <v>39</v>
      </c>
      <c r="B46" s="114" t="str">
        <f>VLOOKUP(A46,Sheet1!A:B,2,0)</f>
        <v>MODI</v>
      </c>
      <c r="C46" s="115" t="s">
        <v>49</v>
      </c>
      <c r="D46" s="161" t="s">
        <v>50</v>
      </c>
      <c r="E46" s="111" t="s">
        <v>42</v>
      </c>
      <c r="F46" s="111" t="s">
        <v>43</v>
      </c>
      <c r="G46" s="162" t="s">
        <v>44</v>
      </c>
      <c r="H46" s="150">
        <v>2024</v>
      </c>
      <c r="I46" s="116">
        <v>8</v>
      </c>
      <c r="J46" s="117">
        <v>45590</v>
      </c>
      <c r="K46" s="118">
        <v>0.5</v>
      </c>
      <c r="L46" s="119">
        <v>7.2210434624191605E-2</v>
      </c>
      <c r="M46" s="119">
        <v>8.7793767957524901E-2</v>
      </c>
      <c r="N46" s="119">
        <f t="shared" si="8"/>
        <v>1.5583333333333296E-2</v>
      </c>
      <c r="O46" s="119">
        <f t="shared" si="3"/>
        <v>7.7916666666666481E-3</v>
      </c>
      <c r="P46" s="120">
        <v>1</v>
      </c>
      <c r="Q46" s="119">
        <f t="shared" si="4"/>
        <v>7.2210434624191605E-2</v>
      </c>
      <c r="R46" s="121">
        <v>355052</v>
      </c>
      <c r="S46" s="122">
        <f t="shared" si="7"/>
        <v>45313250</v>
      </c>
      <c r="T46" s="119">
        <v>3740000</v>
      </c>
      <c r="U46" s="119">
        <f t="shared" si="5"/>
        <v>3033868.5208333349</v>
      </c>
      <c r="V46" s="134" t="s">
        <v>45</v>
      </c>
      <c r="W46" s="123"/>
      <c r="X46" s="124">
        <v>1.1779999999999999</v>
      </c>
      <c r="Y46" s="124" t="s">
        <v>46</v>
      </c>
      <c r="Z46" s="124"/>
      <c r="AA46" s="125">
        <v>0</v>
      </c>
      <c r="AB46" s="126">
        <f t="shared" si="1"/>
        <v>31171.35290085513</v>
      </c>
      <c r="AC46" s="126">
        <f t="shared" si="6"/>
        <v>0</v>
      </c>
      <c r="AD46" s="127">
        <f t="shared" si="2"/>
        <v>418.25125600000001</v>
      </c>
      <c r="AE46" s="123"/>
    </row>
    <row r="47" spans="1:31" s="112" customFormat="1" x14ac:dyDescent="0.2">
      <c r="A47" s="110" t="s">
        <v>39</v>
      </c>
      <c r="B47" s="114" t="str">
        <f>VLOOKUP(A47,Sheet1!A:B,2,0)</f>
        <v>MODI</v>
      </c>
      <c r="C47" s="128" t="s">
        <v>51</v>
      </c>
      <c r="D47" s="161" t="s">
        <v>52</v>
      </c>
      <c r="E47" s="111" t="s">
        <v>42</v>
      </c>
      <c r="F47" s="111" t="s">
        <v>43</v>
      </c>
      <c r="G47" s="162" t="s">
        <v>44</v>
      </c>
      <c r="H47" s="150">
        <v>2024</v>
      </c>
      <c r="I47" s="116">
        <v>8</v>
      </c>
      <c r="J47" s="117">
        <v>45590</v>
      </c>
      <c r="K47" s="118">
        <v>0.5</v>
      </c>
      <c r="L47" s="119">
        <v>6.6190725348954399E-2</v>
      </c>
      <c r="M47" s="119">
        <v>8.0565725348954398E-2</v>
      </c>
      <c r="N47" s="119">
        <f t="shared" si="8"/>
        <v>1.4374999999999999E-2</v>
      </c>
      <c r="O47" s="119">
        <f t="shared" si="3"/>
        <v>7.1874999999999994E-3</v>
      </c>
      <c r="P47" s="120">
        <v>1</v>
      </c>
      <c r="Q47" s="119">
        <f t="shared" si="4"/>
        <v>6.6190725348954399E-2</v>
      </c>
      <c r="R47" s="121">
        <v>349098</v>
      </c>
      <c r="S47" s="122">
        <f t="shared" si="7"/>
        <v>29520358</v>
      </c>
      <c r="T47" s="119">
        <v>3450000</v>
      </c>
      <c r="U47" s="119">
        <f t="shared" si="5"/>
        <v>3025644.8537499998</v>
      </c>
      <c r="V47" s="134" t="s">
        <v>53</v>
      </c>
      <c r="W47" s="123"/>
      <c r="X47" s="124">
        <v>1.1779999999999999</v>
      </c>
      <c r="Y47" s="124" t="s">
        <v>54</v>
      </c>
      <c r="Z47" s="124"/>
      <c r="AA47" s="125">
        <v>0</v>
      </c>
      <c r="AB47" s="126">
        <f t="shared" si="1"/>
        <v>28125.333587869281</v>
      </c>
      <c r="AC47" s="126">
        <f t="shared" si="6"/>
        <v>0</v>
      </c>
      <c r="AD47" s="127">
        <f t="shared" si="2"/>
        <v>411.23744399999998</v>
      </c>
      <c r="AE47" s="123"/>
    </row>
    <row r="48" spans="1:31" s="112" customFormat="1" x14ac:dyDescent="0.2">
      <c r="A48" s="110" t="s">
        <v>39</v>
      </c>
      <c r="B48" s="114" t="str">
        <f>VLOOKUP(A48,Sheet1!A:B,2,0)</f>
        <v>MODI</v>
      </c>
      <c r="C48" s="115" t="s">
        <v>55</v>
      </c>
      <c r="D48" s="161" t="s">
        <v>56</v>
      </c>
      <c r="E48" s="111" t="s">
        <v>42</v>
      </c>
      <c r="F48" s="111" t="s">
        <v>43</v>
      </c>
      <c r="G48" s="162" t="s">
        <v>44</v>
      </c>
      <c r="H48" s="150">
        <v>2024</v>
      </c>
      <c r="I48" s="116">
        <v>8</v>
      </c>
      <c r="J48" s="117">
        <v>45590</v>
      </c>
      <c r="K48" s="118">
        <v>0.5</v>
      </c>
      <c r="L48" s="119">
        <v>3.8519575097127702E-2</v>
      </c>
      <c r="M48" s="119">
        <v>5.2686241763794397E-2</v>
      </c>
      <c r="N48" s="119">
        <f t="shared" si="8"/>
        <v>1.4166666666666695E-2</v>
      </c>
      <c r="O48" s="119">
        <f t="shared" si="3"/>
        <v>7.0833333333333477E-3</v>
      </c>
      <c r="P48" s="120">
        <v>1</v>
      </c>
      <c r="Q48" s="119">
        <f t="shared" si="4"/>
        <v>3.8519575097127702E-2</v>
      </c>
      <c r="R48" s="121">
        <v>380203</v>
      </c>
      <c r="S48" s="122">
        <f t="shared" si="7"/>
        <v>56125419</v>
      </c>
      <c r="T48" s="119">
        <v>3400000</v>
      </c>
      <c r="U48" s="119">
        <f t="shared" si="5"/>
        <v>2604889.8974999981</v>
      </c>
      <c r="V48" s="134" t="s">
        <v>53</v>
      </c>
      <c r="W48" s="123"/>
      <c r="X48" s="124">
        <v>0.13400000000000001</v>
      </c>
      <c r="Y48" s="124" t="s">
        <v>54</v>
      </c>
      <c r="Z48" s="124"/>
      <c r="AA48" s="125">
        <v>0</v>
      </c>
      <c r="AB48" s="126">
        <f t="shared" si="1"/>
        <v>20031.467177319922</v>
      </c>
      <c r="AC48" s="126">
        <f t="shared" si="6"/>
        <v>0</v>
      </c>
      <c r="AD48" s="127">
        <f t="shared" si="2"/>
        <v>50.947202000000004</v>
      </c>
      <c r="AE48" s="123"/>
    </row>
    <row r="49" spans="1:31" s="112" customFormat="1" x14ac:dyDescent="0.2">
      <c r="A49" s="110" t="s">
        <v>39</v>
      </c>
      <c r="B49" s="114" t="str">
        <f>VLOOKUP(A49,Sheet1!A:B,2,0)</f>
        <v>MODI</v>
      </c>
      <c r="C49" s="115" t="s">
        <v>40</v>
      </c>
      <c r="D49" s="161" t="s">
        <v>41</v>
      </c>
      <c r="E49" s="111" t="s">
        <v>42</v>
      </c>
      <c r="F49" s="111" t="s">
        <v>43</v>
      </c>
      <c r="G49" s="162" t="s">
        <v>44</v>
      </c>
      <c r="H49" s="150">
        <v>2024</v>
      </c>
      <c r="I49" s="116">
        <v>9</v>
      </c>
      <c r="J49" s="117">
        <v>45590</v>
      </c>
      <c r="K49" s="118">
        <v>0.5</v>
      </c>
      <c r="L49" s="119">
        <v>0.313524986358025</v>
      </c>
      <c r="M49" s="119">
        <v>0.334774986358025</v>
      </c>
      <c r="N49" s="119">
        <f t="shared" si="8"/>
        <v>2.1249999999999991E-2</v>
      </c>
      <c r="O49" s="119">
        <f t="shared" si="3"/>
        <v>1.0624999999999996E-2</v>
      </c>
      <c r="P49" s="120">
        <v>1</v>
      </c>
      <c r="Q49" s="119">
        <f t="shared" si="4"/>
        <v>0.313524986358025</v>
      </c>
      <c r="R49" s="121">
        <v>142424</v>
      </c>
      <c r="S49" s="122">
        <f t="shared" si="7"/>
        <v>45548572</v>
      </c>
      <c r="T49" s="119">
        <v>4760000</v>
      </c>
      <c r="U49" s="119">
        <f t="shared" si="5"/>
        <v>3792092.8450000007</v>
      </c>
      <c r="V49" s="134" t="s">
        <v>45</v>
      </c>
      <c r="W49" s="123"/>
      <c r="X49" s="124">
        <v>6.7279999999999998</v>
      </c>
      <c r="Y49" s="124" t="s">
        <v>46</v>
      </c>
      <c r="Z49" s="124"/>
      <c r="AA49" s="125">
        <v>0</v>
      </c>
      <c r="AB49" s="126">
        <f t="shared" si="1"/>
        <v>47679.992657055351</v>
      </c>
      <c r="AC49" s="126">
        <f t="shared" si="6"/>
        <v>0</v>
      </c>
      <c r="AD49" s="127">
        <f t="shared" si="2"/>
        <v>958.22867200000007</v>
      </c>
      <c r="AE49" s="123"/>
    </row>
    <row r="50" spans="1:31" s="112" customFormat="1" x14ac:dyDescent="0.2">
      <c r="A50" s="110" t="s">
        <v>39</v>
      </c>
      <c r="B50" s="114" t="str">
        <f>VLOOKUP(A50,Sheet1!A:B,2,0)</f>
        <v>MODI</v>
      </c>
      <c r="C50" s="115" t="s">
        <v>47</v>
      </c>
      <c r="D50" s="161" t="s">
        <v>48</v>
      </c>
      <c r="E50" s="111" t="s">
        <v>42</v>
      </c>
      <c r="F50" s="111" t="s">
        <v>43</v>
      </c>
      <c r="G50" s="162" t="s">
        <v>44</v>
      </c>
      <c r="H50" s="150">
        <v>2024</v>
      </c>
      <c r="I50" s="116">
        <v>9</v>
      </c>
      <c r="J50" s="117">
        <v>45590</v>
      </c>
      <c r="K50" s="118">
        <v>0.5</v>
      </c>
      <c r="L50" s="119">
        <v>4.21539321081182E-2</v>
      </c>
      <c r="M50" s="119">
        <v>5.6528932108118199E-2</v>
      </c>
      <c r="N50" s="119">
        <f t="shared" si="8"/>
        <v>1.4374999999999999E-2</v>
      </c>
      <c r="O50" s="119">
        <f t="shared" si="3"/>
        <v>7.1874999999999994E-3</v>
      </c>
      <c r="P50" s="120">
        <v>1</v>
      </c>
      <c r="Q50" s="119">
        <f t="shared" si="4"/>
        <v>4.21539321081182E-2</v>
      </c>
      <c r="R50" s="121">
        <v>158822</v>
      </c>
      <c r="S50" s="122">
        <f t="shared" si="7"/>
        <v>40190122</v>
      </c>
      <c r="T50" s="119">
        <v>3450000</v>
      </c>
      <c r="U50" s="119">
        <f t="shared" si="5"/>
        <v>2872266.9962499999</v>
      </c>
      <c r="V50" s="134" t="s">
        <v>45</v>
      </c>
      <c r="W50" s="123"/>
      <c r="X50" s="124">
        <v>0.87</v>
      </c>
      <c r="Y50" s="124" t="s">
        <v>46</v>
      </c>
      <c r="Z50" s="124"/>
      <c r="AA50" s="125">
        <v>0</v>
      </c>
      <c r="AB50" s="126">
        <f t="shared" si="1"/>
        <v>8978.0380552755487</v>
      </c>
      <c r="AC50" s="126">
        <f t="shared" si="6"/>
        <v>0</v>
      </c>
      <c r="AD50" s="127">
        <f t="shared" si="2"/>
        <v>138.17514</v>
      </c>
      <c r="AE50" s="123"/>
    </row>
    <row r="51" spans="1:31" s="112" customFormat="1" x14ac:dyDescent="0.2">
      <c r="A51" s="110" t="s">
        <v>39</v>
      </c>
      <c r="B51" s="114" t="str">
        <f>VLOOKUP(A51,Sheet1!A:B,2,0)</f>
        <v>MODI</v>
      </c>
      <c r="C51" s="115" t="s">
        <v>49</v>
      </c>
      <c r="D51" s="161" t="s">
        <v>50</v>
      </c>
      <c r="E51" s="111" t="s">
        <v>42</v>
      </c>
      <c r="F51" s="111" t="s">
        <v>43</v>
      </c>
      <c r="G51" s="162" t="s">
        <v>44</v>
      </c>
      <c r="H51" s="150">
        <v>2024</v>
      </c>
      <c r="I51" s="116">
        <v>9</v>
      </c>
      <c r="J51" s="117">
        <v>45590</v>
      </c>
      <c r="K51" s="118">
        <v>0.5</v>
      </c>
      <c r="L51" s="119">
        <v>7.2210434624191605E-2</v>
      </c>
      <c r="M51" s="119">
        <v>8.7793767957524901E-2</v>
      </c>
      <c r="N51" s="119">
        <f t="shared" si="8"/>
        <v>1.5583333333333296E-2</v>
      </c>
      <c r="O51" s="119">
        <f t="shared" si="3"/>
        <v>7.7916666666666481E-3</v>
      </c>
      <c r="P51" s="120">
        <v>1</v>
      </c>
      <c r="Q51" s="119">
        <f t="shared" si="4"/>
        <v>7.2210434624191605E-2</v>
      </c>
      <c r="R51" s="121">
        <v>152164</v>
      </c>
      <c r="S51" s="122">
        <f t="shared" si="7"/>
        <v>45465414</v>
      </c>
      <c r="T51" s="119">
        <v>3740000</v>
      </c>
      <c r="U51" s="119">
        <f t="shared" si="5"/>
        <v>3031497.2985000014</v>
      </c>
      <c r="V51" s="134" t="s">
        <v>45</v>
      </c>
      <c r="W51" s="123"/>
      <c r="X51" s="124">
        <v>1.1779999999999999</v>
      </c>
      <c r="Y51" s="124" t="s">
        <v>46</v>
      </c>
      <c r="Z51" s="124"/>
      <c r="AA51" s="125">
        <v>0</v>
      </c>
      <c r="AB51" s="126">
        <f t="shared" si="1"/>
        <v>13359.05090748882</v>
      </c>
      <c r="AC51" s="126">
        <f t="shared" si="6"/>
        <v>0</v>
      </c>
      <c r="AD51" s="127">
        <f t="shared" si="2"/>
        <v>179.24919199999999</v>
      </c>
      <c r="AE51" s="123"/>
    </row>
    <row r="52" spans="1:31" s="112" customFormat="1" x14ac:dyDescent="0.2">
      <c r="A52" s="110" t="s">
        <v>39</v>
      </c>
      <c r="B52" s="114" t="str">
        <f>VLOOKUP(A52,Sheet1!A:B,2,0)</f>
        <v>MODI</v>
      </c>
      <c r="C52" s="128" t="s">
        <v>51</v>
      </c>
      <c r="D52" s="161" t="s">
        <v>52</v>
      </c>
      <c r="E52" s="111" t="s">
        <v>42</v>
      </c>
      <c r="F52" s="111" t="s">
        <v>43</v>
      </c>
      <c r="G52" s="162" t="s">
        <v>44</v>
      </c>
      <c r="H52" s="150">
        <v>2024</v>
      </c>
      <c r="I52" s="116">
        <v>9</v>
      </c>
      <c r="J52" s="117">
        <v>45590</v>
      </c>
      <c r="K52" s="118">
        <v>0.5</v>
      </c>
      <c r="L52" s="119">
        <v>6.6190725348954399E-2</v>
      </c>
      <c r="M52" s="119">
        <v>8.0565725348954398E-2</v>
      </c>
      <c r="N52" s="119">
        <f t="shared" si="8"/>
        <v>1.4374999999999999E-2</v>
      </c>
      <c r="O52" s="119">
        <f t="shared" si="3"/>
        <v>7.1874999999999994E-3</v>
      </c>
      <c r="P52" s="120">
        <v>1</v>
      </c>
      <c r="Q52" s="119">
        <f t="shared" si="4"/>
        <v>6.6190725348954399E-2</v>
      </c>
      <c r="R52" s="121">
        <v>149898</v>
      </c>
      <c r="S52" s="122">
        <f t="shared" si="7"/>
        <v>29670256</v>
      </c>
      <c r="T52" s="119">
        <v>3450000</v>
      </c>
      <c r="U52" s="119">
        <f t="shared" si="5"/>
        <v>3023490.07</v>
      </c>
      <c r="V52" s="134" t="s">
        <v>53</v>
      </c>
      <c r="W52" s="123"/>
      <c r="X52" s="124">
        <v>1.1779999999999999</v>
      </c>
      <c r="Y52" s="124" t="s">
        <v>54</v>
      </c>
      <c r="Z52" s="124"/>
      <c r="AA52" s="125">
        <v>0</v>
      </c>
      <c r="AB52" s="126">
        <f t="shared" si="1"/>
        <v>12076.641098357566</v>
      </c>
      <c r="AC52" s="126">
        <f t="shared" si="6"/>
        <v>0</v>
      </c>
      <c r="AD52" s="127">
        <f t="shared" si="2"/>
        <v>176.57984399999998</v>
      </c>
      <c r="AE52" s="123"/>
    </row>
    <row r="53" spans="1:31" s="112" customFormat="1" x14ac:dyDescent="0.2">
      <c r="A53" s="110" t="s">
        <v>39</v>
      </c>
      <c r="B53" s="114" t="str">
        <f>VLOOKUP(A53,Sheet1!A:B,2,0)</f>
        <v>MODI</v>
      </c>
      <c r="C53" s="115" t="s">
        <v>55</v>
      </c>
      <c r="D53" s="161" t="s">
        <v>56</v>
      </c>
      <c r="E53" s="111" t="s">
        <v>42</v>
      </c>
      <c r="F53" s="111" t="s">
        <v>43</v>
      </c>
      <c r="G53" s="162" t="s">
        <v>44</v>
      </c>
      <c r="H53" s="150">
        <v>2024</v>
      </c>
      <c r="I53" s="116">
        <v>9</v>
      </c>
      <c r="J53" s="117">
        <v>45590</v>
      </c>
      <c r="K53" s="118">
        <v>0.5</v>
      </c>
      <c r="L53" s="119">
        <v>3.8519575097127702E-2</v>
      </c>
      <c r="M53" s="119">
        <v>5.2686241763794397E-2</v>
      </c>
      <c r="N53" s="119">
        <f t="shared" si="8"/>
        <v>1.4166666666666695E-2</v>
      </c>
      <c r="O53" s="119">
        <f t="shared" si="3"/>
        <v>7.0833333333333477E-3</v>
      </c>
      <c r="P53" s="120">
        <v>1</v>
      </c>
      <c r="Q53" s="119">
        <f t="shared" si="4"/>
        <v>3.8519575097127702E-2</v>
      </c>
      <c r="R53" s="121">
        <v>162943</v>
      </c>
      <c r="S53" s="122">
        <f t="shared" si="7"/>
        <v>56288362</v>
      </c>
      <c r="T53" s="119">
        <v>3400000</v>
      </c>
      <c r="U53" s="119">
        <f t="shared" si="5"/>
        <v>2602581.5383333317</v>
      </c>
      <c r="V53" s="134" t="s">
        <v>53</v>
      </c>
      <c r="W53" s="123"/>
      <c r="X53" s="124">
        <v>0.13400000000000001</v>
      </c>
      <c r="Y53" s="124" t="s">
        <v>54</v>
      </c>
      <c r="Z53" s="124"/>
      <c r="AA53" s="125">
        <v>0</v>
      </c>
      <c r="AB53" s="126">
        <f t="shared" si="1"/>
        <v>8584.8542917179511</v>
      </c>
      <c r="AC53" s="126">
        <f t="shared" si="6"/>
        <v>0</v>
      </c>
      <c r="AD53" s="127">
        <f t="shared" si="2"/>
        <v>21.834362000000002</v>
      </c>
      <c r="AE53" s="123"/>
    </row>
    <row r="54" spans="1:31" s="129" customFormat="1" x14ac:dyDescent="0.2">
      <c r="A54" s="110" t="s">
        <v>57</v>
      </c>
      <c r="B54" s="114" t="str">
        <f>VLOOKUP(A54,Sheet1!A:B,2,0)</f>
        <v>RCS DEVICE</v>
      </c>
      <c r="C54" s="110" t="s">
        <v>58</v>
      </c>
      <c r="D54" s="163" t="s">
        <v>59</v>
      </c>
      <c r="E54" s="110" t="s">
        <v>42</v>
      </c>
      <c r="F54" s="110" t="s">
        <v>60</v>
      </c>
      <c r="G54" s="162" t="s">
        <v>44</v>
      </c>
      <c r="H54" s="123">
        <v>2023</v>
      </c>
      <c r="I54" s="116">
        <v>12</v>
      </c>
      <c r="J54" s="117">
        <v>45590</v>
      </c>
      <c r="K54" s="118">
        <v>1</v>
      </c>
      <c r="L54" s="119">
        <v>2.3583408602377398</v>
      </c>
      <c r="M54" s="119">
        <v>2.3583408602377398</v>
      </c>
      <c r="N54" s="119">
        <f t="shared" si="8"/>
        <v>0</v>
      </c>
      <c r="O54" s="119">
        <f t="shared" si="3"/>
        <v>0</v>
      </c>
      <c r="P54" s="120">
        <v>1</v>
      </c>
      <c r="Q54" s="119">
        <f t="shared" si="4"/>
        <v>2.3583408602377398</v>
      </c>
      <c r="R54" s="121">
        <v>3350</v>
      </c>
      <c r="S54" s="122">
        <f>R54</f>
        <v>3350</v>
      </c>
      <c r="T54" s="119">
        <v>0</v>
      </c>
      <c r="U54" s="119">
        <v>0</v>
      </c>
      <c r="V54" s="134" t="s">
        <v>61</v>
      </c>
      <c r="W54" s="123"/>
      <c r="X54" s="124">
        <v>16.260000000000002</v>
      </c>
      <c r="Y54" s="124" t="s">
        <v>62</v>
      </c>
      <c r="Z54" s="124" t="s">
        <v>63</v>
      </c>
      <c r="AA54" s="125">
        <v>1.3080000000000001</v>
      </c>
      <c r="AB54" s="126">
        <f t="shared" si="1"/>
        <v>7900.4418817964288</v>
      </c>
      <c r="AC54" s="126">
        <f t="shared" si="6"/>
        <v>4381.8</v>
      </c>
      <c r="AD54" s="127">
        <f t="shared" si="2"/>
        <v>54.471000000000011</v>
      </c>
      <c r="AE54" s="123"/>
    </row>
    <row r="55" spans="1:31" s="129" customFormat="1" x14ac:dyDescent="0.2">
      <c r="A55" s="110" t="s">
        <v>57</v>
      </c>
      <c r="B55" s="114" t="str">
        <f>VLOOKUP(A55,Sheet1!A:B,2,0)</f>
        <v>RCS DEVICE</v>
      </c>
      <c r="C55" s="110" t="s">
        <v>64</v>
      </c>
      <c r="D55" s="163" t="s">
        <v>65</v>
      </c>
      <c r="E55" s="110" t="s">
        <v>42</v>
      </c>
      <c r="F55" s="110" t="s">
        <v>60</v>
      </c>
      <c r="G55" s="162" t="s">
        <v>44</v>
      </c>
      <c r="H55" s="123">
        <v>2023</v>
      </c>
      <c r="I55" s="116">
        <v>12</v>
      </c>
      <c r="J55" s="117">
        <v>45590</v>
      </c>
      <c r="K55" s="118">
        <v>1</v>
      </c>
      <c r="L55" s="119">
        <v>2.31652727583774</v>
      </c>
      <c r="M55" s="119">
        <v>2.31652727583774</v>
      </c>
      <c r="N55" s="119">
        <f t="shared" si="8"/>
        <v>0</v>
      </c>
      <c r="O55" s="119">
        <f t="shared" si="3"/>
        <v>0</v>
      </c>
      <c r="P55" s="120">
        <v>1</v>
      </c>
      <c r="Q55" s="119">
        <f t="shared" si="4"/>
        <v>2.31652727583774</v>
      </c>
      <c r="R55" s="121">
        <v>3794</v>
      </c>
      <c r="S55" s="122">
        <f>R55</f>
        <v>3794</v>
      </c>
      <c r="T55" s="119">
        <v>0</v>
      </c>
      <c r="U55" s="119">
        <v>0</v>
      </c>
      <c r="V55" s="134" t="s">
        <v>61</v>
      </c>
      <c r="W55" s="123"/>
      <c r="X55" s="124">
        <v>8.3019999999999996</v>
      </c>
      <c r="Y55" s="124" t="s">
        <v>62</v>
      </c>
      <c r="Z55" s="124" t="s">
        <v>63</v>
      </c>
      <c r="AA55" s="125">
        <v>1.4279999999999999</v>
      </c>
      <c r="AB55" s="126">
        <f t="shared" si="1"/>
        <v>8788.9044845283861</v>
      </c>
      <c r="AC55" s="126">
        <f t="shared" si="6"/>
        <v>5417.8319999999994</v>
      </c>
      <c r="AD55" s="127">
        <f t="shared" si="2"/>
        <v>31.497787999999996</v>
      </c>
      <c r="AE55" s="123"/>
    </row>
    <row r="56" spans="1:31" s="129" customFormat="1" x14ac:dyDescent="0.2">
      <c r="A56" s="110" t="s">
        <v>57</v>
      </c>
      <c r="B56" s="114" t="str">
        <f>VLOOKUP(A56,Sheet1!A:B,2,0)</f>
        <v>RCS DEVICE</v>
      </c>
      <c r="C56" s="110" t="s">
        <v>66</v>
      </c>
      <c r="D56" s="163" t="s">
        <v>67</v>
      </c>
      <c r="E56" s="110" t="s">
        <v>42</v>
      </c>
      <c r="F56" s="110" t="s">
        <v>60</v>
      </c>
      <c r="G56" s="162" t="s">
        <v>44</v>
      </c>
      <c r="H56" s="123">
        <v>2023</v>
      </c>
      <c r="I56" s="116">
        <v>12</v>
      </c>
      <c r="J56" s="117">
        <v>45590</v>
      </c>
      <c r="K56" s="118">
        <v>1</v>
      </c>
      <c r="L56" s="119">
        <v>0.37651638011816602</v>
      </c>
      <c r="M56" s="119">
        <v>0.37651638011816602</v>
      </c>
      <c r="N56" s="119">
        <f t="shared" si="8"/>
        <v>0</v>
      </c>
      <c r="O56" s="119">
        <f t="shared" si="3"/>
        <v>0</v>
      </c>
      <c r="P56" s="120">
        <v>1</v>
      </c>
      <c r="Q56" s="119">
        <f t="shared" si="4"/>
        <v>0.37651638011816602</v>
      </c>
      <c r="R56" s="121">
        <v>4036</v>
      </c>
      <c r="S56" s="122">
        <f>R56</f>
        <v>4036</v>
      </c>
      <c r="T56" s="119">
        <v>0</v>
      </c>
      <c r="U56" s="119">
        <v>0</v>
      </c>
      <c r="V56" s="134" t="s">
        <v>61</v>
      </c>
      <c r="W56" s="123"/>
      <c r="X56" s="124">
        <v>0.57199999999999995</v>
      </c>
      <c r="Y56" s="124" t="s">
        <v>62</v>
      </c>
      <c r="Z56" s="124"/>
      <c r="AA56" s="125">
        <v>0</v>
      </c>
      <c r="AB56" s="126">
        <f t="shared" si="1"/>
        <v>1519.6201101569181</v>
      </c>
      <c r="AC56" s="126">
        <f t="shared" si="6"/>
        <v>0</v>
      </c>
      <c r="AD56" s="127">
        <f t="shared" si="2"/>
        <v>2.3085919999999995</v>
      </c>
      <c r="AE56" s="123"/>
    </row>
    <row r="57" spans="1:31" s="129" customFormat="1" x14ac:dyDescent="0.2">
      <c r="A57" s="110" t="s">
        <v>57</v>
      </c>
      <c r="B57" s="114" t="str">
        <f>VLOOKUP(A57,Sheet1!A:B,2,0)</f>
        <v>RCS DEVICE</v>
      </c>
      <c r="C57" s="110" t="s">
        <v>68</v>
      </c>
      <c r="D57" s="163" t="s">
        <v>69</v>
      </c>
      <c r="E57" s="110" t="s">
        <v>42</v>
      </c>
      <c r="F57" s="110" t="s">
        <v>60</v>
      </c>
      <c r="G57" s="162" t="s">
        <v>44</v>
      </c>
      <c r="H57" s="123">
        <v>2023</v>
      </c>
      <c r="I57" s="116">
        <v>12</v>
      </c>
      <c r="J57" s="117">
        <v>45590</v>
      </c>
      <c r="K57" s="118">
        <v>1</v>
      </c>
      <c r="L57" s="119">
        <v>0.37927344911816602</v>
      </c>
      <c r="M57" s="119">
        <v>0.37927344911816602</v>
      </c>
      <c r="N57" s="119">
        <f t="shared" si="8"/>
        <v>0</v>
      </c>
      <c r="O57" s="119">
        <f t="shared" si="3"/>
        <v>0</v>
      </c>
      <c r="P57" s="120">
        <v>1</v>
      </c>
      <c r="Q57" s="119">
        <f t="shared" si="4"/>
        <v>0.37927344911816602</v>
      </c>
      <c r="R57" s="121">
        <v>4000</v>
      </c>
      <c r="S57" s="122">
        <f>R57</f>
        <v>4000</v>
      </c>
      <c r="T57" s="119">
        <v>0</v>
      </c>
      <c r="U57" s="119">
        <v>0</v>
      </c>
      <c r="V57" s="134" t="s">
        <v>70</v>
      </c>
      <c r="W57" s="123"/>
      <c r="X57" s="124">
        <v>1.87</v>
      </c>
      <c r="Y57" s="124" t="s">
        <v>71</v>
      </c>
      <c r="Z57" s="124"/>
      <c r="AA57" s="125">
        <v>0</v>
      </c>
      <c r="AB57" s="126">
        <f t="shared" si="1"/>
        <v>1517.0937964726641</v>
      </c>
      <c r="AC57" s="126">
        <f t="shared" si="6"/>
        <v>0</v>
      </c>
      <c r="AD57" s="127">
        <f t="shared" si="2"/>
        <v>7.48</v>
      </c>
      <c r="AE57" s="123"/>
    </row>
    <row r="58" spans="1:31" s="129" customFormat="1" x14ac:dyDescent="0.2">
      <c r="A58" s="110" t="s">
        <v>57</v>
      </c>
      <c r="B58" s="114" t="str">
        <f>VLOOKUP(A58,Sheet1!A:B,2,0)</f>
        <v>RCS DEVICE</v>
      </c>
      <c r="C58" s="110" t="s">
        <v>58</v>
      </c>
      <c r="D58" s="163" t="s">
        <v>59</v>
      </c>
      <c r="E58" s="110" t="s">
        <v>42</v>
      </c>
      <c r="F58" s="110" t="s">
        <v>60</v>
      </c>
      <c r="G58" s="162" t="s">
        <v>44</v>
      </c>
      <c r="H58" s="123">
        <v>2024</v>
      </c>
      <c r="I58" s="116">
        <v>1</v>
      </c>
      <c r="J58" s="117">
        <v>45590</v>
      </c>
      <c r="K58" s="118">
        <v>1</v>
      </c>
      <c r="L58" s="119">
        <v>2.3583408602377398</v>
      </c>
      <c r="M58" s="119">
        <v>2.3583408602377398</v>
      </c>
      <c r="N58" s="119">
        <f t="shared" si="8"/>
        <v>0</v>
      </c>
      <c r="O58" s="119">
        <f t="shared" si="3"/>
        <v>0</v>
      </c>
      <c r="P58" s="120">
        <v>1</v>
      </c>
      <c r="Q58" s="119">
        <f t="shared" si="4"/>
        <v>2.3583408602377398</v>
      </c>
      <c r="R58" s="121">
        <v>201800</v>
      </c>
      <c r="S58" s="122">
        <f t="shared" ref="S58:S93" si="9">R58+S54</f>
        <v>205150</v>
      </c>
      <c r="T58" s="119">
        <v>0</v>
      </c>
      <c r="U58" s="119">
        <v>0</v>
      </c>
      <c r="V58" s="134" t="s">
        <v>61</v>
      </c>
      <c r="W58" s="123"/>
      <c r="X58" s="124">
        <v>16.260000000000002</v>
      </c>
      <c r="Y58" s="124" t="s">
        <v>62</v>
      </c>
      <c r="Z58" s="124" t="s">
        <v>63</v>
      </c>
      <c r="AA58" s="125">
        <v>1.3080000000000001</v>
      </c>
      <c r="AB58" s="126">
        <f t="shared" si="1"/>
        <v>475913.1855959759</v>
      </c>
      <c r="AC58" s="126">
        <f t="shared" si="6"/>
        <v>263954.40000000002</v>
      </c>
      <c r="AD58" s="127">
        <f t="shared" si="2"/>
        <v>3281.2680000000005</v>
      </c>
      <c r="AE58" s="123"/>
    </row>
    <row r="59" spans="1:31" s="129" customFormat="1" x14ac:dyDescent="0.2">
      <c r="A59" s="110" t="s">
        <v>57</v>
      </c>
      <c r="B59" s="114" t="str">
        <f>VLOOKUP(A59,Sheet1!A:B,2,0)</f>
        <v>RCS DEVICE</v>
      </c>
      <c r="C59" s="110" t="s">
        <v>64</v>
      </c>
      <c r="D59" s="163" t="s">
        <v>65</v>
      </c>
      <c r="E59" s="110" t="s">
        <v>42</v>
      </c>
      <c r="F59" s="110" t="s">
        <v>60</v>
      </c>
      <c r="G59" s="162" t="s">
        <v>44</v>
      </c>
      <c r="H59" s="123">
        <v>2024</v>
      </c>
      <c r="I59" s="116">
        <v>1</v>
      </c>
      <c r="J59" s="117">
        <v>45590</v>
      </c>
      <c r="K59" s="118">
        <v>1</v>
      </c>
      <c r="L59" s="119">
        <v>2.31652727583774</v>
      </c>
      <c r="M59" s="119">
        <v>2.31652727583774</v>
      </c>
      <c r="N59" s="119">
        <f t="shared" si="8"/>
        <v>0</v>
      </c>
      <c r="O59" s="119">
        <f t="shared" si="3"/>
        <v>0</v>
      </c>
      <c r="P59" s="120">
        <v>1</v>
      </c>
      <c r="Q59" s="119">
        <f t="shared" si="4"/>
        <v>2.31652727583774</v>
      </c>
      <c r="R59" s="121">
        <v>182616</v>
      </c>
      <c r="S59" s="122">
        <f t="shared" si="9"/>
        <v>186410</v>
      </c>
      <c r="T59" s="119">
        <v>0</v>
      </c>
      <c r="U59" s="119">
        <v>0</v>
      </c>
      <c r="V59" s="134" t="s">
        <v>61</v>
      </c>
      <c r="W59" s="123"/>
      <c r="X59" s="124">
        <v>8.3019999999999996</v>
      </c>
      <c r="Y59" s="124" t="s">
        <v>62</v>
      </c>
      <c r="Z59" s="124" t="s">
        <v>63</v>
      </c>
      <c r="AA59" s="125">
        <v>1.4279999999999999</v>
      </c>
      <c r="AB59" s="126">
        <f t="shared" si="1"/>
        <v>423034.94500438473</v>
      </c>
      <c r="AC59" s="126">
        <f t="shared" si="6"/>
        <v>260775.64799999999</v>
      </c>
      <c r="AD59" s="127">
        <f t="shared" si="2"/>
        <v>1516.0780319999999</v>
      </c>
      <c r="AE59" s="123"/>
    </row>
    <row r="60" spans="1:31" s="129" customFormat="1" x14ac:dyDescent="0.2">
      <c r="A60" s="110" t="s">
        <v>57</v>
      </c>
      <c r="B60" s="114" t="str">
        <f>VLOOKUP(A60,Sheet1!A:B,2,0)</f>
        <v>RCS DEVICE</v>
      </c>
      <c r="C60" s="110" t="s">
        <v>66</v>
      </c>
      <c r="D60" s="163" t="s">
        <v>67</v>
      </c>
      <c r="E60" s="110" t="s">
        <v>42</v>
      </c>
      <c r="F60" s="110" t="s">
        <v>60</v>
      </c>
      <c r="G60" s="162" t="s">
        <v>44</v>
      </c>
      <c r="H60" s="123">
        <v>2024</v>
      </c>
      <c r="I60" s="116">
        <v>1</v>
      </c>
      <c r="J60" s="117">
        <v>45590</v>
      </c>
      <c r="K60" s="118">
        <v>1</v>
      </c>
      <c r="L60" s="119">
        <v>0.37651638011816602</v>
      </c>
      <c r="M60" s="119">
        <v>0.37651638011816602</v>
      </c>
      <c r="N60" s="119">
        <f t="shared" si="8"/>
        <v>0</v>
      </c>
      <c r="O60" s="119">
        <f t="shared" si="3"/>
        <v>0</v>
      </c>
      <c r="P60" s="120">
        <v>1</v>
      </c>
      <c r="Q60" s="119">
        <f t="shared" si="4"/>
        <v>0.37651638011816602</v>
      </c>
      <c r="R60" s="121">
        <v>185032</v>
      </c>
      <c r="S60" s="122">
        <f t="shared" si="9"/>
        <v>189068</v>
      </c>
      <c r="T60" s="119">
        <v>0</v>
      </c>
      <c r="U60" s="119">
        <v>0</v>
      </c>
      <c r="V60" s="134" t="s">
        <v>61</v>
      </c>
      <c r="W60" s="123"/>
      <c r="X60" s="124">
        <v>0.57199999999999995</v>
      </c>
      <c r="Y60" s="124" t="s">
        <v>62</v>
      </c>
      <c r="Z60" s="124"/>
      <c r="AA60" s="125">
        <v>0</v>
      </c>
      <c r="AB60" s="126">
        <f t="shared" si="1"/>
        <v>69667.578846024495</v>
      </c>
      <c r="AC60" s="126">
        <f t="shared" si="6"/>
        <v>0</v>
      </c>
      <c r="AD60" s="127">
        <f t="shared" si="2"/>
        <v>105.83830399999999</v>
      </c>
      <c r="AE60" s="123"/>
    </row>
    <row r="61" spans="1:31" s="129" customFormat="1" x14ac:dyDescent="0.2">
      <c r="A61" s="110" t="s">
        <v>57</v>
      </c>
      <c r="B61" s="114" t="str">
        <f>VLOOKUP(A61,Sheet1!A:B,2,0)</f>
        <v>RCS DEVICE</v>
      </c>
      <c r="C61" s="110" t="s">
        <v>68</v>
      </c>
      <c r="D61" s="163" t="s">
        <v>69</v>
      </c>
      <c r="E61" s="110" t="s">
        <v>42</v>
      </c>
      <c r="F61" s="110" t="s">
        <v>60</v>
      </c>
      <c r="G61" s="162" t="s">
        <v>44</v>
      </c>
      <c r="H61" s="123">
        <v>2024</v>
      </c>
      <c r="I61" s="116">
        <v>1</v>
      </c>
      <c r="J61" s="117">
        <v>45590</v>
      </c>
      <c r="K61" s="118">
        <v>1</v>
      </c>
      <c r="L61" s="119">
        <v>0.37927344911816602</v>
      </c>
      <c r="M61" s="119">
        <v>0.37927344911816602</v>
      </c>
      <c r="N61" s="119">
        <f t="shared" si="8"/>
        <v>0</v>
      </c>
      <c r="O61" s="119">
        <f t="shared" si="3"/>
        <v>0</v>
      </c>
      <c r="P61" s="120">
        <v>1</v>
      </c>
      <c r="Q61" s="119">
        <f t="shared" si="4"/>
        <v>0.37927344911816602</v>
      </c>
      <c r="R61" s="121">
        <v>286070</v>
      </c>
      <c r="S61" s="122">
        <f t="shared" si="9"/>
        <v>290070</v>
      </c>
      <c r="T61" s="119">
        <v>0</v>
      </c>
      <c r="U61" s="119">
        <v>0</v>
      </c>
      <c r="V61" s="134" t="s">
        <v>70</v>
      </c>
      <c r="W61" s="123"/>
      <c r="X61" s="124">
        <v>1.87</v>
      </c>
      <c r="Y61" s="124" t="s">
        <v>71</v>
      </c>
      <c r="Z61" s="124"/>
      <c r="AA61" s="125">
        <v>0</v>
      </c>
      <c r="AB61" s="126">
        <f t="shared" si="1"/>
        <v>108498.75558923376</v>
      </c>
      <c r="AC61" s="126">
        <f t="shared" si="6"/>
        <v>0</v>
      </c>
      <c r="AD61" s="127">
        <f t="shared" si="2"/>
        <v>534.95090000000005</v>
      </c>
      <c r="AE61" s="123"/>
    </row>
    <row r="62" spans="1:31" s="129" customFormat="1" x14ac:dyDescent="0.2">
      <c r="A62" s="110" t="s">
        <v>57</v>
      </c>
      <c r="B62" s="114" t="str">
        <f>VLOOKUP(A62,Sheet1!A:B,2,0)</f>
        <v>RCS DEVICE</v>
      </c>
      <c r="C62" s="110" t="s">
        <v>58</v>
      </c>
      <c r="D62" s="163" t="s">
        <v>59</v>
      </c>
      <c r="E62" s="110" t="s">
        <v>42</v>
      </c>
      <c r="F62" s="110" t="s">
        <v>60</v>
      </c>
      <c r="G62" s="162" t="s">
        <v>44</v>
      </c>
      <c r="H62" s="123">
        <v>2024</v>
      </c>
      <c r="I62" s="116">
        <v>2</v>
      </c>
      <c r="J62" s="117">
        <v>45590</v>
      </c>
      <c r="K62" s="118">
        <v>1</v>
      </c>
      <c r="L62" s="119">
        <v>2.3583408602377398</v>
      </c>
      <c r="M62" s="119">
        <v>2.3583408602377398</v>
      </c>
      <c r="N62" s="119">
        <f t="shared" si="8"/>
        <v>0</v>
      </c>
      <c r="O62" s="119">
        <f t="shared" si="3"/>
        <v>0</v>
      </c>
      <c r="P62" s="120">
        <v>1</v>
      </c>
      <c r="Q62" s="119">
        <f t="shared" si="4"/>
        <v>2.3583408602377398</v>
      </c>
      <c r="R62" s="121">
        <v>10445</v>
      </c>
      <c r="S62" s="122">
        <f t="shared" si="9"/>
        <v>215595</v>
      </c>
      <c r="T62" s="119">
        <v>0</v>
      </c>
      <c r="U62" s="119">
        <v>0</v>
      </c>
      <c r="V62" s="134" t="s">
        <v>61</v>
      </c>
      <c r="W62" s="123"/>
      <c r="X62" s="124">
        <v>16.260000000000002</v>
      </c>
      <c r="Y62" s="124" t="s">
        <v>62</v>
      </c>
      <c r="Z62" s="124" t="s">
        <v>63</v>
      </c>
      <c r="AA62" s="125">
        <v>1.3080000000000001</v>
      </c>
      <c r="AB62" s="126">
        <f t="shared" si="1"/>
        <v>24632.870285183191</v>
      </c>
      <c r="AC62" s="126">
        <f t="shared" si="6"/>
        <v>13662.060000000001</v>
      </c>
      <c r="AD62" s="127">
        <f t="shared" si="2"/>
        <v>169.8357</v>
      </c>
      <c r="AE62" s="123"/>
    </row>
    <row r="63" spans="1:31" s="129" customFormat="1" x14ac:dyDescent="0.2">
      <c r="A63" s="110" t="s">
        <v>57</v>
      </c>
      <c r="B63" s="114" t="str">
        <f>VLOOKUP(A63,Sheet1!A:B,2,0)</f>
        <v>RCS DEVICE</v>
      </c>
      <c r="C63" s="110" t="s">
        <v>64</v>
      </c>
      <c r="D63" s="163" t="s">
        <v>65</v>
      </c>
      <c r="E63" s="110" t="s">
        <v>42</v>
      </c>
      <c r="F63" s="110" t="s">
        <v>60</v>
      </c>
      <c r="G63" s="162" t="s">
        <v>44</v>
      </c>
      <c r="H63" s="123">
        <v>2024</v>
      </c>
      <c r="I63" s="116">
        <v>2</v>
      </c>
      <c r="J63" s="117">
        <v>45590</v>
      </c>
      <c r="K63" s="118">
        <v>1</v>
      </c>
      <c r="L63" s="119">
        <v>2.31652727583774</v>
      </c>
      <c r="M63" s="119">
        <v>2.31652727583774</v>
      </c>
      <c r="N63" s="119">
        <f t="shared" si="8"/>
        <v>0</v>
      </c>
      <c r="O63" s="119">
        <f t="shared" si="3"/>
        <v>0</v>
      </c>
      <c r="P63" s="120">
        <v>1</v>
      </c>
      <c r="Q63" s="119">
        <f t="shared" si="4"/>
        <v>2.31652727583774</v>
      </c>
      <c r="R63" s="121">
        <v>110305</v>
      </c>
      <c r="S63" s="122">
        <f t="shared" si="9"/>
        <v>296715</v>
      </c>
      <c r="T63" s="119">
        <v>0</v>
      </c>
      <c r="U63" s="119">
        <v>0</v>
      </c>
      <c r="V63" s="134" t="s">
        <v>61</v>
      </c>
      <c r="W63" s="123"/>
      <c r="X63" s="124">
        <v>8.3019999999999996</v>
      </c>
      <c r="Y63" s="124" t="s">
        <v>62</v>
      </c>
      <c r="Z63" s="124" t="s">
        <v>63</v>
      </c>
      <c r="AA63" s="125">
        <v>1.4279999999999999</v>
      </c>
      <c r="AB63" s="126">
        <f t="shared" si="1"/>
        <v>255524.5411612819</v>
      </c>
      <c r="AC63" s="126">
        <f t="shared" si="6"/>
        <v>157515.53999999998</v>
      </c>
      <c r="AD63" s="127">
        <f t="shared" si="2"/>
        <v>915.75211000000002</v>
      </c>
      <c r="AE63" s="123"/>
    </row>
    <row r="64" spans="1:31" s="129" customFormat="1" x14ac:dyDescent="0.2">
      <c r="A64" s="110" t="s">
        <v>57</v>
      </c>
      <c r="B64" s="114" t="str">
        <f>VLOOKUP(A64,Sheet1!A:B,2,0)</f>
        <v>RCS DEVICE</v>
      </c>
      <c r="C64" s="110" t="s">
        <v>66</v>
      </c>
      <c r="D64" s="163" t="s">
        <v>67</v>
      </c>
      <c r="E64" s="110" t="s">
        <v>42</v>
      </c>
      <c r="F64" s="110" t="s">
        <v>60</v>
      </c>
      <c r="G64" s="162" t="s">
        <v>44</v>
      </c>
      <c r="H64" s="123">
        <v>2024</v>
      </c>
      <c r="I64" s="116">
        <v>2</v>
      </c>
      <c r="J64" s="117">
        <v>45590</v>
      </c>
      <c r="K64" s="118">
        <v>1</v>
      </c>
      <c r="L64" s="119">
        <v>0.37651638011816602</v>
      </c>
      <c r="M64" s="119">
        <v>0.37651638011816602</v>
      </c>
      <c r="N64" s="119">
        <f t="shared" si="8"/>
        <v>0</v>
      </c>
      <c r="O64" s="119">
        <f t="shared" si="3"/>
        <v>0</v>
      </c>
      <c r="P64" s="120">
        <v>1</v>
      </c>
      <c r="Q64" s="119">
        <f t="shared" si="4"/>
        <v>0.37651638011816602</v>
      </c>
      <c r="R64" s="121">
        <v>45462</v>
      </c>
      <c r="S64" s="122">
        <f t="shared" si="9"/>
        <v>234530</v>
      </c>
      <c r="T64" s="119">
        <v>0</v>
      </c>
      <c r="U64" s="119">
        <v>0</v>
      </c>
      <c r="V64" s="134" t="s">
        <v>61</v>
      </c>
      <c r="W64" s="123"/>
      <c r="X64" s="124">
        <v>0.57199999999999995</v>
      </c>
      <c r="Y64" s="124" t="s">
        <v>62</v>
      </c>
      <c r="Z64" s="124"/>
      <c r="AA64" s="125">
        <v>0</v>
      </c>
      <c r="AB64" s="126">
        <f t="shared" si="1"/>
        <v>17117.187672932065</v>
      </c>
      <c r="AC64" s="126">
        <f t="shared" si="6"/>
        <v>0</v>
      </c>
      <c r="AD64" s="127">
        <f t="shared" si="2"/>
        <v>26.004263999999999</v>
      </c>
      <c r="AE64" s="123"/>
    </row>
    <row r="65" spans="1:31" s="129" customFormat="1" x14ac:dyDescent="0.2">
      <c r="A65" s="110" t="s">
        <v>57</v>
      </c>
      <c r="B65" s="114" t="str">
        <f>VLOOKUP(A65,Sheet1!A:B,2,0)</f>
        <v>RCS DEVICE</v>
      </c>
      <c r="C65" s="110" t="s">
        <v>68</v>
      </c>
      <c r="D65" s="163" t="s">
        <v>69</v>
      </c>
      <c r="E65" s="110" t="s">
        <v>42</v>
      </c>
      <c r="F65" s="110" t="s">
        <v>60</v>
      </c>
      <c r="G65" s="162" t="s">
        <v>44</v>
      </c>
      <c r="H65" s="123">
        <v>2024</v>
      </c>
      <c r="I65" s="116">
        <v>2</v>
      </c>
      <c r="J65" s="117">
        <v>45590</v>
      </c>
      <c r="K65" s="118">
        <v>1</v>
      </c>
      <c r="L65" s="119">
        <v>0.37927344911816602</v>
      </c>
      <c r="M65" s="119">
        <v>0.37927344911816602</v>
      </c>
      <c r="N65" s="119">
        <f t="shared" si="8"/>
        <v>0</v>
      </c>
      <c r="O65" s="119">
        <f t="shared" si="3"/>
        <v>0</v>
      </c>
      <c r="P65" s="120">
        <v>1</v>
      </c>
      <c r="Q65" s="119">
        <f t="shared" si="4"/>
        <v>0.37927344911816602</v>
      </c>
      <c r="R65" s="121">
        <v>33000</v>
      </c>
      <c r="S65" s="122">
        <f t="shared" si="9"/>
        <v>323070</v>
      </c>
      <c r="T65" s="119">
        <v>0</v>
      </c>
      <c r="U65" s="119">
        <v>0</v>
      </c>
      <c r="V65" s="134" t="s">
        <v>70</v>
      </c>
      <c r="W65" s="123"/>
      <c r="X65" s="124">
        <v>1.87</v>
      </c>
      <c r="Y65" s="124" t="s">
        <v>71</v>
      </c>
      <c r="Z65" s="124"/>
      <c r="AA65" s="125">
        <v>0</v>
      </c>
      <c r="AB65" s="126">
        <f t="shared" si="1"/>
        <v>12516.023820899478</v>
      </c>
      <c r="AC65" s="126">
        <f t="shared" si="6"/>
        <v>0</v>
      </c>
      <c r="AD65" s="127">
        <f t="shared" si="2"/>
        <v>61.71</v>
      </c>
      <c r="AE65" s="123"/>
    </row>
    <row r="66" spans="1:31" s="129" customFormat="1" x14ac:dyDescent="0.2">
      <c r="A66" s="110" t="s">
        <v>57</v>
      </c>
      <c r="B66" s="114" t="str">
        <f>VLOOKUP(A66,Sheet1!A:B,2,0)</f>
        <v>RCS DEVICE</v>
      </c>
      <c r="C66" s="110" t="s">
        <v>58</v>
      </c>
      <c r="D66" s="163" t="s">
        <v>59</v>
      </c>
      <c r="E66" s="110" t="s">
        <v>42</v>
      </c>
      <c r="F66" s="110" t="s">
        <v>60</v>
      </c>
      <c r="G66" s="162" t="s">
        <v>44</v>
      </c>
      <c r="H66" s="123">
        <v>2024</v>
      </c>
      <c r="I66" s="116">
        <v>3</v>
      </c>
      <c r="J66" s="117">
        <v>45590</v>
      </c>
      <c r="K66" s="118">
        <v>1</v>
      </c>
      <c r="L66" s="119">
        <v>2.3583408602377398</v>
      </c>
      <c r="M66" s="119">
        <v>2.3583408602377398</v>
      </c>
      <c r="N66" s="119">
        <f t="shared" si="8"/>
        <v>0</v>
      </c>
      <c r="O66" s="119">
        <f t="shared" si="3"/>
        <v>0</v>
      </c>
      <c r="P66" s="120">
        <v>1</v>
      </c>
      <c r="Q66" s="119">
        <f t="shared" si="4"/>
        <v>2.3583408602377398</v>
      </c>
      <c r="R66" s="121">
        <v>88849</v>
      </c>
      <c r="S66" s="122">
        <f t="shared" si="9"/>
        <v>304444</v>
      </c>
      <c r="T66" s="119">
        <v>0</v>
      </c>
      <c r="U66" s="119">
        <v>0</v>
      </c>
      <c r="V66" s="134" t="s">
        <v>61</v>
      </c>
      <c r="W66" s="123"/>
      <c r="X66" s="124">
        <v>16.260000000000002</v>
      </c>
      <c r="Y66" s="124" t="s">
        <v>62</v>
      </c>
      <c r="Z66" s="124" t="s">
        <v>63</v>
      </c>
      <c r="AA66" s="125">
        <v>1.3080000000000001</v>
      </c>
      <c r="AB66" s="126">
        <f t="shared" si="1"/>
        <v>209536.22709126293</v>
      </c>
      <c r="AC66" s="126">
        <f t="shared" si="6"/>
        <v>116214.492</v>
      </c>
      <c r="AD66" s="127">
        <f t="shared" si="2"/>
        <v>1444.6847400000001</v>
      </c>
      <c r="AE66" s="123"/>
    </row>
    <row r="67" spans="1:31" s="129" customFormat="1" x14ac:dyDescent="0.2">
      <c r="A67" s="110" t="s">
        <v>57</v>
      </c>
      <c r="B67" s="114" t="str">
        <f>VLOOKUP(A67,Sheet1!A:B,2,0)</f>
        <v>RCS DEVICE</v>
      </c>
      <c r="C67" s="110" t="s">
        <v>64</v>
      </c>
      <c r="D67" s="163" t="s">
        <v>65</v>
      </c>
      <c r="E67" s="110" t="s">
        <v>42</v>
      </c>
      <c r="F67" s="110" t="s">
        <v>60</v>
      </c>
      <c r="G67" s="162" t="s">
        <v>44</v>
      </c>
      <c r="H67" s="123">
        <v>2024</v>
      </c>
      <c r="I67" s="116">
        <v>3</v>
      </c>
      <c r="J67" s="117">
        <v>45590</v>
      </c>
      <c r="K67" s="118">
        <v>1</v>
      </c>
      <c r="L67" s="119">
        <v>2.31652727583774</v>
      </c>
      <c r="M67" s="119">
        <v>2.31652727583774</v>
      </c>
      <c r="N67" s="119">
        <f t="shared" si="8"/>
        <v>0</v>
      </c>
      <c r="O67" s="119">
        <f t="shared" si="3"/>
        <v>0</v>
      </c>
      <c r="P67" s="120">
        <v>1</v>
      </c>
      <c r="Q67" s="119">
        <f t="shared" si="4"/>
        <v>2.31652727583774</v>
      </c>
      <c r="R67" s="121">
        <v>23024</v>
      </c>
      <c r="S67" s="122">
        <f t="shared" si="9"/>
        <v>319739</v>
      </c>
      <c r="T67" s="119">
        <v>0</v>
      </c>
      <c r="U67" s="119">
        <v>0</v>
      </c>
      <c r="V67" s="134" t="s">
        <v>61</v>
      </c>
      <c r="W67" s="123"/>
      <c r="X67" s="124">
        <v>8.3019999999999996</v>
      </c>
      <c r="Y67" s="124" t="s">
        <v>62</v>
      </c>
      <c r="Z67" s="124" t="s">
        <v>63</v>
      </c>
      <c r="AA67" s="125">
        <v>1.4279999999999999</v>
      </c>
      <c r="AB67" s="126">
        <f t="shared" si="1"/>
        <v>53335.723998888127</v>
      </c>
      <c r="AC67" s="126">
        <f t="shared" si="6"/>
        <v>32878.271999999997</v>
      </c>
      <c r="AD67" s="127">
        <f t="shared" si="2"/>
        <v>191.14524799999998</v>
      </c>
      <c r="AE67" s="123"/>
    </row>
    <row r="68" spans="1:31" s="129" customFormat="1" x14ac:dyDescent="0.2">
      <c r="A68" s="110" t="s">
        <v>57</v>
      </c>
      <c r="B68" s="114" t="str">
        <f>VLOOKUP(A68,Sheet1!A:B,2,0)</f>
        <v>RCS DEVICE</v>
      </c>
      <c r="C68" s="110" t="s">
        <v>66</v>
      </c>
      <c r="D68" s="163" t="s">
        <v>67</v>
      </c>
      <c r="E68" s="110" t="s">
        <v>42</v>
      </c>
      <c r="F68" s="110" t="s">
        <v>60</v>
      </c>
      <c r="G68" s="162" t="s">
        <v>44</v>
      </c>
      <c r="H68" s="123">
        <v>2024</v>
      </c>
      <c r="I68" s="116">
        <v>3</v>
      </c>
      <c r="J68" s="117">
        <v>45590</v>
      </c>
      <c r="K68" s="118">
        <v>1</v>
      </c>
      <c r="L68" s="119">
        <v>0.37651638011816602</v>
      </c>
      <c r="M68" s="119">
        <v>0.37651638011816602</v>
      </c>
      <c r="N68" s="119">
        <f t="shared" si="8"/>
        <v>0</v>
      </c>
      <c r="O68" s="119">
        <f t="shared" si="3"/>
        <v>0</v>
      </c>
      <c r="P68" s="120">
        <v>1</v>
      </c>
      <c r="Q68" s="119">
        <f t="shared" si="4"/>
        <v>0.37651638011816602</v>
      </c>
      <c r="R68" s="121">
        <v>74845</v>
      </c>
      <c r="S68" s="122">
        <f t="shared" si="9"/>
        <v>309375</v>
      </c>
      <c r="T68" s="119">
        <v>0</v>
      </c>
      <c r="U68" s="119">
        <v>0</v>
      </c>
      <c r="V68" s="134" t="s">
        <v>61</v>
      </c>
      <c r="W68" s="123"/>
      <c r="X68" s="124">
        <v>0.57199999999999995</v>
      </c>
      <c r="Y68" s="124" t="s">
        <v>62</v>
      </c>
      <c r="Z68" s="124"/>
      <c r="AA68" s="125">
        <v>0</v>
      </c>
      <c r="AB68" s="126">
        <f t="shared" ref="AB68:AB131" si="10">M68*R68</f>
        <v>28180.368469944136</v>
      </c>
      <c r="AC68" s="126">
        <f t="shared" si="6"/>
        <v>0</v>
      </c>
      <c r="AD68" s="127">
        <f t="shared" ref="AD68:AD131" si="11">R68*X68/1000</f>
        <v>42.811339999999994</v>
      </c>
      <c r="AE68" s="123"/>
    </row>
    <row r="69" spans="1:31" s="129" customFormat="1" x14ac:dyDescent="0.2">
      <c r="A69" s="110" t="s">
        <v>57</v>
      </c>
      <c r="B69" s="114" t="str">
        <f>VLOOKUP(A69,Sheet1!A:B,2,0)</f>
        <v>RCS DEVICE</v>
      </c>
      <c r="C69" s="110" t="s">
        <v>68</v>
      </c>
      <c r="D69" s="163" t="s">
        <v>69</v>
      </c>
      <c r="E69" s="110" t="s">
        <v>42</v>
      </c>
      <c r="F69" s="110" t="s">
        <v>60</v>
      </c>
      <c r="G69" s="162" t="s">
        <v>44</v>
      </c>
      <c r="H69" s="123">
        <v>2024</v>
      </c>
      <c r="I69" s="116">
        <v>3</v>
      </c>
      <c r="J69" s="117">
        <v>45590</v>
      </c>
      <c r="K69" s="118">
        <v>1</v>
      </c>
      <c r="L69" s="119">
        <v>0.37927344911816602</v>
      </c>
      <c r="M69" s="119">
        <v>0.37927344911816602</v>
      </c>
      <c r="N69" s="119">
        <f t="shared" si="8"/>
        <v>0</v>
      </c>
      <c r="O69" s="119">
        <f t="shared" ref="O69:O132" si="12">N69*K69</f>
        <v>0</v>
      </c>
      <c r="P69" s="120">
        <v>1</v>
      </c>
      <c r="Q69" s="119">
        <f t="shared" ref="Q69:Q132" si="13">P69*L69</f>
        <v>0.37927344911816602</v>
      </c>
      <c r="R69" s="121">
        <v>0</v>
      </c>
      <c r="S69" s="122">
        <f t="shared" si="9"/>
        <v>323070</v>
      </c>
      <c r="T69" s="119">
        <v>0</v>
      </c>
      <c r="U69" s="119">
        <v>0</v>
      </c>
      <c r="V69" s="134" t="s">
        <v>70</v>
      </c>
      <c r="W69" s="123"/>
      <c r="X69" s="124">
        <v>1.87</v>
      </c>
      <c r="Y69" s="124" t="s">
        <v>71</v>
      </c>
      <c r="Z69" s="124"/>
      <c r="AA69" s="125">
        <v>0</v>
      </c>
      <c r="AB69" s="126">
        <f t="shared" si="10"/>
        <v>0</v>
      </c>
      <c r="AC69" s="126">
        <f t="shared" ref="AC69:AC132" si="14">R69*AA69</f>
        <v>0</v>
      </c>
      <c r="AD69" s="127">
        <f t="shared" si="11"/>
        <v>0</v>
      </c>
      <c r="AE69" s="123"/>
    </row>
    <row r="70" spans="1:31" s="129" customFormat="1" x14ac:dyDescent="0.2">
      <c r="A70" s="110" t="s">
        <v>57</v>
      </c>
      <c r="B70" s="114" t="str">
        <f>VLOOKUP(A70,Sheet1!A:B,2,0)</f>
        <v>RCS DEVICE</v>
      </c>
      <c r="C70" s="110" t="s">
        <v>58</v>
      </c>
      <c r="D70" s="163" t="s">
        <v>59</v>
      </c>
      <c r="E70" s="110" t="s">
        <v>42</v>
      </c>
      <c r="F70" s="110" t="s">
        <v>60</v>
      </c>
      <c r="G70" s="162" t="s">
        <v>44</v>
      </c>
      <c r="H70" s="123">
        <v>2024</v>
      </c>
      <c r="I70" s="116">
        <v>4</v>
      </c>
      <c r="J70" s="117">
        <v>45590</v>
      </c>
      <c r="K70" s="118">
        <v>1</v>
      </c>
      <c r="L70" s="119">
        <v>2.3583408602377398</v>
      </c>
      <c r="M70" s="119">
        <v>2.3583408602377398</v>
      </c>
      <c r="N70" s="119">
        <f t="shared" si="8"/>
        <v>0</v>
      </c>
      <c r="O70" s="119">
        <f t="shared" si="12"/>
        <v>0</v>
      </c>
      <c r="P70" s="120">
        <v>1</v>
      </c>
      <c r="Q70" s="119">
        <f t="shared" si="13"/>
        <v>2.3583408602377398</v>
      </c>
      <c r="R70" s="121">
        <v>0</v>
      </c>
      <c r="S70" s="122">
        <f t="shared" si="9"/>
        <v>304444</v>
      </c>
      <c r="T70" s="119">
        <v>0</v>
      </c>
      <c r="U70" s="119">
        <v>0</v>
      </c>
      <c r="V70" s="134" t="s">
        <v>61</v>
      </c>
      <c r="W70" s="123"/>
      <c r="X70" s="124">
        <v>16.260000000000002</v>
      </c>
      <c r="Y70" s="124" t="s">
        <v>62</v>
      </c>
      <c r="Z70" s="124" t="s">
        <v>63</v>
      </c>
      <c r="AA70" s="125">
        <v>1.3080000000000001</v>
      </c>
      <c r="AB70" s="126">
        <f t="shared" si="10"/>
        <v>0</v>
      </c>
      <c r="AC70" s="126">
        <f t="shared" si="14"/>
        <v>0</v>
      </c>
      <c r="AD70" s="127">
        <f t="shared" si="11"/>
        <v>0</v>
      </c>
      <c r="AE70" s="123"/>
    </row>
    <row r="71" spans="1:31" s="129" customFormat="1" x14ac:dyDescent="0.2">
      <c r="A71" s="110" t="s">
        <v>57</v>
      </c>
      <c r="B71" s="114" t="str">
        <f>VLOOKUP(A71,Sheet1!A:B,2,0)</f>
        <v>RCS DEVICE</v>
      </c>
      <c r="C71" s="110" t="s">
        <v>64</v>
      </c>
      <c r="D71" s="163" t="s">
        <v>65</v>
      </c>
      <c r="E71" s="110" t="s">
        <v>42</v>
      </c>
      <c r="F71" s="110" t="s">
        <v>60</v>
      </c>
      <c r="G71" s="162" t="s">
        <v>44</v>
      </c>
      <c r="H71" s="123">
        <v>2024</v>
      </c>
      <c r="I71" s="116">
        <v>4</v>
      </c>
      <c r="J71" s="117">
        <v>45590</v>
      </c>
      <c r="K71" s="118">
        <v>1</v>
      </c>
      <c r="L71" s="119">
        <v>2.31652727583774</v>
      </c>
      <c r="M71" s="119">
        <v>2.31652727583774</v>
      </c>
      <c r="N71" s="119">
        <f t="shared" si="8"/>
        <v>0</v>
      </c>
      <c r="O71" s="119">
        <f t="shared" si="12"/>
        <v>0</v>
      </c>
      <c r="P71" s="120">
        <v>1</v>
      </c>
      <c r="Q71" s="119">
        <f t="shared" si="13"/>
        <v>2.31652727583774</v>
      </c>
      <c r="R71" s="121">
        <v>0</v>
      </c>
      <c r="S71" s="122">
        <f t="shared" si="9"/>
        <v>319739</v>
      </c>
      <c r="T71" s="119">
        <v>0</v>
      </c>
      <c r="U71" s="119">
        <v>0</v>
      </c>
      <c r="V71" s="134" t="s">
        <v>61</v>
      </c>
      <c r="W71" s="123"/>
      <c r="X71" s="124">
        <v>8.3019999999999996</v>
      </c>
      <c r="Y71" s="124" t="s">
        <v>62</v>
      </c>
      <c r="Z71" s="124" t="s">
        <v>63</v>
      </c>
      <c r="AA71" s="125">
        <v>1.4279999999999999</v>
      </c>
      <c r="AB71" s="126">
        <f t="shared" si="10"/>
        <v>0</v>
      </c>
      <c r="AC71" s="126">
        <f t="shared" si="14"/>
        <v>0</v>
      </c>
      <c r="AD71" s="127">
        <f t="shared" si="11"/>
        <v>0</v>
      </c>
      <c r="AE71" s="123"/>
    </row>
    <row r="72" spans="1:31" s="129" customFormat="1" x14ac:dyDescent="0.2">
      <c r="A72" s="110" t="s">
        <v>57</v>
      </c>
      <c r="B72" s="114" t="str">
        <f>VLOOKUP(A72,Sheet1!A:B,2,0)</f>
        <v>RCS DEVICE</v>
      </c>
      <c r="C72" s="110" t="s">
        <v>66</v>
      </c>
      <c r="D72" s="163" t="s">
        <v>67</v>
      </c>
      <c r="E72" s="110" t="s">
        <v>42</v>
      </c>
      <c r="F72" s="110" t="s">
        <v>60</v>
      </c>
      <c r="G72" s="162" t="s">
        <v>44</v>
      </c>
      <c r="H72" s="123">
        <v>2024</v>
      </c>
      <c r="I72" s="116">
        <v>4</v>
      </c>
      <c r="J72" s="117">
        <v>45590</v>
      </c>
      <c r="K72" s="118">
        <v>1</v>
      </c>
      <c r="L72" s="119">
        <v>0.37651638011816602</v>
      </c>
      <c r="M72" s="119">
        <v>0.37651638011816602</v>
      </c>
      <c r="N72" s="119">
        <f t="shared" si="8"/>
        <v>0</v>
      </c>
      <c r="O72" s="119">
        <f t="shared" si="12"/>
        <v>0</v>
      </c>
      <c r="P72" s="120">
        <v>1</v>
      </c>
      <c r="Q72" s="119">
        <f t="shared" si="13"/>
        <v>0.37651638011816602</v>
      </c>
      <c r="R72" s="121">
        <v>0</v>
      </c>
      <c r="S72" s="122">
        <f t="shared" si="9"/>
        <v>309375</v>
      </c>
      <c r="T72" s="119">
        <v>0</v>
      </c>
      <c r="U72" s="119">
        <v>0</v>
      </c>
      <c r="V72" s="134" t="s">
        <v>61</v>
      </c>
      <c r="W72" s="123"/>
      <c r="X72" s="124">
        <v>0.57199999999999995</v>
      </c>
      <c r="Y72" s="124" t="s">
        <v>62</v>
      </c>
      <c r="Z72" s="124"/>
      <c r="AA72" s="125">
        <v>0</v>
      </c>
      <c r="AB72" s="126">
        <f t="shared" si="10"/>
        <v>0</v>
      </c>
      <c r="AC72" s="126">
        <f t="shared" si="14"/>
        <v>0</v>
      </c>
      <c r="AD72" s="127">
        <f t="shared" si="11"/>
        <v>0</v>
      </c>
      <c r="AE72" s="123"/>
    </row>
    <row r="73" spans="1:31" s="129" customFormat="1" x14ac:dyDescent="0.2">
      <c r="A73" s="110" t="s">
        <v>57</v>
      </c>
      <c r="B73" s="114" t="str">
        <f>VLOOKUP(A73,Sheet1!A:B,2,0)</f>
        <v>RCS DEVICE</v>
      </c>
      <c r="C73" s="110" t="s">
        <v>68</v>
      </c>
      <c r="D73" s="163" t="s">
        <v>69</v>
      </c>
      <c r="E73" s="110" t="s">
        <v>42</v>
      </c>
      <c r="F73" s="110" t="s">
        <v>60</v>
      </c>
      <c r="G73" s="162" t="s">
        <v>44</v>
      </c>
      <c r="H73" s="123">
        <v>2024</v>
      </c>
      <c r="I73" s="116">
        <v>4</v>
      </c>
      <c r="J73" s="117">
        <v>45590</v>
      </c>
      <c r="K73" s="118">
        <v>1</v>
      </c>
      <c r="L73" s="119">
        <v>0.37927344911816602</v>
      </c>
      <c r="M73" s="119">
        <v>0.37927344911816602</v>
      </c>
      <c r="N73" s="119">
        <f t="shared" si="8"/>
        <v>0</v>
      </c>
      <c r="O73" s="119">
        <f t="shared" si="12"/>
        <v>0</v>
      </c>
      <c r="P73" s="120">
        <v>1</v>
      </c>
      <c r="Q73" s="119">
        <f t="shared" si="13"/>
        <v>0.37927344911816602</v>
      </c>
      <c r="R73" s="121">
        <v>0</v>
      </c>
      <c r="S73" s="122">
        <f t="shared" si="9"/>
        <v>323070</v>
      </c>
      <c r="T73" s="119">
        <v>0</v>
      </c>
      <c r="U73" s="119">
        <v>0</v>
      </c>
      <c r="V73" s="134" t="s">
        <v>70</v>
      </c>
      <c r="W73" s="123"/>
      <c r="X73" s="124">
        <v>1.87</v>
      </c>
      <c r="Y73" s="124" t="s">
        <v>71</v>
      </c>
      <c r="Z73" s="124"/>
      <c r="AA73" s="125">
        <v>0</v>
      </c>
      <c r="AB73" s="126">
        <f t="shared" si="10"/>
        <v>0</v>
      </c>
      <c r="AC73" s="126">
        <f t="shared" si="14"/>
        <v>0</v>
      </c>
      <c r="AD73" s="127">
        <f t="shared" si="11"/>
        <v>0</v>
      </c>
      <c r="AE73" s="123"/>
    </row>
    <row r="74" spans="1:31" s="129" customFormat="1" x14ac:dyDescent="0.2">
      <c r="A74" s="110" t="s">
        <v>57</v>
      </c>
      <c r="B74" s="114" t="str">
        <f>VLOOKUP(A74,Sheet1!A:B,2,0)</f>
        <v>RCS DEVICE</v>
      </c>
      <c r="C74" s="110" t="s">
        <v>58</v>
      </c>
      <c r="D74" s="163" t="s">
        <v>59</v>
      </c>
      <c r="E74" s="110" t="s">
        <v>42</v>
      </c>
      <c r="F74" s="110" t="s">
        <v>60</v>
      </c>
      <c r="G74" s="162" t="s">
        <v>44</v>
      </c>
      <c r="H74" s="123">
        <v>2024</v>
      </c>
      <c r="I74" s="116">
        <v>5</v>
      </c>
      <c r="J74" s="117">
        <v>45590</v>
      </c>
      <c r="K74" s="118">
        <v>1</v>
      </c>
      <c r="L74" s="119">
        <v>2.3583408602377398</v>
      </c>
      <c r="M74" s="119">
        <v>2.3583408602377398</v>
      </c>
      <c r="N74" s="119">
        <f t="shared" si="8"/>
        <v>0</v>
      </c>
      <c r="O74" s="119">
        <f t="shared" si="12"/>
        <v>0</v>
      </c>
      <c r="P74" s="120">
        <v>1</v>
      </c>
      <c r="Q74" s="119">
        <f t="shared" si="13"/>
        <v>2.3583408602377398</v>
      </c>
      <c r="R74" s="121">
        <v>169904</v>
      </c>
      <c r="S74" s="122">
        <f t="shared" si="9"/>
        <v>474348</v>
      </c>
      <c r="T74" s="119">
        <v>0</v>
      </c>
      <c r="U74" s="119">
        <v>0</v>
      </c>
      <c r="V74" s="134" t="s">
        <v>61</v>
      </c>
      <c r="W74" s="123"/>
      <c r="X74" s="124">
        <v>16.260000000000002</v>
      </c>
      <c r="Y74" s="124" t="s">
        <v>62</v>
      </c>
      <c r="Z74" s="124" t="s">
        <v>63</v>
      </c>
      <c r="AA74" s="125">
        <v>1.3080000000000001</v>
      </c>
      <c r="AB74" s="126">
        <f t="shared" si="10"/>
        <v>400691.54551783297</v>
      </c>
      <c r="AC74" s="126">
        <f t="shared" si="14"/>
        <v>222234.432</v>
      </c>
      <c r="AD74" s="127">
        <f t="shared" si="11"/>
        <v>2762.63904</v>
      </c>
      <c r="AE74" s="123"/>
    </row>
    <row r="75" spans="1:31" s="129" customFormat="1" x14ac:dyDescent="0.2">
      <c r="A75" s="110" t="s">
        <v>57</v>
      </c>
      <c r="B75" s="114" t="str">
        <f>VLOOKUP(A75,Sheet1!A:B,2,0)</f>
        <v>RCS DEVICE</v>
      </c>
      <c r="C75" s="110" t="s">
        <v>64</v>
      </c>
      <c r="D75" s="163" t="s">
        <v>65</v>
      </c>
      <c r="E75" s="110" t="s">
        <v>42</v>
      </c>
      <c r="F75" s="110" t="s">
        <v>60</v>
      </c>
      <c r="G75" s="162" t="s">
        <v>44</v>
      </c>
      <c r="H75" s="123">
        <v>2024</v>
      </c>
      <c r="I75" s="116">
        <v>5</v>
      </c>
      <c r="J75" s="117">
        <v>45590</v>
      </c>
      <c r="K75" s="118">
        <v>1</v>
      </c>
      <c r="L75" s="119">
        <v>2.31652727583774</v>
      </c>
      <c r="M75" s="119">
        <v>2.31652727583774</v>
      </c>
      <c r="N75" s="119">
        <f t="shared" si="8"/>
        <v>0</v>
      </c>
      <c r="O75" s="119">
        <f t="shared" si="12"/>
        <v>0</v>
      </c>
      <c r="P75" s="120">
        <v>1</v>
      </c>
      <c r="Q75" s="119">
        <f t="shared" si="13"/>
        <v>2.31652727583774</v>
      </c>
      <c r="R75" s="121">
        <v>199544</v>
      </c>
      <c r="S75" s="122">
        <f t="shared" si="9"/>
        <v>519283</v>
      </c>
      <c r="T75" s="119">
        <v>0</v>
      </c>
      <c r="U75" s="119">
        <v>0</v>
      </c>
      <c r="V75" s="134" t="s">
        <v>61</v>
      </c>
      <c r="W75" s="123"/>
      <c r="X75" s="124">
        <v>8.3019999999999996</v>
      </c>
      <c r="Y75" s="124" t="s">
        <v>62</v>
      </c>
      <c r="Z75" s="124" t="s">
        <v>63</v>
      </c>
      <c r="AA75" s="125">
        <v>1.4279999999999999</v>
      </c>
      <c r="AB75" s="126">
        <f t="shared" si="10"/>
        <v>462249.11872976599</v>
      </c>
      <c r="AC75" s="126">
        <f t="shared" si="14"/>
        <v>284948.83199999999</v>
      </c>
      <c r="AD75" s="127">
        <f t="shared" si="11"/>
        <v>1656.614288</v>
      </c>
      <c r="AE75" s="123"/>
    </row>
    <row r="76" spans="1:31" s="129" customFormat="1" x14ac:dyDescent="0.2">
      <c r="A76" s="110" t="s">
        <v>57</v>
      </c>
      <c r="B76" s="114" t="str">
        <f>VLOOKUP(A76,Sheet1!A:B,2,0)</f>
        <v>RCS DEVICE</v>
      </c>
      <c r="C76" s="110" t="s">
        <v>66</v>
      </c>
      <c r="D76" s="163" t="s">
        <v>67</v>
      </c>
      <c r="E76" s="110" t="s">
        <v>42</v>
      </c>
      <c r="F76" s="110" t="s">
        <v>60</v>
      </c>
      <c r="G76" s="162" t="s">
        <v>44</v>
      </c>
      <c r="H76" s="123">
        <v>2024</v>
      </c>
      <c r="I76" s="116">
        <v>5</v>
      </c>
      <c r="J76" s="117">
        <v>45590</v>
      </c>
      <c r="K76" s="118">
        <v>1</v>
      </c>
      <c r="L76" s="119">
        <v>0.37651638011816602</v>
      </c>
      <c r="M76" s="119">
        <v>0.37651638011816602</v>
      </c>
      <c r="N76" s="119">
        <f t="shared" si="8"/>
        <v>0</v>
      </c>
      <c r="O76" s="119">
        <f t="shared" si="12"/>
        <v>0</v>
      </c>
      <c r="P76" s="120">
        <v>1</v>
      </c>
      <c r="Q76" s="119">
        <f t="shared" si="13"/>
        <v>0.37651638011816602</v>
      </c>
      <c r="R76" s="121">
        <v>191283</v>
      </c>
      <c r="S76" s="122">
        <f t="shared" si="9"/>
        <v>500658</v>
      </c>
      <c r="T76" s="119">
        <v>0</v>
      </c>
      <c r="U76" s="119">
        <v>0</v>
      </c>
      <c r="V76" s="134" t="s">
        <v>61</v>
      </c>
      <c r="W76" s="123"/>
      <c r="X76" s="124">
        <v>0.57199999999999995</v>
      </c>
      <c r="Y76" s="124" t="s">
        <v>62</v>
      </c>
      <c r="Z76" s="124"/>
      <c r="AA76" s="125">
        <v>0</v>
      </c>
      <c r="AB76" s="126">
        <f t="shared" si="10"/>
        <v>72021.18273814315</v>
      </c>
      <c r="AC76" s="126">
        <f t="shared" si="14"/>
        <v>0</v>
      </c>
      <c r="AD76" s="127">
        <f t="shared" si="11"/>
        <v>109.41387599999999</v>
      </c>
      <c r="AE76" s="123"/>
    </row>
    <row r="77" spans="1:31" s="129" customFormat="1" x14ac:dyDescent="0.2">
      <c r="A77" s="110" t="s">
        <v>57</v>
      </c>
      <c r="B77" s="114" t="str">
        <f>VLOOKUP(A77,Sheet1!A:B,2,0)</f>
        <v>RCS DEVICE</v>
      </c>
      <c r="C77" s="110" t="s">
        <v>68</v>
      </c>
      <c r="D77" s="163" t="s">
        <v>69</v>
      </c>
      <c r="E77" s="110" t="s">
        <v>42</v>
      </c>
      <c r="F77" s="110" t="s">
        <v>60</v>
      </c>
      <c r="G77" s="162" t="s">
        <v>44</v>
      </c>
      <c r="H77" s="123">
        <v>2024</v>
      </c>
      <c r="I77" s="116">
        <v>5</v>
      </c>
      <c r="J77" s="117">
        <v>45590</v>
      </c>
      <c r="K77" s="118">
        <v>1</v>
      </c>
      <c r="L77" s="119">
        <v>0.37927344911816602</v>
      </c>
      <c r="M77" s="119">
        <v>0.37927344911816602</v>
      </c>
      <c r="N77" s="119">
        <f t="shared" si="8"/>
        <v>0</v>
      </c>
      <c r="O77" s="119">
        <f t="shared" si="12"/>
        <v>0</v>
      </c>
      <c r="P77" s="120">
        <v>1</v>
      </c>
      <c r="Q77" s="119">
        <f t="shared" si="13"/>
        <v>0.37927344911816602</v>
      </c>
      <c r="R77" s="121">
        <v>292000</v>
      </c>
      <c r="S77" s="122">
        <f t="shared" si="9"/>
        <v>615070</v>
      </c>
      <c r="T77" s="119">
        <v>0</v>
      </c>
      <c r="U77" s="119">
        <v>0</v>
      </c>
      <c r="V77" s="134" t="s">
        <v>70</v>
      </c>
      <c r="W77" s="123"/>
      <c r="X77" s="124">
        <v>1.87</v>
      </c>
      <c r="Y77" s="124" t="s">
        <v>71</v>
      </c>
      <c r="Z77" s="124"/>
      <c r="AA77" s="125">
        <v>0</v>
      </c>
      <c r="AB77" s="126">
        <f t="shared" si="10"/>
        <v>110747.84714250447</v>
      </c>
      <c r="AC77" s="126">
        <f t="shared" si="14"/>
        <v>0</v>
      </c>
      <c r="AD77" s="127">
        <f t="shared" si="11"/>
        <v>546.04</v>
      </c>
      <c r="AE77" s="123"/>
    </row>
    <row r="78" spans="1:31" s="129" customFormat="1" x14ac:dyDescent="0.2">
      <c r="A78" s="110" t="s">
        <v>57</v>
      </c>
      <c r="B78" s="114" t="str">
        <f>VLOOKUP(A78,Sheet1!A:B,2,0)</f>
        <v>RCS DEVICE</v>
      </c>
      <c r="C78" s="110" t="s">
        <v>58</v>
      </c>
      <c r="D78" s="163" t="s">
        <v>59</v>
      </c>
      <c r="E78" s="110" t="s">
        <v>42</v>
      </c>
      <c r="F78" s="110" t="s">
        <v>60</v>
      </c>
      <c r="G78" s="162" t="s">
        <v>44</v>
      </c>
      <c r="H78" s="123">
        <v>2024</v>
      </c>
      <c r="I78" s="116">
        <v>6</v>
      </c>
      <c r="J78" s="117">
        <v>45590</v>
      </c>
      <c r="K78" s="118">
        <v>1</v>
      </c>
      <c r="L78" s="119">
        <v>2.3583408602377398</v>
      </c>
      <c r="M78" s="119">
        <v>2.3583408602377398</v>
      </c>
      <c r="N78" s="119">
        <f t="shared" si="8"/>
        <v>0</v>
      </c>
      <c r="O78" s="119">
        <f t="shared" si="12"/>
        <v>0</v>
      </c>
      <c r="P78" s="120">
        <v>1</v>
      </c>
      <c r="Q78" s="119">
        <f t="shared" si="13"/>
        <v>2.3583408602377398</v>
      </c>
      <c r="R78" s="121">
        <v>92599</v>
      </c>
      <c r="S78" s="122">
        <f t="shared" si="9"/>
        <v>566947</v>
      </c>
      <c r="T78" s="119">
        <v>0</v>
      </c>
      <c r="U78" s="119">
        <v>0</v>
      </c>
      <c r="V78" s="134" t="s">
        <v>61</v>
      </c>
      <c r="W78" s="123"/>
      <c r="X78" s="124">
        <v>16.260000000000002</v>
      </c>
      <c r="Y78" s="124" t="s">
        <v>62</v>
      </c>
      <c r="Z78" s="124" t="s">
        <v>63</v>
      </c>
      <c r="AA78" s="125">
        <v>1.3080000000000001</v>
      </c>
      <c r="AB78" s="126">
        <f t="shared" si="10"/>
        <v>218380.00531715446</v>
      </c>
      <c r="AC78" s="126">
        <f t="shared" si="14"/>
        <v>121119.492</v>
      </c>
      <c r="AD78" s="127">
        <f t="shared" si="11"/>
        <v>1505.6597400000003</v>
      </c>
      <c r="AE78" s="123"/>
    </row>
    <row r="79" spans="1:31" s="129" customFormat="1" x14ac:dyDescent="0.2">
      <c r="A79" s="110" t="s">
        <v>57</v>
      </c>
      <c r="B79" s="114" t="str">
        <f>VLOOKUP(A79,Sheet1!A:B,2,0)</f>
        <v>RCS DEVICE</v>
      </c>
      <c r="C79" s="110" t="s">
        <v>64</v>
      </c>
      <c r="D79" s="163" t="s">
        <v>65</v>
      </c>
      <c r="E79" s="110" t="s">
        <v>42</v>
      </c>
      <c r="F79" s="110" t="s">
        <v>60</v>
      </c>
      <c r="G79" s="162" t="s">
        <v>44</v>
      </c>
      <c r="H79" s="123">
        <v>2024</v>
      </c>
      <c r="I79" s="116">
        <v>6</v>
      </c>
      <c r="J79" s="117">
        <v>45590</v>
      </c>
      <c r="K79" s="118">
        <v>1</v>
      </c>
      <c r="L79" s="119">
        <v>2.31652727583774</v>
      </c>
      <c r="M79" s="119">
        <v>2.31652727583774</v>
      </c>
      <c r="N79" s="119">
        <f t="shared" si="8"/>
        <v>0</v>
      </c>
      <c r="O79" s="119">
        <f t="shared" si="12"/>
        <v>0</v>
      </c>
      <c r="P79" s="120">
        <v>1</v>
      </c>
      <c r="Q79" s="119">
        <f t="shared" si="13"/>
        <v>2.31652727583774</v>
      </c>
      <c r="R79" s="121">
        <v>132609</v>
      </c>
      <c r="S79" s="122">
        <f t="shared" si="9"/>
        <v>651892</v>
      </c>
      <c r="T79" s="119">
        <v>0</v>
      </c>
      <c r="U79" s="119">
        <v>0</v>
      </c>
      <c r="V79" s="134" t="s">
        <v>61</v>
      </c>
      <c r="W79" s="123"/>
      <c r="X79" s="124">
        <v>8.3019999999999996</v>
      </c>
      <c r="Y79" s="124" t="s">
        <v>62</v>
      </c>
      <c r="Z79" s="124" t="s">
        <v>63</v>
      </c>
      <c r="AA79" s="125">
        <v>1.4279999999999999</v>
      </c>
      <c r="AB79" s="126">
        <f t="shared" si="10"/>
        <v>307192.36552156688</v>
      </c>
      <c r="AC79" s="126">
        <f t="shared" si="14"/>
        <v>189365.652</v>
      </c>
      <c r="AD79" s="127">
        <f t="shared" si="11"/>
        <v>1100.9199180000001</v>
      </c>
      <c r="AE79" s="123"/>
    </row>
    <row r="80" spans="1:31" s="129" customFormat="1" x14ac:dyDescent="0.2">
      <c r="A80" s="110" t="s">
        <v>57</v>
      </c>
      <c r="B80" s="114" t="str">
        <f>VLOOKUP(A80,Sheet1!A:B,2,0)</f>
        <v>RCS DEVICE</v>
      </c>
      <c r="C80" s="110" t="s">
        <v>66</v>
      </c>
      <c r="D80" s="163" t="s">
        <v>67</v>
      </c>
      <c r="E80" s="110" t="s">
        <v>42</v>
      </c>
      <c r="F80" s="110" t="s">
        <v>60</v>
      </c>
      <c r="G80" s="162" t="s">
        <v>44</v>
      </c>
      <c r="H80" s="123">
        <v>2024</v>
      </c>
      <c r="I80" s="116">
        <v>6</v>
      </c>
      <c r="J80" s="117">
        <v>45590</v>
      </c>
      <c r="K80" s="118">
        <v>1</v>
      </c>
      <c r="L80" s="119">
        <v>0.37651638011816602</v>
      </c>
      <c r="M80" s="119">
        <v>0.37651638011816602</v>
      </c>
      <c r="N80" s="119">
        <f t="shared" si="8"/>
        <v>0</v>
      </c>
      <c r="O80" s="119">
        <f t="shared" si="12"/>
        <v>0</v>
      </c>
      <c r="P80" s="120">
        <v>1</v>
      </c>
      <c r="Q80" s="119">
        <f t="shared" si="13"/>
        <v>0.37651638011816602</v>
      </c>
      <c r="R80" s="121">
        <v>118241</v>
      </c>
      <c r="S80" s="122">
        <f t="shared" si="9"/>
        <v>618899</v>
      </c>
      <c r="T80" s="119">
        <v>0</v>
      </c>
      <c r="U80" s="119">
        <v>0</v>
      </c>
      <c r="V80" s="134" t="s">
        <v>61</v>
      </c>
      <c r="W80" s="123"/>
      <c r="X80" s="124">
        <v>0.57199999999999995</v>
      </c>
      <c r="Y80" s="124" t="s">
        <v>62</v>
      </c>
      <c r="Z80" s="124"/>
      <c r="AA80" s="125">
        <v>0</v>
      </c>
      <c r="AB80" s="126">
        <f t="shared" si="10"/>
        <v>44519.673301552066</v>
      </c>
      <c r="AC80" s="126">
        <f t="shared" si="14"/>
        <v>0</v>
      </c>
      <c r="AD80" s="127">
        <f t="shared" si="11"/>
        <v>67.633852000000005</v>
      </c>
      <c r="AE80" s="123"/>
    </row>
    <row r="81" spans="1:31" s="129" customFormat="1" x14ac:dyDescent="0.2">
      <c r="A81" s="110" t="s">
        <v>57</v>
      </c>
      <c r="B81" s="114" t="str">
        <f>VLOOKUP(A81,Sheet1!A:B,2,0)</f>
        <v>RCS DEVICE</v>
      </c>
      <c r="C81" s="110" t="s">
        <v>68</v>
      </c>
      <c r="D81" s="163" t="s">
        <v>69</v>
      </c>
      <c r="E81" s="110" t="s">
        <v>42</v>
      </c>
      <c r="F81" s="110" t="s">
        <v>60</v>
      </c>
      <c r="G81" s="162" t="s">
        <v>44</v>
      </c>
      <c r="H81" s="123">
        <v>2024</v>
      </c>
      <c r="I81" s="116">
        <v>6</v>
      </c>
      <c r="J81" s="117">
        <v>45590</v>
      </c>
      <c r="K81" s="118">
        <v>1</v>
      </c>
      <c r="L81" s="119">
        <v>0.37927344911816602</v>
      </c>
      <c r="M81" s="119">
        <v>0.37927344911816602</v>
      </c>
      <c r="N81" s="119">
        <f t="shared" si="8"/>
        <v>0</v>
      </c>
      <c r="O81" s="119">
        <f t="shared" si="12"/>
        <v>0</v>
      </c>
      <c r="P81" s="120">
        <v>1</v>
      </c>
      <c r="Q81" s="119">
        <f t="shared" si="13"/>
        <v>0.37927344911816602</v>
      </c>
      <c r="R81" s="121">
        <v>0</v>
      </c>
      <c r="S81" s="122">
        <f t="shared" si="9"/>
        <v>615070</v>
      </c>
      <c r="T81" s="119">
        <v>0</v>
      </c>
      <c r="U81" s="119">
        <v>0</v>
      </c>
      <c r="V81" s="134" t="s">
        <v>70</v>
      </c>
      <c r="W81" s="123"/>
      <c r="X81" s="124">
        <v>1.87</v>
      </c>
      <c r="Y81" s="124" t="s">
        <v>71</v>
      </c>
      <c r="Z81" s="124"/>
      <c r="AA81" s="125">
        <v>0</v>
      </c>
      <c r="AB81" s="126">
        <f t="shared" si="10"/>
        <v>0</v>
      </c>
      <c r="AC81" s="126">
        <f t="shared" si="14"/>
        <v>0</v>
      </c>
      <c r="AD81" s="127">
        <f t="shared" si="11"/>
        <v>0</v>
      </c>
      <c r="AE81" s="123"/>
    </row>
    <row r="82" spans="1:31" s="129" customFormat="1" x14ac:dyDescent="0.2">
      <c r="A82" s="110" t="s">
        <v>57</v>
      </c>
      <c r="B82" s="114" t="str">
        <f>VLOOKUP(A82,Sheet1!A:B,2,0)</f>
        <v>RCS DEVICE</v>
      </c>
      <c r="C82" s="110" t="s">
        <v>58</v>
      </c>
      <c r="D82" s="163" t="s">
        <v>59</v>
      </c>
      <c r="E82" s="110" t="s">
        <v>42</v>
      </c>
      <c r="F82" s="110" t="s">
        <v>60</v>
      </c>
      <c r="G82" s="162" t="s">
        <v>44</v>
      </c>
      <c r="H82" s="123">
        <v>2024</v>
      </c>
      <c r="I82" s="116">
        <v>7</v>
      </c>
      <c r="J82" s="117">
        <v>45590</v>
      </c>
      <c r="K82" s="118">
        <v>1</v>
      </c>
      <c r="L82" s="119">
        <v>2.3583408602377398</v>
      </c>
      <c r="M82" s="119">
        <v>2.3583408602377398</v>
      </c>
      <c r="N82" s="119">
        <f t="shared" si="8"/>
        <v>0</v>
      </c>
      <c r="O82" s="119">
        <f t="shared" si="12"/>
        <v>0</v>
      </c>
      <c r="P82" s="120">
        <v>1</v>
      </c>
      <c r="Q82" s="119">
        <f t="shared" si="13"/>
        <v>2.3583408602377398</v>
      </c>
      <c r="R82" s="121">
        <v>43876</v>
      </c>
      <c r="S82" s="122">
        <f t="shared" si="9"/>
        <v>610823</v>
      </c>
      <c r="T82" s="119">
        <v>0</v>
      </c>
      <c r="U82" s="119">
        <v>0</v>
      </c>
      <c r="V82" s="134" t="s">
        <v>61</v>
      </c>
      <c r="W82" s="123"/>
      <c r="X82" s="124">
        <v>16.260000000000002</v>
      </c>
      <c r="Y82" s="124" t="s">
        <v>62</v>
      </c>
      <c r="Z82" s="124" t="s">
        <v>63</v>
      </c>
      <c r="AA82" s="125">
        <v>1.3080000000000001</v>
      </c>
      <c r="AB82" s="126">
        <f t="shared" si="10"/>
        <v>103474.56358379107</v>
      </c>
      <c r="AC82" s="126">
        <f t="shared" si="14"/>
        <v>57389.808000000005</v>
      </c>
      <c r="AD82" s="127">
        <f t="shared" si="11"/>
        <v>713.42376000000013</v>
      </c>
      <c r="AE82" s="123"/>
    </row>
    <row r="83" spans="1:31" s="129" customFormat="1" x14ac:dyDescent="0.2">
      <c r="A83" s="110" t="s">
        <v>57</v>
      </c>
      <c r="B83" s="114" t="str">
        <f>VLOOKUP(A83,Sheet1!A:B,2,0)</f>
        <v>RCS DEVICE</v>
      </c>
      <c r="C83" s="110" t="s">
        <v>64</v>
      </c>
      <c r="D83" s="163" t="s">
        <v>65</v>
      </c>
      <c r="E83" s="110" t="s">
        <v>42</v>
      </c>
      <c r="F83" s="110" t="s">
        <v>60</v>
      </c>
      <c r="G83" s="162" t="s">
        <v>44</v>
      </c>
      <c r="H83" s="123">
        <v>2024</v>
      </c>
      <c r="I83" s="116">
        <v>7</v>
      </c>
      <c r="J83" s="117">
        <v>45590</v>
      </c>
      <c r="K83" s="118">
        <v>1</v>
      </c>
      <c r="L83" s="119">
        <v>2.31652727583774</v>
      </c>
      <c r="M83" s="119">
        <v>2.31652727583774</v>
      </c>
      <c r="N83" s="119">
        <f t="shared" si="8"/>
        <v>0</v>
      </c>
      <c r="O83" s="119">
        <f t="shared" si="12"/>
        <v>0</v>
      </c>
      <c r="P83" s="120">
        <v>1</v>
      </c>
      <c r="Q83" s="119">
        <f t="shared" si="13"/>
        <v>2.31652727583774</v>
      </c>
      <c r="R83" s="121">
        <v>35090</v>
      </c>
      <c r="S83" s="122">
        <f t="shared" si="9"/>
        <v>686982</v>
      </c>
      <c r="T83" s="119">
        <v>0</v>
      </c>
      <c r="U83" s="119">
        <v>0</v>
      </c>
      <c r="V83" s="134" t="s">
        <v>61</v>
      </c>
      <c r="W83" s="123"/>
      <c r="X83" s="124">
        <v>8.3019999999999996</v>
      </c>
      <c r="Y83" s="124" t="s">
        <v>62</v>
      </c>
      <c r="Z83" s="124" t="s">
        <v>63</v>
      </c>
      <c r="AA83" s="125">
        <v>1.4279999999999999</v>
      </c>
      <c r="AB83" s="126">
        <f t="shared" si="10"/>
        <v>81286.942109146301</v>
      </c>
      <c r="AC83" s="126">
        <f t="shared" si="14"/>
        <v>50108.52</v>
      </c>
      <c r="AD83" s="127">
        <f t="shared" si="11"/>
        <v>291.31718000000001</v>
      </c>
      <c r="AE83" s="123"/>
    </row>
    <row r="84" spans="1:31" s="129" customFormat="1" x14ac:dyDescent="0.2">
      <c r="A84" s="110" t="s">
        <v>57</v>
      </c>
      <c r="B84" s="114" t="str">
        <f>VLOOKUP(A84,Sheet1!A:B,2,0)</f>
        <v>RCS DEVICE</v>
      </c>
      <c r="C84" s="110" t="s">
        <v>66</v>
      </c>
      <c r="D84" s="163" t="s">
        <v>67</v>
      </c>
      <c r="E84" s="110" t="s">
        <v>42</v>
      </c>
      <c r="F84" s="110" t="s">
        <v>60</v>
      </c>
      <c r="G84" s="162" t="s">
        <v>44</v>
      </c>
      <c r="H84" s="123">
        <v>2024</v>
      </c>
      <c r="I84" s="116">
        <v>7</v>
      </c>
      <c r="J84" s="117">
        <v>45590</v>
      </c>
      <c r="K84" s="118">
        <v>1</v>
      </c>
      <c r="L84" s="119">
        <v>0.37651638011816602</v>
      </c>
      <c r="M84" s="119">
        <v>0.37651638011816602</v>
      </c>
      <c r="N84" s="119">
        <f t="shared" si="8"/>
        <v>0</v>
      </c>
      <c r="O84" s="119">
        <f t="shared" si="12"/>
        <v>0</v>
      </c>
      <c r="P84" s="120">
        <v>1</v>
      </c>
      <c r="Q84" s="119">
        <f t="shared" si="13"/>
        <v>0.37651638011816602</v>
      </c>
      <c r="R84" s="121">
        <v>46292</v>
      </c>
      <c r="S84" s="122">
        <f t="shared" si="9"/>
        <v>665191</v>
      </c>
      <c r="T84" s="119">
        <v>0</v>
      </c>
      <c r="U84" s="119">
        <v>0</v>
      </c>
      <c r="V84" s="134" t="s">
        <v>61</v>
      </c>
      <c r="W84" s="123"/>
      <c r="X84" s="124">
        <v>0.57199999999999995</v>
      </c>
      <c r="Y84" s="124" t="s">
        <v>62</v>
      </c>
      <c r="Z84" s="124"/>
      <c r="AA84" s="125">
        <v>0</v>
      </c>
      <c r="AB84" s="126">
        <f t="shared" si="10"/>
        <v>17429.69626843014</v>
      </c>
      <c r="AC84" s="126">
        <f t="shared" si="14"/>
        <v>0</v>
      </c>
      <c r="AD84" s="127">
        <f t="shared" si="11"/>
        <v>26.479023999999999</v>
      </c>
      <c r="AE84" s="123"/>
    </row>
    <row r="85" spans="1:31" s="129" customFormat="1" x14ac:dyDescent="0.2">
      <c r="A85" s="110" t="s">
        <v>57</v>
      </c>
      <c r="B85" s="114" t="str">
        <f>VLOOKUP(A85,Sheet1!A:B,2,0)</f>
        <v>RCS DEVICE</v>
      </c>
      <c r="C85" s="110" t="s">
        <v>68</v>
      </c>
      <c r="D85" s="163" t="s">
        <v>69</v>
      </c>
      <c r="E85" s="110" t="s">
        <v>42</v>
      </c>
      <c r="F85" s="110" t="s">
        <v>60</v>
      </c>
      <c r="G85" s="162" t="s">
        <v>44</v>
      </c>
      <c r="H85" s="123">
        <v>2024</v>
      </c>
      <c r="I85" s="116">
        <v>7</v>
      </c>
      <c r="J85" s="117">
        <v>45590</v>
      </c>
      <c r="K85" s="118">
        <v>1</v>
      </c>
      <c r="L85" s="119">
        <v>0.37927344911816602</v>
      </c>
      <c r="M85" s="119">
        <v>0.37927344911816602</v>
      </c>
      <c r="N85" s="119">
        <f t="shared" si="8"/>
        <v>0</v>
      </c>
      <c r="O85" s="119">
        <f t="shared" si="12"/>
        <v>0</v>
      </c>
      <c r="P85" s="120">
        <v>1</v>
      </c>
      <c r="Q85" s="119">
        <f t="shared" si="13"/>
        <v>0.37927344911816602</v>
      </c>
      <c r="R85" s="121">
        <v>40000</v>
      </c>
      <c r="S85" s="122">
        <f t="shared" si="9"/>
        <v>655070</v>
      </c>
      <c r="T85" s="119">
        <v>0</v>
      </c>
      <c r="U85" s="119">
        <v>0</v>
      </c>
      <c r="V85" s="134" t="s">
        <v>70</v>
      </c>
      <c r="W85" s="123"/>
      <c r="X85" s="124">
        <v>1.87</v>
      </c>
      <c r="Y85" s="124" t="s">
        <v>71</v>
      </c>
      <c r="Z85" s="124"/>
      <c r="AA85" s="125">
        <v>0</v>
      </c>
      <c r="AB85" s="126">
        <f t="shared" si="10"/>
        <v>15170.937964726641</v>
      </c>
      <c r="AC85" s="126">
        <f t="shared" si="14"/>
        <v>0</v>
      </c>
      <c r="AD85" s="127">
        <f t="shared" si="11"/>
        <v>74.8</v>
      </c>
      <c r="AE85" s="123"/>
    </row>
    <row r="86" spans="1:31" s="129" customFormat="1" x14ac:dyDescent="0.2">
      <c r="A86" s="110" t="s">
        <v>57</v>
      </c>
      <c r="B86" s="114" t="str">
        <f>VLOOKUP(A86,Sheet1!A:B,2,0)</f>
        <v>RCS DEVICE</v>
      </c>
      <c r="C86" s="110" t="s">
        <v>58</v>
      </c>
      <c r="D86" s="163" t="s">
        <v>59</v>
      </c>
      <c r="E86" s="110" t="s">
        <v>42</v>
      </c>
      <c r="F86" s="110" t="s">
        <v>60</v>
      </c>
      <c r="G86" s="162" t="s">
        <v>44</v>
      </c>
      <c r="H86" s="123">
        <v>2024</v>
      </c>
      <c r="I86" s="116">
        <v>8</v>
      </c>
      <c r="J86" s="117">
        <v>45590</v>
      </c>
      <c r="K86" s="118">
        <v>1</v>
      </c>
      <c r="L86" s="119">
        <v>2.3583408602377398</v>
      </c>
      <c r="M86" s="119">
        <v>2.3583408602377398</v>
      </c>
      <c r="N86" s="119">
        <f t="shared" si="8"/>
        <v>0</v>
      </c>
      <c r="O86" s="119">
        <f t="shared" si="12"/>
        <v>0</v>
      </c>
      <c r="P86" s="120">
        <v>1</v>
      </c>
      <c r="Q86" s="119">
        <f t="shared" si="13"/>
        <v>2.3583408602377398</v>
      </c>
      <c r="R86" s="121">
        <v>33780</v>
      </c>
      <c r="S86" s="122">
        <f t="shared" si="9"/>
        <v>644603</v>
      </c>
      <c r="T86" s="119">
        <v>0</v>
      </c>
      <c r="U86" s="119">
        <v>0</v>
      </c>
      <c r="V86" s="134" t="s">
        <v>61</v>
      </c>
      <c r="W86" s="123"/>
      <c r="X86" s="124">
        <v>16.260000000000002</v>
      </c>
      <c r="Y86" s="124" t="s">
        <v>62</v>
      </c>
      <c r="Z86" s="124" t="s">
        <v>63</v>
      </c>
      <c r="AA86" s="125">
        <v>1.3080000000000001</v>
      </c>
      <c r="AB86" s="126">
        <f t="shared" si="10"/>
        <v>79664.754258830857</v>
      </c>
      <c r="AC86" s="126">
        <f t="shared" si="14"/>
        <v>44184.240000000005</v>
      </c>
      <c r="AD86" s="127">
        <f t="shared" si="11"/>
        <v>549.26280000000008</v>
      </c>
      <c r="AE86" s="123"/>
    </row>
    <row r="87" spans="1:31" s="129" customFormat="1" x14ac:dyDescent="0.2">
      <c r="A87" s="110" t="s">
        <v>57</v>
      </c>
      <c r="B87" s="114" t="str">
        <f>VLOOKUP(A87,Sheet1!A:B,2,0)</f>
        <v>RCS DEVICE</v>
      </c>
      <c r="C87" s="110" t="s">
        <v>64</v>
      </c>
      <c r="D87" s="163" t="s">
        <v>65</v>
      </c>
      <c r="E87" s="110" t="s">
        <v>42</v>
      </c>
      <c r="F87" s="110" t="s">
        <v>60</v>
      </c>
      <c r="G87" s="162" t="s">
        <v>44</v>
      </c>
      <c r="H87" s="123">
        <v>2024</v>
      </c>
      <c r="I87" s="116">
        <v>8</v>
      </c>
      <c r="J87" s="117">
        <v>45590</v>
      </c>
      <c r="K87" s="118">
        <v>1</v>
      </c>
      <c r="L87" s="119">
        <v>2.31652727583774</v>
      </c>
      <c r="M87" s="119">
        <v>2.31652727583774</v>
      </c>
      <c r="N87" s="119">
        <f t="shared" si="8"/>
        <v>0</v>
      </c>
      <c r="O87" s="119">
        <f t="shared" si="12"/>
        <v>0</v>
      </c>
      <c r="P87" s="120">
        <v>1</v>
      </c>
      <c r="Q87" s="119">
        <f t="shared" si="13"/>
        <v>2.31652727583774</v>
      </c>
      <c r="R87" s="121">
        <v>0</v>
      </c>
      <c r="S87" s="122">
        <f t="shared" si="9"/>
        <v>686982</v>
      </c>
      <c r="T87" s="119">
        <v>0</v>
      </c>
      <c r="U87" s="119">
        <v>0</v>
      </c>
      <c r="V87" s="134" t="s">
        <v>61</v>
      </c>
      <c r="W87" s="123"/>
      <c r="X87" s="124">
        <v>8.3019999999999996</v>
      </c>
      <c r="Y87" s="124" t="s">
        <v>62</v>
      </c>
      <c r="Z87" s="124" t="s">
        <v>63</v>
      </c>
      <c r="AA87" s="125">
        <v>1.4279999999999999</v>
      </c>
      <c r="AB87" s="126">
        <f t="shared" si="10"/>
        <v>0</v>
      </c>
      <c r="AC87" s="126">
        <f t="shared" si="14"/>
        <v>0</v>
      </c>
      <c r="AD87" s="127">
        <f t="shared" si="11"/>
        <v>0</v>
      </c>
      <c r="AE87" s="123"/>
    </row>
    <row r="88" spans="1:31" s="129" customFormat="1" x14ac:dyDescent="0.2">
      <c r="A88" s="110" t="s">
        <v>57</v>
      </c>
      <c r="B88" s="114" t="str">
        <f>VLOOKUP(A88,Sheet1!A:B,2,0)</f>
        <v>RCS DEVICE</v>
      </c>
      <c r="C88" s="110" t="s">
        <v>66</v>
      </c>
      <c r="D88" s="163" t="s">
        <v>67</v>
      </c>
      <c r="E88" s="110" t="s">
        <v>42</v>
      </c>
      <c r="F88" s="110" t="s">
        <v>60</v>
      </c>
      <c r="G88" s="162" t="s">
        <v>44</v>
      </c>
      <c r="H88" s="123">
        <v>2024</v>
      </c>
      <c r="I88" s="116">
        <v>8</v>
      </c>
      <c r="J88" s="117">
        <v>45590</v>
      </c>
      <c r="K88" s="118">
        <v>1</v>
      </c>
      <c r="L88" s="119">
        <v>0.37651638011816602</v>
      </c>
      <c r="M88" s="119">
        <v>0.37651638011816602</v>
      </c>
      <c r="N88" s="119">
        <f t="shared" si="8"/>
        <v>0</v>
      </c>
      <c r="O88" s="119">
        <f t="shared" si="12"/>
        <v>0</v>
      </c>
      <c r="P88" s="120">
        <v>1</v>
      </c>
      <c r="Q88" s="119">
        <f t="shared" si="13"/>
        <v>0.37651638011816602</v>
      </c>
      <c r="R88" s="121">
        <v>0</v>
      </c>
      <c r="S88" s="122">
        <f t="shared" si="9"/>
        <v>665191</v>
      </c>
      <c r="T88" s="119">
        <v>0</v>
      </c>
      <c r="U88" s="119">
        <v>0</v>
      </c>
      <c r="V88" s="134" t="s">
        <v>61</v>
      </c>
      <c r="W88" s="123"/>
      <c r="X88" s="124">
        <v>0.57199999999999995</v>
      </c>
      <c r="Y88" s="124" t="s">
        <v>62</v>
      </c>
      <c r="Z88" s="124"/>
      <c r="AA88" s="125">
        <v>0</v>
      </c>
      <c r="AB88" s="126">
        <f t="shared" si="10"/>
        <v>0</v>
      </c>
      <c r="AC88" s="126">
        <f t="shared" si="14"/>
        <v>0</v>
      </c>
      <c r="AD88" s="127">
        <f t="shared" si="11"/>
        <v>0</v>
      </c>
      <c r="AE88" s="123"/>
    </row>
    <row r="89" spans="1:31" s="129" customFormat="1" x14ac:dyDescent="0.2">
      <c r="A89" s="110" t="s">
        <v>57</v>
      </c>
      <c r="B89" s="114" t="str">
        <f>VLOOKUP(A89,Sheet1!A:B,2,0)</f>
        <v>RCS DEVICE</v>
      </c>
      <c r="C89" s="110" t="s">
        <v>68</v>
      </c>
      <c r="D89" s="163" t="s">
        <v>69</v>
      </c>
      <c r="E89" s="110" t="s">
        <v>42</v>
      </c>
      <c r="F89" s="110" t="s">
        <v>60</v>
      </c>
      <c r="G89" s="162" t="s">
        <v>44</v>
      </c>
      <c r="H89" s="123">
        <v>2024</v>
      </c>
      <c r="I89" s="116">
        <v>8</v>
      </c>
      <c r="J89" s="117">
        <v>45590</v>
      </c>
      <c r="K89" s="118">
        <v>1</v>
      </c>
      <c r="L89" s="119">
        <v>0.37927344911816602</v>
      </c>
      <c r="M89" s="119">
        <v>0.37927344911816602</v>
      </c>
      <c r="N89" s="119">
        <f t="shared" ref="N89:N93" si="15">M89-L89</f>
        <v>0</v>
      </c>
      <c r="O89" s="119">
        <f t="shared" si="12"/>
        <v>0</v>
      </c>
      <c r="P89" s="120">
        <v>1</v>
      </c>
      <c r="Q89" s="119">
        <f t="shared" si="13"/>
        <v>0.37927344911816602</v>
      </c>
      <c r="R89" s="121">
        <v>0</v>
      </c>
      <c r="S89" s="122">
        <f t="shared" si="9"/>
        <v>655070</v>
      </c>
      <c r="T89" s="119">
        <v>0</v>
      </c>
      <c r="U89" s="119">
        <v>0</v>
      </c>
      <c r="V89" s="134" t="s">
        <v>70</v>
      </c>
      <c r="W89" s="123"/>
      <c r="X89" s="124">
        <v>1.87</v>
      </c>
      <c r="Y89" s="124" t="s">
        <v>71</v>
      </c>
      <c r="Z89" s="124"/>
      <c r="AA89" s="125">
        <v>0</v>
      </c>
      <c r="AB89" s="126">
        <f t="shared" si="10"/>
        <v>0</v>
      </c>
      <c r="AC89" s="126">
        <f t="shared" si="14"/>
        <v>0</v>
      </c>
      <c r="AD89" s="127">
        <f t="shared" si="11"/>
        <v>0</v>
      </c>
      <c r="AE89" s="123"/>
    </row>
    <row r="90" spans="1:31" s="129" customFormat="1" x14ac:dyDescent="0.2">
      <c r="A90" s="110" t="s">
        <v>57</v>
      </c>
      <c r="B90" s="114" t="str">
        <f>VLOOKUP(A90,Sheet1!A:B,2,0)</f>
        <v>RCS DEVICE</v>
      </c>
      <c r="C90" s="110" t="s">
        <v>58</v>
      </c>
      <c r="D90" s="163" t="s">
        <v>59</v>
      </c>
      <c r="E90" s="110" t="s">
        <v>42</v>
      </c>
      <c r="F90" s="110" t="s">
        <v>60</v>
      </c>
      <c r="G90" s="162" t="s">
        <v>44</v>
      </c>
      <c r="H90" s="123">
        <v>2024</v>
      </c>
      <c r="I90" s="116">
        <v>9</v>
      </c>
      <c r="J90" s="117">
        <v>45590</v>
      </c>
      <c r="K90" s="118">
        <v>1</v>
      </c>
      <c r="L90" s="119">
        <v>2.3583408602377398</v>
      </c>
      <c r="M90" s="119">
        <v>2.3583408602377398</v>
      </c>
      <c r="N90" s="119">
        <f t="shared" si="15"/>
        <v>0</v>
      </c>
      <c r="O90" s="119">
        <f t="shared" si="12"/>
        <v>0</v>
      </c>
      <c r="P90" s="120">
        <v>1</v>
      </c>
      <c r="Q90" s="119">
        <f t="shared" si="13"/>
        <v>2.3583408602377398</v>
      </c>
      <c r="R90" s="121">
        <v>0</v>
      </c>
      <c r="S90" s="122">
        <f t="shared" si="9"/>
        <v>644603</v>
      </c>
      <c r="T90" s="119">
        <v>0</v>
      </c>
      <c r="U90" s="119">
        <v>0</v>
      </c>
      <c r="V90" s="134" t="s">
        <v>61</v>
      </c>
      <c r="W90" s="123"/>
      <c r="X90" s="124">
        <v>16.260000000000002</v>
      </c>
      <c r="Y90" s="124" t="s">
        <v>62</v>
      </c>
      <c r="Z90" s="124" t="s">
        <v>63</v>
      </c>
      <c r="AA90" s="125">
        <v>1.3080000000000001</v>
      </c>
      <c r="AB90" s="126">
        <f t="shared" si="10"/>
        <v>0</v>
      </c>
      <c r="AC90" s="126">
        <f t="shared" si="14"/>
        <v>0</v>
      </c>
      <c r="AD90" s="127">
        <f t="shared" si="11"/>
        <v>0</v>
      </c>
      <c r="AE90" s="123"/>
    </row>
    <row r="91" spans="1:31" s="129" customFormat="1" x14ac:dyDescent="0.2">
      <c r="A91" s="110" t="s">
        <v>57</v>
      </c>
      <c r="B91" s="114" t="str">
        <f>VLOOKUP(A91,Sheet1!A:B,2,0)</f>
        <v>RCS DEVICE</v>
      </c>
      <c r="C91" s="110" t="s">
        <v>64</v>
      </c>
      <c r="D91" s="163" t="s">
        <v>65</v>
      </c>
      <c r="E91" s="110" t="s">
        <v>42</v>
      </c>
      <c r="F91" s="110" t="s">
        <v>60</v>
      </c>
      <c r="G91" s="162" t="s">
        <v>44</v>
      </c>
      <c r="H91" s="123">
        <v>2024</v>
      </c>
      <c r="I91" s="116">
        <v>9</v>
      </c>
      <c r="J91" s="117">
        <v>45590</v>
      </c>
      <c r="K91" s="118">
        <v>1</v>
      </c>
      <c r="L91" s="119">
        <v>2.31652727583774</v>
      </c>
      <c r="M91" s="119">
        <v>2.31652727583774</v>
      </c>
      <c r="N91" s="119">
        <f t="shared" si="15"/>
        <v>0</v>
      </c>
      <c r="O91" s="119">
        <f t="shared" si="12"/>
        <v>0</v>
      </c>
      <c r="P91" s="120">
        <v>1</v>
      </c>
      <c r="Q91" s="119">
        <f t="shared" si="13"/>
        <v>2.31652727583774</v>
      </c>
      <c r="R91" s="121">
        <v>0</v>
      </c>
      <c r="S91" s="122">
        <f t="shared" si="9"/>
        <v>686982</v>
      </c>
      <c r="T91" s="119">
        <v>0</v>
      </c>
      <c r="U91" s="119">
        <v>0</v>
      </c>
      <c r="V91" s="134" t="s">
        <v>61</v>
      </c>
      <c r="W91" s="123"/>
      <c r="X91" s="124">
        <v>8.3019999999999996</v>
      </c>
      <c r="Y91" s="124" t="s">
        <v>62</v>
      </c>
      <c r="Z91" s="124" t="s">
        <v>63</v>
      </c>
      <c r="AA91" s="125">
        <v>1.4279999999999999</v>
      </c>
      <c r="AB91" s="126">
        <f t="shared" si="10"/>
        <v>0</v>
      </c>
      <c r="AC91" s="126">
        <f t="shared" si="14"/>
        <v>0</v>
      </c>
      <c r="AD91" s="127">
        <f t="shared" si="11"/>
        <v>0</v>
      </c>
      <c r="AE91" s="123"/>
    </row>
    <row r="92" spans="1:31" s="129" customFormat="1" x14ac:dyDescent="0.2">
      <c r="A92" s="110" t="s">
        <v>57</v>
      </c>
      <c r="B92" s="114" t="str">
        <f>VLOOKUP(A92,Sheet1!A:B,2,0)</f>
        <v>RCS DEVICE</v>
      </c>
      <c r="C92" s="110" t="s">
        <v>66</v>
      </c>
      <c r="D92" s="163" t="s">
        <v>67</v>
      </c>
      <c r="E92" s="110" t="s">
        <v>42</v>
      </c>
      <c r="F92" s="110" t="s">
        <v>60</v>
      </c>
      <c r="G92" s="162" t="s">
        <v>44</v>
      </c>
      <c r="H92" s="123">
        <v>2024</v>
      </c>
      <c r="I92" s="116">
        <v>9</v>
      </c>
      <c r="J92" s="117">
        <v>45590</v>
      </c>
      <c r="K92" s="118">
        <v>1</v>
      </c>
      <c r="L92" s="119">
        <v>0.37651638011816602</v>
      </c>
      <c r="M92" s="119">
        <v>0.37651638011816602</v>
      </c>
      <c r="N92" s="119">
        <f t="shared" si="15"/>
        <v>0</v>
      </c>
      <c r="O92" s="119">
        <f t="shared" si="12"/>
        <v>0</v>
      </c>
      <c r="P92" s="120">
        <v>1</v>
      </c>
      <c r="Q92" s="119">
        <f t="shared" si="13"/>
        <v>0.37651638011816602</v>
      </c>
      <c r="R92" s="121">
        <v>0</v>
      </c>
      <c r="S92" s="122">
        <f t="shared" si="9"/>
        <v>665191</v>
      </c>
      <c r="T92" s="119">
        <v>0</v>
      </c>
      <c r="U92" s="119">
        <v>0</v>
      </c>
      <c r="V92" s="134" t="s">
        <v>61</v>
      </c>
      <c r="W92" s="123"/>
      <c r="X92" s="124">
        <v>0.57199999999999995</v>
      </c>
      <c r="Y92" s="124" t="s">
        <v>62</v>
      </c>
      <c r="Z92" s="124"/>
      <c r="AA92" s="125">
        <v>0</v>
      </c>
      <c r="AB92" s="126">
        <f t="shared" si="10"/>
        <v>0</v>
      </c>
      <c r="AC92" s="126">
        <f t="shared" si="14"/>
        <v>0</v>
      </c>
      <c r="AD92" s="127">
        <f t="shared" si="11"/>
        <v>0</v>
      </c>
      <c r="AE92" s="123"/>
    </row>
    <row r="93" spans="1:31" s="129" customFormat="1" x14ac:dyDescent="0.2">
      <c r="A93" s="110" t="s">
        <v>57</v>
      </c>
      <c r="B93" s="114" t="str">
        <f>VLOOKUP(A93,Sheet1!A:B,2,0)</f>
        <v>RCS DEVICE</v>
      </c>
      <c r="C93" s="110" t="s">
        <v>68</v>
      </c>
      <c r="D93" s="163" t="s">
        <v>69</v>
      </c>
      <c r="E93" s="110" t="s">
        <v>42</v>
      </c>
      <c r="F93" s="110" t="s">
        <v>60</v>
      </c>
      <c r="G93" s="162" t="s">
        <v>44</v>
      </c>
      <c r="H93" s="123">
        <v>2024</v>
      </c>
      <c r="I93" s="116">
        <v>9</v>
      </c>
      <c r="J93" s="117">
        <v>45590</v>
      </c>
      <c r="K93" s="118">
        <v>1</v>
      </c>
      <c r="L93" s="119">
        <v>0.37927344911816602</v>
      </c>
      <c r="M93" s="119">
        <v>0.37927344911816602</v>
      </c>
      <c r="N93" s="119">
        <f t="shared" si="15"/>
        <v>0</v>
      </c>
      <c r="O93" s="119">
        <f t="shared" si="12"/>
        <v>0</v>
      </c>
      <c r="P93" s="120">
        <v>1</v>
      </c>
      <c r="Q93" s="119">
        <f t="shared" si="13"/>
        <v>0.37927344911816602</v>
      </c>
      <c r="R93" s="121">
        <v>0</v>
      </c>
      <c r="S93" s="122">
        <f t="shared" si="9"/>
        <v>655070</v>
      </c>
      <c r="T93" s="119">
        <v>0</v>
      </c>
      <c r="U93" s="119">
        <v>0</v>
      </c>
      <c r="V93" s="134" t="s">
        <v>70</v>
      </c>
      <c r="W93" s="123"/>
      <c r="X93" s="124">
        <v>1.87</v>
      </c>
      <c r="Y93" s="124" t="s">
        <v>71</v>
      </c>
      <c r="Z93" s="124"/>
      <c r="AA93" s="125">
        <v>0</v>
      </c>
      <c r="AB93" s="126">
        <f t="shared" si="10"/>
        <v>0</v>
      </c>
      <c r="AC93" s="126">
        <f t="shared" si="14"/>
        <v>0</v>
      </c>
      <c r="AD93" s="127">
        <f t="shared" si="11"/>
        <v>0</v>
      </c>
      <c r="AE93" s="123"/>
    </row>
    <row r="94" spans="1:31" s="112" customFormat="1" x14ac:dyDescent="0.2">
      <c r="A94" s="110" t="s">
        <v>72</v>
      </c>
      <c r="B94" s="114" t="str">
        <f>VLOOKUP(A94,Sheet1!A:B,2,0)</f>
        <v>RCS DEVICE</v>
      </c>
      <c r="C94" s="110" t="s">
        <v>73</v>
      </c>
      <c r="D94" s="163" t="s">
        <v>74</v>
      </c>
      <c r="E94" s="110" t="s">
        <v>42</v>
      </c>
      <c r="F94" s="110" t="s">
        <v>60</v>
      </c>
      <c r="G94" s="162" t="s">
        <v>44</v>
      </c>
      <c r="H94" s="123">
        <v>2024</v>
      </c>
      <c r="I94" s="116">
        <v>5</v>
      </c>
      <c r="J94" s="117">
        <v>45590</v>
      </c>
      <c r="K94" s="118">
        <v>0.3</v>
      </c>
      <c r="L94" s="119">
        <v>1.8774416082318</v>
      </c>
      <c r="M94" s="119">
        <v>1.9124416082318001</v>
      </c>
      <c r="N94" s="119">
        <f t="shared" ref="N94:N127" si="16">M94-L94</f>
        <v>3.5000000000000142E-2</v>
      </c>
      <c r="O94" s="119">
        <f t="shared" si="12"/>
        <v>1.0500000000000042E-2</v>
      </c>
      <c r="P94" s="120">
        <v>1</v>
      </c>
      <c r="Q94" s="119">
        <f t="shared" si="13"/>
        <v>1.8774416082318</v>
      </c>
      <c r="R94" s="121">
        <v>3937</v>
      </c>
      <c r="S94" s="122">
        <f>R94</f>
        <v>3937</v>
      </c>
      <c r="T94" s="126">
        <v>280000</v>
      </c>
      <c r="U94" s="119">
        <f t="shared" ref="U94:U157" si="17">T94-N94*S94</f>
        <v>279862.20500000002</v>
      </c>
      <c r="V94" s="134" t="s">
        <v>75</v>
      </c>
      <c r="W94" s="123"/>
      <c r="X94" s="124">
        <v>6.5389999999999997</v>
      </c>
      <c r="Y94" s="124" t="s">
        <v>62</v>
      </c>
      <c r="Z94" s="124" t="s">
        <v>63</v>
      </c>
      <c r="AA94" s="125">
        <v>1.2</v>
      </c>
      <c r="AB94" s="126">
        <f t="shared" si="10"/>
        <v>7529.2826116085971</v>
      </c>
      <c r="AC94" s="126">
        <f t="shared" si="14"/>
        <v>4724.3999999999996</v>
      </c>
      <c r="AD94" s="127">
        <f t="shared" si="11"/>
        <v>25.744042999999998</v>
      </c>
      <c r="AE94" s="123"/>
    </row>
    <row r="95" spans="1:31" s="112" customFormat="1" x14ac:dyDescent="0.2">
      <c r="A95" s="110" t="s">
        <v>72</v>
      </c>
      <c r="B95" s="114" t="str">
        <f>VLOOKUP(A95,Sheet1!A:B,2,0)</f>
        <v>RCS DEVICE</v>
      </c>
      <c r="C95" s="110" t="s">
        <v>76</v>
      </c>
      <c r="D95" s="163" t="s">
        <v>77</v>
      </c>
      <c r="E95" s="110" t="s">
        <v>42</v>
      </c>
      <c r="F95" s="110" t="s">
        <v>60</v>
      </c>
      <c r="G95" s="162" t="s">
        <v>44</v>
      </c>
      <c r="H95" s="123">
        <v>2024</v>
      </c>
      <c r="I95" s="116">
        <v>5</v>
      </c>
      <c r="J95" s="117">
        <v>45590</v>
      </c>
      <c r="K95" s="118">
        <v>0.3</v>
      </c>
      <c r="L95" s="119">
        <v>0.27335792652733598</v>
      </c>
      <c r="M95" s="119">
        <v>0.33085792652733598</v>
      </c>
      <c r="N95" s="119">
        <f t="shared" si="16"/>
        <v>5.7499999999999996E-2</v>
      </c>
      <c r="O95" s="119">
        <f t="shared" si="12"/>
        <v>1.7249999999999998E-2</v>
      </c>
      <c r="P95" s="120">
        <v>1</v>
      </c>
      <c r="Q95" s="119">
        <f t="shared" si="13"/>
        <v>0.27335792652733598</v>
      </c>
      <c r="R95" s="121">
        <v>3950</v>
      </c>
      <c r="S95" s="122">
        <f>R95</f>
        <v>3950</v>
      </c>
      <c r="T95" s="126">
        <v>460000</v>
      </c>
      <c r="U95" s="119">
        <f t="shared" si="17"/>
        <v>459772.875</v>
      </c>
      <c r="V95" s="134" t="s">
        <v>75</v>
      </c>
      <c r="W95" s="123"/>
      <c r="X95" s="124">
        <v>3.3170000000000002</v>
      </c>
      <c r="Y95" s="124" t="s">
        <v>62</v>
      </c>
      <c r="Z95" s="124"/>
      <c r="AA95" s="125">
        <v>0</v>
      </c>
      <c r="AB95" s="126">
        <f t="shared" si="10"/>
        <v>1306.8888097829772</v>
      </c>
      <c r="AC95" s="126">
        <f t="shared" si="14"/>
        <v>0</v>
      </c>
      <c r="AD95" s="127">
        <f t="shared" si="11"/>
        <v>13.102150000000002</v>
      </c>
      <c r="AE95" s="123"/>
    </row>
    <row r="96" spans="1:31" s="112" customFormat="1" x14ac:dyDescent="0.2">
      <c r="A96" s="110" t="s">
        <v>72</v>
      </c>
      <c r="B96" s="114" t="str">
        <f>VLOOKUP(A96,Sheet1!A:B,2,0)</f>
        <v>RCS DEVICE</v>
      </c>
      <c r="C96" s="110" t="s">
        <v>78</v>
      </c>
      <c r="D96" s="163" t="s">
        <v>79</v>
      </c>
      <c r="E96" s="110" t="s">
        <v>42</v>
      </c>
      <c r="F96" s="110" t="s">
        <v>60</v>
      </c>
      <c r="G96" s="162" t="s">
        <v>44</v>
      </c>
      <c r="H96" s="123">
        <v>2024</v>
      </c>
      <c r="I96" s="116">
        <v>5</v>
      </c>
      <c r="J96" s="117">
        <v>45590</v>
      </c>
      <c r="K96" s="118">
        <v>0.3</v>
      </c>
      <c r="L96" s="119">
        <v>0.20453293319930799</v>
      </c>
      <c r="M96" s="119">
        <v>0.23078293319930801</v>
      </c>
      <c r="N96" s="119">
        <f t="shared" si="16"/>
        <v>2.6250000000000023E-2</v>
      </c>
      <c r="O96" s="119">
        <f t="shared" si="12"/>
        <v>7.875000000000007E-3</v>
      </c>
      <c r="P96" s="120">
        <v>1</v>
      </c>
      <c r="Q96" s="119">
        <f t="shared" si="13"/>
        <v>0.20453293319930799</v>
      </c>
      <c r="R96" s="121">
        <v>3600</v>
      </c>
      <c r="S96" s="122">
        <f>R96</f>
        <v>3600</v>
      </c>
      <c r="T96" s="126">
        <v>420000</v>
      </c>
      <c r="U96" s="119">
        <f t="shared" si="17"/>
        <v>419905.5</v>
      </c>
      <c r="V96" s="134" t="s">
        <v>70</v>
      </c>
      <c r="W96" s="123"/>
      <c r="X96" s="124">
        <v>4.2469999999999999</v>
      </c>
      <c r="Y96" s="124" t="s">
        <v>71</v>
      </c>
      <c r="Z96" s="124"/>
      <c r="AA96" s="125">
        <v>0</v>
      </c>
      <c r="AB96" s="126">
        <f t="shared" si="10"/>
        <v>830.81855951750879</v>
      </c>
      <c r="AC96" s="126">
        <f t="shared" si="14"/>
        <v>0</v>
      </c>
      <c r="AD96" s="127">
        <f t="shared" si="11"/>
        <v>15.289199999999999</v>
      </c>
      <c r="AE96" s="123"/>
    </row>
    <row r="97" spans="1:31" s="112" customFormat="1" x14ac:dyDescent="0.2">
      <c r="A97" s="110" t="s">
        <v>72</v>
      </c>
      <c r="B97" s="114" t="str">
        <f>VLOOKUP(A97,Sheet1!A:B,2,0)</f>
        <v>RCS DEVICE</v>
      </c>
      <c r="C97" s="110" t="s">
        <v>66</v>
      </c>
      <c r="D97" s="163" t="s">
        <v>80</v>
      </c>
      <c r="E97" s="110" t="s">
        <v>42</v>
      </c>
      <c r="F97" s="110" t="s">
        <v>60</v>
      </c>
      <c r="G97" s="162" t="s">
        <v>44</v>
      </c>
      <c r="H97" s="123">
        <v>2024</v>
      </c>
      <c r="I97" s="116">
        <v>5</v>
      </c>
      <c r="J97" s="117">
        <v>45590</v>
      </c>
      <c r="K97" s="118">
        <v>0.3</v>
      </c>
      <c r="L97" s="119">
        <v>0.120262750041086</v>
      </c>
      <c r="M97" s="119">
        <v>0.14526275004108599</v>
      </c>
      <c r="N97" s="119">
        <f t="shared" si="16"/>
        <v>2.4999999999999994E-2</v>
      </c>
      <c r="O97" s="119">
        <f t="shared" si="12"/>
        <v>7.499999999999998E-3</v>
      </c>
      <c r="P97" s="120">
        <v>1</v>
      </c>
      <c r="Q97" s="119">
        <f t="shared" si="13"/>
        <v>0.120262750041086</v>
      </c>
      <c r="R97" s="121">
        <v>3950</v>
      </c>
      <c r="S97" s="122">
        <f>R97</f>
        <v>3950</v>
      </c>
      <c r="T97" s="126">
        <v>400000</v>
      </c>
      <c r="U97" s="119">
        <f t="shared" si="17"/>
        <v>399901.25</v>
      </c>
      <c r="V97" s="134" t="s">
        <v>70</v>
      </c>
      <c r="W97" s="123"/>
      <c r="X97" s="124">
        <v>0.53500000000000003</v>
      </c>
      <c r="Y97" s="124" t="s">
        <v>71</v>
      </c>
      <c r="Z97" s="124"/>
      <c r="AA97" s="125">
        <v>0</v>
      </c>
      <c r="AB97" s="126">
        <f t="shared" si="10"/>
        <v>573.78786266228963</v>
      </c>
      <c r="AC97" s="126">
        <f t="shared" si="14"/>
        <v>0</v>
      </c>
      <c r="AD97" s="127">
        <f t="shared" si="11"/>
        <v>2.1132499999999999</v>
      </c>
      <c r="AE97" s="123"/>
    </row>
    <row r="98" spans="1:31" s="112" customFormat="1" x14ac:dyDescent="0.2">
      <c r="A98" s="110" t="s">
        <v>72</v>
      </c>
      <c r="B98" s="114" t="str">
        <f>VLOOKUP(A98,Sheet1!A:B,2,0)</f>
        <v>RCS DEVICE</v>
      </c>
      <c r="C98" s="110" t="s">
        <v>81</v>
      </c>
      <c r="D98" s="163" t="s">
        <v>82</v>
      </c>
      <c r="E98" s="110" t="s">
        <v>42</v>
      </c>
      <c r="F98" s="110" t="s">
        <v>60</v>
      </c>
      <c r="G98" s="162" t="s">
        <v>44</v>
      </c>
      <c r="H98" s="123">
        <v>2024</v>
      </c>
      <c r="I98" s="116">
        <v>5</v>
      </c>
      <c r="J98" s="117">
        <v>45590</v>
      </c>
      <c r="K98" s="118">
        <v>0.3</v>
      </c>
      <c r="L98" s="119">
        <v>0.122488041645336</v>
      </c>
      <c r="M98" s="119">
        <v>0.14748804164533599</v>
      </c>
      <c r="N98" s="119">
        <f t="shared" si="16"/>
        <v>2.4999999999999994E-2</v>
      </c>
      <c r="O98" s="119">
        <f t="shared" si="12"/>
        <v>7.499999999999998E-3</v>
      </c>
      <c r="P98" s="120">
        <v>1</v>
      </c>
      <c r="Q98" s="119">
        <f t="shared" si="13"/>
        <v>0.122488041645336</v>
      </c>
      <c r="R98" s="121">
        <v>3350</v>
      </c>
      <c r="S98" s="122">
        <f>R98</f>
        <v>3350</v>
      </c>
      <c r="T98" s="126">
        <v>400000</v>
      </c>
      <c r="U98" s="119">
        <f t="shared" si="17"/>
        <v>399916.25</v>
      </c>
      <c r="V98" s="134" t="s">
        <v>75</v>
      </c>
      <c r="W98" s="123"/>
      <c r="X98" s="124">
        <v>0.50900000000000001</v>
      </c>
      <c r="Y98" s="124" t="s">
        <v>62</v>
      </c>
      <c r="Z98" s="124"/>
      <c r="AA98" s="125">
        <v>0</v>
      </c>
      <c r="AB98" s="126">
        <f t="shared" si="10"/>
        <v>494.08493951187558</v>
      </c>
      <c r="AC98" s="126">
        <f t="shared" si="14"/>
        <v>0</v>
      </c>
      <c r="AD98" s="127">
        <f t="shared" si="11"/>
        <v>1.7051500000000002</v>
      </c>
      <c r="AE98" s="123"/>
    </row>
    <row r="99" spans="1:31" s="112" customFormat="1" x14ac:dyDescent="0.2">
      <c r="A99" s="110" t="s">
        <v>72</v>
      </c>
      <c r="B99" s="114" t="str">
        <f>VLOOKUP(A99,Sheet1!A:B,2,0)</f>
        <v>RCS DEVICE</v>
      </c>
      <c r="C99" s="110" t="s">
        <v>73</v>
      </c>
      <c r="D99" s="163" t="s">
        <v>74</v>
      </c>
      <c r="E99" s="110" t="s">
        <v>42</v>
      </c>
      <c r="F99" s="110" t="s">
        <v>60</v>
      </c>
      <c r="G99" s="162" t="s">
        <v>44</v>
      </c>
      <c r="H99" s="123">
        <v>2024</v>
      </c>
      <c r="I99" s="116">
        <v>6</v>
      </c>
      <c r="J99" s="117">
        <v>45590</v>
      </c>
      <c r="K99" s="118">
        <v>0.3</v>
      </c>
      <c r="L99" s="119">
        <v>1.8774416082318</v>
      </c>
      <c r="M99" s="119">
        <v>1.9124416082318001</v>
      </c>
      <c r="N99" s="119">
        <f t="shared" si="16"/>
        <v>3.5000000000000142E-2</v>
      </c>
      <c r="O99" s="119">
        <f t="shared" si="12"/>
        <v>1.0500000000000042E-2</v>
      </c>
      <c r="P99" s="120">
        <v>1</v>
      </c>
      <c r="Q99" s="119">
        <f t="shared" si="13"/>
        <v>1.8774416082318</v>
      </c>
      <c r="R99" s="121">
        <v>2300</v>
      </c>
      <c r="S99" s="122">
        <f t="shared" ref="S99:S118" si="18">S94+R99</f>
        <v>6237</v>
      </c>
      <c r="T99" s="126">
        <v>280000</v>
      </c>
      <c r="U99" s="119">
        <f t="shared" si="17"/>
        <v>279781.70500000002</v>
      </c>
      <c r="V99" s="134" t="s">
        <v>75</v>
      </c>
      <c r="W99" s="123"/>
      <c r="X99" s="124">
        <v>6.5389999999999997</v>
      </c>
      <c r="Y99" s="124" t="s">
        <v>62</v>
      </c>
      <c r="Z99" s="124" t="s">
        <v>63</v>
      </c>
      <c r="AA99" s="125">
        <v>1.2</v>
      </c>
      <c r="AB99" s="126">
        <f t="shared" si="10"/>
        <v>4398.6156989331403</v>
      </c>
      <c r="AC99" s="126">
        <f t="shared" si="14"/>
        <v>2760</v>
      </c>
      <c r="AD99" s="127">
        <f t="shared" si="11"/>
        <v>15.039699999999998</v>
      </c>
      <c r="AE99" s="123"/>
    </row>
    <row r="100" spans="1:31" s="112" customFormat="1" x14ac:dyDescent="0.2">
      <c r="A100" s="110" t="s">
        <v>72</v>
      </c>
      <c r="B100" s="114" t="str">
        <f>VLOOKUP(A100,Sheet1!A:B,2,0)</f>
        <v>RCS DEVICE</v>
      </c>
      <c r="C100" s="110" t="s">
        <v>76</v>
      </c>
      <c r="D100" s="163" t="s">
        <v>77</v>
      </c>
      <c r="E100" s="110" t="s">
        <v>42</v>
      </c>
      <c r="F100" s="110" t="s">
        <v>60</v>
      </c>
      <c r="G100" s="162" t="s">
        <v>44</v>
      </c>
      <c r="H100" s="123">
        <v>2024</v>
      </c>
      <c r="I100" s="116">
        <v>6</v>
      </c>
      <c r="J100" s="117">
        <v>45590</v>
      </c>
      <c r="K100" s="118">
        <v>0.3</v>
      </c>
      <c r="L100" s="119">
        <v>0.27335792652733598</v>
      </c>
      <c r="M100" s="119">
        <v>0.33085792652733598</v>
      </c>
      <c r="N100" s="119">
        <f t="shared" si="16"/>
        <v>5.7499999999999996E-2</v>
      </c>
      <c r="O100" s="119">
        <f t="shared" si="12"/>
        <v>1.7249999999999998E-2</v>
      </c>
      <c r="P100" s="120">
        <v>1</v>
      </c>
      <c r="Q100" s="119">
        <f t="shared" si="13"/>
        <v>0.27335792652733598</v>
      </c>
      <c r="R100" s="121">
        <v>2300</v>
      </c>
      <c r="S100" s="122">
        <f t="shared" si="18"/>
        <v>6250</v>
      </c>
      <c r="T100" s="126">
        <v>460000</v>
      </c>
      <c r="U100" s="119">
        <f t="shared" si="17"/>
        <v>459640.625</v>
      </c>
      <c r="V100" s="134" t="s">
        <v>75</v>
      </c>
      <c r="W100" s="123"/>
      <c r="X100" s="124">
        <v>3.3170000000000002</v>
      </c>
      <c r="Y100" s="124" t="s">
        <v>62</v>
      </c>
      <c r="Z100" s="124"/>
      <c r="AA100" s="125">
        <v>0</v>
      </c>
      <c r="AB100" s="126">
        <f t="shared" si="10"/>
        <v>760.9732310128727</v>
      </c>
      <c r="AC100" s="126">
        <f t="shared" si="14"/>
        <v>0</v>
      </c>
      <c r="AD100" s="127">
        <f t="shared" si="11"/>
        <v>7.6291000000000002</v>
      </c>
      <c r="AE100" s="123"/>
    </row>
    <row r="101" spans="1:31" s="112" customFormat="1" x14ac:dyDescent="0.2">
      <c r="A101" s="110" t="s">
        <v>72</v>
      </c>
      <c r="B101" s="114" t="str">
        <f>VLOOKUP(A101,Sheet1!A:B,2,0)</f>
        <v>RCS DEVICE</v>
      </c>
      <c r="C101" s="110" t="s">
        <v>78</v>
      </c>
      <c r="D101" s="163" t="s">
        <v>79</v>
      </c>
      <c r="E101" s="110" t="s">
        <v>42</v>
      </c>
      <c r="F101" s="110" t="s">
        <v>60</v>
      </c>
      <c r="G101" s="162" t="s">
        <v>44</v>
      </c>
      <c r="H101" s="123">
        <v>2024</v>
      </c>
      <c r="I101" s="116">
        <v>6</v>
      </c>
      <c r="J101" s="117">
        <v>45590</v>
      </c>
      <c r="K101" s="118">
        <v>0.3</v>
      </c>
      <c r="L101" s="119">
        <v>0.20453293319930799</v>
      </c>
      <c r="M101" s="119">
        <v>0.23078293319930801</v>
      </c>
      <c r="N101" s="119">
        <f t="shared" si="16"/>
        <v>2.6250000000000023E-2</v>
      </c>
      <c r="O101" s="119">
        <f t="shared" si="12"/>
        <v>7.875000000000007E-3</v>
      </c>
      <c r="P101" s="120">
        <v>1</v>
      </c>
      <c r="Q101" s="119">
        <f t="shared" si="13"/>
        <v>0.20453293319930799</v>
      </c>
      <c r="R101" s="121">
        <v>12000</v>
      </c>
      <c r="S101" s="122">
        <f t="shared" si="18"/>
        <v>15600</v>
      </c>
      <c r="T101" s="126">
        <v>420000</v>
      </c>
      <c r="U101" s="119">
        <f t="shared" si="17"/>
        <v>419590.5</v>
      </c>
      <c r="V101" s="134" t="s">
        <v>70</v>
      </c>
      <c r="W101" s="123"/>
      <c r="X101" s="124">
        <v>4.2469999999999999</v>
      </c>
      <c r="Y101" s="124" t="s">
        <v>71</v>
      </c>
      <c r="Z101" s="124"/>
      <c r="AA101" s="125">
        <v>0</v>
      </c>
      <c r="AB101" s="126">
        <f t="shared" si="10"/>
        <v>2769.3951983916963</v>
      </c>
      <c r="AC101" s="126">
        <f t="shared" si="14"/>
        <v>0</v>
      </c>
      <c r="AD101" s="127">
        <f t="shared" si="11"/>
        <v>50.963999999999999</v>
      </c>
      <c r="AE101" s="123"/>
    </row>
    <row r="102" spans="1:31" s="112" customFormat="1" x14ac:dyDescent="0.2">
      <c r="A102" s="110" t="s">
        <v>72</v>
      </c>
      <c r="B102" s="114" t="str">
        <f>VLOOKUP(A102,Sheet1!A:B,2,0)</f>
        <v>RCS DEVICE</v>
      </c>
      <c r="C102" s="110" t="s">
        <v>66</v>
      </c>
      <c r="D102" s="163" t="s">
        <v>80</v>
      </c>
      <c r="E102" s="110" t="s">
        <v>42</v>
      </c>
      <c r="F102" s="110" t="s">
        <v>60</v>
      </c>
      <c r="G102" s="162" t="s">
        <v>44</v>
      </c>
      <c r="H102" s="123">
        <v>2024</v>
      </c>
      <c r="I102" s="116">
        <v>6</v>
      </c>
      <c r="J102" s="117">
        <v>45590</v>
      </c>
      <c r="K102" s="118">
        <v>0.3</v>
      </c>
      <c r="L102" s="119">
        <v>0.120262750041086</v>
      </c>
      <c r="M102" s="119">
        <v>0.14526275004108599</v>
      </c>
      <c r="N102" s="119">
        <f t="shared" si="16"/>
        <v>2.4999999999999994E-2</v>
      </c>
      <c r="O102" s="119">
        <f t="shared" si="12"/>
        <v>7.499999999999998E-3</v>
      </c>
      <c r="P102" s="120">
        <v>1</v>
      </c>
      <c r="Q102" s="119">
        <f t="shared" si="13"/>
        <v>0.120262750041086</v>
      </c>
      <c r="R102" s="121">
        <v>1800</v>
      </c>
      <c r="S102" s="122">
        <f t="shared" si="18"/>
        <v>5750</v>
      </c>
      <c r="T102" s="126">
        <v>400000</v>
      </c>
      <c r="U102" s="119">
        <f t="shared" si="17"/>
        <v>399856.25</v>
      </c>
      <c r="V102" s="134" t="s">
        <v>70</v>
      </c>
      <c r="W102" s="123"/>
      <c r="X102" s="124">
        <v>0.53500000000000003</v>
      </c>
      <c r="Y102" s="124" t="s">
        <v>71</v>
      </c>
      <c r="Z102" s="124"/>
      <c r="AA102" s="125">
        <v>0</v>
      </c>
      <c r="AB102" s="126">
        <f t="shared" si="10"/>
        <v>261.47295007395479</v>
      </c>
      <c r="AC102" s="126">
        <f t="shared" si="14"/>
        <v>0</v>
      </c>
      <c r="AD102" s="127">
        <f t="shared" si="11"/>
        <v>0.96299999999999997</v>
      </c>
      <c r="AE102" s="123"/>
    </row>
    <row r="103" spans="1:31" s="112" customFormat="1" x14ac:dyDescent="0.2">
      <c r="A103" s="110" t="s">
        <v>72</v>
      </c>
      <c r="B103" s="114" t="str">
        <f>VLOOKUP(A103,Sheet1!A:B,2,0)</f>
        <v>RCS DEVICE</v>
      </c>
      <c r="C103" s="110" t="s">
        <v>81</v>
      </c>
      <c r="D103" s="163" t="s">
        <v>82</v>
      </c>
      <c r="E103" s="110" t="s">
        <v>42</v>
      </c>
      <c r="F103" s="110" t="s">
        <v>60</v>
      </c>
      <c r="G103" s="162" t="s">
        <v>44</v>
      </c>
      <c r="H103" s="123">
        <v>2024</v>
      </c>
      <c r="I103" s="116">
        <v>6</v>
      </c>
      <c r="J103" s="117">
        <v>45590</v>
      </c>
      <c r="K103" s="118">
        <v>0.3</v>
      </c>
      <c r="L103" s="119">
        <v>0.122488041645336</v>
      </c>
      <c r="M103" s="119">
        <v>0.14748804164533599</v>
      </c>
      <c r="N103" s="119">
        <f t="shared" si="16"/>
        <v>2.4999999999999994E-2</v>
      </c>
      <c r="O103" s="119">
        <f t="shared" si="12"/>
        <v>7.499999999999998E-3</v>
      </c>
      <c r="P103" s="120">
        <v>1</v>
      </c>
      <c r="Q103" s="119">
        <f t="shared" si="13"/>
        <v>0.122488041645336</v>
      </c>
      <c r="R103" s="121">
        <v>0</v>
      </c>
      <c r="S103" s="122">
        <f t="shared" si="18"/>
        <v>3350</v>
      </c>
      <c r="T103" s="126">
        <v>400000</v>
      </c>
      <c r="U103" s="119">
        <f t="shared" si="17"/>
        <v>399916.25</v>
      </c>
      <c r="V103" s="134" t="s">
        <v>75</v>
      </c>
      <c r="W103" s="123"/>
      <c r="X103" s="124">
        <v>0.50900000000000001</v>
      </c>
      <c r="Y103" s="124" t="s">
        <v>62</v>
      </c>
      <c r="Z103" s="124"/>
      <c r="AA103" s="125">
        <v>0</v>
      </c>
      <c r="AB103" s="126">
        <f t="shared" si="10"/>
        <v>0</v>
      </c>
      <c r="AC103" s="126">
        <f t="shared" si="14"/>
        <v>0</v>
      </c>
      <c r="AD103" s="127">
        <f t="shared" si="11"/>
        <v>0</v>
      </c>
      <c r="AE103" s="123"/>
    </row>
    <row r="104" spans="1:31" s="112" customFormat="1" x14ac:dyDescent="0.2">
      <c r="A104" s="110" t="s">
        <v>72</v>
      </c>
      <c r="B104" s="114" t="str">
        <f>VLOOKUP(A104,Sheet1!A:B,2,0)</f>
        <v>RCS DEVICE</v>
      </c>
      <c r="C104" s="110" t="s">
        <v>73</v>
      </c>
      <c r="D104" s="163" t="s">
        <v>74</v>
      </c>
      <c r="E104" s="110" t="s">
        <v>42</v>
      </c>
      <c r="F104" s="110" t="s">
        <v>60</v>
      </c>
      <c r="G104" s="162" t="s">
        <v>44</v>
      </c>
      <c r="H104" s="123">
        <v>2024</v>
      </c>
      <c r="I104" s="116">
        <v>7</v>
      </c>
      <c r="J104" s="117">
        <v>45590</v>
      </c>
      <c r="K104" s="118">
        <v>0.3</v>
      </c>
      <c r="L104" s="119">
        <v>1.8774416082318</v>
      </c>
      <c r="M104" s="119">
        <v>1.9124416082318001</v>
      </c>
      <c r="N104" s="119">
        <f t="shared" si="16"/>
        <v>3.5000000000000142E-2</v>
      </c>
      <c r="O104" s="119">
        <f t="shared" si="12"/>
        <v>1.0500000000000042E-2</v>
      </c>
      <c r="P104" s="120">
        <v>1</v>
      </c>
      <c r="Q104" s="119">
        <f t="shared" si="13"/>
        <v>1.8774416082318</v>
      </c>
      <c r="R104" s="121">
        <v>23150</v>
      </c>
      <c r="S104" s="122">
        <f t="shared" si="18"/>
        <v>29387</v>
      </c>
      <c r="T104" s="126">
        <v>280000</v>
      </c>
      <c r="U104" s="119">
        <f t="shared" si="17"/>
        <v>278971.45500000002</v>
      </c>
      <c r="V104" s="134" t="s">
        <v>75</v>
      </c>
      <c r="W104" s="123"/>
      <c r="X104" s="124">
        <v>6.5389999999999997</v>
      </c>
      <c r="Y104" s="124" t="s">
        <v>62</v>
      </c>
      <c r="Z104" s="124" t="s">
        <v>63</v>
      </c>
      <c r="AA104" s="125">
        <v>1.2</v>
      </c>
      <c r="AB104" s="126">
        <f t="shared" si="10"/>
        <v>44273.02323056617</v>
      </c>
      <c r="AC104" s="126">
        <f t="shared" si="14"/>
        <v>27780</v>
      </c>
      <c r="AD104" s="127">
        <f t="shared" si="11"/>
        <v>151.37785</v>
      </c>
      <c r="AE104" s="123"/>
    </row>
    <row r="105" spans="1:31" s="112" customFormat="1" x14ac:dyDescent="0.2">
      <c r="A105" s="110" t="s">
        <v>72</v>
      </c>
      <c r="B105" s="114" t="str">
        <f>VLOOKUP(A105,Sheet1!A:B,2,0)</f>
        <v>RCS DEVICE</v>
      </c>
      <c r="C105" s="110" t="s">
        <v>76</v>
      </c>
      <c r="D105" s="163" t="s">
        <v>77</v>
      </c>
      <c r="E105" s="110" t="s">
        <v>42</v>
      </c>
      <c r="F105" s="110" t="s">
        <v>60</v>
      </c>
      <c r="G105" s="162" t="s">
        <v>44</v>
      </c>
      <c r="H105" s="123">
        <v>2024</v>
      </c>
      <c r="I105" s="116">
        <v>7</v>
      </c>
      <c r="J105" s="117">
        <v>45590</v>
      </c>
      <c r="K105" s="118">
        <v>0.3</v>
      </c>
      <c r="L105" s="119">
        <v>0.27335792652733598</v>
      </c>
      <c r="M105" s="119">
        <v>0.33085792652733598</v>
      </c>
      <c r="N105" s="119">
        <f t="shared" si="16"/>
        <v>5.7499999999999996E-2</v>
      </c>
      <c r="O105" s="119">
        <f t="shared" si="12"/>
        <v>1.7249999999999998E-2</v>
      </c>
      <c r="P105" s="120">
        <v>1</v>
      </c>
      <c r="Q105" s="119">
        <f t="shared" si="13"/>
        <v>0.27335792652733598</v>
      </c>
      <c r="R105" s="121">
        <v>111670</v>
      </c>
      <c r="S105" s="122">
        <f t="shared" si="18"/>
        <v>117920</v>
      </c>
      <c r="T105" s="126">
        <v>460000</v>
      </c>
      <c r="U105" s="119">
        <f t="shared" si="17"/>
        <v>453219.6</v>
      </c>
      <c r="V105" s="134" t="s">
        <v>75</v>
      </c>
      <c r="W105" s="123"/>
      <c r="X105" s="124">
        <v>3.3170000000000002</v>
      </c>
      <c r="Y105" s="124" t="s">
        <v>62</v>
      </c>
      <c r="Z105" s="124"/>
      <c r="AA105" s="125">
        <v>0</v>
      </c>
      <c r="AB105" s="126">
        <f t="shared" si="10"/>
        <v>36946.904655307611</v>
      </c>
      <c r="AC105" s="126">
        <f t="shared" si="14"/>
        <v>0</v>
      </c>
      <c r="AD105" s="127">
        <f t="shared" si="11"/>
        <v>370.40939000000003</v>
      </c>
      <c r="AE105" s="123"/>
    </row>
    <row r="106" spans="1:31" s="112" customFormat="1" x14ac:dyDescent="0.2">
      <c r="A106" s="110" t="s">
        <v>72</v>
      </c>
      <c r="B106" s="114" t="str">
        <f>VLOOKUP(A106,Sheet1!A:B,2,0)</f>
        <v>RCS DEVICE</v>
      </c>
      <c r="C106" s="110" t="s">
        <v>78</v>
      </c>
      <c r="D106" s="163" t="s">
        <v>79</v>
      </c>
      <c r="E106" s="110" t="s">
        <v>42</v>
      </c>
      <c r="F106" s="110" t="s">
        <v>60</v>
      </c>
      <c r="G106" s="162" t="s">
        <v>44</v>
      </c>
      <c r="H106" s="123">
        <v>2024</v>
      </c>
      <c r="I106" s="116">
        <v>7</v>
      </c>
      <c r="J106" s="117">
        <v>45590</v>
      </c>
      <c r="K106" s="118">
        <v>0.3</v>
      </c>
      <c r="L106" s="119">
        <v>0.20453293319930799</v>
      </c>
      <c r="M106" s="119">
        <v>0.23078293319930801</v>
      </c>
      <c r="N106" s="119">
        <f t="shared" si="16"/>
        <v>2.6250000000000023E-2</v>
      </c>
      <c r="O106" s="119">
        <f t="shared" si="12"/>
        <v>7.875000000000007E-3</v>
      </c>
      <c r="P106" s="120">
        <v>1</v>
      </c>
      <c r="Q106" s="119">
        <f t="shared" si="13"/>
        <v>0.20453293319930799</v>
      </c>
      <c r="R106" s="121">
        <v>139000</v>
      </c>
      <c r="S106" s="122">
        <f t="shared" si="18"/>
        <v>154600</v>
      </c>
      <c r="T106" s="126">
        <v>420000</v>
      </c>
      <c r="U106" s="119">
        <f t="shared" si="17"/>
        <v>415941.75</v>
      </c>
      <c r="V106" s="134" t="s">
        <v>70</v>
      </c>
      <c r="W106" s="123"/>
      <c r="X106" s="124">
        <v>4.2469999999999999</v>
      </c>
      <c r="Y106" s="124" t="s">
        <v>71</v>
      </c>
      <c r="Z106" s="124"/>
      <c r="AA106" s="125">
        <v>0</v>
      </c>
      <c r="AB106" s="126">
        <f t="shared" si="10"/>
        <v>32078.827714703813</v>
      </c>
      <c r="AC106" s="126">
        <f t="shared" si="14"/>
        <v>0</v>
      </c>
      <c r="AD106" s="127">
        <f t="shared" si="11"/>
        <v>590.33299999999997</v>
      </c>
      <c r="AE106" s="123"/>
    </row>
    <row r="107" spans="1:31" s="112" customFormat="1" x14ac:dyDescent="0.2">
      <c r="A107" s="110" t="s">
        <v>72</v>
      </c>
      <c r="B107" s="114" t="str">
        <f>VLOOKUP(A107,Sheet1!A:B,2,0)</f>
        <v>RCS DEVICE</v>
      </c>
      <c r="C107" s="110" t="s">
        <v>66</v>
      </c>
      <c r="D107" s="163" t="s">
        <v>80</v>
      </c>
      <c r="E107" s="110" t="s">
        <v>42</v>
      </c>
      <c r="F107" s="110" t="s">
        <v>60</v>
      </c>
      <c r="G107" s="162" t="s">
        <v>44</v>
      </c>
      <c r="H107" s="123">
        <v>2024</v>
      </c>
      <c r="I107" s="116">
        <v>7</v>
      </c>
      <c r="J107" s="117">
        <v>45590</v>
      </c>
      <c r="K107" s="118">
        <v>0.3</v>
      </c>
      <c r="L107" s="119">
        <v>0.120262750041086</v>
      </c>
      <c r="M107" s="119">
        <v>0.14526275004108599</v>
      </c>
      <c r="N107" s="119">
        <f t="shared" si="16"/>
        <v>2.4999999999999994E-2</v>
      </c>
      <c r="O107" s="119">
        <f t="shared" si="12"/>
        <v>7.499999999999998E-3</v>
      </c>
      <c r="P107" s="120">
        <v>1</v>
      </c>
      <c r="Q107" s="119">
        <f t="shared" si="13"/>
        <v>0.120262750041086</v>
      </c>
      <c r="R107" s="121">
        <v>135940</v>
      </c>
      <c r="S107" s="122">
        <f t="shared" si="18"/>
        <v>141690</v>
      </c>
      <c r="T107" s="126">
        <v>400000</v>
      </c>
      <c r="U107" s="119">
        <f t="shared" si="17"/>
        <v>396457.75</v>
      </c>
      <c r="V107" s="134" t="s">
        <v>70</v>
      </c>
      <c r="W107" s="123"/>
      <c r="X107" s="124">
        <v>0.53500000000000003</v>
      </c>
      <c r="Y107" s="124" t="s">
        <v>71</v>
      </c>
      <c r="Z107" s="124"/>
      <c r="AA107" s="125">
        <v>0</v>
      </c>
      <c r="AB107" s="126">
        <f t="shared" si="10"/>
        <v>19747.018240585228</v>
      </c>
      <c r="AC107" s="126">
        <f t="shared" si="14"/>
        <v>0</v>
      </c>
      <c r="AD107" s="127">
        <f t="shared" si="11"/>
        <v>72.727900000000005</v>
      </c>
      <c r="AE107" s="123"/>
    </row>
    <row r="108" spans="1:31" s="112" customFormat="1" x14ac:dyDescent="0.2">
      <c r="A108" s="110" t="s">
        <v>72</v>
      </c>
      <c r="B108" s="114" t="str">
        <f>VLOOKUP(A108,Sheet1!A:B,2,0)</f>
        <v>RCS DEVICE</v>
      </c>
      <c r="C108" s="110" t="s">
        <v>81</v>
      </c>
      <c r="D108" s="163" t="s">
        <v>82</v>
      </c>
      <c r="E108" s="110" t="s">
        <v>42</v>
      </c>
      <c r="F108" s="110" t="s">
        <v>60</v>
      </c>
      <c r="G108" s="162" t="s">
        <v>44</v>
      </c>
      <c r="H108" s="123">
        <v>2024</v>
      </c>
      <c r="I108" s="116">
        <v>7</v>
      </c>
      <c r="J108" s="117">
        <v>45590</v>
      </c>
      <c r="K108" s="118">
        <v>0.3</v>
      </c>
      <c r="L108" s="119">
        <v>0.122488041645336</v>
      </c>
      <c r="M108" s="119">
        <v>0.14748804164533599</v>
      </c>
      <c r="N108" s="119">
        <f t="shared" si="16"/>
        <v>2.4999999999999994E-2</v>
      </c>
      <c r="O108" s="119">
        <f t="shared" si="12"/>
        <v>7.499999999999998E-3</v>
      </c>
      <c r="P108" s="120">
        <v>1</v>
      </c>
      <c r="Q108" s="119">
        <f t="shared" si="13"/>
        <v>0.122488041645336</v>
      </c>
      <c r="R108" s="121">
        <v>313200</v>
      </c>
      <c r="S108" s="122">
        <f t="shared" si="18"/>
        <v>316550</v>
      </c>
      <c r="T108" s="126">
        <v>400000</v>
      </c>
      <c r="U108" s="119">
        <f t="shared" si="17"/>
        <v>392086.25</v>
      </c>
      <c r="V108" s="134" t="s">
        <v>75</v>
      </c>
      <c r="W108" s="123"/>
      <c r="X108" s="124">
        <v>0.50900000000000001</v>
      </c>
      <c r="Y108" s="124" t="s">
        <v>62</v>
      </c>
      <c r="Z108" s="124"/>
      <c r="AA108" s="125">
        <v>0</v>
      </c>
      <c r="AB108" s="126">
        <f t="shared" si="10"/>
        <v>46193.254643319233</v>
      </c>
      <c r="AC108" s="126">
        <f t="shared" si="14"/>
        <v>0</v>
      </c>
      <c r="AD108" s="127">
        <f t="shared" si="11"/>
        <v>159.41879999999998</v>
      </c>
      <c r="AE108" s="123"/>
    </row>
    <row r="109" spans="1:31" s="112" customFormat="1" x14ac:dyDescent="0.2">
      <c r="A109" s="110" t="s">
        <v>72</v>
      </c>
      <c r="B109" s="114" t="str">
        <f>VLOOKUP(A109,Sheet1!A:B,2,0)</f>
        <v>RCS DEVICE</v>
      </c>
      <c r="C109" s="110" t="s">
        <v>73</v>
      </c>
      <c r="D109" s="163" t="s">
        <v>74</v>
      </c>
      <c r="E109" s="110" t="s">
        <v>42</v>
      </c>
      <c r="F109" s="110" t="s">
        <v>60</v>
      </c>
      <c r="G109" s="162" t="s">
        <v>44</v>
      </c>
      <c r="H109" s="123">
        <v>2024</v>
      </c>
      <c r="I109" s="116">
        <v>8</v>
      </c>
      <c r="J109" s="117">
        <v>45590</v>
      </c>
      <c r="K109" s="118">
        <v>0.3</v>
      </c>
      <c r="L109" s="119">
        <v>1.8774416082318</v>
      </c>
      <c r="M109" s="119">
        <v>1.9124416082318001</v>
      </c>
      <c r="N109" s="119">
        <f t="shared" si="16"/>
        <v>3.5000000000000142E-2</v>
      </c>
      <c r="O109" s="119">
        <f t="shared" si="12"/>
        <v>1.0500000000000042E-2</v>
      </c>
      <c r="P109" s="120">
        <v>1</v>
      </c>
      <c r="Q109" s="119">
        <f t="shared" si="13"/>
        <v>1.8774416082318</v>
      </c>
      <c r="R109" s="121">
        <v>214361</v>
      </c>
      <c r="S109" s="122">
        <f t="shared" si="18"/>
        <v>243748</v>
      </c>
      <c r="T109" s="126">
        <v>280000</v>
      </c>
      <c r="U109" s="119">
        <f t="shared" si="17"/>
        <v>271468.81999999995</v>
      </c>
      <c r="V109" s="134" t="s">
        <v>75</v>
      </c>
      <c r="W109" s="123"/>
      <c r="X109" s="124">
        <v>6.5389999999999997</v>
      </c>
      <c r="Y109" s="124" t="s">
        <v>62</v>
      </c>
      <c r="Z109" s="124" t="s">
        <v>63</v>
      </c>
      <c r="AA109" s="125">
        <v>1.2</v>
      </c>
      <c r="AB109" s="126">
        <f t="shared" si="10"/>
        <v>409952.89558217692</v>
      </c>
      <c r="AC109" s="126">
        <f t="shared" si="14"/>
        <v>257233.19999999998</v>
      </c>
      <c r="AD109" s="127">
        <f t="shared" si="11"/>
        <v>1401.7065789999999</v>
      </c>
      <c r="AE109" s="123"/>
    </row>
    <row r="110" spans="1:31" s="112" customFormat="1" x14ac:dyDescent="0.2">
      <c r="A110" s="110" t="s">
        <v>72</v>
      </c>
      <c r="B110" s="114" t="str">
        <f>VLOOKUP(A110,Sheet1!A:B,2,0)</f>
        <v>RCS DEVICE</v>
      </c>
      <c r="C110" s="110" t="s">
        <v>76</v>
      </c>
      <c r="D110" s="163" t="s">
        <v>77</v>
      </c>
      <c r="E110" s="110" t="s">
        <v>42</v>
      </c>
      <c r="F110" s="110" t="s">
        <v>60</v>
      </c>
      <c r="G110" s="162" t="s">
        <v>44</v>
      </c>
      <c r="H110" s="123">
        <v>2024</v>
      </c>
      <c r="I110" s="116">
        <v>8</v>
      </c>
      <c r="J110" s="117">
        <v>45590</v>
      </c>
      <c r="K110" s="118">
        <v>0.3</v>
      </c>
      <c r="L110" s="119">
        <v>0.27335792652733598</v>
      </c>
      <c r="M110" s="119">
        <v>0.33085792652733598</v>
      </c>
      <c r="N110" s="119">
        <f t="shared" si="16"/>
        <v>5.7499999999999996E-2</v>
      </c>
      <c r="O110" s="119">
        <f t="shared" si="12"/>
        <v>1.7249999999999998E-2</v>
      </c>
      <c r="P110" s="120">
        <v>1</v>
      </c>
      <c r="Q110" s="119">
        <f t="shared" si="13"/>
        <v>0.27335792652733598</v>
      </c>
      <c r="R110" s="121">
        <v>432465</v>
      </c>
      <c r="S110" s="122">
        <f t="shared" si="18"/>
        <v>550385</v>
      </c>
      <c r="T110" s="126">
        <v>460000</v>
      </c>
      <c r="U110" s="119">
        <f t="shared" si="17"/>
        <v>428352.86249999999</v>
      </c>
      <c r="V110" s="134" t="s">
        <v>75</v>
      </c>
      <c r="W110" s="123"/>
      <c r="X110" s="124">
        <v>3.3170000000000002</v>
      </c>
      <c r="Y110" s="124" t="s">
        <v>62</v>
      </c>
      <c r="Z110" s="124"/>
      <c r="AA110" s="125">
        <v>0</v>
      </c>
      <c r="AB110" s="126">
        <f t="shared" si="10"/>
        <v>143084.47319564436</v>
      </c>
      <c r="AC110" s="126">
        <f t="shared" si="14"/>
        <v>0</v>
      </c>
      <c r="AD110" s="127">
        <f t="shared" si="11"/>
        <v>1434.4864050000001</v>
      </c>
      <c r="AE110" s="123"/>
    </row>
    <row r="111" spans="1:31" s="112" customFormat="1" x14ac:dyDescent="0.2">
      <c r="A111" s="110" t="s">
        <v>72</v>
      </c>
      <c r="B111" s="114" t="str">
        <f>VLOOKUP(A111,Sheet1!A:B,2,0)</f>
        <v>RCS DEVICE</v>
      </c>
      <c r="C111" s="110" t="s">
        <v>78</v>
      </c>
      <c r="D111" s="163" t="s">
        <v>79</v>
      </c>
      <c r="E111" s="110" t="s">
        <v>42</v>
      </c>
      <c r="F111" s="110" t="s">
        <v>60</v>
      </c>
      <c r="G111" s="162" t="s">
        <v>44</v>
      </c>
      <c r="H111" s="123">
        <v>2024</v>
      </c>
      <c r="I111" s="116">
        <v>8</v>
      </c>
      <c r="J111" s="117">
        <v>45590</v>
      </c>
      <c r="K111" s="118">
        <v>0.3</v>
      </c>
      <c r="L111" s="119">
        <v>0.20453293319930799</v>
      </c>
      <c r="M111" s="119">
        <v>0.23078293319930801</v>
      </c>
      <c r="N111" s="119">
        <f t="shared" si="16"/>
        <v>2.6250000000000023E-2</v>
      </c>
      <c r="O111" s="119">
        <f t="shared" si="12"/>
        <v>7.875000000000007E-3</v>
      </c>
      <c r="P111" s="120">
        <v>1</v>
      </c>
      <c r="Q111" s="119">
        <f t="shared" si="13"/>
        <v>0.20453293319930799</v>
      </c>
      <c r="R111" s="121">
        <v>876117</v>
      </c>
      <c r="S111" s="122">
        <f t="shared" si="18"/>
        <v>1030717</v>
      </c>
      <c r="T111" s="126">
        <v>420000</v>
      </c>
      <c r="U111" s="119">
        <f t="shared" si="17"/>
        <v>392943.67874999996</v>
      </c>
      <c r="V111" s="134" t="s">
        <v>70</v>
      </c>
      <c r="W111" s="123"/>
      <c r="X111" s="124">
        <v>4.2469999999999999</v>
      </c>
      <c r="Y111" s="124" t="s">
        <v>71</v>
      </c>
      <c r="Z111" s="124"/>
      <c r="AA111" s="125">
        <v>0</v>
      </c>
      <c r="AB111" s="126">
        <f t="shared" si="10"/>
        <v>202192.85108577812</v>
      </c>
      <c r="AC111" s="126">
        <f t="shared" si="14"/>
        <v>0</v>
      </c>
      <c r="AD111" s="127">
        <f t="shared" si="11"/>
        <v>3720.8688989999996</v>
      </c>
      <c r="AE111" s="123"/>
    </row>
    <row r="112" spans="1:31" s="112" customFormat="1" x14ac:dyDescent="0.2">
      <c r="A112" s="110" t="s">
        <v>72</v>
      </c>
      <c r="B112" s="114" t="str">
        <f>VLOOKUP(A112,Sheet1!A:B,2,0)</f>
        <v>RCS DEVICE</v>
      </c>
      <c r="C112" s="110" t="s">
        <v>66</v>
      </c>
      <c r="D112" s="163" t="s">
        <v>80</v>
      </c>
      <c r="E112" s="110" t="s">
        <v>42</v>
      </c>
      <c r="F112" s="110" t="s">
        <v>60</v>
      </c>
      <c r="G112" s="162" t="s">
        <v>44</v>
      </c>
      <c r="H112" s="123">
        <v>2024</v>
      </c>
      <c r="I112" s="116">
        <v>8</v>
      </c>
      <c r="J112" s="117">
        <v>45590</v>
      </c>
      <c r="K112" s="118">
        <v>0.3</v>
      </c>
      <c r="L112" s="119">
        <v>0.120262750041086</v>
      </c>
      <c r="M112" s="119">
        <v>0.14526275004108599</v>
      </c>
      <c r="N112" s="119">
        <f t="shared" si="16"/>
        <v>2.4999999999999994E-2</v>
      </c>
      <c r="O112" s="119">
        <f t="shared" si="12"/>
        <v>7.499999999999998E-3</v>
      </c>
      <c r="P112" s="120">
        <v>1</v>
      </c>
      <c r="Q112" s="119">
        <f t="shared" si="13"/>
        <v>0.120262750041086</v>
      </c>
      <c r="R112" s="121">
        <v>674635</v>
      </c>
      <c r="S112" s="122">
        <f t="shared" si="18"/>
        <v>816325</v>
      </c>
      <c r="T112" s="126">
        <v>400000</v>
      </c>
      <c r="U112" s="119">
        <f t="shared" si="17"/>
        <v>379591.875</v>
      </c>
      <c r="V112" s="134" t="s">
        <v>70</v>
      </c>
      <c r="W112" s="123"/>
      <c r="X112" s="124">
        <v>0.53500000000000003</v>
      </c>
      <c r="Y112" s="124" t="s">
        <v>71</v>
      </c>
      <c r="Z112" s="124"/>
      <c r="AA112" s="125">
        <v>0</v>
      </c>
      <c r="AB112" s="126">
        <f t="shared" si="10"/>
        <v>97999.335373968046</v>
      </c>
      <c r="AC112" s="126">
        <f t="shared" si="14"/>
        <v>0</v>
      </c>
      <c r="AD112" s="127">
        <f t="shared" si="11"/>
        <v>360.92972500000002</v>
      </c>
      <c r="AE112" s="123"/>
    </row>
    <row r="113" spans="1:31" s="112" customFormat="1" x14ac:dyDescent="0.2">
      <c r="A113" s="110" t="s">
        <v>72</v>
      </c>
      <c r="B113" s="114" t="str">
        <f>VLOOKUP(A113,Sheet1!A:B,2,0)</f>
        <v>RCS DEVICE</v>
      </c>
      <c r="C113" s="110" t="s">
        <v>81</v>
      </c>
      <c r="D113" s="163" t="s">
        <v>82</v>
      </c>
      <c r="E113" s="110" t="s">
        <v>42</v>
      </c>
      <c r="F113" s="110" t="s">
        <v>60</v>
      </c>
      <c r="G113" s="162" t="s">
        <v>44</v>
      </c>
      <c r="H113" s="123">
        <v>2024</v>
      </c>
      <c r="I113" s="116">
        <v>8</v>
      </c>
      <c r="J113" s="117">
        <v>45590</v>
      </c>
      <c r="K113" s="118">
        <v>0.3</v>
      </c>
      <c r="L113" s="119">
        <v>0.122488041645336</v>
      </c>
      <c r="M113" s="119">
        <v>0.14748804164533599</v>
      </c>
      <c r="N113" s="119">
        <f t="shared" si="16"/>
        <v>2.4999999999999994E-2</v>
      </c>
      <c r="O113" s="119">
        <f t="shared" si="12"/>
        <v>7.499999999999998E-3</v>
      </c>
      <c r="P113" s="120">
        <v>1</v>
      </c>
      <c r="Q113" s="119">
        <f t="shared" si="13"/>
        <v>0.122488041645336</v>
      </c>
      <c r="R113" s="121">
        <v>653125</v>
      </c>
      <c r="S113" s="122">
        <f t="shared" si="18"/>
        <v>969675</v>
      </c>
      <c r="T113" s="126">
        <v>400000</v>
      </c>
      <c r="U113" s="119">
        <f t="shared" si="17"/>
        <v>375758.125</v>
      </c>
      <c r="V113" s="134" t="s">
        <v>75</v>
      </c>
      <c r="W113" s="123"/>
      <c r="X113" s="124">
        <v>0.50900000000000001</v>
      </c>
      <c r="Y113" s="124" t="s">
        <v>62</v>
      </c>
      <c r="Z113" s="124"/>
      <c r="AA113" s="125">
        <v>0</v>
      </c>
      <c r="AB113" s="126">
        <f t="shared" si="10"/>
        <v>96328.12719961007</v>
      </c>
      <c r="AC113" s="126">
        <f t="shared" si="14"/>
        <v>0</v>
      </c>
      <c r="AD113" s="127">
        <f t="shared" si="11"/>
        <v>332.44062500000001</v>
      </c>
      <c r="AE113" s="123"/>
    </row>
    <row r="114" spans="1:31" s="112" customFormat="1" x14ac:dyDescent="0.2">
      <c r="A114" s="110" t="s">
        <v>72</v>
      </c>
      <c r="B114" s="114" t="str">
        <f>VLOOKUP(A114,Sheet1!A:B,2,0)</f>
        <v>RCS DEVICE</v>
      </c>
      <c r="C114" s="110" t="s">
        <v>73</v>
      </c>
      <c r="D114" s="163" t="s">
        <v>74</v>
      </c>
      <c r="E114" s="110" t="s">
        <v>42</v>
      </c>
      <c r="F114" s="110" t="s">
        <v>60</v>
      </c>
      <c r="G114" s="162" t="s">
        <v>44</v>
      </c>
      <c r="H114" s="123">
        <v>2024</v>
      </c>
      <c r="I114" s="116">
        <v>9</v>
      </c>
      <c r="J114" s="117">
        <v>45590</v>
      </c>
      <c r="K114" s="118">
        <v>0.3</v>
      </c>
      <c r="L114" s="119">
        <v>1.8774416082318</v>
      </c>
      <c r="M114" s="119">
        <v>1.9124416082318001</v>
      </c>
      <c r="N114" s="119">
        <f t="shared" si="16"/>
        <v>3.5000000000000142E-2</v>
      </c>
      <c r="O114" s="119">
        <f t="shared" si="12"/>
        <v>1.0500000000000042E-2</v>
      </c>
      <c r="P114" s="120">
        <v>1</v>
      </c>
      <c r="Q114" s="119">
        <f t="shared" si="13"/>
        <v>1.8774416082318</v>
      </c>
      <c r="R114" s="121">
        <v>246042</v>
      </c>
      <c r="S114" s="122">
        <f t="shared" si="18"/>
        <v>489790</v>
      </c>
      <c r="T114" s="126">
        <v>280000</v>
      </c>
      <c r="U114" s="119">
        <f t="shared" si="17"/>
        <v>262857.34999999992</v>
      </c>
      <c r="V114" s="134" t="s">
        <v>75</v>
      </c>
      <c r="W114" s="123"/>
      <c r="X114" s="124">
        <v>6.5389999999999997</v>
      </c>
      <c r="Y114" s="124" t="s">
        <v>62</v>
      </c>
      <c r="Z114" s="124" t="s">
        <v>63</v>
      </c>
      <c r="AA114" s="125">
        <v>1.2</v>
      </c>
      <c r="AB114" s="126">
        <f t="shared" si="10"/>
        <v>470540.95817256859</v>
      </c>
      <c r="AC114" s="126">
        <f t="shared" si="14"/>
        <v>295250.39999999997</v>
      </c>
      <c r="AD114" s="127">
        <f t="shared" si="11"/>
        <v>1608.8686380000001</v>
      </c>
      <c r="AE114" s="123"/>
    </row>
    <row r="115" spans="1:31" s="112" customFormat="1" x14ac:dyDescent="0.2">
      <c r="A115" s="110" t="s">
        <v>72</v>
      </c>
      <c r="B115" s="114" t="str">
        <f>VLOOKUP(A115,Sheet1!A:B,2,0)</f>
        <v>RCS DEVICE</v>
      </c>
      <c r="C115" s="110" t="s">
        <v>76</v>
      </c>
      <c r="D115" s="163" t="s">
        <v>77</v>
      </c>
      <c r="E115" s="110" t="s">
        <v>42</v>
      </c>
      <c r="F115" s="110" t="s">
        <v>60</v>
      </c>
      <c r="G115" s="162" t="s">
        <v>44</v>
      </c>
      <c r="H115" s="123">
        <v>2024</v>
      </c>
      <c r="I115" s="116">
        <v>9</v>
      </c>
      <c r="J115" s="117">
        <v>45590</v>
      </c>
      <c r="K115" s="118">
        <v>0.3</v>
      </c>
      <c r="L115" s="119">
        <v>0.27335792652733598</v>
      </c>
      <c r="M115" s="119">
        <v>0.33085792652733598</v>
      </c>
      <c r="N115" s="119">
        <f t="shared" si="16"/>
        <v>5.7499999999999996E-2</v>
      </c>
      <c r="O115" s="119">
        <f t="shared" si="12"/>
        <v>1.7249999999999998E-2</v>
      </c>
      <c r="P115" s="120">
        <v>1</v>
      </c>
      <c r="Q115" s="119">
        <f t="shared" si="13"/>
        <v>0.27335792652733598</v>
      </c>
      <c r="R115" s="121">
        <v>360351</v>
      </c>
      <c r="S115" s="122">
        <f t="shared" si="18"/>
        <v>910736</v>
      </c>
      <c r="T115" s="126">
        <v>460000</v>
      </c>
      <c r="U115" s="119">
        <f t="shared" si="17"/>
        <v>407632.68</v>
      </c>
      <c r="V115" s="134" t="s">
        <v>75</v>
      </c>
      <c r="W115" s="123"/>
      <c r="X115" s="124">
        <v>3.3170000000000002</v>
      </c>
      <c r="Y115" s="124" t="s">
        <v>62</v>
      </c>
      <c r="Z115" s="124"/>
      <c r="AA115" s="125">
        <v>0</v>
      </c>
      <c r="AB115" s="126">
        <f t="shared" si="10"/>
        <v>119224.98468205205</v>
      </c>
      <c r="AC115" s="126">
        <f t="shared" si="14"/>
        <v>0</v>
      </c>
      <c r="AD115" s="127">
        <f t="shared" si="11"/>
        <v>1195.284267</v>
      </c>
      <c r="AE115" s="123"/>
    </row>
    <row r="116" spans="1:31" s="112" customFormat="1" x14ac:dyDescent="0.2">
      <c r="A116" s="110" t="s">
        <v>72</v>
      </c>
      <c r="B116" s="114" t="str">
        <f>VLOOKUP(A116,Sheet1!A:B,2,0)</f>
        <v>RCS DEVICE</v>
      </c>
      <c r="C116" s="110" t="s">
        <v>78</v>
      </c>
      <c r="D116" s="163" t="s">
        <v>79</v>
      </c>
      <c r="E116" s="110" t="s">
        <v>42</v>
      </c>
      <c r="F116" s="110" t="s">
        <v>60</v>
      </c>
      <c r="G116" s="162" t="s">
        <v>44</v>
      </c>
      <c r="H116" s="123">
        <v>2024</v>
      </c>
      <c r="I116" s="116">
        <v>9</v>
      </c>
      <c r="J116" s="117">
        <v>45590</v>
      </c>
      <c r="K116" s="118">
        <v>0.3</v>
      </c>
      <c r="L116" s="119">
        <v>0.20453293319930799</v>
      </c>
      <c r="M116" s="119">
        <v>0.23078293319930801</v>
      </c>
      <c r="N116" s="119">
        <f t="shared" si="16"/>
        <v>2.6250000000000023E-2</v>
      </c>
      <c r="O116" s="119">
        <f t="shared" si="12"/>
        <v>7.875000000000007E-3</v>
      </c>
      <c r="P116" s="120">
        <v>1</v>
      </c>
      <c r="Q116" s="119">
        <f t="shared" si="13"/>
        <v>0.20453293319930799</v>
      </c>
      <c r="R116" s="121">
        <v>833120</v>
      </c>
      <c r="S116" s="122">
        <f t="shared" si="18"/>
        <v>1863837</v>
      </c>
      <c r="T116" s="126">
        <v>420000</v>
      </c>
      <c r="U116" s="119">
        <f t="shared" si="17"/>
        <v>371074.27874999994</v>
      </c>
      <c r="V116" s="134" t="s">
        <v>70</v>
      </c>
      <c r="W116" s="123"/>
      <c r="X116" s="124">
        <v>4.2469999999999999</v>
      </c>
      <c r="Y116" s="124" t="s">
        <v>71</v>
      </c>
      <c r="Z116" s="124"/>
      <c r="AA116" s="125">
        <v>0</v>
      </c>
      <c r="AB116" s="126">
        <f t="shared" si="10"/>
        <v>192269.8773070075</v>
      </c>
      <c r="AC116" s="126">
        <f t="shared" si="14"/>
        <v>0</v>
      </c>
      <c r="AD116" s="127">
        <f t="shared" si="11"/>
        <v>3538.26064</v>
      </c>
      <c r="AE116" s="123"/>
    </row>
    <row r="117" spans="1:31" s="112" customFormat="1" x14ac:dyDescent="0.2">
      <c r="A117" s="110" t="s">
        <v>72</v>
      </c>
      <c r="B117" s="114" t="str">
        <f>VLOOKUP(A117,Sheet1!A:B,2,0)</f>
        <v>RCS DEVICE</v>
      </c>
      <c r="C117" s="110" t="s">
        <v>66</v>
      </c>
      <c r="D117" s="163" t="s">
        <v>80</v>
      </c>
      <c r="E117" s="110" t="s">
        <v>42</v>
      </c>
      <c r="F117" s="110" t="s">
        <v>60</v>
      </c>
      <c r="G117" s="162" t="s">
        <v>44</v>
      </c>
      <c r="H117" s="123">
        <v>2024</v>
      </c>
      <c r="I117" s="116">
        <v>9</v>
      </c>
      <c r="J117" s="117">
        <v>45590</v>
      </c>
      <c r="K117" s="118">
        <v>0.3</v>
      </c>
      <c r="L117" s="119">
        <v>0.120262750041086</v>
      </c>
      <c r="M117" s="119">
        <v>0.14526275004108599</v>
      </c>
      <c r="N117" s="119">
        <f t="shared" si="16"/>
        <v>2.4999999999999994E-2</v>
      </c>
      <c r="O117" s="119">
        <f t="shared" si="12"/>
        <v>7.499999999999998E-3</v>
      </c>
      <c r="P117" s="120">
        <v>1</v>
      </c>
      <c r="Q117" s="119">
        <f t="shared" si="13"/>
        <v>0.120262750041086</v>
      </c>
      <c r="R117" s="121">
        <v>733954</v>
      </c>
      <c r="S117" s="122">
        <f t="shared" si="18"/>
        <v>1550279</v>
      </c>
      <c r="T117" s="126">
        <v>400000</v>
      </c>
      <c r="U117" s="119">
        <f t="shared" si="17"/>
        <v>361243.02500000002</v>
      </c>
      <c r="V117" s="134" t="s">
        <v>70</v>
      </c>
      <c r="W117" s="123"/>
      <c r="X117" s="124">
        <v>0.53500000000000003</v>
      </c>
      <c r="Y117" s="124" t="s">
        <v>71</v>
      </c>
      <c r="Z117" s="124"/>
      <c r="AA117" s="125">
        <v>0</v>
      </c>
      <c r="AB117" s="126">
        <f t="shared" si="10"/>
        <v>106616.17644365523</v>
      </c>
      <c r="AC117" s="126">
        <f t="shared" si="14"/>
        <v>0</v>
      </c>
      <c r="AD117" s="127">
        <f t="shared" si="11"/>
        <v>392.66539</v>
      </c>
      <c r="AE117" s="123"/>
    </row>
    <row r="118" spans="1:31" s="112" customFormat="1" x14ac:dyDescent="0.2">
      <c r="A118" s="110" t="s">
        <v>72</v>
      </c>
      <c r="B118" s="114" t="str">
        <f>VLOOKUP(A118,Sheet1!A:B,2,0)</f>
        <v>RCS DEVICE</v>
      </c>
      <c r="C118" s="110" t="s">
        <v>81</v>
      </c>
      <c r="D118" s="163" t="s">
        <v>82</v>
      </c>
      <c r="E118" s="110" t="s">
        <v>42</v>
      </c>
      <c r="F118" s="110" t="s">
        <v>60</v>
      </c>
      <c r="G118" s="162" t="s">
        <v>44</v>
      </c>
      <c r="H118" s="123">
        <v>2024</v>
      </c>
      <c r="I118" s="116">
        <v>9</v>
      </c>
      <c r="J118" s="117">
        <v>45590</v>
      </c>
      <c r="K118" s="118">
        <v>0.3</v>
      </c>
      <c r="L118" s="119">
        <v>0.122488041645336</v>
      </c>
      <c r="M118" s="119">
        <v>0.14748804164533599</v>
      </c>
      <c r="N118" s="119">
        <f t="shared" si="16"/>
        <v>2.4999999999999994E-2</v>
      </c>
      <c r="O118" s="119">
        <f t="shared" si="12"/>
        <v>7.499999999999998E-3</v>
      </c>
      <c r="P118" s="120">
        <v>1</v>
      </c>
      <c r="Q118" s="119">
        <f t="shared" si="13"/>
        <v>0.122488041645336</v>
      </c>
      <c r="R118" s="121">
        <v>875525</v>
      </c>
      <c r="S118" s="122">
        <f t="shared" si="18"/>
        <v>1845200</v>
      </c>
      <c r="T118" s="126">
        <v>400000</v>
      </c>
      <c r="U118" s="119">
        <f t="shared" si="17"/>
        <v>353870</v>
      </c>
      <c r="V118" s="134" t="s">
        <v>75</v>
      </c>
      <c r="W118" s="123"/>
      <c r="X118" s="124">
        <v>0.50900000000000001</v>
      </c>
      <c r="Y118" s="124" t="s">
        <v>62</v>
      </c>
      <c r="Z118" s="124"/>
      <c r="AA118" s="125">
        <v>0</v>
      </c>
      <c r="AB118" s="126">
        <f t="shared" si="10"/>
        <v>129129.46766153279</v>
      </c>
      <c r="AC118" s="126">
        <f t="shared" si="14"/>
        <v>0</v>
      </c>
      <c r="AD118" s="127">
        <f t="shared" si="11"/>
        <v>445.64222500000005</v>
      </c>
      <c r="AE118" s="123"/>
    </row>
    <row r="119" spans="1:31" s="112" customFormat="1" x14ac:dyDescent="0.2">
      <c r="A119" s="110" t="s">
        <v>83</v>
      </c>
      <c r="B119" s="114" t="str">
        <f>VLOOKUP(A119,Sheet1!A:B,2,0)</f>
        <v>RCS POD</v>
      </c>
      <c r="C119" s="130" t="s">
        <v>84</v>
      </c>
      <c r="D119" s="110" t="s">
        <v>85</v>
      </c>
      <c r="E119" s="110" t="s">
        <v>42</v>
      </c>
      <c r="F119" s="110" t="s">
        <v>60</v>
      </c>
      <c r="G119" s="162" t="s">
        <v>44</v>
      </c>
      <c r="H119" s="123">
        <v>2023</v>
      </c>
      <c r="I119" s="116">
        <v>3</v>
      </c>
      <c r="J119" s="117">
        <v>45590</v>
      </c>
      <c r="K119" s="118">
        <v>1</v>
      </c>
      <c r="L119" s="119">
        <v>0.97679221076727096</v>
      </c>
      <c r="M119" s="119">
        <v>0.97985471076727104</v>
      </c>
      <c r="N119" s="119">
        <f t="shared" si="16"/>
        <v>3.062500000000079E-3</v>
      </c>
      <c r="O119" s="119">
        <f t="shared" si="12"/>
        <v>3.062500000000079E-3</v>
      </c>
      <c r="P119" s="120">
        <v>1</v>
      </c>
      <c r="Q119" s="119">
        <f t="shared" si="13"/>
        <v>0.97679221076727096</v>
      </c>
      <c r="R119" s="121">
        <v>21270</v>
      </c>
      <c r="S119" s="122">
        <f>R119</f>
        <v>21270</v>
      </c>
      <c r="T119" s="131">
        <v>98000</v>
      </c>
      <c r="U119" s="119">
        <f t="shared" si="17"/>
        <v>97934.860625000001</v>
      </c>
      <c r="V119" s="136" t="s">
        <v>45</v>
      </c>
      <c r="W119" s="132"/>
      <c r="X119" s="124">
        <v>2.09</v>
      </c>
      <c r="Y119" s="133" t="s">
        <v>46</v>
      </c>
      <c r="Z119" s="133"/>
      <c r="AA119" s="125">
        <v>0.93117705002376205</v>
      </c>
      <c r="AB119" s="126">
        <f t="shared" si="10"/>
        <v>20841.509698019854</v>
      </c>
      <c r="AC119" s="126">
        <f t="shared" si="14"/>
        <v>19806.135854005421</v>
      </c>
      <c r="AD119" s="127">
        <f t="shared" si="11"/>
        <v>44.454299999999996</v>
      </c>
      <c r="AE119" s="123" t="s">
        <v>86</v>
      </c>
    </row>
    <row r="120" spans="1:31" s="112" customFormat="1" x14ac:dyDescent="0.2">
      <c r="A120" s="110" t="s">
        <v>83</v>
      </c>
      <c r="B120" s="114" t="str">
        <f>VLOOKUP(A120,Sheet1!A:B,2,0)</f>
        <v>RCS POD</v>
      </c>
      <c r="C120" s="130" t="s">
        <v>84</v>
      </c>
      <c r="D120" s="110" t="s">
        <v>85</v>
      </c>
      <c r="E120" s="110" t="s">
        <v>42</v>
      </c>
      <c r="F120" s="110" t="s">
        <v>60</v>
      </c>
      <c r="G120" s="162" t="s">
        <v>44</v>
      </c>
      <c r="H120" s="123">
        <v>2023</v>
      </c>
      <c r="I120" s="116">
        <v>4</v>
      </c>
      <c r="J120" s="117">
        <v>45590</v>
      </c>
      <c r="K120" s="118">
        <v>1</v>
      </c>
      <c r="L120" s="119">
        <v>0.97679221076727096</v>
      </c>
      <c r="M120" s="119">
        <v>0.97985471076727104</v>
      </c>
      <c r="N120" s="119">
        <f t="shared" si="16"/>
        <v>3.062500000000079E-3</v>
      </c>
      <c r="O120" s="119">
        <f t="shared" si="12"/>
        <v>3.062500000000079E-3</v>
      </c>
      <c r="P120" s="120">
        <v>1</v>
      </c>
      <c r="Q120" s="119">
        <f t="shared" si="13"/>
        <v>0.97679221076727096</v>
      </c>
      <c r="R120" s="121">
        <v>3152752</v>
      </c>
      <c r="S120" s="122">
        <f t="shared" ref="S120:S125" si="19">S119+R120</f>
        <v>3174022</v>
      </c>
      <c r="T120" s="131">
        <v>98000</v>
      </c>
      <c r="U120" s="119">
        <f t="shared" si="17"/>
        <v>88279.557624999754</v>
      </c>
      <c r="V120" s="136" t="s">
        <v>45</v>
      </c>
      <c r="W120" s="132"/>
      <c r="X120" s="124">
        <v>2.09</v>
      </c>
      <c r="Y120" s="133" t="s">
        <v>46</v>
      </c>
      <c r="Z120" s="133"/>
      <c r="AA120" s="125">
        <v>0.93117705002376205</v>
      </c>
      <c r="AB120" s="126">
        <f t="shared" si="10"/>
        <v>3089238.8990809354</v>
      </c>
      <c r="AC120" s="126">
        <f t="shared" si="14"/>
        <v>2935770.306816516</v>
      </c>
      <c r="AD120" s="127">
        <f t="shared" si="11"/>
        <v>6589.2516799999994</v>
      </c>
      <c r="AE120" s="123" t="s">
        <v>86</v>
      </c>
    </row>
    <row r="121" spans="1:31" s="112" customFormat="1" x14ac:dyDescent="0.2">
      <c r="A121" s="110" t="s">
        <v>83</v>
      </c>
      <c r="B121" s="114" t="str">
        <f>VLOOKUP(A121,Sheet1!A:B,2,0)</f>
        <v>RCS POD</v>
      </c>
      <c r="C121" s="130" t="s">
        <v>84</v>
      </c>
      <c r="D121" s="110" t="s">
        <v>85</v>
      </c>
      <c r="E121" s="110" t="s">
        <v>42</v>
      </c>
      <c r="F121" s="110" t="s">
        <v>60</v>
      </c>
      <c r="G121" s="162" t="s">
        <v>44</v>
      </c>
      <c r="H121" s="123">
        <v>2023</v>
      </c>
      <c r="I121" s="116">
        <v>5</v>
      </c>
      <c r="J121" s="117">
        <v>45590</v>
      </c>
      <c r="K121" s="118">
        <v>1</v>
      </c>
      <c r="L121" s="119">
        <v>0.97679221076727096</v>
      </c>
      <c r="M121" s="119">
        <v>0.97985471076727104</v>
      </c>
      <c r="N121" s="119">
        <f t="shared" si="16"/>
        <v>3.062500000000079E-3</v>
      </c>
      <c r="O121" s="119">
        <f t="shared" si="12"/>
        <v>3.062500000000079E-3</v>
      </c>
      <c r="P121" s="120">
        <v>1</v>
      </c>
      <c r="Q121" s="119">
        <f t="shared" si="13"/>
        <v>0.97679221076727096</v>
      </c>
      <c r="R121" s="121">
        <v>1753316</v>
      </c>
      <c r="S121" s="122">
        <f t="shared" si="19"/>
        <v>4927338</v>
      </c>
      <c r="T121" s="131">
        <v>98000</v>
      </c>
      <c r="U121" s="119">
        <f t="shared" si="17"/>
        <v>82910.027374999612</v>
      </c>
      <c r="V121" s="136" t="s">
        <v>45</v>
      </c>
      <c r="W121" s="132"/>
      <c r="X121" s="124">
        <v>2.09</v>
      </c>
      <c r="Y121" s="133" t="s">
        <v>46</v>
      </c>
      <c r="Z121" s="133"/>
      <c r="AA121" s="125">
        <v>0.93117705002376205</v>
      </c>
      <c r="AB121" s="126">
        <f t="shared" si="10"/>
        <v>1717994.9420636287</v>
      </c>
      <c r="AC121" s="126">
        <f t="shared" si="14"/>
        <v>1632647.6206394625</v>
      </c>
      <c r="AD121" s="127">
        <f t="shared" si="11"/>
        <v>3664.4304400000001</v>
      </c>
      <c r="AE121" s="123" t="s">
        <v>86</v>
      </c>
    </row>
    <row r="122" spans="1:31" s="112" customFormat="1" x14ac:dyDescent="0.2">
      <c r="A122" s="110" t="s">
        <v>83</v>
      </c>
      <c r="B122" s="114" t="str">
        <f>VLOOKUP(A122,Sheet1!A:B,2,0)</f>
        <v>RCS POD</v>
      </c>
      <c r="C122" s="130" t="s">
        <v>84</v>
      </c>
      <c r="D122" s="110" t="s">
        <v>85</v>
      </c>
      <c r="E122" s="110" t="s">
        <v>42</v>
      </c>
      <c r="F122" s="110" t="s">
        <v>60</v>
      </c>
      <c r="G122" s="162" t="s">
        <v>44</v>
      </c>
      <c r="H122" s="123">
        <v>2023</v>
      </c>
      <c r="I122" s="116">
        <v>6</v>
      </c>
      <c r="J122" s="117">
        <v>45590</v>
      </c>
      <c r="K122" s="118">
        <v>1</v>
      </c>
      <c r="L122" s="119">
        <v>0.97679221076727096</v>
      </c>
      <c r="M122" s="119">
        <v>0.97985471076727104</v>
      </c>
      <c r="N122" s="119">
        <f t="shared" si="16"/>
        <v>3.062500000000079E-3</v>
      </c>
      <c r="O122" s="119">
        <f t="shared" si="12"/>
        <v>3.062500000000079E-3</v>
      </c>
      <c r="P122" s="120">
        <v>1</v>
      </c>
      <c r="Q122" s="119">
        <f t="shared" si="13"/>
        <v>0.97679221076727096</v>
      </c>
      <c r="R122" s="121">
        <v>367792</v>
      </c>
      <c r="S122" s="122">
        <f t="shared" si="19"/>
        <v>5295130</v>
      </c>
      <c r="T122" s="131">
        <v>98000</v>
      </c>
      <c r="U122" s="119">
        <f t="shared" si="17"/>
        <v>81783.664374999586</v>
      </c>
      <c r="V122" s="136" t="s">
        <v>45</v>
      </c>
      <c r="W122" s="132"/>
      <c r="X122" s="124">
        <v>2.09</v>
      </c>
      <c r="Y122" s="133" t="s">
        <v>46</v>
      </c>
      <c r="Z122" s="133"/>
      <c r="AA122" s="125">
        <v>0.93117705002376205</v>
      </c>
      <c r="AB122" s="126">
        <f t="shared" si="10"/>
        <v>360382.72378251614</v>
      </c>
      <c r="AC122" s="126">
        <f t="shared" si="14"/>
        <v>342479.46958233952</v>
      </c>
      <c r="AD122" s="127">
        <f t="shared" si="11"/>
        <v>768.68527999999992</v>
      </c>
      <c r="AE122" s="123" t="s">
        <v>86</v>
      </c>
    </row>
    <row r="123" spans="1:31" s="112" customFormat="1" x14ac:dyDescent="0.2">
      <c r="A123" s="110" t="s">
        <v>83</v>
      </c>
      <c r="B123" s="114" t="str">
        <f>VLOOKUP(A123,Sheet1!A:B,2,0)</f>
        <v>RCS POD</v>
      </c>
      <c r="C123" s="130" t="s">
        <v>84</v>
      </c>
      <c r="D123" s="110" t="s">
        <v>85</v>
      </c>
      <c r="E123" s="110" t="s">
        <v>42</v>
      </c>
      <c r="F123" s="110" t="s">
        <v>60</v>
      </c>
      <c r="G123" s="162" t="s">
        <v>44</v>
      </c>
      <c r="H123" s="123">
        <v>2023</v>
      </c>
      <c r="I123" s="116">
        <v>7</v>
      </c>
      <c r="J123" s="117">
        <v>45590</v>
      </c>
      <c r="K123" s="118">
        <v>1</v>
      </c>
      <c r="L123" s="119">
        <v>0.97679221076727096</v>
      </c>
      <c r="M123" s="119">
        <v>0.97985471076727104</v>
      </c>
      <c r="N123" s="119">
        <f t="shared" si="16"/>
        <v>3.062500000000079E-3</v>
      </c>
      <c r="O123" s="119">
        <f t="shared" si="12"/>
        <v>3.062500000000079E-3</v>
      </c>
      <c r="P123" s="120">
        <v>1</v>
      </c>
      <c r="Q123" s="119">
        <f t="shared" si="13"/>
        <v>0.97679221076727096</v>
      </c>
      <c r="R123" s="121">
        <v>1991913</v>
      </c>
      <c r="S123" s="122">
        <f t="shared" si="19"/>
        <v>7287043</v>
      </c>
      <c r="T123" s="131">
        <v>98000</v>
      </c>
      <c r="U123" s="119">
        <f t="shared" si="17"/>
        <v>75683.430812499428</v>
      </c>
      <c r="V123" s="136" t="s">
        <v>45</v>
      </c>
      <c r="W123" s="132"/>
      <c r="X123" s="124">
        <v>2.09</v>
      </c>
      <c r="Y123" s="133" t="s">
        <v>46</v>
      </c>
      <c r="Z123" s="133"/>
      <c r="AA123" s="125">
        <v>0.93117705002376205</v>
      </c>
      <c r="AB123" s="126">
        <f t="shared" si="10"/>
        <v>1951785.3364885671</v>
      </c>
      <c r="AC123" s="126">
        <f t="shared" si="14"/>
        <v>1854823.6712439819</v>
      </c>
      <c r="AD123" s="127">
        <f t="shared" si="11"/>
        <v>4163.0981700000002</v>
      </c>
      <c r="AE123" s="123" t="s">
        <v>86</v>
      </c>
    </row>
    <row r="124" spans="1:31" s="112" customFormat="1" x14ac:dyDescent="0.2">
      <c r="A124" s="110" t="s">
        <v>83</v>
      </c>
      <c r="B124" s="114" t="str">
        <f>VLOOKUP(A124,Sheet1!A:B,2,0)</f>
        <v>RCS POD</v>
      </c>
      <c r="C124" s="130" t="s">
        <v>84</v>
      </c>
      <c r="D124" s="110" t="s">
        <v>85</v>
      </c>
      <c r="E124" s="110" t="s">
        <v>42</v>
      </c>
      <c r="F124" s="110" t="s">
        <v>60</v>
      </c>
      <c r="G124" s="162" t="s">
        <v>44</v>
      </c>
      <c r="H124" s="123">
        <v>2023</v>
      </c>
      <c r="I124" s="116">
        <v>8</v>
      </c>
      <c r="J124" s="117">
        <v>45590</v>
      </c>
      <c r="K124" s="118">
        <v>1</v>
      </c>
      <c r="L124" s="119">
        <v>0.97679221076727096</v>
      </c>
      <c r="M124" s="119">
        <v>0.97985471076727104</v>
      </c>
      <c r="N124" s="119">
        <f t="shared" si="16"/>
        <v>3.062500000000079E-3</v>
      </c>
      <c r="O124" s="119">
        <f t="shared" si="12"/>
        <v>3.062500000000079E-3</v>
      </c>
      <c r="P124" s="120">
        <v>1</v>
      </c>
      <c r="Q124" s="119">
        <f t="shared" si="13"/>
        <v>0.97679221076727096</v>
      </c>
      <c r="R124" s="121">
        <v>2159574</v>
      </c>
      <c r="S124" s="122">
        <f t="shared" si="19"/>
        <v>9446617</v>
      </c>
      <c r="T124" s="131">
        <v>98000</v>
      </c>
      <c r="U124" s="119">
        <f t="shared" si="17"/>
        <v>69069.735437499257</v>
      </c>
      <c r="V124" s="136" t="s">
        <v>45</v>
      </c>
      <c r="W124" s="132"/>
      <c r="X124" s="124">
        <v>2.09</v>
      </c>
      <c r="Y124" s="133" t="s">
        <v>46</v>
      </c>
      <c r="Z124" s="133"/>
      <c r="AA124" s="125">
        <v>0.93117705002376205</v>
      </c>
      <c r="AB124" s="126">
        <f t="shared" si="10"/>
        <v>2116068.7571505187</v>
      </c>
      <c r="AC124" s="126">
        <f t="shared" si="14"/>
        <v>2010945.746628016</v>
      </c>
      <c r="AD124" s="127">
        <f t="shared" si="11"/>
        <v>4513.5096599999997</v>
      </c>
      <c r="AE124" s="123" t="s">
        <v>86</v>
      </c>
    </row>
    <row r="125" spans="1:31" s="112" customFormat="1" x14ac:dyDescent="0.2">
      <c r="A125" s="110" t="s">
        <v>83</v>
      </c>
      <c r="B125" s="114" t="str">
        <f>VLOOKUP(A125,Sheet1!A:B,2,0)</f>
        <v>RCS POD</v>
      </c>
      <c r="C125" s="130" t="s">
        <v>84</v>
      </c>
      <c r="D125" s="110" t="s">
        <v>85</v>
      </c>
      <c r="E125" s="110" t="s">
        <v>42</v>
      </c>
      <c r="F125" s="110" t="s">
        <v>60</v>
      </c>
      <c r="G125" s="162" t="s">
        <v>44</v>
      </c>
      <c r="H125" s="123">
        <v>2023</v>
      </c>
      <c r="I125" s="116">
        <v>9</v>
      </c>
      <c r="J125" s="117">
        <v>45590</v>
      </c>
      <c r="K125" s="118">
        <v>1</v>
      </c>
      <c r="L125" s="119">
        <v>0.97679221076727096</v>
      </c>
      <c r="M125" s="119">
        <v>0.97985471076727104</v>
      </c>
      <c r="N125" s="119">
        <f t="shared" si="16"/>
        <v>3.062500000000079E-3</v>
      </c>
      <c r="O125" s="119">
        <f t="shared" si="12"/>
        <v>3.062500000000079E-3</v>
      </c>
      <c r="P125" s="120">
        <v>1</v>
      </c>
      <c r="Q125" s="119">
        <f t="shared" si="13"/>
        <v>0.97679221076727096</v>
      </c>
      <c r="R125" s="121">
        <v>734433</v>
      </c>
      <c r="S125" s="122">
        <f t="shared" si="19"/>
        <v>10181050</v>
      </c>
      <c r="T125" s="131">
        <v>98000</v>
      </c>
      <c r="U125" s="119">
        <f t="shared" si="17"/>
        <v>66820.534374999203</v>
      </c>
      <c r="V125" s="136" t="s">
        <v>45</v>
      </c>
      <c r="W125" s="132"/>
      <c r="X125" s="124">
        <v>2.09</v>
      </c>
      <c r="Y125" s="133" t="s">
        <v>46</v>
      </c>
      <c r="Z125" s="133"/>
      <c r="AA125" s="125">
        <v>0.93117705002376205</v>
      </c>
      <c r="AB125" s="126">
        <f t="shared" si="10"/>
        <v>719637.63479293918</v>
      </c>
      <c r="AC125" s="126">
        <f t="shared" si="14"/>
        <v>683887.15438010159</v>
      </c>
      <c r="AD125" s="127">
        <f t="shared" si="11"/>
        <v>1534.96497</v>
      </c>
      <c r="AE125" s="123" t="s">
        <v>86</v>
      </c>
    </row>
    <row r="126" spans="1:31" s="112" customFormat="1" x14ac:dyDescent="0.2">
      <c r="A126" s="110" t="s">
        <v>83</v>
      </c>
      <c r="B126" s="114" t="str">
        <f>VLOOKUP(A126,Sheet1!A:B,2,0)</f>
        <v>RCS POD</v>
      </c>
      <c r="C126" s="130" t="s">
        <v>84</v>
      </c>
      <c r="D126" s="110" t="s">
        <v>85</v>
      </c>
      <c r="E126" s="110" t="s">
        <v>42</v>
      </c>
      <c r="F126" s="110" t="s">
        <v>60</v>
      </c>
      <c r="G126" s="162" t="s">
        <v>44</v>
      </c>
      <c r="H126" s="123">
        <v>2024</v>
      </c>
      <c r="I126" s="116">
        <v>9</v>
      </c>
      <c r="J126" s="117">
        <v>45590</v>
      </c>
      <c r="K126" s="118">
        <v>1</v>
      </c>
      <c r="L126" s="119">
        <v>1.05412849674197</v>
      </c>
      <c r="M126" s="119">
        <v>1.22365196079064</v>
      </c>
      <c r="N126" s="119">
        <f t="shared" si="16"/>
        <v>0.16952346404867003</v>
      </c>
      <c r="O126" s="119">
        <f t="shared" si="12"/>
        <v>0.16952346404867003</v>
      </c>
      <c r="P126" s="120">
        <v>1</v>
      </c>
      <c r="Q126" s="119">
        <f t="shared" si="13"/>
        <v>1.05412849674197</v>
      </c>
      <c r="R126" s="121">
        <v>0</v>
      </c>
      <c r="S126" s="122">
        <f t="shared" ref="S126:S143" si="20">R126</f>
        <v>0</v>
      </c>
      <c r="T126" s="131">
        <f>5424750.84955752-(2800000*30%)</f>
        <v>4584750.8495575199</v>
      </c>
      <c r="U126" s="119">
        <f t="shared" si="17"/>
        <v>4584750.8495575199</v>
      </c>
      <c r="V126" s="136" t="s">
        <v>45</v>
      </c>
      <c r="W126" s="132"/>
      <c r="X126" s="124">
        <v>2.09</v>
      </c>
      <c r="Y126" s="133" t="s">
        <v>46</v>
      </c>
      <c r="Z126" s="133"/>
      <c r="AA126" s="125">
        <f>L126-L291</f>
        <v>0.94115849674197016</v>
      </c>
      <c r="AB126" s="126">
        <f t="shared" si="10"/>
        <v>0</v>
      </c>
      <c r="AC126" s="126">
        <f t="shared" si="14"/>
        <v>0</v>
      </c>
      <c r="AD126" s="127">
        <f t="shared" si="11"/>
        <v>0</v>
      </c>
      <c r="AE126" s="123" t="s">
        <v>87</v>
      </c>
    </row>
    <row r="127" spans="1:31" s="112" customFormat="1" x14ac:dyDescent="0.2">
      <c r="A127" s="110" t="s">
        <v>83</v>
      </c>
      <c r="B127" s="114" t="str">
        <f>VLOOKUP(A127,Sheet1!A:B,2,0)</f>
        <v>RCS POD</v>
      </c>
      <c r="C127" s="130" t="s">
        <v>84</v>
      </c>
      <c r="D127" s="110" t="s">
        <v>85</v>
      </c>
      <c r="E127" s="110" t="s">
        <v>42</v>
      </c>
      <c r="F127" s="110" t="s">
        <v>60</v>
      </c>
      <c r="G127" s="162" t="s">
        <v>44</v>
      </c>
      <c r="H127" s="123">
        <v>2024</v>
      </c>
      <c r="I127" s="116">
        <v>9</v>
      </c>
      <c r="J127" s="117">
        <v>45590</v>
      </c>
      <c r="K127" s="118">
        <v>1</v>
      </c>
      <c r="L127" s="119">
        <v>1.17411721731226</v>
      </c>
      <c r="M127" s="119">
        <v>1.3582877285124899</v>
      </c>
      <c r="N127" s="119">
        <f t="shared" si="16"/>
        <v>0.18417051120022987</v>
      </c>
      <c r="O127" s="119">
        <f t="shared" si="12"/>
        <v>0.18417051120022987</v>
      </c>
      <c r="P127" s="120">
        <v>1</v>
      </c>
      <c r="Q127" s="119">
        <f t="shared" si="13"/>
        <v>1.17411721731226</v>
      </c>
      <c r="R127" s="121">
        <v>0</v>
      </c>
      <c r="S127" s="122">
        <f t="shared" si="20"/>
        <v>0</v>
      </c>
      <c r="T127" s="131">
        <f>5893456.35840708-(2800000*70%)</f>
        <v>3933456.3584070802</v>
      </c>
      <c r="U127" s="119">
        <f t="shared" si="17"/>
        <v>3933456.3584070802</v>
      </c>
      <c r="V127" s="136" t="s">
        <v>45</v>
      </c>
      <c r="W127" s="132"/>
      <c r="X127" s="124">
        <v>2.09</v>
      </c>
      <c r="Y127" s="133" t="s">
        <v>46</v>
      </c>
      <c r="Z127" s="133"/>
      <c r="AA127" s="125">
        <f>L127-L291</f>
        <v>1.0611472173122602</v>
      </c>
      <c r="AB127" s="126">
        <f t="shared" si="10"/>
        <v>0</v>
      </c>
      <c r="AC127" s="126">
        <f t="shared" si="14"/>
        <v>0</v>
      </c>
      <c r="AD127" s="127">
        <f t="shared" si="11"/>
        <v>0</v>
      </c>
      <c r="AE127" s="123" t="s">
        <v>88</v>
      </c>
    </row>
    <row r="128" spans="1:31" s="112" customFormat="1" x14ac:dyDescent="0.2">
      <c r="A128" s="110" t="s">
        <v>89</v>
      </c>
      <c r="B128" s="114" t="str">
        <f>VLOOKUP(A128,Sheet1!A:B,2,0)</f>
        <v>HP</v>
      </c>
      <c r="C128" s="114" t="s">
        <v>90</v>
      </c>
      <c r="D128" s="110">
        <v>22150202014</v>
      </c>
      <c r="E128" s="110" t="s">
        <v>42</v>
      </c>
      <c r="F128" s="110" t="s">
        <v>91</v>
      </c>
      <c r="G128" s="162" t="s">
        <v>44</v>
      </c>
      <c r="H128" s="123">
        <v>2023</v>
      </c>
      <c r="I128" s="116">
        <v>12</v>
      </c>
      <c r="J128" s="117">
        <v>45590</v>
      </c>
      <c r="K128" s="118">
        <v>0.4</v>
      </c>
      <c r="L128" s="119">
        <f>M128-N128</f>
        <v>2.3161999999999998</v>
      </c>
      <c r="M128" s="119">
        <v>2.3536999999999999</v>
      </c>
      <c r="N128" s="119">
        <v>3.7499999999999999E-2</v>
      </c>
      <c r="O128" s="119">
        <f t="shared" si="12"/>
        <v>1.4999999999999999E-2</v>
      </c>
      <c r="P128" s="120">
        <v>1</v>
      </c>
      <c r="Q128" s="119">
        <f t="shared" si="13"/>
        <v>2.3161999999999998</v>
      </c>
      <c r="R128" s="121">
        <v>374403</v>
      </c>
      <c r="S128" s="122">
        <f t="shared" si="20"/>
        <v>374403</v>
      </c>
      <c r="T128" s="119">
        <v>105000</v>
      </c>
      <c r="U128" s="119">
        <f t="shared" si="17"/>
        <v>90959.887499999997</v>
      </c>
      <c r="V128" s="134" t="s">
        <v>92</v>
      </c>
      <c r="W128" s="134"/>
      <c r="X128" s="124">
        <v>1.5549999999999999</v>
      </c>
      <c r="Y128" s="124" t="s">
        <v>54</v>
      </c>
      <c r="Z128" s="124" t="s">
        <v>93</v>
      </c>
      <c r="AA128" s="125">
        <v>1.9422999999999999</v>
      </c>
      <c r="AB128" s="126">
        <f t="shared" si="10"/>
        <v>881232.34109999996</v>
      </c>
      <c r="AC128" s="126">
        <f t="shared" si="14"/>
        <v>727202.94689999998</v>
      </c>
      <c r="AD128" s="127">
        <f t="shared" si="11"/>
        <v>582.19666499999994</v>
      </c>
      <c r="AE128" s="123"/>
    </row>
    <row r="129" spans="1:31" s="112" customFormat="1" ht="25.5" x14ac:dyDescent="0.2">
      <c r="A129" s="110" t="s">
        <v>89</v>
      </c>
      <c r="B129" s="114" t="str">
        <f>VLOOKUP(A129,Sheet1!A:B,2,0)</f>
        <v>HP</v>
      </c>
      <c r="C129" s="130" t="s">
        <v>94</v>
      </c>
      <c r="D129" s="110">
        <v>22150202015</v>
      </c>
      <c r="E129" s="110" t="s">
        <v>42</v>
      </c>
      <c r="F129" s="110" t="s">
        <v>91</v>
      </c>
      <c r="G129" s="162" t="s">
        <v>44</v>
      </c>
      <c r="H129" s="123">
        <v>2023</v>
      </c>
      <c r="I129" s="116">
        <v>12</v>
      </c>
      <c r="J129" s="117">
        <v>45590</v>
      </c>
      <c r="K129" s="118">
        <v>0.6</v>
      </c>
      <c r="L129" s="119">
        <f t="shared" ref="L129:L192" si="21">M129-N129</f>
        <v>1.5443588135792305</v>
      </c>
      <c r="M129" s="119">
        <v>1.6338826231030401</v>
      </c>
      <c r="N129" s="119">
        <v>8.9523809523809506E-2</v>
      </c>
      <c r="O129" s="119">
        <f t="shared" si="12"/>
        <v>5.3714285714285701E-2</v>
      </c>
      <c r="P129" s="120">
        <v>1</v>
      </c>
      <c r="Q129" s="119">
        <f t="shared" si="13"/>
        <v>1.5443588135792305</v>
      </c>
      <c r="R129" s="121">
        <v>354871</v>
      </c>
      <c r="S129" s="122">
        <f t="shared" si="20"/>
        <v>354871</v>
      </c>
      <c r="T129" s="119">
        <v>376000</v>
      </c>
      <c r="U129" s="119">
        <f t="shared" si="17"/>
        <v>344230.59619047621</v>
      </c>
      <c r="V129" s="134" t="s">
        <v>95</v>
      </c>
      <c r="W129" s="134"/>
      <c r="X129" s="124">
        <v>1.7450000000000001</v>
      </c>
      <c r="Y129" s="124" t="s">
        <v>54</v>
      </c>
      <c r="Z129" s="124" t="s">
        <v>93</v>
      </c>
      <c r="AA129" s="125">
        <v>1.1437999999999999</v>
      </c>
      <c r="AB129" s="126">
        <f t="shared" si="10"/>
        <v>579817.56034319894</v>
      </c>
      <c r="AC129" s="126">
        <f t="shared" si="14"/>
        <v>405901.4498</v>
      </c>
      <c r="AD129" s="127">
        <f t="shared" si="11"/>
        <v>619.24989500000004</v>
      </c>
      <c r="AE129" s="123"/>
    </row>
    <row r="130" spans="1:31" s="112" customFormat="1" x14ac:dyDescent="0.2">
      <c r="A130" s="110" t="s">
        <v>89</v>
      </c>
      <c r="B130" s="114" t="str">
        <f>VLOOKUP(A130,Sheet1!A:B,2,0)</f>
        <v>HP</v>
      </c>
      <c r="C130" s="130" t="s">
        <v>66</v>
      </c>
      <c r="D130" s="110">
        <v>22150202010</v>
      </c>
      <c r="E130" s="110" t="s">
        <v>42</v>
      </c>
      <c r="F130" s="110" t="s">
        <v>96</v>
      </c>
      <c r="G130" s="162" t="s">
        <v>44</v>
      </c>
      <c r="H130" s="123">
        <v>2023</v>
      </c>
      <c r="I130" s="116">
        <v>12</v>
      </c>
      <c r="J130" s="117">
        <v>45590</v>
      </c>
      <c r="K130" s="118">
        <v>0.4</v>
      </c>
      <c r="L130" s="119">
        <f t="shared" si="21"/>
        <v>0.91622499999999985</v>
      </c>
      <c r="M130" s="119">
        <v>1.1620999999999999</v>
      </c>
      <c r="N130" s="119">
        <v>0.24587500000000001</v>
      </c>
      <c r="O130" s="119">
        <f t="shared" si="12"/>
        <v>9.8350000000000007E-2</v>
      </c>
      <c r="P130" s="120">
        <v>1</v>
      </c>
      <c r="Q130" s="119">
        <f t="shared" si="13"/>
        <v>0.91622499999999985</v>
      </c>
      <c r="R130" s="121">
        <v>495791</v>
      </c>
      <c r="S130" s="122">
        <f t="shared" si="20"/>
        <v>495791</v>
      </c>
      <c r="T130" s="119">
        <v>98350</v>
      </c>
      <c r="U130" s="119">
        <f t="shared" si="17"/>
        <v>-23552.612125</v>
      </c>
      <c r="V130" s="134" t="s">
        <v>97</v>
      </c>
      <c r="W130" s="134"/>
      <c r="X130" s="124">
        <v>0.57899999999999996</v>
      </c>
      <c r="Y130" s="124" t="s">
        <v>54</v>
      </c>
      <c r="Z130" s="124" t="s">
        <v>93</v>
      </c>
      <c r="AA130" s="125">
        <v>0.75590000000000002</v>
      </c>
      <c r="AB130" s="126">
        <f t="shared" si="10"/>
        <v>576158.72109999997</v>
      </c>
      <c r="AC130" s="126">
        <f t="shared" si="14"/>
        <v>374768.41690000001</v>
      </c>
      <c r="AD130" s="127">
        <f t="shared" si="11"/>
        <v>287.06298900000002</v>
      </c>
      <c r="AE130" s="123"/>
    </row>
    <row r="131" spans="1:31" s="112" customFormat="1" x14ac:dyDescent="0.2">
      <c r="A131" s="110" t="s">
        <v>89</v>
      </c>
      <c r="B131" s="114" t="str">
        <f>VLOOKUP(A131,Sheet1!A:B,2,0)</f>
        <v>HP</v>
      </c>
      <c r="C131" s="130" t="s">
        <v>98</v>
      </c>
      <c r="D131" s="110">
        <v>22150202008</v>
      </c>
      <c r="E131" s="110" t="s">
        <v>42</v>
      </c>
      <c r="F131" s="110" t="s">
        <v>99</v>
      </c>
      <c r="G131" s="162" t="s">
        <v>44</v>
      </c>
      <c r="H131" s="123">
        <v>2023</v>
      </c>
      <c r="I131" s="116">
        <v>12</v>
      </c>
      <c r="J131" s="117">
        <v>45590</v>
      </c>
      <c r="K131" s="118">
        <v>0.5</v>
      </c>
      <c r="L131" s="119">
        <f t="shared" si="21"/>
        <v>0.1278</v>
      </c>
      <c r="M131" s="119">
        <v>0.15579999999999999</v>
      </c>
      <c r="N131" s="119">
        <v>2.8000000000000001E-2</v>
      </c>
      <c r="O131" s="119">
        <f t="shared" si="12"/>
        <v>1.4E-2</v>
      </c>
      <c r="P131" s="120">
        <v>1</v>
      </c>
      <c r="Q131" s="119">
        <f t="shared" si="13"/>
        <v>0.1278</v>
      </c>
      <c r="R131" s="121">
        <v>457257</v>
      </c>
      <c r="S131" s="122">
        <f t="shared" si="20"/>
        <v>457257</v>
      </c>
      <c r="T131" s="119">
        <f>98000+12600</f>
        <v>110600</v>
      </c>
      <c r="U131" s="119">
        <f t="shared" si="17"/>
        <v>97796.804000000004</v>
      </c>
      <c r="V131" s="134" t="s">
        <v>100</v>
      </c>
      <c r="W131" s="134"/>
      <c r="X131" s="124">
        <v>0.76300000000000001</v>
      </c>
      <c r="Y131" s="124" t="s">
        <v>54</v>
      </c>
      <c r="Z131" s="124"/>
      <c r="AA131" s="135">
        <v>0</v>
      </c>
      <c r="AB131" s="126">
        <f t="shared" si="10"/>
        <v>71240.640599999999</v>
      </c>
      <c r="AC131" s="126">
        <f t="shared" si="14"/>
        <v>0</v>
      </c>
      <c r="AD131" s="127">
        <f t="shared" si="11"/>
        <v>348.887091</v>
      </c>
      <c r="AE131" s="123"/>
    </row>
    <row r="132" spans="1:31" s="112" customFormat="1" x14ac:dyDescent="0.2">
      <c r="A132" s="110" t="s">
        <v>89</v>
      </c>
      <c r="B132" s="114" t="str">
        <f>VLOOKUP(A132,Sheet1!A:B,2,0)</f>
        <v>HP</v>
      </c>
      <c r="C132" s="114" t="s">
        <v>101</v>
      </c>
      <c r="D132" s="110">
        <v>22150202017</v>
      </c>
      <c r="E132" s="110" t="s">
        <v>42</v>
      </c>
      <c r="F132" s="110" t="s">
        <v>99</v>
      </c>
      <c r="G132" s="162" t="s">
        <v>44</v>
      </c>
      <c r="H132" s="123">
        <v>2023</v>
      </c>
      <c r="I132" s="116">
        <v>12</v>
      </c>
      <c r="J132" s="117">
        <v>45590</v>
      </c>
      <c r="K132" s="118">
        <v>0.4</v>
      </c>
      <c r="L132" s="119">
        <f t="shared" si="21"/>
        <v>0.17249999999999999</v>
      </c>
      <c r="M132" s="119">
        <v>0.41749999999999998</v>
      </c>
      <c r="N132" s="119">
        <v>0.245</v>
      </c>
      <c r="O132" s="119">
        <f t="shared" si="12"/>
        <v>9.8000000000000004E-2</v>
      </c>
      <c r="P132" s="120">
        <v>1</v>
      </c>
      <c r="Q132" s="119">
        <f t="shared" si="13"/>
        <v>0.17249999999999999</v>
      </c>
      <c r="R132" s="121">
        <v>314717</v>
      </c>
      <c r="S132" s="122">
        <f t="shared" si="20"/>
        <v>314717</v>
      </c>
      <c r="T132" s="119">
        <v>98000</v>
      </c>
      <c r="U132" s="119">
        <f t="shared" si="17"/>
        <v>20894.335000000006</v>
      </c>
      <c r="V132" s="134" t="s">
        <v>102</v>
      </c>
      <c r="W132" s="134"/>
      <c r="X132" s="124">
        <v>1.173</v>
      </c>
      <c r="Y132" s="124" t="s">
        <v>54</v>
      </c>
      <c r="Z132" s="124"/>
      <c r="AA132" s="135">
        <v>0</v>
      </c>
      <c r="AB132" s="126">
        <f t="shared" ref="AB132:AB195" si="22">M132*R132</f>
        <v>131394.3475</v>
      </c>
      <c r="AC132" s="126">
        <f t="shared" si="14"/>
        <v>0</v>
      </c>
      <c r="AD132" s="127">
        <f t="shared" ref="AD132:AD195" si="23">R132*X132/1000</f>
        <v>369.16304100000002</v>
      </c>
      <c r="AE132" s="123"/>
    </row>
    <row r="133" spans="1:31" s="112" customFormat="1" x14ac:dyDescent="0.2">
      <c r="A133" s="110" t="s">
        <v>89</v>
      </c>
      <c r="B133" s="114" t="str">
        <f>VLOOKUP(A133,Sheet1!A:B,2,0)</f>
        <v>HP</v>
      </c>
      <c r="C133" s="130" t="s">
        <v>103</v>
      </c>
      <c r="D133" s="110">
        <v>22150202009</v>
      </c>
      <c r="E133" s="110" t="s">
        <v>42</v>
      </c>
      <c r="F133" s="110" t="s">
        <v>91</v>
      </c>
      <c r="G133" s="162" t="s">
        <v>44</v>
      </c>
      <c r="H133" s="123">
        <v>2023</v>
      </c>
      <c r="I133" s="116">
        <v>12</v>
      </c>
      <c r="J133" s="117">
        <v>45590</v>
      </c>
      <c r="K133" s="118">
        <v>0.5</v>
      </c>
      <c r="L133" s="119">
        <f t="shared" si="21"/>
        <v>0.1285</v>
      </c>
      <c r="M133" s="119">
        <v>0.1565</v>
      </c>
      <c r="N133" s="119">
        <v>2.8000000000000001E-2</v>
      </c>
      <c r="O133" s="119">
        <f t="shared" ref="O133:O196" si="24">N133*K133</f>
        <v>1.4E-2</v>
      </c>
      <c r="P133" s="120">
        <v>1</v>
      </c>
      <c r="Q133" s="119">
        <f t="shared" ref="Q133:Q196" si="25">P133*L133</f>
        <v>0.1285</v>
      </c>
      <c r="R133" s="121">
        <v>139080</v>
      </c>
      <c r="S133" s="122">
        <f t="shared" si="20"/>
        <v>139080</v>
      </c>
      <c r="T133" s="119">
        <v>98000</v>
      </c>
      <c r="U133" s="119">
        <f t="shared" si="17"/>
        <v>94105.76</v>
      </c>
      <c r="V133" s="136" t="s">
        <v>97</v>
      </c>
      <c r="W133" s="136"/>
      <c r="X133" s="137">
        <v>0.69499999999999995</v>
      </c>
      <c r="Y133" s="138" t="s">
        <v>54</v>
      </c>
      <c r="Z133" s="138"/>
      <c r="AA133" s="135">
        <v>0</v>
      </c>
      <c r="AB133" s="126">
        <f t="shared" si="22"/>
        <v>21766.02</v>
      </c>
      <c r="AC133" s="126">
        <f t="shared" ref="AC133:AC196" si="26">R133*AA133</f>
        <v>0</v>
      </c>
      <c r="AD133" s="127">
        <f t="shared" si="23"/>
        <v>96.660599999999988</v>
      </c>
      <c r="AE133" s="123"/>
    </row>
    <row r="134" spans="1:31" s="112" customFormat="1" x14ac:dyDescent="0.2">
      <c r="A134" s="110" t="s">
        <v>89</v>
      </c>
      <c r="B134" s="114" t="str">
        <f>VLOOKUP(A134,Sheet1!A:B,2,0)</f>
        <v>HP</v>
      </c>
      <c r="C134" s="130" t="s">
        <v>104</v>
      </c>
      <c r="D134" s="110">
        <v>22150202021</v>
      </c>
      <c r="E134" s="110" t="s">
        <v>42</v>
      </c>
      <c r="F134" s="110" t="s">
        <v>91</v>
      </c>
      <c r="G134" s="162" t="s">
        <v>44</v>
      </c>
      <c r="H134" s="123">
        <v>2023</v>
      </c>
      <c r="I134" s="116">
        <v>12</v>
      </c>
      <c r="J134" s="117">
        <v>45590</v>
      </c>
      <c r="K134" s="118">
        <v>0.6</v>
      </c>
      <c r="L134" s="119">
        <f t="shared" si="21"/>
        <v>2.5637000000000003</v>
      </c>
      <c r="M134" s="119">
        <v>2.8972000000000002</v>
      </c>
      <c r="N134" s="119">
        <v>0.33350000000000002</v>
      </c>
      <c r="O134" s="119">
        <f t="shared" si="24"/>
        <v>0.2001</v>
      </c>
      <c r="P134" s="120">
        <v>1</v>
      </c>
      <c r="Q134" s="119">
        <f t="shared" si="25"/>
        <v>2.5637000000000003</v>
      </c>
      <c r="R134" s="121">
        <v>450941</v>
      </c>
      <c r="S134" s="122">
        <f t="shared" si="20"/>
        <v>450941</v>
      </c>
      <c r="T134" s="119">
        <v>200100</v>
      </c>
      <c r="U134" s="119">
        <f t="shared" si="17"/>
        <v>49711.176500000001</v>
      </c>
      <c r="V134" s="134" t="s">
        <v>105</v>
      </c>
      <c r="W134" s="134"/>
      <c r="X134" s="124">
        <v>3.4089999999999998</v>
      </c>
      <c r="Y134" s="139" t="s">
        <v>54</v>
      </c>
      <c r="Z134" s="124" t="s">
        <v>93</v>
      </c>
      <c r="AA134" s="125">
        <v>1.7574000000000001</v>
      </c>
      <c r="AB134" s="126">
        <f t="shared" si="22"/>
        <v>1306466.2652</v>
      </c>
      <c r="AC134" s="126">
        <f t="shared" si="26"/>
        <v>792483.71340000001</v>
      </c>
      <c r="AD134" s="127">
        <f t="shared" si="23"/>
        <v>1537.257869</v>
      </c>
      <c r="AE134" s="123"/>
    </row>
    <row r="135" spans="1:31" s="112" customFormat="1" x14ac:dyDescent="0.2">
      <c r="A135" s="110" t="s">
        <v>89</v>
      </c>
      <c r="B135" s="114" t="str">
        <f>VLOOKUP(A135,Sheet1!A:B,2,0)</f>
        <v>HP</v>
      </c>
      <c r="C135" s="130" t="s">
        <v>106</v>
      </c>
      <c r="D135" s="110">
        <v>22150202018</v>
      </c>
      <c r="E135" s="110" t="s">
        <v>42</v>
      </c>
      <c r="F135" s="110" t="s">
        <v>91</v>
      </c>
      <c r="G135" s="162" t="s">
        <v>44</v>
      </c>
      <c r="H135" s="123">
        <v>2023</v>
      </c>
      <c r="I135" s="116">
        <v>12</v>
      </c>
      <c r="J135" s="117">
        <v>45590</v>
      </c>
      <c r="K135" s="118">
        <v>0.4</v>
      </c>
      <c r="L135" s="119">
        <f t="shared" si="21"/>
        <v>0.1608</v>
      </c>
      <c r="M135" s="119">
        <v>0.1958</v>
      </c>
      <c r="N135" s="119">
        <v>3.5000000000000003E-2</v>
      </c>
      <c r="O135" s="119">
        <f t="shared" si="24"/>
        <v>1.4000000000000002E-2</v>
      </c>
      <c r="P135" s="120">
        <v>1</v>
      </c>
      <c r="Q135" s="119">
        <f t="shared" si="25"/>
        <v>0.1608</v>
      </c>
      <c r="R135" s="121">
        <v>439705</v>
      </c>
      <c r="S135" s="122">
        <f t="shared" si="20"/>
        <v>439705</v>
      </c>
      <c r="T135" s="119">
        <v>98000</v>
      </c>
      <c r="U135" s="119">
        <f t="shared" si="17"/>
        <v>82610.324999999997</v>
      </c>
      <c r="V135" s="134" t="s">
        <v>107</v>
      </c>
      <c r="W135" s="134"/>
      <c r="X135" s="124">
        <v>1.117</v>
      </c>
      <c r="Y135" s="124" t="s">
        <v>54</v>
      </c>
      <c r="Z135" s="124"/>
      <c r="AA135" s="125">
        <v>0</v>
      </c>
      <c r="AB135" s="126">
        <f t="shared" si="22"/>
        <v>86094.239000000001</v>
      </c>
      <c r="AC135" s="126">
        <f t="shared" si="26"/>
        <v>0</v>
      </c>
      <c r="AD135" s="127">
        <f t="shared" si="23"/>
        <v>491.150485</v>
      </c>
      <c r="AE135" s="123"/>
    </row>
    <row r="136" spans="1:31" s="112" customFormat="1" x14ac:dyDescent="0.2">
      <c r="A136" s="110" t="s">
        <v>89</v>
      </c>
      <c r="B136" s="114" t="str">
        <f>VLOOKUP(A136,Sheet1!A:B,2,0)</f>
        <v>HP</v>
      </c>
      <c r="C136" s="130" t="s">
        <v>108</v>
      </c>
      <c r="D136" s="110">
        <v>22150202007</v>
      </c>
      <c r="E136" s="110" t="s">
        <v>42</v>
      </c>
      <c r="F136" s="110" t="s">
        <v>109</v>
      </c>
      <c r="G136" s="162" t="s">
        <v>44</v>
      </c>
      <c r="H136" s="123">
        <v>2023</v>
      </c>
      <c r="I136" s="116">
        <v>12</v>
      </c>
      <c r="J136" s="117">
        <v>45590</v>
      </c>
      <c r="K136" s="118">
        <v>0.5</v>
      </c>
      <c r="L136" s="119">
        <f t="shared" si="21"/>
        <v>0.1227571428571429</v>
      </c>
      <c r="M136" s="119">
        <v>0.16</v>
      </c>
      <c r="N136" s="119">
        <v>3.7242857142857098E-2</v>
      </c>
      <c r="O136" s="119">
        <f t="shared" si="24"/>
        <v>1.8621428571428549E-2</v>
      </c>
      <c r="P136" s="120">
        <v>1</v>
      </c>
      <c r="Q136" s="119">
        <f t="shared" si="25"/>
        <v>0.1227571428571429</v>
      </c>
      <c r="R136" s="121">
        <v>502770</v>
      </c>
      <c r="S136" s="122">
        <f t="shared" si="20"/>
        <v>502770</v>
      </c>
      <c r="T136" s="119">
        <v>130350</v>
      </c>
      <c r="U136" s="119">
        <f t="shared" si="17"/>
        <v>111625.40871428573</v>
      </c>
      <c r="V136" s="134" t="s">
        <v>100</v>
      </c>
      <c r="W136" s="134"/>
      <c r="X136" s="124">
        <v>0.52400000000000002</v>
      </c>
      <c r="Y136" s="124" t="s">
        <v>54</v>
      </c>
      <c r="Z136" s="124"/>
      <c r="AA136" s="135">
        <v>0</v>
      </c>
      <c r="AB136" s="126">
        <f t="shared" si="22"/>
        <v>80443.199999999997</v>
      </c>
      <c r="AC136" s="126">
        <f t="shared" si="26"/>
        <v>0</v>
      </c>
      <c r="AD136" s="127">
        <f t="shared" si="23"/>
        <v>263.45148000000006</v>
      </c>
      <c r="AE136" s="123"/>
    </row>
    <row r="137" spans="1:31" s="112" customFormat="1" x14ac:dyDescent="0.2">
      <c r="A137" s="110" t="s">
        <v>110</v>
      </c>
      <c r="B137" s="114" t="str">
        <f>VLOOKUP(A137,Sheet1!A:B,2,0)</f>
        <v>HP</v>
      </c>
      <c r="C137" s="130" t="s">
        <v>98</v>
      </c>
      <c r="D137" s="110">
        <v>23590202001</v>
      </c>
      <c r="E137" s="110" t="s">
        <v>42</v>
      </c>
      <c r="F137" s="110" t="s">
        <v>111</v>
      </c>
      <c r="G137" s="162" t="s">
        <v>44</v>
      </c>
      <c r="H137" s="123">
        <v>2023</v>
      </c>
      <c r="I137" s="116">
        <v>12</v>
      </c>
      <c r="J137" s="117">
        <v>45590</v>
      </c>
      <c r="K137" s="118">
        <v>0.5</v>
      </c>
      <c r="L137" s="119">
        <f t="shared" si="21"/>
        <v>0.125588670602168</v>
      </c>
      <c r="M137" s="119">
        <v>0.15358867060216799</v>
      </c>
      <c r="N137" s="119">
        <v>2.8000000000000001E-2</v>
      </c>
      <c r="O137" s="119">
        <f t="shared" si="24"/>
        <v>1.4E-2</v>
      </c>
      <c r="P137" s="120">
        <v>1</v>
      </c>
      <c r="Q137" s="119">
        <f t="shared" si="25"/>
        <v>0.125588670602168</v>
      </c>
      <c r="R137" s="121">
        <v>86000</v>
      </c>
      <c r="S137" s="122">
        <f t="shared" si="20"/>
        <v>86000</v>
      </c>
      <c r="T137" s="119">
        <v>98000</v>
      </c>
      <c r="U137" s="119">
        <f t="shared" si="17"/>
        <v>95592</v>
      </c>
      <c r="V137" s="134" t="s">
        <v>112</v>
      </c>
      <c r="W137" s="134"/>
      <c r="X137" s="124">
        <v>0.69499999999999995</v>
      </c>
      <c r="Y137" s="124" t="s">
        <v>54</v>
      </c>
      <c r="Z137" s="124"/>
      <c r="AA137" s="135">
        <v>0</v>
      </c>
      <c r="AB137" s="126">
        <f t="shared" si="22"/>
        <v>13208.625671786447</v>
      </c>
      <c r="AC137" s="126">
        <f t="shared" si="26"/>
        <v>0</v>
      </c>
      <c r="AD137" s="127">
        <f t="shared" si="23"/>
        <v>59.769999999999996</v>
      </c>
      <c r="AE137" s="123"/>
    </row>
    <row r="138" spans="1:31" s="112" customFormat="1" ht="25.5" x14ac:dyDescent="0.2">
      <c r="A138" s="110" t="s">
        <v>110</v>
      </c>
      <c r="B138" s="114" t="str">
        <f>VLOOKUP(A138,Sheet1!A:B,2,0)</f>
        <v>HP</v>
      </c>
      <c r="C138" s="114" t="s">
        <v>101</v>
      </c>
      <c r="D138" s="110">
        <v>23480202015</v>
      </c>
      <c r="E138" s="110" t="s">
        <v>42</v>
      </c>
      <c r="F138" s="110" t="s">
        <v>113</v>
      </c>
      <c r="G138" s="162" t="s">
        <v>44</v>
      </c>
      <c r="H138" s="123">
        <v>2023</v>
      </c>
      <c r="I138" s="116">
        <v>12</v>
      </c>
      <c r="J138" s="117">
        <v>45590</v>
      </c>
      <c r="K138" s="118">
        <v>0.4</v>
      </c>
      <c r="L138" s="119">
        <f t="shared" si="21"/>
        <v>0.27566008648311169</v>
      </c>
      <c r="M138" s="119">
        <v>0.353993419816445</v>
      </c>
      <c r="N138" s="119">
        <v>7.8333333333333297E-2</v>
      </c>
      <c r="O138" s="119">
        <f t="shared" si="24"/>
        <v>3.1333333333333317E-2</v>
      </c>
      <c r="P138" s="120">
        <v>1</v>
      </c>
      <c r="Q138" s="119">
        <f t="shared" si="25"/>
        <v>0.27566008648311169</v>
      </c>
      <c r="R138" s="121">
        <v>13608</v>
      </c>
      <c r="S138" s="122">
        <f t="shared" si="20"/>
        <v>13608</v>
      </c>
      <c r="T138" s="119">
        <v>188000</v>
      </c>
      <c r="U138" s="119">
        <f t="shared" si="17"/>
        <v>186934.04</v>
      </c>
      <c r="V138" s="134" t="s">
        <v>114</v>
      </c>
      <c r="W138" s="134"/>
      <c r="X138" s="124">
        <v>1.722</v>
      </c>
      <c r="Y138" s="124" t="s">
        <v>54</v>
      </c>
      <c r="Z138" s="124"/>
      <c r="AA138" s="135">
        <v>0</v>
      </c>
      <c r="AB138" s="126">
        <f t="shared" si="22"/>
        <v>4817.1424568621833</v>
      </c>
      <c r="AC138" s="126">
        <f t="shared" si="26"/>
        <v>0</v>
      </c>
      <c r="AD138" s="127">
        <f t="shared" si="23"/>
        <v>23.432976</v>
      </c>
      <c r="AE138" s="123"/>
    </row>
    <row r="139" spans="1:31" s="112" customFormat="1" x14ac:dyDescent="0.2">
      <c r="A139" s="110" t="s">
        <v>110</v>
      </c>
      <c r="B139" s="114" t="str">
        <f>VLOOKUP(A139,Sheet1!A:B,2,0)</f>
        <v>HP</v>
      </c>
      <c r="C139" s="130" t="s">
        <v>115</v>
      </c>
      <c r="D139" s="110">
        <v>23480202012</v>
      </c>
      <c r="E139" s="110" t="s">
        <v>42</v>
      </c>
      <c r="F139" s="114" t="s">
        <v>116</v>
      </c>
      <c r="G139" s="162" t="s">
        <v>44</v>
      </c>
      <c r="H139" s="123">
        <v>2023</v>
      </c>
      <c r="I139" s="116">
        <v>12</v>
      </c>
      <c r="J139" s="117">
        <v>45590</v>
      </c>
      <c r="K139" s="118">
        <v>0.4</v>
      </c>
      <c r="L139" s="119">
        <f t="shared" si="21"/>
        <v>0.80865388388102988</v>
      </c>
      <c r="M139" s="119">
        <v>1.0756538838810299</v>
      </c>
      <c r="N139" s="119">
        <v>0.26700000000000002</v>
      </c>
      <c r="O139" s="119">
        <f t="shared" si="24"/>
        <v>0.10680000000000001</v>
      </c>
      <c r="P139" s="120">
        <v>1</v>
      </c>
      <c r="Q139" s="119">
        <f t="shared" si="25"/>
        <v>0.80865388388102988</v>
      </c>
      <c r="R139" s="121">
        <v>32120</v>
      </c>
      <c r="S139" s="122">
        <f t="shared" si="20"/>
        <v>32120</v>
      </c>
      <c r="T139" s="119">
        <v>640000</v>
      </c>
      <c r="U139" s="119">
        <f t="shared" si="17"/>
        <v>631423.96</v>
      </c>
      <c r="V139" s="134" t="s">
        <v>117</v>
      </c>
      <c r="W139" s="134"/>
      <c r="X139" s="124">
        <v>5.7469999999999999</v>
      </c>
      <c r="Y139" s="124" t="s">
        <v>54</v>
      </c>
      <c r="Z139" s="124"/>
      <c r="AA139" s="135">
        <v>0</v>
      </c>
      <c r="AB139" s="126">
        <f t="shared" si="22"/>
        <v>34550.002750258682</v>
      </c>
      <c r="AC139" s="126">
        <f t="shared" si="26"/>
        <v>0</v>
      </c>
      <c r="AD139" s="127">
        <f t="shared" si="23"/>
        <v>184.59363999999999</v>
      </c>
      <c r="AE139" s="123"/>
    </row>
    <row r="140" spans="1:31" s="112" customFormat="1" ht="25.5" x14ac:dyDescent="0.2">
      <c r="A140" s="110" t="s">
        <v>110</v>
      </c>
      <c r="B140" s="114" t="str">
        <f>VLOOKUP(A140,Sheet1!A:B,2,0)</f>
        <v>HP</v>
      </c>
      <c r="C140" s="130" t="s">
        <v>118</v>
      </c>
      <c r="D140" s="110">
        <v>23480202005</v>
      </c>
      <c r="E140" s="110" t="s">
        <v>42</v>
      </c>
      <c r="F140" s="114" t="s">
        <v>119</v>
      </c>
      <c r="G140" s="162" t="s">
        <v>44</v>
      </c>
      <c r="H140" s="123">
        <v>2023</v>
      </c>
      <c r="I140" s="116">
        <v>12</v>
      </c>
      <c r="J140" s="117">
        <v>45590</v>
      </c>
      <c r="K140" s="118">
        <v>0.6</v>
      </c>
      <c r="L140" s="119">
        <f t="shared" si="21"/>
        <v>0.61243323981863296</v>
      </c>
      <c r="M140" s="119">
        <v>0.790433239818633</v>
      </c>
      <c r="N140" s="119">
        <v>0.17799999999999999</v>
      </c>
      <c r="O140" s="119">
        <f t="shared" si="24"/>
        <v>0.10679999999999999</v>
      </c>
      <c r="P140" s="120">
        <v>1</v>
      </c>
      <c r="Q140" s="119">
        <f t="shared" si="25"/>
        <v>0.61243323981863296</v>
      </c>
      <c r="R140" s="121">
        <v>8940</v>
      </c>
      <c r="S140" s="122">
        <f t="shared" si="20"/>
        <v>8940</v>
      </c>
      <c r="T140" s="119">
        <f>640000+35296</f>
        <v>675296</v>
      </c>
      <c r="U140" s="119">
        <f t="shared" si="17"/>
        <v>673704.68</v>
      </c>
      <c r="V140" s="134" t="s">
        <v>120</v>
      </c>
      <c r="W140" s="134"/>
      <c r="X140" s="124">
        <v>3.2709999999999999</v>
      </c>
      <c r="Y140" s="124" t="s">
        <v>54</v>
      </c>
      <c r="Z140" s="124"/>
      <c r="AA140" s="135">
        <v>0</v>
      </c>
      <c r="AB140" s="126">
        <f t="shared" si="22"/>
        <v>7066.4731639785787</v>
      </c>
      <c r="AC140" s="126">
        <f t="shared" si="26"/>
        <v>0</v>
      </c>
      <c r="AD140" s="127">
        <f t="shared" si="23"/>
        <v>29.242739999999998</v>
      </c>
      <c r="AE140" s="123"/>
    </row>
    <row r="141" spans="1:31" s="112" customFormat="1" x14ac:dyDescent="0.2">
      <c r="A141" s="110" t="s">
        <v>110</v>
      </c>
      <c r="B141" s="114" t="str">
        <f>VLOOKUP(A141,Sheet1!A:B,2,0)</f>
        <v>HP</v>
      </c>
      <c r="C141" s="130" t="s">
        <v>121</v>
      </c>
      <c r="D141" s="110">
        <v>23480202011</v>
      </c>
      <c r="E141" s="110" t="s">
        <v>42</v>
      </c>
      <c r="F141" s="114" t="s">
        <v>116</v>
      </c>
      <c r="G141" s="162" t="s">
        <v>44</v>
      </c>
      <c r="H141" s="123">
        <v>2023</v>
      </c>
      <c r="I141" s="116">
        <v>12</v>
      </c>
      <c r="J141" s="117">
        <v>45590</v>
      </c>
      <c r="K141" s="118">
        <v>0.5</v>
      </c>
      <c r="L141" s="119">
        <f t="shared" si="21"/>
        <v>0.29378086188436198</v>
      </c>
      <c r="M141" s="119">
        <v>0.41711419521769499</v>
      </c>
      <c r="N141" s="119">
        <v>0.123333333333333</v>
      </c>
      <c r="O141" s="119">
        <f t="shared" si="24"/>
        <v>6.1666666666666502E-2</v>
      </c>
      <c r="P141" s="120">
        <v>1</v>
      </c>
      <c r="Q141" s="119">
        <f t="shared" si="25"/>
        <v>0.29378086188436198</v>
      </c>
      <c r="R141" s="121">
        <v>78750</v>
      </c>
      <c r="S141" s="122">
        <f t="shared" si="20"/>
        <v>78750</v>
      </c>
      <c r="T141" s="119">
        <v>370000</v>
      </c>
      <c r="U141" s="119">
        <f t="shared" si="17"/>
        <v>360287.5</v>
      </c>
      <c r="V141" s="134" t="s">
        <v>107</v>
      </c>
      <c r="W141" s="134"/>
      <c r="X141" s="124">
        <v>1.7749999999999999</v>
      </c>
      <c r="Y141" s="124" t="s">
        <v>54</v>
      </c>
      <c r="Z141" s="124"/>
      <c r="AA141" s="135">
        <v>0</v>
      </c>
      <c r="AB141" s="126">
        <f t="shared" si="22"/>
        <v>32847.742873393479</v>
      </c>
      <c r="AC141" s="126">
        <f t="shared" si="26"/>
        <v>0</v>
      </c>
      <c r="AD141" s="127">
        <f t="shared" si="23"/>
        <v>139.78125</v>
      </c>
      <c r="AE141" s="123"/>
    </row>
    <row r="142" spans="1:31" s="112" customFormat="1" ht="25.5" x14ac:dyDescent="0.2">
      <c r="A142" s="110" t="s">
        <v>110</v>
      </c>
      <c r="B142" s="114" t="str">
        <f>VLOOKUP(A142,Sheet1!A:B,2,0)</f>
        <v>HP</v>
      </c>
      <c r="C142" s="130" t="s">
        <v>66</v>
      </c>
      <c r="D142" s="110">
        <v>23480202017</v>
      </c>
      <c r="E142" s="110" t="s">
        <v>42</v>
      </c>
      <c r="F142" s="114" t="s">
        <v>116</v>
      </c>
      <c r="G142" s="162" t="s">
        <v>44</v>
      </c>
      <c r="H142" s="123">
        <v>2023</v>
      </c>
      <c r="I142" s="116">
        <v>12</v>
      </c>
      <c r="J142" s="117">
        <v>45590</v>
      </c>
      <c r="K142" s="118">
        <v>0.5</v>
      </c>
      <c r="L142" s="119">
        <f t="shared" si="21"/>
        <v>1.0628666666666668</v>
      </c>
      <c r="M142" s="119">
        <v>1.1322000000000001</v>
      </c>
      <c r="N142" s="119">
        <v>6.9333333333333302E-2</v>
      </c>
      <c r="O142" s="119">
        <f t="shared" si="24"/>
        <v>3.4666666666666651E-2</v>
      </c>
      <c r="P142" s="120">
        <v>1</v>
      </c>
      <c r="Q142" s="119">
        <f t="shared" si="25"/>
        <v>1.0628666666666668</v>
      </c>
      <c r="R142" s="121">
        <v>17300</v>
      </c>
      <c r="S142" s="122">
        <f t="shared" si="20"/>
        <v>17300</v>
      </c>
      <c r="T142" s="119">
        <f>208000+207000+35513+26171+7330</f>
        <v>484014</v>
      </c>
      <c r="U142" s="119">
        <f t="shared" si="17"/>
        <v>482814.53333333333</v>
      </c>
      <c r="V142" s="134" t="s">
        <v>122</v>
      </c>
      <c r="W142" s="134"/>
      <c r="X142" s="124">
        <v>2.3839999999999999</v>
      </c>
      <c r="Y142" s="124" t="s">
        <v>54</v>
      </c>
      <c r="Z142" s="124" t="s">
        <v>93</v>
      </c>
      <c r="AA142" s="125">
        <v>0.7964</v>
      </c>
      <c r="AB142" s="126">
        <f t="shared" si="22"/>
        <v>19587.060000000001</v>
      </c>
      <c r="AC142" s="126">
        <f t="shared" si="26"/>
        <v>13777.72</v>
      </c>
      <c r="AD142" s="127">
        <f t="shared" si="23"/>
        <v>41.243199999999995</v>
      </c>
      <c r="AE142" s="123"/>
    </row>
    <row r="143" spans="1:31" s="112" customFormat="1" ht="51" x14ac:dyDescent="0.2">
      <c r="A143" s="110" t="s">
        <v>110</v>
      </c>
      <c r="B143" s="114" t="str">
        <f>VLOOKUP(A143,Sheet1!A:B,2,0)</f>
        <v>HP</v>
      </c>
      <c r="C143" s="130" t="s">
        <v>81</v>
      </c>
      <c r="D143" s="110">
        <v>23480202018</v>
      </c>
      <c r="E143" s="110" t="s">
        <v>42</v>
      </c>
      <c r="F143" s="114" t="s">
        <v>116</v>
      </c>
      <c r="G143" s="162" t="s">
        <v>44</v>
      </c>
      <c r="H143" s="123">
        <v>2023</v>
      </c>
      <c r="I143" s="116">
        <v>12</v>
      </c>
      <c r="J143" s="117">
        <v>45590</v>
      </c>
      <c r="K143" s="118">
        <v>0.4</v>
      </c>
      <c r="L143" s="119">
        <f t="shared" si="21"/>
        <v>0.41382922267354705</v>
      </c>
      <c r="M143" s="119">
        <v>0.54316255600688002</v>
      </c>
      <c r="N143" s="119">
        <v>0.12933333333333299</v>
      </c>
      <c r="O143" s="119">
        <f t="shared" si="24"/>
        <v>5.1733333333333201E-2</v>
      </c>
      <c r="P143" s="120">
        <v>1</v>
      </c>
      <c r="Q143" s="119">
        <f t="shared" si="25"/>
        <v>0.41382922267354705</v>
      </c>
      <c r="R143" s="121"/>
      <c r="S143" s="122">
        <f t="shared" si="20"/>
        <v>0</v>
      </c>
      <c r="T143" s="119">
        <f>388000+53870+10859</f>
        <v>452729</v>
      </c>
      <c r="U143" s="119">
        <f t="shared" si="17"/>
        <v>452729</v>
      </c>
      <c r="V143" s="134" t="s">
        <v>123</v>
      </c>
      <c r="W143" s="123"/>
      <c r="X143" s="124">
        <v>3.673</v>
      </c>
      <c r="Y143" s="124" t="s">
        <v>54</v>
      </c>
      <c r="Z143" s="124"/>
      <c r="AA143" s="135">
        <v>0</v>
      </c>
      <c r="AB143" s="126">
        <f t="shared" si="22"/>
        <v>0</v>
      </c>
      <c r="AC143" s="126">
        <f t="shared" si="26"/>
        <v>0</v>
      </c>
      <c r="AD143" s="127">
        <f t="shared" si="23"/>
        <v>0</v>
      </c>
      <c r="AE143" s="123"/>
    </row>
    <row r="144" spans="1:31" s="112" customFormat="1" x14ac:dyDescent="0.2">
      <c r="A144" s="110" t="s">
        <v>89</v>
      </c>
      <c r="B144" s="114" t="str">
        <f>VLOOKUP(A144,Sheet1!A:B,2,0)</f>
        <v>HP</v>
      </c>
      <c r="C144" s="114" t="s">
        <v>90</v>
      </c>
      <c r="D144" s="110">
        <v>22150202014</v>
      </c>
      <c r="E144" s="110" t="s">
        <v>42</v>
      </c>
      <c r="F144" s="110" t="s">
        <v>91</v>
      </c>
      <c r="G144" s="162" t="s">
        <v>44</v>
      </c>
      <c r="H144" s="123">
        <v>2024</v>
      </c>
      <c r="I144" s="116">
        <v>1</v>
      </c>
      <c r="J144" s="117">
        <v>45590</v>
      </c>
      <c r="K144" s="118">
        <v>0.4</v>
      </c>
      <c r="L144" s="119">
        <f t="shared" si="21"/>
        <v>2.3161999999999998</v>
      </c>
      <c r="M144" s="119">
        <v>2.3536999999999999</v>
      </c>
      <c r="N144" s="119">
        <v>3.7499999999999999E-2</v>
      </c>
      <c r="O144" s="119">
        <f t="shared" si="24"/>
        <v>1.4999999999999999E-2</v>
      </c>
      <c r="P144" s="120">
        <v>1</v>
      </c>
      <c r="Q144" s="119">
        <f t="shared" si="25"/>
        <v>2.3161999999999998</v>
      </c>
      <c r="R144" s="121">
        <v>245439</v>
      </c>
      <c r="S144" s="122">
        <f t="shared" ref="S144:S207" si="27">R144+S128</f>
        <v>619842</v>
      </c>
      <c r="T144" s="119">
        <v>105000</v>
      </c>
      <c r="U144" s="119">
        <f t="shared" si="17"/>
        <v>81755.925000000003</v>
      </c>
      <c r="V144" s="134" t="s">
        <v>92</v>
      </c>
      <c r="W144" s="134"/>
      <c r="X144" s="124">
        <v>1.5549999999999999</v>
      </c>
      <c r="Y144" s="124" t="s">
        <v>54</v>
      </c>
      <c r="Z144" s="124" t="s">
        <v>93</v>
      </c>
      <c r="AA144" s="125">
        <v>1.9422999999999999</v>
      </c>
      <c r="AB144" s="126">
        <f t="shared" si="22"/>
        <v>577689.77429999993</v>
      </c>
      <c r="AC144" s="126">
        <f t="shared" si="26"/>
        <v>476716.16969999997</v>
      </c>
      <c r="AD144" s="127">
        <f t="shared" si="23"/>
        <v>381.65764499999995</v>
      </c>
      <c r="AE144" s="123"/>
    </row>
    <row r="145" spans="1:31" s="112" customFormat="1" ht="25.5" x14ac:dyDescent="0.2">
      <c r="A145" s="110" t="s">
        <v>89</v>
      </c>
      <c r="B145" s="114" t="str">
        <f>VLOOKUP(A145,Sheet1!A:B,2,0)</f>
        <v>HP</v>
      </c>
      <c r="C145" s="130" t="s">
        <v>94</v>
      </c>
      <c r="D145" s="110">
        <v>22150202015</v>
      </c>
      <c r="E145" s="110" t="s">
        <v>42</v>
      </c>
      <c r="F145" s="110" t="s">
        <v>91</v>
      </c>
      <c r="G145" s="162" t="s">
        <v>44</v>
      </c>
      <c r="H145" s="123">
        <v>2024</v>
      </c>
      <c r="I145" s="116">
        <v>1</v>
      </c>
      <c r="J145" s="117">
        <v>45590</v>
      </c>
      <c r="K145" s="118">
        <v>0.6</v>
      </c>
      <c r="L145" s="119">
        <f t="shared" si="21"/>
        <v>1.5443588135792305</v>
      </c>
      <c r="M145" s="119">
        <v>1.6338826231030401</v>
      </c>
      <c r="N145" s="119">
        <v>8.9523809523809506E-2</v>
      </c>
      <c r="O145" s="119">
        <f t="shared" si="24"/>
        <v>5.3714285714285701E-2</v>
      </c>
      <c r="P145" s="120">
        <v>1</v>
      </c>
      <c r="Q145" s="119">
        <f t="shared" si="25"/>
        <v>1.5443588135792305</v>
      </c>
      <c r="R145" s="121">
        <v>62156</v>
      </c>
      <c r="S145" s="122">
        <f t="shared" si="27"/>
        <v>417027</v>
      </c>
      <c r="T145" s="119">
        <v>376000</v>
      </c>
      <c r="U145" s="119">
        <f t="shared" si="17"/>
        <v>338666.15428571426</v>
      </c>
      <c r="V145" s="134" t="s">
        <v>95</v>
      </c>
      <c r="W145" s="134"/>
      <c r="X145" s="124">
        <v>1.7450000000000001</v>
      </c>
      <c r="Y145" s="124" t="s">
        <v>54</v>
      </c>
      <c r="Z145" s="124" t="s">
        <v>93</v>
      </c>
      <c r="AA145" s="125">
        <v>1.1437999999999999</v>
      </c>
      <c r="AB145" s="126">
        <f t="shared" si="22"/>
        <v>101555.60832159256</v>
      </c>
      <c r="AC145" s="126">
        <f t="shared" si="26"/>
        <v>71094.032800000001</v>
      </c>
      <c r="AD145" s="127">
        <f t="shared" si="23"/>
        <v>108.46222</v>
      </c>
      <c r="AE145" s="123"/>
    </row>
    <row r="146" spans="1:31" s="112" customFormat="1" x14ac:dyDescent="0.2">
      <c r="A146" s="110" t="s">
        <v>89</v>
      </c>
      <c r="B146" s="114" t="str">
        <f>VLOOKUP(A146,Sheet1!A:B,2,0)</f>
        <v>HP</v>
      </c>
      <c r="C146" s="130" t="s">
        <v>66</v>
      </c>
      <c r="D146" s="110">
        <v>22150202010</v>
      </c>
      <c r="E146" s="110" t="s">
        <v>42</v>
      </c>
      <c r="F146" s="110" t="s">
        <v>96</v>
      </c>
      <c r="G146" s="162" t="s">
        <v>44</v>
      </c>
      <c r="H146" s="123">
        <v>2024</v>
      </c>
      <c r="I146" s="116">
        <v>1</v>
      </c>
      <c r="J146" s="117">
        <v>45590</v>
      </c>
      <c r="K146" s="118">
        <v>0.4</v>
      </c>
      <c r="L146" s="119">
        <f t="shared" si="21"/>
        <v>0.91622499999999985</v>
      </c>
      <c r="M146" s="119">
        <v>1.1620999999999999</v>
      </c>
      <c r="N146" s="119">
        <v>0.24587500000000001</v>
      </c>
      <c r="O146" s="119">
        <f t="shared" si="24"/>
        <v>9.8350000000000007E-2</v>
      </c>
      <c r="P146" s="120">
        <v>1</v>
      </c>
      <c r="Q146" s="119">
        <f t="shared" si="25"/>
        <v>0.91622499999999985</v>
      </c>
      <c r="R146" s="121">
        <v>86278</v>
      </c>
      <c r="S146" s="122">
        <f t="shared" si="27"/>
        <v>582069</v>
      </c>
      <c r="T146" s="119">
        <v>98350</v>
      </c>
      <c r="U146" s="119">
        <f t="shared" si="17"/>
        <v>-44766.215375</v>
      </c>
      <c r="V146" s="134" t="s">
        <v>97</v>
      </c>
      <c r="W146" s="134"/>
      <c r="X146" s="124">
        <v>0.57899999999999996</v>
      </c>
      <c r="Y146" s="124" t="s">
        <v>54</v>
      </c>
      <c r="Z146" s="124" t="s">
        <v>93</v>
      </c>
      <c r="AA146" s="125">
        <v>0.75590000000000002</v>
      </c>
      <c r="AB146" s="126">
        <f t="shared" si="22"/>
        <v>100263.66379999999</v>
      </c>
      <c r="AC146" s="126">
        <f t="shared" si="26"/>
        <v>65217.540200000003</v>
      </c>
      <c r="AD146" s="127">
        <f t="shared" si="23"/>
        <v>49.954962000000002</v>
      </c>
      <c r="AE146" s="123"/>
    </row>
    <row r="147" spans="1:31" s="112" customFormat="1" x14ac:dyDescent="0.2">
      <c r="A147" s="110" t="s">
        <v>89</v>
      </c>
      <c r="B147" s="114" t="str">
        <f>VLOOKUP(A147,Sheet1!A:B,2,0)</f>
        <v>HP</v>
      </c>
      <c r="C147" s="130" t="s">
        <v>98</v>
      </c>
      <c r="D147" s="110">
        <v>22150202008</v>
      </c>
      <c r="E147" s="110" t="s">
        <v>42</v>
      </c>
      <c r="F147" s="110" t="s">
        <v>99</v>
      </c>
      <c r="G147" s="162" t="s">
        <v>44</v>
      </c>
      <c r="H147" s="123">
        <v>2024</v>
      </c>
      <c r="I147" s="116">
        <v>1</v>
      </c>
      <c r="J147" s="117">
        <v>45590</v>
      </c>
      <c r="K147" s="118">
        <v>0.5</v>
      </c>
      <c r="L147" s="119">
        <f t="shared" si="21"/>
        <v>0.1278</v>
      </c>
      <c r="M147" s="119">
        <v>0.15579999999999999</v>
      </c>
      <c r="N147" s="119">
        <v>2.8000000000000001E-2</v>
      </c>
      <c r="O147" s="119">
        <f t="shared" si="24"/>
        <v>1.4E-2</v>
      </c>
      <c r="P147" s="120">
        <v>1</v>
      </c>
      <c r="Q147" s="119">
        <f t="shared" si="25"/>
        <v>0.1278</v>
      </c>
      <c r="R147" s="121">
        <v>368900</v>
      </c>
      <c r="S147" s="122">
        <f t="shared" si="27"/>
        <v>826157</v>
      </c>
      <c r="T147" s="119">
        <f>98000+12600</f>
        <v>110600</v>
      </c>
      <c r="U147" s="119">
        <f t="shared" si="17"/>
        <v>87467.603999999992</v>
      </c>
      <c r="V147" s="134" t="s">
        <v>100</v>
      </c>
      <c r="W147" s="134"/>
      <c r="X147" s="124">
        <v>0.76300000000000001</v>
      </c>
      <c r="Y147" s="124" t="s">
        <v>54</v>
      </c>
      <c r="Z147" s="124"/>
      <c r="AA147" s="135">
        <v>0</v>
      </c>
      <c r="AB147" s="126">
        <f t="shared" si="22"/>
        <v>57474.619999999995</v>
      </c>
      <c r="AC147" s="126">
        <f t="shared" si="26"/>
        <v>0</v>
      </c>
      <c r="AD147" s="127">
        <f t="shared" si="23"/>
        <v>281.47070000000002</v>
      </c>
      <c r="AE147" s="123"/>
    </row>
    <row r="148" spans="1:31" s="112" customFormat="1" x14ac:dyDescent="0.2">
      <c r="A148" s="110" t="s">
        <v>89</v>
      </c>
      <c r="B148" s="114" t="str">
        <f>VLOOKUP(A148,Sheet1!A:B,2,0)</f>
        <v>HP</v>
      </c>
      <c r="C148" s="114" t="s">
        <v>101</v>
      </c>
      <c r="D148" s="110">
        <v>22150202017</v>
      </c>
      <c r="E148" s="110" t="s">
        <v>42</v>
      </c>
      <c r="F148" s="110" t="s">
        <v>99</v>
      </c>
      <c r="G148" s="162" t="s">
        <v>44</v>
      </c>
      <c r="H148" s="123">
        <v>2024</v>
      </c>
      <c r="I148" s="116">
        <v>1</v>
      </c>
      <c r="J148" s="117">
        <v>45590</v>
      </c>
      <c r="K148" s="118">
        <v>0.4</v>
      </c>
      <c r="L148" s="119">
        <f t="shared" si="21"/>
        <v>0.17249999999999999</v>
      </c>
      <c r="M148" s="119">
        <v>0.41749999999999998</v>
      </c>
      <c r="N148" s="119">
        <v>0.245</v>
      </c>
      <c r="O148" s="119">
        <f t="shared" si="24"/>
        <v>9.8000000000000004E-2</v>
      </c>
      <c r="P148" s="120">
        <v>1</v>
      </c>
      <c r="Q148" s="119">
        <f t="shared" si="25"/>
        <v>0.17249999999999999</v>
      </c>
      <c r="R148" s="121">
        <v>160920</v>
      </c>
      <c r="S148" s="122">
        <f t="shared" si="27"/>
        <v>475637</v>
      </c>
      <c r="T148" s="119">
        <v>98000</v>
      </c>
      <c r="U148" s="119">
        <f t="shared" si="17"/>
        <v>-18531.065000000002</v>
      </c>
      <c r="V148" s="134" t="s">
        <v>102</v>
      </c>
      <c r="W148" s="134"/>
      <c r="X148" s="124">
        <v>1.173</v>
      </c>
      <c r="Y148" s="124" t="s">
        <v>54</v>
      </c>
      <c r="Z148" s="124"/>
      <c r="AA148" s="135">
        <v>0</v>
      </c>
      <c r="AB148" s="126">
        <f t="shared" si="22"/>
        <v>67184.099999999991</v>
      </c>
      <c r="AC148" s="126">
        <f t="shared" si="26"/>
        <v>0</v>
      </c>
      <c r="AD148" s="127">
        <f t="shared" si="23"/>
        <v>188.75916000000001</v>
      </c>
      <c r="AE148" s="123"/>
    </row>
    <row r="149" spans="1:31" s="112" customFormat="1" x14ac:dyDescent="0.2">
      <c r="A149" s="110" t="s">
        <v>89</v>
      </c>
      <c r="B149" s="114" t="str">
        <f>VLOOKUP(A149,Sheet1!A:B,2,0)</f>
        <v>HP</v>
      </c>
      <c r="C149" s="130" t="s">
        <v>103</v>
      </c>
      <c r="D149" s="110">
        <v>22150202009</v>
      </c>
      <c r="E149" s="110" t="s">
        <v>42</v>
      </c>
      <c r="F149" s="110" t="s">
        <v>91</v>
      </c>
      <c r="G149" s="162" t="s">
        <v>44</v>
      </c>
      <c r="H149" s="123">
        <v>2024</v>
      </c>
      <c r="I149" s="116">
        <v>1</v>
      </c>
      <c r="J149" s="117">
        <v>45590</v>
      </c>
      <c r="K149" s="118">
        <v>0.5</v>
      </c>
      <c r="L149" s="119">
        <f t="shared" si="21"/>
        <v>0.1285</v>
      </c>
      <c r="M149" s="119">
        <v>0.1565</v>
      </c>
      <c r="N149" s="119">
        <v>2.8000000000000001E-2</v>
      </c>
      <c r="O149" s="119">
        <f t="shared" si="24"/>
        <v>1.4E-2</v>
      </c>
      <c r="P149" s="120">
        <v>1</v>
      </c>
      <c r="Q149" s="119">
        <f t="shared" si="25"/>
        <v>0.1285</v>
      </c>
      <c r="R149" s="121">
        <v>286000</v>
      </c>
      <c r="S149" s="122">
        <f t="shared" si="27"/>
        <v>425080</v>
      </c>
      <c r="T149" s="119">
        <v>98000</v>
      </c>
      <c r="U149" s="119">
        <f t="shared" si="17"/>
        <v>86097.76</v>
      </c>
      <c r="V149" s="136" t="s">
        <v>97</v>
      </c>
      <c r="W149" s="136"/>
      <c r="X149" s="137">
        <v>0.69499999999999995</v>
      </c>
      <c r="Y149" s="138" t="s">
        <v>54</v>
      </c>
      <c r="Z149" s="138"/>
      <c r="AA149" s="135">
        <v>0</v>
      </c>
      <c r="AB149" s="126">
        <f t="shared" si="22"/>
        <v>44759</v>
      </c>
      <c r="AC149" s="126">
        <f t="shared" si="26"/>
        <v>0</v>
      </c>
      <c r="AD149" s="127">
        <f t="shared" si="23"/>
        <v>198.77</v>
      </c>
      <c r="AE149" s="123"/>
    </row>
    <row r="150" spans="1:31" s="112" customFormat="1" x14ac:dyDescent="0.2">
      <c r="A150" s="110" t="s">
        <v>89</v>
      </c>
      <c r="B150" s="114" t="str">
        <f>VLOOKUP(A150,Sheet1!A:B,2,0)</f>
        <v>HP</v>
      </c>
      <c r="C150" s="130" t="s">
        <v>104</v>
      </c>
      <c r="D150" s="110">
        <v>22150202021</v>
      </c>
      <c r="E150" s="110" t="s">
        <v>42</v>
      </c>
      <c r="F150" s="110" t="s">
        <v>91</v>
      </c>
      <c r="G150" s="162" t="s">
        <v>44</v>
      </c>
      <c r="H150" s="123">
        <v>2024</v>
      </c>
      <c r="I150" s="116">
        <v>1</v>
      </c>
      <c r="J150" s="117">
        <v>45590</v>
      </c>
      <c r="K150" s="118">
        <v>0.6</v>
      </c>
      <c r="L150" s="119">
        <f t="shared" si="21"/>
        <v>2.5637000000000003</v>
      </c>
      <c r="M150" s="119">
        <v>2.8972000000000002</v>
      </c>
      <c r="N150" s="119">
        <v>0.33350000000000002</v>
      </c>
      <c r="O150" s="119">
        <f t="shared" si="24"/>
        <v>0.2001</v>
      </c>
      <c r="P150" s="120">
        <v>1</v>
      </c>
      <c r="Q150" s="119">
        <f t="shared" si="25"/>
        <v>2.5637000000000003</v>
      </c>
      <c r="R150" s="121">
        <v>122268</v>
      </c>
      <c r="S150" s="122">
        <f t="shared" si="27"/>
        <v>573209</v>
      </c>
      <c r="T150" s="119">
        <v>200100</v>
      </c>
      <c r="U150" s="119">
        <f t="shared" si="17"/>
        <v>8934.7984999999753</v>
      </c>
      <c r="V150" s="134" t="s">
        <v>105</v>
      </c>
      <c r="W150" s="134"/>
      <c r="X150" s="124">
        <v>3.4089999999999998</v>
      </c>
      <c r="Y150" s="139" t="s">
        <v>54</v>
      </c>
      <c r="Z150" s="124" t="s">
        <v>93</v>
      </c>
      <c r="AA150" s="125">
        <v>1.7574000000000001</v>
      </c>
      <c r="AB150" s="126">
        <f t="shared" si="22"/>
        <v>354234.84960000002</v>
      </c>
      <c r="AC150" s="126">
        <f t="shared" si="26"/>
        <v>214873.78320000001</v>
      </c>
      <c r="AD150" s="127">
        <f t="shared" si="23"/>
        <v>416.81161199999997</v>
      </c>
      <c r="AE150" s="123"/>
    </row>
    <row r="151" spans="1:31" s="112" customFormat="1" x14ac:dyDescent="0.2">
      <c r="A151" s="110" t="s">
        <v>89</v>
      </c>
      <c r="B151" s="114" t="str">
        <f>VLOOKUP(A151,Sheet1!A:B,2,0)</f>
        <v>HP</v>
      </c>
      <c r="C151" s="130" t="s">
        <v>106</v>
      </c>
      <c r="D151" s="110">
        <v>22150202018</v>
      </c>
      <c r="E151" s="110" t="s">
        <v>42</v>
      </c>
      <c r="F151" s="110" t="s">
        <v>91</v>
      </c>
      <c r="G151" s="162" t="s">
        <v>44</v>
      </c>
      <c r="H151" s="123">
        <v>2024</v>
      </c>
      <c r="I151" s="116">
        <v>1</v>
      </c>
      <c r="J151" s="117">
        <v>45590</v>
      </c>
      <c r="K151" s="118">
        <v>0.4</v>
      </c>
      <c r="L151" s="119">
        <f t="shared" si="21"/>
        <v>0.1608</v>
      </c>
      <c r="M151" s="119">
        <v>0.1958</v>
      </c>
      <c r="N151" s="119">
        <v>3.5000000000000003E-2</v>
      </c>
      <c r="O151" s="119">
        <f t="shared" si="24"/>
        <v>1.4000000000000002E-2</v>
      </c>
      <c r="P151" s="120">
        <v>1</v>
      </c>
      <c r="Q151" s="119">
        <f t="shared" si="25"/>
        <v>0.1608</v>
      </c>
      <c r="R151" s="121">
        <v>56316</v>
      </c>
      <c r="S151" s="122">
        <f t="shared" si="27"/>
        <v>496021</v>
      </c>
      <c r="T151" s="119">
        <v>98000</v>
      </c>
      <c r="U151" s="119">
        <f t="shared" si="17"/>
        <v>80639.264999999999</v>
      </c>
      <c r="V151" s="134" t="s">
        <v>107</v>
      </c>
      <c r="W151" s="134"/>
      <c r="X151" s="124">
        <v>1.117</v>
      </c>
      <c r="Y151" s="124" t="s">
        <v>54</v>
      </c>
      <c r="Z151" s="124"/>
      <c r="AA151" s="125">
        <v>0</v>
      </c>
      <c r="AB151" s="126">
        <f t="shared" si="22"/>
        <v>11026.6728</v>
      </c>
      <c r="AC151" s="126">
        <f t="shared" si="26"/>
        <v>0</v>
      </c>
      <c r="AD151" s="127">
        <f t="shared" si="23"/>
        <v>62.904972000000001</v>
      </c>
      <c r="AE151" s="123"/>
    </row>
    <row r="152" spans="1:31" s="112" customFormat="1" x14ac:dyDescent="0.2">
      <c r="A152" s="110" t="s">
        <v>89</v>
      </c>
      <c r="B152" s="114" t="str">
        <f>VLOOKUP(A152,Sheet1!A:B,2,0)</f>
        <v>HP</v>
      </c>
      <c r="C152" s="130" t="s">
        <v>108</v>
      </c>
      <c r="D152" s="110">
        <v>22150202007</v>
      </c>
      <c r="E152" s="110" t="s">
        <v>42</v>
      </c>
      <c r="F152" s="110" t="s">
        <v>109</v>
      </c>
      <c r="G152" s="162" t="s">
        <v>44</v>
      </c>
      <c r="H152" s="123">
        <v>2024</v>
      </c>
      <c r="I152" s="116">
        <v>1</v>
      </c>
      <c r="J152" s="117">
        <v>45590</v>
      </c>
      <c r="K152" s="118">
        <v>0.5</v>
      </c>
      <c r="L152" s="119">
        <f t="shared" si="21"/>
        <v>0.1227571428571429</v>
      </c>
      <c r="M152" s="119">
        <v>0.16</v>
      </c>
      <c r="N152" s="119">
        <v>3.7242857142857098E-2</v>
      </c>
      <c r="O152" s="119">
        <f t="shared" si="24"/>
        <v>1.8621428571428549E-2</v>
      </c>
      <c r="P152" s="120">
        <v>1</v>
      </c>
      <c r="Q152" s="119">
        <f t="shared" si="25"/>
        <v>0.1227571428571429</v>
      </c>
      <c r="R152" s="121">
        <v>337834</v>
      </c>
      <c r="S152" s="122">
        <f t="shared" si="27"/>
        <v>840604</v>
      </c>
      <c r="T152" s="119">
        <v>130350</v>
      </c>
      <c r="U152" s="119">
        <f t="shared" si="17"/>
        <v>99043.505314285751</v>
      </c>
      <c r="V152" s="134" t="s">
        <v>100</v>
      </c>
      <c r="W152" s="134"/>
      <c r="X152" s="124">
        <v>0.52400000000000002</v>
      </c>
      <c r="Y152" s="124" t="s">
        <v>54</v>
      </c>
      <c r="Z152" s="124"/>
      <c r="AA152" s="135">
        <v>0</v>
      </c>
      <c r="AB152" s="126">
        <f t="shared" si="22"/>
        <v>54053.440000000002</v>
      </c>
      <c r="AC152" s="126">
        <f t="shared" si="26"/>
        <v>0</v>
      </c>
      <c r="AD152" s="127">
        <f t="shared" si="23"/>
        <v>177.02501599999999</v>
      </c>
      <c r="AE152" s="123"/>
    </row>
    <row r="153" spans="1:31" s="112" customFormat="1" x14ac:dyDescent="0.2">
      <c r="A153" s="110" t="s">
        <v>110</v>
      </c>
      <c r="B153" s="114" t="str">
        <f>VLOOKUP(A153,Sheet1!A:B,2,0)</f>
        <v>HP</v>
      </c>
      <c r="C153" s="130" t="s">
        <v>98</v>
      </c>
      <c r="D153" s="110">
        <v>23590202001</v>
      </c>
      <c r="E153" s="110" t="s">
        <v>42</v>
      </c>
      <c r="F153" s="110" t="s">
        <v>111</v>
      </c>
      <c r="G153" s="162" t="s">
        <v>44</v>
      </c>
      <c r="H153" s="123">
        <v>2024</v>
      </c>
      <c r="I153" s="116">
        <v>1</v>
      </c>
      <c r="J153" s="117">
        <v>45590</v>
      </c>
      <c r="K153" s="118">
        <v>0.5</v>
      </c>
      <c r="L153" s="119">
        <f t="shared" si="21"/>
        <v>0.125588670602168</v>
      </c>
      <c r="M153" s="119">
        <v>0.15358867060216799</v>
      </c>
      <c r="N153" s="119">
        <v>2.8000000000000001E-2</v>
      </c>
      <c r="O153" s="119">
        <f t="shared" si="24"/>
        <v>1.4E-2</v>
      </c>
      <c r="P153" s="120">
        <v>1</v>
      </c>
      <c r="Q153" s="119">
        <f t="shared" si="25"/>
        <v>0.125588670602168</v>
      </c>
      <c r="R153" s="121">
        <v>28000</v>
      </c>
      <c r="S153" s="122">
        <f t="shared" si="27"/>
        <v>114000</v>
      </c>
      <c r="T153" s="119">
        <v>98000</v>
      </c>
      <c r="U153" s="119">
        <f t="shared" si="17"/>
        <v>94808</v>
      </c>
      <c r="V153" s="134" t="s">
        <v>112</v>
      </c>
      <c r="W153" s="134"/>
      <c r="X153" s="124">
        <v>0.69499999999999995</v>
      </c>
      <c r="Y153" s="124" t="s">
        <v>54</v>
      </c>
      <c r="Z153" s="124"/>
      <c r="AA153" s="135">
        <v>0</v>
      </c>
      <c r="AB153" s="126">
        <f t="shared" si="22"/>
        <v>4300.4827768607038</v>
      </c>
      <c r="AC153" s="126">
        <f t="shared" si="26"/>
        <v>0</v>
      </c>
      <c r="AD153" s="127">
        <f t="shared" si="23"/>
        <v>19.46</v>
      </c>
      <c r="AE153" s="123"/>
    </row>
    <row r="154" spans="1:31" s="112" customFormat="1" ht="25.5" x14ac:dyDescent="0.2">
      <c r="A154" s="110" t="s">
        <v>110</v>
      </c>
      <c r="B154" s="114" t="str">
        <f>VLOOKUP(A154,Sheet1!A:B,2,0)</f>
        <v>HP</v>
      </c>
      <c r="C154" s="114" t="s">
        <v>101</v>
      </c>
      <c r="D154" s="110">
        <v>23480202015</v>
      </c>
      <c r="E154" s="110" t="s">
        <v>42</v>
      </c>
      <c r="F154" s="110" t="s">
        <v>113</v>
      </c>
      <c r="G154" s="162" t="s">
        <v>44</v>
      </c>
      <c r="H154" s="123">
        <v>2024</v>
      </c>
      <c r="I154" s="116">
        <v>1</v>
      </c>
      <c r="J154" s="117">
        <v>45590</v>
      </c>
      <c r="K154" s="118">
        <v>0.4</v>
      </c>
      <c r="L154" s="119">
        <f t="shared" si="21"/>
        <v>0.27566008648311169</v>
      </c>
      <c r="M154" s="119">
        <v>0.353993419816445</v>
      </c>
      <c r="N154" s="119">
        <v>7.8333333333333297E-2</v>
      </c>
      <c r="O154" s="119">
        <f t="shared" si="24"/>
        <v>3.1333333333333317E-2</v>
      </c>
      <c r="P154" s="120">
        <v>1</v>
      </c>
      <c r="Q154" s="119">
        <f t="shared" si="25"/>
        <v>0.27566008648311169</v>
      </c>
      <c r="R154" s="121">
        <v>65728</v>
      </c>
      <c r="S154" s="122">
        <f t="shared" si="27"/>
        <v>79336</v>
      </c>
      <c r="T154" s="119">
        <v>188000</v>
      </c>
      <c r="U154" s="119">
        <f t="shared" si="17"/>
        <v>181785.34666666668</v>
      </c>
      <c r="V154" s="134" t="s">
        <v>114</v>
      </c>
      <c r="W154" s="134"/>
      <c r="X154" s="124">
        <v>1.722</v>
      </c>
      <c r="Y154" s="124" t="s">
        <v>54</v>
      </c>
      <c r="Z154" s="124"/>
      <c r="AA154" s="135">
        <v>0</v>
      </c>
      <c r="AB154" s="126">
        <f t="shared" si="22"/>
        <v>23267.279497695297</v>
      </c>
      <c r="AC154" s="126">
        <f t="shared" si="26"/>
        <v>0</v>
      </c>
      <c r="AD154" s="127">
        <f t="shared" si="23"/>
        <v>113.183616</v>
      </c>
      <c r="AE154" s="123"/>
    </row>
    <row r="155" spans="1:31" s="112" customFormat="1" x14ac:dyDescent="0.2">
      <c r="A155" s="110" t="s">
        <v>110</v>
      </c>
      <c r="B155" s="114" t="str">
        <f>VLOOKUP(A155,Sheet1!A:B,2,0)</f>
        <v>HP</v>
      </c>
      <c r="C155" s="130" t="s">
        <v>115</v>
      </c>
      <c r="D155" s="110">
        <v>23480202012</v>
      </c>
      <c r="E155" s="110" t="s">
        <v>42</v>
      </c>
      <c r="F155" s="114" t="s">
        <v>116</v>
      </c>
      <c r="G155" s="162" t="s">
        <v>44</v>
      </c>
      <c r="H155" s="123">
        <v>2024</v>
      </c>
      <c r="I155" s="116">
        <v>1</v>
      </c>
      <c r="J155" s="117">
        <v>45590</v>
      </c>
      <c r="K155" s="118">
        <v>0.4</v>
      </c>
      <c r="L155" s="119">
        <f t="shared" si="21"/>
        <v>0.80865388388102988</v>
      </c>
      <c r="M155" s="119">
        <v>1.0756538838810299</v>
      </c>
      <c r="N155" s="119">
        <v>0.26700000000000002</v>
      </c>
      <c r="O155" s="119">
        <f t="shared" si="24"/>
        <v>0.10680000000000001</v>
      </c>
      <c r="P155" s="120">
        <v>1</v>
      </c>
      <c r="Q155" s="119">
        <f t="shared" si="25"/>
        <v>0.80865388388102988</v>
      </c>
      <c r="R155" s="121">
        <v>44000</v>
      </c>
      <c r="S155" s="122">
        <f t="shared" si="27"/>
        <v>76120</v>
      </c>
      <c r="T155" s="119">
        <v>640000</v>
      </c>
      <c r="U155" s="119">
        <f t="shared" si="17"/>
        <v>619675.96</v>
      </c>
      <c r="V155" s="134" t="s">
        <v>117</v>
      </c>
      <c r="W155" s="134"/>
      <c r="X155" s="124">
        <v>5.7469999999999999</v>
      </c>
      <c r="Y155" s="124" t="s">
        <v>54</v>
      </c>
      <c r="Z155" s="124"/>
      <c r="AA155" s="135">
        <v>0</v>
      </c>
      <c r="AB155" s="126">
        <f t="shared" si="22"/>
        <v>47328.770890765314</v>
      </c>
      <c r="AC155" s="126">
        <f t="shared" si="26"/>
        <v>0</v>
      </c>
      <c r="AD155" s="127">
        <f t="shared" si="23"/>
        <v>252.86799999999999</v>
      </c>
      <c r="AE155" s="123"/>
    </row>
    <row r="156" spans="1:31" s="112" customFormat="1" ht="25.5" x14ac:dyDescent="0.2">
      <c r="A156" s="110" t="s">
        <v>110</v>
      </c>
      <c r="B156" s="114" t="str">
        <f>VLOOKUP(A156,Sheet1!A:B,2,0)</f>
        <v>HP</v>
      </c>
      <c r="C156" s="130" t="s">
        <v>118</v>
      </c>
      <c r="D156" s="110">
        <v>23480202005</v>
      </c>
      <c r="E156" s="110" t="s">
        <v>42</v>
      </c>
      <c r="F156" s="114" t="s">
        <v>119</v>
      </c>
      <c r="G156" s="162" t="s">
        <v>44</v>
      </c>
      <c r="H156" s="123">
        <v>2024</v>
      </c>
      <c r="I156" s="116">
        <v>1</v>
      </c>
      <c r="J156" s="117">
        <v>45590</v>
      </c>
      <c r="K156" s="118">
        <v>0.6</v>
      </c>
      <c r="L156" s="119">
        <f t="shared" si="21"/>
        <v>0.61243323981863296</v>
      </c>
      <c r="M156" s="119">
        <v>0.790433239818633</v>
      </c>
      <c r="N156" s="119">
        <v>0.17799999999999999</v>
      </c>
      <c r="O156" s="119">
        <f t="shared" si="24"/>
        <v>0.10679999999999999</v>
      </c>
      <c r="P156" s="120">
        <v>1</v>
      </c>
      <c r="Q156" s="119">
        <f t="shared" si="25"/>
        <v>0.61243323981863296</v>
      </c>
      <c r="R156" s="121">
        <v>40130</v>
      </c>
      <c r="S156" s="122">
        <f t="shared" si="27"/>
        <v>49070</v>
      </c>
      <c r="T156" s="119">
        <f>640000+35296</f>
        <v>675296</v>
      </c>
      <c r="U156" s="119">
        <f t="shared" si="17"/>
        <v>666561.54</v>
      </c>
      <c r="V156" s="134" t="s">
        <v>120</v>
      </c>
      <c r="W156" s="134"/>
      <c r="X156" s="124">
        <v>3.2709999999999999</v>
      </c>
      <c r="Y156" s="124" t="s">
        <v>54</v>
      </c>
      <c r="Z156" s="124"/>
      <c r="AA156" s="135">
        <v>0</v>
      </c>
      <c r="AB156" s="126">
        <f t="shared" si="22"/>
        <v>31720.085913921743</v>
      </c>
      <c r="AC156" s="126">
        <f t="shared" si="26"/>
        <v>0</v>
      </c>
      <c r="AD156" s="127">
        <f t="shared" si="23"/>
        <v>131.26523</v>
      </c>
      <c r="AE156" s="123"/>
    </row>
    <row r="157" spans="1:31" s="112" customFormat="1" x14ac:dyDescent="0.2">
      <c r="A157" s="110" t="s">
        <v>110</v>
      </c>
      <c r="B157" s="114" t="str">
        <f>VLOOKUP(A157,Sheet1!A:B,2,0)</f>
        <v>HP</v>
      </c>
      <c r="C157" s="130" t="s">
        <v>121</v>
      </c>
      <c r="D157" s="110">
        <v>23480202011</v>
      </c>
      <c r="E157" s="110" t="s">
        <v>42</v>
      </c>
      <c r="F157" s="114" t="s">
        <v>116</v>
      </c>
      <c r="G157" s="162" t="s">
        <v>44</v>
      </c>
      <c r="H157" s="123">
        <v>2024</v>
      </c>
      <c r="I157" s="116">
        <v>1</v>
      </c>
      <c r="J157" s="117">
        <v>45590</v>
      </c>
      <c r="K157" s="118">
        <v>0.5</v>
      </c>
      <c r="L157" s="119">
        <f t="shared" si="21"/>
        <v>0.29378086188436198</v>
      </c>
      <c r="M157" s="119">
        <v>0.41711419521769499</v>
      </c>
      <c r="N157" s="119">
        <v>0.123333333333333</v>
      </c>
      <c r="O157" s="119">
        <f t="shared" si="24"/>
        <v>6.1666666666666502E-2</v>
      </c>
      <c r="P157" s="120">
        <v>1</v>
      </c>
      <c r="Q157" s="119">
        <f t="shared" si="25"/>
        <v>0.29378086188436198</v>
      </c>
      <c r="R157" s="121">
        <v>45695</v>
      </c>
      <c r="S157" s="122">
        <f t="shared" si="27"/>
        <v>124445</v>
      </c>
      <c r="T157" s="119">
        <v>370000</v>
      </c>
      <c r="U157" s="119">
        <f t="shared" si="17"/>
        <v>354651.78333333338</v>
      </c>
      <c r="V157" s="134" t="s">
        <v>107</v>
      </c>
      <c r="W157" s="134"/>
      <c r="X157" s="124">
        <v>1.7749999999999999</v>
      </c>
      <c r="Y157" s="124" t="s">
        <v>54</v>
      </c>
      <c r="Z157" s="124"/>
      <c r="AA157" s="135">
        <v>0</v>
      </c>
      <c r="AB157" s="126">
        <f t="shared" si="22"/>
        <v>19060.033150472573</v>
      </c>
      <c r="AC157" s="126">
        <f t="shared" si="26"/>
        <v>0</v>
      </c>
      <c r="AD157" s="127">
        <f t="shared" si="23"/>
        <v>81.108625000000004</v>
      </c>
      <c r="AE157" s="123"/>
    </row>
    <row r="158" spans="1:31" s="112" customFormat="1" ht="25.5" x14ac:dyDescent="0.2">
      <c r="A158" s="110" t="s">
        <v>110</v>
      </c>
      <c r="B158" s="114" t="str">
        <f>VLOOKUP(A158,Sheet1!A:B,2,0)</f>
        <v>HP</v>
      </c>
      <c r="C158" s="130" t="s">
        <v>66</v>
      </c>
      <c r="D158" s="110">
        <v>23480202017</v>
      </c>
      <c r="E158" s="110" t="s">
        <v>42</v>
      </c>
      <c r="F158" s="114" t="s">
        <v>116</v>
      </c>
      <c r="G158" s="162" t="s">
        <v>44</v>
      </c>
      <c r="H158" s="123">
        <v>2024</v>
      </c>
      <c r="I158" s="116">
        <v>1</v>
      </c>
      <c r="J158" s="117">
        <v>45590</v>
      </c>
      <c r="K158" s="118">
        <v>0.5</v>
      </c>
      <c r="L158" s="119">
        <f t="shared" si="21"/>
        <v>1.0628666666666668</v>
      </c>
      <c r="M158" s="119">
        <v>1.1322000000000001</v>
      </c>
      <c r="N158" s="119">
        <v>6.9333333333333302E-2</v>
      </c>
      <c r="O158" s="119">
        <f t="shared" si="24"/>
        <v>3.4666666666666651E-2</v>
      </c>
      <c r="P158" s="120">
        <v>1</v>
      </c>
      <c r="Q158" s="119">
        <f t="shared" si="25"/>
        <v>1.0628666666666668</v>
      </c>
      <c r="R158" s="121"/>
      <c r="S158" s="122">
        <f t="shared" si="27"/>
        <v>17300</v>
      </c>
      <c r="T158" s="119">
        <f>208000+207000+35513+26171+7330</f>
        <v>484014</v>
      </c>
      <c r="U158" s="119">
        <f t="shared" ref="U158:U221" si="28">T158-N158*S158</f>
        <v>482814.53333333333</v>
      </c>
      <c r="V158" s="134" t="s">
        <v>122</v>
      </c>
      <c r="W158" s="134"/>
      <c r="X158" s="124">
        <v>2.3839999999999999</v>
      </c>
      <c r="Y158" s="124" t="s">
        <v>54</v>
      </c>
      <c r="Z158" s="124" t="s">
        <v>93</v>
      </c>
      <c r="AA158" s="125">
        <v>0.7964</v>
      </c>
      <c r="AB158" s="126">
        <f t="shared" si="22"/>
        <v>0</v>
      </c>
      <c r="AC158" s="126">
        <f t="shared" si="26"/>
        <v>0</v>
      </c>
      <c r="AD158" s="127">
        <f t="shared" si="23"/>
        <v>0</v>
      </c>
      <c r="AE158" s="123"/>
    </row>
    <row r="159" spans="1:31" s="112" customFormat="1" ht="51" x14ac:dyDescent="0.2">
      <c r="A159" s="110" t="s">
        <v>110</v>
      </c>
      <c r="B159" s="114" t="str">
        <f>VLOOKUP(A159,Sheet1!A:B,2,0)</f>
        <v>HP</v>
      </c>
      <c r="C159" s="130" t="s">
        <v>81</v>
      </c>
      <c r="D159" s="110">
        <v>23480202018</v>
      </c>
      <c r="E159" s="110" t="s">
        <v>42</v>
      </c>
      <c r="F159" s="114" t="s">
        <v>116</v>
      </c>
      <c r="G159" s="162" t="s">
        <v>44</v>
      </c>
      <c r="H159" s="123">
        <v>2024</v>
      </c>
      <c r="I159" s="116">
        <v>1</v>
      </c>
      <c r="J159" s="117">
        <v>45590</v>
      </c>
      <c r="K159" s="118">
        <v>0.4</v>
      </c>
      <c r="L159" s="119">
        <f t="shared" si="21"/>
        <v>0.41382922267354705</v>
      </c>
      <c r="M159" s="119">
        <v>0.54316255600688002</v>
      </c>
      <c r="N159" s="119">
        <v>0.12933333333333299</v>
      </c>
      <c r="O159" s="119">
        <f t="shared" si="24"/>
        <v>5.1733333333333201E-2</v>
      </c>
      <c r="P159" s="120">
        <v>1</v>
      </c>
      <c r="Q159" s="119">
        <f t="shared" si="25"/>
        <v>0.41382922267354705</v>
      </c>
      <c r="R159" s="121"/>
      <c r="S159" s="122">
        <f t="shared" si="27"/>
        <v>0</v>
      </c>
      <c r="T159" s="119">
        <f>388000+53870+10859</f>
        <v>452729</v>
      </c>
      <c r="U159" s="119">
        <f t="shared" si="28"/>
        <v>452729</v>
      </c>
      <c r="V159" s="134" t="s">
        <v>123</v>
      </c>
      <c r="W159" s="123"/>
      <c r="X159" s="124">
        <v>3.673</v>
      </c>
      <c r="Y159" s="124" t="s">
        <v>54</v>
      </c>
      <c r="Z159" s="124"/>
      <c r="AA159" s="135">
        <v>0</v>
      </c>
      <c r="AB159" s="126">
        <f t="shared" si="22"/>
        <v>0</v>
      </c>
      <c r="AC159" s="126">
        <f t="shared" si="26"/>
        <v>0</v>
      </c>
      <c r="AD159" s="127">
        <f t="shared" si="23"/>
        <v>0</v>
      </c>
      <c r="AE159" s="123"/>
    </row>
    <row r="160" spans="1:31" s="112" customFormat="1" x14ac:dyDescent="0.2">
      <c r="A160" s="110" t="s">
        <v>89</v>
      </c>
      <c r="B160" s="114" t="str">
        <f>VLOOKUP(A160,Sheet1!A:B,2,0)</f>
        <v>HP</v>
      </c>
      <c r="C160" s="114" t="s">
        <v>90</v>
      </c>
      <c r="D160" s="110">
        <v>22150202014</v>
      </c>
      <c r="E160" s="110" t="s">
        <v>42</v>
      </c>
      <c r="F160" s="110" t="s">
        <v>91</v>
      </c>
      <c r="G160" s="162" t="s">
        <v>44</v>
      </c>
      <c r="H160" s="123">
        <v>2024</v>
      </c>
      <c r="I160" s="116">
        <v>2</v>
      </c>
      <c r="J160" s="117">
        <v>45590</v>
      </c>
      <c r="K160" s="118">
        <v>0.4</v>
      </c>
      <c r="L160" s="119">
        <f t="shared" si="21"/>
        <v>2.3161999999999998</v>
      </c>
      <c r="M160" s="119">
        <v>2.3536999999999999</v>
      </c>
      <c r="N160" s="119">
        <v>3.7499999999999999E-2</v>
      </c>
      <c r="O160" s="119">
        <f t="shared" si="24"/>
        <v>1.4999999999999999E-2</v>
      </c>
      <c r="P160" s="120">
        <v>1</v>
      </c>
      <c r="Q160" s="119">
        <f t="shared" si="25"/>
        <v>2.3161999999999998</v>
      </c>
      <c r="R160" s="121">
        <v>115530</v>
      </c>
      <c r="S160" s="122">
        <f t="shared" si="27"/>
        <v>735372</v>
      </c>
      <c r="T160" s="119">
        <v>105000</v>
      </c>
      <c r="U160" s="119">
        <f t="shared" si="28"/>
        <v>77423.55</v>
      </c>
      <c r="V160" s="134" t="s">
        <v>92</v>
      </c>
      <c r="W160" s="134"/>
      <c r="X160" s="124">
        <v>1.5549999999999999</v>
      </c>
      <c r="Y160" s="124" t="s">
        <v>54</v>
      </c>
      <c r="Z160" s="124" t="s">
        <v>93</v>
      </c>
      <c r="AA160" s="125">
        <v>1.9422999999999999</v>
      </c>
      <c r="AB160" s="126">
        <f t="shared" si="22"/>
        <v>271922.96100000001</v>
      </c>
      <c r="AC160" s="126">
        <f t="shared" si="26"/>
        <v>224393.91899999999</v>
      </c>
      <c r="AD160" s="127">
        <f t="shared" si="23"/>
        <v>179.64914999999999</v>
      </c>
      <c r="AE160" s="123"/>
    </row>
    <row r="161" spans="1:31" s="112" customFormat="1" ht="25.5" x14ac:dyDescent="0.2">
      <c r="A161" s="110" t="s">
        <v>89</v>
      </c>
      <c r="B161" s="114" t="str">
        <f>VLOOKUP(A161,Sheet1!A:B,2,0)</f>
        <v>HP</v>
      </c>
      <c r="C161" s="130" t="s">
        <v>94</v>
      </c>
      <c r="D161" s="110">
        <v>22150202015</v>
      </c>
      <c r="E161" s="110" t="s">
        <v>42</v>
      </c>
      <c r="F161" s="110" t="s">
        <v>91</v>
      </c>
      <c r="G161" s="162" t="s">
        <v>44</v>
      </c>
      <c r="H161" s="123">
        <v>2024</v>
      </c>
      <c r="I161" s="116">
        <v>2</v>
      </c>
      <c r="J161" s="117">
        <v>45590</v>
      </c>
      <c r="K161" s="118">
        <v>0.6</v>
      </c>
      <c r="L161" s="119">
        <f t="shared" si="21"/>
        <v>1.5443588135792305</v>
      </c>
      <c r="M161" s="119">
        <v>1.6338826231030401</v>
      </c>
      <c r="N161" s="119">
        <v>8.9523809523809506E-2</v>
      </c>
      <c r="O161" s="119">
        <f t="shared" si="24"/>
        <v>5.3714285714285701E-2</v>
      </c>
      <c r="P161" s="120">
        <v>1</v>
      </c>
      <c r="Q161" s="119">
        <f t="shared" si="25"/>
        <v>1.5443588135792305</v>
      </c>
      <c r="R161" s="121">
        <v>100300</v>
      </c>
      <c r="S161" s="122">
        <f t="shared" si="27"/>
        <v>517327</v>
      </c>
      <c r="T161" s="119">
        <v>376000</v>
      </c>
      <c r="U161" s="119">
        <f t="shared" si="28"/>
        <v>329686.91619047621</v>
      </c>
      <c r="V161" s="134" t="s">
        <v>95</v>
      </c>
      <c r="W161" s="134"/>
      <c r="X161" s="124">
        <v>1.7450000000000001</v>
      </c>
      <c r="Y161" s="124" t="s">
        <v>54</v>
      </c>
      <c r="Z161" s="124" t="s">
        <v>93</v>
      </c>
      <c r="AA161" s="125">
        <v>1.1437999999999999</v>
      </c>
      <c r="AB161" s="126">
        <f t="shared" si="22"/>
        <v>163878.42709723493</v>
      </c>
      <c r="AC161" s="126">
        <f t="shared" si="26"/>
        <v>114723.14</v>
      </c>
      <c r="AD161" s="127">
        <f t="shared" si="23"/>
        <v>175.02350000000001</v>
      </c>
      <c r="AE161" s="123"/>
    </row>
    <row r="162" spans="1:31" s="112" customFormat="1" x14ac:dyDescent="0.2">
      <c r="A162" s="110" t="s">
        <v>89</v>
      </c>
      <c r="B162" s="114" t="str">
        <f>VLOOKUP(A162,Sheet1!A:B,2,0)</f>
        <v>HP</v>
      </c>
      <c r="C162" s="130" t="s">
        <v>66</v>
      </c>
      <c r="D162" s="110">
        <v>22150202010</v>
      </c>
      <c r="E162" s="110" t="s">
        <v>42</v>
      </c>
      <c r="F162" s="110" t="s">
        <v>96</v>
      </c>
      <c r="G162" s="162" t="s">
        <v>44</v>
      </c>
      <c r="H162" s="123">
        <v>2024</v>
      </c>
      <c r="I162" s="116">
        <v>2</v>
      </c>
      <c r="J162" s="117">
        <v>45590</v>
      </c>
      <c r="K162" s="118">
        <v>0.4</v>
      </c>
      <c r="L162" s="119">
        <f t="shared" si="21"/>
        <v>0.91622499999999985</v>
      </c>
      <c r="M162" s="119">
        <v>1.1620999999999999</v>
      </c>
      <c r="N162" s="119">
        <v>0.24587500000000001</v>
      </c>
      <c r="O162" s="119">
        <f t="shared" si="24"/>
        <v>9.8350000000000007E-2</v>
      </c>
      <c r="P162" s="120">
        <v>1</v>
      </c>
      <c r="Q162" s="119">
        <f t="shared" si="25"/>
        <v>0.91622499999999985</v>
      </c>
      <c r="R162" s="121">
        <v>18648</v>
      </c>
      <c r="S162" s="122">
        <f t="shared" si="27"/>
        <v>600717</v>
      </c>
      <c r="T162" s="119">
        <v>98350</v>
      </c>
      <c r="U162" s="119">
        <f t="shared" si="28"/>
        <v>-49351.292375000019</v>
      </c>
      <c r="V162" s="134" t="s">
        <v>97</v>
      </c>
      <c r="W162" s="134"/>
      <c r="X162" s="124">
        <v>0.57899999999999996</v>
      </c>
      <c r="Y162" s="124" t="s">
        <v>54</v>
      </c>
      <c r="Z162" s="124" t="s">
        <v>93</v>
      </c>
      <c r="AA162" s="125">
        <v>0.75590000000000002</v>
      </c>
      <c r="AB162" s="126">
        <f t="shared" si="22"/>
        <v>21670.840799999998</v>
      </c>
      <c r="AC162" s="126">
        <f t="shared" si="26"/>
        <v>14096.0232</v>
      </c>
      <c r="AD162" s="127">
        <f t="shared" si="23"/>
        <v>10.797191999999999</v>
      </c>
      <c r="AE162" s="123"/>
    </row>
    <row r="163" spans="1:31" s="112" customFormat="1" x14ac:dyDescent="0.2">
      <c r="A163" s="110" t="s">
        <v>89</v>
      </c>
      <c r="B163" s="114" t="str">
        <f>VLOOKUP(A163,Sheet1!A:B,2,0)</f>
        <v>HP</v>
      </c>
      <c r="C163" s="130" t="s">
        <v>98</v>
      </c>
      <c r="D163" s="110">
        <v>22150202008</v>
      </c>
      <c r="E163" s="110" t="s">
        <v>42</v>
      </c>
      <c r="F163" s="110" t="s">
        <v>99</v>
      </c>
      <c r="G163" s="162" t="s">
        <v>44</v>
      </c>
      <c r="H163" s="123">
        <v>2024</v>
      </c>
      <c r="I163" s="116">
        <v>2</v>
      </c>
      <c r="J163" s="117">
        <v>45590</v>
      </c>
      <c r="K163" s="118">
        <v>0.5</v>
      </c>
      <c r="L163" s="119">
        <f t="shared" si="21"/>
        <v>0.1278</v>
      </c>
      <c r="M163" s="119">
        <v>0.15579999999999999</v>
      </c>
      <c r="N163" s="119">
        <v>2.8000000000000001E-2</v>
      </c>
      <c r="O163" s="119">
        <f t="shared" si="24"/>
        <v>1.4E-2</v>
      </c>
      <c r="P163" s="120">
        <v>1</v>
      </c>
      <c r="Q163" s="119">
        <f t="shared" si="25"/>
        <v>0.1278</v>
      </c>
      <c r="R163" s="121">
        <v>130000</v>
      </c>
      <c r="S163" s="122">
        <f t="shared" si="27"/>
        <v>956157</v>
      </c>
      <c r="T163" s="119">
        <f>98000+12600</f>
        <v>110600</v>
      </c>
      <c r="U163" s="119">
        <f t="shared" si="28"/>
        <v>83827.603999999992</v>
      </c>
      <c r="V163" s="134" t="s">
        <v>100</v>
      </c>
      <c r="W163" s="134"/>
      <c r="X163" s="124">
        <v>0.76300000000000001</v>
      </c>
      <c r="Y163" s="124" t="s">
        <v>54</v>
      </c>
      <c r="Z163" s="124"/>
      <c r="AA163" s="135">
        <v>0</v>
      </c>
      <c r="AB163" s="126">
        <f t="shared" si="22"/>
        <v>20254</v>
      </c>
      <c r="AC163" s="126">
        <f t="shared" si="26"/>
        <v>0</v>
      </c>
      <c r="AD163" s="127">
        <f t="shared" si="23"/>
        <v>99.19</v>
      </c>
      <c r="AE163" s="123"/>
    </row>
    <row r="164" spans="1:31" s="112" customFormat="1" x14ac:dyDescent="0.2">
      <c r="A164" s="110" t="s">
        <v>89</v>
      </c>
      <c r="B164" s="114" t="str">
        <f>VLOOKUP(A164,Sheet1!A:B,2,0)</f>
        <v>HP</v>
      </c>
      <c r="C164" s="114" t="s">
        <v>101</v>
      </c>
      <c r="D164" s="110">
        <v>22150202017</v>
      </c>
      <c r="E164" s="110" t="s">
        <v>42</v>
      </c>
      <c r="F164" s="110" t="s">
        <v>99</v>
      </c>
      <c r="G164" s="162" t="s">
        <v>44</v>
      </c>
      <c r="H164" s="123">
        <v>2024</v>
      </c>
      <c r="I164" s="116">
        <v>2</v>
      </c>
      <c r="J164" s="117">
        <v>45590</v>
      </c>
      <c r="K164" s="118">
        <v>0.4</v>
      </c>
      <c r="L164" s="119">
        <f t="shared" si="21"/>
        <v>0.17249999999999999</v>
      </c>
      <c r="M164" s="119">
        <v>0.41749999999999998</v>
      </c>
      <c r="N164" s="119">
        <v>0.245</v>
      </c>
      <c r="O164" s="119">
        <f t="shared" si="24"/>
        <v>9.8000000000000004E-2</v>
      </c>
      <c r="P164" s="120">
        <v>1</v>
      </c>
      <c r="Q164" s="119">
        <f t="shared" si="25"/>
        <v>0.17249999999999999</v>
      </c>
      <c r="R164" s="121">
        <v>165600</v>
      </c>
      <c r="S164" s="122">
        <f t="shared" si="27"/>
        <v>641237</v>
      </c>
      <c r="T164" s="119">
        <v>98000</v>
      </c>
      <c r="U164" s="119">
        <f t="shared" si="28"/>
        <v>-59103.065000000002</v>
      </c>
      <c r="V164" s="134" t="s">
        <v>102</v>
      </c>
      <c r="W164" s="134"/>
      <c r="X164" s="124">
        <v>1.173</v>
      </c>
      <c r="Y164" s="124" t="s">
        <v>54</v>
      </c>
      <c r="Z164" s="124"/>
      <c r="AA164" s="135">
        <v>0</v>
      </c>
      <c r="AB164" s="126">
        <f t="shared" si="22"/>
        <v>69138</v>
      </c>
      <c r="AC164" s="126">
        <f t="shared" si="26"/>
        <v>0</v>
      </c>
      <c r="AD164" s="127">
        <f t="shared" si="23"/>
        <v>194.24880000000002</v>
      </c>
      <c r="AE164" s="123"/>
    </row>
    <row r="165" spans="1:31" s="112" customFormat="1" x14ac:dyDescent="0.2">
      <c r="A165" s="110" t="s">
        <v>89</v>
      </c>
      <c r="B165" s="114" t="str">
        <f>VLOOKUP(A165,Sheet1!A:B,2,0)</f>
        <v>HP</v>
      </c>
      <c r="C165" s="130" t="s">
        <v>103</v>
      </c>
      <c r="D165" s="110">
        <v>22150202009</v>
      </c>
      <c r="E165" s="110" t="s">
        <v>42</v>
      </c>
      <c r="F165" s="110" t="s">
        <v>91</v>
      </c>
      <c r="G165" s="162" t="s">
        <v>44</v>
      </c>
      <c r="H165" s="123">
        <v>2024</v>
      </c>
      <c r="I165" s="116">
        <v>2</v>
      </c>
      <c r="J165" s="117">
        <v>45590</v>
      </c>
      <c r="K165" s="118">
        <v>0.5</v>
      </c>
      <c r="L165" s="119">
        <f t="shared" si="21"/>
        <v>0.1285</v>
      </c>
      <c r="M165" s="119">
        <v>0.1565</v>
      </c>
      <c r="N165" s="119">
        <v>2.8000000000000001E-2</v>
      </c>
      <c r="O165" s="119">
        <f t="shared" si="24"/>
        <v>1.4E-2</v>
      </c>
      <c r="P165" s="120">
        <v>1</v>
      </c>
      <c r="Q165" s="119">
        <f t="shared" si="25"/>
        <v>0.1285</v>
      </c>
      <c r="R165" s="121">
        <v>120000</v>
      </c>
      <c r="S165" s="122">
        <f t="shared" si="27"/>
        <v>545080</v>
      </c>
      <c r="T165" s="119">
        <v>98000</v>
      </c>
      <c r="U165" s="119">
        <f t="shared" si="28"/>
        <v>82737.759999999995</v>
      </c>
      <c r="V165" s="136" t="s">
        <v>97</v>
      </c>
      <c r="W165" s="136"/>
      <c r="X165" s="137">
        <v>0.69499999999999995</v>
      </c>
      <c r="Y165" s="138" t="s">
        <v>54</v>
      </c>
      <c r="Z165" s="138"/>
      <c r="AA165" s="135">
        <v>0</v>
      </c>
      <c r="AB165" s="126">
        <f t="shared" si="22"/>
        <v>18780</v>
      </c>
      <c r="AC165" s="126">
        <f t="shared" si="26"/>
        <v>0</v>
      </c>
      <c r="AD165" s="127">
        <f t="shared" si="23"/>
        <v>83.4</v>
      </c>
      <c r="AE165" s="123"/>
    </row>
    <row r="166" spans="1:31" s="112" customFormat="1" x14ac:dyDescent="0.2">
      <c r="A166" s="110" t="s">
        <v>89</v>
      </c>
      <c r="B166" s="114" t="str">
        <f>VLOOKUP(A166,Sheet1!A:B,2,0)</f>
        <v>HP</v>
      </c>
      <c r="C166" s="130" t="s">
        <v>104</v>
      </c>
      <c r="D166" s="110">
        <v>22150202021</v>
      </c>
      <c r="E166" s="110" t="s">
        <v>42</v>
      </c>
      <c r="F166" s="110" t="s">
        <v>91</v>
      </c>
      <c r="G166" s="162" t="s">
        <v>44</v>
      </c>
      <c r="H166" s="123">
        <v>2024</v>
      </c>
      <c r="I166" s="116">
        <v>2</v>
      </c>
      <c r="J166" s="117">
        <v>45590</v>
      </c>
      <c r="K166" s="118">
        <v>0.6</v>
      </c>
      <c r="L166" s="119">
        <f t="shared" si="21"/>
        <v>2.5637000000000003</v>
      </c>
      <c r="M166" s="119">
        <v>2.8972000000000002</v>
      </c>
      <c r="N166" s="119">
        <v>0.33350000000000002</v>
      </c>
      <c r="O166" s="119">
        <f t="shared" si="24"/>
        <v>0.2001</v>
      </c>
      <c r="P166" s="120">
        <v>1</v>
      </c>
      <c r="Q166" s="119">
        <f t="shared" si="25"/>
        <v>2.5637000000000003</v>
      </c>
      <c r="R166" s="121">
        <v>142363</v>
      </c>
      <c r="S166" s="122">
        <f t="shared" si="27"/>
        <v>715572</v>
      </c>
      <c r="T166" s="119">
        <v>200100</v>
      </c>
      <c r="U166" s="119">
        <f t="shared" si="28"/>
        <v>-38543.262000000017</v>
      </c>
      <c r="V166" s="134" t="s">
        <v>105</v>
      </c>
      <c r="W166" s="134"/>
      <c r="X166" s="124">
        <v>3.4089999999999998</v>
      </c>
      <c r="Y166" s="139" t="s">
        <v>54</v>
      </c>
      <c r="Z166" s="124" t="s">
        <v>93</v>
      </c>
      <c r="AA166" s="125">
        <v>1.7574000000000001</v>
      </c>
      <c r="AB166" s="126">
        <f t="shared" si="22"/>
        <v>412454.08360000001</v>
      </c>
      <c r="AC166" s="126">
        <f t="shared" si="26"/>
        <v>250188.73620000001</v>
      </c>
      <c r="AD166" s="127">
        <f t="shared" si="23"/>
        <v>485.31546699999996</v>
      </c>
      <c r="AE166" s="123"/>
    </row>
    <row r="167" spans="1:31" s="112" customFormat="1" x14ac:dyDescent="0.2">
      <c r="A167" s="110" t="s">
        <v>89</v>
      </c>
      <c r="B167" s="114" t="str">
        <f>VLOOKUP(A167,Sheet1!A:B,2,0)</f>
        <v>HP</v>
      </c>
      <c r="C167" s="130" t="s">
        <v>106</v>
      </c>
      <c r="D167" s="110">
        <v>22150202018</v>
      </c>
      <c r="E167" s="110" t="s">
        <v>42</v>
      </c>
      <c r="F167" s="110" t="s">
        <v>91</v>
      </c>
      <c r="G167" s="162" t="s">
        <v>44</v>
      </c>
      <c r="H167" s="123">
        <v>2024</v>
      </c>
      <c r="I167" s="116">
        <v>2</v>
      </c>
      <c r="J167" s="117">
        <v>45590</v>
      </c>
      <c r="K167" s="118">
        <v>0.4</v>
      </c>
      <c r="L167" s="119">
        <f t="shared" si="21"/>
        <v>0.1608</v>
      </c>
      <c r="M167" s="119">
        <v>0.1958</v>
      </c>
      <c r="N167" s="119">
        <v>3.5000000000000003E-2</v>
      </c>
      <c r="O167" s="119">
        <f t="shared" si="24"/>
        <v>1.4000000000000002E-2</v>
      </c>
      <c r="P167" s="120">
        <v>1</v>
      </c>
      <c r="Q167" s="119">
        <f t="shared" si="25"/>
        <v>0.1608</v>
      </c>
      <c r="R167" s="121">
        <v>36300</v>
      </c>
      <c r="S167" s="122">
        <f t="shared" si="27"/>
        <v>532321</v>
      </c>
      <c r="T167" s="119">
        <v>98000</v>
      </c>
      <c r="U167" s="119">
        <f t="shared" si="28"/>
        <v>79368.764999999999</v>
      </c>
      <c r="V167" s="134" t="s">
        <v>107</v>
      </c>
      <c r="W167" s="134"/>
      <c r="X167" s="124">
        <v>1.117</v>
      </c>
      <c r="Y167" s="124" t="s">
        <v>54</v>
      </c>
      <c r="Z167" s="124"/>
      <c r="AA167" s="125">
        <v>0</v>
      </c>
      <c r="AB167" s="126">
        <f t="shared" si="22"/>
        <v>7107.54</v>
      </c>
      <c r="AC167" s="126">
        <f t="shared" si="26"/>
        <v>0</v>
      </c>
      <c r="AD167" s="127">
        <f t="shared" si="23"/>
        <v>40.5471</v>
      </c>
      <c r="AE167" s="123"/>
    </row>
    <row r="168" spans="1:31" s="112" customFormat="1" x14ac:dyDescent="0.2">
      <c r="A168" s="110" t="s">
        <v>89</v>
      </c>
      <c r="B168" s="114" t="str">
        <f>VLOOKUP(A168,Sheet1!A:B,2,0)</f>
        <v>HP</v>
      </c>
      <c r="C168" s="130" t="s">
        <v>108</v>
      </c>
      <c r="D168" s="110">
        <v>22150202007</v>
      </c>
      <c r="E168" s="110" t="s">
        <v>42</v>
      </c>
      <c r="F168" s="110" t="s">
        <v>109</v>
      </c>
      <c r="G168" s="162" t="s">
        <v>44</v>
      </c>
      <c r="H168" s="123">
        <v>2024</v>
      </c>
      <c r="I168" s="116">
        <v>2</v>
      </c>
      <c r="J168" s="117">
        <v>45590</v>
      </c>
      <c r="K168" s="118">
        <v>0.5</v>
      </c>
      <c r="L168" s="119">
        <f t="shared" si="21"/>
        <v>0.1227571428571429</v>
      </c>
      <c r="M168" s="119">
        <v>0.16</v>
      </c>
      <c r="N168" s="119">
        <v>3.7242857142857098E-2</v>
      </c>
      <c r="O168" s="119">
        <f t="shared" si="24"/>
        <v>1.8621428571428549E-2</v>
      </c>
      <c r="P168" s="120">
        <v>1</v>
      </c>
      <c r="Q168" s="119">
        <f t="shared" si="25"/>
        <v>0.1227571428571429</v>
      </c>
      <c r="R168" s="121">
        <v>16830</v>
      </c>
      <c r="S168" s="122">
        <f t="shared" si="27"/>
        <v>857434</v>
      </c>
      <c r="T168" s="119">
        <v>130350</v>
      </c>
      <c r="U168" s="119">
        <f t="shared" si="28"/>
        <v>98416.708028571462</v>
      </c>
      <c r="V168" s="134" t="s">
        <v>100</v>
      </c>
      <c r="W168" s="134"/>
      <c r="X168" s="124">
        <v>0.52400000000000002</v>
      </c>
      <c r="Y168" s="124" t="s">
        <v>54</v>
      </c>
      <c r="Z168" s="124"/>
      <c r="AA168" s="135">
        <v>0</v>
      </c>
      <c r="AB168" s="126">
        <f t="shared" si="22"/>
        <v>2692.8</v>
      </c>
      <c r="AC168" s="126">
        <f t="shared" si="26"/>
        <v>0</v>
      </c>
      <c r="AD168" s="127">
        <f t="shared" si="23"/>
        <v>8.8189200000000003</v>
      </c>
      <c r="AE168" s="123"/>
    </row>
    <row r="169" spans="1:31" s="112" customFormat="1" x14ac:dyDescent="0.2">
      <c r="A169" s="110" t="s">
        <v>110</v>
      </c>
      <c r="B169" s="114" t="str">
        <f>VLOOKUP(A169,Sheet1!A:B,2,0)</f>
        <v>HP</v>
      </c>
      <c r="C169" s="130" t="s">
        <v>98</v>
      </c>
      <c r="D169" s="110">
        <v>23590202001</v>
      </c>
      <c r="E169" s="110" t="s">
        <v>42</v>
      </c>
      <c r="F169" s="110" t="s">
        <v>111</v>
      </c>
      <c r="G169" s="162" t="s">
        <v>44</v>
      </c>
      <c r="H169" s="123">
        <v>2024</v>
      </c>
      <c r="I169" s="116">
        <v>2</v>
      </c>
      <c r="J169" s="117">
        <v>45590</v>
      </c>
      <c r="K169" s="118">
        <v>0.5</v>
      </c>
      <c r="L169" s="119">
        <f t="shared" si="21"/>
        <v>0.125588670602168</v>
      </c>
      <c r="M169" s="119">
        <v>0.15358867060216799</v>
      </c>
      <c r="N169" s="119">
        <v>2.8000000000000001E-2</v>
      </c>
      <c r="O169" s="119">
        <f t="shared" si="24"/>
        <v>1.4E-2</v>
      </c>
      <c r="P169" s="120">
        <v>1</v>
      </c>
      <c r="Q169" s="119">
        <f t="shared" si="25"/>
        <v>0.125588670602168</v>
      </c>
      <c r="R169" s="121">
        <v>45000</v>
      </c>
      <c r="S169" s="122">
        <f t="shared" si="27"/>
        <v>159000</v>
      </c>
      <c r="T169" s="119">
        <v>98000</v>
      </c>
      <c r="U169" s="119">
        <f t="shared" si="28"/>
        <v>93548</v>
      </c>
      <c r="V169" s="134" t="s">
        <v>112</v>
      </c>
      <c r="W169" s="134"/>
      <c r="X169" s="124">
        <v>0.69499999999999995</v>
      </c>
      <c r="Y169" s="124" t="s">
        <v>54</v>
      </c>
      <c r="Z169" s="124"/>
      <c r="AA169" s="135">
        <v>0</v>
      </c>
      <c r="AB169" s="126">
        <f t="shared" si="22"/>
        <v>6911.4901770975594</v>
      </c>
      <c r="AC169" s="126">
        <f t="shared" si="26"/>
        <v>0</v>
      </c>
      <c r="AD169" s="127">
        <f t="shared" si="23"/>
        <v>31.274999999999995</v>
      </c>
      <c r="AE169" s="123"/>
    </row>
    <row r="170" spans="1:31" s="112" customFormat="1" ht="25.5" x14ac:dyDescent="0.2">
      <c r="A170" s="110" t="s">
        <v>110</v>
      </c>
      <c r="B170" s="114" t="str">
        <f>VLOOKUP(A170,Sheet1!A:B,2,0)</f>
        <v>HP</v>
      </c>
      <c r="C170" s="114" t="s">
        <v>101</v>
      </c>
      <c r="D170" s="110">
        <v>23480202015</v>
      </c>
      <c r="E170" s="110" t="s">
        <v>42</v>
      </c>
      <c r="F170" s="110" t="s">
        <v>113</v>
      </c>
      <c r="G170" s="162" t="s">
        <v>44</v>
      </c>
      <c r="H170" s="123">
        <v>2024</v>
      </c>
      <c r="I170" s="116">
        <v>2</v>
      </c>
      <c r="J170" s="117">
        <v>45590</v>
      </c>
      <c r="K170" s="118">
        <v>0.4</v>
      </c>
      <c r="L170" s="119">
        <f t="shared" si="21"/>
        <v>0.27566008648311169</v>
      </c>
      <c r="M170" s="119">
        <v>0.353993419816445</v>
      </c>
      <c r="N170" s="119">
        <v>7.8333333333333297E-2</v>
      </c>
      <c r="O170" s="119">
        <f t="shared" si="24"/>
        <v>3.1333333333333317E-2</v>
      </c>
      <c r="P170" s="120">
        <v>1</v>
      </c>
      <c r="Q170" s="119">
        <f t="shared" si="25"/>
        <v>0.27566008648311169</v>
      </c>
      <c r="R170" s="121">
        <v>0</v>
      </c>
      <c r="S170" s="122">
        <f t="shared" si="27"/>
        <v>79336</v>
      </c>
      <c r="T170" s="119">
        <v>188000</v>
      </c>
      <c r="U170" s="119">
        <f t="shared" si="28"/>
        <v>181785.34666666668</v>
      </c>
      <c r="V170" s="134" t="s">
        <v>114</v>
      </c>
      <c r="W170" s="134"/>
      <c r="X170" s="124">
        <v>1.722</v>
      </c>
      <c r="Y170" s="124" t="s">
        <v>54</v>
      </c>
      <c r="Z170" s="124"/>
      <c r="AA170" s="135">
        <v>0</v>
      </c>
      <c r="AB170" s="126">
        <f t="shared" si="22"/>
        <v>0</v>
      </c>
      <c r="AC170" s="126">
        <f t="shared" si="26"/>
        <v>0</v>
      </c>
      <c r="AD170" s="127">
        <f t="shared" si="23"/>
        <v>0</v>
      </c>
      <c r="AE170" s="123"/>
    </row>
    <row r="171" spans="1:31" s="112" customFormat="1" x14ac:dyDescent="0.2">
      <c r="A171" s="110" t="s">
        <v>110</v>
      </c>
      <c r="B171" s="114" t="str">
        <f>VLOOKUP(A171,Sheet1!A:B,2,0)</f>
        <v>HP</v>
      </c>
      <c r="C171" s="130" t="s">
        <v>115</v>
      </c>
      <c r="D171" s="110">
        <v>23480202012</v>
      </c>
      <c r="E171" s="110" t="s">
        <v>42</v>
      </c>
      <c r="F171" s="114" t="s">
        <v>116</v>
      </c>
      <c r="G171" s="162" t="s">
        <v>44</v>
      </c>
      <c r="H171" s="123">
        <v>2024</v>
      </c>
      <c r="I171" s="116">
        <v>2</v>
      </c>
      <c r="J171" s="117">
        <v>45590</v>
      </c>
      <c r="K171" s="118">
        <v>0.4</v>
      </c>
      <c r="L171" s="119">
        <f t="shared" si="21"/>
        <v>0.80865388388102988</v>
      </c>
      <c r="M171" s="119">
        <v>1.0756538838810299</v>
      </c>
      <c r="N171" s="119">
        <v>0.26700000000000002</v>
      </c>
      <c r="O171" s="119">
        <f t="shared" si="24"/>
        <v>0.10680000000000001</v>
      </c>
      <c r="P171" s="120">
        <v>1</v>
      </c>
      <c r="Q171" s="119">
        <f t="shared" si="25"/>
        <v>0.80865388388102988</v>
      </c>
      <c r="R171" s="121">
        <v>0</v>
      </c>
      <c r="S171" s="122">
        <f t="shared" si="27"/>
        <v>76120</v>
      </c>
      <c r="T171" s="119">
        <v>640000</v>
      </c>
      <c r="U171" s="119">
        <f t="shared" si="28"/>
        <v>619675.96</v>
      </c>
      <c r="V171" s="134" t="s">
        <v>117</v>
      </c>
      <c r="W171" s="134"/>
      <c r="X171" s="124">
        <v>5.7469999999999999</v>
      </c>
      <c r="Y171" s="124" t="s">
        <v>54</v>
      </c>
      <c r="Z171" s="124"/>
      <c r="AA171" s="135">
        <v>0</v>
      </c>
      <c r="AB171" s="126">
        <f t="shared" si="22"/>
        <v>0</v>
      </c>
      <c r="AC171" s="126">
        <f t="shared" si="26"/>
        <v>0</v>
      </c>
      <c r="AD171" s="127">
        <f t="shared" si="23"/>
        <v>0</v>
      </c>
      <c r="AE171" s="123"/>
    </row>
    <row r="172" spans="1:31" s="112" customFormat="1" ht="25.5" x14ac:dyDescent="0.2">
      <c r="A172" s="110" t="s">
        <v>110</v>
      </c>
      <c r="B172" s="114" t="str">
        <f>VLOOKUP(A172,Sheet1!A:B,2,0)</f>
        <v>HP</v>
      </c>
      <c r="C172" s="130" t="s">
        <v>118</v>
      </c>
      <c r="D172" s="110">
        <v>23480202005</v>
      </c>
      <c r="E172" s="110" t="s">
        <v>42</v>
      </c>
      <c r="F172" s="114" t="s">
        <v>119</v>
      </c>
      <c r="G172" s="162" t="s">
        <v>44</v>
      </c>
      <c r="H172" s="123">
        <v>2024</v>
      </c>
      <c r="I172" s="116">
        <v>2</v>
      </c>
      <c r="J172" s="117">
        <v>45590</v>
      </c>
      <c r="K172" s="118">
        <v>0.6</v>
      </c>
      <c r="L172" s="119">
        <f t="shared" si="21"/>
        <v>0.61243323981863296</v>
      </c>
      <c r="M172" s="119">
        <v>0.790433239818633</v>
      </c>
      <c r="N172" s="119">
        <v>0.17799999999999999</v>
      </c>
      <c r="O172" s="119">
        <f t="shared" si="24"/>
        <v>0.10679999999999999</v>
      </c>
      <c r="P172" s="120">
        <v>1</v>
      </c>
      <c r="Q172" s="119">
        <f t="shared" si="25"/>
        <v>0.61243323981863296</v>
      </c>
      <c r="R172" s="121">
        <v>2793</v>
      </c>
      <c r="S172" s="122">
        <f t="shared" si="27"/>
        <v>51863</v>
      </c>
      <c r="T172" s="119">
        <f>640000+35296</f>
        <v>675296</v>
      </c>
      <c r="U172" s="119">
        <f t="shared" si="28"/>
        <v>666064.38600000006</v>
      </c>
      <c r="V172" s="134" t="s">
        <v>120</v>
      </c>
      <c r="W172" s="134"/>
      <c r="X172" s="124">
        <v>3.2709999999999999</v>
      </c>
      <c r="Y172" s="124" t="s">
        <v>54</v>
      </c>
      <c r="Z172" s="124"/>
      <c r="AA172" s="135">
        <v>0</v>
      </c>
      <c r="AB172" s="126">
        <f t="shared" si="22"/>
        <v>2207.680038813442</v>
      </c>
      <c r="AC172" s="126">
        <f t="shared" si="26"/>
        <v>0</v>
      </c>
      <c r="AD172" s="127">
        <f t="shared" si="23"/>
        <v>9.1359030000000008</v>
      </c>
      <c r="AE172" s="123"/>
    </row>
    <row r="173" spans="1:31" s="112" customFormat="1" x14ac:dyDescent="0.2">
      <c r="A173" s="110" t="s">
        <v>110</v>
      </c>
      <c r="B173" s="114" t="str">
        <f>VLOOKUP(A173,Sheet1!A:B,2,0)</f>
        <v>HP</v>
      </c>
      <c r="C173" s="130" t="s">
        <v>121</v>
      </c>
      <c r="D173" s="110">
        <v>23480202011</v>
      </c>
      <c r="E173" s="110" t="s">
        <v>42</v>
      </c>
      <c r="F173" s="114" t="s">
        <v>116</v>
      </c>
      <c r="G173" s="162" t="s">
        <v>44</v>
      </c>
      <c r="H173" s="123">
        <v>2024</v>
      </c>
      <c r="I173" s="116">
        <v>2</v>
      </c>
      <c r="J173" s="117">
        <v>45590</v>
      </c>
      <c r="K173" s="118">
        <v>0.5</v>
      </c>
      <c r="L173" s="119">
        <f t="shared" si="21"/>
        <v>0.29378086188436198</v>
      </c>
      <c r="M173" s="119">
        <v>0.41711419521769499</v>
      </c>
      <c r="N173" s="119">
        <v>0.123333333333333</v>
      </c>
      <c r="O173" s="119">
        <f t="shared" si="24"/>
        <v>6.1666666666666502E-2</v>
      </c>
      <c r="P173" s="120">
        <v>1</v>
      </c>
      <c r="Q173" s="119">
        <f t="shared" si="25"/>
        <v>0.29378086188436198</v>
      </c>
      <c r="R173" s="121"/>
      <c r="S173" s="122">
        <f t="shared" si="27"/>
        <v>124445</v>
      </c>
      <c r="T173" s="119">
        <v>370000</v>
      </c>
      <c r="U173" s="119">
        <f t="shared" si="28"/>
        <v>354651.78333333338</v>
      </c>
      <c r="V173" s="134" t="s">
        <v>107</v>
      </c>
      <c r="W173" s="134"/>
      <c r="X173" s="124">
        <v>1.7749999999999999</v>
      </c>
      <c r="Y173" s="124" t="s">
        <v>54</v>
      </c>
      <c r="Z173" s="124"/>
      <c r="AA173" s="135">
        <v>0</v>
      </c>
      <c r="AB173" s="126">
        <f t="shared" si="22"/>
        <v>0</v>
      </c>
      <c r="AC173" s="126">
        <f t="shared" si="26"/>
        <v>0</v>
      </c>
      <c r="AD173" s="127">
        <f t="shared" si="23"/>
        <v>0</v>
      </c>
      <c r="AE173" s="123"/>
    </row>
    <row r="174" spans="1:31" s="112" customFormat="1" ht="25.5" x14ac:dyDescent="0.2">
      <c r="A174" s="110" t="s">
        <v>110</v>
      </c>
      <c r="B174" s="114" t="str">
        <f>VLOOKUP(A174,Sheet1!A:B,2,0)</f>
        <v>HP</v>
      </c>
      <c r="C174" s="130" t="s">
        <v>66</v>
      </c>
      <c r="D174" s="110">
        <v>23480202017</v>
      </c>
      <c r="E174" s="110" t="s">
        <v>42</v>
      </c>
      <c r="F174" s="114" t="s">
        <v>116</v>
      </c>
      <c r="G174" s="162" t="s">
        <v>44</v>
      </c>
      <c r="H174" s="123">
        <v>2024</v>
      </c>
      <c r="I174" s="116">
        <v>2</v>
      </c>
      <c r="J174" s="117">
        <v>45590</v>
      </c>
      <c r="K174" s="118">
        <v>0.5</v>
      </c>
      <c r="L174" s="119">
        <f t="shared" si="21"/>
        <v>1.0628666666666668</v>
      </c>
      <c r="M174" s="119">
        <v>1.1322000000000001</v>
      </c>
      <c r="N174" s="119">
        <v>6.9333333333333302E-2</v>
      </c>
      <c r="O174" s="119">
        <f t="shared" si="24"/>
        <v>3.4666666666666651E-2</v>
      </c>
      <c r="P174" s="120">
        <v>1</v>
      </c>
      <c r="Q174" s="119">
        <f t="shared" si="25"/>
        <v>1.0628666666666668</v>
      </c>
      <c r="R174" s="121"/>
      <c r="S174" s="122">
        <f t="shared" si="27"/>
        <v>17300</v>
      </c>
      <c r="T174" s="119">
        <f>208000+207000+35513+26171+7330</f>
        <v>484014</v>
      </c>
      <c r="U174" s="119">
        <f t="shared" si="28"/>
        <v>482814.53333333333</v>
      </c>
      <c r="V174" s="134" t="s">
        <v>122</v>
      </c>
      <c r="W174" s="134"/>
      <c r="X174" s="124">
        <v>2.3839999999999999</v>
      </c>
      <c r="Y174" s="124" t="s">
        <v>54</v>
      </c>
      <c r="Z174" s="124" t="s">
        <v>93</v>
      </c>
      <c r="AA174" s="125">
        <v>0.7964</v>
      </c>
      <c r="AB174" s="126">
        <f t="shared" si="22"/>
        <v>0</v>
      </c>
      <c r="AC174" s="126">
        <f t="shared" si="26"/>
        <v>0</v>
      </c>
      <c r="AD174" s="127">
        <f t="shared" si="23"/>
        <v>0</v>
      </c>
      <c r="AE174" s="123"/>
    </row>
    <row r="175" spans="1:31" s="112" customFormat="1" ht="51" x14ac:dyDescent="0.2">
      <c r="A175" s="110" t="s">
        <v>110</v>
      </c>
      <c r="B175" s="114" t="str">
        <f>VLOOKUP(A175,Sheet1!A:B,2,0)</f>
        <v>HP</v>
      </c>
      <c r="C175" s="130" t="s">
        <v>81</v>
      </c>
      <c r="D175" s="110">
        <v>23480202018</v>
      </c>
      <c r="E175" s="110" t="s">
        <v>42</v>
      </c>
      <c r="F175" s="114" t="s">
        <v>116</v>
      </c>
      <c r="G175" s="162" t="s">
        <v>44</v>
      </c>
      <c r="H175" s="123">
        <v>2024</v>
      </c>
      <c r="I175" s="116">
        <v>2</v>
      </c>
      <c r="J175" s="117">
        <v>45590</v>
      </c>
      <c r="K175" s="118">
        <v>0.4</v>
      </c>
      <c r="L175" s="119">
        <f t="shared" si="21"/>
        <v>0.41382922267354705</v>
      </c>
      <c r="M175" s="119">
        <v>0.54316255600688002</v>
      </c>
      <c r="N175" s="119">
        <v>0.12933333333333299</v>
      </c>
      <c r="O175" s="119">
        <f t="shared" si="24"/>
        <v>5.1733333333333201E-2</v>
      </c>
      <c r="P175" s="120">
        <v>1</v>
      </c>
      <c r="Q175" s="119">
        <f t="shared" si="25"/>
        <v>0.41382922267354705</v>
      </c>
      <c r="R175" s="121"/>
      <c r="S175" s="122">
        <f t="shared" si="27"/>
        <v>0</v>
      </c>
      <c r="T175" s="119">
        <f>388000+53870+10859</f>
        <v>452729</v>
      </c>
      <c r="U175" s="119">
        <f t="shared" si="28"/>
        <v>452729</v>
      </c>
      <c r="V175" s="134" t="s">
        <v>123</v>
      </c>
      <c r="W175" s="123"/>
      <c r="X175" s="124">
        <v>3.673</v>
      </c>
      <c r="Y175" s="124" t="s">
        <v>54</v>
      </c>
      <c r="Z175" s="124"/>
      <c r="AA175" s="135">
        <v>0</v>
      </c>
      <c r="AB175" s="126">
        <f t="shared" si="22"/>
        <v>0</v>
      </c>
      <c r="AC175" s="126">
        <f t="shared" si="26"/>
        <v>0</v>
      </c>
      <c r="AD175" s="127">
        <f t="shared" si="23"/>
        <v>0</v>
      </c>
      <c r="AE175" s="123"/>
    </row>
    <row r="176" spans="1:31" s="112" customFormat="1" x14ac:dyDescent="0.2">
      <c r="A176" s="110" t="s">
        <v>89</v>
      </c>
      <c r="B176" s="114" t="str">
        <f>VLOOKUP(A176,Sheet1!A:B,2,0)</f>
        <v>HP</v>
      </c>
      <c r="C176" s="114" t="s">
        <v>90</v>
      </c>
      <c r="D176" s="110">
        <v>22150202014</v>
      </c>
      <c r="E176" s="110" t="s">
        <v>42</v>
      </c>
      <c r="F176" s="110" t="s">
        <v>91</v>
      </c>
      <c r="G176" s="162" t="s">
        <v>44</v>
      </c>
      <c r="H176" s="123">
        <v>2024</v>
      </c>
      <c r="I176" s="116">
        <v>3</v>
      </c>
      <c r="J176" s="117">
        <v>45590</v>
      </c>
      <c r="K176" s="118">
        <v>0.4</v>
      </c>
      <c r="L176" s="119">
        <f t="shared" si="21"/>
        <v>2.3161999999999998</v>
      </c>
      <c r="M176" s="119">
        <v>2.3536999999999999</v>
      </c>
      <c r="N176" s="119">
        <v>3.7499999999999999E-2</v>
      </c>
      <c r="O176" s="119">
        <f t="shared" si="24"/>
        <v>1.4999999999999999E-2</v>
      </c>
      <c r="P176" s="120">
        <v>1</v>
      </c>
      <c r="Q176" s="119">
        <f t="shared" si="25"/>
        <v>2.3161999999999998</v>
      </c>
      <c r="R176" s="121">
        <v>187761</v>
      </c>
      <c r="S176" s="122">
        <f t="shared" si="27"/>
        <v>923133</v>
      </c>
      <c r="T176" s="119">
        <v>105000</v>
      </c>
      <c r="U176" s="119">
        <f t="shared" si="28"/>
        <v>70382.512500000012</v>
      </c>
      <c r="V176" s="134" t="s">
        <v>92</v>
      </c>
      <c r="W176" s="134"/>
      <c r="X176" s="124">
        <v>1.5549999999999999</v>
      </c>
      <c r="Y176" s="124" t="s">
        <v>54</v>
      </c>
      <c r="Z176" s="124" t="s">
        <v>93</v>
      </c>
      <c r="AA176" s="125">
        <v>1.9422999999999999</v>
      </c>
      <c r="AB176" s="126">
        <f t="shared" si="22"/>
        <v>441933.06569999998</v>
      </c>
      <c r="AC176" s="126">
        <f t="shared" si="26"/>
        <v>364688.19029999996</v>
      </c>
      <c r="AD176" s="127">
        <f t="shared" si="23"/>
        <v>291.96835499999997</v>
      </c>
      <c r="AE176" s="123"/>
    </row>
    <row r="177" spans="1:31" s="112" customFormat="1" ht="25.5" x14ac:dyDescent="0.2">
      <c r="A177" s="110" t="s">
        <v>89</v>
      </c>
      <c r="B177" s="114" t="str">
        <f>VLOOKUP(A177,Sheet1!A:B,2,0)</f>
        <v>HP</v>
      </c>
      <c r="C177" s="130" t="s">
        <v>94</v>
      </c>
      <c r="D177" s="110">
        <v>22150202015</v>
      </c>
      <c r="E177" s="110" t="s">
        <v>42</v>
      </c>
      <c r="F177" s="110" t="s">
        <v>91</v>
      </c>
      <c r="G177" s="162" t="s">
        <v>44</v>
      </c>
      <c r="H177" s="123">
        <v>2024</v>
      </c>
      <c r="I177" s="116">
        <v>3</v>
      </c>
      <c r="J177" s="117">
        <v>45590</v>
      </c>
      <c r="K177" s="118">
        <v>0.6</v>
      </c>
      <c r="L177" s="119">
        <f t="shared" si="21"/>
        <v>1.5443588135792305</v>
      </c>
      <c r="M177" s="119">
        <v>1.6338826231030401</v>
      </c>
      <c r="N177" s="119">
        <v>8.9523809523809506E-2</v>
      </c>
      <c r="O177" s="119">
        <f t="shared" si="24"/>
        <v>5.3714285714285701E-2</v>
      </c>
      <c r="P177" s="120">
        <v>1</v>
      </c>
      <c r="Q177" s="119">
        <f t="shared" si="25"/>
        <v>1.5443588135792305</v>
      </c>
      <c r="R177" s="121">
        <v>50340</v>
      </c>
      <c r="S177" s="122">
        <f t="shared" si="27"/>
        <v>567667</v>
      </c>
      <c r="T177" s="119">
        <v>376000</v>
      </c>
      <c r="U177" s="119">
        <f t="shared" si="28"/>
        <v>325180.28761904762</v>
      </c>
      <c r="V177" s="134" t="s">
        <v>95</v>
      </c>
      <c r="W177" s="134"/>
      <c r="X177" s="124">
        <v>1.7450000000000001</v>
      </c>
      <c r="Y177" s="124" t="s">
        <v>54</v>
      </c>
      <c r="Z177" s="124" t="s">
        <v>93</v>
      </c>
      <c r="AA177" s="125">
        <v>1.1437999999999999</v>
      </c>
      <c r="AB177" s="126">
        <f t="shared" si="22"/>
        <v>82249.651247007045</v>
      </c>
      <c r="AC177" s="126">
        <f t="shared" si="26"/>
        <v>57578.892</v>
      </c>
      <c r="AD177" s="127">
        <f t="shared" si="23"/>
        <v>87.843299999999999</v>
      </c>
      <c r="AE177" s="123"/>
    </row>
    <row r="178" spans="1:31" s="112" customFormat="1" x14ac:dyDescent="0.2">
      <c r="A178" s="110" t="s">
        <v>89</v>
      </c>
      <c r="B178" s="114" t="str">
        <f>VLOOKUP(A178,Sheet1!A:B,2,0)</f>
        <v>HP</v>
      </c>
      <c r="C178" s="130" t="s">
        <v>66</v>
      </c>
      <c r="D178" s="110">
        <v>22150202010</v>
      </c>
      <c r="E178" s="110" t="s">
        <v>42</v>
      </c>
      <c r="F178" s="110" t="s">
        <v>96</v>
      </c>
      <c r="G178" s="162" t="s">
        <v>44</v>
      </c>
      <c r="H178" s="123">
        <v>2024</v>
      </c>
      <c r="I178" s="116">
        <v>3</v>
      </c>
      <c r="J178" s="117">
        <v>45590</v>
      </c>
      <c r="K178" s="118">
        <v>0.4</v>
      </c>
      <c r="L178" s="119">
        <f t="shared" si="21"/>
        <v>0.91622499999999985</v>
      </c>
      <c r="M178" s="119">
        <v>1.1620999999999999</v>
      </c>
      <c r="N178" s="119">
        <v>0.24587500000000001</v>
      </c>
      <c r="O178" s="119">
        <f t="shared" si="24"/>
        <v>9.8350000000000007E-2</v>
      </c>
      <c r="P178" s="120">
        <v>1</v>
      </c>
      <c r="Q178" s="119">
        <f t="shared" si="25"/>
        <v>0.91622499999999985</v>
      </c>
      <c r="R178" s="121">
        <v>162401</v>
      </c>
      <c r="S178" s="122">
        <f t="shared" si="27"/>
        <v>763118</v>
      </c>
      <c r="T178" s="119">
        <v>98350</v>
      </c>
      <c r="U178" s="119">
        <f t="shared" si="28"/>
        <v>-89281.638250000018</v>
      </c>
      <c r="V178" s="134" t="s">
        <v>97</v>
      </c>
      <c r="W178" s="134"/>
      <c r="X178" s="124">
        <v>0.57899999999999996</v>
      </c>
      <c r="Y178" s="124" t="s">
        <v>54</v>
      </c>
      <c r="Z178" s="124" t="s">
        <v>93</v>
      </c>
      <c r="AA178" s="125">
        <v>0.75590000000000002</v>
      </c>
      <c r="AB178" s="126">
        <f t="shared" si="22"/>
        <v>188726.20209999999</v>
      </c>
      <c r="AC178" s="126">
        <f t="shared" si="26"/>
        <v>122758.91590000001</v>
      </c>
      <c r="AD178" s="127">
        <f t="shared" si="23"/>
        <v>94.03017899999999</v>
      </c>
      <c r="AE178" s="123"/>
    </row>
    <row r="179" spans="1:31" s="112" customFormat="1" x14ac:dyDescent="0.2">
      <c r="A179" s="110" t="s">
        <v>89</v>
      </c>
      <c r="B179" s="114" t="str">
        <f>VLOOKUP(A179,Sheet1!A:B,2,0)</f>
        <v>HP</v>
      </c>
      <c r="C179" s="130" t="s">
        <v>98</v>
      </c>
      <c r="D179" s="110">
        <v>22150202008</v>
      </c>
      <c r="E179" s="110" t="s">
        <v>42</v>
      </c>
      <c r="F179" s="110" t="s">
        <v>99</v>
      </c>
      <c r="G179" s="162" t="s">
        <v>44</v>
      </c>
      <c r="H179" s="123">
        <v>2024</v>
      </c>
      <c r="I179" s="116">
        <v>3</v>
      </c>
      <c r="J179" s="117">
        <v>45590</v>
      </c>
      <c r="K179" s="118">
        <v>0.5</v>
      </c>
      <c r="L179" s="119">
        <f t="shared" si="21"/>
        <v>0.1278</v>
      </c>
      <c r="M179" s="119">
        <v>0.15579999999999999</v>
      </c>
      <c r="N179" s="119">
        <v>2.8000000000000001E-2</v>
      </c>
      <c r="O179" s="119">
        <f t="shared" si="24"/>
        <v>1.4E-2</v>
      </c>
      <c r="P179" s="120">
        <v>1</v>
      </c>
      <c r="Q179" s="119">
        <f t="shared" si="25"/>
        <v>0.1278</v>
      </c>
      <c r="R179" s="121">
        <v>40000</v>
      </c>
      <c r="S179" s="122">
        <f t="shared" si="27"/>
        <v>996157</v>
      </c>
      <c r="T179" s="119">
        <f>98000+12600</f>
        <v>110600</v>
      </c>
      <c r="U179" s="119">
        <f t="shared" si="28"/>
        <v>82707.603999999992</v>
      </c>
      <c r="V179" s="134" t="s">
        <v>100</v>
      </c>
      <c r="W179" s="134"/>
      <c r="X179" s="124">
        <v>0.76300000000000001</v>
      </c>
      <c r="Y179" s="124" t="s">
        <v>54</v>
      </c>
      <c r="Z179" s="124"/>
      <c r="AA179" s="135">
        <v>0</v>
      </c>
      <c r="AB179" s="126">
        <f t="shared" si="22"/>
        <v>6232</v>
      </c>
      <c r="AC179" s="126">
        <f t="shared" si="26"/>
        <v>0</v>
      </c>
      <c r="AD179" s="127">
        <f t="shared" si="23"/>
        <v>30.52</v>
      </c>
      <c r="AE179" s="123"/>
    </row>
    <row r="180" spans="1:31" s="112" customFormat="1" x14ac:dyDescent="0.2">
      <c r="A180" s="110" t="s">
        <v>89</v>
      </c>
      <c r="B180" s="114" t="str">
        <f>VLOOKUP(A180,Sheet1!A:B,2,0)</f>
        <v>HP</v>
      </c>
      <c r="C180" s="114" t="s">
        <v>101</v>
      </c>
      <c r="D180" s="110">
        <v>22150202017</v>
      </c>
      <c r="E180" s="110" t="s">
        <v>42</v>
      </c>
      <c r="F180" s="110" t="s">
        <v>99</v>
      </c>
      <c r="G180" s="162" t="s">
        <v>44</v>
      </c>
      <c r="H180" s="123">
        <v>2024</v>
      </c>
      <c r="I180" s="116">
        <v>3</v>
      </c>
      <c r="J180" s="117">
        <v>45590</v>
      </c>
      <c r="K180" s="118">
        <v>0.4</v>
      </c>
      <c r="L180" s="119">
        <f t="shared" si="21"/>
        <v>0.17249999999999999</v>
      </c>
      <c r="M180" s="119">
        <v>0.41749999999999998</v>
      </c>
      <c r="N180" s="119">
        <v>0.245</v>
      </c>
      <c r="O180" s="119">
        <f t="shared" si="24"/>
        <v>9.8000000000000004E-2</v>
      </c>
      <c r="P180" s="120">
        <v>1</v>
      </c>
      <c r="Q180" s="119">
        <f t="shared" si="25"/>
        <v>0.17249999999999999</v>
      </c>
      <c r="R180" s="121">
        <v>97200</v>
      </c>
      <c r="S180" s="122">
        <f t="shared" si="27"/>
        <v>738437</v>
      </c>
      <c r="T180" s="119">
        <v>98000</v>
      </c>
      <c r="U180" s="119">
        <f t="shared" si="28"/>
        <v>-82917.065000000002</v>
      </c>
      <c r="V180" s="134" t="s">
        <v>102</v>
      </c>
      <c r="W180" s="134"/>
      <c r="X180" s="124">
        <v>1.173</v>
      </c>
      <c r="Y180" s="124" t="s">
        <v>54</v>
      </c>
      <c r="Z180" s="124"/>
      <c r="AA180" s="135">
        <v>0</v>
      </c>
      <c r="AB180" s="126">
        <f t="shared" si="22"/>
        <v>40581</v>
      </c>
      <c r="AC180" s="126">
        <f t="shared" si="26"/>
        <v>0</v>
      </c>
      <c r="AD180" s="127">
        <f t="shared" si="23"/>
        <v>114.01560000000001</v>
      </c>
      <c r="AE180" s="123"/>
    </row>
    <row r="181" spans="1:31" s="112" customFormat="1" x14ac:dyDescent="0.2">
      <c r="A181" s="110" t="s">
        <v>89</v>
      </c>
      <c r="B181" s="114" t="str">
        <f>VLOOKUP(A181,Sheet1!A:B,2,0)</f>
        <v>HP</v>
      </c>
      <c r="C181" s="130" t="s">
        <v>103</v>
      </c>
      <c r="D181" s="110">
        <v>22150202009</v>
      </c>
      <c r="E181" s="110" t="s">
        <v>42</v>
      </c>
      <c r="F181" s="110" t="s">
        <v>91</v>
      </c>
      <c r="G181" s="162" t="s">
        <v>44</v>
      </c>
      <c r="H181" s="123">
        <v>2024</v>
      </c>
      <c r="I181" s="116">
        <v>3</v>
      </c>
      <c r="J181" s="117">
        <v>45590</v>
      </c>
      <c r="K181" s="118">
        <v>0.5</v>
      </c>
      <c r="L181" s="119">
        <f t="shared" si="21"/>
        <v>0.1285</v>
      </c>
      <c r="M181" s="119">
        <v>0.1565</v>
      </c>
      <c r="N181" s="119">
        <v>2.8000000000000001E-2</v>
      </c>
      <c r="O181" s="119">
        <f t="shared" si="24"/>
        <v>1.4E-2</v>
      </c>
      <c r="P181" s="120">
        <v>1</v>
      </c>
      <c r="Q181" s="119">
        <f t="shared" si="25"/>
        <v>0.1285</v>
      </c>
      <c r="R181" s="121">
        <v>200000</v>
      </c>
      <c r="S181" s="122">
        <f t="shared" si="27"/>
        <v>745080</v>
      </c>
      <c r="T181" s="119">
        <v>98000</v>
      </c>
      <c r="U181" s="119">
        <f t="shared" si="28"/>
        <v>77137.759999999995</v>
      </c>
      <c r="V181" s="136" t="s">
        <v>97</v>
      </c>
      <c r="W181" s="136"/>
      <c r="X181" s="137">
        <v>0.69499999999999995</v>
      </c>
      <c r="Y181" s="138" t="s">
        <v>54</v>
      </c>
      <c r="Z181" s="138"/>
      <c r="AA181" s="135">
        <v>0</v>
      </c>
      <c r="AB181" s="126">
        <f t="shared" si="22"/>
        <v>31300</v>
      </c>
      <c r="AC181" s="126">
        <f t="shared" si="26"/>
        <v>0</v>
      </c>
      <c r="AD181" s="127">
        <f t="shared" si="23"/>
        <v>139</v>
      </c>
      <c r="AE181" s="123"/>
    </row>
    <row r="182" spans="1:31" s="112" customFormat="1" x14ac:dyDescent="0.2">
      <c r="A182" s="110" t="s">
        <v>89</v>
      </c>
      <c r="B182" s="114" t="str">
        <f>VLOOKUP(A182,Sheet1!A:B,2,0)</f>
        <v>HP</v>
      </c>
      <c r="C182" s="130" t="s">
        <v>104</v>
      </c>
      <c r="D182" s="110">
        <v>22150202021</v>
      </c>
      <c r="E182" s="110" t="s">
        <v>42</v>
      </c>
      <c r="F182" s="110" t="s">
        <v>91</v>
      </c>
      <c r="G182" s="162" t="s">
        <v>44</v>
      </c>
      <c r="H182" s="123">
        <v>2024</v>
      </c>
      <c r="I182" s="116">
        <v>3</v>
      </c>
      <c r="J182" s="117">
        <v>45590</v>
      </c>
      <c r="K182" s="118">
        <v>0.6</v>
      </c>
      <c r="L182" s="119">
        <f t="shared" si="21"/>
        <v>2.5637000000000003</v>
      </c>
      <c r="M182" s="119">
        <v>2.8972000000000002</v>
      </c>
      <c r="N182" s="119">
        <v>0.33350000000000002</v>
      </c>
      <c r="O182" s="119">
        <f t="shared" si="24"/>
        <v>0.2001</v>
      </c>
      <c r="P182" s="120">
        <v>1</v>
      </c>
      <c r="Q182" s="119">
        <f t="shared" si="25"/>
        <v>2.5637000000000003</v>
      </c>
      <c r="R182" s="121">
        <v>395727</v>
      </c>
      <c r="S182" s="122">
        <f t="shared" si="27"/>
        <v>1111299</v>
      </c>
      <c r="T182" s="119">
        <v>200100</v>
      </c>
      <c r="U182" s="119">
        <f t="shared" si="28"/>
        <v>-170518.21650000004</v>
      </c>
      <c r="V182" s="134" t="s">
        <v>105</v>
      </c>
      <c r="W182" s="134"/>
      <c r="X182" s="124">
        <v>3.4089999999999998</v>
      </c>
      <c r="Y182" s="139" t="s">
        <v>54</v>
      </c>
      <c r="Z182" s="124" t="s">
        <v>93</v>
      </c>
      <c r="AA182" s="125">
        <v>1.7574000000000001</v>
      </c>
      <c r="AB182" s="126">
        <f t="shared" si="22"/>
        <v>1146500.2644</v>
      </c>
      <c r="AC182" s="126">
        <f t="shared" si="26"/>
        <v>695450.6298</v>
      </c>
      <c r="AD182" s="127">
        <f t="shared" si="23"/>
        <v>1349.0333429999998</v>
      </c>
      <c r="AE182" s="123"/>
    </row>
    <row r="183" spans="1:31" s="112" customFormat="1" x14ac:dyDescent="0.2">
      <c r="A183" s="110" t="s">
        <v>89</v>
      </c>
      <c r="B183" s="114" t="str">
        <f>VLOOKUP(A183,Sheet1!A:B,2,0)</f>
        <v>HP</v>
      </c>
      <c r="C183" s="130" t="s">
        <v>106</v>
      </c>
      <c r="D183" s="110">
        <v>22150202018</v>
      </c>
      <c r="E183" s="110" t="s">
        <v>42</v>
      </c>
      <c r="F183" s="110" t="s">
        <v>91</v>
      </c>
      <c r="G183" s="162" t="s">
        <v>44</v>
      </c>
      <c r="H183" s="123">
        <v>2024</v>
      </c>
      <c r="I183" s="116">
        <v>3</v>
      </c>
      <c r="J183" s="117">
        <v>45590</v>
      </c>
      <c r="K183" s="118">
        <v>0.4</v>
      </c>
      <c r="L183" s="119">
        <f t="shared" si="21"/>
        <v>0.1608</v>
      </c>
      <c r="M183" s="119">
        <v>0.1958</v>
      </c>
      <c r="N183" s="119">
        <v>3.5000000000000003E-2</v>
      </c>
      <c r="O183" s="119">
        <f t="shared" si="24"/>
        <v>1.4000000000000002E-2</v>
      </c>
      <c r="P183" s="120">
        <v>1</v>
      </c>
      <c r="Q183" s="119">
        <f t="shared" si="25"/>
        <v>0.1608</v>
      </c>
      <c r="R183" s="121">
        <v>361185</v>
      </c>
      <c r="S183" s="122">
        <f t="shared" si="27"/>
        <v>893506</v>
      </c>
      <c r="T183" s="119">
        <v>98000</v>
      </c>
      <c r="U183" s="119">
        <f t="shared" si="28"/>
        <v>66727.289999999994</v>
      </c>
      <c r="V183" s="134" t="s">
        <v>107</v>
      </c>
      <c r="W183" s="134"/>
      <c r="X183" s="124">
        <v>1.117</v>
      </c>
      <c r="Y183" s="124" t="s">
        <v>54</v>
      </c>
      <c r="Z183" s="124"/>
      <c r="AA183" s="125">
        <v>0</v>
      </c>
      <c r="AB183" s="126">
        <f t="shared" si="22"/>
        <v>70720.023000000001</v>
      </c>
      <c r="AC183" s="126">
        <f t="shared" si="26"/>
        <v>0</v>
      </c>
      <c r="AD183" s="127">
        <f t="shared" si="23"/>
        <v>403.443645</v>
      </c>
      <c r="AE183" s="123"/>
    </row>
    <row r="184" spans="1:31" s="112" customFormat="1" x14ac:dyDescent="0.2">
      <c r="A184" s="110" t="s">
        <v>89</v>
      </c>
      <c r="B184" s="114" t="str">
        <f>VLOOKUP(A184,Sheet1!A:B,2,0)</f>
        <v>HP</v>
      </c>
      <c r="C184" s="130" t="s">
        <v>108</v>
      </c>
      <c r="D184" s="110">
        <v>22150202007</v>
      </c>
      <c r="E184" s="110" t="s">
        <v>42</v>
      </c>
      <c r="F184" s="110" t="s">
        <v>109</v>
      </c>
      <c r="G184" s="162" t="s">
        <v>44</v>
      </c>
      <c r="H184" s="123">
        <v>2024</v>
      </c>
      <c r="I184" s="116">
        <v>3</v>
      </c>
      <c r="J184" s="117">
        <v>45590</v>
      </c>
      <c r="K184" s="118">
        <v>0.5</v>
      </c>
      <c r="L184" s="119">
        <f t="shared" si="21"/>
        <v>0.1227571428571429</v>
      </c>
      <c r="M184" s="119">
        <v>0.16</v>
      </c>
      <c r="N184" s="119">
        <v>3.7242857142857098E-2</v>
      </c>
      <c r="O184" s="119">
        <f t="shared" si="24"/>
        <v>1.8621428571428549E-2</v>
      </c>
      <c r="P184" s="120">
        <v>1</v>
      </c>
      <c r="Q184" s="119">
        <f t="shared" si="25"/>
        <v>0.1227571428571429</v>
      </c>
      <c r="R184" s="121">
        <v>336600</v>
      </c>
      <c r="S184" s="122">
        <f t="shared" si="27"/>
        <v>1194034</v>
      </c>
      <c r="T184" s="119">
        <v>130350</v>
      </c>
      <c r="U184" s="119">
        <f t="shared" si="28"/>
        <v>85880.762314285763</v>
      </c>
      <c r="V184" s="134" t="s">
        <v>100</v>
      </c>
      <c r="W184" s="134"/>
      <c r="X184" s="124">
        <v>0.52400000000000002</v>
      </c>
      <c r="Y184" s="124" t="s">
        <v>54</v>
      </c>
      <c r="Z184" s="124"/>
      <c r="AA184" s="135">
        <v>0</v>
      </c>
      <c r="AB184" s="126">
        <f t="shared" si="22"/>
        <v>53856</v>
      </c>
      <c r="AC184" s="126">
        <f t="shared" si="26"/>
        <v>0</v>
      </c>
      <c r="AD184" s="127">
        <f t="shared" si="23"/>
        <v>176.3784</v>
      </c>
      <c r="AE184" s="123"/>
    </row>
    <row r="185" spans="1:31" s="112" customFormat="1" x14ac:dyDescent="0.2">
      <c r="A185" s="110" t="s">
        <v>110</v>
      </c>
      <c r="B185" s="114" t="str">
        <f>VLOOKUP(A185,Sheet1!A:B,2,0)</f>
        <v>HP</v>
      </c>
      <c r="C185" s="130" t="s">
        <v>98</v>
      </c>
      <c r="D185" s="110">
        <v>23590202001</v>
      </c>
      <c r="E185" s="110" t="s">
        <v>42</v>
      </c>
      <c r="F185" s="110" t="s">
        <v>111</v>
      </c>
      <c r="G185" s="162" t="s">
        <v>44</v>
      </c>
      <c r="H185" s="123">
        <v>2024</v>
      </c>
      <c r="I185" s="116">
        <v>3</v>
      </c>
      <c r="J185" s="117">
        <v>45590</v>
      </c>
      <c r="K185" s="118">
        <v>0.5</v>
      </c>
      <c r="L185" s="119">
        <f t="shared" si="21"/>
        <v>0.125588670602168</v>
      </c>
      <c r="M185" s="119">
        <v>0.15358867060216799</v>
      </c>
      <c r="N185" s="119">
        <v>2.8000000000000001E-2</v>
      </c>
      <c r="O185" s="119">
        <f t="shared" si="24"/>
        <v>1.4E-2</v>
      </c>
      <c r="P185" s="120">
        <v>1</v>
      </c>
      <c r="Q185" s="119">
        <f t="shared" si="25"/>
        <v>0.125588670602168</v>
      </c>
      <c r="R185" s="121">
        <v>160000</v>
      </c>
      <c r="S185" s="122">
        <f t="shared" si="27"/>
        <v>319000</v>
      </c>
      <c r="T185" s="119">
        <v>98000</v>
      </c>
      <c r="U185" s="119">
        <f t="shared" si="28"/>
        <v>89068</v>
      </c>
      <c r="V185" s="134" t="s">
        <v>112</v>
      </c>
      <c r="W185" s="134"/>
      <c r="X185" s="124">
        <v>0.69499999999999995</v>
      </c>
      <c r="Y185" s="124" t="s">
        <v>54</v>
      </c>
      <c r="Z185" s="124"/>
      <c r="AA185" s="135">
        <v>0</v>
      </c>
      <c r="AB185" s="126">
        <f t="shared" si="22"/>
        <v>24574.187296346878</v>
      </c>
      <c r="AC185" s="126">
        <f t="shared" si="26"/>
        <v>0</v>
      </c>
      <c r="AD185" s="127">
        <f t="shared" si="23"/>
        <v>111.19999999999999</v>
      </c>
      <c r="AE185" s="123"/>
    </row>
    <row r="186" spans="1:31" s="112" customFormat="1" ht="25.5" x14ac:dyDescent="0.2">
      <c r="A186" s="110" t="s">
        <v>110</v>
      </c>
      <c r="B186" s="114" t="str">
        <f>VLOOKUP(A186,Sheet1!A:B,2,0)</f>
        <v>HP</v>
      </c>
      <c r="C186" s="114" t="s">
        <v>101</v>
      </c>
      <c r="D186" s="110">
        <v>23480202015</v>
      </c>
      <c r="E186" s="110" t="s">
        <v>42</v>
      </c>
      <c r="F186" s="110" t="s">
        <v>113</v>
      </c>
      <c r="G186" s="162" t="s">
        <v>44</v>
      </c>
      <c r="H186" s="123">
        <v>2024</v>
      </c>
      <c r="I186" s="116">
        <v>3</v>
      </c>
      <c r="J186" s="117">
        <v>45590</v>
      </c>
      <c r="K186" s="118">
        <v>0.4</v>
      </c>
      <c r="L186" s="119">
        <f t="shared" si="21"/>
        <v>0.27566008648311169</v>
      </c>
      <c r="M186" s="119">
        <v>0.353993419816445</v>
      </c>
      <c r="N186" s="119">
        <v>7.8333333333333297E-2</v>
      </c>
      <c r="O186" s="119">
        <f t="shared" si="24"/>
        <v>3.1333333333333317E-2</v>
      </c>
      <c r="P186" s="120">
        <v>1</v>
      </c>
      <c r="Q186" s="119">
        <f t="shared" si="25"/>
        <v>0.27566008648311169</v>
      </c>
      <c r="R186" s="121">
        <v>110700</v>
      </c>
      <c r="S186" s="122">
        <f t="shared" si="27"/>
        <v>190036</v>
      </c>
      <c r="T186" s="119">
        <v>188000</v>
      </c>
      <c r="U186" s="119">
        <f t="shared" si="28"/>
        <v>173113.84666666668</v>
      </c>
      <c r="V186" s="134" t="s">
        <v>114</v>
      </c>
      <c r="W186" s="134"/>
      <c r="X186" s="124">
        <v>1.722</v>
      </c>
      <c r="Y186" s="124" t="s">
        <v>54</v>
      </c>
      <c r="Z186" s="124"/>
      <c r="AA186" s="135">
        <v>0</v>
      </c>
      <c r="AB186" s="126">
        <f t="shared" si="22"/>
        <v>39187.071573680463</v>
      </c>
      <c r="AC186" s="126">
        <f t="shared" si="26"/>
        <v>0</v>
      </c>
      <c r="AD186" s="127">
        <f t="shared" si="23"/>
        <v>190.62539999999998</v>
      </c>
      <c r="AE186" s="123"/>
    </row>
    <row r="187" spans="1:31" s="112" customFormat="1" x14ac:dyDescent="0.2">
      <c r="A187" s="110" t="s">
        <v>110</v>
      </c>
      <c r="B187" s="114" t="str">
        <f>VLOOKUP(A187,Sheet1!A:B,2,0)</f>
        <v>HP</v>
      </c>
      <c r="C187" s="130" t="s">
        <v>115</v>
      </c>
      <c r="D187" s="110">
        <v>23480202012</v>
      </c>
      <c r="E187" s="110" t="s">
        <v>42</v>
      </c>
      <c r="F187" s="114" t="s">
        <v>116</v>
      </c>
      <c r="G187" s="162" t="s">
        <v>44</v>
      </c>
      <c r="H187" s="123">
        <v>2024</v>
      </c>
      <c r="I187" s="116">
        <v>3</v>
      </c>
      <c r="J187" s="117">
        <v>45590</v>
      </c>
      <c r="K187" s="118">
        <v>0.4</v>
      </c>
      <c r="L187" s="119">
        <f t="shared" si="21"/>
        <v>0.80865388388102988</v>
      </c>
      <c r="M187" s="119">
        <v>1.0756538838810299</v>
      </c>
      <c r="N187" s="119">
        <v>0.26700000000000002</v>
      </c>
      <c r="O187" s="119">
        <f t="shared" si="24"/>
        <v>0.10680000000000001</v>
      </c>
      <c r="P187" s="120">
        <v>1</v>
      </c>
      <c r="Q187" s="119">
        <f t="shared" si="25"/>
        <v>0.80865388388102988</v>
      </c>
      <c r="R187" s="121">
        <v>0</v>
      </c>
      <c r="S187" s="122">
        <f t="shared" si="27"/>
        <v>76120</v>
      </c>
      <c r="T187" s="119">
        <v>640000</v>
      </c>
      <c r="U187" s="119">
        <f t="shared" si="28"/>
        <v>619675.96</v>
      </c>
      <c r="V187" s="134" t="s">
        <v>117</v>
      </c>
      <c r="W187" s="134"/>
      <c r="X187" s="124">
        <v>5.7469999999999999</v>
      </c>
      <c r="Y187" s="124" t="s">
        <v>54</v>
      </c>
      <c r="Z187" s="124"/>
      <c r="AA187" s="135">
        <v>0</v>
      </c>
      <c r="AB187" s="126">
        <f t="shared" si="22"/>
        <v>0</v>
      </c>
      <c r="AC187" s="126">
        <f t="shared" si="26"/>
        <v>0</v>
      </c>
      <c r="AD187" s="127">
        <f t="shared" si="23"/>
        <v>0</v>
      </c>
      <c r="AE187" s="123"/>
    </row>
    <row r="188" spans="1:31" s="112" customFormat="1" ht="25.5" x14ac:dyDescent="0.2">
      <c r="A188" s="110" t="s">
        <v>110</v>
      </c>
      <c r="B188" s="114" t="str">
        <f>VLOOKUP(A188,Sheet1!A:B,2,0)</f>
        <v>HP</v>
      </c>
      <c r="C188" s="130" t="s">
        <v>118</v>
      </c>
      <c r="D188" s="110">
        <v>23480202005</v>
      </c>
      <c r="E188" s="110" t="s">
        <v>42</v>
      </c>
      <c r="F188" s="114" t="s">
        <v>119</v>
      </c>
      <c r="G188" s="162" t="s">
        <v>44</v>
      </c>
      <c r="H188" s="123">
        <v>2024</v>
      </c>
      <c r="I188" s="116">
        <v>3</v>
      </c>
      <c r="J188" s="117">
        <v>45590</v>
      </c>
      <c r="K188" s="118">
        <v>0.6</v>
      </c>
      <c r="L188" s="119">
        <f t="shared" si="21"/>
        <v>0.61243323981863296</v>
      </c>
      <c r="M188" s="119">
        <v>0.790433239818633</v>
      </c>
      <c r="N188" s="119">
        <v>0.17799999999999999</v>
      </c>
      <c r="O188" s="119">
        <f t="shared" si="24"/>
        <v>0.10679999999999999</v>
      </c>
      <c r="P188" s="120">
        <v>1</v>
      </c>
      <c r="Q188" s="119">
        <f t="shared" si="25"/>
        <v>0.61243323981863296</v>
      </c>
      <c r="R188" s="121">
        <v>83966</v>
      </c>
      <c r="S188" s="122">
        <f t="shared" si="27"/>
        <v>135829</v>
      </c>
      <c r="T188" s="119">
        <f>640000+35296</f>
        <v>675296</v>
      </c>
      <c r="U188" s="119">
        <f t="shared" si="28"/>
        <v>651118.43799999997</v>
      </c>
      <c r="V188" s="134" t="s">
        <v>120</v>
      </c>
      <c r="W188" s="134"/>
      <c r="X188" s="124">
        <v>3.2709999999999999</v>
      </c>
      <c r="Y188" s="124" t="s">
        <v>54</v>
      </c>
      <c r="Z188" s="124"/>
      <c r="AA188" s="135">
        <v>0</v>
      </c>
      <c r="AB188" s="126">
        <f t="shared" si="22"/>
        <v>66369.517414611342</v>
      </c>
      <c r="AC188" s="126">
        <f t="shared" si="26"/>
        <v>0</v>
      </c>
      <c r="AD188" s="127">
        <f t="shared" si="23"/>
        <v>274.65278599999999</v>
      </c>
      <c r="AE188" s="123"/>
    </row>
    <row r="189" spans="1:31" s="112" customFormat="1" x14ac:dyDescent="0.2">
      <c r="A189" s="110" t="s">
        <v>110</v>
      </c>
      <c r="B189" s="114" t="str">
        <f>VLOOKUP(A189,Sheet1!A:B,2,0)</f>
        <v>HP</v>
      </c>
      <c r="C189" s="130" t="s">
        <v>121</v>
      </c>
      <c r="D189" s="110">
        <v>23480202011</v>
      </c>
      <c r="E189" s="110" t="s">
        <v>42</v>
      </c>
      <c r="F189" s="114" t="s">
        <v>116</v>
      </c>
      <c r="G189" s="162" t="s">
        <v>44</v>
      </c>
      <c r="H189" s="123">
        <v>2024</v>
      </c>
      <c r="I189" s="116">
        <v>3</v>
      </c>
      <c r="J189" s="117">
        <v>45590</v>
      </c>
      <c r="K189" s="118">
        <v>0.5</v>
      </c>
      <c r="L189" s="119">
        <f t="shared" si="21"/>
        <v>0.29378086188436198</v>
      </c>
      <c r="M189" s="119">
        <v>0.41711419521769499</v>
      </c>
      <c r="N189" s="119">
        <v>0.123333333333333</v>
      </c>
      <c r="O189" s="119">
        <f t="shared" si="24"/>
        <v>6.1666666666666502E-2</v>
      </c>
      <c r="P189" s="120">
        <v>1</v>
      </c>
      <c r="Q189" s="119">
        <f t="shared" si="25"/>
        <v>0.29378086188436198</v>
      </c>
      <c r="R189" s="121"/>
      <c r="S189" s="122">
        <f t="shared" si="27"/>
        <v>124445</v>
      </c>
      <c r="T189" s="119">
        <v>370000</v>
      </c>
      <c r="U189" s="119">
        <f t="shared" si="28"/>
        <v>354651.78333333338</v>
      </c>
      <c r="V189" s="134" t="s">
        <v>107</v>
      </c>
      <c r="W189" s="134"/>
      <c r="X189" s="124">
        <v>1.7749999999999999</v>
      </c>
      <c r="Y189" s="124" t="s">
        <v>54</v>
      </c>
      <c r="Z189" s="124"/>
      <c r="AA189" s="135">
        <v>0</v>
      </c>
      <c r="AB189" s="126">
        <f t="shared" si="22"/>
        <v>0</v>
      </c>
      <c r="AC189" s="126">
        <f t="shared" si="26"/>
        <v>0</v>
      </c>
      <c r="AD189" s="127">
        <f t="shared" si="23"/>
        <v>0</v>
      </c>
      <c r="AE189" s="123"/>
    </row>
    <row r="190" spans="1:31" s="112" customFormat="1" ht="25.5" x14ac:dyDescent="0.2">
      <c r="A190" s="110" t="s">
        <v>110</v>
      </c>
      <c r="B190" s="114" t="str">
        <f>VLOOKUP(A190,Sheet1!A:B,2,0)</f>
        <v>HP</v>
      </c>
      <c r="C190" s="130" t="s">
        <v>66</v>
      </c>
      <c r="D190" s="110">
        <v>23480202017</v>
      </c>
      <c r="E190" s="110" t="s">
        <v>42</v>
      </c>
      <c r="F190" s="114" t="s">
        <v>116</v>
      </c>
      <c r="G190" s="162" t="s">
        <v>44</v>
      </c>
      <c r="H190" s="123">
        <v>2024</v>
      </c>
      <c r="I190" s="116">
        <v>3</v>
      </c>
      <c r="J190" s="117">
        <v>45590</v>
      </c>
      <c r="K190" s="118">
        <v>0.5</v>
      </c>
      <c r="L190" s="119">
        <f t="shared" si="21"/>
        <v>1.0628666666666668</v>
      </c>
      <c r="M190" s="119">
        <v>1.1322000000000001</v>
      </c>
      <c r="N190" s="119">
        <v>6.9333333333333302E-2</v>
      </c>
      <c r="O190" s="119">
        <f t="shared" si="24"/>
        <v>3.4666666666666651E-2</v>
      </c>
      <c r="P190" s="120">
        <v>1</v>
      </c>
      <c r="Q190" s="119">
        <f t="shared" si="25"/>
        <v>1.0628666666666668</v>
      </c>
      <c r="R190" s="121">
        <v>3300</v>
      </c>
      <c r="S190" s="122">
        <f t="shared" si="27"/>
        <v>20600</v>
      </c>
      <c r="T190" s="119">
        <f>208000+207000+35513+26171+7330</f>
        <v>484014</v>
      </c>
      <c r="U190" s="119">
        <f t="shared" si="28"/>
        <v>482585.73333333334</v>
      </c>
      <c r="V190" s="134" t="s">
        <v>122</v>
      </c>
      <c r="W190" s="134"/>
      <c r="X190" s="124">
        <v>2.3839999999999999</v>
      </c>
      <c r="Y190" s="124" t="s">
        <v>54</v>
      </c>
      <c r="Z190" s="124" t="s">
        <v>93</v>
      </c>
      <c r="AA190" s="125">
        <v>0.7964</v>
      </c>
      <c r="AB190" s="126">
        <f t="shared" si="22"/>
        <v>3736.26</v>
      </c>
      <c r="AC190" s="126">
        <f t="shared" si="26"/>
        <v>2628.12</v>
      </c>
      <c r="AD190" s="127">
        <f t="shared" si="23"/>
        <v>7.8671999999999995</v>
      </c>
      <c r="AE190" s="123"/>
    </row>
    <row r="191" spans="1:31" s="112" customFormat="1" ht="51" x14ac:dyDescent="0.2">
      <c r="A191" s="110" t="s">
        <v>110</v>
      </c>
      <c r="B191" s="114" t="str">
        <f>VLOOKUP(A191,Sheet1!A:B,2,0)</f>
        <v>HP</v>
      </c>
      <c r="C191" s="130" t="s">
        <v>81</v>
      </c>
      <c r="D191" s="110">
        <v>23480202018</v>
      </c>
      <c r="E191" s="110" t="s">
        <v>42</v>
      </c>
      <c r="F191" s="114" t="s">
        <v>116</v>
      </c>
      <c r="G191" s="162" t="s">
        <v>44</v>
      </c>
      <c r="H191" s="123">
        <v>2024</v>
      </c>
      <c r="I191" s="116">
        <v>3</v>
      </c>
      <c r="J191" s="117">
        <v>45590</v>
      </c>
      <c r="K191" s="118">
        <v>0.4</v>
      </c>
      <c r="L191" s="119">
        <f t="shared" si="21"/>
        <v>0.41382922267354705</v>
      </c>
      <c r="M191" s="119">
        <v>0.54316255600688002</v>
      </c>
      <c r="N191" s="119">
        <v>0.12933333333333299</v>
      </c>
      <c r="O191" s="119">
        <f t="shared" si="24"/>
        <v>5.1733333333333201E-2</v>
      </c>
      <c r="P191" s="120">
        <v>1</v>
      </c>
      <c r="Q191" s="119">
        <f t="shared" si="25"/>
        <v>0.41382922267354705</v>
      </c>
      <c r="R191" s="121">
        <v>7830</v>
      </c>
      <c r="S191" s="122">
        <f t="shared" si="27"/>
        <v>7830</v>
      </c>
      <c r="T191" s="119">
        <f>388000+53870+10859</f>
        <v>452729</v>
      </c>
      <c r="U191" s="119">
        <f t="shared" si="28"/>
        <v>451716.32</v>
      </c>
      <c r="V191" s="134" t="s">
        <v>123</v>
      </c>
      <c r="W191" s="123"/>
      <c r="X191" s="124">
        <v>3.673</v>
      </c>
      <c r="Y191" s="124" t="s">
        <v>54</v>
      </c>
      <c r="Z191" s="124"/>
      <c r="AA191" s="135">
        <v>0</v>
      </c>
      <c r="AB191" s="126">
        <f t="shared" si="22"/>
        <v>4252.9628135338708</v>
      </c>
      <c r="AC191" s="126">
        <f t="shared" si="26"/>
        <v>0</v>
      </c>
      <c r="AD191" s="127">
        <f t="shared" si="23"/>
        <v>28.759589999999999</v>
      </c>
      <c r="AE191" s="123"/>
    </row>
    <row r="192" spans="1:31" s="112" customFormat="1" x14ac:dyDescent="0.2">
      <c r="A192" s="110" t="s">
        <v>89</v>
      </c>
      <c r="B192" s="114" t="str">
        <f>VLOOKUP(A192,Sheet1!A:B,2,0)</f>
        <v>HP</v>
      </c>
      <c r="C192" s="114" t="s">
        <v>90</v>
      </c>
      <c r="D192" s="110">
        <v>22150202014</v>
      </c>
      <c r="E192" s="110" t="s">
        <v>42</v>
      </c>
      <c r="F192" s="110" t="s">
        <v>91</v>
      </c>
      <c r="G192" s="162" t="s">
        <v>44</v>
      </c>
      <c r="H192" s="123">
        <v>2024</v>
      </c>
      <c r="I192" s="116">
        <v>4</v>
      </c>
      <c r="J192" s="117">
        <v>45590</v>
      </c>
      <c r="K192" s="118">
        <v>0.4</v>
      </c>
      <c r="L192" s="119">
        <f t="shared" si="21"/>
        <v>2.3161999999999998</v>
      </c>
      <c r="M192" s="119">
        <v>2.3536999999999999</v>
      </c>
      <c r="N192" s="119">
        <v>3.7499999999999999E-2</v>
      </c>
      <c r="O192" s="119">
        <f t="shared" si="24"/>
        <v>1.4999999999999999E-2</v>
      </c>
      <c r="P192" s="120">
        <v>1</v>
      </c>
      <c r="Q192" s="119">
        <f t="shared" si="25"/>
        <v>2.3161999999999998</v>
      </c>
      <c r="R192" s="121">
        <v>136698</v>
      </c>
      <c r="S192" s="122">
        <f t="shared" si="27"/>
        <v>1059831</v>
      </c>
      <c r="T192" s="119">
        <v>105000</v>
      </c>
      <c r="U192" s="119">
        <f t="shared" si="28"/>
        <v>65256.337500000001</v>
      </c>
      <c r="V192" s="134" t="s">
        <v>92</v>
      </c>
      <c r="W192" s="134"/>
      <c r="X192" s="124">
        <v>1.5549999999999999</v>
      </c>
      <c r="Y192" s="124" t="s">
        <v>54</v>
      </c>
      <c r="Z192" s="124" t="s">
        <v>93</v>
      </c>
      <c r="AA192" s="125">
        <v>1.9422999999999999</v>
      </c>
      <c r="AB192" s="126">
        <f t="shared" si="22"/>
        <v>321746.08259999997</v>
      </c>
      <c r="AC192" s="126">
        <f t="shared" si="26"/>
        <v>265508.52539999998</v>
      </c>
      <c r="AD192" s="127">
        <f t="shared" si="23"/>
        <v>212.56538999999998</v>
      </c>
      <c r="AE192" s="123"/>
    </row>
    <row r="193" spans="1:31" s="112" customFormat="1" ht="25.5" x14ac:dyDescent="0.2">
      <c r="A193" s="110" t="s">
        <v>89</v>
      </c>
      <c r="B193" s="114" t="str">
        <f>VLOOKUP(A193,Sheet1!A:B,2,0)</f>
        <v>HP</v>
      </c>
      <c r="C193" s="130" t="s">
        <v>94</v>
      </c>
      <c r="D193" s="110">
        <v>22150202015</v>
      </c>
      <c r="E193" s="110" t="s">
        <v>42</v>
      </c>
      <c r="F193" s="110" t="s">
        <v>91</v>
      </c>
      <c r="G193" s="162" t="s">
        <v>44</v>
      </c>
      <c r="H193" s="123">
        <v>2024</v>
      </c>
      <c r="I193" s="116">
        <v>4</v>
      </c>
      <c r="J193" s="117">
        <v>45590</v>
      </c>
      <c r="K193" s="118">
        <v>0.6</v>
      </c>
      <c r="L193" s="119">
        <f t="shared" ref="L193:L207" si="29">M193-N193</f>
        <v>1.5443588135792305</v>
      </c>
      <c r="M193" s="119">
        <v>1.6338826231030401</v>
      </c>
      <c r="N193" s="119">
        <v>8.9523809523809506E-2</v>
      </c>
      <c r="O193" s="119">
        <f t="shared" si="24"/>
        <v>5.3714285714285701E-2</v>
      </c>
      <c r="P193" s="120">
        <v>1</v>
      </c>
      <c r="Q193" s="119">
        <f t="shared" si="25"/>
        <v>1.5443588135792305</v>
      </c>
      <c r="R193" s="121">
        <v>116654</v>
      </c>
      <c r="S193" s="122">
        <f t="shared" si="27"/>
        <v>684321</v>
      </c>
      <c r="T193" s="119">
        <v>376000</v>
      </c>
      <c r="U193" s="119">
        <f t="shared" si="28"/>
        <v>314736.97714285715</v>
      </c>
      <c r="V193" s="134" t="s">
        <v>95</v>
      </c>
      <c r="W193" s="134"/>
      <c r="X193" s="124">
        <v>1.7450000000000001</v>
      </c>
      <c r="Y193" s="124" t="s">
        <v>54</v>
      </c>
      <c r="Z193" s="124" t="s">
        <v>93</v>
      </c>
      <c r="AA193" s="125">
        <v>1.1437999999999999</v>
      </c>
      <c r="AB193" s="126">
        <f t="shared" si="22"/>
        <v>190598.94351546204</v>
      </c>
      <c r="AC193" s="126">
        <f t="shared" si="26"/>
        <v>133428.84519999998</v>
      </c>
      <c r="AD193" s="127">
        <f t="shared" si="23"/>
        <v>203.56123000000002</v>
      </c>
      <c r="AE193" s="123"/>
    </row>
    <row r="194" spans="1:31" s="112" customFormat="1" x14ac:dyDescent="0.2">
      <c r="A194" s="110" t="s">
        <v>89</v>
      </c>
      <c r="B194" s="114" t="str">
        <f>VLOOKUP(A194,Sheet1!A:B,2,0)</f>
        <v>HP</v>
      </c>
      <c r="C194" s="130" t="s">
        <v>66</v>
      </c>
      <c r="D194" s="110">
        <v>22150202010</v>
      </c>
      <c r="E194" s="110" t="s">
        <v>42</v>
      </c>
      <c r="F194" s="110" t="s">
        <v>96</v>
      </c>
      <c r="G194" s="162" t="s">
        <v>44</v>
      </c>
      <c r="H194" s="123">
        <v>2024</v>
      </c>
      <c r="I194" s="116">
        <v>4</v>
      </c>
      <c r="J194" s="117">
        <v>45590</v>
      </c>
      <c r="K194" s="118">
        <v>0.4</v>
      </c>
      <c r="L194" s="119">
        <f t="shared" si="29"/>
        <v>0.91622499999999985</v>
      </c>
      <c r="M194" s="119">
        <v>1.1620999999999999</v>
      </c>
      <c r="N194" s="119">
        <v>0.24587500000000001</v>
      </c>
      <c r="O194" s="119">
        <f t="shared" si="24"/>
        <v>9.8350000000000007E-2</v>
      </c>
      <c r="P194" s="120">
        <v>1</v>
      </c>
      <c r="Q194" s="119">
        <f t="shared" si="25"/>
        <v>0.91622499999999985</v>
      </c>
      <c r="R194" s="121">
        <v>171890</v>
      </c>
      <c r="S194" s="122">
        <f t="shared" si="27"/>
        <v>935008</v>
      </c>
      <c r="T194" s="119">
        <f>98350</f>
        <v>98350</v>
      </c>
      <c r="U194" s="119">
        <f t="shared" si="28"/>
        <v>-131545.092</v>
      </c>
      <c r="V194" s="134" t="s">
        <v>97</v>
      </c>
      <c r="W194" s="134"/>
      <c r="X194" s="124">
        <v>0.57899999999999996</v>
      </c>
      <c r="Y194" s="124" t="s">
        <v>54</v>
      </c>
      <c r="Z194" s="124" t="s">
        <v>93</v>
      </c>
      <c r="AA194" s="125">
        <v>0.75590000000000002</v>
      </c>
      <c r="AB194" s="126">
        <f t="shared" si="22"/>
        <v>199753.36899999998</v>
      </c>
      <c r="AC194" s="126">
        <f t="shared" si="26"/>
        <v>129931.651</v>
      </c>
      <c r="AD194" s="127">
        <f t="shared" si="23"/>
        <v>99.52431</v>
      </c>
      <c r="AE194" s="123"/>
    </row>
    <row r="195" spans="1:31" s="112" customFormat="1" x14ac:dyDescent="0.2">
      <c r="A195" s="110" t="s">
        <v>89</v>
      </c>
      <c r="B195" s="114" t="str">
        <f>VLOOKUP(A195,Sheet1!A:B,2,0)</f>
        <v>HP</v>
      </c>
      <c r="C195" s="130" t="s">
        <v>98</v>
      </c>
      <c r="D195" s="110">
        <v>22150202008</v>
      </c>
      <c r="E195" s="110" t="s">
        <v>42</v>
      </c>
      <c r="F195" s="110" t="s">
        <v>99</v>
      </c>
      <c r="G195" s="162" t="s">
        <v>44</v>
      </c>
      <c r="H195" s="123">
        <v>2024</v>
      </c>
      <c r="I195" s="116">
        <v>4</v>
      </c>
      <c r="J195" s="117">
        <v>45590</v>
      </c>
      <c r="K195" s="118">
        <v>0.5</v>
      </c>
      <c r="L195" s="119">
        <f t="shared" si="29"/>
        <v>0.1278</v>
      </c>
      <c r="M195" s="119">
        <v>0.15579999999999999</v>
      </c>
      <c r="N195" s="119">
        <v>2.8000000000000001E-2</v>
      </c>
      <c r="O195" s="119">
        <f t="shared" si="24"/>
        <v>1.4E-2</v>
      </c>
      <c r="P195" s="120">
        <v>1</v>
      </c>
      <c r="Q195" s="119">
        <f t="shared" si="25"/>
        <v>0.1278</v>
      </c>
      <c r="R195" s="121">
        <v>0</v>
      </c>
      <c r="S195" s="122">
        <f t="shared" si="27"/>
        <v>996157</v>
      </c>
      <c r="T195" s="119">
        <f>98000+12600</f>
        <v>110600</v>
      </c>
      <c r="U195" s="119">
        <f t="shared" si="28"/>
        <v>82707.603999999992</v>
      </c>
      <c r="V195" s="134" t="s">
        <v>100</v>
      </c>
      <c r="W195" s="134"/>
      <c r="X195" s="124">
        <v>0.76300000000000001</v>
      </c>
      <c r="Y195" s="124" t="s">
        <v>54</v>
      </c>
      <c r="Z195" s="124"/>
      <c r="AA195" s="135">
        <v>0</v>
      </c>
      <c r="AB195" s="126">
        <f t="shared" si="22"/>
        <v>0</v>
      </c>
      <c r="AC195" s="126">
        <f t="shared" si="26"/>
        <v>0</v>
      </c>
      <c r="AD195" s="127">
        <f t="shared" si="23"/>
        <v>0</v>
      </c>
      <c r="AE195" s="123"/>
    </row>
    <row r="196" spans="1:31" s="112" customFormat="1" x14ac:dyDescent="0.2">
      <c r="A196" s="110" t="s">
        <v>89</v>
      </c>
      <c r="B196" s="114" t="str">
        <f>VLOOKUP(A196,Sheet1!A:B,2,0)</f>
        <v>HP</v>
      </c>
      <c r="C196" s="114" t="s">
        <v>101</v>
      </c>
      <c r="D196" s="110">
        <v>22150202017</v>
      </c>
      <c r="E196" s="110" t="s">
        <v>42</v>
      </c>
      <c r="F196" s="110" t="s">
        <v>99</v>
      </c>
      <c r="G196" s="162" t="s">
        <v>44</v>
      </c>
      <c r="H196" s="123">
        <v>2024</v>
      </c>
      <c r="I196" s="116">
        <v>4</v>
      </c>
      <c r="J196" s="117">
        <v>45590</v>
      </c>
      <c r="K196" s="118">
        <v>0.4</v>
      </c>
      <c r="L196" s="119">
        <f t="shared" si="29"/>
        <v>0.17249999999999999</v>
      </c>
      <c r="M196" s="119">
        <v>0.41749999999999998</v>
      </c>
      <c r="N196" s="119">
        <v>0.245</v>
      </c>
      <c r="O196" s="119">
        <f t="shared" si="24"/>
        <v>9.8000000000000004E-2</v>
      </c>
      <c r="P196" s="120">
        <v>1</v>
      </c>
      <c r="Q196" s="119">
        <f t="shared" si="25"/>
        <v>0.17249999999999999</v>
      </c>
      <c r="R196" s="121">
        <v>43200</v>
      </c>
      <c r="S196" s="122">
        <f t="shared" si="27"/>
        <v>781637</v>
      </c>
      <c r="T196" s="119">
        <v>98000</v>
      </c>
      <c r="U196" s="119">
        <f t="shared" si="28"/>
        <v>-93501.065000000002</v>
      </c>
      <c r="V196" s="134" t="s">
        <v>102</v>
      </c>
      <c r="W196" s="134"/>
      <c r="X196" s="124">
        <v>1.173</v>
      </c>
      <c r="Y196" s="124" t="s">
        <v>54</v>
      </c>
      <c r="Z196" s="124"/>
      <c r="AA196" s="135">
        <v>0</v>
      </c>
      <c r="AB196" s="126">
        <f t="shared" ref="AB196:AB259" si="30">M196*R196</f>
        <v>18036</v>
      </c>
      <c r="AC196" s="126">
        <f t="shared" si="26"/>
        <v>0</v>
      </c>
      <c r="AD196" s="127">
        <f t="shared" ref="AD196:AD259" si="31">R196*X196/1000</f>
        <v>50.6736</v>
      </c>
      <c r="AE196" s="123"/>
    </row>
    <row r="197" spans="1:31" s="112" customFormat="1" x14ac:dyDescent="0.2">
      <c r="A197" s="110" t="s">
        <v>89</v>
      </c>
      <c r="B197" s="114" t="str">
        <f>VLOOKUP(A197,Sheet1!A:B,2,0)</f>
        <v>HP</v>
      </c>
      <c r="C197" s="130" t="s">
        <v>103</v>
      </c>
      <c r="D197" s="110">
        <v>22150202009</v>
      </c>
      <c r="E197" s="110" t="s">
        <v>42</v>
      </c>
      <c r="F197" s="110" t="s">
        <v>91</v>
      </c>
      <c r="G197" s="162" t="s">
        <v>44</v>
      </c>
      <c r="H197" s="123">
        <v>2024</v>
      </c>
      <c r="I197" s="116">
        <v>4</v>
      </c>
      <c r="J197" s="117">
        <v>45590</v>
      </c>
      <c r="K197" s="118">
        <v>0.5</v>
      </c>
      <c r="L197" s="119">
        <f t="shared" si="29"/>
        <v>0.1285</v>
      </c>
      <c r="M197" s="119">
        <v>0.1565</v>
      </c>
      <c r="N197" s="119">
        <v>2.8000000000000001E-2</v>
      </c>
      <c r="O197" s="119">
        <f t="shared" ref="O197:O260" si="32">N197*K197</f>
        <v>1.4E-2</v>
      </c>
      <c r="P197" s="120">
        <v>1</v>
      </c>
      <c r="Q197" s="119">
        <f t="shared" ref="Q197:Q260" si="33">P197*L197</f>
        <v>0.1285</v>
      </c>
      <c r="R197" s="121">
        <v>70380</v>
      </c>
      <c r="S197" s="122">
        <f t="shared" si="27"/>
        <v>815460</v>
      </c>
      <c r="T197" s="119">
        <f>98000</f>
        <v>98000</v>
      </c>
      <c r="U197" s="119">
        <f t="shared" si="28"/>
        <v>75167.12</v>
      </c>
      <c r="V197" s="136" t="s">
        <v>97</v>
      </c>
      <c r="W197" s="136"/>
      <c r="X197" s="137">
        <v>0.69499999999999995</v>
      </c>
      <c r="Y197" s="138" t="s">
        <v>54</v>
      </c>
      <c r="Z197" s="138"/>
      <c r="AA197" s="135">
        <v>0</v>
      </c>
      <c r="AB197" s="126">
        <f t="shared" si="30"/>
        <v>11014.47</v>
      </c>
      <c r="AC197" s="126">
        <f t="shared" ref="AC197:AC260" si="34">R197*AA197</f>
        <v>0</v>
      </c>
      <c r="AD197" s="127">
        <f t="shared" si="31"/>
        <v>48.914099999999998</v>
      </c>
      <c r="AE197" s="123"/>
    </row>
    <row r="198" spans="1:31" s="112" customFormat="1" x14ac:dyDescent="0.2">
      <c r="A198" s="110" t="s">
        <v>89</v>
      </c>
      <c r="B198" s="114" t="str">
        <f>VLOOKUP(A198,Sheet1!A:B,2,0)</f>
        <v>HP</v>
      </c>
      <c r="C198" s="130" t="s">
        <v>104</v>
      </c>
      <c r="D198" s="110">
        <v>22150202021</v>
      </c>
      <c r="E198" s="110" t="s">
        <v>42</v>
      </c>
      <c r="F198" s="110" t="s">
        <v>91</v>
      </c>
      <c r="G198" s="162" t="s">
        <v>44</v>
      </c>
      <c r="H198" s="123">
        <v>2024</v>
      </c>
      <c r="I198" s="116">
        <v>4</v>
      </c>
      <c r="J198" s="117">
        <v>45590</v>
      </c>
      <c r="K198" s="118">
        <v>0.6</v>
      </c>
      <c r="L198" s="119">
        <f t="shared" si="29"/>
        <v>2.5637000000000003</v>
      </c>
      <c r="M198" s="119">
        <v>2.8972000000000002</v>
      </c>
      <c r="N198" s="119">
        <v>0.33350000000000002</v>
      </c>
      <c r="O198" s="119">
        <f t="shared" si="32"/>
        <v>0.2001</v>
      </c>
      <c r="P198" s="120">
        <v>1</v>
      </c>
      <c r="Q198" s="119">
        <f t="shared" si="33"/>
        <v>2.5637000000000003</v>
      </c>
      <c r="R198" s="121">
        <v>371302</v>
      </c>
      <c r="S198" s="122">
        <f t="shared" si="27"/>
        <v>1482601</v>
      </c>
      <c r="T198" s="119">
        <f>200100</f>
        <v>200100</v>
      </c>
      <c r="U198" s="119">
        <f t="shared" si="28"/>
        <v>-294347.43350000004</v>
      </c>
      <c r="V198" s="134" t="s">
        <v>105</v>
      </c>
      <c r="W198" s="134"/>
      <c r="X198" s="124">
        <v>3.4089999999999998</v>
      </c>
      <c r="Y198" s="139" t="s">
        <v>54</v>
      </c>
      <c r="Z198" s="124" t="s">
        <v>93</v>
      </c>
      <c r="AA198" s="125">
        <v>1.7574000000000001</v>
      </c>
      <c r="AB198" s="126">
        <f t="shared" si="30"/>
        <v>1075736.1544000001</v>
      </c>
      <c r="AC198" s="126">
        <f t="shared" si="34"/>
        <v>652526.1348</v>
      </c>
      <c r="AD198" s="127">
        <f t="shared" si="31"/>
        <v>1265.7685179999999</v>
      </c>
      <c r="AE198" s="123"/>
    </row>
    <row r="199" spans="1:31" s="112" customFormat="1" x14ac:dyDescent="0.2">
      <c r="A199" s="110" t="s">
        <v>89</v>
      </c>
      <c r="B199" s="114" t="str">
        <f>VLOOKUP(A199,Sheet1!A:B,2,0)</f>
        <v>HP</v>
      </c>
      <c r="C199" s="130" t="s">
        <v>106</v>
      </c>
      <c r="D199" s="110">
        <v>22150202018</v>
      </c>
      <c r="E199" s="110" t="s">
        <v>42</v>
      </c>
      <c r="F199" s="110" t="s">
        <v>91</v>
      </c>
      <c r="G199" s="162" t="s">
        <v>44</v>
      </c>
      <c r="H199" s="123">
        <v>2024</v>
      </c>
      <c r="I199" s="116">
        <v>4</v>
      </c>
      <c r="J199" s="117">
        <v>45590</v>
      </c>
      <c r="K199" s="118">
        <v>0.4</v>
      </c>
      <c r="L199" s="119">
        <f t="shared" si="29"/>
        <v>0.1608</v>
      </c>
      <c r="M199" s="119">
        <v>0.1958</v>
      </c>
      <c r="N199" s="119">
        <v>3.5000000000000003E-2</v>
      </c>
      <c r="O199" s="119">
        <f t="shared" si="32"/>
        <v>1.4000000000000002E-2</v>
      </c>
      <c r="P199" s="120">
        <v>1</v>
      </c>
      <c r="Q199" s="119">
        <f t="shared" si="33"/>
        <v>0.1608</v>
      </c>
      <c r="R199" s="121">
        <v>239580</v>
      </c>
      <c r="S199" s="122">
        <f t="shared" si="27"/>
        <v>1133086</v>
      </c>
      <c r="T199" s="119">
        <f>98000</f>
        <v>98000</v>
      </c>
      <c r="U199" s="119">
        <f t="shared" si="28"/>
        <v>58341.99</v>
      </c>
      <c r="V199" s="134" t="s">
        <v>107</v>
      </c>
      <c r="W199" s="134"/>
      <c r="X199" s="124">
        <v>1.117</v>
      </c>
      <c r="Y199" s="124" t="s">
        <v>54</v>
      </c>
      <c r="Z199" s="124"/>
      <c r="AA199" s="125">
        <v>0</v>
      </c>
      <c r="AB199" s="126">
        <f t="shared" si="30"/>
        <v>46909.764000000003</v>
      </c>
      <c r="AC199" s="126">
        <f t="shared" si="34"/>
        <v>0</v>
      </c>
      <c r="AD199" s="127">
        <f t="shared" si="31"/>
        <v>267.61086</v>
      </c>
      <c r="AE199" s="123"/>
    </row>
    <row r="200" spans="1:31" s="112" customFormat="1" x14ac:dyDescent="0.2">
      <c r="A200" s="110" t="s">
        <v>89</v>
      </c>
      <c r="B200" s="114" t="str">
        <f>VLOOKUP(A200,Sheet1!A:B,2,0)</f>
        <v>HP</v>
      </c>
      <c r="C200" s="130" t="s">
        <v>108</v>
      </c>
      <c r="D200" s="110">
        <v>22150202007</v>
      </c>
      <c r="E200" s="110" t="s">
        <v>42</v>
      </c>
      <c r="F200" s="110" t="s">
        <v>109</v>
      </c>
      <c r="G200" s="162" t="s">
        <v>44</v>
      </c>
      <c r="H200" s="123">
        <v>2024</v>
      </c>
      <c r="I200" s="116">
        <v>4</v>
      </c>
      <c r="J200" s="117">
        <v>45590</v>
      </c>
      <c r="K200" s="118">
        <v>0.5</v>
      </c>
      <c r="L200" s="119">
        <f t="shared" si="29"/>
        <v>0.1227571428571429</v>
      </c>
      <c r="M200" s="119">
        <v>0.16</v>
      </c>
      <c r="N200" s="119">
        <v>3.7242857142857098E-2</v>
      </c>
      <c r="O200" s="119">
        <f t="shared" si="32"/>
        <v>1.8621428571428549E-2</v>
      </c>
      <c r="P200" s="120">
        <v>1</v>
      </c>
      <c r="Q200" s="119">
        <f t="shared" si="33"/>
        <v>0.1227571428571429</v>
      </c>
      <c r="R200" s="121">
        <v>300390</v>
      </c>
      <c r="S200" s="122">
        <f t="shared" si="27"/>
        <v>1494424</v>
      </c>
      <c r="T200" s="119">
        <v>130350</v>
      </c>
      <c r="U200" s="119">
        <f t="shared" si="28"/>
        <v>74693.380457142921</v>
      </c>
      <c r="V200" s="134" t="s">
        <v>100</v>
      </c>
      <c r="W200" s="134"/>
      <c r="X200" s="124">
        <v>0.52400000000000002</v>
      </c>
      <c r="Y200" s="124" t="s">
        <v>54</v>
      </c>
      <c r="Z200" s="124"/>
      <c r="AA200" s="135">
        <v>0</v>
      </c>
      <c r="AB200" s="126">
        <f t="shared" si="30"/>
        <v>48062.400000000001</v>
      </c>
      <c r="AC200" s="126">
        <f t="shared" si="34"/>
        <v>0</v>
      </c>
      <c r="AD200" s="127">
        <f t="shared" si="31"/>
        <v>157.40436000000003</v>
      </c>
      <c r="AE200" s="123"/>
    </row>
    <row r="201" spans="1:31" s="112" customFormat="1" x14ac:dyDescent="0.2">
      <c r="A201" s="110" t="s">
        <v>110</v>
      </c>
      <c r="B201" s="114" t="str">
        <f>VLOOKUP(A201,Sheet1!A:B,2,0)</f>
        <v>HP</v>
      </c>
      <c r="C201" s="130" t="s">
        <v>98</v>
      </c>
      <c r="D201" s="110">
        <v>23590202001</v>
      </c>
      <c r="E201" s="110" t="s">
        <v>42</v>
      </c>
      <c r="F201" s="110" t="s">
        <v>111</v>
      </c>
      <c r="G201" s="162" t="s">
        <v>44</v>
      </c>
      <c r="H201" s="123">
        <v>2024</v>
      </c>
      <c r="I201" s="116">
        <v>4</v>
      </c>
      <c r="J201" s="117">
        <v>45590</v>
      </c>
      <c r="K201" s="118">
        <v>0.5</v>
      </c>
      <c r="L201" s="119">
        <f t="shared" si="29"/>
        <v>0.125588670602168</v>
      </c>
      <c r="M201" s="119">
        <v>0.15358867060216799</v>
      </c>
      <c r="N201" s="119">
        <v>2.8000000000000001E-2</v>
      </c>
      <c r="O201" s="119">
        <f t="shared" si="32"/>
        <v>1.4E-2</v>
      </c>
      <c r="P201" s="120">
        <v>1</v>
      </c>
      <c r="Q201" s="119">
        <f t="shared" si="33"/>
        <v>0.125588670602168</v>
      </c>
      <c r="R201" s="121">
        <v>169430</v>
      </c>
      <c r="S201" s="122">
        <f t="shared" si="27"/>
        <v>488430</v>
      </c>
      <c r="T201" s="119">
        <v>98000</v>
      </c>
      <c r="U201" s="119">
        <f t="shared" si="28"/>
        <v>84323.959999999992</v>
      </c>
      <c r="V201" s="134" t="s">
        <v>112</v>
      </c>
      <c r="W201" s="134"/>
      <c r="X201" s="124">
        <v>0.69499999999999995</v>
      </c>
      <c r="Y201" s="124" t="s">
        <v>54</v>
      </c>
      <c r="Z201" s="124"/>
      <c r="AA201" s="135">
        <v>0</v>
      </c>
      <c r="AB201" s="126">
        <f t="shared" si="30"/>
        <v>26022.528460125322</v>
      </c>
      <c r="AC201" s="126">
        <f t="shared" si="34"/>
        <v>0</v>
      </c>
      <c r="AD201" s="127">
        <f t="shared" si="31"/>
        <v>117.75384999999999</v>
      </c>
      <c r="AE201" s="123"/>
    </row>
    <row r="202" spans="1:31" s="112" customFormat="1" ht="25.5" x14ac:dyDescent="0.2">
      <c r="A202" s="110" t="s">
        <v>110</v>
      </c>
      <c r="B202" s="114" t="str">
        <f>VLOOKUP(A202,Sheet1!A:B,2,0)</f>
        <v>HP</v>
      </c>
      <c r="C202" s="114" t="s">
        <v>101</v>
      </c>
      <c r="D202" s="110">
        <v>23480202015</v>
      </c>
      <c r="E202" s="110" t="s">
        <v>42</v>
      </c>
      <c r="F202" s="110" t="s">
        <v>113</v>
      </c>
      <c r="G202" s="162" t="s">
        <v>44</v>
      </c>
      <c r="H202" s="123">
        <v>2024</v>
      </c>
      <c r="I202" s="116">
        <v>4</v>
      </c>
      <c r="J202" s="117">
        <v>45590</v>
      </c>
      <c r="K202" s="118">
        <v>0.4</v>
      </c>
      <c r="L202" s="119">
        <f t="shared" si="29"/>
        <v>0.27566008648311169</v>
      </c>
      <c r="M202" s="119">
        <v>0.353993419816445</v>
      </c>
      <c r="N202" s="119">
        <v>7.8333333333333297E-2</v>
      </c>
      <c r="O202" s="119">
        <f t="shared" si="32"/>
        <v>3.1333333333333317E-2</v>
      </c>
      <c r="P202" s="120">
        <v>1</v>
      </c>
      <c r="Q202" s="119">
        <f t="shared" si="33"/>
        <v>0.27566008648311169</v>
      </c>
      <c r="R202" s="121">
        <v>171720</v>
      </c>
      <c r="S202" s="122">
        <f t="shared" si="27"/>
        <v>361756</v>
      </c>
      <c r="T202" s="119">
        <v>188000</v>
      </c>
      <c r="U202" s="119">
        <f t="shared" si="28"/>
        <v>159662.44666666668</v>
      </c>
      <c r="V202" s="134" t="s">
        <v>114</v>
      </c>
      <c r="W202" s="134"/>
      <c r="X202" s="124">
        <v>1.722</v>
      </c>
      <c r="Y202" s="124" t="s">
        <v>54</v>
      </c>
      <c r="Z202" s="124"/>
      <c r="AA202" s="135">
        <v>0</v>
      </c>
      <c r="AB202" s="126">
        <f t="shared" si="30"/>
        <v>60787.750050879935</v>
      </c>
      <c r="AC202" s="126">
        <f t="shared" si="34"/>
        <v>0</v>
      </c>
      <c r="AD202" s="127">
        <f t="shared" si="31"/>
        <v>295.70183999999995</v>
      </c>
      <c r="AE202" s="123"/>
    </row>
    <row r="203" spans="1:31" s="112" customFormat="1" x14ac:dyDescent="0.2">
      <c r="A203" s="110" t="s">
        <v>110</v>
      </c>
      <c r="B203" s="114" t="str">
        <f>VLOOKUP(A203,Sheet1!A:B,2,0)</f>
        <v>HP</v>
      </c>
      <c r="C203" s="130" t="s">
        <v>115</v>
      </c>
      <c r="D203" s="110">
        <v>23480202012</v>
      </c>
      <c r="E203" s="110" t="s">
        <v>42</v>
      </c>
      <c r="F203" s="114" t="s">
        <v>116</v>
      </c>
      <c r="G203" s="162" t="s">
        <v>44</v>
      </c>
      <c r="H203" s="123">
        <v>2024</v>
      </c>
      <c r="I203" s="116">
        <v>4</v>
      </c>
      <c r="J203" s="117">
        <v>45590</v>
      </c>
      <c r="K203" s="118">
        <v>0.4</v>
      </c>
      <c r="L203" s="119">
        <f t="shared" si="29"/>
        <v>0.80865388388102988</v>
      </c>
      <c r="M203" s="119">
        <v>1.0756538838810299</v>
      </c>
      <c r="N203" s="119">
        <v>0.26700000000000002</v>
      </c>
      <c r="O203" s="119">
        <f t="shared" si="32"/>
        <v>0.10680000000000001</v>
      </c>
      <c r="P203" s="120">
        <v>1</v>
      </c>
      <c r="Q203" s="119">
        <f t="shared" si="33"/>
        <v>0.80865388388102988</v>
      </c>
      <c r="R203" s="121"/>
      <c r="S203" s="122">
        <f t="shared" si="27"/>
        <v>76120</v>
      </c>
      <c r="T203" s="119">
        <v>640000</v>
      </c>
      <c r="U203" s="119">
        <f t="shared" si="28"/>
        <v>619675.96</v>
      </c>
      <c r="V203" s="134" t="s">
        <v>117</v>
      </c>
      <c r="W203" s="134"/>
      <c r="X203" s="124">
        <v>5.7469999999999999</v>
      </c>
      <c r="Y203" s="124" t="s">
        <v>54</v>
      </c>
      <c r="Z203" s="124"/>
      <c r="AA203" s="135">
        <v>0</v>
      </c>
      <c r="AB203" s="126">
        <f t="shared" si="30"/>
        <v>0</v>
      </c>
      <c r="AC203" s="126">
        <f t="shared" si="34"/>
        <v>0</v>
      </c>
      <c r="AD203" s="127">
        <f t="shared" si="31"/>
        <v>0</v>
      </c>
      <c r="AE203" s="123"/>
    </row>
    <row r="204" spans="1:31" s="112" customFormat="1" ht="25.5" x14ac:dyDescent="0.2">
      <c r="A204" s="110" t="s">
        <v>110</v>
      </c>
      <c r="B204" s="114" t="str">
        <f>VLOOKUP(A204,Sheet1!A:B,2,0)</f>
        <v>HP</v>
      </c>
      <c r="C204" s="130" t="s">
        <v>118</v>
      </c>
      <c r="D204" s="110">
        <v>23480202005</v>
      </c>
      <c r="E204" s="110" t="s">
        <v>42</v>
      </c>
      <c r="F204" s="114" t="s">
        <v>119</v>
      </c>
      <c r="G204" s="162" t="s">
        <v>44</v>
      </c>
      <c r="H204" s="123">
        <v>2024</v>
      </c>
      <c r="I204" s="116">
        <v>4</v>
      </c>
      <c r="J204" s="117">
        <v>45590</v>
      </c>
      <c r="K204" s="118">
        <v>0.6</v>
      </c>
      <c r="L204" s="119">
        <f t="shared" si="29"/>
        <v>0.61243323981863296</v>
      </c>
      <c r="M204" s="119">
        <v>0.790433239818633</v>
      </c>
      <c r="N204" s="119">
        <v>0.17799999999999999</v>
      </c>
      <c r="O204" s="119">
        <f t="shared" si="32"/>
        <v>0.10679999999999999</v>
      </c>
      <c r="P204" s="120">
        <v>1</v>
      </c>
      <c r="Q204" s="119">
        <f t="shared" si="33"/>
        <v>0.61243323981863296</v>
      </c>
      <c r="R204" s="121"/>
      <c r="S204" s="122">
        <f t="shared" si="27"/>
        <v>135829</v>
      </c>
      <c r="T204" s="119">
        <f>640000+35296</f>
        <v>675296</v>
      </c>
      <c r="U204" s="119">
        <f t="shared" si="28"/>
        <v>651118.43799999997</v>
      </c>
      <c r="V204" s="134" t="s">
        <v>120</v>
      </c>
      <c r="W204" s="134"/>
      <c r="X204" s="124">
        <v>3.2709999999999999</v>
      </c>
      <c r="Y204" s="124" t="s">
        <v>54</v>
      </c>
      <c r="Z204" s="124"/>
      <c r="AA204" s="135">
        <v>0</v>
      </c>
      <c r="AB204" s="126">
        <f t="shared" si="30"/>
        <v>0</v>
      </c>
      <c r="AC204" s="126">
        <f t="shared" si="34"/>
        <v>0</v>
      </c>
      <c r="AD204" s="127">
        <f t="shared" si="31"/>
        <v>0</v>
      </c>
      <c r="AE204" s="123"/>
    </row>
    <row r="205" spans="1:31" s="112" customFormat="1" x14ac:dyDescent="0.2">
      <c r="A205" s="110" t="s">
        <v>110</v>
      </c>
      <c r="B205" s="114" t="str">
        <f>VLOOKUP(A205,Sheet1!A:B,2,0)</f>
        <v>HP</v>
      </c>
      <c r="C205" s="130" t="s">
        <v>121</v>
      </c>
      <c r="D205" s="110">
        <v>23480202011</v>
      </c>
      <c r="E205" s="110" t="s">
        <v>42</v>
      </c>
      <c r="F205" s="114" t="s">
        <v>116</v>
      </c>
      <c r="G205" s="162" t="s">
        <v>44</v>
      </c>
      <c r="H205" s="123">
        <v>2024</v>
      </c>
      <c r="I205" s="116">
        <v>4</v>
      </c>
      <c r="J205" s="117">
        <v>45590</v>
      </c>
      <c r="K205" s="118">
        <v>0.5</v>
      </c>
      <c r="L205" s="119">
        <f t="shared" si="29"/>
        <v>0.29378086188436198</v>
      </c>
      <c r="M205" s="119">
        <v>0.41711419521769499</v>
      </c>
      <c r="N205" s="119">
        <v>0.123333333333333</v>
      </c>
      <c r="O205" s="119">
        <f t="shared" si="32"/>
        <v>6.1666666666666502E-2</v>
      </c>
      <c r="P205" s="120">
        <v>1</v>
      </c>
      <c r="Q205" s="119">
        <f t="shared" si="33"/>
        <v>0.29378086188436198</v>
      </c>
      <c r="R205" s="121"/>
      <c r="S205" s="122">
        <f t="shared" si="27"/>
        <v>124445</v>
      </c>
      <c r="T205" s="119">
        <v>370000</v>
      </c>
      <c r="U205" s="119">
        <f t="shared" si="28"/>
        <v>354651.78333333338</v>
      </c>
      <c r="V205" s="134" t="s">
        <v>107</v>
      </c>
      <c r="W205" s="134"/>
      <c r="X205" s="124">
        <v>1.7749999999999999</v>
      </c>
      <c r="Y205" s="124" t="s">
        <v>54</v>
      </c>
      <c r="Z205" s="124"/>
      <c r="AA205" s="135">
        <v>0</v>
      </c>
      <c r="AB205" s="126">
        <f t="shared" si="30"/>
        <v>0</v>
      </c>
      <c r="AC205" s="126">
        <f t="shared" si="34"/>
        <v>0</v>
      </c>
      <c r="AD205" s="127">
        <f t="shared" si="31"/>
        <v>0</v>
      </c>
      <c r="AE205" s="123"/>
    </row>
    <row r="206" spans="1:31" s="112" customFormat="1" ht="25.5" x14ac:dyDescent="0.2">
      <c r="A206" s="110" t="s">
        <v>110</v>
      </c>
      <c r="B206" s="114" t="str">
        <f>VLOOKUP(A206,Sheet1!A:B,2,0)</f>
        <v>HP</v>
      </c>
      <c r="C206" s="130" t="s">
        <v>66</v>
      </c>
      <c r="D206" s="110">
        <v>23480202017</v>
      </c>
      <c r="E206" s="110" t="s">
        <v>42</v>
      </c>
      <c r="F206" s="114" t="s">
        <v>116</v>
      </c>
      <c r="G206" s="162" t="s">
        <v>44</v>
      </c>
      <c r="H206" s="123">
        <v>2024</v>
      </c>
      <c r="I206" s="116">
        <v>4</v>
      </c>
      <c r="J206" s="117">
        <v>45590</v>
      </c>
      <c r="K206" s="118">
        <v>0.5</v>
      </c>
      <c r="L206" s="119">
        <f t="shared" si="29"/>
        <v>1.0628666666666668</v>
      </c>
      <c r="M206" s="119">
        <v>1.1322000000000001</v>
      </c>
      <c r="N206" s="119">
        <v>6.9333333333333302E-2</v>
      </c>
      <c r="O206" s="119">
        <f t="shared" si="32"/>
        <v>3.4666666666666651E-2</v>
      </c>
      <c r="P206" s="120">
        <v>1</v>
      </c>
      <c r="Q206" s="119">
        <f t="shared" si="33"/>
        <v>1.0628666666666668</v>
      </c>
      <c r="R206" s="121">
        <v>50670</v>
      </c>
      <c r="S206" s="122">
        <f t="shared" si="27"/>
        <v>71270</v>
      </c>
      <c r="T206" s="119">
        <f>208000+207000+35513+26171+7330</f>
        <v>484014</v>
      </c>
      <c r="U206" s="119">
        <f t="shared" si="28"/>
        <v>479072.61333333334</v>
      </c>
      <c r="V206" s="134" t="s">
        <v>122</v>
      </c>
      <c r="W206" s="134"/>
      <c r="X206" s="124">
        <v>2.3839999999999999</v>
      </c>
      <c r="Y206" s="124" t="s">
        <v>54</v>
      </c>
      <c r="Z206" s="124" t="s">
        <v>93</v>
      </c>
      <c r="AA206" s="125">
        <v>0.7964</v>
      </c>
      <c r="AB206" s="126">
        <f t="shared" si="30"/>
        <v>57368.574000000008</v>
      </c>
      <c r="AC206" s="126">
        <f t="shared" si="34"/>
        <v>40353.588000000003</v>
      </c>
      <c r="AD206" s="127">
        <f t="shared" si="31"/>
        <v>120.79728</v>
      </c>
      <c r="AE206" s="123"/>
    </row>
    <row r="207" spans="1:31" s="112" customFormat="1" ht="51" x14ac:dyDescent="0.2">
      <c r="A207" s="110" t="s">
        <v>110</v>
      </c>
      <c r="B207" s="114" t="str">
        <f>VLOOKUP(A207,Sheet1!A:B,2,0)</f>
        <v>HP</v>
      </c>
      <c r="C207" s="130" t="s">
        <v>81</v>
      </c>
      <c r="D207" s="110">
        <v>23480202018</v>
      </c>
      <c r="E207" s="110" t="s">
        <v>42</v>
      </c>
      <c r="F207" s="114" t="s">
        <v>116</v>
      </c>
      <c r="G207" s="162" t="s">
        <v>44</v>
      </c>
      <c r="H207" s="123">
        <v>2024</v>
      </c>
      <c r="I207" s="116">
        <v>4</v>
      </c>
      <c r="J207" s="117">
        <v>45590</v>
      </c>
      <c r="K207" s="118">
        <v>0.4</v>
      </c>
      <c r="L207" s="119">
        <f t="shared" si="29"/>
        <v>0.41382922267354705</v>
      </c>
      <c r="M207" s="119">
        <v>0.54316255600688002</v>
      </c>
      <c r="N207" s="119">
        <v>0.12933333333333299</v>
      </c>
      <c r="O207" s="119">
        <f t="shared" si="32"/>
        <v>5.1733333333333201E-2</v>
      </c>
      <c r="P207" s="120">
        <v>1</v>
      </c>
      <c r="Q207" s="119">
        <f t="shared" si="33"/>
        <v>0.41382922267354705</v>
      </c>
      <c r="R207" s="121"/>
      <c r="S207" s="122">
        <f t="shared" si="27"/>
        <v>7830</v>
      </c>
      <c r="T207" s="119">
        <f>388000+53870+10859</f>
        <v>452729</v>
      </c>
      <c r="U207" s="119">
        <f t="shared" si="28"/>
        <v>451716.32</v>
      </c>
      <c r="V207" s="134" t="s">
        <v>123</v>
      </c>
      <c r="W207" s="123"/>
      <c r="X207" s="124">
        <v>3.673</v>
      </c>
      <c r="Y207" s="124" t="s">
        <v>54</v>
      </c>
      <c r="Z207" s="124"/>
      <c r="AA207" s="135">
        <v>0</v>
      </c>
      <c r="AB207" s="126">
        <f t="shared" si="30"/>
        <v>0</v>
      </c>
      <c r="AC207" s="126">
        <f t="shared" si="34"/>
        <v>0</v>
      </c>
      <c r="AD207" s="127">
        <f t="shared" si="31"/>
        <v>0</v>
      </c>
      <c r="AE207" s="123"/>
    </row>
    <row r="208" spans="1:31" s="112" customFormat="1" x14ac:dyDescent="0.2">
      <c r="A208" s="110" t="s">
        <v>89</v>
      </c>
      <c r="B208" s="114" t="str">
        <f>VLOOKUP(A208,Sheet1!A:B,2,0)</f>
        <v>HP</v>
      </c>
      <c r="C208" s="114" t="s">
        <v>90</v>
      </c>
      <c r="D208" s="110">
        <v>22150202014</v>
      </c>
      <c r="E208" s="110" t="s">
        <v>42</v>
      </c>
      <c r="F208" s="110" t="s">
        <v>91</v>
      </c>
      <c r="G208" s="162" t="s">
        <v>44</v>
      </c>
      <c r="H208" s="123">
        <v>2024</v>
      </c>
      <c r="I208" s="116">
        <v>5</v>
      </c>
      <c r="J208" s="117">
        <v>45590</v>
      </c>
      <c r="K208" s="118">
        <v>0.4</v>
      </c>
      <c r="L208" s="119">
        <f t="shared" ref="L208:L223" si="35">M208-N208</f>
        <v>2.3161999999999998</v>
      </c>
      <c r="M208" s="119">
        <v>2.3536999999999999</v>
      </c>
      <c r="N208" s="119">
        <v>3.7499999999999999E-2</v>
      </c>
      <c r="O208" s="119">
        <f t="shared" si="32"/>
        <v>1.4999999999999999E-2</v>
      </c>
      <c r="P208" s="120">
        <v>1</v>
      </c>
      <c r="Q208" s="119">
        <f t="shared" si="33"/>
        <v>2.3161999999999998</v>
      </c>
      <c r="R208" s="121">
        <v>329582</v>
      </c>
      <c r="S208" s="122">
        <f t="shared" ref="S208:S271" si="36">R208+S192</f>
        <v>1389413</v>
      </c>
      <c r="T208" s="119">
        <v>105000</v>
      </c>
      <c r="U208" s="119">
        <f t="shared" si="28"/>
        <v>52897.012500000004</v>
      </c>
      <c r="V208" s="134" t="s">
        <v>92</v>
      </c>
      <c r="W208" s="134"/>
      <c r="X208" s="124">
        <v>1.5549999999999999</v>
      </c>
      <c r="Y208" s="124" t="s">
        <v>54</v>
      </c>
      <c r="Z208" s="124" t="s">
        <v>93</v>
      </c>
      <c r="AA208" s="125">
        <v>1.9422999999999999</v>
      </c>
      <c r="AB208" s="126">
        <f t="shared" si="30"/>
        <v>775737.15339999995</v>
      </c>
      <c r="AC208" s="126">
        <f t="shared" si="34"/>
        <v>640147.11859999993</v>
      </c>
      <c r="AD208" s="127">
        <f t="shared" si="31"/>
        <v>512.50000999999997</v>
      </c>
      <c r="AE208" s="123"/>
    </row>
    <row r="209" spans="1:31" s="112" customFormat="1" ht="25.5" x14ac:dyDescent="0.2">
      <c r="A209" s="110" t="s">
        <v>89</v>
      </c>
      <c r="B209" s="114" t="str">
        <f>VLOOKUP(A209,Sheet1!A:B,2,0)</f>
        <v>HP</v>
      </c>
      <c r="C209" s="130" t="s">
        <v>94</v>
      </c>
      <c r="D209" s="110">
        <v>22150202015</v>
      </c>
      <c r="E209" s="110" t="s">
        <v>42</v>
      </c>
      <c r="F209" s="110" t="s">
        <v>91</v>
      </c>
      <c r="G209" s="162" t="s">
        <v>44</v>
      </c>
      <c r="H209" s="123">
        <v>2024</v>
      </c>
      <c r="I209" s="116">
        <v>5</v>
      </c>
      <c r="J209" s="117">
        <v>45590</v>
      </c>
      <c r="K209" s="118">
        <v>0.6</v>
      </c>
      <c r="L209" s="119">
        <f t="shared" si="35"/>
        <v>1.5443588135792305</v>
      </c>
      <c r="M209" s="119">
        <v>1.6338826231030401</v>
      </c>
      <c r="N209" s="119">
        <v>8.9523809523809506E-2</v>
      </c>
      <c r="O209" s="119">
        <f t="shared" si="32"/>
        <v>5.3714285714285701E-2</v>
      </c>
      <c r="P209" s="120">
        <v>1</v>
      </c>
      <c r="Q209" s="119">
        <f t="shared" si="33"/>
        <v>1.5443588135792305</v>
      </c>
      <c r="R209" s="121">
        <v>148764</v>
      </c>
      <c r="S209" s="122">
        <f t="shared" si="36"/>
        <v>833085</v>
      </c>
      <c r="T209" s="119">
        <v>376000</v>
      </c>
      <c r="U209" s="119">
        <f t="shared" si="28"/>
        <v>301419.05714285717</v>
      </c>
      <c r="V209" s="134" t="s">
        <v>95</v>
      </c>
      <c r="W209" s="134"/>
      <c r="X209" s="124">
        <v>1.7450000000000001</v>
      </c>
      <c r="Y209" s="124" t="s">
        <v>54</v>
      </c>
      <c r="Z209" s="124" t="s">
        <v>93</v>
      </c>
      <c r="AA209" s="125">
        <v>1.1437999999999999</v>
      </c>
      <c r="AB209" s="126">
        <f t="shared" si="30"/>
        <v>243062.91454330066</v>
      </c>
      <c r="AC209" s="126">
        <f t="shared" si="34"/>
        <v>170156.26319999999</v>
      </c>
      <c r="AD209" s="127">
        <f t="shared" si="31"/>
        <v>259.59318000000002</v>
      </c>
      <c r="AE209" s="123"/>
    </row>
    <row r="210" spans="1:31" s="112" customFormat="1" x14ac:dyDescent="0.2">
      <c r="A210" s="110" t="s">
        <v>89</v>
      </c>
      <c r="B210" s="114" t="str">
        <f>VLOOKUP(A210,Sheet1!A:B,2,0)</f>
        <v>HP</v>
      </c>
      <c r="C210" s="130" t="s">
        <v>66</v>
      </c>
      <c r="D210" s="110">
        <v>22150202010</v>
      </c>
      <c r="E210" s="110" t="s">
        <v>42</v>
      </c>
      <c r="F210" s="110" t="s">
        <v>96</v>
      </c>
      <c r="G210" s="162" t="s">
        <v>44</v>
      </c>
      <c r="H210" s="123">
        <v>2024</v>
      </c>
      <c r="I210" s="116">
        <v>5</v>
      </c>
      <c r="J210" s="117">
        <v>45590</v>
      </c>
      <c r="K210" s="118">
        <v>0.4</v>
      </c>
      <c r="L210" s="119">
        <f t="shared" si="35"/>
        <v>0.91622499999999985</v>
      </c>
      <c r="M210" s="119">
        <v>1.1620999999999999</v>
      </c>
      <c r="N210" s="119">
        <v>0.24587500000000001</v>
      </c>
      <c r="O210" s="119">
        <f t="shared" si="32"/>
        <v>9.8350000000000007E-2</v>
      </c>
      <c r="P210" s="120">
        <v>1</v>
      </c>
      <c r="Q210" s="119">
        <f t="shared" si="33"/>
        <v>0.91622499999999985</v>
      </c>
      <c r="R210" s="121">
        <v>329858</v>
      </c>
      <c r="S210" s="122">
        <f t="shared" si="36"/>
        <v>1264866</v>
      </c>
      <c r="T210" s="119">
        <f>98350</f>
        <v>98350</v>
      </c>
      <c r="U210" s="119">
        <f t="shared" si="28"/>
        <v>-212648.92775000003</v>
      </c>
      <c r="V210" s="134" t="s">
        <v>97</v>
      </c>
      <c r="W210" s="134"/>
      <c r="X210" s="124">
        <v>0.57899999999999996</v>
      </c>
      <c r="Y210" s="124" t="s">
        <v>54</v>
      </c>
      <c r="Z210" s="124" t="s">
        <v>93</v>
      </c>
      <c r="AA210" s="125">
        <v>0.75590000000000002</v>
      </c>
      <c r="AB210" s="126">
        <f t="shared" si="30"/>
        <v>383327.98179999995</v>
      </c>
      <c r="AC210" s="126">
        <f t="shared" si="34"/>
        <v>249339.66219999999</v>
      </c>
      <c r="AD210" s="127">
        <f t="shared" si="31"/>
        <v>190.98778199999998</v>
      </c>
      <c r="AE210" s="123"/>
    </row>
    <row r="211" spans="1:31" s="112" customFormat="1" x14ac:dyDescent="0.2">
      <c r="A211" s="110" t="s">
        <v>89</v>
      </c>
      <c r="B211" s="114" t="str">
        <f>VLOOKUP(A211,Sheet1!A:B,2,0)</f>
        <v>HP</v>
      </c>
      <c r="C211" s="130" t="s">
        <v>98</v>
      </c>
      <c r="D211" s="110">
        <v>22150202008</v>
      </c>
      <c r="E211" s="110" t="s">
        <v>42</v>
      </c>
      <c r="F211" s="110" t="s">
        <v>99</v>
      </c>
      <c r="G211" s="162" t="s">
        <v>44</v>
      </c>
      <c r="H211" s="123">
        <v>2024</v>
      </c>
      <c r="I211" s="116">
        <v>5</v>
      </c>
      <c r="J211" s="117">
        <v>45590</v>
      </c>
      <c r="K211" s="118">
        <v>0.5</v>
      </c>
      <c r="L211" s="119">
        <f t="shared" si="35"/>
        <v>0.1278</v>
      </c>
      <c r="M211" s="119">
        <v>0.15579999999999999</v>
      </c>
      <c r="N211" s="119">
        <v>2.8000000000000001E-2</v>
      </c>
      <c r="O211" s="119">
        <f t="shared" si="32"/>
        <v>1.4E-2</v>
      </c>
      <c r="P211" s="120">
        <v>1</v>
      </c>
      <c r="Q211" s="119">
        <f t="shared" si="33"/>
        <v>0.1278</v>
      </c>
      <c r="R211" s="121">
        <v>98000</v>
      </c>
      <c r="S211" s="122">
        <f t="shared" si="36"/>
        <v>1094157</v>
      </c>
      <c r="T211" s="119">
        <f>98000+12600</f>
        <v>110600</v>
      </c>
      <c r="U211" s="119">
        <f t="shared" si="28"/>
        <v>79963.603999999992</v>
      </c>
      <c r="V211" s="134" t="s">
        <v>100</v>
      </c>
      <c r="W211" s="134"/>
      <c r="X211" s="124">
        <v>0.76300000000000001</v>
      </c>
      <c r="Y211" s="124" t="s">
        <v>54</v>
      </c>
      <c r="Z211" s="124"/>
      <c r="AA211" s="135">
        <v>0</v>
      </c>
      <c r="AB211" s="126">
        <f t="shared" si="30"/>
        <v>15268.4</v>
      </c>
      <c r="AC211" s="126">
        <f t="shared" si="34"/>
        <v>0</v>
      </c>
      <c r="AD211" s="127">
        <f t="shared" si="31"/>
        <v>74.774000000000001</v>
      </c>
      <c r="AE211" s="123"/>
    </row>
    <row r="212" spans="1:31" s="112" customFormat="1" x14ac:dyDescent="0.2">
      <c r="A212" s="110" t="s">
        <v>89</v>
      </c>
      <c r="B212" s="114" t="str">
        <f>VLOOKUP(A212,Sheet1!A:B,2,0)</f>
        <v>HP</v>
      </c>
      <c r="C212" s="114" t="s">
        <v>101</v>
      </c>
      <c r="D212" s="110">
        <v>22150202017</v>
      </c>
      <c r="E212" s="110" t="s">
        <v>42</v>
      </c>
      <c r="F212" s="110" t="s">
        <v>99</v>
      </c>
      <c r="G212" s="162" t="s">
        <v>44</v>
      </c>
      <c r="H212" s="123">
        <v>2024</v>
      </c>
      <c r="I212" s="116">
        <v>5</v>
      </c>
      <c r="J212" s="117">
        <v>45590</v>
      </c>
      <c r="K212" s="118">
        <v>0.4</v>
      </c>
      <c r="L212" s="119">
        <f t="shared" si="35"/>
        <v>0.17249999999999999</v>
      </c>
      <c r="M212" s="119">
        <v>0.41749999999999998</v>
      </c>
      <c r="N212" s="119">
        <v>0.245</v>
      </c>
      <c r="O212" s="119">
        <f t="shared" si="32"/>
        <v>9.8000000000000004E-2</v>
      </c>
      <c r="P212" s="120">
        <v>1</v>
      </c>
      <c r="Q212" s="119">
        <f t="shared" si="33"/>
        <v>0.17249999999999999</v>
      </c>
      <c r="R212" s="121">
        <v>84600</v>
      </c>
      <c r="S212" s="122">
        <f t="shared" si="36"/>
        <v>866237</v>
      </c>
      <c r="T212" s="119">
        <v>98000</v>
      </c>
      <c r="U212" s="119">
        <f t="shared" si="28"/>
        <v>-114228.065</v>
      </c>
      <c r="V212" s="134" t="s">
        <v>102</v>
      </c>
      <c r="W212" s="134"/>
      <c r="X212" s="124">
        <v>1.173</v>
      </c>
      <c r="Y212" s="124" t="s">
        <v>54</v>
      </c>
      <c r="Z212" s="124"/>
      <c r="AA212" s="135">
        <v>0</v>
      </c>
      <c r="AB212" s="126">
        <f t="shared" si="30"/>
        <v>35320.5</v>
      </c>
      <c r="AC212" s="126">
        <f t="shared" si="34"/>
        <v>0</v>
      </c>
      <c r="AD212" s="127">
        <f t="shared" si="31"/>
        <v>99.235799999999998</v>
      </c>
      <c r="AE212" s="123"/>
    </row>
    <row r="213" spans="1:31" s="112" customFormat="1" x14ac:dyDescent="0.2">
      <c r="A213" s="110" t="s">
        <v>89</v>
      </c>
      <c r="B213" s="114" t="str">
        <f>VLOOKUP(A213,Sheet1!A:B,2,0)</f>
        <v>HP</v>
      </c>
      <c r="C213" s="130" t="s">
        <v>103</v>
      </c>
      <c r="D213" s="110">
        <v>22150202009</v>
      </c>
      <c r="E213" s="110" t="s">
        <v>42</v>
      </c>
      <c r="F213" s="110" t="s">
        <v>91</v>
      </c>
      <c r="G213" s="162" t="s">
        <v>44</v>
      </c>
      <c r="H213" s="123">
        <v>2024</v>
      </c>
      <c r="I213" s="116">
        <v>5</v>
      </c>
      <c r="J213" s="117">
        <v>45590</v>
      </c>
      <c r="K213" s="118">
        <v>0.5</v>
      </c>
      <c r="L213" s="119">
        <f t="shared" si="35"/>
        <v>0.1285</v>
      </c>
      <c r="M213" s="119">
        <v>0.1565</v>
      </c>
      <c r="N213" s="119">
        <v>2.8000000000000001E-2</v>
      </c>
      <c r="O213" s="119">
        <f t="shared" si="32"/>
        <v>1.4E-2</v>
      </c>
      <c r="P213" s="120">
        <v>1</v>
      </c>
      <c r="Q213" s="119">
        <f t="shared" si="33"/>
        <v>0.1285</v>
      </c>
      <c r="R213" s="121">
        <v>341480</v>
      </c>
      <c r="S213" s="122">
        <f t="shared" si="36"/>
        <v>1156940</v>
      </c>
      <c r="T213" s="119">
        <f>98000</f>
        <v>98000</v>
      </c>
      <c r="U213" s="119">
        <f t="shared" si="28"/>
        <v>65605.679999999993</v>
      </c>
      <c r="V213" s="136" t="s">
        <v>97</v>
      </c>
      <c r="W213" s="136"/>
      <c r="X213" s="137">
        <v>0.69499999999999995</v>
      </c>
      <c r="Y213" s="138" t="s">
        <v>54</v>
      </c>
      <c r="Z213" s="138"/>
      <c r="AA213" s="135">
        <v>0</v>
      </c>
      <c r="AB213" s="126">
        <f t="shared" si="30"/>
        <v>53441.62</v>
      </c>
      <c r="AC213" s="126">
        <f t="shared" si="34"/>
        <v>0</v>
      </c>
      <c r="AD213" s="127">
        <f t="shared" si="31"/>
        <v>237.32859999999997</v>
      </c>
      <c r="AE213" s="123"/>
    </row>
    <row r="214" spans="1:31" s="112" customFormat="1" x14ac:dyDescent="0.2">
      <c r="A214" s="110" t="s">
        <v>89</v>
      </c>
      <c r="B214" s="114" t="str">
        <f>VLOOKUP(A214,Sheet1!A:B,2,0)</f>
        <v>HP</v>
      </c>
      <c r="C214" s="130" t="s">
        <v>104</v>
      </c>
      <c r="D214" s="110">
        <v>22150202021</v>
      </c>
      <c r="E214" s="110" t="s">
        <v>42</v>
      </c>
      <c r="F214" s="110" t="s">
        <v>91</v>
      </c>
      <c r="G214" s="162" t="s">
        <v>44</v>
      </c>
      <c r="H214" s="123">
        <v>2024</v>
      </c>
      <c r="I214" s="116">
        <v>5</v>
      </c>
      <c r="J214" s="117">
        <v>45590</v>
      </c>
      <c r="K214" s="118">
        <v>0.6</v>
      </c>
      <c r="L214" s="119">
        <f t="shared" si="35"/>
        <v>2.5637000000000003</v>
      </c>
      <c r="M214" s="119">
        <v>2.8972000000000002</v>
      </c>
      <c r="N214" s="119">
        <v>0.33350000000000002</v>
      </c>
      <c r="O214" s="119">
        <f t="shared" si="32"/>
        <v>0.2001</v>
      </c>
      <c r="P214" s="120">
        <v>1</v>
      </c>
      <c r="Q214" s="119">
        <f t="shared" si="33"/>
        <v>2.5637000000000003</v>
      </c>
      <c r="R214" s="121">
        <v>161203</v>
      </c>
      <c r="S214" s="122">
        <f t="shared" si="36"/>
        <v>1643804</v>
      </c>
      <c r="T214" s="119">
        <f>200100</f>
        <v>200100</v>
      </c>
      <c r="U214" s="119">
        <f t="shared" si="28"/>
        <v>-348108.63400000008</v>
      </c>
      <c r="V214" s="134" t="s">
        <v>105</v>
      </c>
      <c r="W214" s="134"/>
      <c r="X214" s="124">
        <v>3.4089999999999998</v>
      </c>
      <c r="Y214" s="139" t="s">
        <v>54</v>
      </c>
      <c r="Z214" s="124" t="s">
        <v>93</v>
      </c>
      <c r="AA214" s="125">
        <v>1.7574000000000001</v>
      </c>
      <c r="AB214" s="126">
        <f t="shared" si="30"/>
        <v>467037.33160000003</v>
      </c>
      <c r="AC214" s="126">
        <f t="shared" si="34"/>
        <v>283298.15220000001</v>
      </c>
      <c r="AD214" s="127">
        <f t="shared" si="31"/>
        <v>549.54102699999999</v>
      </c>
      <c r="AE214" s="123"/>
    </row>
    <row r="215" spans="1:31" s="112" customFormat="1" x14ac:dyDescent="0.2">
      <c r="A215" s="110" t="s">
        <v>89</v>
      </c>
      <c r="B215" s="114" t="str">
        <f>VLOOKUP(A215,Sheet1!A:B,2,0)</f>
        <v>HP</v>
      </c>
      <c r="C215" s="130" t="s">
        <v>106</v>
      </c>
      <c r="D215" s="110">
        <v>22150202018</v>
      </c>
      <c r="E215" s="110" t="s">
        <v>42</v>
      </c>
      <c r="F215" s="110" t="s">
        <v>91</v>
      </c>
      <c r="G215" s="162" t="s">
        <v>44</v>
      </c>
      <c r="H215" s="123">
        <v>2024</v>
      </c>
      <c r="I215" s="116">
        <v>5</v>
      </c>
      <c r="J215" s="117">
        <v>45590</v>
      </c>
      <c r="K215" s="118">
        <v>0.4</v>
      </c>
      <c r="L215" s="119">
        <f t="shared" si="35"/>
        <v>0.1608</v>
      </c>
      <c r="M215" s="119">
        <v>0.1958</v>
      </c>
      <c r="N215" s="119">
        <v>3.5000000000000003E-2</v>
      </c>
      <c r="O215" s="119">
        <f t="shared" si="32"/>
        <v>1.4000000000000002E-2</v>
      </c>
      <c r="P215" s="120">
        <v>1</v>
      </c>
      <c r="Q215" s="119">
        <f t="shared" si="33"/>
        <v>0.1608</v>
      </c>
      <c r="R215" s="121">
        <v>283140</v>
      </c>
      <c r="S215" s="122">
        <f t="shared" si="36"/>
        <v>1416226</v>
      </c>
      <c r="T215" s="119">
        <f>98000</f>
        <v>98000</v>
      </c>
      <c r="U215" s="119">
        <f t="shared" si="28"/>
        <v>48432.09</v>
      </c>
      <c r="V215" s="134" t="s">
        <v>107</v>
      </c>
      <c r="W215" s="134"/>
      <c r="X215" s="124">
        <v>1.117</v>
      </c>
      <c r="Y215" s="124" t="s">
        <v>54</v>
      </c>
      <c r="Z215" s="124"/>
      <c r="AA215" s="125">
        <v>0</v>
      </c>
      <c r="AB215" s="126">
        <f t="shared" si="30"/>
        <v>55438.811999999998</v>
      </c>
      <c r="AC215" s="126">
        <f t="shared" si="34"/>
        <v>0</v>
      </c>
      <c r="AD215" s="127">
        <f t="shared" si="31"/>
        <v>316.26738</v>
      </c>
      <c r="AE215" s="123"/>
    </row>
    <row r="216" spans="1:31" s="112" customFormat="1" x14ac:dyDescent="0.2">
      <c r="A216" s="110" t="s">
        <v>89</v>
      </c>
      <c r="B216" s="114" t="str">
        <f>VLOOKUP(A216,Sheet1!A:B,2,0)</f>
        <v>HP</v>
      </c>
      <c r="C216" s="130" t="s">
        <v>108</v>
      </c>
      <c r="D216" s="110">
        <v>22150202007</v>
      </c>
      <c r="E216" s="110" t="s">
        <v>42</v>
      </c>
      <c r="F216" s="110" t="s">
        <v>109</v>
      </c>
      <c r="G216" s="162" t="s">
        <v>44</v>
      </c>
      <c r="H216" s="123">
        <v>2024</v>
      </c>
      <c r="I216" s="116">
        <v>5</v>
      </c>
      <c r="J216" s="117">
        <v>45590</v>
      </c>
      <c r="K216" s="118">
        <v>0.5</v>
      </c>
      <c r="L216" s="119">
        <f t="shared" si="35"/>
        <v>0.1227571428571429</v>
      </c>
      <c r="M216" s="119">
        <v>0.16</v>
      </c>
      <c r="N216" s="119">
        <v>3.7242857142857098E-2</v>
      </c>
      <c r="O216" s="119">
        <f t="shared" si="32"/>
        <v>1.8621428571428549E-2</v>
      </c>
      <c r="P216" s="120">
        <v>1</v>
      </c>
      <c r="Q216" s="119">
        <f t="shared" si="33"/>
        <v>0.1227571428571429</v>
      </c>
      <c r="R216" s="121">
        <v>336600</v>
      </c>
      <c r="S216" s="122">
        <f t="shared" si="36"/>
        <v>1831024</v>
      </c>
      <c r="T216" s="119">
        <v>130350</v>
      </c>
      <c r="U216" s="119">
        <f t="shared" si="28"/>
        <v>62157.434742857222</v>
      </c>
      <c r="V216" s="134" t="s">
        <v>100</v>
      </c>
      <c r="W216" s="134"/>
      <c r="X216" s="124">
        <v>0.52400000000000002</v>
      </c>
      <c r="Y216" s="124" t="s">
        <v>54</v>
      </c>
      <c r="Z216" s="124"/>
      <c r="AA216" s="135">
        <v>0</v>
      </c>
      <c r="AB216" s="126">
        <f t="shared" si="30"/>
        <v>53856</v>
      </c>
      <c r="AC216" s="126">
        <f t="shared" si="34"/>
        <v>0</v>
      </c>
      <c r="AD216" s="127">
        <f t="shared" si="31"/>
        <v>176.3784</v>
      </c>
      <c r="AE216" s="123"/>
    </row>
    <row r="217" spans="1:31" s="112" customFormat="1" x14ac:dyDescent="0.2">
      <c r="A217" s="110" t="s">
        <v>110</v>
      </c>
      <c r="B217" s="114" t="str">
        <f>VLOOKUP(A217,Sheet1!A:B,2,0)</f>
        <v>HP</v>
      </c>
      <c r="C217" s="130" t="s">
        <v>98</v>
      </c>
      <c r="D217" s="110">
        <v>23590202001</v>
      </c>
      <c r="E217" s="110" t="s">
        <v>42</v>
      </c>
      <c r="F217" s="110" t="s">
        <v>111</v>
      </c>
      <c r="G217" s="162" t="s">
        <v>44</v>
      </c>
      <c r="H217" s="123">
        <v>2024</v>
      </c>
      <c r="I217" s="116">
        <v>5</v>
      </c>
      <c r="J217" s="117">
        <v>45590</v>
      </c>
      <c r="K217" s="118">
        <v>0.5</v>
      </c>
      <c r="L217" s="119">
        <f t="shared" si="35"/>
        <v>0.125588670602168</v>
      </c>
      <c r="M217" s="119">
        <v>0.15358867060216799</v>
      </c>
      <c r="N217" s="119">
        <v>2.8000000000000001E-2</v>
      </c>
      <c r="O217" s="119">
        <f t="shared" si="32"/>
        <v>1.4E-2</v>
      </c>
      <c r="P217" s="120">
        <v>1</v>
      </c>
      <c r="Q217" s="119">
        <f t="shared" si="33"/>
        <v>0.125588670602168</v>
      </c>
      <c r="R217" s="121">
        <v>396000</v>
      </c>
      <c r="S217" s="122">
        <f t="shared" si="36"/>
        <v>884430</v>
      </c>
      <c r="T217" s="119">
        <v>98000</v>
      </c>
      <c r="U217" s="119">
        <f t="shared" si="28"/>
        <v>73235.959999999992</v>
      </c>
      <c r="V217" s="134" t="s">
        <v>112</v>
      </c>
      <c r="W217" s="134"/>
      <c r="X217" s="124">
        <v>0.69499999999999995</v>
      </c>
      <c r="Y217" s="124" t="s">
        <v>54</v>
      </c>
      <c r="Z217" s="124"/>
      <c r="AA217" s="135">
        <v>0</v>
      </c>
      <c r="AB217" s="126">
        <f t="shared" si="30"/>
        <v>60821.113558458528</v>
      </c>
      <c r="AC217" s="126">
        <f t="shared" si="34"/>
        <v>0</v>
      </c>
      <c r="AD217" s="127">
        <f t="shared" si="31"/>
        <v>275.22000000000003</v>
      </c>
      <c r="AE217" s="123"/>
    </row>
    <row r="218" spans="1:31" s="112" customFormat="1" ht="25.5" x14ac:dyDescent="0.2">
      <c r="A218" s="110" t="s">
        <v>110</v>
      </c>
      <c r="B218" s="114" t="str">
        <f>VLOOKUP(A218,Sheet1!A:B,2,0)</f>
        <v>HP</v>
      </c>
      <c r="C218" s="114" t="s">
        <v>101</v>
      </c>
      <c r="D218" s="110">
        <v>23480202015</v>
      </c>
      <c r="E218" s="110" t="s">
        <v>42</v>
      </c>
      <c r="F218" s="110" t="s">
        <v>113</v>
      </c>
      <c r="G218" s="162" t="s">
        <v>44</v>
      </c>
      <c r="H218" s="123">
        <v>2024</v>
      </c>
      <c r="I218" s="116">
        <v>5</v>
      </c>
      <c r="J218" s="117">
        <v>45590</v>
      </c>
      <c r="K218" s="118">
        <v>0.4</v>
      </c>
      <c r="L218" s="119">
        <f t="shared" si="35"/>
        <v>0.27566008648311169</v>
      </c>
      <c r="M218" s="119">
        <v>0.353993419816445</v>
      </c>
      <c r="N218" s="119">
        <v>7.8333333333333297E-2</v>
      </c>
      <c r="O218" s="119">
        <f t="shared" si="32"/>
        <v>3.1333333333333317E-2</v>
      </c>
      <c r="P218" s="120">
        <v>1</v>
      </c>
      <c r="Q218" s="119">
        <f t="shared" si="33"/>
        <v>0.27566008648311169</v>
      </c>
      <c r="R218" s="121">
        <v>146880</v>
      </c>
      <c r="S218" s="122">
        <f t="shared" si="36"/>
        <v>508636</v>
      </c>
      <c r="T218" s="119">
        <v>188000</v>
      </c>
      <c r="U218" s="119">
        <f t="shared" si="28"/>
        <v>148156.84666666668</v>
      </c>
      <c r="V218" s="134" t="s">
        <v>114</v>
      </c>
      <c r="W218" s="134"/>
      <c r="X218" s="124">
        <v>1.722</v>
      </c>
      <c r="Y218" s="124" t="s">
        <v>54</v>
      </c>
      <c r="Z218" s="124"/>
      <c r="AA218" s="135">
        <v>0</v>
      </c>
      <c r="AB218" s="126">
        <f t="shared" si="30"/>
        <v>51994.553502639443</v>
      </c>
      <c r="AC218" s="126">
        <f t="shared" si="34"/>
        <v>0</v>
      </c>
      <c r="AD218" s="127">
        <f t="shared" si="31"/>
        <v>252.92735999999999</v>
      </c>
      <c r="AE218" s="123"/>
    </row>
    <row r="219" spans="1:31" s="112" customFormat="1" x14ac:dyDescent="0.2">
      <c r="A219" s="110" t="s">
        <v>110</v>
      </c>
      <c r="B219" s="114" t="str">
        <f>VLOOKUP(A219,Sheet1!A:B,2,0)</f>
        <v>HP</v>
      </c>
      <c r="C219" s="130" t="s">
        <v>115</v>
      </c>
      <c r="D219" s="110">
        <v>23480202012</v>
      </c>
      <c r="E219" s="110" t="s">
        <v>42</v>
      </c>
      <c r="F219" s="114" t="s">
        <v>116</v>
      </c>
      <c r="G219" s="162" t="s">
        <v>44</v>
      </c>
      <c r="H219" s="123">
        <v>2024</v>
      </c>
      <c r="I219" s="116">
        <v>5</v>
      </c>
      <c r="J219" s="117">
        <v>45590</v>
      </c>
      <c r="K219" s="118">
        <v>0.4</v>
      </c>
      <c r="L219" s="119">
        <f t="shared" si="35"/>
        <v>0.80865388388102988</v>
      </c>
      <c r="M219" s="119">
        <v>1.0756538838810299</v>
      </c>
      <c r="N219" s="119">
        <v>0.26700000000000002</v>
      </c>
      <c r="O219" s="119">
        <f t="shared" si="32"/>
        <v>0.10680000000000001</v>
      </c>
      <c r="P219" s="120">
        <v>1</v>
      </c>
      <c r="Q219" s="119">
        <f t="shared" si="33"/>
        <v>0.80865388388102988</v>
      </c>
      <c r="R219" s="121">
        <v>100959</v>
      </c>
      <c r="S219" s="122">
        <f t="shared" si="36"/>
        <v>177079</v>
      </c>
      <c r="T219" s="119">
        <v>640000</v>
      </c>
      <c r="U219" s="119">
        <f t="shared" si="28"/>
        <v>592719.90700000001</v>
      </c>
      <c r="V219" s="134" t="s">
        <v>117</v>
      </c>
      <c r="W219" s="134"/>
      <c r="X219" s="124">
        <v>5.7469999999999999</v>
      </c>
      <c r="Y219" s="124" t="s">
        <v>54</v>
      </c>
      <c r="Z219" s="124"/>
      <c r="AA219" s="135">
        <v>0</v>
      </c>
      <c r="AB219" s="126">
        <f t="shared" si="30"/>
        <v>108596.9404627449</v>
      </c>
      <c r="AC219" s="126">
        <f t="shared" si="34"/>
        <v>0</v>
      </c>
      <c r="AD219" s="127">
        <f t="shared" si="31"/>
        <v>580.21137299999998</v>
      </c>
      <c r="AE219" s="123"/>
    </row>
    <row r="220" spans="1:31" s="112" customFormat="1" ht="25.5" x14ac:dyDescent="0.2">
      <c r="A220" s="110" t="s">
        <v>110</v>
      </c>
      <c r="B220" s="114" t="str">
        <f>VLOOKUP(A220,Sheet1!A:B,2,0)</f>
        <v>HP</v>
      </c>
      <c r="C220" s="130" t="s">
        <v>118</v>
      </c>
      <c r="D220" s="110">
        <v>23480202005</v>
      </c>
      <c r="E220" s="110" t="s">
        <v>42</v>
      </c>
      <c r="F220" s="114" t="s">
        <v>119</v>
      </c>
      <c r="G220" s="162" t="s">
        <v>44</v>
      </c>
      <c r="H220" s="123">
        <v>2024</v>
      </c>
      <c r="I220" s="116">
        <v>5</v>
      </c>
      <c r="J220" s="117">
        <v>45590</v>
      </c>
      <c r="K220" s="118">
        <v>0.6</v>
      </c>
      <c r="L220" s="119">
        <f t="shared" si="35"/>
        <v>0.61243323981863296</v>
      </c>
      <c r="M220" s="119">
        <v>0.790433239818633</v>
      </c>
      <c r="N220" s="119">
        <v>0.17799999999999999</v>
      </c>
      <c r="O220" s="119">
        <f t="shared" si="32"/>
        <v>0.10679999999999999</v>
      </c>
      <c r="P220" s="120">
        <v>1</v>
      </c>
      <c r="Q220" s="119">
        <f t="shared" si="33"/>
        <v>0.61243323981863296</v>
      </c>
      <c r="R220" s="121">
        <v>175398</v>
      </c>
      <c r="S220" s="122">
        <f t="shared" si="36"/>
        <v>311227</v>
      </c>
      <c r="T220" s="119">
        <f>640000+35296</f>
        <v>675296</v>
      </c>
      <c r="U220" s="119">
        <f t="shared" si="28"/>
        <v>619897.59400000004</v>
      </c>
      <c r="V220" s="134" t="s">
        <v>120</v>
      </c>
      <c r="W220" s="134"/>
      <c r="X220" s="124">
        <v>3.2709999999999999</v>
      </c>
      <c r="Y220" s="124" t="s">
        <v>54</v>
      </c>
      <c r="Z220" s="124"/>
      <c r="AA220" s="135">
        <v>0</v>
      </c>
      <c r="AB220" s="126">
        <f t="shared" si="30"/>
        <v>138640.4093977086</v>
      </c>
      <c r="AC220" s="126">
        <f t="shared" si="34"/>
        <v>0</v>
      </c>
      <c r="AD220" s="127">
        <f t="shared" si="31"/>
        <v>573.72685799999999</v>
      </c>
      <c r="AE220" s="123"/>
    </row>
    <row r="221" spans="1:31" s="112" customFormat="1" x14ac:dyDescent="0.2">
      <c r="A221" s="110" t="s">
        <v>110</v>
      </c>
      <c r="B221" s="114" t="str">
        <f>VLOOKUP(A221,Sheet1!A:B,2,0)</f>
        <v>HP</v>
      </c>
      <c r="C221" s="130" t="s">
        <v>121</v>
      </c>
      <c r="D221" s="110">
        <v>23480202011</v>
      </c>
      <c r="E221" s="110" t="s">
        <v>42</v>
      </c>
      <c r="F221" s="114" t="s">
        <v>116</v>
      </c>
      <c r="G221" s="162" t="s">
        <v>44</v>
      </c>
      <c r="H221" s="123">
        <v>2024</v>
      </c>
      <c r="I221" s="116">
        <v>5</v>
      </c>
      <c r="J221" s="117">
        <v>45590</v>
      </c>
      <c r="K221" s="118">
        <v>0.5</v>
      </c>
      <c r="L221" s="119">
        <f t="shared" si="35"/>
        <v>0.29378086188436198</v>
      </c>
      <c r="M221" s="119">
        <v>0.41711419521769499</v>
      </c>
      <c r="N221" s="119">
        <v>0.123333333333333</v>
      </c>
      <c r="O221" s="119">
        <f t="shared" si="32"/>
        <v>6.1666666666666502E-2</v>
      </c>
      <c r="P221" s="120">
        <v>1</v>
      </c>
      <c r="Q221" s="119">
        <f t="shared" si="33"/>
        <v>0.29378086188436198</v>
      </c>
      <c r="R221" s="121">
        <v>266955</v>
      </c>
      <c r="S221" s="122">
        <f t="shared" si="36"/>
        <v>391400</v>
      </c>
      <c r="T221" s="119">
        <v>370000</v>
      </c>
      <c r="U221" s="119">
        <f t="shared" si="28"/>
        <v>321727.33333333349</v>
      </c>
      <c r="V221" s="134" t="s">
        <v>107</v>
      </c>
      <c r="W221" s="134"/>
      <c r="X221" s="124">
        <v>1.7749999999999999</v>
      </c>
      <c r="Y221" s="124" t="s">
        <v>54</v>
      </c>
      <c r="Z221" s="124"/>
      <c r="AA221" s="135">
        <v>0</v>
      </c>
      <c r="AB221" s="126">
        <f t="shared" si="30"/>
        <v>111350.71998433977</v>
      </c>
      <c r="AC221" s="126">
        <f t="shared" si="34"/>
        <v>0</v>
      </c>
      <c r="AD221" s="127">
        <f t="shared" si="31"/>
        <v>473.845125</v>
      </c>
      <c r="AE221" s="123"/>
    </row>
    <row r="222" spans="1:31" s="112" customFormat="1" ht="25.5" x14ac:dyDescent="0.2">
      <c r="A222" s="110" t="s">
        <v>110</v>
      </c>
      <c r="B222" s="114" t="str">
        <f>VLOOKUP(A222,Sheet1!A:B,2,0)</f>
        <v>HP</v>
      </c>
      <c r="C222" s="130" t="s">
        <v>66</v>
      </c>
      <c r="D222" s="110">
        <v>23480202017</v>
      </c>
      <c r="E222" s="110" t="s">
        <v>42</v>
      </c>
      <c r="F222" s="114" t="s">
        <v>116</v>
      </c>
      <c r="G222" s="162" t="s">
        <v>44</v>
      </c>
      <c r="H222" s="123">
        <v>2024</v>
      </c>
      <c r="I222" s="116">
        <v>5</v>
      </c>
      <c r="J222" s="117">
        <v>45590</v>
      </c>
      <c r="K222" s="118">
        <v>0.5</v>
      </c>
      <c r="L222" s="119">
        <f t="shared" si="35"/>
        <v>1.0628666666666668</v>
      </c>
      <c r="M222" s="119">
        <v>1.1322000000000001</v>
      </c>
      <c r="N222" s="119">
        <v>6.9333333333333302E-2</v>
      </c>
      <c r="O222" s="119">
        <f t="shared" si="32"/>
        <v>3.4666666666666651E-2</v>
      </c>
      <c r="P222" s="120">
        <v>1</v>
      </c>
      <c r="Q222" s="119">
        <f t="shared" si="33"/>
        <v>1.0628666666666668</v>
      </c>
      <c r="R222" s="121">
        <v>46834</v>
      </c>
      <c r="S222" s="122">
        <f t="shared" si="36"/>
        <v>118104</v>
      </c>
      <c r="T222" s="119">
        <f>208000+207000+35513+26171+7330</f>
        <v>484014</v>
      </c>
      <c r="U222" s="119">
        <f t="shared" ref="U222:U239" si="37">T222-N222*S222</f>
        <v>475825.45600000001</v>
      </c>
      <c r="V222" s="134" t="s">
        <v>122</v>
      </c>
      <c r="W222" s="134"/>
      <c r="X222" s="124">
        <v>2.3839999999999999</v>
      </c>
      <c r="Y222" s="124" t="s">
        <v>54</v>
      </c>
      <c r="Z222" s="124" t="s">
        <v>93</v>
      </c>
      <c r="AA222" s="125">
        <v>0.7964</v>
      </c>
      <c r="AB222" s="126">
        <f t="shared" si="30"/>
        <v>53025.454800000007</v>
      </c>
      <c r="AC222" s="126">
        <f t="shared" si="34"/>
        <v>37298.597600000001</v>
      </c>
      <c r="AD222" s="127">
        <f t="shared" si="31"/>
        <v>111.65225599999999</v>
      </c>
      <c r="AE222" s="123"/>
    </row>
    <row r="223" spans="1:31" s="112" customFormat="1" ht="51" x14ac:dyDescent="0.2">
      <c r="A223" s="110" t="s">
        <v>110</v>
      </c>
      <c r="B223" s="114" t="str">
        <f>VLOOKUP(A223,Sheet1!A:B,2,0)</f>
        <v>HP</v>
      </c>
      <c r="C223" s="130" t="s">
        <v>81</v>
      </c>
      <c r="D223" s="110">
        <v>23480202018</v>
      </c>
      <c r="E223" s="110" t="s">
        <v>42</v>
      </c>
      <c r="F223" s="114" t="s">
        <v>116</v>
      </c>
      <c r="G223" s="162" t="s">
        <v>44</v>
      </c>
      <c r="H223" s="123">
        <v>2024</v>
      </c>
      <c r="I223" s="116">
        <v>5</v>
      </c>
      <c r="J223" s="117">
        <v>45590</v>
      </c>
      <c r="K223" s="118">
        <v>0.4</v>
      </c>
      <c r="L223" s="119">
        <f t="shared" si="35"/>
        <v>0.41382922267354705</v>
      </c>
      <c r="M223" s="119">
        <v>0.54316255600688002</v>
      </c>
      <c r="N223" s="119">
        <v>0.12933333333333299</v>
      </c>
      <c r="O223" s="119">
        <f t="shared" si="32"/>
        <v>5.1733333333333201E-2</v>
      </c>
      <c r="P223" s="120">
        <v>1</v>
      </c>
      <c r="Q223" s="119">
        <f t="shared" si="33"/>
        <v>0.41382922267354705</v>
      </c>
      <c r="R223" s="121">
        <v>85135</v>
      </c>
      <c r="S223" s="122">
        <f t="shared" si="36"/>
        <v>92965</v>
      </c>
      <c r="T223" s="119">
        <f>388000+53870+10859</f>
        <v>452729</v>
      </c>
      <c r="U223" s="119">
        <f t="shared" si="37"/>
        <v>440705.52666666667</v>
      </c>
      <c r="V223" s="134" t="s">
        <v>123</v>
      </c>
      <c r="W223" s="123"/>
      <c r="X223" s="124">
        <v>3.673</v>
      </c>
      <c r="Y223" s="124" t="s">
        <v>54</v>
      </c>
      <c r="Z223" s="124"/>
      <c r="AA223" s="135">
        <v>0</v>
      </c>
      <c r="AB223" s="126">
        <f t="shared" si="30"/>
        <v>46242.144205645731</v>
      </c>
      <c r="AC223" s="126">
        <f t="shared" si="34"/>
        <v>0</v>
      </c>
      <c r="AD223" s="127">
        <f t="shared" si="31"/>
        <v>312.70085499999999</v>
      </c>
      <c r="AE223" s="123"/>
    </row>
    <row r="224" spans="1:31" s="112" customFormat="1" x14ac:dyDescent="0.2">
      <c r="A224" s="110" t="s">
        <v>89</v>
      </c>
      <c r="B224" s="114" t="str">
        <f>VLOOKUP(A224,Sheet1!A:B,2,0)</f>
        <v>HP</v>
      </c>
      <c r="C224" s="114" t="s">
        <v>90</v>
      </c>
      <c r="D224" s="110">
        <v>22150202014</v>
      </c>
      <c r="E224" s="110" t="s">
        <v>42</v>
      </c>
      <c r="F224" s="110" t="s">
        <v>91</v>
      </c>
      <c r="G224" s="162" t="s">
        <v>44</v>
      </c>
      <c r="H224" s="123">
        <v>2024</v>
      </c>
      <c r="I224" s="116">
        <v>6</v>
      </c>
      <c r="J224" s="117">
        <v>45590</v>
      </c>
      <c r="K224" s="118">
        <v>0.4</v>
      </c>
      <c r="L224" s="119">
        <f t="shared" ref="L224:L239" si="38">M224-N224</f>
        <v>2.1794787761879197</v>
      </c>
      <c r="M224" s="119">
        <v>2.2169787761879198</v>
      </c>
      <c r="N224" s="119">
        <v>3.7499999999999999E-2</v>
      </c>
      <c r="O224" s="119">
        <f t="shared" si="32"/>
        <v>1.4999999999999999E-2</v>
      </c>
      <c r="P224" s="120">
        <v>1</v>
      </c>
      <c r="Q224" s="119">
        <f t="shared" si="33"/>
        <v>2.1794787761879197</v>
      </c>
      <c r="R224" s="121">
        <v>272758</v>
      </c>
      <c r="S224" s="122">
        <f t="shared" si="36"/>
        <v>1662171</v>
      </c>
      <c r="T224" s="119">
        <v>105000</v>
      </c>
      <c r="U224" s="119">
        <f t="shared" si="37"/>
        <v>42668.587500000001</v>
      </c>
      <c r="V224" s="134" t="s">
        <v>92</v>
      </c>
      <c r="W224" s="134"/>
      <c r="X224" s="124">
        <v>1.5549999999999999</v>
      </c>
      <c r="Y224" s="124" t="s">
        <v>54</v>
      </c>
      <c r="Z224" s="124" t="s">
        <v>93</v>
      </c>
      <c r="AA224" s="125">
        <v>1.9422999999999999</v>
      </c>
      <c r="AB224" s="126">
        <f t="shared" si="30"/>
        <v>604698.69703546469</v>
      </c>
      <c r="AC224" s="126">
        <f t="shared" si="34"/>
        <v>529777.86340000003</v>
      </c>
      <c r="AD224" s="127">
        <f t="shared" si="31"/>
        <v>424.13869</v>
      </c>
      <c r="AE224" s="123"/>
    </row>
    <row r="225" spans="1:31" s="112" customFormat="1" ht="25.5" x14ac:dyDescent="0.2">
      <c r="A225" s="110" t="s">
        <v>89</v>
      </c>
      <c r="B225" s="114" t="str">
        <f>VLOOKUP(A225,Sheet1!A:B,2,0)</f>
        <v>HP</v>
      </c>
      <c r="C225" s="130" t="s">
        <v>94</v>
      </c>
      <c r="D225" s="110">
        <v>22150202015</v>
      </c>
      <c r="E225" s="110" t="s">
        <v>42</v>
      </c>
      <c r="F225" s="110" t="s">
        <v>91</v>
      </c>
      <c r="G225" s="162" t="s">
        <v>44</v>
      </c>
      <c r="H225" s="123">
        <v>2024</v>
      </c>
      <c r="I225" s="116">
        <v>6</v>
      </c>
      <c r="J225" s="117">
        <v>45590</v>
      </c>
      <c r="K225" s="118">
        <v>0.6</v>
      </c>
      <c r="L225" s="119">
        <f t="shared" si="38"/>
        <v>1.4527937685216004</v>
      </c>
      <c r="M225" s="119">
        <v>1.5423175780454099</v>
      </c>
      <c r="N225" s="119">
        <v>8.9523809523809506E-2</v>
      </c>
      <c r="O225" s="119">
        <f t="shared" si="32"/>
        <v>5.3714285714285701E-2</v>
      </c>
      <c r="P225" s="120">
        <v>1</v>
      </c>
      <c r="Q225" s="119">
        <f t="shared" si="33"/>
        <v>1.4527937685216004</v>
      </c>
      <c r="R225" s="121">
        <v>288112</v>
      </c>
      <c r="S225" s="122">
        <f t="shared" si="36"/>
        <v>1121197</v>
      </c>
      <c r="T225" s="119">
        <v>376000</v>
      </c>
      <c r="U225" s="119">
        <f t="shared" si="37"/>
        <v>275626.17333333334</v>
      </c>
      <c r="V225" s="134" t="s">
        <v>95</v>
      </c>
      <c r="W225" s="134"/>
      <c r="X225" s="124">
        <v>1.7450000000000001</v>
      </c>
      <c r="Y225" s="124" t="s">
        <v>54</v>
      </c>
      <c r="Z225" s="124" t="s">
        <v>93</v>
      </c>
      <c r="AA225" s="125">
        <v>1.1437999999999999</v>
      </c>
      <c r="AB225" s="126">
        <f t="shared" si="30"/>
        <v>444360.20204581914</v>
      </c>
      <c r="AC225" s="126">
        <f t="shared" si="34"/>
        <v>329542.50559999997</v>
      </c>
      <c r="AD225" s="127">
        <f t="shared" si="31"/>
        <v>502.75544000000002</v>
      </c>
      <c r="AE225" s="123"/>
    </row>
    <row r="226" spans="1:31" s="112" customFormat="1" x14ac:dyDescent="0.2">
      <c r="A226" s="110" t="s">
        <v>89</v>
      </c>
      <c r="B226" s="114" t="str">
        <f>VLOOKUP(A226,Sheet1!A:B,2,0)</f>
        <v>HP</v>
      </c>
      <c r="C226" s="130" t="s">
        <v>66</v>
      </c>
      <c r="D226" s="110">
        <v>22150202010</v>
      </c>
      <c r="E226" s="110" t="s">
        <v>42</v>
      </c>
      <c r="F226" s="110" t="s">
        <v>96</v>
      </c>
      <c r="G226" s="162" t="s">
        <v>44</v>
      </c>
      <c r="H226" s="123">
        <v>2024</v>
      </c>
      <c r="I226" s="116">
        <v>6</v>
      </c>
      <c r="J226" s="117">
        <v>45590</v>
      </c>
      <c r="K226" s="118">
        <v>0.4</v>
      </c>
      <c r="L226" s="119">
        <f t="shared" si="38"/>
        <v>0.88729025889115998</v>
      </c>
      <c r="M226" s="119">
        <v>1.13316525889116</v>
      </c>
      <c r="N226" s="119">
        <v>0.24587500000000001</v>
      </c>
      <c r="O226" s="119">
        <f t="shared" si="32"/>
        <v>9.8350000000000007E-2</v>
      </c>
      <c r="P226" s="120">
        <v>1</v>
      </c>
      <c r="Q226" s="119">
        <f t="shared" si="33"/>
        <v>0.88729025889115998</v>
      </c>
      <c r="R226" s="121">
        <v>79930</v>
      </c>
      <c r="S226" s="122">
        <f t="shared" si="36"/>
        <v>1344796</v>
      </c>
      <c r="T226" s="119">
        <f>98350</f>
        <v>98350</v>
      </c>
      <c r="U226" s="119">
        <f t="shared" si="37"/>
        <v>-232301.71650000004</v>
      </c>
      <c r="V226" s="134" t="s">
        <v>97</v>
      </c>
      <c r="W226" s="134"/>
      <c r="X226" s="124">
        <v>0.57899999999999996</v>
      </c>
      <c r="Y226" s="124" t="s">
        <v>54</v>
      </c>
      <c r="Z226" s="124" t="s">
        <v>93</v>
      </c>
      <c r="AA226" s="125">
        <v>0.75590000000000002</v>
      </c>
      <c r="AB226" s="126">
        <f t="shared" si="30"/>
        <v>90573.89914317042</v>
      </c>
      <c r="AC226" s="126">
        <f t="shared" si="34"/>
        <v>60419.087</v>
      </c>
      <c r="AD226" s="127">
        <f t="shared" si="31"/>
        <v>46.279469999999996</v>
      </c>
      <c r="AE226" s="123"/>
    </row>
    <row r="227" spans="1:31" s="112" customFormat="1" x14ac:dyDescent="0.2">
      <c r="A227" s="110" t="s">
        <v>89</v>
      </c>
      <c r="B227" s="114" t="str">
        <f>VLOOKUP(A227,Sheet1!A:B,2,0)</f>
        <v>HP</v>
      </c>
      <c r="C227" s="130" t="s">
        <v>98</v>
      </c>
      <c r="D227" s="110">
        <v>22150202008</v>
      </c>
      <c r="E227" s="110" t="s">
        <v>42</v>
      </c>
      <c r="F227" s="110" t="s">
        <v>99</v>
      </c>
      <c r="G227" s="162" t="s">
        <v>44</v>
      </c>
      <c r="H227" s="123">
        <v>2024</v>
      </c>
      <c r="I227" s="116">
        <v>6</v>
      </c>
      <c r="J227" s="117">
        <v>45590</v>
      </c>
      <c r="K227" s="118">
        <v>0.5</v>
      </c>
      <c r="L227" s="119">
        <f t="shared" si="38"/>
        <v>0.1278</v>
      </c>
      <c r="M227" s="119">
        <v>0.15579999999999999</v>
      </c>
      <c r="N227" s="119">
        <v>2.8000000000000001E-2</v>
      </c>
      <c r="O227" s="119">
        <f t="shared" si="32"/>
        <v>1.4E-2</v>
      </c>
      <c r="P227" s="120">
        <v>1</v>
      </c>
      <c r="Q227" s="119">
        <f t="shared" si="33"/>
        <v>0.1278</v>
      </c>
      <c r="R227" s="121">
        <v>22000</v>
      </c>
      <c r="S227" s="122">
        <f t="shared" si="36"/>
        <v>1116157</v>
      </c>
      <c r="T227" s="119">
        <f>98000+12600</f>
        <v>110600</v>
      </c>
      <c r="U227" s="119">
        <f t="shared" si="37"/>
        <v>79347.603999999992</v>
      </c>
      <c r="V227" s="134" t="s">
        <v>100</v>
      </c>
      <c r="W227" s="134"/>
      <c r="X227" s="124">
        <v>0.76300000000000001</v>
      </c>
      <c r="Y227" s="124" t="s">
        <v>54</v>
      </c>
      <c r="Z227" s="124"/>
      <c r="AA227" s="135">
        <v>0</v>
      </c>
      <c r="AB227" s="126">
        <f t="shared" si="30"/>
        <v>3427.6</v>
      </c>
      <c r="AC227" s="126">
        <f t="shared" si="34"/>
        <v>0</v>
      </c>
      <c r="AD227" s="127">
        <f t="shared" si="31"/>
        <v>16.786000000000001</v>
      </c>
      <c r="AE227" s="123"/>
    </row>
    <row r="228" spans="1:31" s="112" customFormat="1" x14ac:dyDescent="0.2">
      <c r="A228" s="110" t="s">
        <v>89</v>
      </c>
      <c r="B228" s="114" t="str">
        <f>VLOOKUP(A228,Sheet1!A:B,2,0)</f>
        <v>HP</v>
      </c>
      <c r="C228" s="114" t="s">
        <v>101</v>
      </c>
      <c r="D228" s="110">
        <v>22150202017</v>
      </c>
      <c r="E228" s="110" t="s">
        <v>42</v>
      </c>
      <c r="F228" s="110" t="s">
        <v>99</v>
      </c>
      <c r="G228" s="162" t="s">
        <v>44</v>
      </c>
      <c r="H228" s="123">
        <v>2024</v>
      </c>
      <c r="I228" s="116">
        <v>6</v>
      </c>
      <c r="J228" s="117">
        <v>45590</v>
      </c>
      <c r="K228" s="118">
        <v>0.4</v>
      </c>
      <c r="L228" s="119">
        <f t="shared" si="38"/>
        <v>0.17249999999999999</v>
      </c>
      <c r="M228" s="119">
        <v>0.41749999999999998</v>
      </c>
      <c r="N228" s="119">
        <v>0.245</v>
      </c>
      <c r="O228" s="119">
        <f t="shared" si="32"/>
        <v>9.8000000000000004E-2</v>
      </c>
      <c r="P228" s="120">
        <v>1</v>
      </c>
      <c r="Q228" s="119">
        <f t="shared" si="33"/>
        <v>0.17249999999999999</v>
      </c>
      <c r="R228" s="121">
        <v>0</v>
      </c>
      <c r="S228" s="122">
        <f t="shared" si="36"/>
        <v>866237</v>
      </c>
      <c r="T228" s="119">
        <v>98000</v>
      </c>
      <c r="U228" s="119">
        <f t="shared" si="37"/>
        <v>-114228.065</v>
      </c>
      <c r="V228" s="134" t="s">
        <v>102</v>
      </c>
      <c r="W228" s="134"/>
      <c r="X228" s="124">
        <v>1.173</v>
      </c>
      <c r="Y228" s="124" t="s">
        <v>54</v>
      </c>
      <c r="Z228" s="124"/>
      <c r="AA228" s="135">
        <v>0</v>
      </c>
      <c r="AB228" s="126">
        <f t="shared" si="30"/>
        <v>0</v>
      </c>
      <c r="AC228" s="126">
        <f t="shared" si="34"/>
        <v>0</v>
      </c>
      <c r="AD228" s="127">
        <f t="shared" si="31"/>
        <v>0</v>
      </c>
      <c r="AE228" s="123"/>
    </row>
    <row r="229" spans="1:31" s="112" customFormat="1" x14ac:dyDescent="0.2">
      <c r="A229" s="110" t="s">
        <v>89</v>
      </c>
      <c r="B229" s="114" t="str">
        <f>VLOOKUP(A229,Sheet1!A:B,2,0)</f>
        <v>HP</v>
      </c>
      <c r="C229" s="130" t="s">
        <v>103</v>
      </c>
      <c r="D229" s="110">
        <v>22150202009</v>
      </c>
      <c r="E229" s="110" t="s">
        <v>42</v>
      </c>
      <c r="F229" s="110" t="s">
        <v>91</v>
      </c>
      <c r="G229" s="162" t="s">
        <v>44</v>
      </c>
      <c r="H229" s="123">
        <v>2024</v>
      </c>
      <c r="I229" s="116">
        <v>6</v>
      </c>
      <c r="J229" s="117">
        <v>45590</v>
      </c>
      <c r="K229" s="118">
        <v>0.5</v>
      </c>
      <c r="L229" s="119">
        <f t="shared" si="38"/>
        <v>0.1285</v>
      </c>
      <c r="M229" s="119">
        <v>0.1565</v>
      </c>
      <c r="N229" s="119">
        <v>2.8000000000000001E-2</v>
      </c>
      <c r="O229" s="119">
        <f t="shared" si="32"/>
        <v>1.4E-2</v>
      </c>
      <c r="P229" s="120">
        <v>1</v>
      </c>
      <c r="Q229" s="119">
        <f t="shared" si="33"/>
        <v>0.1285</v>
      </c>
      <c r="R229" s="121">
        <v>537000</v>
      </c>
      <c r="S229" s="122">
        <f t="shared" si="36"/>
        <v>1693940</v>
      </c>
      <c r="T229" s="119">
        <f>98000</f>
        <v>98000</v>
      </c>
      <c r="U229" s="119">
        <f t="shared" si="37"/>
        <v>50569.68</v>
      </c>
      <c r="V229" s="136" t="s">
        <v>97</v>
      </c>
      <c r="W229" s="136"/>
      <c r="X229" s="137">
        <v>0.69499999999999995</v>
      </c>
      <c r="Y229" s="138" t="s">
        <v>54</v>
      </c>
      <c r="Z229" s="138"/>
      <c r="AA229" s="135">
        <v>0</v>
      </c>
      <c r="AB229" s="126">
        <f t="shared" si="30"/>
        <v>84040.5</v>
      </c>
      <c r="AC229" s="126">
        <f t="shared" si="34"/>
        <v>0</v>
      </c>
      <c r="AD229" s="127">
        <f t="shared" si="31"/>
        <v>373.21499999999997</v>
      </c>
      <c r="AE229" s="123"/>
    </row>
    <row r="230" spans="1:31" s="112" customFormat="1" x14ac:dyDescent="0.2">
      <c r="A230" s="110" t="s">
        <v>89</v>
      </c>
      <c r="B230" s="114" t="str">
        <f>VLOOKUP(A230,Sheet1!A:B,2,0)</f>
        <v>HP</v>
      </c>
      <c r="C230" s="130" t="s">
        <v>104</v>
      </c>
      <c r="D230" s="110">
        <v>22150202021</v>
      </c>
      <c r="E230" s="110" t="s">
        <v>42</v>
      </c>
      <c r="F230" s="110" t="s">
        <v>91</v>
      </c>
      <c r="G230" s="162" t="s">
        <v>44</v>
      </c>
      <c r="H230" s="123">
        <v>2024</v>
      </c>
      <c r="I230" s="116">
        <v>6</v>
      </c>
      <c r="J230" s="117">
        <v>45590</v>
      </c>
      <c r="K230" s="118">
        <v>0.6</v>
      </c>
      <c r="L230" s="119">
        <f t="shared" si="38"/>
        <v>2.4183227149358402</v>
      </c>
      <c r="M230" s="119">
        <v>2.7518227149358401</v>
      </c>
      <c r="N230" s="119">
        <v>0.33350000000000002</v>
      </c>
      <c r="O230" s="119">
        <f t="shared" si="32"/>
        <v>0.2001</v>
      </c>
      <c r="P230" s="120">
        <v>1</v>
      </c>
      <c r="Q230" s="119">
        <f t="shared" si="33"/>
        <v>2.4183227149358402</v>
      </c>
      <c r="R230" s="121">
        <v>201683</v>
      </c>
      <c r="S230" s="122">
        <f t="shared" si="36"/>
        <v>1845487</v>
      </c>
      <c r="T230" s="119">
        <f>200100</f>
        <v>200100</v>
      </c>
      <c r="U230" s="119">
        <f t="shared" si="37"/>
        <v>-415369.91450000007</v>
      </c>
      <c r="V230" s="134" t="s">
        <v>105</v>
      </c>
      <c r="W230" s="134"/>
      <c r="X230" s="124">
        <v>3.4089999999999998</v>
      </c>
      <c r="Y230" s="139" t="s">
        <v>54</v>
      </c>
      <c r="Z230" s="124" t="s">
        <v>93</v>
      </c>
      <c r="AA230" s="125">
        <v>1.7574000000000001</v>
      </c>
      <c r="AB230" s="126">
        <f t="shared" si="30"/>
        <v>554995.86061640503</v>
      </c>
      <c r="AC230" s="126">
        <f t="shared" si="34"/>
        <v>354437.70420000004</v>
      </c>
      <c r="AD230" s="127">
        <f t="shared" si="31"/>
        <v>687.53734699999995</v>
      </c>
      <c r="AE230" s="123"/>
    </row>
    <row r="231" spans="1:31" s="112" customFormat="1" x14ac:dyDescent="0.2">
      <c r="A231" s="110" t="s">
        <v>89</v>
      </c>
      <c r="B231" s="114" t="str">
        <f>VLOOKUP(A231,Sheet1!A:B,2,0)</f>
        <v>HP</v>
      </c>
      <c r="C231" s="130" t="s">
        <v>106</v>
      </c>
      <c r="D231" s="110">
        <v>22150202018</v>
      </c>
      <c r="E231" s="110" t="s">
        <v>42</v>
      </c>
      <c r="F231" s="110" t="s">
        <v>91</v>
      </c>
      <c r="G231" s="162" t="s">
        <v>44</v>
      </c>
      <c r="H231" s="123">
        <v>2024</v>
      </c>
      <c r="I231" s="116">
        <v>6</v>
      </c>
      <c r="J231" s="117">
        <v>45590</v>
      </c>
      <c r="K231" s="118">
        <v>0.4</v>
      </c>
      <c r="L231" s="119">
        <f t="shared" si="38"/>
        <v>0.1608</v>
      </c>
      <c r="M231" s="119">
        <v>0.1958</v>
      </c>
      <c r="N231" s="119">
        <v>3.5000000000000003E-2</v>
      </c>
      <c r="O231" s="119">
        <f t="shared" si="32"/>
        <v>1.4000000000000002E-2</v>
      </c>
      <c r="P231" s="120">
        <v>1</v>
      </c>
      <c r="Q231" s="119">
        <f t="shared" si="33"/>
        <v>0.1608</v>
      </c>
      <c r="R231" s="121">
        <v>326700</v>
      </c>
      <c r="S231" s="122">
        <f t="shared" si="36"/>
        <v>1742926</v>
      </c>
      <c r="T231" s="119">
        <f>98000</f>
        <v>98000</v>
      </c>
      <c r="U231" s="119">
        <f t="shared" si="37"/>
        <v>36997.589999999997</v>
      </c>
      <c r="V231" s="134" t="s">
        <v>107</v>
      </c>
      <c r="W231" s="134"/>
      <c r="X231" s="124">
        <v>1.117</v>
      </c>
      <c r="Y231" s="124" t="s">
        <v>54</v>
      </c>
      <c r="Z231" s="124"/>
      <c r="AA231" s="125">
        <v>0</v>
      </c>
      <c r="AB231" s="126">
        <f t="shared" si="30"/>
        <v>63967.86</v>
      </c>
      <c r="AC231" s="126">
        <f t="shared" si="34"/>
        <v>0</v>
      </c>
      <c r="AD231" s="127">
        <f t="shared" si="31"/>
        <v>364.9239</v>
      </c>
      <c r="AE231" s="123"/>
    </row>
    <row r="232" spans="1:31" s="112" customFormat="1" x14ac:dyDescent="0.2">
      <c r="A232" s="110" t="s">
        <v>89</v>
      </c>
      <c r="B232" s="114" t="str">
        <f>VLOOKUP(A232,Sheet1!A:B,2,0)</f>
        <v>HP</v>
      </c>
      <c r="C232" s="130" t="s">
        <v>108</v>
      </c>
      <c r="D232" s="110">
        <v>22150202007</v>
      </c>
      <c r="E232" s="110" t="s">
        <v>42</v>
      </c>
      <c r="F232" s="110" t="s">
        <v>109</v>
      </c>
      <c r="G232" s="162" t="s">
        <v>44</v>
      </c>
      <c r="H232" s="123">
        <v>2024</v>
      </c>
      <c r="I232" s="116">
        <v>6</v>
      </c>
      <c r="J232" s="117">
        <v>45590</v>
      </c>
      <c r="K232" s="118">
        <v>0.5</v>
      </c>
      <c r="L232" s="119">
        <f t="shared" si="38"/>
        <v>0.1227571428571429</v>
      </c>
      <c r="M232" s="119">
        <v>0.16</v>
      </c>
      <c r="N232" s="119">
        <v>3.7242857142857098E-2</v>
      </c>
      <c r="O232" s="119">
        <f t="shared" si="32"/>
        <v>1.8621428571428549E-2</v>
      </c>
      <c r="P232" s="120">
        <v>1</v>
      </c>
      <c r="Q232" s="119">
        <f t="shared" si="33"/>
        <v>0.1227571428571429</v>
      </c>
      <c r="R232" s="121">
        <v>397800</v>
      </c>
      <c r="S232" s="122">
        <f t="shared" si="36"/>
        <v>2228824</v>
      </c>
      <c r="T232" s="119">
        <v>130350</v>
      </c>
      <c r="U232" s="119">
        <f t="shared" si="37"/>
        <v>47342.226171428672</v>
      </c>
      <c r="V232" s="134" t="s">
        <v>100</v>
      </c>
      <c r="W232" s="134"/>
      <c r="X232" s="124">
        <v>0.52400000000000002</v>
      </c>
      <c r="Y232" s="124" t="s">
        <v>54</v>
      </c>
      <c r="Z232" s="124"/>
      <c r="AA232" s="135">
        <v>0</v>
      </c>
      <c r="AB232" s="126">
        <f t="shared" si="30"/>
        <v>63648</v>
      </c>
      <c r="AC232" s="126">
        <f t="shared" si="34"/>
        <v>0</v>
      </c>
      <c r="AD232" s="127">
        <f t="shared" si="31"/>
        <v>208.44720000000001</v>
      </c>
      <c r="AE232" s="123"/>
    </row>
    <row r="233" spans="1:31" s="112" customFormat="1" x14ac:dyDescent="0.2">
      <c r="A233" s="110" t="s">
        <v>110</v>
      </c>
      <c r="B233" s="114" t="str">
        <f>VLOOKUP(A233,Sheet1!A:B,2,0)</f>
        <v>HP</v>
      </c>
      <c r="C233" s="130" t="s">
        <v>98</v>
      </c>
      <c r="D233" s="110">
        <v>23590202001</v>
      </c>
      <c r="E233" s="110" t="s">
        <v>42</v>
      </c>
      <c r="F233" s="110" t="s">
        <v>111</v>
      </c>
      <c r="G233" s="162" t="s">
        <v>44</v>
      </c>
      <c r="H233" s="123">
        <v>2024</v>
      </c>
      <c r="I233" s="116">
        <v>6</v>
      </c>
      <c r="J233" s="117">
        <v>45590</v>
      </c>
      <c r="K233" s="118">
        <v>0.5</v>
      </c>
      <c r="L233" s="119">
        <f t="shared" si="38"/>
        <v>0.125588670602168</v>
      </c>
      <c r="M233" s="119">
        <v>0.15358867060216799</v>
      </c>
      <c r="N233" s="119">
        <v>2.8000000000000001E-2</v>
      </c>
      <c r="O233" s="119">
        <f t="shared" si="32"/>
        <v>1.4E-2</v>
      </c>
      <c r="P233" s="120">
        <v>1</v>
      </c>
      <c r="Q233" s="119">
        <f t="shared" si="33"/>
        <v>0.125588670602168</v>
      </c>
      <c r="R233" s="121">
        <v>348000</v>
      </c>
      <c r="S233" s="122">
        <f t="shared" si="36"/>
        <v>1232430</v>
      </c>
      <c r="T233" s="119">
        <v>98000</v>
      </c>
      <c r="U233" s="119">
        <f t="shared" si="37"/>
        <v>63491.96</v>
      </c>
      <c r="V233" s="134" t="s">
        <v>112</v>
      </c>
      <c r="W233" s="134"/>
      <c r="X233" s="124">
        <v>0.69499999999999995</v>
      </c>
      <c r="Y233" s="124" t="s">
        <v>54</v>
      </c>
      <c r="Z233" s="124"/>
      <c r="AA233" s="135">
        <v>0</v>
      </c>
      <c r="AB233" s="126">
        <f t="shared" si="30"/>
        <v>53448.857369554462</v>
      </c>
      <c r="AC233" s="126">
        <f t="shared" si="34"/>
        <v>0</v>
      </c>
      <c r="AD233" s="127">
        <f t="shared" si="31"/>
        <v>241.85999999999996</v>
      </c>
      <c r="AE233" s="123"/>
    </row>
    <row r="234" spans="1:31" s="112" customFormat="1" ht="25.5" x14ac:dyDescent="0.2">
      <c r="A234" s="110" t="s">
        <v>110</v>
      </c>
      <c r="B234" s="114" t="str">
        <f>VLOOKUP(A234,Sheet1!A:B,2,0)</f>
        <v>HP</v>
      </c>
      <c r="C234" s="114" t="s">
        <v>101</v>
      </c>
      <c r="D234" s="110">
        <v>23480202015</v>
      </c>
      <c r="E234" s="110" t="s">
        <v>42</v>
      </c>
      <c r="F234" s="110" t="s">
        <v>113</v>
      </c>
      <c r="G234" s="162" t="s">
        <v>44</v>
      </c>
      <c r="H234" s="123">
        <v>2024</v>
      </c>
      <c r="I234" s="116">
        <v>6</v>
      </c>
      <c r="J234" s="117">
        <v>45590</v>
      </c>
      <c r="K234" s="118">
        <v>0.4</v>
      </c>
      <c r="L234" s="119">
        <f t="shared" si="38"/>
        <v>0.27566008648311169</v>
      </c>
      <c r="M234" s="119">
        <v>0.353993419816445</v>
      </c>
      <c r="N234" s="119">
        <v>7.8333333333333297E-2</v>
      </c>
      <c r="O234" s="119">
        <f t="shared" si="32"/>
        <v>3.1333333333333317E-2</v>
      </c>
      <c r="P234" s="120">
        <v>1</v>
      </c>
      <c r="Q234" s="119">
        <f t="shared" si="33"/>
        <v>0.27566008648311169</v>
      </c>
      <c r="R234" s="121">
        <v>270540</v>
      </c>
      <c r="S234" s="122">
        <f t="shared" si="36"/>
        <v>779176</v>
      </c>
      <c r="T234" s="119">
        <v>188000</v>
      </c>
      <c r="U234" s="119">
        <f t="shared" si="37"/>
        <v>126964.54666666669</v>
      </c>
      <c r="V234" s="134" t="s">
        <v>114</v>
      </c>
      <c r="W234" s="134"/>
      <c r="X234" s="124">
        <v>1.722</v>
      </c>
      <c r="Y234" s="124" t="s">
        <v>54</v>
      </c>
      <c r="Z234" s="124"/>
      <c r="AA234" s="135">
        <v>0</v>
      </c>
      <c r="AB234" s="126">
        <f t="shared" si="30"/>
        <v>95769.379797141024</v>
      </c>
      <c r="AC234" s="126">
        <f t="shared" si="34"/>
        <v>0</v>
      </c>
      <c r="AD234" s="127">
        <f t="shared" si="31"/>
        <v>465.86988000000002</v>
      </c>
      <c r="AE234" s="123"/>
    </row>
    <row r="235" spans="1:31" s="112" customFormat="1" x14ac:dyDescent="0.2">
      <c r="A235" s="110" t="s">
        <v>110</v>
      </c>
      <c r="B235" s="114" t="str">
        <f>VLOOKUP(A235,Sheet1!A:B,2,0)</f>
        <v>HP</v>
      </c>
      <c r="C235" s="130" t="s">
        <v>115</v>
      </c>
      <c r="D235" s="110">
        <v>23480202012</v>
      </c>
      <c r="E235" s="110" t="s">
        <v>42</v>
      </c>
      <c r="F235" s="114" t="s">
        <v>116</v>
      </c>
      <c r="G235" s="162" t="s">
        <v>44</v>
      </c>
      <c r="H235" s="123">
        <v>2024</v>
      </c>
      <c r="I235" s="116">
        <v>6</v>
      </c>
      <c r="J235" s="117">
        <v>45590</v>
      </c>
      <c r="K235" s="118">
        <v>0.4</v>
      </c>
      <c r="L235" s="119">
        <f t="shared" si="38"/>
        <v>0.80865388388102988</v>
      </c>
      <c r="M235" s="119">
        <v>1.0756538838810299</v>
      </c>
      <c r="N235" s="119">
        <v>0.26700000000000002</v>
      </c>
      <c r="O235" s="119">
        <f t="shared" si="32"/>
        <v>0.10680000000000001</v>
      </c>
      <c r="P235" s="120">
        <v>1</v>
      </c>
      <c r="Q235" s="119">
        <f t="shared" si="33"/>
        <v>0.80865388388102988</v>
      </c>
      <c r="R235" s="121">
        <v>256927</v>
      </c>
      <c r="S235" s="122">
        <f t="shared" si="36"/>
        <v>434006</v>
      </c>
      <c r="T235" s="119">
        <v>640000</v>
      </c>
      <c r="U235" s="119">
        <f t="shared" si="37"/>
        <v>524120.39799999999</v>
      </c>
      <c r="V235" s="134" t="s">
        <v>117</v>
      </c>
      <c r="W235" s="134"/>
      <c r="X235" s="124">
        <v>5.7469999999999999</v>
      </c>
      <c r="Y235" s="124" t="s">
        <v>54</v>
      </c>
      <c r="Z235" s="124"/>
      <c r="AA235" s="135">
        <v>0</v>
      </c>
      <c r="AB235" s="126">
        <f t="shared" si="30"/>
        <v>276364.52542390139</v>
      </c>
      <c r="AC235" s="126">
        <f t="shared" si="34"/>
        <v>0</v>
      </c>
      <c r="AD235" s="127">
        <f t="shared" si="31"/>
        <v>1476.559469</v>
      </c>
      <c r="AE235" s="123"/>
    </row>
    <row r="236" spans="1:31" s="112" customFormat="1" ht="25.5" x14ac:dyDescent="0.2">
      <c r="A236" s="110" t="s">
        <v>110</v>
      </c>
      <c r="B236" s="114" t="str">
        <f>VLOOKUP(A236,Sheet1!A:B,2,0)</f>
        <v>HP</v>
      </c>
      <c r="C236" s="130" t="s">
        <v>118</v>
      </c>
      <c r="D236" s="110">
        <v>23480202005</v>
      </c>
      <c r="E236" s="110" t="s">
        <v>42</v>
      </c>
      <c r="F236" s="114" t="s">
        <v>119</v>
      </c>
      <c r="G236" s="162" t="s">
        <v>44</v>
      </c>
      <c r="H236" s="123">
        <v>2024</v>
      </c>
      <c r="I236" s="116">
        <v>6</v>
      </c>
      <c r="J236" s="117">
        <v>45590</v>
      </c>
      <c r="K236" s="118">
        <v>0.6</v>
      </c>
      <c r="L236" s="119">
        <f t="shared" si="38"/>
        <v>0.61243323981863296</v>
      </c>
      <c r="M236" s="119">
        <v>0.790433239818633</v>
      </c>
      <c r="N236" s="119">
        <v>0.17799999999999999</v>
      </c>
      <c r="O236" s="119">
        <f t="shared" si="32"/>
        <v>0.10679999999999999</v>
      </c>
      <c r="P236" s="120">
        <v>1</v>
      </c>
      <c r="Q236" s="119">
        <f t="shared" si="33"/>
        <v>0.61243323981863296</v>
      </c>
      <c r="R236" s="121">
        <v>280720</v>
      </c>
      <c r="S236" s="122">
        <f t="shared" si="36"/>
        <v>591947</v>
      </c>
      <c r="T236" s="119">
        <f>640000+35296</f>
        <v>675296</v>
      </c>
      <c r="U236" s="119">
        <f t="shared" si="37"/>
        <v>569929.43400000001</v>
      </c>
      <c r="V236" s="134" t="s">
        <v>120</v>
      </c>
      <c r="W236" s="134"/>
      <c r="X236" s="124">
        <v>3.2709999999999999</v>
      </c>
      <c r="Y236" s="124" t="s">
        <v>54</v>
      </c>
      <c r="Z236" s="124"/>
      <c r="AA236" s="135">
        <v>0</v>
      </c>
      <c r="AB236" s="126">
        <f t="shared" si="30"/>
        <v>221890.41908188665</v>
      </c>
      <c r="AC236" s="126">
        <f t="shared" si="34"/>
        <v>0</v>
      </c>
      <c r="AD236" s="127">
        <f t="shared" si="31"/>
        <v>918.23512000000005</v>
      </c>
      <c r="AE236" s="123"/>
    </row>
    <row r="237" spans="1:31" s="112" customFormat="1" x14ac:dyDescent="0.2">
      <c r="A237" s="110" t="s">
        <v>110</v>
      </c>
      <c r="B237" s="114" t="str">
        <f>VLOOKUP(A237,Sheet1!A:B,2,0)</f>
        <v>HP</v>
      </c>
      <c r="C237" s="130" t="s">
        <v>121</v>
      </c>
      <c r="D237" s="110">
        <v>23480202011</v>
      </c>
      <c r="E237" s="110" t="s">
        <v>42</v>
      </c>
      <c r="F237" s="114" t="s">
        <v>116</v>
      </c>
      <c r="G237" s="162" t="s">
        <v>44</v>
      </c>
      <c r="H237" s="123">
        <v>2024</v>
      </c>
      <c r="I237" s="116">
        <v>6</v>
      </c>
      <c r="J237" s="117">
        <v>45590</v>
      </c>
      <c r="K237" s="118">
        <v>0.5</v>
      </c>
      <c r="L237" s="119">
        <f t="shared" si="38"/>
        <v>0.29378086188436198</v>
      </c>
      <c r="M237" s="119">
        <v>0.41711419521769499</v>
      </c>
      <c r="N237" s="119">
        <v>0.123333333333333</v>
      </c>
      <c r="O237" s="119">
        <f t="shared" si="32"/>
        <v>6.1666666666666502E-2</v>
      </c>
      <c r="P237" s="120">
        <v>1</v>
      </c>
      <c r="Q237" s="119">
        <f t="shared" si="33"/>
        <v>0.29378086188436198</v>
      </c>
      <c r="R237" s="121">
        <v>215335</v>
      </c>
      <c r="S237" s="122">
        <f t="shared" si="36"/>
        <v>606735</v>
      </c>
      <c r="T237" s="119">
        <v>370000</v>
      </c>
      <c r="U237" s="119">
        <f t="shared" si="37"/>
        <v>295169.35000000021</v>
      </c>
      <c r="V237" s="134" t="s">
        <v>107</v>
      </c>
      <c r="W237" s="134"/>
      <c r="X237" s="124">
        <v>1.7749999999999999</v>
      </c>
      <c r="Y237" s="124" t="s">
        <v>54</v>
      </c>
      <c r="Z237" s="124"/>
      <c r="AA237" s="135">
        <v>0</v>
      </c>
      <c r="AB237" s="126">
        <f t="shared" si="30"/>
        <v>89819.285227202345</v>
      </c>
      <c r="AC237" s="126">
        <f t="shared" si="34"/>
        <v>0</v>
      </c>
      <c r="AD237" s="127">
        <f t="shared" si="31"/>
        <v>382.21962500000001</v>
      </c>
      <c r="AE237" s="123"/>
    </row>
    <row r="238" spans="1:31" s="112" customFormat="1" ht="25.5" x14ac:dyDescent="0.2">
      <c r="A238" s="110" t="s">
        <v>110</v>
      </c>
      <c r="B238" s="114" t="str">
        <f>VLOOKUP(A238,Sheet1!A:B,2,0)</f>
        <v>HP</v>
      </c>
      <c r="C238" s="130" t="s">
        <v>66</v>
      </c>
      <c r="D238" s="110">
        <v>23480202017</v>
      </c>
      <c r="E238" s="110" t="s">
        <v>42</v>
      </c>
      <c r="F238" s="114" t="s">
        <v>116</v>
      </c>
      <c r="G238" s="162" t="s">
        <v>44</v>
      </c>
      <c r="H238" s="123">
        <v>2024</v>
      </c>
      <c r="I238" s="116">
        <v>6</v>
      </c>
      <c r="J238" s="117">
        <v>45590</v>
      </c>
      <c r="K238" s="118">
        <v>0.5</v>
      </c>
      <c r="L238" s="119">
        <f t="shared" si="38"/>
        <v>1.0628666666666668</v>
      </c>
      <c r="M238" s="119">
        <v>1.1322000000000001</v>
      </c>
      <c r="N238" s="119">
        <v>6.9333333333333302E-2</v>
      </c>
      <c r="O238" s="119">
        <f t="shared" si="32"/>
        <v>3.4666666666666651E-2</v>
      </c>
      <c r="P238" s="120">
        <v>1</v>
      </c>
      <c r="Q238" s="119">
        <f t="shared" si="33"/>
        <v>1.0628666666666668</v>
      </c>
      <c r="R238" s="121">
        <v>253803</v>
      </c>
      <c r="S238" s="122">
        <f t="shared" si="36"/>
        <v>371907</v>
      </c>
      <c r="T238" s="119">
        <f>208000+207000+35513+26171+7330</f>
        <v>484014</v>
      </c>
      <c r="U238" s="119">
        <f t="shared" si="37"/>
        <v>458228.44800000003</v>
      </c>
      <c r="V238" s="134" t="s">
        <v>122</v>
      </c>
      <c r="W238" s="134"/>
      <c r="X238" s="124">
        <v>2.3839999999999999</v>
      </c>
      <c r="Y238" s="124" t="s">
        <v>54</v>
      </c>
      <c r="Z238" s="124" t="s">
        <v>93</v>
      </c>
      <c r="AA238" s="125">
        <v>0.7964</v>
      </c>
      <c r="AB238" s="126">
        <f t="shared" si="30"/>
        <v>287355.75660000002</v>
      </c>
      <c r="AC238" s="126">
        <f t="shared" si="34"/>
        <v>202128.70920000001</v>
      </c>
      <c r="AD238" s="127">
        <f t="shared" si="31"/>
        <v>605.06635199999994</v>
      </c>
      <c r="AE238" s="123"/>
    </row>
    <row r="239" spans="1:31" s="112" customFormat="1" ht="51" x14ac:dyDescent="0.2">
      <c r="A239" s="110" t="s">
        <v>110</v>
      </c>
      <c r="B239" s="114" t="str">
        <f>VLOOKUP(A239,Sheet1!A:B,2,0)</f>
        <v>HP</v>
      </c>
      <c r="C239" s="130" t="s">
        <v>81</v>
      </c>
      <c r="D239" s="110">
        <v>23480202018</v>
      </c>
      <c r="E239" s="110" t="s">
        <v>42</v>
      </c>
      <c r="F239" s="114" t="s">
        <v>116</v>
      </c>
      <c r="G239" s="162" t="s">
        <v>44</v>
      </c>
      <c r="H239" s="123">
        <v>2024</v>
      </c>
      <c r="I239" s="116">
        <v>6</v>
      </c>
      <c r="J239" s="117">
        <v>45590</v>
      </c>
      <c r="K239" s="118">
        <v>0.4</v>
      </c>
      <c r="L239" s="119">
        <f t="shared" si="38"/>
        <v>0.41382922267354705</v>
      </c>
      <c r="M239" s="119">
        <v>0.54316255600688002</v>
      </c>
      <c r="N239" s="119">
        <v>0.12933333333333299</v>
      </c>
      <c r="O239" s="119">
        <f t="shared" si="32"/>
        <v>5.1733333333333201E-2</v>
      </c>
      <c r="P239" s="120">
        <v>1</v>
      </c>
      <c r="Q239" s="119">
        <f t="shared" si="33"/>
        <v>0.41382922267354705</v>
      </c>
      <c r="R239" s="121">
        <v>91870</v>
      </c>
      <c r="S239" s="122">
        <f t="shared" si="36"/>
        <v>184835</v>
      </c>
      <c r="T239" s="119">
        <f>388000+53870+10859</f>
        <v>452729</v>
      </c>
      <c r="U239" s="119">
        <f t="shared" si="37"/>
        <v>428823.6733333334</v>
      </c>
      <c r="V239" s="134" t="s">
        <v>123</v>
      </c>
      <c r="W239" s="123"/>
      <c r="X239" s="124">
        <v>3.673</v>
      </c>
      <c r="Y239" s="124" t="s">
        <v>54</v>
      </c>
      <c r="Z239" s="124"/>
      <c r="AA239" s="135">
        <v>0</v>
      </c>
      <c r="AB239" s="126">
        <f t="shared" si="30"/>
        <v>49900.344020352066</v>
      </c>
      <c r="AC239" s="126">
        <f t="shared" si="34"/>
        <v>0</v>
      </c>
      <c r="AD239" s="127">
        <f t="shared" si="31"/>
        <v>337.43851000000001</v>
      </c>
      <c r="AE239" s="123"/>
    </row>
    <row r="240" spans="1:31" s="113" customFormat="1" x14ac:dyDescent="0.2">
      <c r="A240" s="110" t="s">
        <v>89</v>
      </c>
      <c r="B240" s="114" t="str">
        <f>VLOOKUP(A240,Sheet1!A:B,2,0)</f>
        <v>HP</v>
      </c>
      <c r="C240" s="140" t="s">
        <v>90</v>
      </c>
      <c r="D240" s="111">
        <v>22150202014</v>
      </c>
      <c r="E240" s="111" t="s">
        <v>42</v>
      </c>
      <c r="F240" s="111" t="s">
        <v>91</v>
      </c>
      <c r="G240" s="162" t="s">
        <v>44</v>
      </c>
      <c r="H240" s="116">
        <v>2024</v>
      </c>
      <c r="I240" s="116">
        <v>7</v>
      </c>
      <c r="J240" s="117">
        <v>45590</v>
      </c>
      <c r="K240" s="118">
        <v>0.4</v>
      </c>
      <c r="L240" s="141">
        <v>2.3161999999999998</v>
      </c>
      <c r="M240" s="141">
        <v>2.2169787761879198</v>
      </c>
      <c r="N240" s="141">
        <v>0</v>
      </c>
      <c r="O240" s="119">
        <f t="shared" si="32"/>
        <v>0</v>
      </c>
      <c r="P240" s="120">
        <v>1</v>
      </c>
      <c r="Q240" s="119">
        <f t="shared" si="33"/>
        <v>2.3161999999999998</v>
      </c>
      <c r="R240" s="121">
        <v>125070</v>
      </c>
      <c r="S240" s="121">
        <f t="shared" si="36"/>
        <v>1787241</v>
      </c>
      <c r="T240" s="141">
        <v>105000</v>
      </c>
      <c r="U240" s="141">
        <v>42668.587500000001</v>
      </c>
      <c r="V240" s="142" t="s">
        <v>92</v>
      </c>
      <c r="W240" s="142"/>
      <c r="X240" s="143">
        <v>1.5549999999999999</v>
      </c>
      <c r="Y240" s="143" t="s">
        <v>54</v>
      </c>
      <c r="Z240" s="124" t="s">
        <v>93</v>
      </c>
      <c r="AA240" s="135">
        <v>1.9422999999999999</v>
      </c>
      <c r="AB240" s="126">
        <f t="shared" si="30"/>
        <v>277277.53553782316</v>
      </c>
      <c r="AC240" s="126">
        <f t="shared" si="34"/>
        <v>242923.46099999998</v>
      </c>
      <c r="AD240" s="144">
        <f t="shared" si="31"/>
        <v>194.48385000000002</v>
      </c>
      <c r="AE240" s="116"/>
    </row>
    <row r="241" spans="1:31" s="113" customFormat="1" ht="25.5" x14ac:dyDescent="0.2">
      <c r="A241" s="110" t="s">
        <v>89</v>
      </c>
      <c r="B241" s="114" t="str">
        <f>VLOOKUP(A241,Sheet1!A:B,2,0)</f>
        <v>HP</v>
      </c>
      <c r="C241" s="130" t="s">
        <v>94</v>
      </c>
      <c r="D241" s="111">
        <v>22150202015</v>
      </c>
      <c r="E241" s="111" t="s">
        <v>42</v>
      </c>
      <c r="F241" s="111" t="s">
        <v>91</v>
      </c>
      <c r="G241" s="162" t="s">
        <v>44</v>
      </c>
      <c r="H241" s="116">
        <v>2024</v>
      </c>
      <c r="I241" s="116">
        <v>7</v>
      </c>
      <c r="J241" s="117">
        <v>45590</v>
      </c>
      <c r="K241" s="118">
        <v>0.6</v>
      </c>
      <c r="L241" s="141">
        <v>1.5443588135792301</v>
      </c>
      <c r="M241" s="141">
        <v>1.5423175780454099</v>
      </c>
      <c r="N241" s="141">
        <v>0</v>
      </c>
      <c r="O241" s="119">
        <f t="shared" si="32"/>
        <v>0</v>
      </c>
      <c r="P241" s="120">
        <v>1</v>
      </c>
      <c r="Q241" s="119">
        <f t="shared" si="33"/>
        <v>1.5443588135792301</v>
      </c>
      <c r="R241" s="121">
        <v>180404</v>
      </c>
      <c r="S241" s="121">
        <f t="shared" si="36"/>
        <v>1301601</v>
      </c>
      <c r="T241" s="141">
        <v>376000</v>
      </c>
      <c r="U241" s="141">
        <v>275626.17333333299</v>
      </c>
      <c r="V241" s="142" t="s">
        <v>95</v>
      </c>
      <c r="W241" s="142"/>
      <c r="X241" s="143">
        <v>1.7450000000000001</v>
      </c>
      <c r="Y241" s="143" t="s">
        <v>54</v>
      </c>
      <c r="Z241" s="124" t="s">
        <v>93</v>
      </c>
      <c r="AA241" s="135">
        <v>1.1437999999999999</v>
      </c>
      <c r="AB241" s="126">
        <f t="shared" si="30"/>
        <v>278240.26034970413</v>
      </c>
      <c r="AC241" s="126">
        <f t="shared" si="34"/>
        <v>206346.09519999998</v>
      </c>
      <c r="AD241" s="144">
        <f t="shared" si="31"/>
        <v>314.80498000000006</v>
      </c>
      <c r="AE241" s="116"/>
    </row>
    <row r="242" spans="1:31" s="113" customFormat="1" x14ac:dyDescent="0.2">
      <c r="A242" s="110" t="s">
        <v>89</v>
      </c>
      <c r="B242" s="114" t="str">
        <f>VLOOKUP(A242,Sheet1!A:B,2,0)</f>
        <v>HP</v>
      </c>
      <c r="C242" s="130" t="s">
        <v>66</v>
      </c>
      <c r="D242" s="111">
        <v>22150202010</v>
      </c>
      <c r="E242" s="111" t="s">
        <v>42</v>
      </c>
      <c r="F242" s="111" t="s">
        <v>96</v>
      </c>
      <c r="G242" s="162" t="s">
        <v>44</v>
      </c>
      <c r="H242" s="116">
        <v>2024</v>
      </c>
      <c r="I242" s="116">
        <v>7</v>
      </c>
      <c r="J242" s="117">
        <v>45590</v>
      </c>
      <c r="K242" s="118">
        <v>0.4</v>
      </c>
      <c r="L242" s="141">
        <v>0.91622499999999996</v>
      </c>
      <c r="M242" s="141">
        <v>1.13316525889116</v>
      </c>
      <c r="N242" s="141">
        <v>0</v>
      </c>
      <c r="O242" s="119">
        <f t="shared" si="32"/>
        <v>0</v>
      </c>
      <c r="P242" s="120">
        <v>1</v>
      </c>
      <c r="Q242" s="119">
        <f t="shared" si="33"/>
        <v>0.91622499999999996</v>
      </c>
      <c r="R242" s="121">
        <v>120063</v>
      </c>
      <c r="S242" s="121">
        <f t="shared" si="36"/>
        <v>1464859</v>
      </c>
      <c r="T242" s="141">
        <f>98350</f>
        <v>98350</v>
      </c>
      <c r="U242" s="141">
        <v>-232301.71650000001</v>
      </c>
      <c r="V242" s="142" t="s">
        <v>97</v>
      </c>
      <c r="W242" s="142"/>
      <c r="X242" s="143">
        <v>0.57899999999999996</v>
      </c>
      <c r="Y242" s="143" t="s">
        <v>54</v>
      </c>
      <c r="Z242" s="124" t="s">
        <v>93</v>
      </c>
      <c r="AA242" s="135">
        <v>0.75590000000000002</v>
      </c>
      <c r="AB242" s="126">
        <f t="shared" si="30"/>
        <v>136051.22047824934</v>
      </c>
      <c r="AC242" s="126">
        <f t="shared" si="34"/>
        <v>90755.621700000003</v>
      </c>
      <c r="AD242" s="144">
        <f t="shared" si="31"/>
        <v>69.516476999999995</v>
      </c>
      <c r="AE242" s="116"/>
    </row>
    <row r="243" spans="1:31" s="113" customFormat="1" x14ac:dyDescent="0.2">
      <c r="A243" s="110" t="s">
        <v>89</v>
      </c>
      <c r="B243" s="114" t="str">
        <f>VLOOKUP(A243,Sheet1!A:B,2,0)</f>
        <v>HP</v>
      </c>
      <c r="C243" s="130" t="s">
        <v>98</v>
      </c>
      <c r="D243" s="111">
        <v>22150202008</v>
      </c>
      <c r="E243" s="111" t="s">
        <v>42</v>
      </c>
      <c r="F243" s="111" t="s">
        <v>99</v>
      </c>
      <c r="G243" s="162" t="s">
        <v>44</v>
      </c>
      <c r="H243" s="116">
        <v>2024</v>
      </c>
      <c r="I243" s="116">
        <v>7</v>
      </c>
      <c r="J243" s="117">
        <v>45590</v>
      </c>
      <c r="K243" s="118">
        <v>0.5</v>
      </c>
      <c r="L243" s="141">
        <v>0.1278</v>
      </c>
      <c r="M243" s="141">
        <v>0.15579999999999999</v>
      </c>
      <c r="N243" s="141">
        <v>0</v>
      </c>
      <c r="O243" s="119">
        <f t="shared" si="32"/>
        <v>0</v>
      </c>
      <c r="P243" s="120">
        <v>1</v>
      </c>
      <c r="Q243" s="119">
        <f t="shared" si="33"/>
        <v>0.1278</v>
      </c>
      <c r="R243" s="121">
        <v>0</v>
      </c>
      <c r="S243" s="121">
        <f t="shared" si="36"/>
        <v>1116157</v>
      </c>
      <c r="T243" s="141">
        <f>98000+12600</f>
        <v>110600</v>
      </c>
      <c r="U243" s="141">
        <v>79347.604000000007</v>
      </c>
      <c r="V243" s="142" t="s">
        <v>100</v>
      </c>
      <c r="W243" s="142"/>
      <c r="X243" s="143">
        <v>0.76300000000000001</v>
      </c>
      <c r="Y243" s="143" t="s">
        <v>54</v>
      </c>
      <c r="Z243" s="143"/>
      <c r="AA243" s="135">
        <v>0</v>
      </c>
      <c r="AB243" s="126">
        <f t="shared" si="30"/>
        <v>0</v>
      </c>
      <c r="AC243" s="126">
        <f t="shared" si="34"/>
        <v>0</v>
      </c>
      <c r="AD243" s="144">
        <f t="shared" si="31"/>
        <v>0</v>
      </c>
      <c r="AE243" s="116"/>
    </row>
    <row r="244" spans="1:31" s="113" customFormat="1" x14ac:dyDescent="0.2">
      <c r="A244" s="110" t="s">
        <v>89</v>
      </c>
      <c r="B244" s="114" t="str">
        <f>VLOOKUP(A244,Sheet1!A:B,2,0)</f>
        <v>HP</v>
      </c>
      <c r="C244" s="140" t="s">
        <v>101</v>
      </c>
      <c r="D244" s="111">
        <v>22150202017</v>
      </c>
      <c r="E244" s="111" t="s">
        <v>42</v>
      </c>
      <c r="F244" s="111" t="s">
        <v>99</v>
      </c>
      <c r="G244" s="162" t="s">
        <v>44</v>
      </c>
      <c r="H244" s="116">
        <v>2024</v>
      </c>
      <c r="I244" s="116">
        <v>7</v>
      </c>
      <c r="J244" s="117">
        <v>45590</v>
      </c>
      <c r="K244" s="118">
        <v>0.4</v>
      </c>
      <c r="L244" s="141">
        <v>0.17249999999999999</v>
      </c>
      <c r="M244" s="141">
        <v>0.41749999999999998</v>
      </c>
      <c r="N244" s="141">
        <v>0</v>
      </c>
      <c r="O244" s="119">
        <f t="shared" si="32"/>
        <v>0</v>
      </c>
      <c r="P244" s="120">
        <v>1</v>
      </c>
      <c r="Q244" s="119">
        <f t="shared" si="33"/>
        <v>0.17249999999999999</v>
      </c>
      <c r="R244" s="121">
        <v>43200</v>
      </c>
      <c r="S244" s="121">
        <f t="shared" si="36"/>
        <v>909437</v>
      </c>
      <c r="T244" s="141">
        <v>98000</v>
      </c>
      <c r="U244" s="141">
        <v>-114228.065</v>
      </c>
      <c r="V244" s="142" t="s">
        <v>102</v>
      </c>
      <c r="W244" s="142"/>
      <c r="X244" s="143">
        <v>1.173</v>
      </c>
      <c r="Y244" s="143" t="s">
        <v>54</v>
      </c>
      <c r="Z244" s="143"/>
      <c r="AA244" s="135">
        <v>0</v>
      </c>
      <c r="AB244" s="126">
        <f t="shared" si="30"/>
        <v>18036</v>
      </c>
      <c r="AC244" s="126">
        <f t="shared" si="34"/>
        <v>0</v>
      </c>
      <c r="AD244" s="144">
        <f t="shared" si="31"/>
        <v>50.6736</v>
      </c>
      <c r="AE244" s="116"/>
    </row>
    <row r="245" spans="1:31" s="113" customFormat="1" x14ac:dyDescent="0.2">
      <c r="A245" s="110" t="s">
        <v>89</v>
      </c>
      <c r="B245" s="114" t="str">
        <f>VLOOKUP(A245,Sheet1!A:B,2,0)</f>
        <v>HP</v>
      </c>
      <c r="C245" s="130" t="s">
        <v>103</v>
      </c>
      <c r="D245" s="111">
        <v>22150202009</v>
      </c>
      <c r="E245" s="111" t="s">
        <v>42</v>
      </c>
      <c r="F245" s="111" t="s">
        <v>91</v>
      </c>
      <c r="G245" s="162" t="s">
        <v>44</v>
      </c>
      <c r="H245" s="116">
        <v>2024</v>
      </c>
      <c r="I245" s="116">
        <v>7</v>
      </c>
      <c r="J245" s="117">
        <v>45590</v>
      </c>
      <c r="K245" s="118">
        <v>0.5</v>
      </c>
      <c r="L245" s="141">
        <v>0.1285</v>
      </c>
      <c r="M245" s="141">
        <v>0.1565</v>
      </c>
      <c r="N245" s="141">
        <v>0</v>
      </c>
      <c r="O245" s="119">
        <f t="shared" si="32"/>
        <v>0</v>
      </c>
      <c r="P245" s="120">
        <v>1</v>
      </c>
      <c r="Q245" s="119">
        <f t="shared" si="33"/>
        <v>0.1285</v>
      </c>
      <c r="R245" s="121">
        <v>132000</v>
      </c>
      <c r="S245" s="121">
        <f t="shared" si="36"/>
        <v>1825940</v>
      </c>
      <c r="T245" s="141">
        <f>98000</f>
        <v>98000</v>
      </c>
      <c r="U245" s="141">
        <v>50569.68</v>
      </c>
      <c r="V245" s="136" t="s">
        <v>97</v>
      </c>
      <c r="W245" s="136"/>
      <c r="X245" s="137">
        <v>0.69499999999999995</v>
      </c>
      <c r="Y245" s="138" t="s">
        <v>54</v>
      </c>
      <c r="Z245" s="138"/>
      <c r="AA245" s="135">
        <v>0</v>
      </c>
      <c r="AB245" s="126">
        <f t="shared" si="30"/>
        <v>20658</v>
      </c>
      <c r="AC245" s="126">
        <f t="shared" si="34"/>
        <v>0</v>
      </c>
      <c r="AD245" s="144">
        <f t="shared" si="31"/>
        <v>91.74</v>
      </c>
      <c r="AE245" s="116"/>
    </row>
    <row r="246" spans="1:31" s="113" customFormat="1" x14ac:dyDescent="0.2">
      <c r="A246" s="110" t="s">
        <v>89</v>
      </c>
      <c r="B246" s="114" t="str">
        <f>VLOOKUP(A246,Sheet1!A:B,2,0)</f>
        <v>HP</v>
      </c>
      <c r="C246" s="130" t="s">
        <v>104</v>
      </c>
      <c r="D246" s="111">
        <v>22150202021</v>
      </c>
      <c r="E246" s="111" t="s">
        <v>42</v>
      </c>
      <c r="F246" s="111" t="s">
        <v>91</v>
      </c>
      <c r="G246" s="162" t="s">
        <v>44</v>
      </c>
      <c r="H246" s="116">
        <v>2024</v>
      </c>
      <c r="I246" s="116">
        <v>7</v>
      </c>
      <c r="J246" s="117">
        <v>45590</v>
      </c>
      <c r="K246" s="118">
        <v>0.6</v>
      </c>
      <c r="L246" s="141">
        <v>2.5636999999999999</v>
      </c>
      <c r="M246" s="141">
        <v>2.7518227149358401</v>
      </c>
      <c r="N246" s="141">
        <v>0</v>
      </c>
      <c r="O246" s="119">
        <f t="shared" si="32"/>
        <v>0</v>
      </c>
      <c r="P246" s="120">
        <v>1</v>
      </c>
      <c r="Q246" s="119">
        <f t="shared" si="33"/>
        <v>2.5636999999999999</v>
      </c>
      <c r="R246" s="121">
        <v>97200</v>
      </c>
      <c r="S246" s="121">
        <f t="shared" si="36"/>
        <v>1942687</v>
      </c>
      <c r="T246" s="141">
        <f>200100</f>
        <v>200100</v>
      </c>
      <c r="U246" s="141">
        <v>-415369.91450000001</v>
      </c>
      <c r="V246" s="142" t="s">
        <v>105</v>
      </c>
      <c r="W246" s="142"/>
      <c r="X246" s="143">
        <v>3.4089999999999998</v>
      </c>
      <c r="Y246" s="145" t="s">
        <v>54</v>
      </c>
      <c r="Z246" s="124" t="s">
        <v>93</v>
      </c>
      <c r="AA246" s="135">
        <v>1.7574000000000001</v>
      </c>
      <c r="AB246" s="126">
        <f t="shared" si="30"/>
        <v>267477.16789176367</v>
      </c>
      <c r="AC246" s="126">
        <f t="shared" si="34"/>
        <v>170819.28</v>
      </c>
      <c r="AD246" s="144">
        <f t="shared" si="31"/>
        <v>331.35480000000001</v>
      </c>
      <c r="AE246" s="116"/>
    </row>
    <row r="247" spans="1:31" s="113" customFormat="1" x14ac:dyDescent="0.2">
      <c r="A247" s="110" t="s">
        <v>89</v>
      </c>
      <c r="B247" s="114" t="str">
        <f>VLOOKUP(A247,Sheet1!A:B,2,0)</f>
        <v>HP</v>
      </c>
      <c r="C247" s="130" t="s">
        <v>106</v>
      </c>
      <c r="D247" s="111">
        <v>22150202018</v>
      </c>
      <c r="E247" s="111" t="s">
        <v>42</v>
      </c>
      <c r="F247" s="111" t="s">
        <v>91</v>
      </c>
      <c r="G247" s="162" t="s">
        <v>44</v>
      </c>
      <c r="H247" s="116">
        <v>2024</v>
      </c>
      <c r="I247" s="116">
        <v>7</v>
      </c>
      <c r="J247" s="117">
        <v>45590</v>
      </c>
      <c r="K247" s="118">
        <v>0.4</v>
      </c>
      <c r="L247" s="141">
        <v>0.1608</v>
      </c>
      <c r="M247" s="141">
        <v>0.1958</v>
      </c>
      <c r="N247" s="141">
        <v>0</v>
      </c>
      <c r="O247" s="119">
        <f t="shared" si="32"/>
        <v>0</v>
      </c>
      <c r="P247" s="120">
        <v>1</v>
      </c>
      <c r="Q247" s="119">
        <f t="shared" si="33"/>
        <v>0.1608</v>
      </c>
      <c r="R247" s="121">
        <v>43560</v>
      </c>
      <c r="S247" s="121">
        <f t="shared" si="36"/>
        <v>1786486</v>
      </c>
      <c r="T247" s="141">
        <f>98000</f>
        <v>98000</v>
      </c>
      <c r="U247" s="141">
        <v>36997.589999999997</v>
      </c>
      <c r="V247" s="142" t="s">
        <v>107</v>
      </c>
      <c r="W247" s="142"/>
      <c r="X247" s="143">
        <v>1.117</v>
      </c>
      <c r="Y247" s="143" t="s">
        <v>54</v>
      </c>
      <c r="Z247" s="143"/>
      <c r="AA247" s="135">
        <v>0</v>
      </c>
      <c r="AB247" s="126">
        <f t="shared" si="30"/>
        <v>8529.0480000000007</v>
      </c>
      <c r="AC247" s="126">
        <f t="shared" si="34"/>
        <v>0</v>
      </c>
      <c r="AD247" s="144">
        <f t="shared" si="31"/>
        <v>48.656519999999993</v>
      </c>
      <c r="AE247" s="116"/>
    </row>
    <row r="248" spans="1:31" s="113" customFormat="1" x14ac:dyDescent="0.2">
      <c r="A248" s="110" t="s">
        <v>89</v>
      </c>
      <c r="B248" s="114" t="str">
        <f>VLOOKUP(A248,Sheet1!A:B,2,0)</f>
        <v>HP</v>
      </c>
      <c r="C248" s="130" t="s">
        <v>108</v>
      </c>
      <c r="D248" s="111">
        <v>22150202007</v>
      </c>
      <c r="E248" s="111" t="s">
        <v>42</v>
      </c>
      <c r="F248" s="111" t="s">
        <v>109</v>
      </c>
      <c r="G248" s="162" t="s">
        <v>44</v>
      </c>
      <c r="H248" s="116">
        <v>2024</v>
      </c>
      <c r="I248" s="116">
        <v>7</v>
      </c>
      <c r="J248" s="117">
        <v>45590</v>
      </c>
      <c r="K248" s="118">
        <v>0.5</v>
      </c>
      <c r="L248" s="141">
        <v>0.122757142857143</v>
      </c>
      <c r="M248" s="141">
        <v>0.16</v>
      </c>
      <c r="N248" s="141">
        <v>0</v>
      </c>
      <c r="O248" s="119">
        <f t="shared" si="32"/>
        <v>0</v>
      </c>
      <c r="P248" s="120">
        <v>1</v>
      </c>
      <c r="Q248" s="119">
        <f t="shared" si="33"/>
        <v>0.122757142857143</v>
      </c>
      <c r="R248" s="121">
        <v>153000</v>
      </c>
      <c r="S248" s="121">
        <f t="shared" si="36"/>
        <v>2381824</v>
      </c>
      <c r="T248" s="141">
        <v>130350</v>
      </c>
      <c r="U248" s="141">
        <v>47342.226171428701</v>
      </c>
      <c r="V248" s="142" t="s">
        <v>100</v>
      </c>
      <c r="W248" s="142"/>
      <c r="X248" s="143">
        <v>0.52400000000000002</v>
      </c>
      <c r="Y248" s="143" t="s">
        <v>54</v>
      </c>
      <c r="Z248" s="143"/>
      <c r="AA248" s="135">
        <v>0</v>
      </c>
      <c r="AB248" s="126">
        <f t="shared" si="30"/>
        <v>24480</v>
      </c>
      <c r="AC248" s="126">
        <f t="shared" si="34"/>
        <v>0</v>
      </c>
      <c r="AD248" s="144">
        <f t="shared" si="31"/>
        <v>80.171999999999997</v>
      </c>
      <c r="AE248" s="116"/>
    </row>
    <row r="249" spans="1:31" s="113" customFormat="1" x14ac:dyDescent="0.2">
      <c r="A249" s="111" t="s">
        <v>110</v>
      </c>
      <c r="B249" s="114" t="str">
        <f>VLOOKUP(A249,Sheet1!A:B,2,0)</f>
        <v>HP</v>
      </c>
      <c r="C249" s="130" t="s">
        <v>98</v>
      </c>
      <c r="D249" s="111">
        <v>23590202001</v>
      </c>
      <c r="E249" s="111" t="s">
        <v>42</v>
      </c>
      <c r="F249" s="111" t="s">
        <v>111</v>
      </c>
      <c r="G249" s="162" t="s">
        <v>44</v>
      </c>
      <c r="H249" s="116">
        <v>2024</v>
      </c>
      <c r="I249" s="116">
        <v>7</v>
      </c>
      <c r="J249" s="117">
        <v>45590</v>
      </c>
      <c r="K249" s="118">
        <v>0.5</v>
      </c>
      <c r="L249" s="141">
        <v>0.125588670602168</v>
      </c>
      <c r="M249" s="141">
        <v>0.15358867060216799</v>
      </c>
      <c r="N249" s="141">
        <v>0</v>
      </c>
      <c r="O249" s="119">
        <f t="shared" si="32"/>
        <v>0</v>
      </c>
      <c r="P249" s="120">
        <v>1</v>
      </c>
      <c r="Q249" s="119">
        <f t="shared" si="33"/>
        <v>0.125588670602168</v>
      </c>
      <c r="R249" s="121">
        <v>178500</v>
      </c>
      <c r="S249" s="121">
        <f t="shared" si="36"/>
        <v>1410930</v>
      </c>
      <c r="T249" s="141">
        <v>98000</v>
      </c>
      <c r="U249" s="141">
        <v>63491.96</v>
      </c>
      <c r="V249" s="142" t="s">
        <v>112</v>
      </c>
      <c r="W249" s="142"/>
      <c r="X249" s="143">
        <v>0.69499999999999995</v>
      </c>
      <c r="Y249" s="143" t="s">
        <v>54</v>
      </c>
      <c r="Z249" s="143"/>
      <c r="AA249" s="135">
        <v>0</v>
      </c>
      <c r="AB249" s="126">
        <f t="shared" si="30"/>
        <v>27415.577702486986</v>
      </c>
      <c r="AC249" s="126">
        <f t="shared" si="34"/>
        <v>0</v>
      </c>
      <c r="AD249" s="144">
        <f t="shared" si="31"/>
        <v>124.05749999999999</v>
      </c>
      <c r="AE249" s="116"/>
    </row>
    <row r="250" spans="1:31" s="113" customFormat="1" ht="25.5" x14ac:dyDescent="0.2">
      <c r="A250" s="111" t="s">
        <v>110</v>
      </c>
      <c r="B250" s="114" t="str">
        <f>VLOOKUP(A250,Sheet1!A:B,2,0)</f>
        <v>HP</v>
      </c>
      <c r="C250" s="140" t="s">
        <v>101</v>
      </c>
      <c r="D250" s="111">
        <v>23480202015</v>
      </c>
      <c r="E250" s="111" t="s">
        <v>42</v>
      </c>
      <c r="F250" s="111" t="s">
        <v>113</v>
      </c>
      <c r="G250" s="162" t="s">
        <v>44</v>
      </c>
      <c r="H250" s="116">
        <v>2024</v>
      </c>
      <c r="I250" s="116">
        <v>7</v>
      </c>
      <c r="J250" s="117">
        <v>45590</v>
      </c>
      <c r="K250" s="118">
        <v>0.4</v>
      </c>
      <c r="L250" s="141">
        <v>0.27566008648311202</v>
      </c>
      <c r="M250" s="141">
        <v>0.353993419816445</v>
      </c>
      <c r="N250" s="141">
        <v>0</v>
      </c>
      <c r="O250" s="119">
        <f t="shared" si="32"/>
        <v>0</v>
      </c>
      <c r="P250" s="120">
        <v>1</v>
      </c>
      <c r="Q250" s="119">
        <f t="shared" si="33"/>
        <v>0.27566008648311202</v>
      </c>
      <c r="R250" s="121">
        <v>127980</v>
      </c>
      <c r="S250" s="121">
        <f t="shared" si="36"/>
        <v>907156</v>
      </c>
      <c r="T250" s="141">
        <v>188000</v>
      </c>
      <c r="U250" s="141">
        <v>126964.546666667</v>
      </c>
      <c r="V250" s="142" t="s">
        <v>114</v>
      </c>
      <c r="W250" s="142"/>
      <c r="X250" s="143">
        <v>1.722</v>
      </c>
      <c r="Y250" s="143" t="s">
        <v>54</v>
      </c>
      <c r="Z250" s="143"/>
      <c r="AA250" s="135">
        <v>0</v>
      </c>
      <c r="AB250" s="126">
        <f t="shared" si="30"/>
        <v>45304.07786810863</v>
      </c>
      <c r="AC250" s="126">
        <f t="shared" si="34"/>
        <v>0</v>
      </c>
      <c r="AD250" s="144">
        <f t="shared" si="31"/>
        <v>220.38156000000001</v>
      </c>
      <c r="AE250" s="116"/>
    </row>
    <row r="251" spans="1:31" s="113" customFormat="1" x14ac:dyDescent="0.2">
      <c r="A251" s="111" t="s">
        <v>110</v>
      </c>
      <c r="B251" s="114" t="str">
        <f>VLOOKUP(A251,Sheet1!A:B,2,0)</f>
        <v>HP</v>
      </c>
      <c r="C251" s="130" t="s">
        <v>115</v>
      </c>
      <c r="D251" s="111">
        <v>23480202012</v>
      </c>
      <c r="E251" s="111" t="s">
        <v>42</v>
      </c>
      <c r="F251" s="140" t="s">
        <v>116</v>
      </c>
      <c r="G251" s="162" t="s">
        <v>44</v>
      </c>
      <c r="H251" s="116">
        <v>2024</v>
      </c>
      <c r="I251" s="116">
        <v>7</v>
      </c>
      <c r="J251" s="117">
        <v>45590</v>
      </c>
      <c r="K251" s="118">
        <v>0.4</v>
      </c>
      <c r="L251" s="141">
        <f>M251-N251</f>
        <v>0.80865388388102988</v>
      </c>
      <c r="M251" s="141">
        <v>1.0756538838810299</v>
      </c>
      <c r="N251" s="141">
        <v>0.26700000000000002</v>
      </c>
      <c r="O251" s="119">
        <f t="shared" si="32"/>
        <v>0.10680000000000001</v>
      </c>
      <c r="P251" s="120">
        <v>1</v>
      </c>
      <c r="Q251" s="119">
        <f t="shared" si="33"/>
        <v>0.80865388388102988</v>
      </c>
      <c r="R251" s="121">
        <v>172044</v>
      </c>
      <c r="S251" s="121">
        <f t="shared" si="36"/>
        <v>606050</v>
      </c>
      <c r="T251" s="141">
        <v>640000</v>
      </c>
      <c r="U251" s="141">
        <f>T251-N251*S251</f>
        <v>478184.65</v>
      </c>
      <c r="V251" s="142" t="s">
        <v>117</v>
      </c>
      <c r="W251" s="142"/>
      <c r="X251" s="143">
        <v>5.7469999999999999</v>
      </c>
      <c r="Y251" s="143" t="s">
        <v>54</v>
      </c>
      <c r="Z251" s="143"/>
      <c r="AA251" s="135">
        <v>0</v>
      </c>
      <c r="AB251" s="126">
        <f t="shared" si="30"/>
        <v>185059.79679842791</v>
      </c>
      <c r="AC251" s="126">
        <f t="shared" si="34"/>
        <v>0</v>
      </c>
      <c r="AD251" s="144">
        <f t="shared" si="31"/>
        <v>988.73686800000007</v>
      </c>
      <c r="AE251" s="116"/>
    </row>
    <row r="252" spans="1:31" s="113" customFormat="1" ht="25.5" x14ac:dyDescent="0.2">
      <c r="A252" s="111" t="s">
        <v>110</v>
      </c>
      <c r="B252" s="114" t="str">
        <f>VLOOKUP(A252,Sheet1!A:B,2,0)</f>
        <v>HP</v>
      </c>
      <c r="C252" s="130" t="s">
        <v>118</v>
      </c>
      <c r="D252" s="111">
        <v>23480202005</v>
      </c>
      <c r="E252" s="111" t="s">
        <v>42</v>
      </c>
      <c r="F252" s="140" t="s">
        <v>119</v>
      </c>
      <c r="G252" s="162" t="s">
        <v>44</v>
      </c>
      <c r="H252" s="116">
        <v>2024</v>
      </c>
      <c r="I252" s="116">
        <v>7</v>
      </c>
      <c r="J252" s="117">
        <v>45590</v>
      </c>
      <c r="K252" s="118">
        <v>0.6</v>
      </c>
      <c r="L252" s="141">
        <f>M252-N252</f>
        <v>0.61243323981863296</v>
      </c>
      <c r="M252" s="141">
        <v>0.790433239818633</v>
      </c>
      <c r="N252" s="141">
        <v>0.17799999999999999</v>
      </c>
      <c r="O252" s="119">
        <f t="shared" si="32"/>
        <v>0.10679999999999999</v>
      </c>
      <c r="P252" s="120">
        <v>1</v>
      </c>
      <c r="Q252" s="119">
        <f t="shared" si="33"/>
        <v>0.61243323981863296</v>
      </c>
      <c r="R252" s="121">
        <v>194430</v>
      </c>
      <c r="S252" s="121">
        <f t="shared" si="36"/>
        <v>786377</v>
      </c>
      <c r="T252" s="141">
        <f>640000+35296</f>
        <v>675296</v>
      </c>
      <c r="U252" s="141">
        <f>T252-N252*S252</f>
        <v>535320.89399999997</v>
      </c>
      <c r="V252" s="142" t="s">
        <v>120</v>
      </c>
      <c r="W252" s="142"/>
      <c r="X252" s="143">
        <v>3.2709999999999999</v>
      </c>
      <c r="Y252" s="143" t="s">
        <v>54</v>
      </c>
      <c r="Z252" s="143"/>
      <c r="AA252" s="135">
        <v>0</v>
      </c>
      <c r="AB252" s="126">
        <f t="shared" si="30"/>
        <v>153683.93481793682</v>
      </c>
      <c r="AC252" s="126">
        <f t="shared" si="34"/>
        <v>0</v>
      </c>
      <c r="AD252" s="144">
        <f t="shared" si="31"/>
        <v>635.98053000000004</v>
      </c>
      <c r="AE252" s="116"/>
    </row>
    <row r="253" spans="1:31" s="113" customFormat="1" x14ac:dyDescent="0.2">
      <c r="A253" s="111" t="s">
        <v>110</v>
      </c>
      <c r="B253" s="114" t="str">
        <f>VLOOKUP(A253,Sheet1!A:B,2,0)</f>
        <v>HP</v>
      </c>
      <c r="C253" s="130" t="s">
        <v>121</v>
      </c>
      <c r="D253" s="111">
        <v>23480202011</v>
      </c>
      <c r="E253" s="111" t="s">
        <v>42</v>
      </c>
      <c r="F253" s="140" t="s">
        <v>116</v>
      </c>
      <c r="G253" s="162" t="s">
        <v>44</v>
      </c>
      <c r="H253" s="116">
        <v>2024</v>
      </c>
      <c r="I253" s="116">
        <v>7</v>
      </c>
      <c r="J253" s="117">
        <v>45590</v>
      </c>
      <c r="K253" s="118">
        <v>0.5</v>
      </c>
      <c r="L253" s="141">
        <f>M253-N253</f>
        <v>0.29378086188436198</v>
      </c>
      <c r="M253" s="141">
        <v>0.41711419521769499</v>
      </c>
      <c r="N253" s="141">
        <v>0.123333333333333</v>
      </c>
      <c r="O253" s="119">
        <f t="shared" si="32"/>
        <v>6.1666666666666502E-2</v>
      </c>
      <c r="P253" s="120">
        <v>1</v>
      </c>
      <c r="Q253" s="119">
        <f t="shared" si="33"/>
        <v>0.29378086188436198</v>
      </c>
      <c r="R253" s="121">
        <v>216000</v>
      </c>
      <c r="S253" s="121">
        <f t="shared" si="36"/>
        <v>822735</v>
      </c>
      <c r="T253" s="141">
        <v>370000</v>
      </c>
      <c r="U253" s="141">
        <f>T253-N253*S253</f>
        <v>268529.35000000027</v>
      </c>
      <c r="V253" s="142" t="s">
        <v>107</v>
      </c>
      <c r="W253" s="142"/>
      <c r="X253" s="143">
        <v>1.7749999999999999</v>
      </c>
      <c r="Y253" s="143" t="s">
        <v>54</v>
      </c>
      <c r="Z253" s="143"/>
      <c r="AA253" s="135">
        <v>0</v>
      </c>
      <c r="AB253" s="126">
        <f t="shared" si="30"/>
        <v>90096.666167022122</v>
      </c>
      <c r="AC253" s="126">
        <f t="shared" si="34"/>
        <v>0</v>
      </c>
      <c r="AD253" s="144">
        <f t="shared" si="31"/>
        <v>383.4</v>
      </c>
      <c r="AE253" s="116"/>
    </row>
    <row r="254" spans="1:31" s="113" customFormat="1" ht="25.5" x14ac:dyDescent="0.2">
      <c r="A254" s="111" t="s">
        <v>110</v>
      </c>
      <c r="B254" s="114" t="str">
        <f>VLOOKUP(A254,Sheet1!A:B,2,0)</f>
        <v>HP</v>
      </c>
      <c r="C254" s="130" t="s">
        <v>66</v>
      </c>
      <c r="D254" s="111">
        <v>23480202017</v>
      </c>
      <c r="E254" s="111" t="s">
        <v>42</v>
      </c>
      <c r="F254" s="140" t="s">
        <v>116</v>
      </c>
      <c r="G254" s="162" t="s">
        <v>44</v>
      </c>
      <c r="H254" s="116">
        <v>2024</v>
      </c>
      <c r="I254" s="116">
        <v>7</v>
      </c>
      <c r="J254" s="117">
        <v>45590</v>
      </c>
      <c r="K254" s="118">
        <v>0.5</v>
      </c>
      <c r="L254" s="141">
        <f>M254-N254</f>
        <v>1.0628666666666668</v>
      </c>
      <c r="M254" s="141">
        <v>1.1322000000000001</v>
      </c>
      <c r="N254" s="141">
        <v>6.9333333333333302E-2</v>
      </c>
      <c r="O254" s="119">
        <f t="shared" si="32"/>
        <v>3.4666666666666651E-2</v>
      </c>
      <c r="P254" s="120">
        <v>1</v>
      </c>
      <c r="Q254" s="119">
        <f t="shared" si="33"/>
        <v>1.0628666666666668</v>
      </c>
      <c r="R254" s="121">
        <v>132832</v>
      </c>
      <c r="S254" s="121">
        <f t="shared" si="36"/>
        <v>504739</v>
      </c>
      <c r="T254" s="141">
        <f>208000+207000+35513+26171+7330</f>
        <v>484014</v>
      </c>
      <c r="U254" s="141">
        <f>T254-N254*S254</f>
        <v>449018.76266666671</v>
      </c>
      <c r="V254" s="142" t="s">
        <v>122</v>
      </c>
      <c r="W254" s="142"/>
      <c r="X254" s="143">
        <v>2.3839999999999999</v>
      </c>
      <c r="Y254" s="143" t="s">
        <v>54</v>
      </c>
      <c r="Z254" s="124" t="s">
        <v>93</v>
      </c>
      <c r="AA254" s="135">
        <v>0.7964</v>
      </c>
      <c r="AB254" s="126">
        <f t="shared" si="30"/>
        <v>150392.3904</v>
      </c>
      <c r="AC254" s="126">
        <f t="shared" si="34"/>
        <v>105787.4048</v>
      </c>
      <c r="AD254" s="144">
        <f t="shared" si="31"/>
        <v>316.67148800000001</v>
      </c>
      <c r="AE254" s="116"/>
    </row>
    <row r="255" spans="1:31" s="113" customFormat="1" ht="51" x14ac:dyDescent="0.2">
      <c r="A255" s="111" t="s">
        <v>110</v>
      </c>
      <c r="B255" s="114" t="str">
        <f>VLOOKUP(A255,Sheet1!A:B,2,0)</f>
        <v>HP</v>
      </c>
      <c r="C255" s="130" t="s">
        <v>81</v>
      </c>
      <c r="D255" s="111">
        <v>23480202018</v>
      </c>
      <c r="E255" s="111" t="s">
        <v>42</v>
      </c>
      <c r="F255" s="140" t="s">
        <v>116</v>
      </c>
      <c r="G255" s="162" t="s">
        <v>44</v>
      </c>
      <c r="H255" s="116">
        <v>2024</v>
      </c>
      <c r="I255" s="116">
        <v>7</v>
      </c>
      <c r="J255" s="117">
        <v>45590</v>
      </c>
      <c r="K255" s="118">
        <v>0.4</v>
      </c>
      <c r="L255" s="141">
        <f>M255-N255</f>
        <v>0.41382922267354705</v>
      </c>
      <c r="M255" s="141">
        <v>0.54316255600688002</v>
      </c>
      <c r="N255" s="141">
        <v>0.12933333333333299</v>
      </c>
      <c r="O255" s="119">
        <f t="shared" si="32"/>
        <v>5.1733333333333201E-2</v>
      </c>
      <c r="P255" s="120">
        <v>1</v>
      </c>
      <c r="Q255" s="119">
        <f t="shared" si="33"/>
        <v>0.41382922267354705</v>
      </c>
      <c r="R255" s="121">
        <v>101140</v>
      </c>
      <c r="S255" s="121">
        <f t="shared" si="36"/>
        <v>285975</v>
      </c>
      <c r="T255" s="141">
        <f>388000+53870+10859</f>
        <v>452729</v>
      </c>
      <c r="U255" s="141">
        <f>T255-N255*S255</f>
        <v>415742.90000000008</v>
      </c>
      <c r="V255" s="142" t="s">
        <v>123</v>
      </c>
      <c r="W255" s="116"/>
      <c r="X255" s="143">
        <v>3.673</v>
      </c>
      <c r="Y255" s="143" t="s">
        <v>54</v>
      </c>
      <c r="Z255" s="143"/>
      <c r="AA255" s="135">
        <v>0</v>
      </c>
      <c r="AB255" s="126">
        <f t="shared" si="30"/>
        <v>54935.460914535848</v>
      </c>
      <c r="AC255" s="126">
        <f t="shared" si="34"/>
        <v>0</v>
      </c>
      <c r="AD255" s="144">
        <f t="shared" si="31"/>
        <v>371.48722000000004</v>
      </c>
      <c r="AE255" s="116"/>
    </row>
    <row r="256" spans="1:31" s="113" customFormat="1" x14ac:dyDescent="0.2">
      <c r="A256" s="110" t="s">
        <v>89</v>
      </c>
      <c r="B256" s="114" t="str">
        <f>VLOOKUP(A256,Sheet1!A:B,2,0)</f>
        <v>HP</v>
      </c>
      <c r="C256" s="140" t="s">
        <v>90</v>
      </c>
      <c r="D256" s="111">
        <v>22150202014</v>
      </c>
      <c r="E256" s="111" t="s">
        <v>42</v>
      </c>
      <c r="F256" s="111" t="s">
        <v>91</v>
      </c>
      <c r="G256" s="162" t="s">
        <v>44</v>
      </c>
      <c r="H256" s="116">
        <v>2024</v>
      </c>
      <c r="I256" s="116">
        <v>8</v>
      </c>
      <c r="J256" s="117">
        <v>45590</v>
      </c>
      <c r="K256" s="118">
        <v>0.4</v>
      </c>
      <c r="L256" s="141">
        <v>2.3161999999999998</v>
      </c>
      <c r="M256" s="141">
        <v>2.2169787761879198</v>
      </c>
      <c r="N256" s="141">
        <v>0</v>
      </c>
      <c r="O256" s="119">
        <f t="shared" si="32"/>
        <v>0</v>
      </c>
      <c r="P256" s="120">
        <v>1</v>
      </c>
      <c r="Q256" s="119">
        <f t="shared" si="33"/>
        <v>2.3161999999999998</v>
      </c>
      <c r="R256" s="121">
        <v>92000</v>
      </c>
      <c r="S256" s="121">
        <f t="shared" si="36"/>
        <v>1879241</v>
      </c>
      <c r="T256" s="141">
        <v>105000</v>
      </c>
      <c r="U256" s="141">
        <v>42668.587500000001</v>
      </c>
      <c r="V256" s="142" t="s">
        <v>92</v>
      </c>
      <c r="W256" s="142"/>
      <c r="X256" s="143">
        <v>1.5549999999999999</v>
      </c>
      <c r="Y256" s="143" t="s">
        <v>54</v>
      </c>
      <c r="Z256" s="124" t="s">
        <v>93</v>
      </c>
      <c r="AA256" s="135">
        <v>1.9422999999999999</v>
      </c>
      <c r="AB256" s="126">
        <f t="shared" si="30"/>
        <v>203962.04740928861</v>
      </c>
      <c r="AC256" s="126">
        <f t="shared" si="34"/>
        <v>178691.6</v>
      </c>
      <c r="AD256" s="144">
        <f t="shared" si="31"/>
        <v>143.06</v>
      </c>
      <c r="AE256" s="116"/>
    </row>
    <row r="257" spans="1:31" s="113" customFormat="1" ht="25.5" x14ac:dyDescent="0.2">
      <c r="A257" s="110" t="s">
        <v>89</v>
      </c>
      <c r="B257" s="114" t="str">
        <f>VLOOKUP(A257,Sheet1!A:B,2,0)</f>
        <v>HP</v>
      </c>
      <c r="C257" s="130" t="s">
        <v>94</v>
      </c>
      <c r="D257" s="111">
        <v>22150202015</v>
      </c>
      <c r="E257" s="111" t="s">
        <v>42</v>
      </c>
      <c r="F257" s="111" t="s">
        <v>91</v>
      </c>
      <c r="G257" s="162" t="s">
        <v>44</v>
      </c>
      <c r="H257" s="116">
        <v>2024</v>
      </c>
      <c r="I257" s="116">
        <v>8</v>
      </c>
      <c r="J257" s="117">
        <v>45590</v>
      </c>
      <c r="K257" s="118">
        <v>0.6</v>
      </c>
      <c r="L257" s="141">
        <v>1.5443588135792301</v>
      </c>
      <c r="M257" s="141">
        <v>1.5423175780454099</v>
      </c>
      <c r="N257" s="141">
        <v>0</v>
      </c>
      <c r="O257" s="119">
        <f t="shared" si="32"/>
        <v>0</v>
      </c>
      <c r="P257" s="120">
        <v>1</v>
      </c>
      <c r="Q257" s="119">
        <f t="shared" si="33"/>
        <v>1.5443588135792301</v>
      </c>
      <c r="R257" s="121">
        <v>245322</v>
      </c>
      <c r="S257" s="121">
        <f t="shared" si="36"/>
        <v>1546923</v>
      </c>
      <c r="T257" s="141">
        <v>376000</v>
      </c>
      <c r="U257" s="141">
        <v>275626.17333333299</v>
      </c>
      <c r="V257" s="142" t="s">
        <v>95</v>
      </c>
      <c r="W257" s="142"/>
      <c r="X257" s="143">
        <v>1.7450000000000001</v>
      </c>
      <c r="Y257" s="143" t="s">
        <v>54</v>
      </c>
      <c r="Z257" s="124" t="s">
        <v>93</v>
      </c>
      <c r="AA257" s="135">
        <v>1.1437999999999999</v>
      </c>
      <c r="AB257" s="126">
        <f t="shared" si="30"/>
        <v>378364.43288125604</v>
      </c>
      <c r="AC257" s="126">
        <f t="shared" si="34"/>
        <v>280599.30359999998</v>
      </c>
      <c r="AD257" s="144">
        <f t="shared" si="31"/>
        <v>428.08689000000004</v>
      </c>
      <c r="AE257" s="116"/>
    </row>
    <row r="258" spans="1:31" s="113" customFormat="1" x14ac:dyDescent="0.2">
      <c r="A258" s="110" t="s">
        <v>89</v>
      </c>
      <c r="B258" s="114" t="str">
        <f>VLOOKUP(A258,Sheet1!A:B,2,0)</f>
        <v>HP</v>
      </c>
      <c r="C258" s="130" t="s">
        <v>66</v>
      </c>
      <c r="D258" s="111">
        <v>22150202010</v>
      </c>
      <c r="E258" s="111" t="s">
        <v>42</v>
      </c>
      <c r="F258" s="111" t="s">
        <v>96</v>
      </c>
      <c r="G258" s="162" t="s">
        <v>44</v>
      </c>
      <c r="H258" s="116">
        <v>2024</v>
      </c>
      <c r="I258" s="116">
        <v>8</v>
      </c>
      <c r="J258" s="117">
        <v>45590</v>
      </c>
      <c r="K258" s="118">
        <v>0.4</v>
      </c>
      <c r="L258" s="141">
        <v>0.91622499999999996</v>
      </c>
      <c r="M258" s="141">
        <v>1.13316525889116</v>
      </c>
      <c r="N258" s="141">
        <v>0</v>
      </c>
      <c r="O258" s="119">
        <f t="shared" si="32"/>
        <v>0</v>
      </c>
      <c r="P258" s="120">
        <v>1</v>
      </c>
      <c r="Q258" s="119">
        <f t="shared" si="33"/>
        <v>0.91622499999999996</v>
      </c>
      <c r="R258" s="121">
        <v>194734</v>
      </c>
      <c r="S258" s="121">
        <f t="shared" si="36"/>
        <v>1659593</v>
      </c>
      <c r="T258" s="141">
        <f>98350</f>
        <v>98350</v>
      </c>
      <c r="U258" s="141">
        <v>-232301.71650000001</v>
      </c>
      <c r="V258" s="142" t="s">
        <v>97</v>
      </c>
      <c r="W258" s="142"/>
      <c r="X258" s="143">
        <v>0.57899999999999996</v>
      </c>
      <c r="Y258" s="143" t="s">
        <v>54</v>
      </c>
      <c r="Z258" s="124" t="s">
        <v>93</v>
      </c>
      <c r="AA258" s="135">
        <v>0.75590000000000002</v>
      </c>
      <c r="AB258" s="126">
        <f t="shared" si="30"/>
        <v>220665.80352491117</v>
      </c>
      <c r="AC258" s="126">
        <f t="shared" si="34"/>
        <v>147199.43059999999</v>
      </c>
      <c r="AD258" s="144">
        <f t="shared" si="31"/>
        <v>112.75098599999998</v>
      </c>
      <c r="AE258" s="116"/>
    </row>
    <row r="259" spans="1:31" s="113" customFormat="1" x14ac:dyDescent="0.2">
      <c r="A259" s="110" t="s">
        <v>89</v>
      </c>
      <c r="B259" s="114" t="str">
        <f>VLOOKUP(A259,Sheet1!A:B,2,0)</f>
        <v>HP</v>
      </c>
      <c r="C259" s="130" t="s">
        <v>98</v>
      </c>
      <c r="D259" s="111">
        <v>22150202008</v>
      </c>
      <c r="E259" s="111" t="s">
        <v>42</v>
      </c>
      <c r="F259" s="111" t="s">
        <v>99</v>
      </c>
      <c r="G259" s="162" t="s">
        <v>44</v>
      </c>
      <c r="H259" s="116">
        <v>2024</v>
      </c>
      <c r="I259" s="116">
        <v>8</v>
      </c>
      <c r="J259" s="117">
        <v>45590</v>
      </c>
      <c r="K259" s="118">
        <v>0.5</v>
      </c>
      <c r="L259" s="141">
        <v>0.1278</v>
      </c>
      <c r="M259" s="141">
        <v>0.15579999999999999</v>
      </c>
      <c r="N259" s="141">
        <v>0</v>
      </c>
      <c r="O259" s="119">
        <f t="shared" si="32"/>
        <v>0</v>
      </c>
      <c r="P259" s="120">
        <v>1</v>
      </c>
      <c r="Q259" s="119">
        <f t="shared" si="33"/>
        <v>0.1278</v>
      </c>
      <c r="R259" s="121">
        <v>40900</v>
      </c>
      <c r="S259" s="121">
        <f t="shared" si="36"/>
        <v>1157057</v>
      </c>
      <c r="T259" s="141">
        <f>98000+12600</f>
        <v>110600</v>
      </c>
      <c r="U259" s="141">
        <v>79347.604000000007</v>
      </c>
      <c r="V259" s="142" t="s">
        <v>100</v>
      </c>
      <c r="W259" s="142"/>
      <c r="X259" s="143">
        <v>0.76300000000000001</v>
      </c>
      <c r="Y259" s="143" t="s">
        <v>54</v>
      </c>
      <c r="Z259" s="143"/>
      <c r="AA259" s="135">
        <v>0</v>
      </c>
      <c r="AB259" s="126">
        <f t="shared" si="30"/>
        <v>6372.2199999999993</v>
      </c>
      <c r="AC259" s="126">
        <f t="shared" si="34"/>
        <v>0</v>
      </c>
      <c r="AD259" s="144">
        <f t="shared" si="31"/>
        <v>31.206700000000001</v>
      </c>
      <c r="AE259" s="116"/>
    </row>
    <row r="260" spans="1:31" s="113" customFormat="1" x14ac:dyDescent="0.2">
      <c r="A260" s="110" t="s">
        <v>89</v>
      </c>
      <c r="B260" s="114" t="str">
        <f>VLOOKUP(A260,Sheet1!A:B,2,0)</f>
        <v>HP</v>
      </c>
      <c r="C260" s="140" t="s">
        <v>101</v>
      </c>
      <c r="D260" s="111">
        <v>22150202017</v>
      </c>
      <c r="E260" s="111" t="s">
        <v>42</v>
      </c>
      <c r="F260" s="111" t="s">
        <v>99</v>
      </c>
      <c r="G260" s="162" t="s">
        <v>44</v>
      </c>
      <c r="H260" s="116">
        <v>2024</v>
      </c>
      <c r="I260" s="116">
        <v>8</v>
      </c>
      <c r="J260" s="117">
        <v>45590</v>
      </c>
      <c r="K260" s="118">
        <v>0.4</v>
      </c>
      <c r="L260" s="141">
        <v>0.17249999999999999</v>
      </c>
      <c r="M260" s="141">
        <v>0.41749999999999998</v>
      </c>
      <c r="N260" s="141">
        <v>0</v>
      </c>
      <c r="O260" s="119">
        <f t="shared" si="32"/>
        <v>0</v>
      </c>
      <c r="P260" s="120">
        <v>1</v>
      </c>
      <c r="Q260" s="119">
        <f t="shared" si="33"/>
        <v>0.17249999999999999</v>
      </c>
      <c r="R260" s="121">
        <v>59400</v>
      </c>
      <c r="S260" s="121">
        <f t="shared" si="36"/>
        <v>968837</v>
      </c>
      <c r="T260" s="141">
        <v>98000</v>
      </c>
      <c r="U260" s="141">
        <v>-114228.065</v>
      </c>
      <c r="V260" s="142" t="s">
        <v>102</v>
      </c>
      <c r="W260" s="142"/>
      <c r="X260" s="143">
        <v>1.173</v>
      </c>
      <c r="Y260" s="143" t="s">
        <v>54</v>
      </c>
      <c r="Z260" s="143"/>
      <c r="AA260" s="135">
        <v>0</v>
      </c>
      <c r="AB260" s="126">
        <f t="shared" ref="AB260:AB323" si="39">M260*R260</f>
        <v>24799.5</v>
      </c>
      <c r="AC260" s="126">
        <f t="shared" si="34"/>
        <v>0</v>
      </c>
      <c r="AD260" s="144">
        <f t="shared" ref="AD260:AD323" si="40">R260*X260/1000</f>
        <v>69.676199999999994</v>
      </c>
      <c r="AE260" s="116"/>
    </row>
    <row r="261" spans="1:31" s="113" customFormat="1" x14ac:dyDescent="0.2">
      <c r="A261" s="110" t="s">
        <v>89</v>
      </c>
      <c r="B261" s="114" t="str">
        <f>VLOOKUP(A261,Sheet1!A:B,2,0)</f>
        <v>HP</v>
      </c>
      <c r="C261" s="130" t="s">
        <v>103</v>
      </c>
      <c r="D261" s="111">
        <v>22150202009</v>
      </c>
      <c r="E261" s="111" t="s">
        <v>42</v>
      </c>
      <c r="F261" s="111" t="s">
        <v>91</v>
      </c>
      <c r="G261" s="162" t="s">
        <v>44</v>
      </c>
      <c r="H261" s="116">
        <v>2024</v>
      </c>
      <c r="I261" s="116">
        <v>8</v>
      </c>
      <c r="J261" s="117">
        <v>45590</v>
      </c>
      <c r="K261" s="118">
        <v>0.5</v>
      </c>
      <c r="L261" s="141">
        <v>0.1285</v>
      </c>
      <c r="M261" s="141">
        <v>0.1565</v>
      </c>
      <c r="N261" s="141">
        <v>0</v>
      </c>
      <c r="O261" s="119">
        <f t="shared" ref="O261:O324" si="41">N261*K261</f>
        <v>0</v>
      </c>
      <c r="P261" s="120">
        <v>1</v>
      </c>
      <c r="Q261" s="119">
        <f t="shared" ref="Q261:Q324" si="42">P261*L261</f>
        <v>0.1285</v>
      </c>
      <c r="R261" s="121">
        <v>280000</v>
      </c>
      <c r="S261" s="121">
        <f t="shared" si="36"/>
        <v>2105940</v>
      </c>
      <c r="T261" s="141">
        <f>98000</f>
        <v>98000</v>
      </c>
      <c r="U261" s="141">
        <v>50569.68</v>
      </c>
      <c r="V261" s="136" t="s">
        <v>97</v>
      </c>
      <c r="W261" s="136"/>
      <c r="X261" s="137">
        <v>0.69499999999999995</v>
      </c>
      <c r="Y261" s="138" t="s">
        <v>54</v>
      </c>
      <c r="Z261" s="138"/>
      <c r="AA261" s="135">
        <v>0</v>
      </c>
      <c r="AB261" s="126">
        <f t="shared" si="39"/>
        <v>43820</v>
      </c>
      <c r="AC261" s="126">
        <f t="shared" ref="AC261:AC324" si="43">R261*AA261</f>
        <v>0</v>
      </c>
      <c r="AD261" s="144">
        <f t="shared" si="40"/>
        <v>194.6</v>
      </c>
      <c r="AE261" s="116"/>
    </row>
    <row r="262" spans="1:31" s="113" customFormat="1" x14ac:dyDescent="0.2">
      <c r="A262" s="110" t="s">
        <v>89</v>
      </c>
      <c r="B262" s="114" t="str">
        <f>VLOOKUP(A262,Sheet1!A:B,2,0)</f>
        <v>HP</v>
      </c>
      <c r="C262" s="130" t="s">
        <v>104</v>
      </c>
      <c r="D262" s="111">
        <v>22150202021</v>
      </c>
      <c r="E262" s="111" t="s">
        <v>42</v>
      </c>
      <c r="F262" s="111" t="s">
        <v>91</v>
      </c>
      <c r="G262" s="162" t="s">
        <v>44</v>
      </c>
      <c r="H262" s="116">
        <v>2024</v>
      </c>
      <c r="I262" s="116">
        <v>8</v>
      </c>
      <c r="J262" s="117">
        <v>45590</v>
      </c>
      <c r="K262" s="118">
        <v>0.6</v>
      </c>
      <c r="L262" s="141">
        <v>2.5636999999999999</v>
      </c>
      <c r="M262" s="141">
        <v>2.7518227149358401</v>
      </c>
      <c r="N262" s="141">
        <v>0</v>
      </c>
      <c r="O262" s="119">
        <f t="shared" si="41"/>
        <v>0</v>
      </c>
      <c r="P262" s="120">
        <v>1</v>
      </c>
      <c r="Q262" s="119">
        <f t="shared" si="42"/>
        <v>2.5636999999999999</v>
      </c>
      <c r="R262" s="121">
        <v>241200</v>
      </c>
      <c r="S262" s="121">
        <f t="shared" si="36"/>
        <v>2183887</v>
      </c>
      <c r="T262" s="141">
        <f>200100</f>
        <v>200100</v>
      </c>
      <c r="U262" s="141">
        <v>-415369.91450000001</v>
      </c>
      <c r="V262" s="142" t="s">
        <v>105</v>
      </c>
      <c r="W262" s="142"/>
      <c r="X262" s="143">
        <v>3.4089999999999998</v>
      </c>
      <c r="Y262" s="145" t="s">
        <v>54</v>
      </c>
      <c r="Z262" s="124" t="s">
        <v>93</v>
      </c>
      <c r="AA262" s="135">
        <v>1.7574000000000001</v>
      </c>
      <c r="AB262" s="126">
        <f t="shared" si="39"/>
        <v>663739.63884252461</v>
      </c>
      <c r="AC262" s="126">
        <f t="shared" si="43"/>
        <v>423884.88</v>
      </c>
      <c r="AD262" s="144">
        <f t="shared" si="40"/>
        <v>822.25079999999991</v>
      </c>
      <c r="AE262" s="116"/>
    </row>
    <row r="263" spans="1:31" s="113" customFormat="1" x14ac:dyDescent="0.2">
      <c r="A263" s="110" t="s">
        <v>89</v>
      </c>
      <c r="B263" s="114" t="str">
        <f>VLOOKUP(A263,Sheet1!A:B,2,0)</f>
        <v>HP</v>
      </c>
      <c r="C263" s="130" t="s">
        <v>106</v>
      </c>
      <c r="D263" s="111">
        <v>22150202018</v>
      </c>
      <c r="E263" s="111" t="s">
        <v>42</v>
      </c>
      <c r="F263" s="111" t="s">
        <v>91</v>
      </c>
      <c r="G263" s="162" t="s">
        <v>44</v>
      </c>
      <c r="H263" s="116">
        <v>2024</v>
      </c>
      <c r="I263" s="116">
        <v>8</v>
      </c>
      <c r="J263" s="117">
        <v>45590</v>
      </c>
      <c r="K263" s="118">
        <v>0.4</v>
      </c>
      <c r="L263" s="141">
        <v>0.1608</v>
      </c>
      <c r="M263" s="141">
        <v>0.1958</v>
      </c>
      <c r="N263" s="141">
        <v>0</v>
      </c>
      <c r="O263" s="119">
        <f t="shared" si="41"/>
        <v>0</v>
      </c>
      <c r="P263" s="120">
        <v>1</v>
      </c>
      <c r="Q263" s="119">
        <f t="shared" si="42"/>
        <v>0.1608</v>
      </c>
      <c r="R263" s="121">
        <v>272250</v>
      </c>
      <c r="S263" s="121">
        <f t="shared" si="36"/>
        <v>2058736</v>
      </c>
      <c r="T263" s="141">
        <f>98000</f>
        <v>98000</v>
      </c>
      <c r="U263" s="141">
        <v>36997.589999999997</v>
      </c>
      <c r="V263" s="142" t="s">
        <v>107</v>
      </c>
      <c r="W263" s="142"/>
      <c r="X263" s="143">
        <v>1.117</v>
      </c>
      <c r="Y263" s="143" t="s">
        <v>54</v>
      </c>
      <c r="Z263" s="143"/>
      <c r="AA263" s="135">
        <v>0</v>
      </c>
      <c r="AB263" s="126">
        <f t="shared" si="39"/>
        <v>53306.55</v>
      </c>
      <c r="AC263" s="126">
        <f t="shared" si="43"/>
        <v>0</v>
      </c>
      <c r="AD263" s="144">
        <f t="shared" si="40"/>
        <v>304.10325</v>
      </c>
      <c r="AE263" s="116"/>
    </row>
    <row r="264" spans="1:31" s="113" customFormat="1" x14ac:dyDescent="0.2">
      <c r="A264" s="110" t="s">
        <v>89</v>
      </c>
      <c r="B264" s="114" t="str">
        <f>VLOOKUP(A264,Sheet1!A:B,2,0)</f>
        <v>HP</v>
      </c>
      <c r="C264" s="130" t="s">
        <v>108</v>
      </c>
      <c r="D264" s="111">
        <v>22150202007</v>
      </c>
      <c r="E264" s="111" t="s">
        <v>42</v>
      </c>
      <c r="F264" s="111" t="s">
        <v>109</v>
      </c>
      <c r="G264" s="162" t="s">
        <v>44</v>
      </c>
      <c r="H264" s="116">
        <v>2024</v>
      </c>
      <c r="I264" s="116">
        <v>8</v>
      </c>
      <c r="J264" s="117">
        <v>45590</v>
      </c>
      <c r="K264" s="118">
        <v>0.5</v>
      </c>
      <c r="L264" s="141">
        <v>0.122757142857143</v>
      </c>
      <c r="M264" s="141">
        <v>0.16</v>
      </c>
      <c r="N264" s="141">
        <v>0</v>
      </c>
      <c r="O264" s="119">
        <f t="shared" si="41"/>
        <v>0</v>
      </c>
      <c r="P264" s="120">
        <v>1</v>
      </c>
      <c r="Q264" s="119">
        <f t="shared" si="42"/>
        <v>0.122757142857143</v>
      </c>
      <c r="R264" s="121">
        <v>285600</v>
      </c>
      <c r="S264" s="121">
        <f t="shared" si="36"/>
        <v>2667424</v>
      </c>
      <c r="T264" s="141">
        <v>130350</v>
      </c>
      <c r="U264" s="141">
        <v>47342.226171428701</v>
      </c>
      <c r="V264" s="142" t="s">
        <v>100</v>
      </c>
      <c r="W264" s="142"/>
      <c r="X264" s="143">
        <v>0.52400000000000002</v>
      </c>
      <c r="Y264" s="143" t="s">
        <v>54</v>
      </c>
      <c r="Z264" s="143"/>
      <c r="AA264" s="135">
        <v>0</v>
      </c>
      <c r="AB264" s="126">
        <f t="shared" si="39"/>
        <v>45696</v>
      </c>
      <c r="AC264" s="126">
        <f t="shared" si="43"/>
        <v>0</v>
      </c>
      <c r="AD264" s="144">
        <f t="shared" si="40"/>
        <v>149.65439999999998</v>
      </c>
      <c r="AE264" s="116"/>
    </row>
    <row r="265" spans="1:31" s="113" customFormat="1" x14ac:dyDescent="0.2">
      <c r="A265" s="111" t="s">
        <v>110</v>
      </c>
      <c r="B265" s="114" t="str">
        <f>VLOOKUP(A265,Sheet1!A:B,2,0)</f>
        <v>HP</v>
      </c>
      <c r="C265" s="130" t="s">
        <v>98</v>
      </c>
      <c r="D265" s="111">
        <v>23590202001</v>
      </c>
      <c r="E265" s="111" t="s">
        <v>42</v>
      </c>
      <c r="F265" s="111" t="s">
        <v>111</v>
      </c>
      <c r="G265" s="162" t="s">
        <v>44</v>
      </c>
      <c r="H265" s="116">
        <v>2024</v>
      </c>
      <c r="I265" s="116">
        <v>8</v>
      </c>
      <c r="J265" s="117">
        <v>45590</v>
      </c>
      <c r="K265" s="118">
        <v>0.5</v>
      </c>
      <c r="L265" s="141">
        <v>0.125588670602168</v>
      </c>
      <c r="M265" s="141">
        <v>0.15358867060216799</v>
      </c>
      <c r="N265" s="141">
        <v>0</v>
      </c>
      <c r="O265" s="119">
        <f t="shared" si="41"/>
        <v>0</v>
      </c>
      <c r="P265" s="120">
        <v>1</v>
      </c>
      <c r="Q265" s="119">
        <f t="shared" si="42"/>
        <v>0.125588670602168</v>
      </c>
      <c r="R265" s="121">
        <v>207269</v>
      </c>
      <c r="S265" s="121">
        <f t="shared" si="36"/>
        <v>1618199</v>
      </c>
      <c r="T265" s="141">
        <v>98000</v>
      </c>
      <c r="U265" s="141">
        <v>63491.96</v>
      </c>
      <c r="V265" s="142" t="s">
        <v>112</v>
      </c>
      <c r="W265" s="142"/>
      <c r="X265" s="143">
        <v>0.69499999999999995</v>
      </c>
      <c r="Y265" s="143" t="s">
        <v>54</v>
      </c>
      <c r="Z265" s="143"/>
      <c r="AA265" s="135">
        <v>0</v>
      </c>
      <c r="AB265" s="126">
        <f t="shared" si="39"/>
        <v>31834.170167040756</v>
      </c>
      <c r="AC265" s="126">
        <f t="shared" si="43"/>
        <v>0</v>
      </c>
      <c r="AD265" s="144">
        <f t="shared" si="40"/>
        <v>144.05195499999999</v>
      </c>
      <c r="AE265" s="116"/>
    </row>
    <row r="266" spans="1:31" s="113" customFormat="1" ht="25.5" x14ac:dyDescent="0.2">
      <c r="A266" s="111" t="s">
        <v>110</v>
      </c>
      <c r="B266" s="114" t="str">
        <f>VLOOKUP(A266,Sheet1!A:B,2,0)</f>
        <v>HP</v>
      </c>
      <c r="C266" s="140" t="s">
        <v>101</v>
      </c>
      <c r="D266" s="111">
        <v>23480202015</v>
      </c>
      <c r="E266" s="111" t="s">
        <v>42</v>
      </c>
      <c r="F266" s="111" t="s">
        <v>113</v>
      </c>
      <c r="G266" s="162" t="s">
        <v>44</v>
      </c>
      <c r="H266" s="116">
        <v>2024</v>
      </c>
      <c r="I266" s="116">
        <v>8</v>
      </c>
      <c r="J266" s="117">
        <v>45590</v>
      </c>
      <c r="K266" s="118">
        <v>0.4</v>
      </c>
      <c r="L266" s="141">
        <v>0.27566008648311202</v>
      </c>
      <c r="M266" s="141">
        <v>0.353993419816445</v>
      </c>
      <c r="N266" s="141">
        <v>0</v>
      </c>
      <c r="O266" s="119">
        <f t="shared" si="41"/>
        <v>0</v>
      </c>
      <c r="P266" s="120">
        <v>1</v>
      </c>
      <c r="Q266" s="119">
        <f t="shared" si="42"/>
        <v>0.27566008648311202</v>
      </c>
      <c r="R266" s="121">
        <v>210600</v>
      </c>
      <c r="S266" s="121">
        <f t="shared" si="36"/>
        <v>1117756</v>
      </c>
      <c r="T266" s="141">
        <v>188000</v>
      </c>
      <c r="U266" s="141">
        <v>126964.546666667</v>
      </c>
      <c r="V266" s="142" t="s">
        <v>114</v>
      </c>
      <c r="W266" s="142"/>
      <c r="X266" s="143">
        <v>1.722</v>
      </c>
      <c r="Y266" s="143" t="s">
        <v>54</v>
      </c>
      <c r="Z266" s="143"/>
      <c r="AA266" s="135">
        <v>0</v>
      </c>
      <c r="AB266" s="126">
        <f t="shared" si="39"/>
        <v>74551.014213343311</v>
      </c>
      <c r="AC266" s="126">
        <f t="shared" si="43"/>
        <v>0</v>
      </c>
      <c r="AD266" s="144">
        <f t="shared" si="40"/>
        <v>362.65320000000003</v>
      </c>
      <c r="AE266" s="116"/>
    </row>
    <row r="267" spans="1:31" s="113" customFormat="1" x14ac:dyDescent="0.2">
      <c r="A267" s="111" t="s">
        <v>110</v>
      </c>
      <c r="B267" s="114" t="str">
        <f>VLOOKUP(A267,Sheet1!A:B,2,0)</f>
        <v>HP</v>
      </c>
      <c r="C267" s="130" t="s">
        <v>115</v>
      </c>
      <c r="D267" s="111">
        <v>23480202012</v>
      </c>
      <c r="E267" s="111" t="s">
        <v>42</v>
      </c>
      <c r="F267" s="140" t="s">
        <v>116</v>
      </c>
      <c r="G267" s="162" t="s">
        <v>44</v>
      </c>
      <c r="H267" s="116">
        <v>2024</v>
      </c>
      <c r="I267" s="116">
        <v>8</v>
      </c>
      <c r="J267" s="117">
        <v>45590</v>
      </c>
      <c r="K267" s="118">
        <v>0.4</v>
      </c>
      <c r="L267" s="141">
        <f>M267-N267</f>
        <v>0.80865388388102988</v>
      </c>
      <c r="M267" s="141">
        <v>1.0756538838810299</v>
      </c>
      <c r="N267" s="141">
        <v>0.26700000000000002</v>
      </c>
      <c r="O267" s="119">
        <f t="shared" si="41"/>
        <v>0.10680000000000001</v>
      </c>
      <c r="P267" s="120">
        <v>1</v>
      </c>
      <c r="Q267" s="119">
        <f t="shared" si="42"/>
        <v>0.80865388388102988</v>
      </c>
      <c r="R267" s="121">
        <v>62172</v>
      </c>
      <c r="S267" s="121">
        <f t="shared" si="36"/>
        <v>668222</v>
      </c>
      <c r="T267" s="141">
        <v>640000</v>
      </c>
      <c r="U267" s="141">
        <f>T267-N267*S267</f>
        <v>461584.72600000002</v>
      </c>
      <c r="V267" s="142" t="s">
        <v>117</v>
      </c>
      <c r="W267" s="142"/>
      <c r="X267" s="143">
        <v>5.7469999999999999</v>
      </c>
      <c r="Y267" s="143" t="s">
        <v>54</v>
      </c>
      <c r="Z267" s="143"/>
      <c r="AA267" s="135">
        <v>0</v>
      </c>
      <c r="AB267" s="126">
        <f t="shared" si="39"/>
        <v>66875.553268651391</v>
      </c>
      <c r="AC267" s="126">
        <f t="shared" si="43"/>
        <v>0</v>
      </c>
      <c r="AD267" s="144">
        <f t="shared" si="40"/>
        <v>357.30248399999999</v>
      </c>
      <c r="AE267" s="116"/>
    </row>
    <row r="268" spans="1:31" s="113" customFormat="1" ht="25.5" x14ac:dyDescent="0.2">
      <c r="A268" s="111" t="s">
        <v>110</v>
      </c>
      <c r="B268" s="114" t="str">
        <f>VLOOKUP(A268,Sheet1!A:B,2,0)</f>
        <v>HP</v>
      </c>
      <c r="C268" s="130" t="s">
        <v>118</v>
      </c>
      <c r="D268" s="111">
        <v>23480202005</v>
      </c>
      <c r="E268" s="111" t="s">
        <v>42</v>
      </c>
      <c r="F268" s="140" t="s">
        <v>119</v>
      </c>
      <c r="G268" s="162" t="s">
        <v>44</v>
      </c>
      <c r="H268" s="116">
        <v>2024</v>
      </c>
      <c r="I268" s="116">
        <v>8</v>
      </c>
      <c r="J268" s="117">
        <v>45590</v>
      </c>
      <c r="K268" s="118">
        <v>0.6</v>
      </c>
      <c r="L268" s="141">
        <f>M268-N268</f>
        <v>0.61243323981863296</v>
      </c>
      <c r="M268" s="141">
        <v>0.790433239818633</v>
      </c>
      <c r="N268" s="141">
        <v>0.17799999999999999</v>
      </c>
      <c r="O268" s="119">
        <f t="shared" si="41"/>
        <v>0.10679999999999999</v>
      </c>
      <c r="P268" s="120">
        <v>1</v>
      </c>
      <c r="Q268" s="119">
        <f t="shared" si="42"/>
        <v>0.61243323981863296</v>
      </c>
      <c r="R268" s="121">
        <v>189603</v>
      </c>
      <c r="S268" s="121">
        <f t="shared" si="36"/>
        <v>975980</v>
      </c>
      <c r="T268" s="141">
        <f>640000+35296</f>
        <v>675296</v>
      </c>
      <c r="U268" s="141">
        <f>T268-N268*S268</f>
        <v>501571.56</v>
      </c>
      <c r="V268" s="142" t="s">
        <v>120</v>
      </c>
      <c r="W268" s="142"/>
      <c r="X268" s="143">
        <v>3.2709999999999999</v>
      </c>
      <c r="Y268" s="143" t="s">
        <v>54</v>
      </c>
      <c r="Z268" s="143"/>
      <c r="AA268" s="135">
        <v>0</v>
      </c>
      <c r="AB268" s="126">
        <f t="shared" si="39"/>
        <v>149868.51356933228</v>
      </c>
      <c r="AC268" s="126">
        <f t="shared" si="43"/>
        <v>0</v>
      </c>
      <c r="AD268" s="144">
        <f t="shared" si="40"/>
        <v>620.1914129999999</v>
      </c>
      <c r="AE268" s="116"/>
    </row>
    <row r="269" spans="1:31" s="113" customFormat="1" x14ac:dyDescent="0.2">
      <c r="A269" s="111" t="s">
        <v>110</v>
      </c>
      <c r="B269" s="114" t="str">
        <f>VLOOKUP(A269,Sheet1!A:B,2,0)</f>
        <v>HP</v>
      </c>
      <c r="C269" s="130" t="s">
        <v>121</v>
      </c>
      <c r="D269" s="111">
        <v>23480202011</v>
      </c>
      <c r="E269" s="111" t="s">
        <v>42</v>
      </c>
      <c r="F269" s="140" t="s">
        <v>116</v>
      </c>
      <c r="G269" s="162" t="s">
        <v>44</v>
      </c>
      <c r="H269" s="116">
        <v>2024</v>
      </c>
      <c r="I269" s="116">
        <v>8</v>
      </c>
      <c r="J269" s="117">
        <v>45590</v>
      </c>
      <c r="K269" s="118">
        <v>0.5</v>
      </c>
      <c r="L269" s="141">
        <f>M269-N269</f>
        <v>0.29378086188436198</v>
      </c>
      <c r="M269" s="141">
        <v>0.41711419521769499</v>
      </c>
      <c r="N269" s="141">
        <v>0.123333333333333</v>
      </c>
      <c r="O269" s="119">
        <f t="shared" si="41"/>
        <v>6.1666666666666502E-2</v>
      </c>
      <c r="P269" s="120">
        <v>1</v>
      </c>
      <c r="Q269" s="119">
        <f t="shared" si="42"/>
        <v>0.29378086188436198</v>
      </c>
      <c r="R269" s="121"/>
      <c r="S269" s="121">
        <f t="shared" si="36"/>
        <v>822735</v>
      </c>
      <c r="T269" s="141">
        <v>370000</v>
      </c>
      <c r="U269" s="141">
        <f>T269-N269*S269</f>
        <v>268529.35000000027</v>
      </c>
      <c r="V269" s="142" t="s">
        <v>107</v>
      </c>
      <c r="W269" s="142"/>
      <c r="X269" s="143">
        <v>1.7749999999999999</v>
      </c>
      <c r="Y269" s="143" t="s">
        <v>54</v>
      </c>
      <c r="Z269" s="143"/>
      <c r="AA269" s="135">
        <v>0</v>
      </c>
      <c r="AB269" s="126">
        <f t="shared" si="39"/>
        <v>0</v>
      </c>
      <c r="AC269" s="126">
        <f t="shared" si="43"/>
        <v>0</v>
      </c>
      <c r="AD269" s="144">
        <f t="shared" si="40"/>
        <v>0</v>
      </c>
      <c r="AE269" s="116"/>
    </row>
    <row r="270" spans="1:31" s="113" customFormat="1" ht="25.5" x14ac:dyDescent="0.2">
      <c r="A270" s="111" t="s">
        <v>110</v>
      </c>
      <c r="B270" s="114" t="str">
        <f>VLOOKUP(A270,Sheet1!A:B,2,0)</f>
        <v>HP</v>
      </c>
      <c r="C270" s="130" t="s">
        <v>66</v>
      </c>
      <c r="D270" s="111">
        <v>23480202017</v>
      </c>
      <c r="E270" s="111" t="s">
        <v>42</v>
      </c>
      <c r="F270" s="140" t="s">
        <v>116</v>
      </c>
      <c r="G270" s="162" t="s">
        <v>44</v>
      </c>
      <c r="H270" s="116">
        <v>2024</v>
      </c>
      <c r="I270" s="116">
        <v>8</v>
      </c>
      <c r="J270" s="117">
        <v>45590</v>
      </c>
      <c r="K270" s="118">
        <v>0.5</v>
      </c>
      <c r="L270" s="141">
        <f>M270-N270</f>
        <v>1.0628666666666668</v>
      </c>
      <c r="M270" s="141">
        <v>1.1322000000000001</v>
      </c>
      <c r="N270" s="141">
        <v>6.9333333333333302E-2</v>
      </c>
      <c r="O270" s="119">
        <f t="shared" si="41"/>
        <v>3.4666666666666651E-2</v>
      </c>
      <c r="P270" s="120">
        <v>1</v>
      </c>
      <c r="Q270" s="119">
        <f t="shared" si="42"/>
        <v>1.0628666666666668</v>
      </c>
      <c r="R270" s="121">
        <v>128539</v>
      </c>
      <c r="S270" s="121">
        <f t="shared" si="36"/>
        <v>633278</v>
      </c>
      <c r="T270" s="141">
        <f>208000+207000+35513+26171+7330</f>
        <v>484014</v>
      </c>
      <c r="U270" s="141">
        <f>T270-N270*S270</f>
        <v>440106.72533333336</v>
      </c>
      <c r="V270" s="142" t="s">
        <v>122</v>
      </c>
      <c r="W270" s="142"/>
      <c r="X270" s="143">
        <v>2.3839999999999999</v>
      </c>
      <c r="Y270" s="143" t="s">
        <v>54</v>
      </c>
      <c r="Z270" s="124" t="s">
        <v>93</v>
      </c>
      <c r="AA270" s="135">
        <v>0.7964</v>
      </c>
      <c r="AB270" s="126">
        <f t="shared" si="39"/>
        <v>145531.85580000002</v>
      </c>
      <c r="AC270" s="126">
        <f t="shared" si="43"/>
        <v>102368.4596</v>
      </c>
      <c r="AD270" s="144">
        <f t="shared" si="40"/>
        <v>306.43697599999996</v>
      </c>
      <c r="AE270" s="116"/>
    </row>
    <row r="271" spans="1:31" s="113" customFormat="1" ht="51" x14ac:dyDescent="0.2">
      <c r="A271" s="111" t="s">
        <v>110</v>
      </c>
      <c r="B271" s="114" t="str">
        <f>VLOOKUP(A271,Sheet1!A:B,2,0)</f>
        <v>HP</v>
      </c>
      <c r="C271" s="130" t="s">
        <v>81</v>
      </c>
      <c r="D271" s="111">
        <v>23480202018</v>
      </c>
      <c r="E271" s="111" t="s">
        <v>42</v>
      </c>
      <c r="F271" s="140" t="s">
        <v>116</v>
      </c>
      <c r="G271" s="162" t="s">
        <v>44</v>
      </c>
      <c r="H271" s="116">
        <v>2024</v>
      </c>
      <c r="I271" s="116">
        <v>8</v>
      </c>
      <c r="J271" s="117">
        <v>45590</v>
      </c>
      <c r="K271" s="118">
        <v>0.4</v>
      </c>
      <c r="L271" s="141">
        <f>M271-N271</f>
        <v>0.41382922267354705</v>
      </c>
      <c r="M271" s="141">
        <v>0.54316255600688002</v>
      </c>
      <c r="N271" s="141">
        <v>0.12933333333333299</v>
      </c>
      <c r="O271" s="119">
        <f t="shared" si="41"/>
        <v>5.1733333333333201E-2</v>
      </c>
      <c r="P271" s="120">
        <v>1</v>
      </c>
      <c r="Q271" s="119">
        <f t="shared" si="42"/>
        <v>0.41382922267354705</v>
      </c>
      <c r="R271" s="121">
        <v>50310</v>
      </c>
      <c r="S271" s="121">
        <f t="shared" si="36"/>
        <v>336285</v>
      </c>
      <c r="T271" s="141">
        <f>388000+53870+10859</f>
        <v>452729</v>
      </c>
      <c r="U271" s="141">
        <f>T271-N271*S271</f>
        <v>409236.14000000013</v>
      </c>
      <c r="V271" s="142" t="s">
        <v>123</v>
      </c>
      <c r="W271" s="116"/>
      <c r="X271" s="143">
        <v>3.673</v>
      </c>
      <c r="Y271" s="143" t="s">
        <v>54</v>
      </c>
      <c r="Z271" s="143"/>
      <c r="AA271" s="135">
        <v>0</v>
      </c>
      <c r="AB271" s="126">
        <f t="shared" si="39"/>
        <v>27326.508192706133</v>
      </c>
      <c r="AC271" s="126">
        <f t="shared" si="43"/>
        <v>0</v>
      </c>
      <c r="AD271" s="144">
        <f t="shared" si="40"/>
        <v>184.78863000000001</v>
      </c>
      <c r="AE271" s="116"/>
    </row>
    <row r="272" spans="1:31" s="113" customFormat="1" x14ac:dyDescent="0.2">
      <c r="A272" s="110" t="s">
        <v>89</v>
      </c>
      <c r="B272" s="114" t="str">
        <f>VLOOKUP(A272,Sheet1!A:B,2,0)</f>
        <v>HP</v>
      </c>
      <c r="C272" s="140" t="s">
        <v>90</v>
      </c>
      <c r="D272" s="111">
        <v>22150202014</v>
      </c>
      <c r="E272" s="111" t="s">
        <v>42</v>
      </c>
      <c r="F272" s="111" t="s">
        <v>91</v>
      </c>
      <c r="G272" s="162" t="s">
        <v>44</v>
      </c>
      <c r="H272" s="116">
        <v>2024</v>
      </c>
      <c r="I272" s="116">
        <v>9</v>
      </c>
      <c r="J272" s="117">
        <v>45590</v>
      </c>
      <c r="K272" s="118">
        <v>0.4</v>
      </c>
      <c r="L272" s="141">
        <v>2.3161999999999998</v>
      </c>
      <c r="M272" s="141">
        <v>2.2169787761879198</v>
      </c>
      <c r="N272" s="141">
        <v>0</v>
      </c>
      <c r="O272" s="119">
        <f t="shared" si="41"/>
        <v>0</v>
      </c>
      <c r="P272" s="120">
        <v>1</v>
      </c>
      <c r="Q272" s="119">
        <f t="shared" si="42"/>
        <v>2.3161999999999998</v>
      </c>
      <c r="R272" s="121">
        <v>151900</v>
      </c>
      <c r="S272" s="121">
        <f t="shared" ref="S272:S287" si="44">R272+S256</f>
        <v>2031141</v>
      </c>
      <c r="T272" s="141">
        <v>105000</v>
      </c>
      <c r="U272" s="141">
        <v>42668.587500000001</v>
      </c>
      <c r="V272" s="142" t="s">
        <v>92</v>
      </c>
      <c r="W272" s="142"/>
      <c r="X272" s="143">
        <v>1.5549999999999999</v>
      </c>
      <c r="Y272" s="143" t="s">
        <v>54</v>
      </c>
      <c r="Z272" s="124" t="s">
        <v>93</v>
      </c>
      <c r="AA272" s="135">
        <v>1.9422999999999999</v>
      </c>
      <c r="AB272" s="126">
        <f t="shared" si="39"/>
        <v>336759.07610294502</v>
      </c>
      <c r="AC272" s="126">
        <f t="shared" si="43"/>
        <v>295035.37</v>
      </c>
      <c r="AD272" s="144">
        <f t="shared" si="40"/>
        <v>236.2045</v>
      </c>
      <c r="AE272" s="116"/>
    </row>
    <row r="273" spans="1:31" s="113" customFormat="1" ht="25.5" x14ac:dyDescent="0.2">
      <c r="A273" s="110" t="s">
        <v>89</v>
      </c>
      <c r="B273" s="114" t="str">
        <f>VLOOKUP(A273,Sheet1!A:B,2,0)</f>
        <v>HP</v>
      </c>
      <c r="C273" s="130" t="s">
        <v>94</v>
      </c>
      <c r="D273" s="111">
        <v>22150202015</v>
      </c>
      <c r="E273" s="111" t="s">
        <v>42</v>
      </c>
      <c r="F273" s="111" t="s">
        <v>91</v>
      </c>
      <c r="G273" s="162" t="s">
        <v>44</v>
      </c>
      <c r="H273" s="116">
        <v>2024</v>
      </c>
      <c r="I273" s="116">
        <v>9</v>
      </c>
      <c r="J273" s="117">
        <v>45590</v>
      </c>
      <c r="K273" s="118">
        <v>0.6</v>
      </c>
      <c r="L273" s="141">
        <v>1.5443588135792301</v>
      </c>
      <c r="M273" s="141">
        <v>1.5423175780454099</v>
      </c>
      <c r="N273" s="141">
        <v>0</v>
      </c>
      <c r="O273" s="119">
        <f t="shared" si="41"/>
        <v>0</v>
      </c>
      <c r="P273" s="120">
        <v>1</v>
      </c>
      <c r="Q273" s="119">
        <f t="shared" si="42"/>
        <v>1.5443588135792301</v>
      </c>
      <c r="R273" s="121">
        <v>254159</v>
      </c>
      <c r="S273" s="121">
        <f t="shared" si="44"/>
        <v>1801082</v>
      </c>
      <c r="T273" s="141">
        <v>376000</v>
      </c>
      <c r="U273" s="141">
        <v>275626.17333333299</v>
      </c>
      <c r="V273" s="142" t="s">
        <v>95</v>
      </c>
      <c r="W273" s="142"/>
      <c r="X273" s="143">
        <v>1.7450000000000001</v>
      </c>
      <c r="Y273" s="143" t="s">
        <v>54</v>
      </c>
      <c r="Z273" s="124" t="s">
        <v>93</v>
      </c>
      <c r="AA273" s="135">
        <v>1.1437999999999999</v>
      </c>
      <c r="AB273" s="126">
        <f t="shared" si="39"/>
        <v>391993.89331844333</v>
      </c>
      <c r="AC273" s="126">
        <f t="shared" si="43"/>
        <v>290707.06419999996</v>
      </c>
      <c r="AD273" s="144">
        <f t="shared" si="40"/>
        <v>443.50745499999999</v>
      </c>
      <c r="AE273" s="116"/>
    </row>
    <row r="274" spans="1:31" s="113" customFormat="1" x14ac:dyDescent="0.2">
      <c r="A274" s="110" t="s">
        <v>89</v>
      </c>
      <c r="B274" s="114" t="str">
        <f>VLOOKUP(A274,Sheet1!A:B,2,0)</f>
        <v>HP</v>
      </c>
      <c r="C274" s="130" t="s">
        <v>66</v>
      </c>
      <c r="D274" s="111">
        <v>22150202010</v>
      </c>
      <c r="E274" s="111" t="s">
        <v>42</v>
      </c>
      <c r="F274" s="111" t="s">
        <v>96</v>
      </c>
      <c r="G274" s="162" t="s">
        <v>44</v>
      </c>
      <c r="H274" s="116">
        <v>2024</v>
      </c>
      <c r="I274" s="116">
        <v>9</v>
      </c>
      <c r="J274" s="117">
        <v>45590</v>
      </c>
      <c r="K274" s="118">
        <v>0.4</v>
      </c>
      <c r="L274" s="141">
        <v>0.91622499999999996</v>
      </c>
      <c r="M274" s="141">
        <v>1.13316525889116</v>
      </c>
      <c r="N274" s="141">
        <v>0</v>
      </c>
      <c r="O274" s="119">
        <f t="shared" si="41"/>
        <v>0</v>
      </c>
      <c r="P274" s="120">
        <v>1</v>
      </c>
      <c r="Q274" s="119">
        <f t="shared" si="42"/>
        <v>0.91622499999999996</v>
      </c>
      <c r="R274" s="121">
        <v>86018</v>
      </c>
      <c r="S274" s="121">
        <f t="shared" si="44"/>
        <v>1745611</v>
      </c>
      <c r="T274" s="141">
        <f>98350</f>
        <v>98350</v>
      </c>
      <c r="U274" s="141">
        <v>-232301.71650000001</v>
      </c>
      <c r="V274" s="142" t="s">
        <v>97</v>
      </c>
      <c r="W274" s="142"/>
      <c r="X274" s="143">
        <v>0.57899999999999996</v>
      </c>
      <c r="Y274" s="143" t="s">
        <v>54</v>
      </c>
      <c r="Z274" s="124" t="s">
        <v>93</v>
      </c>
      <c r="AA274" s="135">
        <v>0.75590000000000002</v>
      </c>
      <c r="AB274" s="126">
        <f t="shared" si="39"/>
        <v>97472.609239299811</v>
      </c>
      <c r="AC274" s="126">
        <f t="shared" si="43"/>
        <v>65021.006200000003</v>
      </c>
      <c r="AD274" s="144">
        <f t="shared" si="40"/>
        <v>49.804421999999995</v>
      </c>
      <c r="AE274" s="116"/>
    </row>
    <row r="275" spans="1:31" s="113" customFormat="1" x14ac:dyDescent="0.2">
      <c r="A275" s="110" t="s">
        <v>89</v>
      </c>
      <c r="B275" s="114" t="str">
        <f>VLOOKUP(A275,Sheet1!A:B,2,0)</f>
        <v>HP</v>
      </c>
      <c r="C275" s="130" t="s">
        <v>98</v>
      </c>
      <c r="D275" s="111">
        <v>22150202008</v>
      </c>
      <c r="E275" s="111" t="s">
        <v>42</v>
      </c>
      <c r="F275" s="111" t="s">
        <v>99</v>
      </c>
      <c r="G275" s="162" t="s">
        <v>44</v>
      </c>
      <c r="H275" s="116">
        <v>2024</v>
      </c>
      <c r="I275" s="116">
        <v>9</v>
      </c>
      <c r="J275" s="117">
        <v>45590</v>
      </c>
      <c r="K275" s="118">
        <v>0.5</v>
      </c>
      <c r="L275" s="141">
        <v>0.1278</v>
      </c>
      <c r="M275" s="141">
        <v>0.15579999999999999</v>
      </c>
      <c r="N275" s="141">
        <v>0</v>
      </c>
      <c r="O275" s="119">
        <f t="shared" si="41"/>
        <v>0</v>
      </c>
      <c r="P275" s="120">
        <v>1</v>
      </c>
      <c r="Q275" s="119">
        <f t="shared" si="42"/>
        <v>0.1278</v>
      </c>
      <c r="R275" s="121">
        <v>48000</v>
      </c>
      <c r="S275" s="121">
        <f t="shared" si="44"/>
        <v>1205057</v>
      </c>
      <c r="T275" s="141">
        <f>98000+12600</f>
        <v>110600</v>
      </c>
      <c r="U275" s="141">
        <v>79347.604000000007</v>
      </c>
      <c r="V275" s="142" t="s">
        <v>100</v>
      </c>
      <c r="W275" s="142"/>
      <c r="X275" s="143">
        <v>0.76300000000000001</v>
      </c>
      <c r="Y275" s="143" t="s">
        <v>54</v>
      </c>
      <c r="Z275" s="143"/>
      <c r="AA275" s="135">
        <v>0</v>
      </c>
      <c r="AB275" s="126">
        <f t="shared" si="39"/>
        <v>7478.4</v>
      </c>
      <c r="AC275" s="126">
        <f t="shared" si="43"/>
        <v>0</v>
      </c>
      <c r="AD275" s="144">
        <f t="shared" si="40"/>
        <v>36.624000000000002</v>
      </c>
      <c r="AE275" s="116"/>
    </row>
    <row r="276" spans="1:31" s="113" customFormat="1" x14ac:dyDescent="0.2">
      <c r="A276" s="110" t="s">
        <v>89</v>
      </c>
      <c r="B276" s="114" t="str">
        <f>VLOOKUP(A276,Sheet1!A:B,2,0)</f>
        <v>HP</v>
      </c>
      <c r="C276" s="140" t="s">
        <v>101</v>
      </c>
      <c r="D276" s="111">
        <v>22150202017</v>
      </c>
      <c r="E276" s="111" t="s">
        <v>42</v>
      </c>
      <c r="F276" s="111" t="s">
        <v>99</v>
      </c>
      <c r="G276" s="162" t="s">
        <v>44</v>
      </c>
      <c r="H276" s="116">
        <v>2024</v>
      </c>
      <c r="I276" s="116">
        <v>9</v>
      </c>
      <c r="J276" s="117">
        <v>45590</v>
      </c>
      <c r="K276" s="118">
        <v>0.4</v>
      </c>
      <c r="L276" s="141">
        <v>0.17249999999999999</v>
      </c>
      <c r="M276" s="141">
        <v>0.41749999999999998</v>
      </c>
      <c r="N276" s="141">
        <v>0</v>
      </c>
      <c r="O276" s="119">
        <f t="shared" si="41"/>
        <v>0</v>
      </c>
      <c r="P276" s="120">
        <v>1</v>
      </c>
      <c r="Q276" s="119">
        <f t="shared" si="42"/>
        <v>0.17249999999999999</v>
      </c>
      <c r="R276" s="121">
        <v>50400</v>
      </c>
      <c r="S276" s="121">
        <f t="shared" si="44"/>
        <v>1019237</v>
      </c>
      <c r="T276" s="141">
        <v>98000</v>
      </c>
      <c r="U276" s="141">
        <v>-114228.065</v>
      </c>
      <c r="V276" s="142" t="s">
        <v>102</v>
      </c>
      <c r="W276" s="142"/>
      <c r="X276" s="143">
        <v>1.173</v>
      </c>
      <c r="Y276" s="143" t="s">
        <v>54</v>
      </c>
      <c r="Z276" s="143"/>
      <c r="AA276" s="135">
        <v>0</v>
      </c>
      <c r="AB276" s="126">
        <f t="shared" si="39"/>
        <v>21042</v>
      </c>
      <c r="AC276" s="126">
        <f t="shared" si="43"/>
        <v>0</v>
      </c>
      <c r="AD276" s="144">
        <f t="shared" si="40"/>
        <v>59.119200000000006</v>
      </c>
      <c r="AE276" s="116"/>
    </row>
    <row r="277" spans="1:31" s="113" customFormat="1" x14ac:dyDescent="0.2">
      <c r="A277" s="110" t="s">
        <v>89</v>
      </c>
      <c r="B277" s="114" t="str">
        <f>VLOOKUP(A277,Sheet1!A:B,2,0)</f>
        <v>HP</v>
      </c>
      <c r="C277" s="130" t="s">
        <v>103</v>
      </c>
      <c r="D277" s="111">
        <v>22150202009</v>
      </c>
      <c r="E277" s="111" t="s">
        <v>42</v>
      </c>
      <c r="F277" s="111" t="s">
        <v>91</v>
      </c>
      <c r="G277" s="162" t="s">
        <v>44</v>
      </c>
      <c r="H277" s="116">
        <v>2024</v>
      </c>
      <c r="I277" s="116">
        <v>9</v>
      </c>
      <c r="J277" s="117">
        <v>45590</v>
      </c>
      <c r="K277" s="118">
        <v>0.5</v>
      </c>
      <c r="L277" s="141">
        <v>0.1285</v>
      </c>
      <c r="M277" s="141">
        <v>0.1565</v>
      </c>
      <c r="N277" s="141">
        <v>0</v>
      </c>
      <c r="O277" s="119">
        <f t="shared" si="41"/>
        <v>0</v>
      </c>
      <c r="P277" s="120">
        <v>1</v>
      </c>
      <c r="Q277" s="119">
        <f t="shared" si="42"/>
        <v>0.1285</v>
      </c>
      <c r="R277" s="121">
        <v>351600</v>
      </c>
      <c r="S277" s="121">
        <f t="shared" si="44"/>
        <v>2457540</v>
      </c>
      <c r="T277" s="141">
        <f>98000</f>
        <v>98000</v>
      </c>
      <c r="U277" s="141">
        <v>50569.68</v>
      </c>
      <c r="V277" s="136" t="s">
        <v>97</v>
      </c>
      <c r="W277" s="136"/>
      <c r="X277" s="137">
        <v>0.69499999999999995</v>
      </c>
      <c r="Y277" s="138" t="s">
        <v>54</v>
      </c>
      <c r="Z277" s="138"/>
      <c r="AA277" s="135">
        <v>0</v>
      </c>
      <c r="AB277" s="126">
        <f t="shared" si="39"/>
        <v>55025.4</v>
      </c>
      <c r="AC277" s="126">
        <f t="shared" si="43"/>
        <v>0</v>
      </c>
      <c r="AD277" s="144">
        <f t="shared" si="40"/>
        <v>244.36199999999997</v>
      </c>
      <c r="AE277" s="116"/>
    </row>
    <row r="278" spans="1:31" s="113" customFormat="1" x14ac:dyDescent="0.2">
      <c r="A278" s="110" t="s">
        <v>89</v>
      </c>
      <c r="B278" s="114" t="str">
        <f>VLOOKUP(A278,Sheet1!A:B,2,0)</f>
        <v>HP</v>
      </c>
      <c r="C278" s="130" t="s">
        <v>104</v>
      </c>
      <c r="D278" s="111">
        <v>22150202021</v>
      </c>
      <c r="E278" s="111" t="s">
        <v>42</v>
      </c>
      <c r="F278" s="111" t="s">
        <v>91</v>
      </c>
      <c r="G278" s="162" t="s">
        <v>44</v>
      </c>
      <c r="H278" s="116">
        <v>2024</v>
      </c>
      <c r="I278" s="116">
        <v>9</v>
      </c>
      <c r="J278" s="117">
        <v>45590</v>
      </c>
      <c r="K278" s="118">
        <v>0.6</v>
      </c>
      <c r="L278" s="141">
        <v>2.5636999999999999</v>
      </c>
      <c r="M278" s="141">
        <v>2.7518227149358401</v>
      </c>
      <c r="N278" s="141">
        <v>0</v>
      </c>
      <c r="O278" s="119">
        <f t="shared" si="41"/>
        <v>0</v>
      </c>
      <c r="P278" s="120">
        <v>1</v>
      </c>
      <c r="Q278" s="119">
        <f t="shared" si="42"/>
        <v>2.5636999999999999</v>
      </c>
      <c r="R278" s="121">
        <v>192000</v>
      </c>
      <c r="S278" s="121">
        <f t="shared" si="44"/>
        <v>2375887</v>
      </c>
      <c r="T278" s="141">
        <f>200100</f>
        <v>200100</v>
      </c>
      <c r="U278" s="141">
        <v>-415369.91450000001</v>
      </c>
      <c r="V278" s="142" t="s">
        <v>105</v>
      </c>
      <c r="W278" s="142"/>
      <c r="X278" s="143">
        <v>3.4089999999999998</v>
      </c>
      <c r="Y278" s="145" t="s">
        <v>54</v>
      </c>
      <c r="Z278" s="124" t="s">
        <v>93</v>
      </c>
      <c r="AA278" s="135">
        <v>1.7574000000000001</v>
      </c>
      <c r="AB278" s="126">
        <f t="shared" si="39"/>
        <v>528349.96126768133</v>
      </c>
      <c r="AC278" s="126">
        <f t="shared" si="43"/>
        <v>337420.79999999999</v>
      </c>
      <c r="AD278" s="144">
        <f t="shared" si="40"/>
        <v>654.52800000000002</v>
      </c>
      <c r="AE278" s="116"/>
    </row>
    <row r="279" spans="1:31" s="113" customFormat="1" x14ac:dyDescent="0.2">
      <c r="A279" s="110" t="s">
        <v>89</v>
      </c>
      <c r="B279" s="114" t="str">
        <f>VLOOKUP(A279,Sheet1!A:B,2,0)</f>
        <v>HP</v>
      </c>
      <c r="C279" s="130" t="s">
        <v>106</v>
      </c>
      <c r="D279" s="111">
        <v>22150202018</v>
      </c>
      <c r="E279" s="111" t="s">
        <v>42</v>
      </c>
      <c r="F279" s="111" t="s">
        <v>91</v>
      </c>
      <c r="G279" s="162" t="s">
        <v>44</v>
      </c>
      <c r="H279" s="116">
        <v>2024</v>
      </c>
      <c r="I279" s="116">
        <v>9</v>
      </c>
      <c r="J279" s="117">
        <v>45590</v>
      </c>
      <c r="K279" s="118">
        <v>0.4</v>
      </c>
      <c r="L279" s="141">
        <v>0.1608</v>
      </c>
      <c r="M279" s="141">
        <v>0.1958</v>
      </c>
      <c r="N279" s="141">
        <v>0</v>
      </c>
      <c r="O279" s="119">
        <f t="shared" si="41"/>
        <v>0</v>
      </c>
      <c r="P279" s="120">
        <v>1</v>
      </c>
      <c r="Q279" s="119">
        <f t="shared" si="42"/>
        <v>0.1608</v>
      </c>
      <c r="R279" s="121">
        <v>271963</v>
      </c>
      <c r="S279" s="121">
        <f t="shared" si="44"/>
        <v>2330699</v>
      </c>
      <c r="T279" s="141">
        <f>98000</f>
        <v>98000</v>
      </c>
      <c r="U279" s="141">
        <v>36997.589999999997</v>
      </c>
      <c r="V279" s="142" t="s">
        <v>107</v>
      </c>
      <c r="W279" s="142"/>
      <c r="X279" s="143">
        <v>1.117</v>
      </c>
      <c r="Y279" s="143" t="s">
        <v>54</v>
      </c>
      <c r="Z279" s="143"/>
      <c r="AA279" s="135">
        <v>0</v>
      </c>
      <c r="AB279" s="126">
        <f t="shared" si="39"/>
        <v>53250.3554</v>
      </c>
      <c r="AC279" s="126">
        <f t="shared" si="43"/>
        <v>0</v>
      </c>
      <c r="AD279" s="144">
        <f t="shared" si="40"/>
        <v>303.78267099999999</v>
      </c>
      <c r="AE279" s="116"/>
    </row>
    <row r="280" spans="1:31" s="113" customFormat="1" x14ac:dyDescent="0.2">
      <c r="A280" s="110" t="s">
        <v>89</v>
      </c>
      <c r="B280" s="114" t="str">
        <f>VLOOKUP(A280,Sheet1!A:B,2,0)</f>
        <v>HP</v>
      </c>
      <c r="C280" s="130" t="s">
        <v>108</v>
      </c>
      <c r="D280" s="111">
        <v>22150202007</v>
      </c>
      <c r="E280" s="111" t="s">
        <v>42</v>
      </c>
      <c r="F280" s="111" t="s">
        <v>109</v>
      </c>
      <c r="G280" s="162" t="s">
        <v>44</v>
      </c>
      <c r="H280" s="116">
        <v>2024</v>
      </c>
      <c r="I280" s="116">
        <v>9</v>
      </c>
      <c r="J280" s="117">
        <v>45590</v>
      </c>
      <c r="K280" s="118">
        <v>0.5</v>
      </c>
      <c r="L280" s="141">
        <v>0.122757142857143</v>
      </c>
      <c r="M280" s="141">
        <v>0.16</v>
      </c>
      <c r="N280" s="141">
        <v>0</v>
      </c>
      <c r="O280" s="119">
        <f t="shared" si="41"/>
        <v>0</v>
      </c>
      <c r="P280" s="120">
        <v>1</v>
      </c>
      <c r="Q280" s="119">
        <f t="shared" si="42"/>
        <v>0.122757142857143</v>
      </c>
      <c r="R280" s="121">
        <v>402900</v>
      </c>
      <c r="S280" s="121">
        <f t="shared" si="44"/>
        <v>3070324</v>
      </c>
      <c r="T280" s="141">
        <v>130350</v>
      </c>
      <c r="U280" s="141">
        <v>47342.226171428701</v>
      </c>
      <c r="V280" s="142" t="s">
        <v>100</v>
      </c>
      <c r="W280" s="142"/>
      <c r="X280" s="143">
        <v>0.52400000000000002</v>
      </c>
      <c r="Y280" s="143" t="s">
        <v>54</v>
      </c>
      <c r="Z280" s="143"/>
      <c r="AA280" s="135">
        <v>0</v>
      </c>
      <c r="AB280" s="126">
        <f t="shared" si="39"/>
        <v>64464</v>
      </c>
      <c r="AC280" s="126">
        <f t="shared" si="43"/>
        <v>0</v>
      </c>
      <c r="AD280" s="144">
        <f t="shared" si="40"/>
        <v>211.11960000000002</v>
      </c>
      <c r="AE280" s="116"/>
    </row>
    <row r="281" spans="1:31" s="113" customFormat="1" x14ac:dyDescent="0.2">
      <c r="A281" s="111" t="s">
        <v>110</v>
      </c>
      <c r="B281" s="114" t="str">
        <f>VLOOKUP(A281,Sheet1!A:B,2,0)</f>
        <v>HP</v>
      </c>
      <c r="C281" s="130" t="s">
        <v>98</v>
      </c>
      <c r="D281" s="111">
        <v>23590202001</v>
      </c>
      <c r="E281" s="111" t="s">
        <v>42</v>
      </c>
      <c r="F281" s="111" t="s">
        <v>111</v>
      </c>
      <c r="G281" s="162" t="s">
        <v>44</v>
      </c>
      <c r="H281" s="116">
        <v>2024</v>
      </c>
      <c r="I281" s="116">
        <v>9</v>
      </c>
      <c r="J281" s="117">
        <v>45590</v>
      </c>
      <c r="K281" s="118">
        <v>0.5</v>
      </c>
      <c r="L281" s="141">
        <v>0.125588670602168</v>
      </c>
      <c r="M281" s="141">
        <v>0.15358867060216799</v>
      </c>
      <c r="N281" s="141">
        <v>0</v>
      </c>
      <c r="O281" s="119">
        <f t="shared" si="41"/>
        <v>0</v>
      </c>
      <c r="P281" s="120">
        <v>1</v>
      </c>
      <c r="Q281" s="119">
        <f t="shared" si="42"/>
        <v>0.125588670602168</v>
      </c>
      <c r="R281" s="121">
        <v>293999</v>
      </c>
      <c r="S281" s="121">
        <f t="shared" si="44"/>
        <v>1912198</v>
      </c>
      <c r="T281" s="141">
        <v>98000</v>
      </c>
      <c r="U281" s="141">
        <v>63491.96</v>
      </c>
      <c r="V281" s="142" t="s">
        <v>112</v>
      </c>
      <c r="W281" s="142"/>
      <c r="X281" s="143">
        <v>0.69499999999999995</v>
      </c>
      <c r="Y281" s="143" t="s">
        <v>54</v>
      </c>
      <c r="Z281" s="143"/>
      <c r="AA281" s="135">
        <v>0</v>
      </c>
      <c r="AB281" s="126">
        <f t="shared" si="39"/>
        <v>45154.915568366785</v>
      </c>
      <c r="AC281" s="126">
        <f t="shared" si="43"/>
        <v>0</v>
      </c>
      <c r="AD281" s="144">
        <f t="shared" si="40"/>
        <v>204.32930500000001</v>
      </c>
      <c r="AE281" s="116"/>
    </row>
    <row r="282" spans="1:31" s="113" customFormat="1" ht="25.5" x14ac:dyDescent="0.2">
      <c r="A282" s="111" t="s">
        <v>110</v>
      </c>
      <c r="B282" s="114" t="str">
        <f>VLOOKUP(A282,Sheet1!A:B,2,0)</f>
        <v>HP</v>
      </c>
      <c r="C282" s="140" t="s">
        <v>101</v>
      </c>
      <c r="D282" s="111">
        <v>23480202015</v>
      </c>
      <c r="E282" s="111" t="s">
        <v>42</v>
      </c>
      <c r="F282" s="111" t="s">
        <v>113</v>
      </c>
      <c r="G282" s="162" t="s">
        <v>44</v>
      </c>
      <c r="H282" s="116">
        <v>2024</v>
      </c>
      <c r="I282" s="116">
        <v>9</v>
      </c>
      <c r="J282" s="117">
        <v>45590</v>
      </c>
      <c r="K282" s="118">
        <v>0.4</v>
      </c>
      <c r="L282" s="141">
        <v>0.27566008648311202</v>
      </c>
      <c r="M282" s="141">
        <v>0.353993419816445</v>
      </c>
      <c r="N282" s="141">
        <v>0</v>
      </c>
      <c r="O282" s="119">
        <f t="shared" si="41"/>
        <v>0</v>
      </c>
      <c r="P282" s="120">
        <v>1</v>
      </c>
      <c r="Q282" s="119">
        <f t="shared" si="42"/>
        <v>0.27566008648311202</v>
      </c>
      <c r="R282" s="121">
        <v>270540</v>
      </c>
      <c r="S282" s="121">
        <f t="shared" si="44"/>
        <v>1388296</v>
      </c>
      <c r="T282" s="141">
        <v>188000</v>
      </c>
      <c r="U282" s="141">
        <v>126964.546666667</v>
      </c>
      <c r="V282" s="142" t="s">
        <v>114</v>
      </c>
      <c r="W282" s="142"/>
      <c r="X282" s="143">
        <v>1.722</v>
      </c>
      <c r="Y282" s="143" t="s">
        <v>54</v>
      </c>
      <c r="Z282" s="143"/>
      <c r="AA282" s="135">
        <v>0</v>
      </c>
      <c r="AB282" s="126">
        <f t="shared" si="39"/>
        <v>95769.379797141024</v>
      </c>
      <c r="AC282" s="126">
        <f t="shared" si="43"/>
        <v>0</v>
      </c>
      <c r="AD282" s="144">
        <f t="shared" si="40"/>
        <v>465.86988000000002</v>
      </c>
      <c r="AE282" s="116"/>
    </row>
    <row r="283" spans="1:31" s="113" customFormat="1" x14ac:dyDescent="0.2">
      <c r="A283" s="111" t="s">
        <v>110</v>
      </c>
      <c r="B283" s="114" t="str">
        <f>VLOOKUP(A283,Sheet1!A:B,2,0)</f>
        <v>HP</v>
      </c>
      <c r="C283" s="130" t="s">
        <v>115</v>
      </c>
      <c r="D283" s="111">
        <v>23480202012</v>
      </c>
      <c r="E283" s="111" t="s">
        <v>42</v>
      </c>
      <c r="F283" s="140" t="s">
        <v>116</v>
      </c>
      <c r="G283" s="162" t="s">
        <v>44</v>
      </c>
      <c r="H283" s="116">
        <v>2024</v>
      </c>
      <c r="I283" s="116">
        <v>9</v>
      </c>
      <c r="J283" s="117">
        <v>45590</v>
      </c>
      <c r="K283" s="118">
        <v>0.4</v>
      </c>
      <c r="L283" s="141">
        <f t="shared" ref="L283:L291" si="45">M283-N283</f>
        <v>0.80865388388102988</v>
      </c>
      <c r="M283" s="141">
        <v>1.0756538838810299</v>
      </c>
      <c r="N283" s="141">
        <v>0.26700000000000002</v>
      </c>
      <c r="O283" s="119">
        <f t="shared" si="41"/>
        <v>0.10680000000000001</v>
      </c>
      <c r="P283" s="120">
        <v>1</v>
      </c>
      <c r="Q283" s="119">
        <f t="shared" si="42"/>
        <v>0.80865388388102988</v>
      </c>
      <c r="R283" s="121">
        <v>53015</v>
      </c>
      <c r="S283" s="121">
        <f t="shared" si="44"/>
        <v>721237</v>
      </c>
      <c r="T283" s="141">
        <v>640000</v>
      </c>
      <c r="U283" s="141">
        <f>T283-N283*S283</f>
        <v>447429.72100000002</v>
      </c>
      <c r="V283" s="142" t="s">
        <v>117</v>
      </c>
      <c r="W283" s="142"/>
      <c r="X283" s="143">
        <v>5.7469999999999999</v>
      </c>
      <c r="Y283" s="143" t="s">
        <v>54</v>
      </c>
      <c r="Z283" s="143"/>
      <c r="AA283" s="135">
        <v>0</v>
      </c>
      <c r="AB283" s="126">
        <f t="shared" si="39"/>
        <v>57025.790653952798</v>
      </c>
      <c r="AC283" s="126">
        <f t="shared" si="43"/>
        <v>0</v>
      </c>
      <c r="AD283" s="144">
        <f t="shared" si="40"/>
        <v>304.67720500000001</v>
      </c>
      <c r="AE283" s="116"/>
    </row>
    <row r="284" spans="1:31" s="113" customFormat="1" ht="25.5" x14ac:dyDescent="0.2">
      <c r="A284" s="111" t="s">
        <v>110</v>
      </c>
      <c r="B284" s="114" t="str">
        <f>VLOOKUP(A284,Sheet1!A:B,2,0)</f>
        <v>HP</v>
      </c>
      <c r="C284" s="130" t="s">
        <v>118</v>
      </c>
      <c r="D284" s="111">
        <v>23480202005</v>
      </c>
      <c r="E284" s="111" t="s">
        <v>42</v>
      </c>
      <c r="F284" s="140" t="s">
        <v>119</v>
      </c>
      <c r="G284" s="162" t="s">
        <v>44</v>
      </c>
      <c r="H284" s="116">
        <v>2024</v>
      </c>
      <c r="I284" s="116">
        <v>9</v>
      </c>
      <c r="J284" s="117">
        <v>45590</v>
      </c>
      <c r="K284" s="118">
        <v>0.6</v>
      </c>
      <c r="L284" s="141">
        <f t="shared" si="45"/>
        <v>0.61243323981863296</v>
      </c>
      <c r="M284" s="141">
        <v>0.790433239818633</v>
      </c>
      <c r="N284" s="141">
        <v>0.17799999999999999</v>
      </c>
      <c r="O284" s="119">
        <f t="shared" si="41"/>
        <v>0.10679999999999999</v>
      </c>
      <c r="P284" s="120">
        <v>1</v>
      </c>
      <c r="Q284" s="119">
        <f t="shared" si="42"/>
        <v>0.61243323981863296</v>
      </c>
      <c r="R284" s="121">
        <v>297660</v>
      </c>
      <c r="S284" s="121">
        <f t="shared" si="44"/>
        <v>1273640</v>
      </c>
      <c r="T284" s="141">
        <f>640000+35296</f>
        <v>675296</v>
      </c>
      <c r="U284" s="141">
        <f>T284-N284*S284</f>
        <v>448588.08</v>
      </c>
      <c r="V284" s="142" t="s">
        <v>120</v>
      </c>
      <c r="W284" s="142"/>
      <c r="X284" s="143">
        <v>3.2709999999999999</v>
      </c>
      <c r="Y284" s="143" t="s">
        <v>54</v>
      </c>
      <c r="Z284" s="143"/>
      <c r="AA284" s="135">
        <v>0</v>
      </c>
      <c r="AB284" s="126">
        <f t="shared" si="39"/>
        <v>235280.3581644143</v>
      </c>
      <c r="AC284" s="126">
        <f t="shared" si="43"/>
        <v>0</v>
      </c>
      <c r="AD284" s="144">
        <f t="shared" si="40"/>
        <v>973.64585999999997</v>
      </c>
      <c r="AE284" s="116"/>
    </row>
    <row r="285" spans="1:31" s="113" customFormat="1" x14ac:dyDescent="0.2">
      <c r="A285" s="111" t="s">
        <v>110</v>
      </c>
      <c r="B285" s="114" t="str">
        <f>VLOOKUP(A285,Sheet1!A:B,2,0)</f>
        <v>HP</v>
      </c>
      <c r="C285" s="130" t="s">
        <v>121</v>
      </c>
      <c r="D285" s="111">
        <v>23480202011</v>
      </c>
      <c r="E285" s="111" t="s">
        <v>42</v>
      </c>
      <c r="F285" s="140" t="s">
        <v>116</v>
      </c>
      <c r="G285" s="162" t="s">
        <v>44</v>
      </c>
      <c r="H285" s="116">
        <v>2024</v>
      </c>
      <c r="I285" s="116">
        <v>9</v>
      </c>
      <c r="J285" s="117">
        <v>45590</v>
      </c>
      <c r="K285" s="118">
        <v>0.5</v>
      </c>
      <c r="L285" s="141">
        <f t="shared" si="45"/>
        <v>0.29378086188436198</v>
      </c>
      <c r="M285" s="141">
        <v>0.41711419521769499</v>
      </c>
      <c r="N285" s="141">
        <v>0.123333333333333</v>
      </c>
      <c r="O285" s="119">
        <f t="shared" si="41"/>
        <v>6.1666666666666502E-2</v>
      </c>
      <c r="P285" s="120">
        <v>1</v>
      </c>
      <c r="Q285" s="119">
        <f t="shared" si="42"/>
        <v>0.29378086188436198</v>
      </c>
      <c r="R285" s="121">
        <v>180000</v>
      </c>
      <c r="S285" s="121">
        <f t="shared" si="44"/>
        <v>1002735</v>
      </c>
      <c r="T285" s="141">
        <v>370000</v>
      </c>
      <c r="U285" s="141">
        <f>T285-N285*S285</f>
        <v>246329.35000000033</v>
      </c>
      <c r="V285" s="142" t="s">
        <v>107</v>
      </c>
      <c r="W285" s="142"/>
      <c r="X285" s="143">
        <v>1.7749999999999999</v>
      </c>
      <c r="Y285" s="143" t="s">
        <v>54</v>
      </c>
      <c r="Z285" s="143"/>
      <c r="AA285" s="135">
        <v>0</v>
      </c>
      <c r="AB285" s="126">
        <f t="shared" si="39"/>
        <v>75080.555139185104</v>
      </c>
      <c r="AC285" s="126">
        <f t="shared" si="43"/>
        <v>0</v>
      </c>
      <c r="AD285" s="144">
        <f t="shared" si="40"/>
        <v>319.5</v>
      </c>
      <c r="AE285" s="116"/>
    </row>
    <row r="286" spans="1:31" s="113" customFormat="1" ht="25.5" x14ac:dyDescent="0.2">
      <c r="A286" s="111" t="s">
        <v>110</v>
      </c>
      <c r="B286" s="114" t="str">
        <f>VLOOKUP(A286,Sheet1!A:B,2,0)</f>
        <v>HP</v>
      </c>
      <c r="C286" s="130" t="s">
        <v>66</v>
      </c>
      <c r="D286" s="111">
        <v>23480202017</v>
      </c>
      <c r="E286" s="111" t="s">
        <v>42</v>
      </c>
      <c r="F286" s="140" t="s">
        <v>116</v>
      </c>
      <c r="G286" s="162" t="s">
        <v>44</v>
      </c>
      <c r="H286" s="116">
        <v>2024</v>
      </c>
      <c r="I286" s="116">
        <v>9</v>
      </c>
      <c r="J286" s="117">
        <v>45590</v>
      </c>
      <c r="K286" s="118">
        <v>0.5</v>
      </c>
      <c r="L286" s="141">
        <f t="shared" si="45"/>
        <v>1.0628666666666668</v>
      </c>
      <c r="M286" s="141">
        <v>1.1322000000000001</v>
      </c>
      <c r="N286" s="141">
        <v>6.9333333333333302E-2</v>
      </c>
      <c r="O286" s="119">
        <f t="shared" si="41"/>
        <v>3.4666666666666651E-2</v>
      </c>
      <c r="P286" s="120">
        <v>1</v>
      </c>
      <c r="Q286" s="119">
        <f t="shared" si="42"/>
        <v>1.0628666666666668</v>
      </c>
      <c r="R286" s="121">
        <v>155491</v>
      </c>
      <c r="S286" s="121">
        <f t="shared" si="44"/>
        <v>788769</v>
      </c>
      <c r="T286" s="141">
        <f>208000+207000+35513+26171+7330</f>
        <v>484014</v>
      </c>
      <c r="U286" s="141">
        <f>T286-N286*S286</f>
        <v>429326.016</v>
      </c>
      <c r="V286" s="142" t="s">
        <v>122</v>
      </c>
      <c r="W286" s="142"/>
      <c r="X286" s="143">
        <v>2.3839999999999999</v>
      </c>
      <c r="Y286" s="143" t="s">
        <v>54</v>
      </c>
      <c r="Z286" s="124" t="s">
        <v>93</v>
      </c>
      <c r="AA286" s="135">
        <v>0.7964</v>
      </c>
      <c r="AB286" s="126">
        <f t="shared" si="39"/>
        <v>176046.91020000001</v>
      </c>
      <c r="AC286" s="126">
        <f t="shared" si="43"/>
        <v>123833.0324</v>
      </c>
      <c r="AD286" s="144">
        <f t="shared" si="40"/>
        <v>370.69054399999999</v>
      </c>
      <c r="AE286" s="116"/>
    </row>
    <row r="287" spans="1:31" s="113" customFormat="1" ht="51" x14ac:dyDescent="0.2">
      <c r="A287" s="111" t="s">
        <v>110</v>
      </c>
      <c r="B287" s="114" t="str">
        <f>VLOOKUP(A287,Sheet1!A:B,2,0)</f>
        <v>HP</v>
      </c>
      <c r="C287" s="130" t="s">
        <v>81</v>
      </c>
      <c r="D287" s="111">
        <v>23480202018</v>
      </c>
      <c r="E287" s="111" t="s">
        <v>42</v>
      </c>
      <c r="F287" s="140" t="s">
        <v>116</v>
      </c>
      <c r="G287" s="162" t="s">
        <v>44</v>
      </c>
      <c r="H287" s="116">
        <v>2024</v>
      </c>
      <c r="I287" s="116">
        <v>9</v>
      </c>
      <c r="J287" s="117">
        <v>45590</v>
      </c>
      <c r="K287" s="118">
        <v>0.4</v>
      </c>
      <c r="L287" s="141">
        <f t="shared" si="45"/>
        <v>0.41382922267354705</v>
      </c>
      <c r="M287" s="141">
        <v>0.54316255600688002</v>
      </c>
      <c r="N287" s="141">
        <v>0.12933333333333299</v>
      </c>
      <c r="O287" s="119">
        <f t="shared" si="41"/>
        <v>5.1733333333333201E-2</v>
      </c>
      <c r="P287" s="120">
        <v>1</v>
      </c>
      <c r="Q287" s="119">
        <f t="shared" si="42"/>
        <v>0.41382922267354705</v>
      </c>
      <c r="R287" s="121">
        <v>93210</v>
      </c>
      <c r="S287" s="121">
        <f t="shared" si="44"/>
        <v>429495</v>
      </c>
      <c r="T287" s="141">
        <f>388000+53870+10859</f>
        <v>452729</v>
      </c>
      <c r="U287" s="141">
        <f>T287-N287*S287</f>
        <v>397180.98000000016</v>
      </c>
      <c r="V287" s="142" t="s">
        <v>123</v>
      </c>
      <c r="W287" s="116"/>
      <c r="X287" s="143">
        <v>3.673</v>
      </c>
      <c r="Y287" s="143" t="s">
        <v>54</v>
      </c>
      <c r="Z287" s="143"/>
      <c r="AA287" s="135">
        <v>0</v>
      </c>
      <c r="AB287" s="126">
        <f t="shared" si="39"/>
        <v>50628.181845401283</v>
      </c>
      <c r="AC287" s="126">
        <f t="shared" si="43"/>
        <v>0</v>
      </c>
      <c r="AD287" s="144">
        <f t="shared" si="40"/>
        <v>342.36033000000003</v>
      </c>
      <c r="AE287" s="116"/>
    </row>
    <row r="288" spans="1:31" s="129" customFormat="1" x14ac:dyDescent="0.2">
      <c r="A288" s="110" t="s">
        <v>124</v>
      </c>
      <c r="B288" s="114" t="str">
        <f>VLOOKUP(A288,Sheet1!A:B,2,0)</f>
        <v>RCS POD</v>
      </c>
      <c r="C288" s="130" t="s">
        <v>84</v>
      </c>
      <c r="D288" s="110" t="s">
        <v>85</v>
      </c>
      <c r="E288" s="110" t="s">
        <v>42</v>
      </c>
      <c r="F288" s="110" t="s">
        <v>60</v>
      </c>
      <c r="G288" s="162" t="s">
        <v>44</v>
      </c>
      <c r="H288" s="123">
        <v>2023</v>
      </c>
      <c r="I288" s="116">
        <v>1</v>
      </c>
      <c r="J288" s="117">
        <v>45590</v>
      </c>
      <c r="K288" s="118">
        <v>0.5</v>
      </c>
      <c r="L288" s="146">
        <f>M288-N288</f>
        <v>0.2716898724654021</v>
      </c>
      <c r="M288" s="146">
        <f>0.0486776607435088*7.15</f>
        <v>0.34804527431608795</v>
      </c>
      <c r="N288" s="146">
        <f>0.0106790771819141*7.15</f>
        <v>7.6355401850685817E-2</v>
      </c>
      <c r="O288" s="119">
        <f t="shared" si="41"/>
        <v>3.8177700925342908E-2</v>
      </c>
      <c r="P288" s="120">
        <v>1</v>
      </c>
      <c r="Q288" s="119">
        <f t="shared" si="42"/>
        <v>0.2716898724654021</v>
      </c>
      <c r="R288" s="121">
        <v>134307162</v>
      </c>
      <c r="S288" s="147">
        <f>R288</f>
        <v>134307162</v>
      </c>
      <c r="T288" s="148">
        <f>3463988.94540042*7.15</f>
        <v>24767520.959613007</v>
      </c>
      <c r="U288" s="119">
        <f t="shared" ref="U288:U339" si="46">T288-S288*N288</f>
        <v>14512443.633677848</v>
      </c>
      <c r="V288" s="136" t="s">
        <v>45</v>
      </c>
      <c r="W288" s="132"/>
      <c r="X288" s="124">
        <v>2.09</v>
      </c>
      <c r="Y288" s="133" t="s">
        <v>46</v>
      </c>
      <c r="Z288" s="133"/>
      <c r="AA288" s="125">
        <v>0</v>
      </c>
      <c r="AB288" s="126">
        <f t="shared" si="39"/>
        <v>46744973.040905267</v>
      </c>
      <c r="AC288" s="126">
        <f t="shared" si="43"/>
        <v>0</v>
      </c>
      <c r="AD288" s="127">
        <f t="shared" si="40"/>
        <v>280701.96857999999</v>
      </c>
      <c r="AE288" s="123" t="s">
        <v>125</v>
      </c>
    </row>
    <row r="289" spans="1:31" s="129" customFormat="1" x14ac:dyDescent="0.2">
      <c r="A289" s="110" t="s">
        <v>124</v>
      </c>
      <c r="B289" s="114" t="str">
        <f>VLOOKUP(A289,Sheet1!A:B,2,0)</f>
        <v>RCS POD</v>
      </c>
      <c r="C289" s="130" t="s">
        <v>126</v>
      </c>
      <c r="D289" s="110" t="s">
        <v>127</v>
      </c>
      <c r="E289" s="110" t="s">
        <v>42</v>
      </c>
      <c r="F289" s="110" t="s">
        <v>60</v>
      </c>
      <c r="G289" s="162" t="s">
        <v>44</v>
      </c>
      <c r="H289" s="123">
        <v>2023</v>
      </c>
      <c r="I289" s="116">
        <v>1</v>
      </c>
      <c r="J289" s="117">
        <v>45590</v>
      </c>
      <c r="K289" s="118">
        <v>0.5</v>
      </c>
      <c r="L289" s="146">
        <f t="shared" si="45"/>
        <v>8.678151776003247E-2</v>
      </c>
      <c r="M289" s="146">
        <f>0.0161737427216087*7.15</f>
        <v>0.11564226045950222</v>
      </c>
      <c r="N289" s="146">
        <f>0.00403646751041535*7.15</f>
        <v>2.8860742699469755E-2</v>
      </c>
      <c r="O289" s="119">
        <f t="shared" si="41"/>
        <v>1.4430371349734877E-2</v>
      </c>
      <c r="P289" s="120">
        <v>1</v>
      </c>
      <c r="Q289" s="119">
        <f t="shared" si="42"/>
        <v>8.678151776003247E-2</v>
      </c>
      <c r="R289" s="121">
        <v>136763959</v>
      </c>
      <c r="S289" s="147">
        <f>R289</f>
        <v>136763959</v>
      </c>
      <c r="T289" s="126">
        <f>1437831.94798769*7.15</f>
        <v>10280498.428111985</v>
      </c>
      <c r="U289" s="119">
        <f t="shared" si="46"/>
        <v>6333388.9968521539</v>
      </c>
      <c r="V289" s="136" t="s">
        <v>45</v>
      </c>
      <c r="W289" s="132"/>
      <c r="X289" s="124">
        <v>0.31</v>
      </c>
      <c r="Y289" s="133" t="s">
        <v>46</v>
      </c>
      <c r="Z289" s="133"/>
      <c r="AA289" s="125">
        <v>0</v>
      </c>
      <c r="AB289" s="126">
        <f t="shared" si="39"/>
        <v>15815693.368150683</v>
      </c>
      <c r="AC289" s="126">
        <f t="shared" si="43"/>
        <v>0</v>
      </c>
      <c r="AD289" s="127">
        <f t="shared" si="40"/>
        <v>42396.827290000001</v>
      </c>
      <c r="AE289" s="123" t="s">
        <v>125</v>
      </c>
    </row>
    <row r="290" spans="1:31" s="129" customFormat="1" x14ac:dyDescent="0.2">
      <c r="A290" s="110" t="s">
        <v>124</v>
      </c>
      <c r="B290" s="114" t="str">
        <f>VLOOKUP(A290,Sheet1!A:B,2,0)</f>
        <v>RCS POD</v>
      </c>
      <c r="C290" s="130" t="s">
        <v>128</v>
      </c>
      <c r="D290" s="110" t="s">
        <v>129</v>
      </c>
      <c r="E290" s="110" t="s">
        <v>42</v>
      </c>
      <c r="F290" s="110" t="s">
        <v>60</v>
      </c>
      <c r="G290" s="162" t="s">
        <v>44</v>
      </c>
      <c r="H290" s="123">
        <v>2023</v>
      </c>
      <c r="I290" s="116">
        <v>1</v>
      </c>
      <c r="J290" s="117">
        <v>45590</v>
      </c>
      <c r="K290" s="118">
        <v>0.5</v>
      </c>
      <c r="L290" s="146">
        <f t="shared" si="45"/>
        <v>9.5833382481798193E-2</v>
      </c>
      <c r="M290" s="146">
        <f>0.0174994801501063*7.15</f>
        <v>0.12512128307326006</v>
      </c>
      <c r="N290" s="146">
        <f>0.00409620987293173*7.15</f>
        <v>2.9287900591461875E-2</v>
      </c>
      <c r="O290" s="119">
        <f t="shared" si="41"/>
        <v>1.4643950295730937E-2</v>
      </c>
      <c r="P290" s="120">
        <v>1</v>
      </c>
      <c r="Q290" s="119">
        <f t="shared" si="42"/>
        <v>9.5833382481798193E-2</v>
      </c>
      <c r="R290" s="121">
        <v>135382134</v>
      </c>
      <c r="S290" s="147">
        <f>R290</f>
        <v>135382134</v>
      </c>
      <c r="T290" s="149">
        <f>1445425.20219722*7.15</f>
        <v>10334790.195710123</v>
      </c>
      <c r="U290" s="119">
        <f t="shared" si="46"/>
        <v>6369731.7132581519</v>
      </c>
      <c r="V290" s="136" t="s">
        <v>45</v>
      </c>
      <c r="W290" s="132"/>
      <c r="X290" s="124">
        <v>0.5</v>
      </c>
      <c r="Y290" s="133" t="s">
        <v>46</v>
      </c>
      <c r="Z290" s="133"/>
      <c r="AA290" s="125">
        <v>0</v>
      </c>
      <c r="AB290" s="126">
        <f t="shared" si="39"/>
        <v>16939186.311276026</v>
      </c>
      <c r="AC290" s="126">
        <f t="shared" si="43"/>
        <v>0</v>
      </c>
      <c r="AD290" s="127">
        <f t="shared" si="40"/>
        <v>67691.066999999995</v>
      </c>
      <c r="AE290" s="123" t="s">
        <v>125</v>
      </c>
    </row>
    <row r="291" spans="1:31" s="129" customFormat="1" x14ac:dyDescent="0.2">
      <c r="A291" s="110" t="s">
        <v>124</v>
      </c>
      <c r="B291" s="114" t="str">
        <f>VLOOKUP(A291,Sheet1!A:B,2,0)</f>
        <v>RCS POD</v>
      </c>
      <c r="C291" s="130" t="s">
        <v>130</v>
      </c>
      <c r="D291" s="110" t="s">
        <v>131</v>
      </c>
      <c r="E291" s="110" t="s">
        <v>42</v>
      </c>
      <c r="F291" s="110" t="s">
        <v>60</v>
      </c>
      <c r="G291" s="162" t="s">
        <v>44</v>
      </c>
      <c r="H291" s="123">
        <v>2023</v>
      </c>
      <c r="I291" s="116">
        <v>1</v>
      </c>
      <c r="J291" s="117">
        <v>45590</v>
      </c>
      <c r="K291" s="118">
        <v>0.5</v>
      </c>
      <c r="L291" s="146">
        <f t="shared" si="45"/>
        <v>0.11296999999999974</v>
      </c>
      <c r="M291" s="146">
        <f>0.0185189867051391*7.15</f>
        <v>0.13241075494174459</v>
      </c>
      <c r="N291" s="146">
        <f>0.00271898670513914*7.15</f>
        <v>1.944075494174485E-2</v>
      </c>
      <c r="O291" s="119">
        <f t="shared" si="41"/>
        <v>9.7203774708724249E-3</v>
      </c>
      <c r="P291" s="120">
        <v>1</v>
      </c>
      <c r="Q291" s="119">
        <f t="shared" si="42"/>
        <v>0.11296999999999974</v>
      </c>
      <c r="R291" s="121">
        <v>135481208</v>
      </c>
      <c r="S291" s="147">
        <f>R291</f>
        <v>135481208</v>
      </c>
      <c r="T291" s="149">
        <f>728800.55983205*7.15</f>
        <v>5210924.002799158</v>
      </c>
      <c r="U291" s="119">
        <f t="shared" si="46"/>
        <v>2577067.038859596</v>
      </c>
      <c r="V291" s="234" t="s">
        <v>132</v>
      </c>
      <c r="W291" s="150"/>
      <c r="X291" s="124">
        <v>1.29</v>
      </c>
      <c r="Y291" s="150" t="s">
        <v>133</v>
      </c>
      <c r="Z291" s="150"/>
      <c r="AA291" s="125">
        <v>0</v>
      </c>
      <c r="AB291" s="126">
        <f t="shared" si="39"/>
        <v>17939169.031699527</v>
      </c>
      <c r="AC291" s="126">
        <f t="shared" si="43"/>
        <v>0</v>
      </c>
      <c r="AD291" s="127">
        <f t="shared" si="40"/>
        <v>174770.75831999999</v>
      </c>
      <c r="AE291" s="123" t="s">
        <v>125</v>
      </c>
    </row>
    <row r="292" spans="1:31" s="129" customFormat="1" x14ac:dyDescent="0.2">
      <c r="A292" s="110" t="s">
        <v>124</v>
      </c>
      <c r="B292" s="114" t="str">
        <f>VLOOKUP(A292,Sheet1!A:B,2,0)</f>
        <v>RCS POD</v>
      </c>
      <c r="C292" s="130" t="s">
        <v>84</v>
      </c>
      <c r="D292" s="110" t="s">
        <v>85</v>
      </c>
      <c r="E292" s="110" t="s">
        <v>42</v>
      </c>
      <c r="F292" s="110" t="s">
        <v>60</v>
      </c>
      <c r="G292" s="162" t="s">
        <v>44</v>
      </c>
      <c r="H292" s="123">
        <v>2023</v>
      </c>
      <c r="I292" s="116">
        <v>2</v>
      </c>
      <c r="J292" s="117">
        <v>45590</v>
      </c>
      <c r="K292" s="118">
        <v>0.5</v>
      </c>
      <c r="L292" s="146">
        <f>M292-N292</f>
        <v>0.2716898724654021</v>
      </c>
      <c r="M292" s="146">
        <f>0.0486776607435088*7.15</f>
        <v>0.34804527431608795</v>
      </c>
      <c r="N292" s="146">
        <f>0.0106790771819141*7.15</f>
        <v>7.6355401850685817E-2</v>
      </c>
      <c r="O292" s="119">
        <f t="shared" si="41"/>
        <v>3.8177700925342908E-2</v>
      </c>
      <c r="P292" s="120">
        <v>1</v>
      </c>
      <c r="Q292" s="119">
        <f t="shared" si="42"/>
        <v>0.2716898724654021</v>
      </c>
      <c r="R292" s="151">
        <f>15291328+66</f>
        <v>15291394</v>
      </c>
      <c r="S292" s="147">
        <f t="shared" ref="S292:S355" si="47">R292+S288</f>
        <v>149598556</v>
      </c>
      <c r="T292" s="148">
        <f>3463988.94540042*7.15</f>
        <v>24767520.959613007</v>
      </c>
      <c r="U292" s="119">
        <f t="shared" si="46"/>
        <v>13344863.099950681</v>
      </c>
      <c r="V292" s="136" t="s">
        <v>45</v>
      </c>
      <c r="W292" s="132"/>
      <c r="X292" s="124">
        <v>2.09</v>
      </c>
      <c r="Y292" s="133" t="s">
        <v>46</v>
      </c>
      <c r="Z292" s="133"/>
      <c r="AA292" s="125">
        <v>0</v>
      </c>
      <c r="AB292" s="126">
        <f t="shared" si="39"/>
        <v>5322097.4194053812</v>
      </c>
      <c r="AC292" s="126">
        <f t="shared" si="43"/>
        <v>0</v>
      </c>
      <c r="AD292" s="127">
        <f t="shared" si="40"/>
        <v>31959.013459999998</v>
      </c>
      <c r="AE292" s="123" t="s">
        <v>125</v>
      </c>
    </row>
    <row r="293" spans="1:31" s="129" customFormat="1" x14ac:dyDescent="0.2">
      <c r="A293" s="110" t="s">
        <v>124</v>
      </c>
      <c r="B293" s="114" t="str">
        <f>VLOOKUP(A293,Sheet1!A:B,2,0)</f>
        <v>RCS POD</v>
      </c>
      <c r="C293" s="130" t="s">
        <v>126</v>
      </c>
      <c r="D293" s="110" t="s">
        <v>127</v>
      </c>
      <c r="E293" s="110" t="s">
        <v>42</v>
      </c>
      <c r="F293" s="110" t="s">
        <v>60</v>
      </c>
      <c r="G293" s="162" t="s">
        <v>44</v>
      </c>
      <c r="H293" s="123">
        <v>2023</v>
      </c>
      <c r="I293" s="116">
        <v>2</v>
      </c>
      <c r="J293" s="117">
        <v>45590</v>
      </c>
      <c r="K293" s="118">
        <v>0.5</v>
      </c>
      <c r="L293" s="146">
        <f t="shared" ref="L293:L295" si="48">M293-N293</f>
        <v>8.678151776003247E-2</v>
      </c>
      <c r="M293" s="146">
        <f>0.0161737427216087*7.15</f>
        <v>0.11564226045950222</v>
      </c>
      <c r="N293" s="146">
        <f>0.00403646751041535*7.15</f>
        <v>2.8860742699469755E-2</v>
      </c>
      <c r="O293" s="119">
        <f t="shared" si="41"/>
        <v>1.4430371349734877E-2</v>
      </c>
      <c r="P293" s="120">
        <v>1</v>
      </c>
      <c r="Q293" s="119">
        <f t="shared" si="42"/>
        <v>8.678151776003247E-2</v>
      </c>
      <c r="R293" s="151">
        <v>15332028</v>
      </c>
      <c r="S293" s="147">
        <f t="shared" si="47"/>
        <v>152095987</v>
      </c>
      <c r="T293" s="126">
        <f>1437831.94798769*7.15</f>
        <v>10280498.428111985</v>
      </c>
      <c r="U293" s="119">
        <f t="shared" si="46"/>
        <v>5890895.2816830883</v>
      </c>
      <c r="V293" s="136" t="s">
        <v>45</v>
      </c>
      <c r="W293" s="132"/>
      <c r="X293" s="124">
        <v>0.31</v>
      </c>
      <c r="Y293" s="133" t="s">
        <v>46</v>
      </c>
      <c r="Z293" s="133"/>
      <c r="AA293" s="125">
        <v>0</v>
      </c>
      <c r="AB293" s="126">
        <f t="shared" si="39"/>
        <v>1773030.375348381</v>
      </c>
      <c r="AC293" s="126">
        <f t="shared" si="43"/>
        <v>0</v>
      </c>
      <c r="AD293" s="127">
        <f t="shared" si="40"/>
        <v>4752.92868</v>
      </c>
      <c r="AE293" s="123" t="s">
        <v>125</v>
      </c>
    </row>
    <row r="294" spans="1:31" s="129" customFormat="1" x14ac:dyDescent="0.2">
      <c r="A294" s="110" t="s">
        <v>124</v>
      </c>
      <c r="B294" s="114" t="str">
        <f>VLOOKUP(A294,Sheet1!A:B,2,0)</f>
        <v>RCS POD</v>
      </c>
      <c r="C294" s="130" t="s">
        <v>128</v>
      </c>
      <c r="D294" s="110" t="s">
        <v>129</v>
      </c>
      <c r="E294" s="110" t="s">
        <v>42</v>
      </c>
      <c r="F294" s="110" t="s">
        <v>60</v>
      </c>
      <c r="G294" s="162" t="s">
        <v>44</v>
      </c>
      <c r="H294" s="123">
        <v>2023</v>
      </c>
      <c r="I294" s="116">
        <v>2</v>
      </c>
      <c r="J294" s="117">
        <v>45590</v>
      </c>
      <c r="K294" s="118">
        <v>0.5</v>
      </c>
      <c r="L294" s="146">
        <f t="shared" si="48"/>
        <v>9.5833382481798193E-2</v>
      </c>
      <c r="M294" s="146">
        <f>0.0174994801501063*7.15</f>
        <v>0.12512128307326006</v>
      </c>
      <c r="N294" s="146">
        <f>0.00409620987293173*7.15</f>
        <v>2.9287900591461875E-2</v>
      </c>
      <c r="O294" s="119">
        <f t="shared" si="41"/>
        <v>1.4643950295730937E-2</v>
      </c>
      <c r="P294" s="120">
        <v>1</v>
      </c>
      <c r="Q294" s="119">
        <f t="shared" si="42"/>
        <v>9.5833382481798193E-2</v>
      </c>
      <c r="R294" s="151">
        <v>15284028</v>
      </c>
      <c r="S294" s="147">
        <f t="shared" si="47"/>
        <v>150666162</v>
      </c>
      <c r="T294" s="149">
        <f>1445425.20219722*7.15</f>
        <v>10334790.195710123</v>
      </c>
      <c r="U294" s="119">
        <f t="shared" si="46"/>
        <v>5922094.6205570316</v>
      </c>
      <c r="V294" s="136" t="s">
        <v>45</v>
      </c>
      <c r="W294" s="132"/>
      <c r="X294" s="124">
        <v>0.5</v>
      </c>
      <c r="Y294" s="133" t="s">
        <v>46</v>
      </c>
      <c r="Z294" s="133"/>
      <c r="AA294" s="125">
        <v>0</v>
      </c>
      <c r="AB294" s="126">
        <f t="shared" si="39"/>
        <v>1912357.1938876328</v>
      </c>
      <c r="AC294" s="126">
        <f t="shared" si="43"/>
        <v>0</v>
      </c>
      <c r="AD294" s="127">
        <f t="shared" si="40"/>
        <v>7642.0140000000001</v>
      </c>
      <c r="AE294" s="123" t="s">
        <v>125</v>
      </c>
    </row>
    <row r="295" spans="1:31" s="129" customFormat="1" x14ac:dyDescent="0.2">
      <c r="A295" s="110" t="s">
        <v>124</v>
      </c>
      <c r="B295" s="114" t="str">
        <f>VLOOKUP(A295,Sheet1!A:B,2,0)</f>
        <v>RCS POD</v>
      </c>
      <c r="C295" s="130" t="s">
        <v>130</v>
      </c>
      <c r="D295" s="110" t="s">
        <v>131</v>
      </c>
      <c r="E295" s="110" t="s">
        <v>42</v>
      </c>
      <c r="F295" s="110" t="s">
        <v>60</v>
      </c>
      <c r="G295" s="162" t="s">
        <v>44</v>
      </c>
      <c r="H295" s="123">
        <v>2023</v>
      </c>
      <c r="I295" s="116">
        <v>2</v>
      </c>
      <c r="J295" s="117">
        <v>45590</v>
      </c>
      <c r="K295" s="118">
        <v>0.5</v>
      </c>
      <c r="L295" s="146">
        <f t="shared" si="48"/>
        <v>0.11296999999999974</v>
      </c>
      <c r="M295" s="146">
        <f>0.0185189867051391*7.15</f>
        <v>0.13241075494174459</v>
      </c>
      <c r="N295" s="146">
        <f>0.00271898670513914*7.15</f>
        <v>1.944075494174485E-2</v>
      </c>
      <c r="O295" s="119">
        <f t="shared" si="41"/>
        <v>9.7203774708724249E-3</v>
      </c>
      <c r="P295" s="120">
        <v>1</v>
      </c>
      <c r="Q295" s="119">
        <f t="shared" si="42"/>
        <v>0.11296999999999974</v>
      </c>
      <c r="R295" s="151">
        <v>15260000</v>
      </c>
      <c r="S295" s="147">
        <f t="shared" si="47"/>
        <v>150741208</v>
      </c>
      <c r="T295" s="149">
        <f>728800.55983205*7.15</f>
        <v>5210924.002799158</v>
      </c>
      <c r="U295" s="119">
        <f t="shared" si="46"/>
        <v>2280401.1184485699</v>
      </c>
      <c r="V295" s="234" t="s">
        <v>132</v>
      </c>
      <c r="W295" s="150"/>
      <c r="X295" s="124">
        <v>1.29</v>
      </c>
      <c r="Y295" s="150" t="s">
        <v>133</v>
      </c>
      <c r="Z295" s="150"/>
      <c r="AA295" s="125">
        <v>0</v>
      </c>
      <c r="AB295" s="126">
        <f t="shared" si="39"/>
        <v>2020588.1204110226</v>
      </c>
      <c r="AC295" s="126">
        <f t="shared" si="43"/>
        <v>0</v>
      </c>
      <c r="AD295" s="127">
        <f t="shared" si="40"/>
        <v>19685.400000000001</v>
      </c>
      <c r="AE295" s="123" t="s">
        <v>125</v>
      </c>
    </row>
    <row r="296" spans="1:31" s="129" customFormat="1" x14ac:dyDescent="0.2">
      <c r="A296" s="110" t="s">
        <v>124</v>
      </c>
      <c r="B296" s="114" t="str">
        <f>VLOOKUP(A296,Sheet1!A:B,2,0)</f>
        <v>RCS POD</v>
      </c>
      <c r="C296" s="130" t="s">
        <v>84</v>
      </c>
      <c r="D296" s="110" t="s">
        <v>85</v>
      </c>
      <c r="E296" s="110" t="s">
        <v>42</v>
      </c>
      <c r="F296" s="110" t="s">
        <v>60</v>
      </c>
      <c r="G296" s="162" t="s">
        <v>44</v>
      </c>
      <c r="H296" s="123">
        <v>2023</v>
      </c>
      <c r="I296" s="116">
        <v>3</v>
      </c>
      <c r="J296" s="117">
        <v>45590</v>
      </c>
      <c r="K296" s="118">
        <v>0.5</v>
      </c>
      <c r="L296" s="146">
        <f>M296-N296</f>
        <v>0.2716898724654021</v>
      </c>
      <c r="M296" s="146">
        <f>0.0486776607435088*7.15</f>
        <v>0.34804527431608795</v>
      </c>
      <c r="N296" s="146">
        <f>0.0106790771819141*7.15</f>
        <v>7.6355401850685817E-2</v>
      </c>
      <c r="O296" s="119">
        <f t="shared" si="41"/>
        <v>3.8177700925342908E-2</v>
      </c>
      <c r="P296" s="120">
        <v>1</v>
      </c>
      <c r="Q296" s="119">
        <f t="shared" si="42"/>
        <v>0.2716898724654021</v>
      </c>
      <c r="R296" s="147">
        <v>14267360</v>
      </c>
      <c r="S296" s="147">
        <f t="shared" si="47"/>
        <v>163865916</v>
      </c>
      <c r="T296" s="148">
        <f>3463988.94540042*7.15</f>
        <v>24767520.959613007</v>
      </c>
      <c r="U296" s="119">
        <f t="shared" si="46"/>
        <v>12255473.093802281</v>
      </c>
      <c r="V296" s="136" t="s">
        <v>45</v>
      </c>
      <c r="W296" s="132"/>
      <c r="X296" s="124">
        <v>2.09</v>
      </c>
      <c r="Y296" s="133" t="s">
        <v>46</v>
      </c>
      <c r="Z296" s="133"/>
      <c r="AA296" s="125">
        <v>0</v>
      </c>
      <c r="AB296" s="126">
        <f t="shared" si="39"/>
        <v>4965687.2249663807</v>
      </c>
      <c r="AC296" s="126">
        <f t="shared" si="43"/>
        <v>0</v>
      </c>
      <c r="AD296" s="127">
        <f t="shared" si="40"/>
        <v>29818.7824</v>
      </c>
      <c r="AE296" s="123" t="s">
        <v>125</v>
      </c>
    </row>
    <row r="297" spans="1:31" s="129" customFormat="1" x14ac:dyDescent="0.2">
      <c r="A297" s="110" t="s">
        <v>124</v>
      </c>
      <c r="B297" s="114" t="str">
        <f>VLOOKUP(A297,Sheet1!A:B,2,0)</f>
        <v>RCS POD</v>
      </c>
      <c r="C297" s="130" t="s">
        <v>126</v>
      </c>
      <c r="D297" s="110" t="s">
        <v>127</v>
      </c>
      <c r="E297" s="110" t="s">
        <v>42</v>
      </c>
      <c r="F297" s="110" t="s">
        <v>60</v>
      </c>
      <c r="G297" s="162" t="s">
        <v>44</v>
      </c>
      <c r="H297" s="123">
        <v>2023</v>
      </c>
      <c r="I297" s="116">
        <v>3</v>
      </c>
      <c r="J297" s="117">
        <v>45590</v>
      </c>
      <c r="K297" s="118">
        <v>0.5</v>
      </c>
      <c r="L297" s="146">
        <f t="shared" ref="L297:L299" si="49">M297-N297</f>
        <v>8.678151776003247E-2</v>
      </c>
      <c r="M297" s="146">
        <f>0.0161737427216087*7.15</f>
        <v>0.11564226045950222</v>
      </c>
      <c r="N297" s="146">
        <f>0.00403646751041535*7.15</f>
        <v>2.8860742699469755E-2</v>
      </c>
      <c r="O297" s="119">
        <f t="shared" si="41"/>
        <v>1.4430371349734877E-2</v>
      </c>
      <c r="P297" s="120">
        <v>1</v>
      </c>
      <c r="Q297" s="119">
        <f t="shared" si="42"/>
        <v>8.678151776003247E-2</v>
      </c>
      <c r="R297" s="147">
        <v>13964028</v>
      </c>
      <c r="S297" s="147">
        <f t="shared" si="47"/>
        <v>166060015</v>
      </c>
      <c r="T297" s="126">
        <f>1437831.94798769*7.15</f>
        <v>10280498.428111985</v>
      </c>
      <c r="U297" s="119">
        <f t="shared" si="46"/>
        <v>5487883.0625268975</v>
      </c>
      <c r="V297" s="136" t="s">
        <v>45</v>
      </c>
      <c r="W297" s="132"/>
      <c r="X297" s="124">
        <v>0.31</v>
      </c>
      <c r="Y297" s="133" t="s">
        <v>46</v>
      </c>
      <c r="Z297" s="133"/>
      <c r="AA297" s="125">
        <v>0</v>
      </c>
      <c r="AB297" s="126">
        <f t="shared" si="39"/>
        <v>1614831.7630397819</v>
      </c>
      <c r="AC297" s="126">
        <f t="shared" si="43"/>
        <v>0</v>
      </c>
      <c r="AD297" s="127">
        <f t="shared" si="40"/>
        <v>4328.8486800000001</v>
      </c>
      <c r="AE297" s="123" t="s">
        <v>125</v>
      </c>
    </row>
    <row r="298" spans="1:31" s="129" customFormat="1" x14ac:dyDescent="0.2">
      <c r="A298" s="110" t="s">
        <v>124</v>
      </c>
      <c r="B298" s="114" t="str">
        <f>VLOOKUP(A298,Sheet1!A:B,2,0)</f>
        <v>RCS POD</v>
      </c>
      <c r="C298" s="130" t="s">
        <v>128</v>
      </c>
      <c r="D298" s="110" t="s">
        <v>129</v>
      </c>
      <c r="E298" s="110" t="s">
        <v>42</v>
      </c>
      <c r="F298" s="110" t="s">
        <v>60</v>
      </c>
      <c r="G298" s="162" t="s">
        <v>44</v>
      </c>
      <c r="H298" s="123">
        <v>2023</v>
      </c>
      <c r="I298" s="116">
        <v>3</v>
      </c>
      <c r="J298" s="117">
        <v>45590</v>
      </c>
      <c r="K298" s="118">
        <v>0.5</v>
      </c>
      <c r="L298" s="146">
        <f t="shared" si="49"/>
        <v>9.5833382481798193E-2</v>
      </c>
      <c r="M298" s="146">
        <f>0.0174994801501063*7.15</f>
        <v>0.12512128307326006</v>
      </c>
      <c r="N298" s="146">
        <f>0.00409620987293173*7.15</f>
        <v>2.9287900591461875E-2</v>
      </c>
      <c r="O298" s="119">
        <f t="shared" si="41"/>
        <v>1.4643950295730937E-2</v>
      </c>
      <c r="P298" s="120">
        <v>1</v>
      </c>
      <c r="Q298" s="119">
        <f t="shared" si="42"/>
        <v>9.5833382481798193E-2</v>
      </c>
      <c r="R298" s="147">
        <v>14148000</v>
      </c>
      <c r="S298" s="147">
        <f t="shared" si="47"/>
        <v>164814162</v>
      </c>
      <c r="T298" s="149">
        <f>1445425.20219722*7.15</f>
        <v>10334790.195710123</v>
      </c>
      <c r="U298" s="119">
        <f t="shared" si="46"/>
        <v>5507729.402989029</v>
      </c>
      <c r="V298" s="136" t="s">
        <v>45</v>
      </c>
      <c r="W298" s="132"/>
      <c r="X298" s="124">
        <v>0.5</v>
      </c>
      <c r="Y298" s="133" t="s">
        <v>46</v>
      </c>
      <c r="Z298" s="133"/>
      <c r="AA298" s="125">
        <v>0</v>
      </c>
      <c r="AB298" s="126">
        <f t="shared" si="39"/>
        <v>1770215.9129204834</v>
      </c>
      <c r="AC298" s="126">
        <f t="shared" si="43"/>
        <v>0</v>
      </c>
      <c r="AD298" s="127">
        <f t="shared" si="40"/>
        <v>7074</v>
      </c>
      <c r="AE298" s="123" t="s">
        <v>125</v>
      </c>
    </row>
    <row r="299" spans="1:31" s="129" customFormat="1" x14ac:dyDescent="0.2">
      <c r="A299" s="110" t="s">
        <v>124</v>
      </c>
      <c r="B299" s="114" t="str">
        <f>VLOOKUP(A299,Sheet1!A:B,2,0)</f>
        <v>RCS POD</v>
      </c>
      <c r="C299" s="130" t="s">
        <v>130</v>
      </c>
      <c r="D299" s="110" t="s">
        <v>131</v>
      </c>
      <c r="E299" s="110" t="s">
        <v>42</v>
      </c>
      <c r="F299" s="110" t="s">
        <v>60</v>
      </c>
      <c r="G299" s="162" t="s">
        <v>44</v>
      </c>
      <c r="H299" s="123">
        <v>2023</v>
      </c>
      <c r="I299" s="116">
        <v>3</v>
      </c>
      <c r="J299" s="117">
        <v>45590</v>
      </c>
      <c r="K299" s="118">
        <v>0.5</v>
      </c>
      <c r="L299" s="146">
        <f t="shared" si="49"/>
        <v>0.11296999999999974</v>
      </c>
      <c r="M299" s="146">
        <f>0.0185189867051391*7.15</f>
        <v>0.13241075494174459</v>
      </c>
      <c r="N299" s="146">
        <f>0.00271898670513914*7.15</f>
        <v>1.944075494174485E-2</v>
      </c>
      <c r="O299" s="119">
        <f t="shared" si="41"/>
        <v>9.7203774708724249E-3</v>
      </c>
      <c r="P299" s="120">
        <v>1</v>
      </c>
      <c r="Q299" s="119">
        <f t="shared" si="42"/>
        <v>0.11296999999999974</v>
      </c>
      <c r="R299" s="147">
        <v>13800000</v>
      </c>
      <c r="S299" s="147">
        <f t="shared" si="47"/>
        <v>164541208</v>
      </c>
      <c r="T299" s="149">
        <f>728800.55983205*7.15</f>
        <v>5210924.002799158</v>
      </c>
      <c r="U299" s="119">
        <f t="shared" si="46"/>
        <v>2012118.7002524906</v>
      </c>
      <c r="V299" s="234" t="s">
        <v>132</v>
      </c>
      <c r="W299" s="150"/>
      <c r="X299" s="124">
        <v>1.29</v>
      </c>
      <c r="Y299" s="150" t="s">
        <v>133</v>
      </c>
      <c r="Z299" s="150"/>
      <c r="AA299" s="125">
        <v>0</v>
      </c>
      <c r="AB299" s="126">
        <f t="shared" si="39"/>
        <v>1827268.4181960754</v>
      </c>
      <c r="AC299" s="126">
        <f t="shared" si="43"/>
        <v>0</v>
      </c>
      <c r="AD299" s="127">
        <f t="shared" si="40"/>
        <v>17802</v>
      </c>
      <c r="AE299" s="123" t="s">
        <v>125</v>
      </c>
    </row>
    <row r="300" spans="1:31" s="129" customFormat="1" x14ac:dyDescent="0.2">
      <c r="A300" s="110" t="s">
        <v>124</v>
      </c>
      <c r="B300" s="114" t="str">
        <f>VLOOKUP(A300,Sheet1!A:B,2,0)</f>
        <v>RCS POD</v>
      </c>
      <c r="C300" s="130" t="s">
        <v>84</v>
      </c>
      <c r="D300" s="110" t="s">
        <v>85</v>
      </c>
      <c r="E300" s="110" t="s">
        <v>42</v>
      </c>
      <c r="F300" s="110" t="s">
        <v>60</v>
      </c>
      <c r="G300" s="162" t="s">
        <v>44</v>
      </c>
      <c r="H300" s="123">
        <v>2023</v>
      </c>
      <c r="I300" s="116">
        <v>4</v>
      </c>
      <c r="J300" s="117">
        <v>45590</v>
      </c>
      <c r="K300" s="118">
        <v>0.5</v>
      </c>
      <c r="L300" s="146">
        <f>M300-N300</f>
        <v>0.2716898724654021</v>
      </c>
      <c r="M300" s="146">
        <f>0.0486776607435088*7.15</f>
        <v>0.34804527431608795</v>
      </c>
      <c r="N300" s="146">
        <f>0.0106790771819141*7.15</f>
        <v>7.6355401850685817E-2</v>
      </c>
      <c r="O300" s="119">
        <f t="shared" si="41"/>
        <v>3.8177700925342908E-2</v>
      </c>
      <c r="P300" s="120">
        <v>1</v>
      </c>
      <c r="Q300" s="119">
        <f t="shared" si="42"/>
        <v>0.2716898724654021</v>
      </c>
      <c r="R300" s="147">
        <v>14510877</v>
      </c>
      <c r="S300" s="147">
        <f t="shared" si="47"/>
        <v>178376793</v>
      </c>
      <c r="T300" s="148">
        <f>3463988.94540042*7.15</f>
        <v>24767520.959613007</v>
      </c>
      <c r="U300" s="119">
        <f t="shared" si="46"/>
        <v>11147489.249261405</v>
      </c>
      <c r="V300" s="136" t="s">
        <v>45</v>
      </c>
      <c r="W300" s="132"/>
      <c r="X300" s="124">
        <v>2.09</v>
      </c>
      <c r="Y300" s="133" t="s">
        <v>46</v>
      </c>
      <c r="Z300" s="133"/>
      <c r="AA300" s="125">
        <v>0</v>
      </c>
      <c r="AB300" s="126">
        <f t="shared" si="39"/>
        <v>5050442.1660320116</v>
      </c>
      <c r="AC300" s="126">
        <f t="shared" si="43"/>
        <v>0</v>
      </c>
      <c r="AD300" s="127">
        <f t="shared" si="40"/>
        <v>30327.732929999998</v>
      </c>
      <c r="AE300" s="123" t="s">
        <v>125</v>
      </c>
    </row>
    <row r="301" spans="1:31" s="129" customFormat="1" x14ac:dyDescent="0.2">
      <c r="A301" s="110" t="s">
        <v>124</v>
      </c>
      <c r="B301" s="114" t="str">
        <f>VLOOKUP(A301,Sheet1!A:B,2,0)</f>
        <v>RCS POD</v>
      </c>
      <c r="C301" s="130" t="s">
        <v>126</v>
      </c>
      <c r="D301" s="110" t="s">
        <v>127</v>
      </c>
      <c r="E301" s="110" t="s">
        <v>42</v>
      </c>
      <c r="F301" s="110" t="s">
        <v>60</v>
      </c>
      <c r="G301" s="162" t="s">
        <v>44</v>
      </c>
      <c r="H301" s="123">
        <v>2023</v>
      </c>
      <c r="I301" s="116">
        <v>4</v>
      </c>
      <c r="J301" s="117">
        <v>45590</v>
      </c>
      <c r="K301" s="118">
        <v>0.5</v>
      </c>
      <c r="L301" s="146">
        <f t="shared" ref="L301:L303" si="50">M301-N301</f>
        <v>8.678151776003247E-2</v>
      </c>
      <c r="M301" s="146">
        <f>0.0161737427216087*7.15</f>
        <v>0.11564226045950222</v>
      </c>
      <c r="N301" s="146">
        <f>0.00403646751041535*7.15</f>
        <v>2.8860742699469755E-2</v>
      </c>
      <c r="O301" s="119">
        <f t="shared" si="41"/>
        <v>1.4430371349734877E-2</v>
      </c>
      <c r="P301" s="120">
        <v>1</v>
      </c>
      <c r="Q301" s="119">
        <f t="shared" si="42"/>
        <v>8.678151776003247E-2</v>
      </c>
      <c r="R301" s="147">
        <v>14552877</v>
      </c>
      <c r="S301" s="147">
        <f t="shared" si="47"/>
        <v>180612892</v>
      </c>
      <c r="T301" s="126">
        <f>1437831.94798769*7.15</f>
        <v>10280498.428111985</v>
      </c>
      <c r="U301" s="119">
        <f t="shared" si="46"/>
        <v>5067876.2238928657</v>
      </c>
      <c r="V301" s="136" t="s">
        <v>45</v>
      </c>
      <c r="W301" s="132"/>
      <c r="X301" s="124">
        <v>0.31</v>
      </c>
      <c r="Y301" s="133" t="s">
        <v>46</v>
      </c>
      <c r="Z301" s="133"/>
      <c r="AA301" s="125">
        <v>0</v>
      </c>
      <c r="AB301" s="126">
        <f t="shared" si="39"/>
        <v>1682927.5924690994</v>
      </c>
      <c r="AC301" s="126">
        <f t="shared" si="43"/>
        <v>0</v>
      </c>
      <c r="AD301" s="127">
        <f t="shared" si="40"/>
        <v>4511.3918700000004</v>
      </c>
      <c r="AE301" s="123" t="s">
        <v>125</v>
      </c>
    </row>
    <row r="302" spans="1:31" s="129" customFormat="1" x14ac:dyDescent="0.2">
      <c r="A302" s="110" t="s">
        <v>124</v>
      </c>
      <c r="B302" s="114" t="str">
        <f>VLOOKUP(A302,Sheet1!A:B,2,0)</f>
        <v>RCS POD</v>
      </c>
      <c r="C302" s="130" t="s">
        <v>128</v>
      </c>
      <c r="D302" s="110" t="s">
        <v>129</v>
      </c>
      <c r="E302" s="110" t="s">
        <v>42</v>
      </c>
      <c r="F302" s="110" t="s">
        <v>60</v>
      </c>
      <c r="G302" s="162" t="s">
        <v>44</v>
      </c>
      <c r="H302" s="123">
        <v>2023</v>
      </c>
      <c r="I302" s="116">
        <v>4</v>
      </c>
      <c r="J302" s="117">
        <v>45590</v>
      </c>
      <c r="K302" s="118">
        <v>0.5</v>
      </c>
      <c r="L302" s="146">
        <f t="shared" si="50"/>
        <v>9.5833382481798193E-2</v>
      </c>
      <c r="M302" s="146">
        <f>0.0174994801501063*7.15</f>
        <v>0.12512128307326006</v>
      </c>
      <c r="N302" s="146">
        <f>0.00409620987293173*7.15</f>
        <v>2.9287900591461875E-2</v>
      </c>
      <c r="O302" s="119">
        <f t="shared" si="41"/>
        <v>1.4643950295730937E-2</v>
      </c>
      <c r="P302" s="120">
        <v>1</v>
      </c>
      <c r="Q302" s="119">
        <f t="shared" si="42"/>
        <v>9.5833382481798193E-2</v>
      </c>
      <c r="R302" s="147">
        <v>14472877</v>
      </c>
      <c r="S302" s="147">
        <f t="shared" si="47"/>
        <v>179287039</v>
      </c>
      <c r="T302" s="149">
        <f>1445425.20219722*7.15</f>
        <v>10334790.195710123</v>
      </c>
      <c r="U302" s="119">
        <f t="shared" si="46"/>
        <v>5083849.2201405745</v>
      </c>
      <c r="V302" s="136" t="s">
        <v>45</v>
      </c>
      <c r="W302" s="132"/>
      <c r="X302" s="124">
        <v>0.5</v>
      </c>
      <c r="Y302" s="133" t="s">
        <v>46</v>
      </c>
      <c r="Z302" s="133"/>
      <c r="AA302" s="125">
        <v>0</v>
      </c>
      <c r="AB302" s="126">
        <f t="shared" si="39"/>
        <v>1810864.9400014749</v>
      </c>
      <c r="AC302" s="126">
        <f t="shared" si="43"/>
        <v>0</v>
      </c>
      <c r="AD302" s="127">
        <f t="shared" si="40"/>
        <v>7236.4385000000002</v>
      </c>
      <c r="AE302" s="123" t="s">
        <v>125</v>
      </c>
    </row>
    <row r="303" spans="1:31" s="129" customFormat="1" x14ac:dyDescent="0.2">
      <c r="A303" s="110" t="s">
        <v>124</v>
      </c>
      <c r="B303" s="114" t="str">
        <f>VLOOKUP(A303,Sheet1!A:B,2,0)</f>
        <v>RCS POD</v>
      </c>
      <c r="C303" s="130" t="s">
        <v>130</v>
      </c>
      <c r="D303" s="110" t="s">
        <v>131</v>
      </c>
      <c r="E303" s="110" t="s">
        <v>42</v>
      </c>
      <c r="F303" s="110" t="s">
        <v>60</v>
      </c>
      <c r="G303" s="162" t="s">
        <v>44</v>
      </c>
      <c r="H303" s="123">
        <v>2023</v>
      </c>
      <c r="I303" s="116">
        <v>4</v>
      </c>
      <c r="J303" s="117">
        <v>45590</v>
      </c>
      <c r="K303" s="118">
        <v>0.5</v>
      </c>
      <c r="L303" s="146">
        <f t="shared" si="50"/>
        <v>0.11296999999999974</v>
      </c>
      <c r="M303" s="146">
        <f>0.0185189867051391*7.15</f>
        <v>0.13241075494174459</v>
      </c>
      <c r="N303" s="146">
        <f>0.00271898670513914*7.15</f>
        <v>1.944075494174485E-2</v>
      </c>
      <c r="O303" s="119">
        <f t="shared" si="41"/>
        <v>9.7203774708724249E-3</v>
      </c>
      <c r="P303" s="120">
        <v>1</v>
      </c>
      <c r="Q303" s="119">
        <f t="shared" si="42"/>
        <v>0.11296999999999974</v>
      </c>
      <c r="R303" s="147">
        <v>14400000</v>
      </c>
      <c r="S303" s="147">
        <f t="shared" si="47"/>
        <v>178941208</v>
      </c>
      <c r="T303" s="149">
        <f>728800.55983205*7.15</f>
        <v>5210924.002799158</v>
      </c>
      <c r="U303" s="119">
        <f t="shared" si="46"/>
        <v>1732171.829091365</v>
      </c>
      <c r="V303" s="234" t="s">
        <v>132</v>
      </c>
      <c r="W303" s="150"/>
      <c r="X303" s="124">
        <v>1.29</v>
      </c>
      <c r="Y303" s="150" t="s">
        <v>133</v>
      </c>
      <c r="Z303" s="150"/>
      <c r="AA303" s="125">
        <v>0</v>
      </c>
      <c r="AB303" s="126">
        <f t="shared" si="39"/>
        <v>1906714.8711611221</v>
      </c>
      <c r="AC303" s="126">
        <f t="shared" si="43"/>
        <v>0</v>
      </c>
      <c r="AD303" s="127">
        <f t="shared" si="40"/>
        <v>18576</v>
      </c>
      <c r="AE303" s="123" t="s">
        <v>125</v>
      </c>
    </row>
    <row r="304" spans="1:31" s="129" customFormat="1" x14ac:dyDescent="0.2">
      <c r="A304" s="110" t="s">
        <v>124</v>
      </c>
      <c r="B304" s="114" t="str">
        <f>VLOOKUP(A304,Sheet1!A:B,2,0)</f>
        <v>RCS POD</v>
      </c>
      <c r="C304" s="130" t="s">
        <v>84</v>
      </c>
      <c r="D304" s="110" t="s">
        <v>85</v>
      </c>
      <c r="E304" s="110" t="s">
        <v>42</v>
      </c>
      <c r="F304" s="110" t="s">
        <v>60</v>
      </c>
      <c r="G304" s="162" t="s">
        <v>44</v>
      </c>
      <c r="H304" s="123">
        <v>2023</v>
      </c>
      <c r="I304" s="116">
        <v>5</v>
      </c>
      <c r="J304" s="117">
        <v>45590</v>
      </c>
      <c r="K304" s="118">
        <v>0.5</v>
      </c>
      <c r="L304" s="146">
        <f>M304-N304</f>
        <v>0.2716898724654021</v>
      </c>
      <c r="M304" s="146">
        <f>0.0486776607435088*7.15</f>
        <v>0.34804527431608795</v>
      </c>
      <c r="N304" s="146">
        <f>0.0106790771819141*7.15</f>
        <v>7.6355401850685817E-2</v>
      </c>
      <c r="O304" s="119">
        <f t="shared" si="41"/>
        <v>3.8177700925342908E-2</v>
      </c>
      <c r="P304" s="120">
        <v>1</v>
      </c>
      <c r="Q304" s="119">
        <f t="shared" si="42"/>
        <v>0.2716898724654021</v>
      </c>
      <c r="R304" s="147">
        <v>8514128</v>
      </c>
      <c r="S304" s="147">
        <f t="shared" si="47"/>
        <v>186890921</v>
      </c>
      <c r="T304" s="148">
        <f>3463988.94540042*7.15</f>
        <v>24767520.959613007</v>
      </c>
      <c r="U304" s="119">
        <f t="shared" si="46"/>
        <v>10497389.58441323</v>
      </c>
      <c r="V304" s="136" t="s">
        <v>45</v>
      </c>
      <c r="W304" s="132"/>
      <c r="X304" s="124">
        <v>2.09</v>
      </c>
      <c r="Y304" s="133" t="s">
        <v>46</v>
      </c>
      <c r="Z304" s="133"/>
      <c r="AA304" s="125">
        <v>0</v>
      </c>
      <c r="AB304" s="126">
        <f t="shared" si="39"/>
        <v>2963302.0153222852</v>
      </c>
      <c r="AC304" s="126">
        <f t="shared" si="43"/>
        <v>0</v>
      </c>
      <c r="AD304" s="127">
        <f t="shared" si="40"/>
        <v>17794.52752</v>
      </c>
      <c r="AE304" s="123" t="s">
        <v>125</v>
      </c>
    </row>
    <row r="305" spans="1:31" s="129" customFormat="1" x14ac:dyDescent="0.2">
      <c r="A305" s="110" t="s">
        <v>124</v>
      </c>
      <c r="B305" s="114" t="str">
        <f>VLOOKUP(A305,Sheet1!A:B,2,0)</f>
        <v>RCS POD</v>
      </c>
      <c r="C305" s="130" t="s">
        <v>126</v>
      </c>
      <c r="D305" s="110" t="s">
        <v>127</v>
      </c>
      <c r="E305" s="110" t="s">
        <v>42</v>
      </c>
      <c r="F305" s="110" t="s">
        <v>60</v>
      </c>
      <c r="G305" s="162" t="s">
        <v>44</v>
      </c>
      <c r="H305" s="123">
        <v>2023</v>
      </c>
      <c r="I305" s="116">
        <v>5</v>
      </c>
      <c r="J305" s="117">
        <v>45590</v>
      </c>
      <c r="K305" s="118">
        <v>0.5</v>
      </c>
      <c r="L305" s="146">
        <f t="shared" ref="L305:L307" si="51">M305-N305</f>
        <v>8.678151776003247E-2</v>
      </c>
      <c r="M305" s="146">
        <f>0.0161737427216087*7.15</f>
        <v>0.11564226045950222</v>
      </c>
      <c r="N305" s="146">
        <f>0.00403646751041535*7.15</f>
        <v>2.8860742699469755E-2</v>
      </c>
      <c r="O305" s="119">
        <f t="shared" si="41"/>
        <v>1.4430371349734877E-2</v>
      </c>
      <c r="P305" s="120">
        <v>1</v>
      </c>
      <c r="Q305" s="119">
        <f t="shared" si="42"/>
        <v>8.678151776003247E-2</v>
      </c>
      <c r="R305" s="147">
        <v>8400000</v>
      </c>
      <c r="S305" s="147">
        <f t="shared" si="47"/>
        <v>189012892</v>
      </c>
      <c r="T305" s="126">
        <f>1437831.94798769*7.15</f>
        <v>10280498.428111985</v>
      </c>
      <c r="U305" s="119">
        <f t="shared" si="46"/>
        <v>4825445.9852173198</v>
      </c>
      <c r="V305" s="136" t="s">
        <v>45</v>
      </c>
      <c r="W305" s="132"/>
      <c r="X305" s="124">
        <v>0.31</v>
      </c>
      <c r="Y305" s="133" t="s">
        <v>46</v>
      </c>
      <c r="Z305" s="133"/>
      <c r="AA305" s="125">
        <v>0</v>
      </c>
      <c r="AB305" s="126">
        <f t="shared" si="39"/>
        <v>971394.98785981874</v>
      </c>
      <c r="AC305" s="126">
        <f t="shared" si="43"/>
        <v>0</v>
      </c>
      <c r="AD305" s="127">
        <f t="shared" si="40"/>
        <v>2604</v>
      </c>
      <c r="AE305" s="123" t="s">
        <v>125</v>
      </c>
    </row>
    <row r="306" spans="1:31" s="129" customFormat="1" x14ac:dyDescent="0.2">
      <c r="A306" s="110" t="s">
        <v>124</v>
      </c>
      <c r="B306" s="114" t="str">
        <f>VLOOKUP(A306,Sheet1!A:B,2,0)</f>
        <v>RCS POD</v>
      </c>
      <c r="C306" s="130" t="s">
        <v>128</v>
      </c>
      <c r="D306" s="110" t="s">
        <v>129</v>
      </c>
      <c r="E306" s="110" t="s">
        <v>42</v>
      </c>
      <c r="F306" s="110" t="s">
        <v>60</v>
      </c>
      <c r="G306" s="162" t="s">
        <v>44</v>
      </c>
      <c r="H306" s="123">
        <v>2023</v>
      </c>
      <c r="I306" s="116">
        <v>5</v>
      </c>
      <c r="J306" s="117">
        <v>45590</v>
      </c>
      <c r="K306" s="118">
        <v>0.5</v>
      </c>
      <c r="L306" s="146">
        <f t="shared" si="51"/>
        <v>9.5833382481798193E-2</v>
      </c>
      <c r="M306" s="146">
        <f>0.0174994801501063*7.15</f>
        <v>0.12512128307326006</v>
      </c>
      <c r="N306" s="146">
        <f>0.00409620987293173*7.15</f>
        <v>2.9287900591461875E-2</v>
      </c>
      <c r="O306" s="119">
        <f t="shared" si="41"/>
        <v>1.4643950295730937E-2</v>
      </c>
      <c r="P306" s="120">
        <v>1</v>
      </c>
      <c r="Q306" s="119">
        <f t="shared" si="42"/>
        <v>9.5833382481798193E-2</v>
      </c>
      <c r="R306" s="151">
        <v>9072028</v>
      </c>
      <c r="S306" s="147">
        <f t="shared" si="47"/>
        <v>188359067</v>
      </c>
      <c r="T306" s="149">
        <f>1445425.20219722*7.15</f>
        <v>10334790.195710123</v>
      </c>
      <c r="U306" s="119">
        <f t="shared" si="46"/>
        <v>4818148.5659136157</v>
      </c>
      <c r="V306" s="136" t="s">
        <v>45</v>
      </c>
      <c r="W306" s="132"/>
      <c r="X306" s="124">
        <v>0.5</v>
      </c>
      <c r="Y306" s="133" t="s">
        <v>46</v>
      </c>
      <c r="Z306" s="133"/>
      <c r="AA306" s="125">
        <v>0</v>
      </c>
      <c r="AB306" s="126">
        <f t="shared" si="39"/>
        <v>1135103.7834365414</v>
      </c>
      <c r="AC306" s="126">
        <f t="shared" si="43"/>
        <v>0</v>
      </c>
      <c r="AD306" s="127">
        <f t="shared" si="40"/>
        <v>4536.0140000000001</v>
      </c>
      <c r="AE306" s="123" t="s">
        <v>125</v>
      </c>
    </row>
    <row r="307" spans="1:31" s="129" customFormat="1" x14ac:dyDescent="0.2">
      <c r="A307" s="110" t="s">
        <v>124</v>
      </c>
      <c r="B307" s="114" t="str">
        <f>VLOOKUP(A307,Sheet1!A:B,2,0)</f>
        <v>RCS POD</v>
      </c>
      <c r="C307" s="130" t="s">
        <v>130</v>
      </c>
      <c r="D307" s="110" t="s">
        <v>131</v>
      </c>
      <c r="E307" s="110" t="s">
        <v>42</v>
      </c>
      <c r="F307" s="110" t="s">
        <v>60</v>
      </c>
      <c r="G307" s="162" t="s">
        <v>44</v>
      </c>
      <c r="H307" s="123">
        <v>2023</v>
      </c>
      <c r="I307" s="116">
        <v>5</v>
      </c>
      <c r="J307" s="117">
        <v>45590</v>
      </c>
      <c r="K307" s="118">
        <v>0.5</v>
      </c>
      <c r="L307" s="146">
        <f t="shared" si="51"/>
        <v>0.11296999999999974</v>
      </c>
      <c r="M307" s="146">
        <f>0.0185189867051391*7.15</f>
        <v>0.13241075494174459</v>
      </c>
      <c r="N307" s="146">
        <f>0.00271898670513914*7.15</f>
        <v>1.944075494174485E-2</v>
      </c>
      <c r="O307" s="119">
        <f t="shared" si="41"/>
        <v>9.7203774708724249E-3</v>
      </c>
      <c r="P307" s="120">
        <v>1</v>
      </c>
      <c r="Q307" s="119">
        <f t="shared" si="42"/>
        <v>0.11296999999999974</v>
      </c>
      <c r="R307" s="151">
        <v>8940000</v>
      </c>
      <c r="S307" s="147">
        <f t="shared" si="47"/>
        <v>187881208</v>
      </c>
      <c r="T307" s="149">
        <f>728800.55983205*7.15</f>
        <v>5210924.002799158</v>
      </c>
      <c r="U307" s="119">
        <f t="shared" si="46"/>
        <v>1558371.479912166</v>
      </c>
      <c r="V307" s="234" t="s">
        <v>132</v>
      </c>
      <c r="W307" s="150"/>
      <c r="X307" s="124">
        <v>1.29</v>
      </c>
      <c r="Y307" s="150" t="s">
        <v>133</v>
      </c>
      <c r="Z307" s="150"/>
      <c r="AA307" s="125">
        <v>0</v>
      </c>
      <c r="AB307" s="126">
        <f t="shared" si="39"/>
        <v>1183752.1491791967</v>
      </c>
      <c r="AC307" s="126">
        <f t="shared" si="43"/>
        <v>0</v>
      </c>
      <c r="AD307" s="127">
        <f t="shared" si="40"/>
        <v>11532.6</v>
      </c>
      <c r="AE307" s="123" t="s">
        <v>125</v>
      </c>
    </row>
    <row r="308" spans="1:31" s="129" customFormat="1" x14ac:dyDescent="0.2">
      <c r="A308" s="110" t="s">
        <v>124</v>
      </c>
      <c r="B308" s="114" t="str">
        <f>VLOOKUP(A308,Sheet1!A:B,2,0)</f>
        <v>RCS POD</v>
      </c>
      <c r="C308" s="130" t="s">
        <v>84</v>
      </c>
      <c r="D308" s="110" t="s">
        <v>85</v>
      </c>
      <c r="E308" s="110" t="s">
        <v>42</v>
      </c>
      <c r="F308" s="110" t="s">
        <v>60</v>
      </c>
      <c r="G308" s="162" t="s">
        <v>44</v>
      </c>
      <c r="H308" s="123">
        <v>2023</v>
      </c>
      <c r="I308" s="116">
        <v>6</v>
      </c>
      <c r="J308" s="117">
        <v>45590</v>
      </c>
      <c r="K308" s="118">
        <v>0.5</v>
      </c>
      <c r="L308" s="146">
        <f>M308-N308</f>
        <v>0.2716898724654021</v>
      </c>
      <c r="M308" s="146">
        <f>0.0486776607435088*7.15</f>
        <v>0.34804527431608795</v>
      </c>
      <c r="N308" s="146">
        <f>0.0106790771819141*7.15</f>
        <v>7.6355401850685817E-2</v>
      </c>
      <c r="O308" s="119">
        <f t="shared" si="41"/>
        <v>3.8177700925342908E-2</v>
      </c>
      <c r="P308" s="120">
        <v>1</v>
      </c>
      <c r="Q308" s="119">
        <f t="shared" si="42"/>
        <v>0.2716898724654021</v>
      </c>
      <c r="R308" s="151">
        <v>12626474</v>
      </c>
      <c r="S308" s="147">
        <f t="shared" si="47"/>
        <v>199517395</v>
      </c>
      <c r="T308" s="148">
        <f>3463988.94540042*7.15</f>
        <v>24767520.959613007</v>
      </c>
      <c r="U308" s="119">
        <f t="shared" si="46"/>
        <v>9533290.088185994</v>
      </c>
      <c r="V308" s="136" t="s">
        <v>45</v>
      </c>
      <c r="W308" s="132"/>
      <c r="X308" s="124">
        <v>2.09</v>
      </c>
      <c r="Y308" s="133" t="s">
        <v>46</v>
      </c>
      <c r="Z308" s="133"/>
      <c r="AA308" s="125">
        <v>0</v>
      </c>
      <c r="AB308" s="126">
        <f t="shared" si="39"/>
        <v>4394584.6069749519</v>
      </c>
      <c r="AC308" s="126">
        <f t="shared" si="43"/>
        <v>0</v>
      </c>
      <c r="AD308" s="127">
        <f t="shared" si="40"/>
        <v>26389.330659999996</v>
      </c>
      <c r="AE308" s="123" t="s">
        <v>125</v>
      </c>
    </row>
    <row r="309" spans="1:31" s="129" customFormat="1" x14ac:dyDescent="0.2">
      <c r="A309" s="110" t="s">
        <v>124</v>
      </c>
      <c r="B309" s="114" t="str">
        <f>VLOOKUP(A309,Sheet1!A:B,2,0)</f>
        <v>RCS POD</v>
      </c>
      <c r="C309" s="130" t="s">
        <v>126</v>
      </c>
      <c r="D309" s="110" t="s">
        <v>127</v>
      </c>
      <c r="E309" s="110" t="s">
        <v>42</v>
      </c>
      <c r="F309" s="110" t="s">
        <v>60</v>
      </c>
      <c r="G309" s="162" t="s">
        <v>44</v>
      </c>
      <c r="H309" s="123">
        <v>2023</v>
      </c>
      <c r="I309" s="116">
        <v>6</v>
      </c>
      <c r="J309" s="117">
        <v>45590</v>
      </c>
      <c r="K309" s="118">
        <v>0.5</v>
      </c>
      <c r="L309" s="146">
        <f t="shared" ref="L309:L311" si="52">M309-N309</f>
        <v>8.678151776003247E-2</v>
      </c>
      <c r="M309" s="146">
        <f>0.0161737427216087*7.15</f>
        <v>0.11564226045950222</v>
      </c>
      <c r="N309" s="146">
        <f>0.00403646751041535*7.15</f>
        <v>2.8860742699469755E-2</v>
      </c>
      <c r="O309" s="119">
        <f t="shared" si="41"/>
        <v>1.4430371349734877E-2</v>
      </c>
      <c r="P309" s="120">
        <v>1</v>
      </c>
      <c r="Q309" s="119">
        <f t="shared" si="42"/>
        <v>8.678151776003247E-2</v>
      </c>
      <c r="R309" s="151">
        <v>12514034</v>
      </c>
      <c r="S309" s="147">
        <f t="shared" si="47"/>
        <v>201526926</v>
      </c>
      <c r="T309" s="126">
        <f>1437831.94798769*7.15</f>
        <v>10280498.428111985</v>
      </c>
      <c r="U309" s="119">
        <f t="shared" si="46"/>
        <v>4464281.6698109042</v>
      </c>
      <c r="V309" s="136" t="s">
        <v>45</v>
      </c>
      <c r="W309" s="132"/>
      <c r="X309" s="124">
        <v>0.31</v>
      </c>
      <c r="Y309" s="133" t="s">
        <v>46</v>
      </c>
      <c r="Z309" s="133"/>
      <c r="AA309" s="125">
        <v>0</v>
      </c>
      <c r="AB309" s="126">
        <f t="shared" si="39"/>
        <v>1447151.1792270665</v>
      </c>
      <c r="AC309" s="126">
        <f t="shared" si="43"/>
        <v>0</v>
      </c>
      <c r="AD309" s="127">
        <f t="shared" si="40"/>
        <v>3879.3505399999999</v>
      </c>
      <c r="AE309" s="123" t="s">
        <v>125</v>
      </c>
    </row>
    <row r="310" spans="1:31" s="129" customFormat="1" x14ac:dyDescent="0.2">
      <c r="A310" s="110" t="s">
        <v>124</v>
      </c>
      <c r="B310" s="114" t="str">
        <f>VLOOKUP(A310,Sheet1!A:B,2,0)</f>
        <v>RCS POD</v>
      </c>
      <c r="C310" s="130" t="s">
        <v>128</v>
      </c>
      <c r="D310" s="110" t="s">
        <v>129</v>
      </c>
      <c r="E310" s="110" t="s">
        <v>42</v>
      </c>
      <c r="F310" s="110" t="s">
        <v>60</v>
      </c>
      <c r="G310" s="162" t="s">
        <v>44</v>
      </c>
      <c r="H310" s="123">
        <v>2023</v>
      </c>
      <c r="I310" s="116">
        <v>6</v>
      </c>
      <c r="J310" s="117">
        <v>45590</v>
      </c>
      <c r="K310" s="118">
        <v>0.5</v>
      </c>
      <c r="L310" s="146">
        <f t="shared" si="52"/>
        <v>9.5833382481798193E-2</v>
      </c>
      <c r="M310" s="146">
        <f>0.0174994801501063*7.15</f>
        <v>0.12512128307326006</v>
      </c>
      <c r="N310" s="146">
        <f>0.00409620987293173*7.15</f>
        <v>2.9287900591461875E-2</v>
      </c>
      <c r="O310" s="119">
        <f t="shared" si="41"/>
        <v>1.4643950295730937E-2</v>
      </c>
      <c r="P310" s="120">
        <v>1</v>
      </c>
      <c r="Q310" s="119">
        <f t="shared" si="42"/>
        <v>9.5833382481798193E-2</v>
      </c>
      <c r="R310" s="151">
        <v>12482034</v>
      </c>
      <c r="S310" s="147">
        <f t="shared" si="47"/>
        <v>200841101</v>
      </c>
      <c r="T310" s="149">
        <f>1445425.20219722*7.15</f>
        <v>10334790.195710123</v>
      </c>
      <c r="U310" s="119">
        <f t="shared" si="46"/>
        <v>4452575.9949423689</v>
      </c>
      <c r="V310" s="136" t="s">
        <v>45</v>
      </c>
      <c r="W310" s="132"/>
      <c r="X310" s="124">
        <v>0.5</v>
      </c>
      <c r="Y310" s="133" t="s">
        <v>46</v>
      </c>
      <c r="Z310" s="133"/>
      <c r="AA310" s="125">
        <v>0</v>
      </c>
      <c r="AB310" s="126">
        <f t="shared" si="39"/>
        <v>1561768.1094440566</v>
      </c>
      <c r="AC310" s="126">
        <f t="shared" si="43"/>
        <v>0</v>
      </c>
      <c r="AD310" s="127">
        <f t="shared" si="40"/>
        <v>6241.0169999999998</v>
      </c>
      <c r="AE310" s="123" t="s">
        <v>125</v>
      </c>
    </row>
    <row r="311" spans="1:31" s="129" customFormat="1" x14ac:dyDescent="0.2">
      <c r="A311" s="110" t="s">
        <v>124</v>
      </c>
      <c r="B311" s="114" t="str">
        <f>VLOOKUP(A311,Sheet1!A:B,2,0)</f>
        <v>RCS POD</v>
      </c>
      <c r="C311" s="130" t="s">
        <v>130</v>
      </c>
      <c r="D311" s="110" t="s">
        <v>131</v>
      </c>
      <c r="E311" s="110" t="s">
        <v>42</v>
      </c>
      <c r="F311" s="110" t="s">
        <v>60</v>
      </c>
      <c r="G311" s="162" t="s">
        <v>44</v>
      </c>
      <c r="H311" s="123">
        <v>2023</v>
      </c>
      <c r="I311" s="116">
        <v>6</v>
      </c>
      <c r="J311" s="117">
        <v>45590</v>
      </c>
      <c r="K311" s="118">
        <v>0.5</v>
      </c>
      <c r="L311" s="146">
        <f t="shared" si="52"/>
        <v>0.11296999999999974</v>
      </c>
      <c r="M311" s="146">
        <f>0.0185189867051391*7.15</f>
        <v>0.13241075494174459</v>
      </c>
      <c r="N311" s="146">
        <f>0.00271898670513914*7.15</f>
        <v>1.944075494174485E-2</v>
      </c>
      <c r="O311" s="119">
        <f t="shared" si="41"/>
        <v>9.7203774708724249E-3</v>
      </c>
      <c r="P311" s="120">
        <v>1</v>
      </c>
      <c r="Q311" s="119">
        <f t="shared" si="42"/>
        <v>0.11296999999999974</v>
      </c>
      <c r="R311" s="151">
        <v>12600000</v>
      </c>
      <c r="S311" s="147">
        <f t="shared" si="47"/>
        <v>200481208</v>
      </c>
      <c r="T311" s="149">
        <f>728800.55983205*7.15</f>
        <v>5210924.002799158</v>
      </c>
      <c r="U311" s="119">
        <f t="shared" si="46"/>
        <v>1313417.9676461807</v>
      </c>
      <c r="V311" s="234" t="s">
        <v>132</v>
      </c>
      <c r="W311" s="150"/>
      <c r="X311" s="124">
        <v>1.29</v>
      </c>
      <c r="Y311" s="150" t="s">
        <v>133</v>
      </c>
      <c r="Z311" s="150"/>
      <c r="AA311" s="125">
        <v>0</v>
      </c>
      <c r="AB311" s="126">
        <f t="shared" si="39"/>
        <v>1668375.5122659819</v>
      </c>
      <c r="AC311" s="126">
        <f t="shared" si="43"/>
        <v>0</v>
      </c>
      <c r="AD311" s="127">
        <f t="shared" si="40"/>
        <v>16254</v>
      </c>
      <c r="AE311" s="123" t="s">
        <v>125</v>
      </c>
    </row>
    <row r="312" spans="1:31" s="129" customFormat="1" x14ac:dyDescent="0.2">
      <c r="A312" s="110" t="s">
        <v>124</v>
      </c>
      <c r="B312" s="114" t="str">
        <f>VLOOKUP(A312,Sheet1!A:B,2,0)</f>
        <v>RCS POD</v>
      </c>
      <c r="C312" s="130" t="s">
        <v>84</v>
      </c>
      <c r="D312" s="110" t="s">
        <v>85</v>
      </c>
      <c r="E312" s="110" t="s">
        <v>42</v>
      </c>
      <c r="F312" s="110" t="s">
        <v>60</v>
      </c>
      <c r="G312" s="162" t="s">
        <v>44</v>
      </c>
      <c r="H312" s="123">
        <v>2023</v>
      </c>
      <c r="I312" s="116">
        <v>7</v>
      </c>
      <c r="J312" s="117">
        <v>45590</v>
      </c>
      <c r="K312" s="118">
        <v>0.5</v>
      </c>
      <c r="L312" s="146">
        <f>M312-N312</f>
        <v>0.2716898724654021</v>
      </c>
      <c r="M312" s="146">
        <f>0.0486776607435088*7.15</f>
        <v>0.34804527431608795</v>
      </c>
      <c r="N312" s="146">
        <f>0.0106790771819141*7.15</f>
        <v>7.6355401850685817E-2</v>
      </c>
      <c r="O312" s="119">
        <f t="shared" si="41"/>
        <v>3.8177700925342908E-2</v>
      </c>
      <c r="P312" s="120">
        <v>1</v>
      </c>
      <c r="Q312" s="119">
        <f t="shared" si="42"/>
        <v>0.2716898724654021</v>
      </c>
      <c r="R312" s="151">
        <v>8913100</v>
      </c>
      <c r="S312" s="147">
        <f t="shared" si="47"/>
        <v>208430495</v>
      </c>
      <c r="T312" s="148">
        <f>3463988.94540042*7.15</f>
        <v>24767520.959613007</v>
      </c>
      <c r="U312" s="119">
        <f t="shared" si="46"/>
        <v>8852726.7559506465</v>
      </c>
      <c r="V312" s="136" t="s">
        <v>45</v>
      </c>
      <c r="W312" s="132"/>
      <c r="X312" s="124">
        <v>2.09</v>
      </c>
      <c r="Y312" s="133" t="s">
        <v>46</v>
      </c>
      <c r="Z312" s="133"/>
      <c r="AA312" s="125">
        <v>0</v>
      </c>
      <c r="AB312" s="126">
        <f t="shared" si="39"/>
        <v>3102162.3345067236</v>
      </c>
      <c r="AC312" s="126">
        <f t="shared" si="43"/>
        <v>0</v>
      </c>
      <c r="AD312" s="127">
        <f t="shared" si="40"/>
        <v>18628.379000000001</v>
      </c>
      <c r="AE312" s="123" t="s">
        <v>125</v>
      </c>
    </row>
    <row r="313" spans="1:31" s="129" customFormat="1" x14ac:dyDescent="0.2">
      <c r="A313" s="110" t="s">
        <v>124</v>
      </c>
      <c r="B313" s="114" t="str">
        <f>VLOOKUP(A313,Sheet1!A:B,2,0)</f>
        <v>RCS POD</v>
      </c>
      <c r="C313" s="130" t="s">
        <v>126</v>
      </c>
      <c r="D313" s="110" t="s">
        <v>127</v>
      </c>
      <c r="E313" s="110" t="s">
        <v>42</v>
      </c>
      <c r="F313" s="110" t="s">
        <v>60</v>
      </c>
      <c r="G313" s="162" t="s">
        <v>44</v>
      </c>
      <c r="H313" s="123">
        <v>2023</v>
      </c>
      <c r="I313" s="116">
        <v>7</v>
      </c>
      <c r="J313" s="117">
        <v>45590</v>
      </c>
      <c r="K313" s="118">
        <v>0.5</v>
      </c>
      <c r="L313" s="146">
        <f t="shared" ref="L313:L315" si="53">M313-N313</f>
        <v>8.678151776003247E-2</v>
      </c>
      <c r="M313" s="146">
        <f>0.0161737427216087*7.15</f>
        <v>0.11564226045950222</v>
      </c>
      <c r="N313" s="146">
        <f>0.00403646751041535*7.15</f>
        <v>2.8860742699469755E-2</v>
      </c>
      <c r="O313" s="119">
        <f t="shared" si="41"/>
        <v>1.4430371349734877E-2</v>
      </c>
      <c r="P313" s="120">
        <v>1</v>
      </c>
      <c r="Q313" s="119">
        <f t="shared" si="42"/>
        <v>8.678151776003247E-2</v>
      </c>
      <c r="R313" s="151">
        <v>9000000</v>
      </c>
      <c r="S313" s="147">
        <f t="shared" si="47"/>
        <v>210526926</v>
      </c>
      <c r="T313" s="126">
        <f>1437831.94798769*7.15</f>
        <v>10280498.428111985</v>
      </c>
      <c r="U313" s="119">
        <f t="shared" si="46"/>
        <v>4204534.9855156764</v>
      </c>
      <c r="V313" s="136" t="s">
        <v>45</v>
      </c>
      <c r="W313" s="132"/>
      <c r="X313" s="124">
        <v>0.31</v>
      </c>
      <c r="Y313" s="133" t="s">
        <v>46</v>
      </c>
      <c r="Z313" s="133"/>
      <c r="AA313" s="125">
        <v>0</v>
      </c>
      <c r="AB313" s="126">
        <f t="shared" si="39"/>
        <v>1040780.34413552</v>
      </c>
      <c r="AC313" s="126">
        <f t="shared" si="43"/>
        <v>0</v>
      </c>
      <c r="AD313" s="127">
        <f t="shared" si="40"/>
        <v>2790</v>
      </c>
      <c r="AE313" s="123" t="s">
        <v>125</v>
      </c>
    </row>
    <row r="314" spans="1:31" s="129" customFormat="1" x14ac:dyDescent="0.2">
      <c r="A314" s="110" t="s">
        <v>124</v>
      </c>
      <c r="B314" s="114" t="str">
        <f>VLOOKUP(A314,Sheet1!A:B,2,0)</f>
        <v>RCS POD</v>
      </c>
      <c r="C314" s="130" t="s">
        <v>128</v>
      </c>
      <c r="D314" s="110" t="s">
        <v>129</v>
      </c>
      <c r="E314" s="110" t="s">
        <v>42</v>
      </c>
      <c r="F314" s="110" t="s">
        <v>60</v>
      </c>
      <c r="G314" s="162" t="s">
        <v>44</v>
      </c>
      <c r="H314" s="123">
        <v>2023</v>
      </c>
      <c r="I314" s="116">
        <v>7</v>
      </c>
      <c r="J314" s="117">
        <v>45590</v>
      </c>
      <c r="K314" s="118">
        <v>0.5</v>
      </c>
      <c r="L314" s="146">
        <f t="shared" si="53"/>
        <v>9.5833382481798193E-2</v>
      </c>
      <c r="M314" s="146">
        <f>0.0174994801501063*7.15</f>
        <v>0.12512128307326006</v>
      </c>
      <c r="N314" s="146">
        <f>0.00409620987293173*7.15</f>
        <v>2.9287900591461875E-2</v>
      </c>
      <c r="O314" s="119">
        <f t="shared" si="41"/>
        <v>1.4643950295730937E-2</v>
      </c>
      <c r="P314" s="120">
        <v>1</v>
      </c>
      <c r="Q314" s="119">
        <f t="shared" si="42"/>
        <v>9.5833382481798193E-2</v>
      </c>
      <c r="R314" s="151">
        <v>9152000</v>
      </c>
      <c r="S314" s="147">
        <f t="shared" si="47"/>
        <v>209993101</v>
      </c>
      <c r="T314" s="149">
        <f>1445425.20219722*7.15</f>
        <v>10334790.195710123</v>
      </c>
      <c r="U314" s="119">
        <f t="shared" si="46"/>
        <v>4184533.128729309</v>
      </c>
      <c r="V314" s="136" t="s">
        <v>45</v>
      </c>
      <c r="W314" s="132"/>
      <c r="X314" s="124">
        <v>0.5</v>
      </c>
      <c r="Y314" s="133" t="s">
        <v>46</v>
      </c>
      <c r="Z314" s="133"/>
      <c r="AA314" s="125">
        <v>0</v>
      </c>
      <c r="AB314" s="126">
        <f t="shared" si="39"/>
        <v>1145109.9826864761</v>
      </c>
      <c r="AC314" s="126">
        <f t="shared" si="43"/>
        <v>0</v>
      </c>
      <c r="AD314" s="127">
        <f t="shared" si="40"/>
        <v>4576</v>
      </c>
      <c r="AE314" s="123" t="s">
        <v>125</v>
      </c>
    </row>
    <row r="315" spans="1:31" s="129" customFormat="1" x14ac:dyDescent="0.2">
      <c r="A315" s="110" t="s">
        <v>124</v>
      </c>
      <c r="B315" s="114" t="str">
        <f>VLOOKUP(A315,Sheet1!A:B,2,0)</f>
        <v>RCS POD</v>
      </c>
      <c r="C315" s="130" t="s">
        <v>130</v>
      </c>
      <c r="D315" s="110" t="s">
        <v>131</v>
      </c>
      <c r="E315" s="110" t="s">
        <v>42</v>
      </c>
      <c r="F315" s="110" t="s">
        <v>60</v>
      </c>
      <c r="G315" s="162" t="s">
        <v>44</v>
      </c>
      <c r="H315" s="123">
        <v>2023</v>
      </c>
      <c r="I315" s="116">
        <v>7</v>
      </c>
      <c r="J315" s="117">
        <v>45590</v>
      </c>
      <c r="K315" s="118">
        <v>0.5</v>
      </c>
      <c r="L315" s="146">
        <f t="shared" si="53"/>
        <v>0.11296999999999974</v>
      </c>
      <c r="M315" s="146">
        <f>0.0185189867051391*7.15</f>
        <v>0.13241075494174459</v>
      </c>
      <c r="N315" s="146">
        <f>0.00271898670513914*7.15</f>
        <v>1.944075494174485E-2</v>
      </c>
      <c r="O315" s="119">
        <f t="shared" si="41"/>
        <v>9.7203774708724249E-3</v>
      </c>
      <c r="P315" s="120">
        <v>1</v>
      </c>
      <c r="Q315" s="119">
        <f t="shared" si="42"/>
        <v>0.11296999999999974</v>
      </c>
      <c r="R315" s="151">
        <v>8760000</v>
      </c>
      <c r="S315" s="147">
        <f t="shared" si="47"/>
        <v>209241208</v>
      </c>
      <c r="T315" s="149">
        <f>728800.55983205*7.15</f>
        <v>5210924.002799158</v>
      </c>
      <c r="U315" s="119">
        <f t="shared" si="46"/>
        <v>1143116.9543564958</v>
      </c>
      <c r="V315" s="234" t="s">
        <v>132</v>
      </c>
      <c r="W315" s="150"/>
      <c r="X315" s="124">
        <v>1.29</v>
      </c>
      <c r="Y315" s="150" t="s">
        <v>133</v>
      </c>
      <c r="Z315" s="150"/>
      <c r="AA315" s="125">
        <v>0</v>
      </c>
      <c r="AB315" s="126">
        <f t="shared" si="39"/>
        <v>1159918.2132896825</v>
      </c>
      <c r="AC315" s="126">
        <f t="shared" si="43"/>
        <v>0</v>
      </c>
      <c r="AD315" s="127">
        <f t="shared" si="40"/>
        <v>11300.4</v>
      </c>
      <c r="AE315" s="123" t="s">
        <v>125</v>
      </c>
    </row>
    <row r="316" spans="1:31" s="129" customFormat="1" x14ac:dyDescent="0.2">
      <c r="A316" s="110" t="s">
        <v>124</v>
      </c>
      <c r="B316" s="114" t="str">
        <f>VLOOKUP(A316,Sheet1!A:B,2,0)</f>
        <v>RCS POD</v>
      </c>
      <c r="C316" s="130" t="s">
        <v>84</v>
      </c>
      <c r="D316" s="110" t="s">
        <v>85</v>
      </c>
      <c r="E316" s="110" t="s">
        <v>42</v>
      </c>
      <c r="F316" s="110" t="s">
        <v>60</v>
      </c>
      <c r="G316" s="162" t="s">
        <v>44</v>
      </c>
      <c r="H316" s="123">
        <v>2023</v>
      </c>
      <c r="I316" s="116">
        <v>8</v>
      </c>
      <c r="J316" s="117">
        <v>45590</v>
      </c>
      <c r="K316" s="118">
        <v>0.5</v>
      </c>
      <c r="L316" s="146">
        <f>M316-N316</f>
        <v>0.2716898724654021</v>
      </c>
      <c r="M316" s="146">
        <f>0.0486776607435088*7.15</f>
        <v>0.34804527431608795</v>
      </c>
      <c r="N316" s="146">
        <f>0.0106790771819141*7.15</f>
        <v>7.6355401850685817E-2</v>
      </c>
      <c r="O316" s="119">
        <f t="shared" si="41"/>
        <v>3.8177700925342908E-2</v>
      </c>
      <c r="P316" s="120">
        <v>1</v>
      </c>
      <c r="Q316" s="119">
        <f t="shared" si="42"/>
        <v>0.2716898724654021</v>
      </c>
      <c r="R316" s="151">
        <v>7580300</v>
      </c>
      <c r="S316" s="147">
        <f t="shared" si="47"/>
        <v>216010795</v>
      </c>
      <c r="T316" s="148">
        <f>3463988.94540042*7.15</f>
        <v>24767520.959613007</v>
      </c>
      <c r="U316" s="119">
        <f t="shared" si="46"/>
        <v>8273929.9033018928</v>
      </c>
      <c r="V316" s="136" t="s">
        <v>45</v>
      </c>
      <c r="W316" s="132"/>
      <c r="X316" s="124">
        <v>2.09</v>
      </c>
      <c r="Y316" s="133" t="s">
        <v>46</v>
      </c>
      <c r="Z316" s="133"/>
      <c r="AA316" s="125">
        <v>0</v>
      </c>
      <c r="AB316" s="126">
        <f t="shared" si="39"/>
        <v>2638287.5928982417</v>
      </c>
      <c r="AC316" s="126">
        <f t="shared" si="43"/>
        <v>0</v>
      </c>
      <c r="AD316" s="127">
        <f t="shared" si="40"/>
        <v>15842.826999999997</v>
      </c>
      <c r="AE316" s="123" t="s">
        <v>125</v>
      </c>
    </row>
    <row r="317" spans="1:31" s="129" customFormat="1" x14ac:dyDescent="0.2">
      <c r="A317" s="110" t="s">
        <v>124</v>
      </c>
      <c r="B317" s="114" t="str">
        <f>VLOOKUP(A317,Sheet1!A:B,2,0)</f>
        <v>RCS POD</v>
      </c>
      <c r="C317" s="130" t="s">
        <v>126</v>
      </c>
      <c r="D317" s="110" t="s">
        <v>127</v>
      </c>
      <c r="E317" s="110" t="s">
        <v>42</v>
      </c>
      <c r="F317" s="110" t="s">
        <v>60</v>
      </c>
      <c r="G317" s="162" t="s">
        <v>44</v>
      </c>
      <c r="H317" s="123">
        <v>2023</v>
      </c>
      <c r="I317" s="116">
        <v>8</v>
      </c>
      <c r="J317" s="117">
        <v>45590</v>
      </c>
      <c r="K317" s="118">
        <v>0.5</v>
      </c>
      <c r="L317" s="146">
        <f t="shared" ref="L317:L319" si="54">M317-N317</f>
        <v>8.678151776003247E-2</v>
      </c>
      <c r="M317" s="146">
        <f>0.0161737427216087*7.15</f>
        <v>0.11564226045950222</v>
      </c>
      <c r="N317" s="146">
        <f>0.00403646751041535*7.15</f>
        <v>2.8860742699469755E-2</v>
      </c>
      <c r="O317" s="119">
        <f t="shared" si="41"/>
        <v>1.4430371349734877E-2</v>
      </c>
      <c r="P317" s="120">
        <v>1</v>
      </c>
      <c r="Q317" s="119">
        <f t="shared" si="42"/>
        <v>8.678151776003247E-2</v>
      </c>
      <c r="R317" s="151">
        <v>7440000</v>
      </c>
      <c r="S317" s="147">
        <f t="shared" si="47"/>
        <v>217966926</v>
      </c>
      <c r="T317" s="126">
        <f>1437831.94798769*7.15</f>
        <v>10280498.428111985</v>
      </c>
      <c r="U317" s="119">
        <f t="shared" si="46"/>
        <v>3989811.0598316211</v>
      </c>
      <c r="V317" s="136" t="s">
        <v>45</v>
      </c>
      <c r="W317" s="132"/>
      <c r="X317" s="124">
        <v>0.31</v>
      </c>
      <c r="Y317" s="133" t="s">
        <v>46</v>
      </c>
      <c r="Z317" s="133"/>
      <c r="AA317" s="125">
        <v>0</v>
      </c>
      <c r="AB317" s="126">
        <f t="shared" si="39"/>
        <v>860378.41781869659</v>
      </c>
      <c r="AC317" s="126">
        <f t="shared" si="43"/>
        <v>0</v>
      </c>
      <c r="AD317" s="127">
        <f t="shared" si="40"/>
        <v>2306.4</v>
      </c>
      <c r="AE317" s="123" t="s">
        <v>125</v>
      </c>
    </row>
    <row r="318" spans="1:31" s="129" customFormat="1" x14ac:dyDescent="0.2">
      <c r="A318" s="110" t="s">
        <v>124</v>
      </c>
      <c r="B318" s="114" t="str">
        <f>VLOOKUP(A318,Sheet1!A:B,2,0)</f>
        <v>RCS POD</v>
      </c>
      <c r="C318" s="130" t="s">
        <v>128</v>
      </c>
      <c r="D318" s="110" t="s">
        <v>129</v>
      </c>
      <c r="E318" s="110" t="s">
        <v>42</v>
      </c>
      <c r="F318" s="110" t="s">
        <v>60</v>
      </c>
      <c r="G318" s="162" t="s">
        <v>44</v>
      </c>
      <c r="H318" s="123">
        <v>2023</v>
      </c>
      <c r="I318" s="116">
        <v>8</v>
      </c>
      <c r="J318" s="117">
        <v>45590</v>
      </c>
      <c r="K318" s="118">
        <v>0.5</v>
      </c>
      <c r="L318" s="146">
        <f t="shared" si="54"/>
        <v>9.5833382481798193E-2</v>
      </c>
      <c r="M318" s="146">
        <f>0.0174994801501063*7.15</f>
        <v>0.12512128307326006</v>
      </c>
      <c r="N318" s="146">
        <f>0.00409620987293173*7.15</f>
        <v>2.9287900591461875E-2</v>
      </c>
      <c r="O318" s="119">
        <f t="shared" si="41"/>
        <v>1.4643950295730937E-2</v>
      </c>
      <c r="P318" s="120">
        <v>1</v>
      </c>
      <c r="Q318" s="119">
        <f t="shared" si="42"/>
        <v>9.5833382481798193E-2</v>
      </c>
      <c r="R318" s="151">
        <v>7488000</v>
      </c>
      <c r="S318" s="147">
        <f t="shared" si="47"/>
        <v>217481101</v>
      </c>
      <c r="T318" s="149">
        <f>1445425.20219722*7.15</f>
        <v>10334790.195710123</v>
      </c>
      <c r="U318" s="119">
        <f t="shared" si="46"/>
        <v>3965225.3291004431</v>
      </c>
      <c r="V318" s="136" t="s">
        <v>45</v>
      </c>
      <c r="W318" s="132"/>
      <c r="X318" s="124">
        <v>0.5</v>
      </c>
      <c r="Y318" s="133" t="s">
        <v>46</v>
      </c>
      <c r="Z318" s="133"/>
      <c r="AA318" s="125">
        <v>0</v>
      </c>
      <c r="AB318" s="126">
        <f t="shared" si="39"/>
        <v>936908.16765257134</v>
      </c>
      <c r="AC318" s="126">
        <f t="shared" si="43"/>
        <v>0</v>
      </c>
      <c r="AD318" s="127">
        <f t="shared" si="40"/>
        <v>3744</v>
      </c>
      <c r="AE318" s="123" t="s">
        <v>125</v>
      </c>
    </row>
    <row r="319" spans="1:31" s="129" customFormat="1" x14ac:dyDescent="0.2">
      <c r="A319" s="110" t="s">
        <v>124</v>
      </c>
      <c r="B319" s="114" t="str">
        <f>VLOOKUP(A319,Sheet1!A:B,2,0)</f>
        <v>RCS POD</v>
      </c>
      <c r="C319" s="130" t="s">
        <v>130</v>
      </c>
      <c r="D319" s="110" t="s">
        <v>131</v>
      </c>
      <c r="E319" s="110" t="s">
        <v>42</v>
      </c>
      <c r="F319" s="110" t="s">
        <v>60</v>
      </c>
      <c r="G319" s="162" t="s">
        <v>44</v>
      </c>
      <c r="H319" s="123">
        <v>2023</v>
      </c>
      <c r="I319" s="116">
        <v>8</v>
      </c>
      <c r="J319" s="117">
        <v>45590</v>
      </c>
      <c r="K319" s="118">
        <v>0.5</v>
      </c>
      <c r="L319" s="146">
        <f t="shared" si="54"/>
        <v>0.11296999999999974</v>
      </c>
      <c r="M319" s="146">
        <f>0.0185189867051391*7.15</f>
        <v>0.13241075494174459</v>
      </c>
      <c r="N319" s="146">
        <f>0.00271898670513914*7.15</f>
        <v>1.944075494174485E-2</v>
      </c>
      <c r="O319" s="119">
        <f t="shared" si="41"/>
        <v>9.7203774708724249E-3</v>
      </c>
      <c r="P319" s="120">
        <v>1</v>
      </c>
      <c r="Q319" s="119">
        <f t="shared" si="42"/>
        <v>0.11296999999999974</v>
      </c>
      <c r="R319" s="151">
        <v>7440000</v>
      </c>
      <c r="S319" s="147">
        <f t="shared" si="47"/>
        <v>216681208</v>
      </c>
      <c r="T319" s="149">
        <f>728800.55983205*7.15</f>
        <v>5210924.002799158</v>
      </c>
      <c r="U319" s="119">
        <f t="shared" si="46"/>
        <v>998477.73758991435</v>
      </c>
      <c r="V319" s="234" t="s">
        <v>132</v>
      </c>
      <c r="W319" s="150"/>
      <c r="X319" s="124">
        <v>1.29</v>
      </c>
      <c r="Y319" s="150" t="s">
        <v>133</v>
      </c>
      <c r="Z319" s="150"/>
      <c r="AA319" s="125">
        <v>0</v>
      </c>
      <c r="AB319" s="126">
        <f t="shared" si="39"/>
        <v>985136.01676657971</v>
      </c>
      <c r="AC319" s="126">
        <f t="shared" si="43"/>
        <v>0</v>
      </c>
      <c r="AD319" s="127">
        <f t="shared" si="40"/>
        <v>9597.6</v>
      </c>
      <c r="AE319" s="123" t="s">
        <v>125</v>
      </c>
    </row>
    <row r="320" spans="1:31" s="129" customFormat="1" x14ac:dyDescent="0.2">
      <c r="A320" s="110" t="s">
        <v>124</v>
      </c>
      <c r="B320" s="114" t="str">
        <f>VLOOKUP(A320,Sheet1!A:B,2,0)</f>
        <v>RCS POD</v>
      </c>
      <c r="C320" s="130" t="s">
        <v>84</v>
      </c>
      <c r="D320" s="110" t="s">
        <v>85</v>
      </c>
      <c r="E320" s="110" t="s">
        <v>42</v>
      </c>
      <c r="F320" s="110" t="s">
        <v>60</v>
      </c>
      <c r="G320" s="162" t="s">
        <v>44</v>
      </c>
      <c r="H320" s="123">
        <v>2023</v>
      </c>
      <c r="I320" s="116">
        <v>9</v>
      </c>
      <c r="J320" s="117">
        <v>45590</v>
      </c>
      <c r="K320" s="118">
        <v>0.5</v>
      </c>
      <c r="L320" s="146">
        <f>M320-N320</f>
        <v>0.2716898724654021</v>
      </c>
      <c r="M320" s="146">
        <f>0.0486776607435088*7.15</f>
        <v>0.34804527431608795</v>
      </c>
      <c r="N320" s="146">
        <f>0.0106790771819141*7.15</f>
        <v>7.6355401850685817E-2</v>
      </c>
      <c r="O320" s="119">
        <f t="shared" si="41"/>
        <v>3.8177700925342908E-2</v>
      </c>
      <c r="P320" s="120">
        <v>1</v>
      </c>
      <c r="Q320" s="119">
        <f t="shared" si="42"/>
        <v>0.2716898724654021</v>
      </c>
      <c r="R320" s="151">
        <v>5414500</v>
      </c>
      <c r="S320" s="147">
        <f t="shared" si="47"/>
        <v>221425295</v>
      </c>
      <c r="T320" s="148">
        <f>3463988.94540042*7.15</f>
        <v>24767520.959613007</v>
      </c>
      <c r="U320" s="119">
        <f t="shared" si="46"/>
        <v>7860503.5799813531</v>
      </c>
      <c r="V320" s="136" t="s">
        <v>45</v>
      </c>
      <c r="W320" s="132"/>
      <c r="X320" s="124">
        <v>2.09</v>
      </c>
      <c r="Y320" s="133" t="s">
        <v>46</v>
      </c>
      <c r="Z320" s="133"/>
      <c r="AA320" s="125">
        <v>0</v>
      </c>
      <c r="AB320" s="126">
        <f t="shared" si="39"/>
        <v>1884491.1377844582</v>
      </c>
      <c r="AC320" s="126">
        <f t="shared" si="43"/>
        <v>0</v>
      </c>
      <c r="AD320" s="127">
        <f t="shared" si="40"/>
        <v>11316.305</v>
      </c>
      <c r="AE320" s="123" t="s">
        <v>125</v>
      </c>
    </row>
    <row r="321" spans="1:31" s="129" customFormat="1" x14ac:dyDescent="0.2">
      <c r="A321" s="110" t="s">
        <v>124</v>
      </c>
      <c r="B321" s="114" t="str">
        <f>VLOOKUP(A321,Sheet1!A:B,2,0)</f>
        <v>RCS POD</v>
      </c>
      <c r="C321" s="130" t="s">
        <v>126</v>
      </c>
      <c r="D321" s="110" t="s">
        <v>127</v>
      </c>
      <c r="E321" s="110" t="s">
        <v>42</v>
      </c>
      <c r="F321" s="110" t="s">
        <v>60</v>
      </c>
      <c r="G321" s="162" t="s">
        <v>44</v>
      </c>
      <c r="H321" s="123">
        <v>2023</v>
      </c>
      <c r="I321" s="116">
        <v>9</v>
      </c>
      <c r="J321" s="117">
        <v>45590</v>
      </c>
      <c r="K321" s="118">
        <v>0.5</v>
      </c>
      <c r="L321" s="146">
        <f t="shared" ref="L321:L323" si="55">M321-N321</f>
        <v>8.678151776003247E-2</v>
      </c>
      <c r="M321" s="146">
        <f>0.0161737427216087*7.15</f>
        <v>0.11564226045950222</v>
      </c>
      <c r="N321" s="146">
        <f>0.00403646751041535*7.15</f>
        <v>2.8860742699469755E-2</v>
      </c>
      <c r="O321" s="119">
        <f t="shared" si="41"/>
        <v>1.4430371349734877E-2</v>
      </c>
      <c r="P321" s="120">
        <v>1</v>
      </c>
      <c r="Q321" s="119">
        <f t="shared" si="42"/>
        <v>8.678151776003247E-2</v>
      </c>
      <c r="R321" s="151">
        <v>5760000</v>
      </c>
      <c r="S321" s="147">
        <f t="shared" si="47"/>
        <v>223726926</v>
      </c>
      <c r="T321" s="126">
        <f>1437831.94798769*7.15</f>
        <v>10280498.428111985</v>
      </c>
      <c r="U321" s="119">
        <f t="shared" si="46"/>
        <v>3823573.1818826757</v>
      </c>
      <c r="V321" s="136" t="s">
        <v>45</v>
      </c>
      <c r="W321" s="132"/>
      <c r="X321" s="124">
        <v>0.31</v>
      </c>
      <c r="Y321" s="133" t="s">
        <v>46</v>
      </c>
      <c r="Z321" s="133"/>
      <c r="AA321" s="125">
        <v>0</v>
      </c>
      <c r="AB321" s="126">
        <f t="shared" si="39"/>
        <v>666099.42024673277</v>
      </c>
      <c r="AC321" s="126">
        <f t="shared" si="43"/>
        <v>0</v>
      </c>
      <c r="AD321" s="127">
        <f t="shared" si="40"/>
        <v>1785.6</v>
      </c>
      <c r="AE321" s="123" t="s">
        <v>125</v>
      </c>
    </row>
    <row r="322" spans="1:31" s="129" customFormat="1" x14ac:dyDescent="0.2">
      <c r="A322" s="110" t="s">
        <v>124</v>
      </c>
      <c r="B322" s="114" t="str">
        <f>VLOOKUP(A322,Sheet1!A:B,2,0)</f>
        <v>RCS POD</v>
      </c>
      <c r="C322" s="130" t="s">
        <v>128</v>
      </c>
      <c r="D322" s="110" t="s">
        <v>129</v>
      </c>
      <c r="E322" s="110" t="s">
        <v>42</v>
      </c>
      <c r="F322" s="110" t="s">
        <v>60</v>
      </c>
      <c r="G322" s="162" t="s">
        <v>44</v>
      </c>
      <c r="H322" s="123">
        <v>2023</v>
      </c>
      <c r="I322" s="116">
        <v>9</v>
      </c>
      <c r="J322" s="117">
        <v>45590</v>
      </c>
      <c r="K322" s="118">
        <v>0.5</v>
      </c>
      <c r="L322" s="146">
        <f t="shared" si="55"/>
        <v>9.5833382481798193E-2</v>
      </c>
      <c r="M322" s="146">
        <f>0.0174994801501063*7.15</f>
        <v>0.12512128307326006</v>
      </c>
      <c r="N322" s="146">
        <f>0.00409620987293173*7.15</f>
        <v>2.9287900591461875E-2</v>
      </c>
      <c r="O322" s="119">
        <f t="shared" si="41"/>
        <v>1.4643950295730937E-2</v>
      </c>
      <c r="P322" s="120">
        <v>1</v>
      </c>
      <c r="Q322" s="119">
        <f t="shared" si="42"/>
        <v>9.5833382481798193E-2</v>
      </c>
      <c r="R322" s="151">
        <v>5920000</v>
      </c>
      <c r="S322" s="147">
        <f t="shared" si="47"/>
        <v>223401101</v>
      </c>
      <c r="T322" s="149">
        <f>1445425.20219722*7.15</f>
        <v>10334790.195710123</v>
      </c>
      <c r="U322" s="119">
        <f t="shared" si="46"/>
        <v>3791840.9575989889</v>
      </c>
      <c r="V322" s="136" t="s">
        <v>45</v>
      </c>
      <c r="W322" s="132"/>
      <c r="X322" s="124">
        <v>0.5</v>
      </c>
      <c r="Y322" s="133" t="s">
        <v>46</v>
      </c>
      <c r="Z322" s="133"/>
      <c r="AA322" s="125">
        <v>0</v>
      </c>
      <c r="AB322" s="126">
        <f t="shared" si="39"/>
        <v>740717.99579369964</v>
      </c>
      <c r="AC322" s="126">
        <f t="shared" si="43"/>
        <v>0</v>
      </c>
      <c r="AD322" s="127">
        <f t="shared" si="40"/>
        <v>2960</v>
      </c>
      <c r="AE322" s="123" t="s">
        <v>125</v>
      </c>
    </row>
    <row r="323" spans="1:31" s="129" customFormat="1" x14ac:dyDescent="0.2">
      <c r="A323" s="110" t="s">
        <v>124</v>
      </c>
      <c r="B323" s="114" t="str">
        <f>VLOOKUP(A323,Sheet1!A:B,2,0)</f>
        <v>RCS POD</v>
      </c>
      <c r="C323" s="130" t="s">
        <v>130</v>
      </c>
      <c r="D323" s="110" t="s">
        <v>131</v>
      </c>
      <c r="E323" s="110" t="s">
        <v>42</v>
      </c>
      <c r="F323" s="110" t="s">
        <v>60</v>
      </c>
      <c r="G323" s="162" t="s">
        <v>44</v>
      </c>
      <c r="H323" s="123">
        <v>2023</v>
      </c>
      <c r="I323" s="116">
        <v>9</v>
      </c>
      <c r="J323" s="117">
        <v>45590</v>
      </c>
      <c r="K323" s="118">
        <v>0.5</v>
      </c>
      <c r="L323" s="146">
        <f t="shared" si="55"/>
        <v>0.11296999999999974</v>
      </c>
      <c r="M323" s="146">
        <f>0.0185189867051391*7.15</f>
        <v>0.13241075494174459</v>
      </c>
      <c r="N323" s="146">
        <f>0.00271898670513914*7.15</f>
        <v>1.944075494174485E-2</v>
      </c>
      <c r="O323" s="119">
        <f t="shared" si="41"/>
        <v>9.7203774708724249E-3</v>
      </c>
      <c r="P323" s="120">
        <v>1</v>
      </c>
      <c r="Q323" s="119">
        <f t="shared" si="42"/>
        <v>0.11296999999999974</v>
      </c>
      <c r="R323" s="151">
        <v>5712000</v>
      </c>
      <c r="S323" s="147">
        <f t="shared" si="47"/>
        <v>222393208</v>
      </c>
      <c r="T323" s="149">
        <f>728800.55983205*7.15</f>
        <v>5210924.002799158</v>
      </c>
      <c r="U323" s="119">
        <f t="shared" si="46"/>
        <v>887432.14536266774</v>
      </c>
      <c r="V323" s="234" t="s">
        <v>132</v>
      </c>
      <c r="W323" s="150"/>
      <c r="X323" s="124">
        <v>1.29</v>
      </c>
      <c r="Y323" s="150" t="s">
        <v>133</v>
      </c>
      <c r="Z323" s="150"/>
      <c r="AA323" s="125">
        <v>0</v>
      </c>
      <c r="AB323" s="126">
        <f t="shared" si="39"/>
        <v>756330.23222724511</v>
      </c>
      <c r="AC323" s="126">
        <f t="shared" si="43"/>
        <v>0</v>
      </c>
      <c r="AD323" s="127">
        <f t="shared" si="40"/>
        <v>7368.48</v>
      </c>
      <c r="AE323" s="123" t="s">
        <v>125</v>
      </c>
    </row>
    <row r="324" spans="1:31" s="129" customFormat="1" x14ac:dyDescent="0.2">
      <c r="A324" s="110" t="s">
        <v>124</v>
      </c>
      <c r="B324" s="114" t="str">
        <f>VLOOKUP(A324,Sheet1!A:B,2,0)</f>
        <v>RCS POD</v>
      </c>
      <c r="C324" s="130" t="s">
        <v>84</v>
      </c>
      <c r="D324" s="110" t="s">
        <v>85</v>
      </c>
      <c r="E324" s="110" t="s">
        <v>42</v>
      </c>
      <c r="F324" s="110" t="s">
        <v>60</v>
      </c>
      <c r="G324" s="162" t="s">
        <v>44</v>
      </c>
      <c r="H324" s="123">
        <v>2023</v>
      </c>
      <c r="I324" s="116">
        <v>10</v>
      </c>
      <c r="J324" s="117">
        <v>45590</v>
      </c>
      <c r="K324" s="118">
        <v>0.5</v>
      </c>
      <c r="L324" s="146">
        <f>M324-N324</f>
        <v>0.2716898724654021</v>
      </c>
      <c r="M324" s="146">
        <f>0.0486776607435088*7.15</f>
        <v>0.34804527431608795</v>
      </c>
      <c r="N324" s="146">
        <f>0.0106790771819141*7.15</f>
        <v>7.6355401850685817E-2</v>
      </c>
      <c r="O324" s="119">
        <f t="shared" si="41"/>
        <v>3.8177700925342908E-2</v>
      </c>
      <c r="P324" s="120">
        <v>1</v>
      </c>
      <c r="Q324" s="119">
        <f t="shared" si="42"/>
        <v>0.2716898724654021</v>
      </c>
      <c r="R324" s="151">
        <v>5360879</v>
      </c>
      <c r="S324" s="147">
        <f t="shared" si="47"/>
        <v>226786174</v>
      </c>
      <c r="T324" s="148">
        <f>3463988.94540042*7.15</f>
        <v>24767520.959613007</v>
      </c>
      <c r="U324" s="119">
        <f t="shared" si="46"/>
        <v>7451171.5096634515</v>
      </c>
      <c r="V324" s="136" t="s">
        <v>45</v>
      </c>
      <c r="W324" s="132"/>
      <c r="X324" s="124">
        <v>2.09</v>
      </c>
      <c r="Y324" s="133" t="s">
        <v>46</v>
      </c>
      <c r="Z324" s="133"/>
      <c r="AA324" s="125">
        <v>0</v>
      </c>
      <c r="AB324" s="126">
        <f t="shared" ref="AB324:AB387" si="56">M324*R324</f>
        <v>1865828.6021303553</v>
      </c>
      <c r="AC324" s="126">
        <f t="shared" si="43"/>
        <v>0</v>
      </c>
      <c r="AD324" s="127">
        <f t="shared" ref="AD324:AD387" si="57">R324*X324/1000</f>
        <v>11204.23711</v>
      </c>
      <c r="AE324" s="123" t="s">
        <v>125</v>
      </c>
    </row>
    <row r="325" spans="1:31" s="129" customFormat="1" x14ac:dyDescent="0.2">
      <c r="A325" s="110" t="s">
        <v>124</v>
      </c>
      <c r="B325" s="114" t="str">
        <f>VLOOKUP(A325,Sheet1!A:B,2,0)</f>
        <v>RCS POD</v>
      </c>
      <c r="C325" s="130" t="s">
        <v>126</v>
      </c>
      <c r="D325" s="110" t="s">
        <v>127</v>
      </c>
      <c r="E325" s="110" t="s">
        <v>42</v>
      </c>
      <c r="F325" s="110" t="s">
        <v>60</v>
      </c>
      <c r="G325" s="162" t="s">
        <v>44</v>
      </c>
      <c r="H325" s="123">
        <v>2023</v>
      </c>
      <c r="I325" s="116">
        <v>10</v>
      </c>
      <c r="J325" s="117">
        <v>45590</v>
      </c>
      <c r="K325" s="118">
        <v>0.5</v>
      </c>
      <c r="L325" s="146">
        <f t="shared" ref="L325:L327" si="58">M325-N325</f>
        <v>8.678151776003247E-2</v>
      </c>
      <c r="M325" s="146">
        <f>0.0161737427216087*7.15</f>
        <v>0.11564226045950222</v>
      </c>
      <c r="N325" s="146">
        <f>0.00403646751041535*7.15</f>
        <v>2.8860742699469755E-2</v>
      </c>
      <c r="O325" s="119">
        <f t="shared" ref="O325:O387" si="59">N325*K325</f>
        <v>1.4430371349734877E-2</v>
      </c>
      <c r="P325" s="120">
        <v>1</v>
      </c>
      <c r="Q325" s="119">
        <f t="shared" ref="Q325:Q388" si="60">P325*L325</f>
        <v>8.678151776003247E-2</v>
      </c>
      <c r="R325" s="151">
        <v>5212679</v>
      </c>
      <c r="S325" s="147">
        <f t="shared" si="47"/>
        <v>228939605</v>
      </c>
      <c r="T325" s="126">
        <f>1437831.94798769*7.15</f>
        <v>10280498.428111985</v>
      </c>
      <c r="U325" s="119">
        <f t="shared" si="46"/>
        <v>3673131.3944887463</v>
      </c>
      <c r="V325" s="136" t="s">
        <v>45</v>
      </c>
      <c r="W325" s="132"/>
      <c r="X325" s="124">
        <v>0.31</v>
      </c>
      <c r="Y325" s="133" t="s">
        <v>46</v>
      </c>
      <c r="Z325" s="133"/>
      <c r="AA325" s="125">
        <v>0</v>
      </c>
      <c r="AB325" s="126">
        <f t="shared" si="56"/>
        <v>602805.98260977759</v>
      </c>
      <c r="AC325" s="126">
        <f t="shared" ref="AC325:AC388" si="61">R325*AA325</f>
        <v>0</v>
      </c>
      <c r="AD325" s="127">
        <f t="shared" si="57"/>
        <v>1615.93049</v>
      </c>
      <c r="AE325" s="123" t="s">
        <v>125</v>
      </c>
    </row>
    <row r="326" spans="1:31" s="129" customFormat="1" x14ac:dyDescent="0.2">
      <c r="A326" s="110" t="s">
        <v>124</v>
      </c>
      <c r="B326" s="114" t="str">
        <f>VLOOKUP(A326,Sheet1!A:B,2,0)</f>
        <v>RCS POD</v>
      </c>
      <c r="C326" s="130" t="s">
        <v>128</v>
      </c>
      <c r="D326" s="110" t="s">
        <v>129</v>
      </c>
      <c r="E326" s="110" t="s">
        <v>42</v>
      </c>
      <c r="F326" s="110" t="s">
        <v>60</v>
      </c>
      <c r="G326" s="162" t="s">
        <v>44</v>
      </c>
      <c r="H326" s="123">
        <v>2023</v>
      </c>
      <c r="I326" s="116">
        <v>10</v>
      </c>
      <c r="J326" s="117">
        <v>45590</v>
      </c>
      <c r="K326" s="118">
        <v>0.5</v>
      </c>
      <c r="L326" s="146">
        <f t="shared" si="58"/>
        <v>9.5833382481798193E-2</v>
      </c>
      <c r="M326" s="146">
        <f>0.0174994801501063*7.15</f>
        <v>0.12512128307326006</v>
      </c>
      <c r="N326" s="146">
        <f>0.00409620987293173*7.15</f>
        <v>2.9287900591461875E-2</v>
      </c>
      <c r="O326" s="119">
        <f t="shared" si="59"/>
        <v>1.4643950295730937E-2</v>
      </c>
      <c r="P326" s="120">
        <v>1</v>
      </c>
      <c r="Q326" s="119">
        <f t="shared" si="60"/>
        <v>9.5833382481798193E-2</v>
      </c>
      <c r="R326" s="151">
        <v>5212679</v>
      </c>
      <c r="S326" s="147">
        <f t="shared" si="47"/>
        <v>228613780</v>
      </c>
      <c r="T326" s="149">
        <f>1445425.20219722*7.15</f>
        <v>10334790.195710123</v>
      </c>
      <c r="U326" s="119">
        <f t="shared" si="46"/>
        <v>3639172.5332317874</v>
      </c>
      <c r="V326" s="136" t="s">
        <v>45</v>
      </c>
      <c r="W326" s="132"/>
      <c r="X326" s="124">
        <v>0.5</v>
      </c>
      <c r="Y326" s="133" t="s">
        <v>46</v>
      </c>
      <c r="Z326" s="133"/>
      <c r="AA326" s="125">
        <v>0</v>
      </c>
      <c r="AB326" s="126">
        <f t="shared" si="56"/>
        <v>652217.08472903818</v>
      </c>
      <c r="AC326" s="126">
        <f t="shared" si="61"/>
        <v>0</v>
      </c>
      <c r="AD326" s="127">
        <f t="shared" si="57"/>
        <v>2606.3395</v>
      </c>
      <c r="AE326" s="123" t="s">
        <v>125</v>
      </c>
    </row>
    <row r="327" spans="1:31" s="129" customFormat="1" x14ac:dyDescent="0.2">
      <c r="A327" s="110" t="s">
        <v>124</v>
      </c>
      <c r="B327" s="114" t="str">
        <f>VLOOKUP(A327,Sheet1!A:B,2,0)</f>
        <v>RCS POD</v>
      </c>
      <c r="C327" s="130" t="s">
        <v>130</v>
      </c>
      <c r="D327" s="110" t="s">
        <v>131</v>
      </c>
      <c r="E327" s="110" t="s">
        <v>42</v>
      </c>
      <c r="F327" s="110" t="s">
        <v>60</v>
      </c>
      <c r="G327" s="162" t="s">
        <v>44</v>
      </c>
      <c r="H327" s="123">
        <v>2023</v>
      </c>
      <c r="I327" s="116">
        <v>10</v>
      </c>
      <c r="J327" s="117">
        <v>45590</v>
      </c>
      <c r="K327" s="118">
        <v>0.5</v>
      </c>
      <c r="L327" s="146">
        <f t="shared" si="58"/>
        <v>0.11296999999999974</v>
      </c>
      <c r="M327" s="146">
        <f>0.0185189867051391*7.15</f>
        <v>0.13241075494174459</v>
      </c>
      <c r="N327" s="146">
        <f>0.00271898670513914*7.15</f>
        <v>1.944075494174485E-2</v>
      </c>
      <c r="O327" s="119">
        <f t="shared" si="59"/>
        <v>9.7203774708724249E-3</v>
      </c>
      <c r="P327" s="120">
        <v>1</v>
      </c>
      <c r="Q327" s="119">
        <f t="shared" si="60"/>
        <v>0.11296999999999974</v>
      </c>
      <c r="R327" s="151">
        <v>5280000</v>
      </c>
      <c r="S327" s="147">
        <f t="shared" si="47"/>
        <v>227673208</v>
      </c>
      <c r="T327" s="149">
        <f>728800.55983205*7.15</f>
        <v>5210924.002799158</v>
      </c>
      <c r="U327" s="119">
        <f t="shared" si="46"/>
        <v>784784.95927025471</v>
      </c>
      <c r="V327" s="234" t="s">
        <v>132</v>
      </c>
      <c r="W327" s="150"/>
      <c r="X327" s="124">
        <v>1.29</v>
      </c>
      <c r="Y327" s="150" t="s">
        <v>133</v>
      </c>
      <c r="Z327" s="150"/>
      <c r="AA327" s="125">
        <v>0</v>
      </c>
      <c r="AB327" s="126">
        <f t="shared" si="56"/>
        <v>699128.78609241149</v>
      </c>
      <c r="AC327" s="126">
        <f t="shared" si="61"/>
        <v>0</v>
      </c>
      <c r="AD327" s="127">
        <f t="shared" si="57"/>
        <v>6811.2</v>
      </c>
      <c r="AE327" s="123" t="s">
        <v>125</v>
      </c>
    </row>
    <row r="328" spans="1:31" s="129" customFormat="1" x14ac:dyDescent="0.2">
      <c r="A328" s="110" t="s">
        <v>124</v>
      </c>
      <c r="B328" s="114" t="str">
        <f>VLOOKUP(A328,Sheet1!A:B,2,0)</f>
        <v>RCS POD</v>
      </c>
      <c r="C328" s="130" t="s">
        <v>84</v>
      </c>
      <c r="D328" s="110" t="s">
        <v>85</v>
      </c>
      <c r="E328" s="110" t="s">
        <v>42</v>
      </c>
      <c r="F328" s="110" t="s">
        <v>60</v>
      </c>
      <c r="G328" s="162" t="s">
        <v>44</v>
      </c>
      <c r="H328" s="123">
        <v>2023</v>
      </c>
      <c r="I328" s="116">
        <v>11</v>
      </c>
      <c r="J328" s="117">
        <v>45590</v>
      </c>
      <c r="K328" s="118">
        <v>0.5</v>
      </c>
      <c r="L328" s="146">
        <f>M328-N328</f>
        <v>0.2716898724654021</v>
      </c>
      <c r="M328" s="146">
        <f>0.0486776607435088*7.15</f>
        <v>0.34804527431608795</v>
      </c>
      <c r="N328" s="146">
        <f>0.0106790771819141*7.15</f>
        <v>7.6355401850685817E-2</v>
      </c>
      <c r="O328" s="119">
        <f t="shared" si="59"/>
        <v>3.8177700925342908E-2</v>
      </c>
      <c r="P328" s="120">
        <v>1</v>
      </c>
      <c r="Q328" s="119">
        <f t="shared" si="60"/>
        <v>0.2716898724654021</v>
      </c>
      <c r="R328" s="151">
        <v>6999100</v>
      </c>
      <c r="S328" s="147">
        <f t="shared" si="47"/>
        <v>233785274</v>
      </c>
      <c r="T328" s="148">
        <f>3463988.94540042*7.15</f>
        <v>24767520.959613007</v>
      </c>
      <c r="U328" s="119">
        <f t="shared" si="46"/>
        <v>6916752.416570317</v>
      </c>
      <c r="V328" s="136" t="s">
        <v>45</v>
      </c>
      <c r="W328" s="132"/>
      <c r="X328" s="124">
        <v>2.09</v>
      </c>
      <c r="Y328" s="133" t="s">
        <v>46</v>
      </c>
      <c r="Z328" s="133"/>
      <c r="AA328" s="125">
        <v>0</v>
      </c>
      <c r="AB328" s="126">
        <f t="shared" si="56"/>
        <v>2436003.6794657311</v>
      </c>
      <c r="AC328" s="126">
        <f t="shared" si="61"/>
        <v>0</v>
      </c>
      <c r="AD328" s="127">
        <f t="shared" si="57"/>
        <v>14628.118999999999</v>
      </c>
      <c r="AE328" s="123" t="s">
        <v>125</v>
      </c>
    </row>
    <row r="329" spans="1:31" s="129" customFormat="1" x14ac:dyDescent="0.2">
      <c r="A329" s="110" t="s">
        <v>124</v>
      </c>
      <c r="B329" s="114" t="str">
        <f>VLOOKUP(A329,Sheet1!A:B,2,0)</f>
        <v>RCS POD</v>
      </c>
      <c r="C329" s="130" t="s">
        <v>126</v>
      </c>
      <c r="D329" s="110" t="s">
        <v>127</v>
      </c>
      <c r="E329" s="110" t="s">
        <v>42</v>
      </c>
      <c r="F329" s="110" t="s">
        <v>60</v>
      </c>
      <c r="G329" s="162" t="s">
        <v>44</v>
      </c>
      <c r="H329" s="123">
        <v>2023</v>
      </c>
      <c r="I329" s="116">
        <v>11</v>
      </c>
      <c r="J329" s="117">
        <v>45590</v>
      </c>
      <c r="K329" s="118">
        <v>0.5</v>
      </c>
      <c r="L329" s="146">
        <f t="shared" ref="L329:L331" si="62">M329-N329</f>
        <v>8.678151776003247E-2</v>
      </c>
      <c r="M329" s="146">
        <f>0.0161737427216087*7.15</f>
        <v>0.11564226045950222</v>
      </c>
      <c r="N329" s="146">
        <f>0.00403646751041535*7.15</f>
        <v>2.8860742699469755E-2</v>
      </c>
      <c r="O329" s="119">
        <f t="shared" si="59"/>
        <v>1.4430371349734877E-2</v>
      </c>
      <c r="P329" s="120">
        <v>1</v>
      </c>
      <c r="Q329" s="119">
        <f t="shared" si="60"/>
        <v>8.678151776003247E-2</v>
      </c>
      <c r="R329" s="151">
        <v>7214000</v>
      </c>
      <c r="S329" s="147">
        <f t="shared" si="47"/>
        <v>236153605</v>
      </c>
      <c r="T329" s="126">
        <f>1437831.94798769*7.15</f>
        <v>10280498.428111985</v>
      </c>
      <c r="U329" s="119">
        <f t="shared" si="46"/>
        <v>3464929.9966547713</v>
      </c>
      <c r="V329" s="136" t="s">
        <v>45</v>
      </c>
      <c r="W329" s="132"/>
      <c r="X329" s="124">
        <v>0.31</v>
      </c>
      <c r="Y329" s="133" t="s">
        <v>46</v>
      </c>
      <c r="Z329" s="133"/>
      <c r="AA329" s="125">
        <v>0</v>
      </c>
      <c r="AB329" s="126">
        <f t="shared" si="56"/>
        <v>834243.26695484901</v>
      </c>
      <c r="AC329" s="126">
        <f t="shared" si="61"/>
        <v>0</v>
      </c>
      <c r="AD329" s="127">
        <f t="shared" si="57"/>
        <v>2236.34</v>
      </c>
      <c r="AE329" s="123" t="s">
        <v>125</v>
      </c>
    </row>
    <row r="330" spans="1:31" s="129" customFormat="1" x14ac:dyDescent="0.2">
      <c r="A330" s="110" t="s">
        <v>124</v>
      </c>
      <c r="B330" s="114" t="str">
        <f>VLOOKUP(A330,Sheet1!A:B,2,0)</f>
        <v>RCS POD</v>
      </c>
      <c r="C330" s="130" t="s">
        <v>128</v>
      </c>
      <c r="D330" s="110" t="s">
        <v>129</v>
      </c>
      <c r="E330" s="110" t="s">
        <v>42</v>
      </c>
      <c r="F330" s="110" t="s">
        <v>60</v>
      </c>
      <c r="G330" s="162" t="s">
        <v>44</v>
      </c>
      <c r="H330" s="123">
        <v>2023</v>
      </c>
      <c r="I330" s="116">
        <v>11</v>
      </c>
      <c r="J330" s="117">
        <v>45590</v>
      </c>
      <c r="K330" s="118">
        <v>0.5</v>
      </c>
      <c r="L330" s="146">
        <f t="shared" si="62"/>
        <v>9.5833382481798193E-2</v>
      </c>
      <c r="M330" s="146">
        <f>0.0174994801501063*7.15</f>
        <v>0.12512128307326006</v>
      </c>
      <c r="N330" s="146">
        <f>0.00409620987293173*7.15</f>
        <v>2.9287900591461875E-2</v>
      </c>
      <c r="O330" s="119">
        <f t="shared" si="59"/>
        <v>1.4643950295730937E-2</v>
      </c>
      <c r="P330" s="120">
        <v>1</v>
      </c>
      <c r="Q330" s="119">
        <f t="shared" si="60"/>
        <v>9.5833382481798193E-2</v>
      </c>
      <c r="R330" s="151">
        <v>7062000</v>
      </c>
      <c r="S330" s="147">
        <f t="shared" si="47"/>
        <v>235675780</v>
      </c>
      <c r="T330" s="149">
        <f>1445425.20219722*7.15</f>
        <v>10334790.195710123</v>
      </c>
      <c r="U330" s="119">
        <f t="shared" si="46"/>
        <v>3432341.3792548841</v>
      </c>
      <c r="V330" s="136" t="s">
        <v>45</v>
      </c>
      <c r="W330" s="132"/>
      <c r="X330" s="124">
        <v>0.5</v>
      </c>
      <c r="Y330" s="133" t="s">
        <v>46</v>
      </c>
      <c r="Z330" s="133"/>
      <c r="AA330" s="125">
        <v>0</v>
      </c>
      <c r="AB330" s="126">
        <f t="shared" si="56"/>
        <v>883606.50106336258</v>
      </c>
      <c r="AC330" s="126">
        <f t="shared" si="61"/>
        <v>0</v>
      </c>
      <c r="AD330" s="127">
        <f t="shared" si="57"/>
        <v>3531</v>
      </c>
      <c r="AE330" s="123" t="s">
        <v>125</v>
      </c>
    </row>
    <row r="331" spans="1:31" s="129" customFormat="1" x14ac:dyDescent="0.2">
      <c r="A331" s="110" t="s">
        <v>124</v>
      </c>
      <c r="B331" s="114" t="str">
        <f>VLOOKUP(A331,Sheet1!A:B,2,0)</f>
        <v>RCS POD</v>
      </c>
      <c r="C331" s="130" t="s">
        <v>130</v>
      </c>
      <c r="D331" s="110" t="s">
        <v>131</v>
      </c>
      <c r="E331" s="110" t="s">
        <v>42</v>
      </c>
      <c r="F331" s="110" t="s">
        <v>60</v>
      </c>
      <c r="G331" s="162" t="s">
        <v>44</v>
      </c>
      <c r="H331" s="123">
        <v>2023</v>
      </c>
      <c r="I331" s="116">
        <v>11</v>
      </c>
      <c r="J331" s="117">
        <v>45590</v>
      </c>
      <c r="K331" s="118">
        <v>0.5</v>
      </c>
      <c r="L331" s="146">
        <f t="shared" si="62"/>
        <v>0.11296999999999974</v>
      </c>
      <c r="M331" s="146">
        <f>0.0185189867051391*7.15</f>
        <v>0.13241075494174459</v>
      </c>
      <c r="N331" s="146">
        <f>0.00271898670513914*7.15</f>
        <v>1.944075494174485E-2</v>
      </c>
      <c r="O331" s="119">
        <f t="shared" si="59"/>
        <v>9.7203774708724249E-3</v>
      </c>
      <c r="P331" s="120">
        <v>1</v>
      </c>
      <c r="Q331" s="119">
        <f t="shared" si="60"/>
        <v>0.11296999999999974</v>
      </c>
      <c r="R331" s="151">
        <v>7092000</v>
      </c>
      <c r="S331" s="147">
        <f t="shared" si="47"/>
        <v>234765208</v>
      </c>
      <c r="T331" s="149">
        <f>728800.55983205*7.15</f>
        <v>5210924.002799158</v>
      </c>
      <c r="U331" s="119">
        <f t="shared" si="46"/>
        <v>646911.12522340007</v>
      </c>
      <c r="V331" s="234" t="s">
        <v>132</v>
      </c>
      <c r="W331" s="150"/>
      <c r="X331" s="124">
        <v>1.29</v>
      </c>
      <c r="Y331" s="150" t="s">
        <v>133</v>
      </c>
      <c r="Z331" s="150"/>
      <c r="AA331" s="125">
        <v>0</v>
      </c>
      <c r="AB331" s="126">
        <f t="shared" si="56"/>
        <v>939057.07404685265</v>
      </c>
      <c r="AC331" s="126">
        <f t="shared" si="61"/>
        <v>0</v>
      </c>
      <c r="AD331" s="127">
        <f t="shared" si="57"/>
        <v>9148.68</v>
      </c>
      <c r="AE331" s="123" t="s">
        <v>125</v>
      </c>
    </row>
    <row r="332" spans="1:31" s="129" customFormat="1" x14ac:dyDescent="0.2">
      <c r="A332" s="110" t="s">
        <v>124</v>
      </c>
      <c r="B332" s="114" t="str">
        <f>VLOOKUP(A332,Sheet1!A:B,2,0)</f>
        <v>RCS POD</v>
      </c>
      <c r="C332" s="130" t="s">
        <v>84</v>
      </c>
      <c r="D332" s="110" t="s">
        <v>85</v>
      </c>
      <c r="E332" s="110" t="s">
        <v>42</v>
      </c>
      <c r="F332" s="110" t="s">
        <v>60</v>
      </c>
      <c r="G332" s="162" t="s">
        <v>44</v>
      </c>
      <c r="H332" s="123">
        <v>2023</v>
      </c>
      <c r="I332" s="116">
        <v>12</v>
      </c>
      <c r="J332" s="117">
        <v>45590</v>
      </c>
      <c r="K332" s="118">
        <v>0.5</v>
      </c>
      <c r="L332" s="146">
        <f>M332-N332</f>
        <v>0.2716898724654021</v>
      </c>
      <c r="M332" s="146">
        <f>0.0486776607435088*7.15</f>
        <v>0.34804527431608795</v>
      </c>
      <c r="N332" s="146">
        <f>0.0106790771819141*7.15</f>
        <v>7.6355401850685817E-2</v>
      </c>
      <c r="O332" s="119">
        <f t="shared" si="59"/>
        <v>3.8177700925342908E-2</v>
      </c>
      <c r="P332" s="120">
        <v>1</v>
      </c>
      <c r="Q332" s="119">
        <f t="shared" si="60"/>
        <v>0.2716898724654021</v>
      </c>
      <c r="R332" s="151">
        <v>9912700</v>
      </c>
      <c r="S332" s="147">
        <f t="shared" si="47"/>
        <v>243697974</v>
      </c>
      <c r="T332" s="148">
        <f>3463988.94540042*7.15</f>
        <v>24767520.959613007</v>
      </c>
      <c r="U332" s="119">
        <f t="shared" si="46"/>
        <v>6159864.2246450223</v>
      </c>
      <c r="V332" s="136" t="s">
        <v>45</v>
      </c>
      <c r="W332" s="132"/>
      <c r="X332" s="124">
        <v>2.09</v>
      </c>
      <c r="Y332" s="133" t="s">
        <v>46</v>
      </c>
      <c r="Z332" s="133"/>
      <c r="AA332" s="125">
        <v>0</v>
      </c>
      <c r="AB332" s="126">
        <f t="shared" si="56"/>
        <v>3450068.390713085</v>
      </c>
      <c r="AC332" s="126">
        <f t="shared" si="61"/>
        <v>0</v>
      </c>
      <c r="AD332" s="127">
        <f t="shared" si="57"/>
        <v>20717.543000000001</v>
      </c>
      <c r="AE332" s="123" t="s">
        <v>125</v>
      </c>
    </row>
    <row r="333" spans="1:31" s="129" customFormat="1" x14ac:dyDescent="0.2">
      <c r="A333" s="110" t="s">
        <v>124</v>
      </c>
      <c r="B333" s="114" t="str">
        <f>VLOOKUP(A333,Sheet1!A:B,2,0)</f>
        <v>RCS POD</v>
      </c>
      <c r="C333" s="130" t="s">
        <v>126</v>
      </c>
      <c r="D333" s="110" t="s">
        <v>127</v>
      </c>
      <c r="E333" s="110" t="s">
        <v>42</v>
      </c>
      <c r="F333" s="110" t="s">
        <v>60</v>
      </c>
      <c r="G333" s="162" t="s">
        <v>44</v>
      </c>
      <c r="H333" s="123">
        <v>2023</v>
      </c>
      <c r="I333" s="116">
        <v>12</v>
      </c>
      <c r="J333" s="117">
        <v>45590</v>
      </c>
      <c r="K333" s="118">
        <v>0.5</v>
      </c>
      <c r="L333" s="146">
        <f t="shared" ref="L333:L335" si="63">M333-N333</f>
        <v>8.678151776003247E-2</v>
      </c>
      <c r="M333" s="146">
        <f>0.0161737427216087*7.15</f>
        <v>0.11564226045950222</v>
      </c>
      <c r="N333" s="146">
        <f>0.00403646751041535*7.15</f>
        <v>2.8860742699469755E-2</v>
      </c>
      <c r="O333" s="119">
        <f t="shared" si="59"/>
        <v>1.4430371349734877E-2</v>
      </c>
      <c r="P333" s="120">
        <v>1</v>
      </c>
      <c r="Q333" s="119">
        <f t="shared" si="60"/>
        <v>8.678151776003247E-2</v>
      </c>
      <c r="R333" s="151">
        <v>10499614</v>
      </c>
      <c r="S333" s="147">
        <f t="shared" si="47"/>
        <v>246653219</v>
      </c>
      <c r="T333" s="126">
        <f>1437831.94798769*7.15</f>
        <v>10280498.428111985</v>
      </c>
      <c r="U333" s="119">
        <f t="shared" si="46"/>
        <v>3161903.3385570208</v>
      </c>
      <c r="V333" s="136" t="s">
        <v>45</v>
      </c>
      <c r="W333" s="132"/>
      <c r="X333" s="124">
        <v>0.31</v>
      </c>
      <c r="Y333" s="133" t="s">
        <v>46</v>
      </c>
      <c r="Z333" s="133"/>
      <c r="AA333" s="125">
        <v>0</v>
      </c>
      <c r="AB333" s="126">
        <f t="shared" si="56"/>
        <v>1214199.096912236</v>
      </c>
      <c r="AC333" s="126">
        <f t="shared" si="61"/>
        <v>0</v>
      </c>
      <c r="AD333" s="127">
        <f t="shared" si="57"/>
        <v>3254.8803399999997</v>
      </c>
      <c r="AE333" s="123" t="s">
        <v>125</v>
      </c>
    </row>
    <row r="334" spans="1:31" s="129" customFormat="1" x14ac:dyDescent="0.2">
      <c r="A334" s="110" t="s">
        <v>124</v>
      </c>
      <c r="B334" s="114" t="str">
        <f>VLOOKUP(A334,Sheet1!A:B,2,0)</f>
        <v>RCS POD</v>
      </c>
      <c r="C334" s="130" t="s">
        <v>128</v>
      </c>
      <c r="D334" s="110" t="s">
        <v>129</v>
      </c>
      <c r="E334" s="110" t="s">
        <v>42</v>
      </c>
      <c r="F334" s="110" t="s">
        <v>60</v>
      </c>
      <c r="G334" s="162" t="s">
        <v>44</v>
      </c>
      <c r="H334" s="123">
        <v>2023</v>
      </c>
      <c r="I334" s="116">
        <v>12</v>
      </c>
      <c r="J334" s="117">
        <v>45590</v>
      </c>
      <c r="K334" s="118">
        <v>0.5</v>
      </c>
      <c r="L334" s="146">
        <f t="shared" si="63"/>
        <v>9.5833382481798193E-2</v>
      </c>
      <c r="M334" s="146">
        <f>0.0174994801501063*7.15</f>
        <v>0.12512128307326006</v>
      </c>
      <c r="N334" s="146">
        <f>0.00409620987293173*7.15</f>
        <v>2.9287900591461875E-2</v>
      </c>
      <c r="O334" s="119">
        <f t="shared" si="59"/>
        <v>1.4643950295730937E-2</v>
      </c>
      <c r="P334" s="120">
        <v>1</v>
      </c>
      <c r="Q334" s="119">
        <f t="shared" si="60"/>
        <v>9.5833382481798193E-2</v>
      </c>
      <c r="R334" s="151">
        <v>10811614</v>
      </c>
      <c r="S334" s="147">
        <f t="shared" si="47"/>
        <v>246487394</v>
      </c>
      <c r="T334" s="149">
        <f>1445425.20219722*7.15</f>
        <v>10334790.195710123</v>
      </c>
      <c r="U334" s="119">
        <f t="shared" si="46"/>
        <v>3115691.9031896265</v>
      </c>
      <c r="V334" s="136" t="s">
        <v>45</v>
      </c>
      <c r="W334" s="132"/>
      <c r="X334" s="124">
        <v>0.5</v>
      </c>
      <c r="Y334" s="133" t="s">
        <v>46</v>
      </c>
      <c r="Z334" s="133"/>
      <c r="AA334" s="125">
        <v>0</v>
      </c>
      <c r="AB334" s="126">
        <f t="shared" si="56"/>
        <v>1352763.0157728216</v>
      </c>
      <c r="AC334" s="126">
        <f t="shared" si="61"/>
        <v>0</v>
      </c>
      <c r="AD334" s="127">
        <f t="shared" si="57"/>
        <v>5405.8069999999998</v>
      </c>
      <c r="AE334" s="123" t="s">
        <v>125</v>
      </c>
    </row>
    <row r="335" spans="1:31" s="129" customFormat="1" x14ac:dyDescent="0.2">
      <c r="A335" s="110" t="s">
        <v>124</v>
      </c>
      <c r="B335" s="114" t="str">
        <f>VLOOKUP(A335,Sheet1!A:B,2,0)</f>
        <v>RCS POD</v>
      </c>
      <c r="C335" s="130" t="s">
        <v>130</v>
      </c>
      <c r="D335" s="110" t="s">
        <v>131</v>
      </c>
      <c r="E335" s="110" t="s">
        <v>42</v>
      </c>
      <c r="F335" s="110" t="s">
        <v>60</v>
      </c>
      <c r="G335" s="162" t="s">
        <v>44</v>
      </c>
      <c r="H335" s="123">
        <v>2023</v>
      </c>
      <c r="I335" s="116">
        <v>12</v>
      </c>
      <c r="J335" s="117">
        <v>45590</v>
      </c>
      <c r="K335" s="118">
        <v>0.5</v>
      </c>
      <c r="L335" s="146">
        <f t="shared" si="63"/>
        <v>0.11296999999999974</v>
      </c>
      <c r="M335" s="146">
        <f>0.0185189867051391*7.15</f>
        <v>0.13241075494174459</v>
      </c>
      <c r="N335" s="146">
        <f>0.00271898670513914*7.15</f>
        <v>1.944075494174485E-2</v>
      </c>
      <c r="O335" s="119">
        <f t="shared" si="59"/>
        <v>9.7203774708724249E-3</v>
      </c>
      <c r="P335" s="120">
        <v>1</v>
      </c>
      <c r="Q335" s="119">
        <f t="shared" si="60"/>
        <v>0.11296999999999974</v>
      </c>
      <c r="R335" s="151">
        <v>10200000</v>
      </c>
      <c r="S335" s="147">
        <f t="shared" si="47"/>
        <v>244965208</v>
      </c>
      <c r="T335" s="149">
        <f>728800.55983205*7.15</f>
        <v>5210924.002799158</v>
      </c>
      <c r="U335" s="119">
        <f t="shared" si="46"/>
        <v>448615.42481760308</v>
      </c>
      <c r="V335" s="234" t="s">
        <v>132</v>
      </c>
      <c r="W335" s="150"/>
      <c r="X335" s="124">
        <v>1.29</v>
      </c>
      <c r="Y335" s="150" t="s">
        <v>133</v>
      </c>
      <c r="Z335" s="150"/>
      <c r="AA335" s="125">
        <v>0</v>
      </c>
      <c r="AB335" s="126">
        <f t="shared" si="56"/>
        <v>1350589.7004057949</v>
      </c>
      <c r="AC335" s="126">
        <f t="shared" si="61"/>
        <v>0</v>
      </c>
      <c r="AD335" s="127">
        <f t="shared" si="57"/>
        <v>13158</v>
      </c>
      <c r="AE335" s="123" t="s">
        <v>125</v>
      </c>
    </row>
    <row r="336" spans="1:31" s="129" customFormat="1" x14ac:dyDescent="0.2">
      <c r="A336" s="110" t="s">
        <v>124</v>
      </c>
      <c r="B336" s="114" t="str">
        <f>VLOOKUP(A336,Sheet1!A:B,2,0)</f>
        <v>RCS POD</v>
      </c>
      <c r="C336" s="130" t="s">
        <v>84</v>
      </c>
      <c r="D336" s="110" t="s">
        <v>85</v>
      </c>
      <c r="E336" s="110" t="s">
        <v>42</v>
      </c>
      <c r="F336" s="110" t="s">
        <v>60</v>
      </c>
      <c r="G336" s="162" t="s">
        <v>44</v>
      </c>
      <c r="H336" s="123">
        <v>2024</v>
      </c>
      <c r="I336" s="116">
        <v>1</v>
      </c>
      <c r="J336" s="117">
        <v>45590</v>
      </c>
      <c r="K336" s="118">
        <v>0.5</v>
      </c>
      <c r="L336" s="146">
        <f>M336-N336</f>
        <v>0.2716898724654021</v>
      </c>
      <c r="M336" s="146">
        <f>0.0486776607435088*7.15</f>
        <v>0.34804527431608795</v>
      </c>
      <c r="N336" s="146">
        <f>0.0106790771819141*7.15</f>
        <v>7.6355401850685817E-2</v>
      </c>
      <c r="O336" s="119">
        <f t="shared" si="59"/>
        <v>3.8177700925342908E-2</v>
      </c>
      <c r="P336" s="120">
        <v>1</v>
      </c>
      <c r="Q336" s="119">
        <f t="shared" si="60"/>
        <v>0.2716898724654021</v>
      </c>
      <c r="R336" s="151">
        <v>11785814</v>
      </c>
      <c r="S336" s="147">
        <f t="shared" si="47"/>
        <v>255483788</v>
      </c>
      <c r="T336" s="148">
        <f>3463988.94540042*7.15</f>
        <v>24767520.959613007</v>
      </c>
      <c r="U336" s="119">
        <f t="shared" si="46"/>
        <v>5259953.6605375819</v>
      </c>
      <c r="V336" s="136" t="s">
        <v>45</v>
      </c>
      <c r="W336" s="132"/>
      <c r="X336" s="124">
        <v>2.09</v>
      </c>
      <c r="Y336" s="133" t="s">
        <v>46</v>
      </c>
      <c r="Z336" s="133"/>
      <c r="AA336" s="125">
        <v>0</v>
      </c>
      <c r="AB336" s="126">
        <f t="shared" si="56"/>
        <v>4101996.8666683896</v>
      </c>
      <c r="AC336" s="126">
        <f t="shared" si="61"/>
        <v>0</v>
      </c>
      <c r="AD336" s="127">
        <f t="shared" si="57"/>
        <v>24632.351259999999</v>
      </c>
      <c r="AE336" s="123" t="s">
        <v>125</v>
      </c>
    </row>
    <row r="337" spans="1:31" s="129" customFormat="1" x14ac:dyDescent="0.2">
      <c r="A337" s="110" t="s">
        <v>124</v>
      </c>
      <c r="B337" s="114" t="str">
        <f>VLOOKUP(A337,Sheet1!A:B,2,0)</f>
        <v>RCS POD</v>
      </c>
      <c r="C337" s="130" t="s">
        <v>126</v>
      </c>
      <c r="D337" s="110" t="s">
        <v>127</v>
      </c>
      <c r="E337" s="110" t="s">
        <v>42</v>
      </c>
      <c r="F337" s="110" t="s">
        <v>60</v>
      </c>
      <c r="G337" s="162" t="s">
        <v>44</v>
      </c>
      <c r="H337" s="123">
        <v>2024</v>
      </c>
      <c r="I337" s="116">
        <v>1</v>
      </c>
      <c r="J337" s="117">
        <v>45590</v>
      </c>
      <c r="K337" s="118">
        <v>0.5</v>
      </c>
      <c r="L337" s="146">
        <f t="shared" ref="L337:L339" si="64">M337-N337</f>
        <v>8.678151776003247E-2</v>
      </c>
      <c r="M337" s="146">
        <f>0.0161737427216087*7.15</f>
        <v>0.11564226045950222</v>
      </c>
      <c r="N337" s="146">
        <f>0.00403646751041535*7.15</f>
        <v>2.8860742699469755E-2</v>
      </c>
      <c r="O337" s="119">
        <f t="shared" si="59"/>
        <v>1.4430371349734877E-2</v>
      </c>
      <c r="P337" s="120">
        <v>1</v>
      </c>
      <c r="Q337" s="119">
        <f t="shared" si="60"/>
        <v>8.678151776003247E-2</v>
      </c>
      <c r="R337" s="151">
        <v>11568000</v>
      </c>
      <c r="S337" s="147">
        <f t="shared" si="47"/>
        <v>258221219</v>
      </c>
      <c r="T337" s="126">
        <f>1437831.94798769*7.15</f>
        <v>10280498.428111985</v>
      </c>
      <c r="U337" s="119">
        <f t="shared" si="46"/>
        <v>2828042.2670095544</v>
      </c>
      <c r="V337" s="136" t="s">
        <v>45</v>
      </c>
      <c r="W337" s="132"/>
      <c r="X337" s="124">
        <v>0.31</v>
      </c>
      <c r="Y337" s="133" t="s">
        <v>46</v>
      </c>
      <c r="Z337" s="133"/>
      <c r="AA337" s="125">
        <v>0</v>
      </c>
      <c r="AB337" s="126">
        <f t="shared" si="56"/>
        <v>1337749.6689955217</v>
      </c>
      <c r="AC337" s="126">
        <f t="shared" si="61"/>
        <v>0</v>
      </c>
      <c r="AD337" s="127">
        <f t="shared" si="57"/>
        <v>3586.08</v>
      </c>
      <c r="AE337" s="123" t="s">
        <v>125</v>
      </c>
    </row>
    <row r="338" spans="1:31" s="129" customFormat="1" x14ac:dyDescent="0.2">
      <c r="A338" s="110" t="s">
        <v>124</v>
      </c>
      <c r="B338" s="114" t="str">
        <f>VLOOKUP(A338,Sheet1!A:B,2,0)</f>
        <v>RCS POD</v>
      </c>
      <c r="C338" s="130" t="s">
        <v>128</v>
      </c>
      <c r="D338" s="110" t="s">
        <v>129</v>
      </c>
      <c r="E338" s="110" t="s">
        <v>42</v>
      </c>
      <c r="F338" s="110" t="s">
        <v>60</v>
      </c>
      <c r="G338" s="162" t="s">
        <v>44</v>
      </c>
      <c r="H338" s="123">
        <v>2024</v>
      </c>
      <c r="I338" s="116">
        <v>1</v>
      </c>
      <c r="J338" s="117">
        <v>45590</v>
      </c>
      <c r="K338" s="118">
        <v>0.5</v>
      </c>
      <c r="L338" s="146">
        <f t="shared" si="64"/>
        <v>9.5833382481798193E-2</v>
      </c>
      <c r="M338" s="146">
        <f>0.0174994801501063*7.15</f>
        <v>0.12512128307326006</v>
      </c>
      <c r="N338" s="146">
        <f>0.00409620987293173*7.15</f>
        <v>2.9287900591461875E-2</v>
      </c>
      <c r="O338" s="119">
        <f t="shared" si="59"/>
        <v>1.4643950295730937E-2</v>
      </c>
      <c r="P338" s="120">
        <v>1</v>
      </c>
      <c r="Q338" s="119">
        <f t="shared" si="60"/>
        <v>9.5833382481798193E-2</v>
      </c>
      <c r="R338" s="151">
        <v>11392000</v>
      </c>
      <c r="S338" s="147">
        <f t="shared" si="47"/>
        <v>257879394</v>
      </c>
      <c r="T338" s="149">
        <f>1445425.20219722*7.15</f>
        <v>10334790.195710123</v>
      </c>
      <c r="U338" s="119">
        <f t="shared" si="46"/>
        <v>2782044.1396516925</v>
      </c>
      <c r="V338" s="136" t="s">
        <v>45</v>
      </c>
      <c r="W338" s="132"/>
      <c r="X338" s="124">
        <v>0.5</v>
      </c>
      <c r="Y338" s="133" t="s">
        <v>46</v>
      </c>
      <c r="Z338" s="133"/>
      <c r="AA338" s="125">
        <v>0</v>
      </c>
      <c r="AB338" s="126">
        <f t="shared" si="56"/>
        <v>1425381.6567705786</v>
      </c>
      <c r="AC338" s="126">
        <f t="shared" si="61"/>
        <v>0</v>
      </c>
      <c r="AD338" s="127">
        <f t="shared" si="57"/>
        <v>5696</v>
      </c>
      <c r="AE338" s="123" t="s">
        <v>125</v>
      </c>
    </row>
    <row r="339" spans="1:31" s="129" customFormat="1" x14ac:dyDescent="0.2">
      <c r="A339" s="110" t="s">
        <v>124</v>
      </c>
      <c r="B339" s="114" t="str">
        <f>VLOOKUP(A339,Sheet1!A:B,2,0)</f>
        <v>RCS POD</v>
      </c>
      <c r="C339" s="130" t="s">
        <v>130</v>
      </c>
      <c r="D339" s="110" t="s">
        <v>131</v>
      </c>
      <c r="E339" s="110" t="s">
        <v>42</v>
      </c>
      <c r="F339" s="110" t="s">
        <v>60</v>
      </c>
      <c r="G339" s="162" t="s">
        <v>44</v>
      </c>
      <c r="H339" s="123">
        <v>2024</v>
      </c>
      <c r="I339" s="116">
        <v>1</v>
      </c>
      <c r="J339" s="117">
        <v>45590</v>
      </c>
      <c r="K339" s="118">
        <v>0.5</v>
      </c>
      <c r="L339" s="146">
        <f t="shared" si="64"/>
        <v>0.11296999999999974</v>
      </c>
      <c r="M339" s="146">
        <f>0.0185189867051391*7.15</f>
        <v>0.13241075494174459</v>
      </c>
      <c r="N339" s="146">
        <f>0.00271898670513914*7.15</f>
        <v>1.944075494174485E-2</v>
      </c>
      <c r="O339" s="119">
        <f t="shared" si="59"/>
        <v>9.7203774708724249E-3</v>
      </c>
      <c r="P339" s="120">
        <v>1</v>
      </c>
      <c r="Q339" s="119">
        <f t="shared" si="60"/>
        <v>0.11296999999999974</v>
      </c>
      <c r="R339" s="151">
        <v>11700000</v>
      </c>
      <c r="S339" s="147">
        <f t="shared" si="47"/>
        <v>256665208</v>
      </c>
      <c r="T339" s="149">
        <f>728800.55983205*7.15</f>
        <v>5210924.002799158</v>
      </c>
      <c r="U339" s="119">
        <f t="shared" si="46"/>
        <v>221158.59199918807</v>
      </c>
      <c r="V339" s="234" t="s">
        <v>132</v>
      </c>
      <c r="W339" s="150"/>
      <c r="X339" s="124">
        <v>1.29</v>
      </c>
      <c r="Y339" s="150" t="s">
        <v>133</v>
      </c>
      <c r="Z339" s="150"/>
      <c r="AA339" s="125">
        <v>0</v>
      </c>
      <c r="AB339" s="126">
        <f t="shared" si="56"/>
        <v>1549205.8328184118</v>
      </c>
      <c r="AC339" s="126">
        <f t="shared" si="61"/>
        <v>0</v>
      </c>
      <c r="AD339" s="127">
        <f t="shared" si="57"/>
        <v>15093</v>
      </c>
      <c r="AE339" s="123" t="s">
        <v>125</v>
      </c>
    </row>
    <row r="340" spans="1:31" s="129" customFormat="1" x14ac:dyDescent="0.2">
      <c r="A340" s="110" t="s">
        <v>124</v>
      </c>
      <c r="B340" s="114" t="str">
        <f>VLOOKUP(A340,Sheet1!A:B,2,0)</f>
        <v>RCS POD</v>
      </c>
      <c r="C340" s="130" t="s">
        <v>84</v>
      </c>
      <c r="D340" s="110" t="s">
        <v>85</v>
      </c>
      <c r="E340" s="110" t="s">
        <v>42</v>
      </c>
      <c r="F340" s="110" t="s">
        <v>60</v>
      </c>
      <c r="G340" s="162" t="s">
        <v>44</v>
      </c>
      <c r="H340" s="123">
        <v>2024</v>
      </c>
      <c r="I340" s="116">
        <v>2</v>
      </c>
      <c r="J340" s="117">
        <v>45590</v>
      </c>
      <c r="K340" s="118">
        <v>0.5</v>
      </c>
      <c r="L340" s="146">
        <f>M340-N340</f>
        <v>0.2716898724654021</v>
      </c>
      <c r="M340" s="146">
        <f>0.0486776607435088*7.15</f>
        <v>0.34804527431608795</v>
      </c>
      <c r="N340" s="146">
        <f>0.0106790771819141*7.15</f>
        <v>7.6355401850685817E-2</v>
      </c>
      <c r="O340" s="119">
        <f t="shared" si="59"/>
        <v>3.8177700925342908E-2</v>
      </c>
      <c r="P340" s="120">
        <v>1</v>
      </c>
      <c r="Q340" s="119">
        <f t="shared" si="60"/>
        <v>0.2716898724654021</v>
      </c>
      <c r="R340" s="151">
        <v>11495400</v>
      </c>
      <c r="S340" s="147">
        <f t="shared" si="47"/>
        <v>266979188</v>
      </c>
      <c r="T340" s="148">
        <f>3463988.94540042*7.15</f>
        <v>24767520.959613007</v>
      </c>
      <c r="U340" s="119"/>
      <c r="V340" s="136" t="s">
        <v>45</v>
      </c>
      <c r="W340" s="132"/>
      <c r="X340" s="124">
        <v>2.09</v>
      </c>
      <c r="Y340" s="133" t="s">
        <v>46</v>
      </c>
      <c r="Z340" s="133"/>
      <c r="AA340" s="125">
        <v>0</v>
      </c>
      <c r="AB340" s="126">
        <f t="shared" si="56"/>
        <v>4000919.6463731574</v>
      </c>
      <c r="AC340" s="126">
        <f t="shared" si="61"/>
        <v>0</v>
      </c>
      <c r="AD340" s="127">
        <f t="shared" si="57"/>
        <v>24025.385999999999</v>
      </c>
      <c r="AE340" s="123" t="s">
        <v>125</v>
      </c>
    </row>
    <row r="341" spans="1:31" s="129" customFormat="1" x14ac:dyDescent="0.2">
      <c r="A341" s="110" t="s">
        <v>124</v>
      </c>
      <c r="B341" s="114" t="str">
        <f>VLOOKUP(A341,Sheet1!A:B,2,0)</f>
        <v>RCS POD</v>
      </c>
      <c r="C341" s="130" t="s">
        <v>126</v>
      </c>
      <c r="D341" s="110" t="s">
        <v>127</v>
      </c>
      <c r="E341" s="110" t="s">
        <v>42</v>
      </c>
      <c r="F341" s="110" t="s">
        <v>60</v>
      </c>
      <c r="G341" s="162" t="s">
        <v>44</v>
      </c>
      <c r="H341" s="123">
        <v>2024</v>
      </c>
      <c r="I341" s="116">
        <v>2</v>
      </c>
      <c r="J341" s="117">
        <v>45590</v>
      </c>
      <c r="K341" s="118">
        <v>0.5</v>
      </c>
      <c r="L341" s="146">
        <f t="shared" ref="L341:L343" si="65">M341-N341</f>
        <v>8.678151776003247E-2</v>
      </c>
      <c r="M341" s="146">
        <f>0.0161737427216087*7.15</f>
        <v>0.11564226045950222</v>
      </c>
      <c r="N341" s="146">
        <f>0.00403646751041535*7.15</f>
        <v>2.8860742699469755E-2</v>
      </c>
      <c r="O341" s="119">
        <f t="shared" si="59"/>
        <v>1.4430371349734877E-2</v>
      </c>
      <c r="P341" s="120">
        <v>1</v>
      </c>
      <c r="Q341" s="119">
        <f t="shared" si="60"/>
        <v>8.678151776003247E-2</v>
      </c>
      <c r="R341" s="151">
        <v>11520000</v>
      </c>
      <c r="S341" s="147">
        <f t="shared" si="47"/>
        <v>269741219</v>
      </c>
      <c r="T341" s="126">
        <f>1437831.94798769*7.15</f>
        <v>10280498.428111985</v>
      </c>
      <c r="U341" s="119"/>
      <c r="V341" s="136" t="s">
        <v>45</v>
      </c>
      <c r="W341" s="132"/>
      <c r="X341" s="124">
        <v>0.31</v>
      </c>
      <c r="Y341" s="133" t="s">
        <v>46</v>
      </c>
      <c r="Z341" s="133"/>
      <c r="AA341" s="125">
        <v>0</v>
      </c>
      <c r="AB341" s="126">
        <f t="shared" si="56"/>
        <v>1332198.8404934655</v>
      </c>
      <c r="AC341" s="126">
        <f t="shared" si="61"/>
        <v>0</v>
      </c>
      <c r="AD341" s="127">
        <f t="shared" si="57"/>
        <v>3571.2</v>
      </c>
      <c r="AE341" s="123" t="s">
        <v>125</v>
      </c>
    </row>
    <row r="342" spans="1:31" s="129" customFormat="1" x14ac:dyDescent="0.2">
      <c r="A342" s="110" t="s">
        <v>124</v>
      </c>
      <c r="B342" s="114" t="str">
        <f>VLOOKUP(A342,Sheet1!A:B,2,0)</f>
        <v>RCS POD</v>
      </c>
      <c r="C342" s="130" t="s">
        <v>128</v>
      </c>
      <c r="D342" s="110" t="s">
        <v>129</v>
      </c>
      <c r="E342" s="110" t="s">
        <v>42</v>
      </c>
      <c r="F342" s="110" t="s">
        <v>60</v>
      </c>
      <c r="G342" s="162" t="s">
        <v>44</v>
      </c>
      <c r="H342" s="123">
        <v>2024</v>
      </c>
      <c r="I342" s="116">
        <v>2</v>
      </c>
      <c r="J342" s="117">
        <v>45590</v>
      </c>
      <c r="K342" s="118">
        <v>0.5</v>
      </c>
      <c r="L342" s="146">
        <f t="shared" si="65"/>
        <v>9.5833382481798193E-2</v>
      </c>
      <c r="M342" s="146">
        <f>0.0174994801501063*7.15</f>
        <v>0.12512128307326006</v>
      </c>
      <c r="N342" s="146">
        <f>0.00409620987293173*7.15</f>
        <v>2.9287900591461875E-2</v>
      </c>
      <c r="O342" s="119">
        <f t="shared" si="59"/>
        <v>1.4643950295730937E-2</v>
      </c>
      <c r="P342" s="120">
        <v>1</v>
      </c>
      <c r="Q342" s="119">
        <f t="shared" si="60"/>
        <v>9.5833382481798193E-2</v>
      </c>
      <c r="R342" s="151">
        <v>11520000</v>
      </c>
      <c r="S342" s="147">
        <f t="shared" si="47"/>
        <v>269399394</v>
      </c>
      <c r="T342" s="149">
        <f>1445425.20219722*7.15</f>
        <v>10334790.195710123</v>
      </c>
      <c r="U342" s="119"/>
      <c r="V342" s="136" t="s">
        <v>45</v>
      </c>
      <c r="W342" s="132"/>
      <c r="X342" s="124">
        <v>0.5</v>
      </c>
      <c r="Y342" s="133" t="s">
        <v>46</v>
      </c>
      <c r="Z342" s="133"/>
      <c r="AA342" s="125">
        <v>0</v>
      </c>
      <c r="AB342" s="126">
        <f t="shared" si="56"/>
        <v>1441397.1810039559</v>
      </c>
      <c r="AC342" s="126">
        <f t="shared" si="61"/>
        <v>0</v>
      </c>
      <c r="AD342" s="127">
        <f t="shared" si="57"/>
        <v>5760</v>
      </c>
      <c r="AE342" s="123" t="s">
        <v>125</v>
      </c>
    </row>
    <row r="343" spans="1:31" s="129" customFormat="1" x14ac:dyDescent="0.2">
      <c r="A343" s="110" t="s">
        <v>124</v>
      </c>
      <c r="B343" s="114" t="str">
        <f>VLOOKUP(A343,Sheet1!A:B,2,0)</f>
        <v>RCS POD</v>
      </c>
      <c r="C343" s="130" t="s">
        <v>130</v>
      </c>
      <c r="D343" s="110" t="s">
        <v>131</v>
      </c>
      <c r="E343" s="110" t="s">
        <v>42</v>
      </c>
      <c r="F343" s="110" t="s">
        <v>60</v>
      </c>
      <c r="G343" s="162" t="s">
        <v>44</v>
      </c>
      <c r="H343" s="123">
        <v>2024</v>
      </c>
      <c r="I343" s="116">
        <v>2</v>
      </c>
      <c r="J343" s="117">
        <v>45590</v>
      </c>
      <c r="K343" s="118">
        <v>0.5</v>
      </c>
      <c r="L343" s="146">
        <f t="shared" si="65"/>
        <v>0.11296999999999974</v>
      </c>
      <c r="M343" s="146">
        <f>0.0185189867051391*7.15</f>
        <v>0.13241075494174459</v>
      </c>
      <c r="N343" s="146">
        <f>0.00271898670513914*7.15</f>
        <v>1.944075494174485E-2</v>
      </c>
      <c r="O343" s="119">
        <f t="shared" si="59"/>
        <v>9.7203774708724249E-3</v>
      </c>
      <c r="P343" s="120">
        <v>1</v>
      </c>
      <c r="Q343" s="119">
        <f t="shared" si="60"/>
        <v>0.11296999999999974</v>
      </c>
      <c r="R343" s="151">
        <v>11520000</v>
      </c>
      <c r="S343" s="147">
        <f t="shared" si="47"/>
        <v>268185208</v>
      </c>
      <c r="T343" s="149">
        <f>728800.55983205*7.15</f>
        <v>5210924.002799158</v>
      </c>
      <c r="U343" s="119"/>
      <c r="V343" s="234" t="s">
        <v>132</v>
      </c>
      <c r="W343" s="150"/>
      <c r="X343" s="124">
        <v>1.29</v>
      </c>
      <c r="Y343" s="150" t="s">
        <v>133</v>
      </c>
      <c r="Z343" s="150"/>
      <c r="AA343" s="125">
        <v>0</v>
      </c>
      <c r="AB343" s="126">
        <f t="shared" si="56"/>
        <v>1525371.8969288976</v>
      </c>
      <c r="AC343" s="126">
        <f t="shared" si="61"/>
        <v>0</v>
      </c>
      <c r="AD343" s="127">
        <f t="shared" si="57"/>
        <v>14860.8</v>
      </c>
      <c r="AE343" s="123" t="s">
        <v>125</v>
      </c>
    </row>
    <row r="344" spans="1:31" s="129" customFormat="1" x14ac:dyDescent="0.2">
      <c r="A344" s="110" t="s">
        <v>124</v>
      </c>
      <c r="B344" s="114" t="str">
        <f>VLOOKUP(A344,Sheet1!A:B,2,0)</f>
        <v>RCS POD</v>
      </c>
      <c r="C344" s="130" t="s">
        <v>84</v>
      </c>
      <c r="D344" s="110" t="s">
        <v>85</v>
      </c>
      <c r="E344" s="110" t="s">
        <v>42</v>
      </c>
      <c r="F344" s="110" t="s">
        <v>60</v>
      </c>
      <c r="G344" s="162" t="s">
        <v>44</v>
      </c>
      <c r="H344" s="123">
        <v>2024</v>
      </c>
      <c r="I344" s="116">
        <v>3</v>
      </c>
      <c r="J344" s="117">
        <v>45590</v>
      </c>
      <c r="K344" s="118">
        <v>0.5</v>
      </c>
      <c r="L344" s="146">
        <f>M344-N344</f>
        <v>0.2716898724654021</v>
      </c>
      <c r="M344" s="146">
        <f>0.0486776607435088*7.15</f>
        <v>0.34804527431608795</v>
      </c>
      <c r="N344" s="146">
        <f>0.0106790771819141*7.15</f>
        <v>7.6355401850685817E-2</v>
      </c>
      <c r="O344" s="119">
        <f t="shared" si="59"/>
        <v>3.8177700925342908E-2</v>
      </c>
      <c r="P344" s="120">
        <v>1</v>
      </c>
      <c r="Q344" s="119">
        <f t="shared" si="60"/>
        <v>0.2716898724654021</v>
      </c>
      <c r="R344" s="151">
        <v>12328400</v>
      </c>
      <c r="S344" s="147">
        <f t="shared" si="47"/>
        <v>279307588</v>
      </c>
      <c r="T344" s="148">
        <f>3463988.94540042*7.15</f>
        <v>24767520.959613007</v>
      </c>
      <c r="U344" s="119"/>
      <c r="V344" s="136" t="s">
        <v>45</v>
      </c>
      <c r="W344" s="132"/>
      <c r="X344" s="124">
        <v>2.09</v>
      </c>
      <c r="Y344" s="133" t="s">
        <v>46</v>
      </c>
      <c r="Z344" s="133"/>
      <c r="AA344" s="125">
        <v>0</v>
      </c>
      <c r="AB344" s="126">
        <f t="shared" si="56"/>
        <v>4290841.359878459</v>
      </c>
      <c r="AC344" s="126">
        <f t="shared" si="61"/>
        <v>0</v>
      </c>
      <c r="AD344" s="127">
        <f t="shared" si="57"/>
        <v>25766.356</v>
      </c>
      <c r="AE344" s="123" t="s">
        <v>125</v>
      </c>
    </row>
    <row r="345" spans="1:31" s="129" customFormat="1" x14ac:dyDescent="0.2">
      <c r="A345" s="110" t="s">
        <v>124</v>
      </c>
      <c r="B345" s="114" t="str">
        <f>VLOOKUP(A345,Sheet1!A:B,2,0)</f>
        <v>RCS POD</v>
      </c>
      <c r="C345" s="130" t="s">
        <v>126</v>
      </c>
      <c r="D345" s="110" t="s">
        <v>127</v>
      </c>
      <c r="E345" s="110" t="s">
        <v>42</v>
      </c>
      <c r="F345" s="110" t="s">
        <v>60</v>
      </c>
      <c r="G345" s="162" t="s">
        <v>44</v>
      </c>
      <c r="H345" s="123">
        <v>2024</v>
      </c>
      <c r="I345" s="116">
        <v>3</v>
      </c>
      <c r="J345" s="117">
        <v>45590</v>
      </c>
      <c r="K345" s="118">
        <v>0.5</v>
      </c>
      <c r="L345" s="146">
        <f t="shared" ref="L345:L347" si="66">M345-N345</f>
        <v>8.678151776003247E-2</v>
      </c>
      <c r="M345" s="146">
        <f>0.0161737427216087*7.15</f>
        <v>0.11564226045950222</v>
      </c>
      <c r="N345" s="146">
        <f>0.00403646751041535*7.15</f>
        <v>2.8860742699469755E-2</v>
      </c>
      <c r="O345" s="119">
        <f t="shared" si="59"/>
        <v>1.4430371349734877E-2</v>
      </c>
      <c r="P345" s="120">
        <v>1</v>
      </c>
      <c r="Q345" s="119">
        <f t="shared" si="60"/>
        <v>8.678151776003247E-2</v>
      </c>
      <c r="R345" s="151">
        <v>12600000</v>
      </c>
      <c r="S345" s="147">
        <f t="shared" si="47"/>
        <v>282341219</v>
      </c>
      <c r="T345" s="126">
        <f>1437831.94798769*7.15</f>
        <v>10280498.428111985</v>
      </c>
      <c r="U345" s="119"/>
      <c r="V345" s="136" t="s">
        <v>45</v>
      </c>
      <c r="W345" s="132"/>
      <c r="X345" s="124">
        <v>0.31</v>
      </c>
      <c r="Y345" s="133" t="s">
        <v>46</v>
      </c>
      <c r="Z345" s="133"/>
      <c r="AA345" s="125">
        <v>0</v>
      </c>
      <c r="AB345" s="126">
        <f t="shared" si="56"/>
        <v>1457092.4817897279</v>
      </c>
      <c r="AC345" s="126">
        <f t="shared" si="61"/>
        <v>0</v>
      </c>
      <c r="AD345" s="127">
        <f t="shared" si="57"/>
        <v>3906</v>
      </c>
      <c r="AE345" s="123" t="s">
        <v>125</v>
      </c>
    </row>
    <row r="346" spans="1:31" s="129" customFormat="1" x14ac:dyDescent="0.2">
      <c r="A346" s="110" t="s">
        <v>124</v>
      </c>
      <c r="B346" s="114" t="str">
        <f>VLOOKUP(A346,Sheet1!A:B,2,0)</f>
        <v>RCS POD</v>
      </c>
      <c r="C346" s="130" t="s">
        <v>128</v>
      </c>
      <c r="D346" s="110" t="s">
        <v>129</v>
      </c>
      <c r="E346" s="110" t="s">
        <v>42</v>
      </c>
      <c r="F346" s="110" t="s">
        <v>60</v>
      </c>
      <c r="G346" s="162" t="s">
        <v>44</v>
      </c>
      <c r="H346" s="123">
        <v>2024</v>
      </c>
      <c r="I346" s="116">
        <v>3</v>
      </c>
      <c r="J346" s="117">
        <v>45590</v>
      </c>
      <c r="K346" s="118">
        <v>0.5</v>
      </c>
      <c r="L346" s="146">
        <f t="shared" si="66"/>
        <v>9.5833382481798193E-2</v>
      </c>
      <c r="M346" s="146">
        <f>0.0174994801501063*7.15</f>
        <v>0.12512128307326006</v>
      </c>
      <c r="N346" s="146">
        <f>0.00409620987293173*7.15</f>
        <v>2.9287900591461875E-2</v>
      </c>
      <c r="O346" s="119">
        <f t="shared" si="59"/>
        <v>1.4643950295730937E-2</v>
      </c>
      <c r="P346" s="120">
        <v>1</v>
      </c>
      <c r="Q346" s="119">
        <f t="shared" si="60"/>
        <v>9.5833382481798193E-2</v>
      </c>
      <c r="R346" s="151">
        <v>12512000</v>
      </c>
      <c r="S346" s="147">
        <f t="shared" si="47"/>
        <v>281911394</v>
      </c>
      <c r="T346" s="149">
        <f>1445425.20219722*7.15</f>
        <v>10334790.195710123</v>
      </c>
      <c r="U346" s="119"/>
      <c r="V346" s="136" t="s">
        <v>45</v>
      </c>
      <c r="W346" s="132"/>
      <c r="X346" s="124">
        <v>0.5</v>
      </c>
      <c r="Y346" s="133" t="s">
        <v>46</v>
      </c>
      <c r="Z346" s="133"/>
      <c r="AA346" s="125">
        <v>0</v>
      </c>
      <c r="AB346" s="126">
        <f t="shared" si="56"/>
        <v>1565517.49381263</v>
      </c>
      <c r="AC346" s="126">
        <f t="shared" si="61"/>
        <v>0</v>
      </c>
      <c r="AD346" s="127">
        <f t="shared" si="57"/>
        <v>6256</v>
      </c>
      <c r="AE346" s="123" t="s">
        <v>125</v>
      </c>
    </row>
    <row r="347" spans="1:31" s="129" customFormat="1" x14ac:dyDescent="0.2">
      <c r="A347" s="110" t="s">
        <v>124</v>
      </c>
      <c r="B347" s="114" t="str">
        <f>VLOOKUP(A347,Sheet1!A:B,2,0)</f>
        <v>RCS POD</v>
      </c>
      <c r="C347" s="130" t="s">
        <v>130</v>
      </c>
      <c r="D347" s="110" t="s">
        <v>131</v>
      </c>
      <c r="E347" s="110" t="s">
        <v>42</v>
      </c>
      <c r="F347" s="110" t="s">
        <v>60</v>
      </c>
      <c r="G347" s="162" t="s">
        <v>44</v>
      </c>
      <c r="H347" s="123">
        <v>2024</v>
      </c>
      <c r="I347" s="116">
        <v>3</v>
      </c>
      <c r="J347" s="117">
        <v>45590</v>
      </c>
      <c r="K347" s="118">
        <v>0.5</v>
      </c>
      <c r="L347" s="146">
        <f t="shared" si="66"/>
        <v>0.11296999999999974</v>
      </c>
      <c r="M347" s="146">
        <f>0.0185189867051391*7.15</f>
        <v>0.13241075494174459</v>
      </c>
      <c r="N347" s="146">
        <f>0.00271898670513914*7.15</f>
        <v>1.944075494174485E-2</v>
      </c>
      <c r="O347" s="119">
        <f t="shared" si="59"/>
        <v>9.7203774708724249E-3</v>
      </c>
      <c r="P347" s="120">
        <v>1</v>
      </c>
      <c r="Q347" s="119">
        <f t="shared" si="60"/>
        <v>0.11296999999999974</v>
      </c>
      <c r="R347" s="151">
        <v>12000000</v>
      </c>
      <c r="S347" s="147">
        <f t="shared" si="47"/>
        <v>280185208</v>
      </c>
      <c r="T347" s="149">
        <f>728800.55983205*7.15</f>
        <v>5210924.002799158</v>
      </c>
      <c r="U347" s="119"/>
      <c r="V347" s="234" t="s">
        <v>132</v>
      </c>
      <c r="W347" s="150"/>
      <c r="X347" s="124">
        <v>1.29</v>
      </c>
      <c r="Y347" s="150" t="s">
        <v>133</v>
      </c>
      <c r="Z347" s="150"/>
      <c r="AA347" s="125">
        <v>0</v>
      </c>
      <c r="AB347" s="126">
        <f t="shared" si="56"/>
        <v>1588929.0593009351</v>
      </c>
      <c r="AC347" s="126">
        <f t="shared" si="61"/>
        <v>0</v>
      </c>
      <c r="AD347" s="127">
        <f t="shared" si="57"/>
        <v>15480</v>
      </c>
      <c r="AE347" s="123" t="s">
        <v>125</v>
      </c>
    </row>
    <row r="348" spans="1:31" s="129" customFormat="1" x14ac:dyDescent="0.2">
      <c r="A348" s="110" t="s">
        <v>124</v>
      </c>
      <c r="B348" s="114" t="str">
        <f>VLOOKUP(A348,Sheet1!A:B,2,0)</f>
        <v>RCS POD</v>
      </c>
      <c r="C348" s="130" t="s">
        <v>84</v>
      </c>
      <c r="D348" s="110" t="s">
        <v>85</v>
      </c>
      <c r="E348" s="110" t="s">
        <v>42</v>
      </c>
      <c r="F348" s="110" t="s">
        <v>60</v>
      </c>
      <c r="G348" s="162" t="s">
        <v>44</v>
      </c>
      <c r="H348" s="123">
        <v>2024</v>
      </c>
      <c r="I348" s="116">
        <v>4</v>
      </c>
      <c r="J348" s="117">
        <v>45590</v>
      </c>
      <c r="K348" s="118">
        <v>0.5</v>
      </c>
      <c r="L348" s="146">
        <f>M348-N348</f>
        <v>0.2716898724654021</v>
      </c>
      <c r="M348" s="146">
        <f>0.0486776607435088*7.15</f>
        <v>0.34804527431608795</v>
      </c>
      <c r="N348" s="146">
        <f>0.0106790771819141*7.15</f>
        <v>7.6355401850685817E-2</v>
      </c>
      <c r="O348" s="119">
        <f t="shared" si="59"/>
        <v>3.8177700925342908E-2</v>
      </c>
      <c r="P348" s="120">
        <v>1</v>
      </c>
      <c r="Q348" s="119">
        <f t="shared" si="60"/>
        <v>0.2716898724654021</v>
      </c>
      <c r="R348" s="151">
        <v>7746900</v>
      </c>
      <c r="S348" s="147">
        <f t="shared" si="47"/>
        <v>287054488</v>
      </c>
      <c r="T348" s="148">
        <f>3463988.94540042*7.15</f>
        <v>24767520.959613007</v>
      </c>
      <c r="U348" s="119"/>
      <c r="V348" s="136" t="s">
        <v>45</v>
      </c>
      <c r="W348" s="132"/>
      <c r="X348" s="124">
        <v>2.09</v>
      </c>
      <c r="Y348" s="133" t="s">
        <v>46</v>
      </c>
      <c r="Z348" s="133"/>
      <c r="AA348" s="125">
        <v>0</v>
      </c>
      <c r="AB348" s="126">
        <f t="shared" si="56"/>
        <v>2696271.9355993019</v>
      </c>
      <c r="AC348" s="126">
        <f t="shared" si="61"/>
        <v>0</v>
      </c>
      <c r="AD348" s="127">
        <f t="shared" si="57"/>
        <v>16191.020999999999</v>
      </c>
      <c r="AE348" s="123" t="s">
        <v>125</v>
      </c>
    </row>
    <row r="349" spans="1:31" s="129" customFormat="1" x14ac:dyDescent="0.2">
      <c r="A349" s="110" t="s">
        <v>124</v>
      </c>
      <c r="B349" s="114" t="str">
        <f>VLOOKUP(A349,Sheet1!A:B,2,0)</f>
        <v>RCS POD</v>
      </c>
      <c r="C349" s="130" t="s">
        <v>126</v>
      </c>
      <c r="D349" s="110" t="s">
        <v>127</v>
      </c>
      <c r="E349" s="110" t="s">
        <v>42</v>
      </c>
      <c r="F349" s="110" t="s">
        <v>60</v>
      </c>
      <c r="G349" s="162" t="s">
        <v>44</v>
      </c>
      <c r="H349" s="123">
        <v>2024</v>
      </c>
      <c r="I349" s="116">
        <v>4</v>
      </c>
      <c r="J349" s="117">
        <v>45590</v>
      </c>
      <c r="K349" s="118">
        <v>0.5</v>
      </c>
      <c r="L349" s="146">
        <f t="shared" ref="L349:L351" si="67">M349-N349</f>
        <v>8.678151776003247E-2</v>
      </c>
      <c r="M349" s="146">
        <f>0.0161737427216087*7.15</f>
        <v>0.11564226045950222</v>
      </c>
      <c r="N349" s="146">
        <f>0.00403646751041535*7.15</f>
        <v>2.8860742699469755E-2</v>
      </c>
      <c r="O349" s="119">
        <f t="shared" si="59"/>
        <v>1.4430371349734877E-2</v>
      </c>
      <c r="P349" s="120">
        <v>1</v>
      </c>
      <c r="Q349" s="119">
        <f t="shared" si="60"/>
        <v>8.678151776003247E-2</v>
      </c>
      <c r="R349" s="151">
        <v>7560000</v>
      </c>
      <c r="S349" s="147">
        <f t="shared" si="47"/>
        <v>289901219</v>
      </c>
      <c r="T349" s="126">
        <f>1437831.94798769*7.15</f>
        <v>10280498.428111985</v>
      </c>
      <c r="U349" s="119"/>
      <c r="V349" s="136" t="s">
        <v>45</v>
      </c>
      <c r="W349" s="132"/>
      <c r="X349" s="124">
        <v>0.31</v>
      </c>
      <c r="Y349" s="133" t="s">
        <v>46</v>
      </c>
      <c r="Z349" s="133"/>
      <c r="AA349" s="125">
        <v>0</v>
      </c>
      <c r="AB349" s="126">
        <f t="shared" si="56"/>
        <v>874255.48907383683</v>
      </c>
      <c r="AC349" s="126">
        <f t="shared" si="61"/>
        <v>0</v>
      </c>
      <c r="AD349" s="127">
        <f t="shared" si="57"/>
        <v>2343.6</v>
      </c>
      <c r="AE349" s="123" t="s">
        <v>125</v>
      </c>
    </row>
    <row r="350" spans="1:31" s="129" customFormat="1" x14ac:dyDescent="0.2">
      <c r="A350" s="110" t="s">
        <v>124</v>
      </c>
      <c r="B350" s="114" t="str">
        <f>VLOOKUP(A350,Sheet1!A:B,2,0)</f>
        <v>RCS POD</v>
      </c>
      <c r="C350" s="130" t="s">
        <v>128</v>
      </c>
      <c r="D350" s="110" t="s">
        <v>129</v>
      </c>
      <c r="E350" s="110" t="s">
        <v>42</v>
      </c>
      <c r="F350" s="110" t="s">
        <v>60</v>
      </c>
      <c r="G350" s="162" t="s">
        <v>44</v>
      </c>
      <c r="H350" s="123">
        <v>2024</v>
      </c>
      <c r="I350" s="116">
        <v>4</v>
      </c>
      <c r="J350" s="117">
        <v>45590</v>
      </c>
      <c r="K350" s="118">
        <v>0.5</v>
      </c>
      <c r="L350" s="146">
        <f t="shared" si="67"/>
        <v>9.5833382481798193E-2</v>
      </c>
      <c r="M350" s="146">
        <f>0.0174994801501063*7.15</f>
        <v>0.12512128307326006</v>
      </c>
      <c r="N350" s="146">
        <f>0.00409620987293173*7.15</f>
        <v>2.9287900591461875E-2</v>
      </c>
      <c r="O350" s="119">
        <f t="shared" si="59"/>
        <v>1.4643950295730937E-2</v>
      </c>
      <c r="P350" s="120">
        <v>1</v>
      </c>
      <c r="Q350" s="119">
        <f t="shared" si="60"/>
        <v>9.5833382481798193E-2</v>
      </c>
      <c r="R350" s="151">
        <v>7840000</v>
      </c>
      <c r="S350" s="147">
        <f t="shared" si="47"/>
        <v>289751394</v>
      </c>
      <c r="T350" s="149">
        <f>1445425.20219722*7.15</f>
        <v>10334790.195710123</v>
      </c>
      <c r="U350" s="119"/>
      <c r="V350" s="136" t="s">
        <v>45</v>
      </c>
      <c r="W350" s="132"/>
      <c r="X350" s="124">
        <v>0.5</v>
      </c>
      <c r="Y350" s="133" t="s">
        <v>46</v>
      </c>
      <c r="Z350" s="133"/>
      <c r="AA350" s="125">
        <v>0</v>
      </c>
      <c r="AB350" s="126">
        <f t="shared" si="56"/>
        <v>980950.85929435887</v>
      </c>
      <c r="AC350" s="126">
        <f t="shared" si="61"/>
        <v>0</v>
      </c>
      <c r="AD350" s="127">
        <f t="shared" si="57"/>
        <v>3920</v>
      </c>
      <c r="AE350" s="123" t="s">
        <v>125</v>
      </c>
    </row>
    <row r="351" spans="1:31" s="129" customFormat="1" x14ac:dyDescent="0.2">
      <c r="A351" s="110" t="s">
        <v>124</v>
      </c>
      <c r="B351" s="114" t="str">
        <f>VLOOKUP(A351,Sheet1!A:B,2,0)</f>
        <v>RCS POD</v>
      </c>
      <c r="C351" s="130" t="s">
        <v>130</v>
      </c>
      <c r="D351" s="110" t="s">
        <v>131</v>
      </c>
      <c r="E351" s="110" t="s">
        <v>42</v>
      </c>
      <c r="F351" s="110" t="s">
        <v>60</v>
      </c>
      <c r="G351" s="162" t="s">
        <v>44</v>
      </c>
      <c r="H351" s="123">
        <v>2024</v>
      </c>
      <c r="I351" s="116">
        <v>4</v>
      </c>
      <c r="J351" s="117">
        <v>45590</v>
      </c>
      <c r="K351" s="118">
        <v>0.5</v>
      </c>
      <c r="L351" s="146">
        <f t="shared" si="67"/>
        <v>0.11296999999999974</v>
      </c>
      <c r="M351" s="146">
        <f>0.0185189867051391*7.15</f>
        <v>0.13241075494174459</v>
      </c>
      <c r="N351" s="146">
        <f>0.00271898670513914*7.15</f>
        <v>1.944075494174485E-2</v>
      </c>
      <c r="O351" s="119">
        <f t="shared" si="59"/>
        <v>9.7203774708724249E-3</v>
      </c>
      <c r="P351" s="120">
        <v>1</v>
      </c>
      <c r="Q351" s="119">
        <f t="shared" si="60"/>
        <v>0.11296999999999974</v>
      </c>
      <c r="R351" s="151">
        <v>7980000</v>
      </c>
      <c r="S351" s="147">
        <f t="shared" si="47"/>
        <v>288165208</v>
      </c>
      <c r="T351" s="149">
        <f>728800.55983205*7.15</f>
        <v>5210924.002799158</v>
      </c>
      <c r="U351" s="119"/>
      <c r="V351" s="234" t="s">
        <v>132</v>
      </c>
      <c r="W351" s="150"/>
      <c r="X351" s="124">
        <v>1.29</v>
      </c>
      <c r="Y351" s="150" t="s">
        <v>133</v>
      </c>
      <c r="Z351" s="150"/>
      <c r="AA351" s="125">
        <v>0</v>
      </c>
      <c r="AB351" s="126">
        <f t="shared" si="56"/>
        <v>1056637.8244351218</v>
      </c>
      <c r="AC351" s="126">
        <f t="shared" si="61"/>
        <v>0</v>
      </c>
      <c r="AD351" s="127">
        <f t="shared" si="57"/>
        <v>10294.200000000001</v>
      </c>
      <c r="AE351" s="123" t="s">
        <v>125</v>
      </c>
    </row>
    <row r="352" spans="1:31" s="129" customFormat="1" x14ac:dyDescent="0.2">
      <c r="A352" s="110" t="s">
        <v>124</v>
      </c>
      <c r="B352" s="114" t="str">
        <f>VLOOKUP(A352,Sheet1!A:B,2,0)</f>
        <v>RCS POD</v>
      </c>
      <c r="C352" s="130" t="s">
        <v>84</v>
      </c>
      <c r="D352" s="110" t="s">
        <v>85</v>
      </c>
      <c r="E352" s="110" t="s">
        <v>42</v>
      </c>
      <c r="F352" s="110" t="s">
        <v>60</v>
      </c>
      <c r="G352" s="162" t="s">
        <v>44</v>
      </c>
      <c r="H352" s="123">
        <v>2024</v>
      </c>
      <c r="I352" s="116">
        <v>5</v>
      </c>
      <c r="J352" s="117">
        <v>45590</v>
      </c>
      <c r="K352" s="118">
        <v>0.5</v>
      </c>
      <c r="L352" s="146">
        <f>M352-N352</f>
        <v>0.2716898724654021</v>
      </c>
      <c r="M352" s="146">
        <f>0.0486776607435088*7.15</f>
        <v>0.34804527431608795</v>
      </c>
      <c r="N352" s="146">
        <f>0.0106790771819141*7.15</f>
        <v>7.6355401850685817E-2</v>
      </c>
      <c r="O352" s="119">
        <f t="shared" si="59"/>
        <v>3.8177700925342908E-2</v>
      </c>
      <c r="P352" s="120">
        <v>1</v>
      </c>
      <c r="Q352" s="119">
        <f t="shared" si="60"/>
        <v>0.2716898724654021</v>
      </c>
      <c r="R352" s="151">
        <v>15577050</v>
      </c>
      <c r="S352" s="147">
        <f t="shared" si="47"/>
        <v>302631538</v>
      </c>
      <c r="T352" s="148">
        <f>3463988.94540042*7.15</f>
        <v>24767520.959613007</v>
      </c>
      <c r="U352" s="119"/>
      <c r="V352" s="136" t="s">
        <v>45</v>
      </c>
      <c r="W352" s="132"/>
      <c r="X352" s="124">
        <v>2.09</v>
      </c>
      <c r="Y352" s="133" t="s">
        <v>46</v>
      </c>
      <c r="Z352" s="133"/>
      <c r="AA352" s="125">
        <v>0</v>
      </c>
      <c r="AB352" s="126">
        <f t="shared" si="56"/>
        <v>5421518.6402854174</v>
      </c>
      <c r="AC352" s="126">
        <f t="shared" si="61"/>
        <v>0</v>
      </c>
      <c r="AD352" s="127">
        <f t="shared" si="57"/>
        <v>32556.034499999998</v>
      </c>
      <c r="AE352" s="123" t="s">
        <v>125</v>
      </c>
    </row>
    <row r="353" spans="1:31" s="129" customFormat="1" x14ac:dyDescent="0.2">
      <c r="A353" s="110" t="s">
        <v>124</v>
      </c>
      <c r="B353" s="114" t="str">
        <f>VLOOKUP(A353,Sheet1!A:B,2,0)</f>
        <v>RCS POD</v>
      </c>
      <c r="C353" s="130" t="s">
        <v>126</v>
      </c>
      <c r="D353" s="110" t="s">
        <v>127</v>
      </c>
      <c r="E353" s="110" t="s">
        <v>42</v>
      </c>
      <c r="F353" s="110" t="s">
        <v>60</v>
      </c>
      <c r="G353" s="162" t="s">
        <v>44</v>
      </c>
      <c r="H353" s="123">
        <v>2024</v>
      </c>
      <c r="I353" s="116">
        <v>5</v>
      </c>
      <c r="J353" s="117">
        <v>45590</v>
      </c>
      <c r="K353" s="118">
        <v>0.5</v>
      </c>
      <c r="L353" s="146">
        <f t="shared" ref="L353:L355" si="68">M353-N353</f>
        <v>8.678151776003247E-2</v>
      </c>
      <c r="M353" s="146">
        <f>0.0161737427216087*7.15</f>
        <v>0.11564226045950222</v>
      </c>
      <c r="N353" s="146">
        <f>0.00403646751041535*7.15</f>
        <v>2.8860742699469755E-2</v>
      </c>
      <c r="O353" s="119">
        <f t="shared" si="59"/>
        <v>1.4430371349734877E-2</v>
      </c>
      <c r="P353" s="120">
        <v>1</v>
      </c>
      <c r="Q353" s="119">
        <f t="shared" si="60"/>
        <v>8.678151776003247E-2</v>
      </c>
      <c r="R353" s="151">
        <v>14826030</v>
      </c>
      <c r="S353" s="147">
        <f t="shared" si="47"/>
        <v>304727249</v>
      </c>
      <c r="T353" s="126">
        <f>1437831.94798769*7.15</f>
        <v>10280498.428111985</v>
      </c>
      <c r="U353" s="119"/>
      <c r="V353" s="136" t="s">
        <v>45</v>
      </c>
      <c r="W353" s="132"/>
      <c r="X353" s="124">
        <v>0.31</v>
      </c>
      <c r="Y353" s="133" t="s">
        <v>46</v>
      </c>
      <c r="Z353" s="133"/>
      <c r="AA353" s="125">
        <v>0</v>
      </c>
      <c r="AB353" s="126">
        <f t="shared" si="56"/>
        <v>1714515.6228403938</v>
      </c>
      <c r="AC353" s="126">
        <f t="shared" si="61"/>
        <v>0</v>
      </c>
      <c r="AD353" s="127">
        <f t="shared" si="57"/>
        <v>4596.0693000000001</v>
      </c>
      <c r="AE353" s="123" t="s">
        <v>125</v>
      </c>
    </row>
    <row r="354" spans="1:31" s="129" customFormat="1" x14ac:dyDescent="0.2">
      <c r="A354" s="110" t="s">
        <v>124</v>
      </c>
      <c r="B354" s="114" t="str">
        <f>VLOOKUP(A354,Sheet1!A:B,2,0)</f>
        <v>RCS POD</v>
      </c>
      <c r="C354" s="130" t="s">
        <v>128</v>
      </c>
      <c r="D354" s="110" t="s">
        <v>129</v>
      </c>
      <c r="E354" s="110" t="s">
        <v>42</v>
      </c>
      <c r="F354" s="110" t="s">
        <v>60</v>
      </c>
      <c r="G354" s="162" t="s">
        <v>44</v>
      </c>
      <c r="H354" s="123">
        <v>2024</v>
      </c>
      <c r="I354" s="116">
        <v>5</v>
      </c>
      <c r="J354" s="117">
        <v>45590</v>
      </c>
      <c r="K354" s="118">
        <v>0.5</v>
      </c>
      <c r="L354" s="146">
        <f t="shared" si="68"/>
        <v>9.5833382481798193E-2</v>
      </c>
      <c r="M354" s="146">
        <f>0.0174994801501063*7.15</f>
        <v>0.12512128307326006</v>
      </c>
      <c r="N354" s="146">
        <f>0.00409620987293173*7.15</f>
        <v>2.9287900591461875E-2</v>
      </c>
      <c r="O354" s="119">
        <f t="shared" si="59"/>
        <v>1.4643950295730937E-2</v>
      </c>
      <c r="P354" s="120">
        <v>1</v>
      </c>
      <c r="Q354" s="119">
        <f t="shared" si="60"/>
        <v>9.5833382481798193E-2</v>
      </c>
      <c r="R354" s="151">
        <v>15834030</v>
      </c>
      <c r="S354" s="147">
        <f t="shared" si="47"/>
        <v>305585424</v>
      </c>
      <c r="T354" s="149">
        <f>1445425.20219722*7.15</f>
        <v>10334790.195710123</v>
      </c>
      <c r="U354" s="119"/>
      <c r="V354" s="136" t="s">
        <v>45</v>
      </c>
      <c r="W354" s="132"/>
      <c r="X354" s="124">
        <v>0.5</v>
      </c>
      <c r="Y354" s="133" t="s">
        <v>46</v>
      </c>
      <c r="Z354" s="133"/>
      <c r="AA354" s="125">
        <v>0</v>
      </c>
      <c r="AB354" s="126">
        <f t="shared" si="56"/>
        <v>1981174.1498204921</v>
      </c>
      <c r="AC354" s="126">
        <f t="shared" si="61"/>
        <v>0</v>
      </c>
      <c r="AD354" s="127">
        <f t="shared" si="57"/>
        <v>7917.0150000000003</v>
      </c>
      <c r="AE354" s="123" t="s">
        <v>125</v>
      </c>
    </row>
    <row r="355" spans="1:31" s="129" customFormat="1" x14ac:dyDescent="0.2">
      <c r="A355" s="110" t="s">
        <v>124</v>
      </c>
      <c r="B355" s="114" t="str">
        <f>VLOOKUP(A355,Sheet1!A:B,2,0)</f>
        <v>RCS POD</v>
      </c>
      <c r="C355" s="130" t="s">
        <v>130</v>
      </c>
      <c r="D355" s="110" t="s">
        <v>131</v>
      </c>
      <c r="E355" s="110" t="s">
        <v>42</v>
      </c>
      <c r="F355" s="110" t="s">
        <v>60</v>
      </c>
      <c r="G355" s="162" t="s">
        <v>44</v>
      </c>
      <c r="H355" s="123">
        <v>2024</v>
      </c>
      <c r="I355" s="116">
        <v>5</v>
      </c>
      <c r="J355" s="117">
        <v>45590</v>
      </c>
      <c r="K355" s="118">
        <v>0.5</v>
      </c>
      <c r="L355" s="146">
        <f t="shared" si="68"/>
        <v>0.11296999999999974</v>
      </c>
      <c r="M355" s="146">
        <f>0.0185189867051391*7.15</f>
        <v>0.13241075494174459</v>
      </c>
      <c r="N355" s="146">
        <f>0.00271898670513914*7.15</f>
        <v>1.944075494174485E-2</v>
      </c>
      <c r="O355" s="119">
        <f t="shared" si="59"/>
        <v>9.7203774708724249E-3</v>
      </c>
      <c r="P355" s="120">
        <v>1</v>
      </c>
      <c r="Q355" s="119">
        <f t="shared" si="60"/>
        <v>0.11296999999999974</v>
      </c>
      <c r="R355" s="151">
        <v>14460000</v>
      </c>
      <c r="S355" s="147">
        <f t="shared" si="47"/>
        <v>302625208</v>
      </c>
      <c r="T355" s="149">
        <f>728800.55983205*7.15</f>
        <v>5210924.002799158</v>
      </c>
      <c r="U355" s="119"/>
      <c r="V355" s="234" t="s">
        <v>132</v>
      </c>
      <c r="W355" s="150"/>
      <c r="X355" s="124">
        <v>1.29</v>
      </c>
      <c r="Y355" s="150" t="s">
        <v>133</v>
      </c>
      <c r="Z355" s="150"/>
      <c r="AA355" s="125">
        <v>0</v>
      </c>
      <c r="AB355" s="126">
        <f t="shared" si="56"/>
        <v>1914659.5164576268</v>
      </c>
      <c r="AC355" s="126">
        <f t="shared" si="61"/>
        <v>0</v>
      </c>
      <c r="AD355" s="127">
        <f t="shared" si="57"/>
        <v>18653.400000000001</v>
      </c>
      <c r="AE355" s="123" t="s">
        <v>125</v>
      </c>
    </row>
    <row r="356" spans="1:31" s="129" customFormat="1" x14ac:dyDescent="0.2">
      <c r="A356" s="110" t="s">
        <v>124</v>
      </c>
      <c r="B356" s="114" t="str">
        <f>VLOOKUP(A356,Sheet1!A:B,2,0)</f>
        <v>RCS POD</v>
      </c>
      <c r="C356" s="130" t="s">
        <v>84</v>
      </c>
      <c r="D356" s="110" t="s">
        <v>85</v>
      </c>
      <c r="E356" s="110" t="s">
        <v>42</v>
      </c>
      <c r="F356" s="110" t="s">
        <v>60</v>
      </c>
      <c r="G356" s="162" t="s">
        <v>44</v>
      </c>
      <c r="H356" s="123">
        <v>2024</v>
      </c>
      <c r="I356" s="116">
        <v>6</v>
      </c>
      <c r="J356" s="117">
        <v>45590</v>
      </c>
      <c r="K356" s="118">
        <v>0.5</v>
      </c>
      <c r="L356" s="146">
        <f>M356-N356</f>
        <v>0.2716898724654021</v>
      </c>
      <c r="M356" s="146">
        <f>0.0486776607435088*7.15</f>
        <v>0.34804527431608795</v>
      </c>
      <c r="N356" s="146">
        <f>0.0106790771819141*7.15</f>
        <v>7.6355401850685817E-2</v>
      </c>
      <c r="O356" s="119">
        <f t="shared" si="59"/>
        <v>3.8177700925342908E-2</v>
      </c>
      <c r="P356" s="120">
        <v>1</v>
      </c>
      <c r="Q356" s="119">
        <f t="shared" si="60"/>
        <v>0.2716898724654021</v>
      </c>
      <c r="R356" s="151">
        <v>6913900</v>
      </c>
      <c r="S356" s="147">
        <f t="shared" ref="S356:S371" si="69">R356+S352</f>
        <v>309545438</v>
      </c>
      <c r="T356" s="148">
        <f>3463988.94540042*7.15</f>
        <v>24767520.959613007</v>
      </c>
      <c r="U356" s="119"/>
      <c r="V356" s="136" t="s">
        <v>45</v>
      </c>
      <c r="W356" s="132"/>
      <c r="X356" s="124">
        <v>2.09</v>
      </c>
      <c r="Y356" s="133" t="s">
        <v>46</v>
      </c>
      <c r="Z356" s="133"/>
      <c r="AA356" s="125">
        <v>0</v>
      </c>
      <c r="AB356" s="126">
        <f t="shared" si="56"/>
        <v>2406350.2220940003</v>
      </c>
      <c r="AC356" s="126">
        <f t="shared" si="61"/>
        <v>0</v>
      </c>
      <c r="AD356" s="127">
        <f t="shared" si="57"/>
        <v>14450.050999999998</v>
      </c>
      <c r="AE356" s="123" t="s">
        <v>125</v>
      </c>
    </row>
    <row r="357" spans="1:31" s="129" customFormat="1" x14ac:dyDescent="0.2">
      <c r="A357" s="110" t="s">
        <v>124</v>
      </c>
      <c r="B357" s="114" t="str">
        <f>VLOOKUP(A357,Sheet1!A:B,2,0)</f>
        <v>RCS POD</v>
      </c>
      <c r="C357" s="130" t="s">
        <v>126</v>
      </c>
      <c r="D357" s="110" t="s">
        <v>127</v>
      </c>
      <c r="E357" s="110" t="s">
        <v>42</v>
      </c>
      <c r="F357" s="110" t="s">
        <v>60</v>
      </c>
      <c r="G357" s="162" t="s">
        <v>44</v>
      </c>
      <c r="H357" s="123">
        <v>2024</v>
      </c>
      <c r="I357" s="116">
        <v>6</v>
      </c>
      <c r="J357" s="117">
        <v>45590</v>
      </c>
      <c r="K357" s="118">
        <v>0.5</v>
      </c>
      <c r="L357" s="146">
        <f t="shared" ref="L357:L359" si="70">M357-N357</f>
        <v>8.678151776003247E-2</v>
      </c>
      <c r="M357" s="146">
        <f>0.0161737427216087*7.15</f>
        <v>0.11564226045950222</v>
      </c>
      <c r="N357" s="146">
        <f>0.00403646751041535*7.15</f>
        <v>2.8860742699469755E-2</v>
      </c>
      <c r="O357" s="119">
        <f t="shared" si="59"/>
        <v>1.4430371349734877E-2</v>
      </c>
      <c r="P357" s="120">
        <v>1</v>
      </c>
      <c r="Q357" s="119">
        <f t="shared" si="60"/>
        <v>8.678151776003247E-2</v>
      </c>
      <c r="R357" s="151">
        <v>7920000</v>
      </c>
      <c r="S357" s="147">
        <f t="shared" si="69"/>
        <v>312647249</v>
      </c>
      <c r="T357" s="126">
        <f>1437831.94798769*7.15</f>
        <v>10280498.428111985</v>
      </c>
      <c r="U357" s="119"/>
      <c r="V357" s="136" t="s">
        <v>45</v>
      </c>
      <c r="W357" s="132"/>
      <c r="X357" s="124">
        <v>0.31</v>
      </c>
      <c r="Y357" s="133" t="s">
        <v>46</v>
      </c>
      <c r="Z357" s="133"/>
      <c r="AA357" s="125">
        <v>0</v>
      </c>
      <c r="AB357" s="126">
        <f t="shared" si="56"/>
        <v>915886.70283925766</v>
      </c>
      <c r="AC357" s="126">
        <f t="shared" si="61"/>
        <v>0</v>
      </c>
      <c r="AD357" s="127">
        <f t="shared" si="57"/>
        <v>2455.1999999999998</v>
      </c>
      <c r="AE357" s="123" t="s">
        <v>125</v>
      </c>
    </row>
    <row r="358" spans="1:31" s="129" customFormat="1" x14ac:dyDescent="0.2">
      <c r="A358" s="110" t="s">
        <v>124</v>
      </c>
      <c r="B358" s="114" t="str">
        <f>VLOOKUP(A358,Sheet1!A:B,2,0)</f>
        <v>RCS POD</v>
      </c>
      <c r="C358" s="130" t="s">
        <v>128</v>
      </c>
      <c r="D358" s="110" t="s">
        <v>129</v>
      </c>
      <c r="E358" s="110" t="s">
        <v>42</v>
      </c>
      <c r="F358" s="110" t="s">
        <v>60</v>
      </c>
      <c r="G358" s="162" t="s">
        <v>44</v>
      </c>
      <c r="H358" s="123">
        <v>2024</v>
      </c>
      <c r="I358" s="116">
        <v>6</v>
      </c>
      <c r="J358" s="117">
        <v>45590</v>
      </c>
      <c r="K358" s="118">
        <v>0.5</v>
      </c>
      <c r="L358" s="146">
        <f t="shared" si="70"/>
        <v>9.5833382481798193E-2</v>
      </c>
      <c r="M358" s="146">
        <f>0.0174994801501063*7.15</f>
        <v>0.12512128307326006</v>
      </c>
      <c r="N358" s="146">
        <f>0.00409620987293173*7.15</f>
        <v>2.9287900591461875E-2</v>
      </c>
      <c r="O358" s="119">
        <f t="shared" si="59"/>
        <v>1.4643950295730937E-2</v>
      </c>
      <c r="P358" s="120">
        <v>1</v>
      </c>
      <c r="Q358" s="119">
        <f t="shared" si="60"/>
        <v>9.5833382481798193E-2</v>
      </c>
      <c r="R358" s="151">
        <v>7040000</v>
      </c>
      <c r="S358" s="147">
        <f t="shared" si="69"/>
        <v>312625424</v>
      </c>
      <c r="T358" s="149">
        <f>1445425.20219722*7.15</f>
        <v>10334790.195710123</v>
      </c>
      <c r="U358" s="119"/>
      <c r="V358" s="136" t="s">
        <v>45</v>
      </c>
      <c r="W358" s="132"/>
      <c r="X358" s="124">
        <v>0.5</v>
      </c>
      <c r="Y358" s="133" t="s">
        <v>46</v>
      </c>
      <c r="Z358" s="133"/>
      <c r="AA358" s="125">
        <v>0</v>
      </c>
      <c r="AB358" s="126">
        <f t="shared" si="56"/>
        <v>880853.83283575089</v>
      </c>
      <c r="AC358" s="126">
        <f t="shared" si="61"/>
        <v>0</v>
      </c>
      <c r="AD358" s="127">
        <f t="shared" si="57"/>
        <v>3520</v>
      </c>
      <c r="AE358" s="123" t="s">
        <v>125</v>
      </c>
    </row>
    <row r="359" spans="1:31" s="129" customFormat="1" x14ac:dyDescent="0.2">
      <c r="A359" s="110" t="s">
        <v>124</v>
      </c>
      <c r="B359" s="114" t="str">
        <f>VLOOKUP(A359,Sheet1!A:B,2,0)</f>
        <v>RCS POD</v>
      </c>
      <c r="C359" s="130" t="s">
        <v>130</v>
      </c>
      <c r="D359" s="110" t="s">
        <v>131</v>
      </c>
      <c r="E359" s="110" t="s">
        <v>42</v>
      </c>
      <c r="F359" s="110" t="s">
        <v>60</v>
      </c>
      <c r="G359" s="162" t="s">
        <v>44</v>
      </c>
      <c r="H359" s="123">
        <v>2024</v>
      </c>
      <c r="I359" s="116">
        <v>6</v>
      </c>
      <c r="J359" s="117">
        <v>45590</v>
      </c>
      <c r="K359" s="118">
        <v>0.5</v>
      </c>
      <c r="L359" s="146">
        <f t="shared" si="70"/>
        <v>0.11296999999999974</v>
      </c>
      <c r="M359" s="146">
        <f>0.0185189867051391*7.15</f>
        <v>0.13241075494174459</v>
      </c>
      <c r="N359" s="146">
        <f>0.00271898670513914*7.15</f>
        <v>1.944075494174485E-2</v>
      </c>
      <c r="O359" s="119">
        <f t="shared" si="59"/>
        <v>9.7203774708724249E-3</v>
      </c>
      <c r="P359" s="120">
        <v>1</v>
      </c>
      <c r="Q359" s="119">
        <f t="shared" si="60"/>
        <v>0.11296999999999974</v>
      </c>
      <c r="R359" s="151">
        <v>7980000</v>
      </c>
      <c r="S359" s="147">
        <f t="shared" si="69"/>
        <v>310605208</v>
      </c>
      <c r="T359" s="149">
        <f>728800.55983205*7.15</f>
        <v>5210924.002799158</v>
      </c>
      <c r="U359" s="119"/>
      <c r="V359" s="234" t="s">
        <v>132</v>
      </c>
      <c r="W359" s="150"/>
      <c r="X359" s="124">
        <v>1.29</v>
      </c>
      <c r="Y359" s="150" t="s">
        <v>133</v>
      </c>
      <c r="Z359" s="150"/>
      <c r="AA359" s="125">
        <v>0</v>
      </c>
      <c r="AB359" s="126">
        <f t="shared" si="56"/>
        <v>1056637.8244351218</v>
      </c>
      <c r="AC359" s="126">
        <f t="shared" si="61"/>
        <v>0</v>
      </c>
      <c r="AD359" s="127">
        <f t="shared" si="57"/>
        <v>10294.200000000001</v>
      </c>
      <c r="AE359" s="123" t="s">
        <v>125</v>
      </c>
    </row>
    <row r="360" spans="1:31" s="129" customFormat="1" x14ac:dyDescent="0.2">
      <c r="A360" s="110" t="s">
        <v>124</v>
      </c>
      <c r="B360" s="114" t="str">
        <f>VLOOKUP(A360,Sheet1!A:B,2,0)</f>
        <v>RCS POD</v>
      </c>
      <c r="C360" s="130" t="s">
        <v>84</v>
      </c>
      <c r="D360" s="110" t="s">
        <v>85</v>
      </c>
      <c r="E360" s="110" t="s">
        <v>42</v>
      </c>
      <c r="F360" s="110" t="s">
        <v>60</v>
      </c>
      <c r="G360" s="162" t="s">
        <v>44</v>
      </c>
      <c r="H360" s="123">
        <v>2024</v>
      </c>
      <c r="I360" s="116">
        <v>7</v>
      </c>
      <c r="J360" s="117">
        <v>45590</v>
      </c>
      <c r="K360" s="118">
        <v>0.5</v>
      </c>
      <c r="L360" s="146">
        <f>M360-N360</f>
        <v>0.2716898724654021</v>
      </c>
      <c r="M360" s="146">
        <f>0.0486776607435088*7.15</f>
        <v>0.34804527431608795</v>
      </c>
      <c r="N360" s="146">
        <f>0.0106790771819141*7.15</f>
        <v>7.6355401850685817E-2</v>
      </c>
      <c r="O360" s="119">
        <f t="shared" si="59"/>
        <v>3.8177700925342908E-2</v>
      </c>
      <c r="P360" s="120">
        <v>1</v>
      </c>
      <c r="Q360" s="119">
        <f t="shared" si="60"/>
        <v>0.2716898724654021</v>
      </c>
      <c r="R360" s="151">
        <v>12878130</v>
      </c>
      <c r="S360" s="147">
        <f t="shared" si="69"/>
        <v>322423568</v>
      </c>
      <c r="T360" s="148">
        <f>3463988.94540042*7.15</f>
        <v>24767520.959613007</v>
      </c>
      <c r="U360" s="119"/>
      <c r="V360" s="136" t="s">
        <v>45</v>
      </c>
      <c r="W360" s="132"/>
      <c r="X360" s="124">
        <v>2.09</v>
      </c>
      <c r="Y360" s="133" t="s">
        <v>46</v>
      </c>
      <c r="Z360" s="133"/>
      <c r="AA360" s="125">
        <v>0</v>
      </c>
      <c r="AB360" s="126">
        <f t="shared" si="56"/>
        <v>4482172.2885282421</v>
      </c>
      <c r="AC360" s="126">
        <f t="shared" si="61"/>
        <v>0</v>
      </c>
      <c r="AD360" s="127">
        <f t="shared" si="57"/>
        <v>26915.291699999998</v>
      </c>
      <c r="AE360" s="123" t="s">
        <v>125</v>
      </c>
    </row>
    <row r="361" spans="1:31" s="129" customFormat="1" x14ac:dyDescent="0.2">
      <c r="A361" s="110" t="s">
        <v>124</v>
      </c>
      <c r="B361" s="114" t="str">
        <f>VLOOKUP(A361,Sheet1!A:B,2,0)</f>
        <v>RCS POD</v>
      </c>
      <c r="C361" s="130" t="s">
        <v>126</v>
      </c>
      <c r="D361" s="110" t="s">
        <v>127</v>
      </c>
      <c r="E361" s="110" t="s">
        <v>42</v>
      </c>
      <c r="F361" s="110" t="s">
        <v>60</v>
      </c>
      <c r="G361" s="162" t="s">
        <v>44</v>
      </c>
      <c r="H361" s="123">
        <v>2024</v>
      </c>
      <c r="I361" s="116">
        <v>7</v>
      </c>
      <c r="J361" s="117">
        <v>45590</v>
      </c>
      <c r="K361" s="118">
        <v>0.5</v>
      </c>
      <c r="L361" s="146">
        <f t="shared" ref="L361:L363" si="71">M361-N361</f>
        <v>8.678151776003247E-2</v>
      </c>
      <c r="M361" s="146">
        <f>0.0161737427216087*7.15</f>
        <v>0.11564226045950222</v>
      </c>
      <c r="N361" s="146">
        <f>0.00403646751041535*7.15</f>
        <v>2.8860742699469755E-2</v>
      </c>
      <c r="O361" s="119">
        <f t="shared" si="59"/>
        <v>1.4430371349734877E-2</v>
      </c>
      <c r="P361" s="120">
        <v>1</v>
      </c>
      <c r="Q361" s="119">
        <f t="shared" si="60"/>
        <v>8.678151776003247E-2</v>
      </c>
      <c r="R361" s="151">
        <v>12954030</v>
      </c>
      <c r="S361" s="147">
        <f t="shared" si="69"/>
        <v>325601279</v>
      </c>
      <c r="T361" s="126">
        <f>1437831.94798769*7.15</f>
        <v>10280498.428111985</v>
      </c>
      <c r="U361" s="119"/>
      <c r="V361" s="136" t="s">
        <v>45</v>
      </c>
      <c r="W361" s="132"/>
      <c r="X361" s="124">
        <v>0.31</v>
      </c>
      <c r="Y361" s="133" t="s">
        <v>46</v>
      </c>
      <c r="Z361" s="133"/>
      <c r="AA361" s="125">
        <v>0</v>
      </c>
      <c r="AB361" s="126">
        <f t="shared" si="56"/>
        <v>1498033.3112602057</v>
      </c>
      <c r="AC361" s="126">
        <f t="shared" si="61"/>
        <v>0</v>
      </c>
      <c r="AD361" s="127">
        <f t="shared" si="57"/>
        <v>4015.7492999999999</v>
      </c>
      <c r="AE361" s="123" t="s">
        <v>125</v>
      </c>
    </row>
    <row r="362" spans="1:31" s="129" customFormat="1" x14ac:dyDescent="0.2">
      <c r="A362" s="110" t="s">
        <v>124</v>
      </c>
      <c r="B362" s="114" t="str">
        <f>VLOOKUP(A362,Sheet1!A:B,2,0)</f>
        <v>RCS POD</v>
      </c>
      <c r="C362" s="130" t="s">
        <v>128</v>
      </c>
      <c r="D362" s="110" t="s">
        <v>129</v>
      </c>
      <c r="E362" s="110" t="s">
        <v>42</v>
      </c>
      <c r="F362" s="110" t="s">
        <v>60</v>
      </c>
      <c r="G362" s="162" t="s">
        <v>44</v>
      </c>
      <c r="H362" s="123">
        <v>2024</v>
      </c>
      <c r="I362" s="116">
        <v>7</v>
      </c>
      <c r="J362" s="117">
        <v>45590</v>
      </c>
      <c r="K362" s="118">
        <v>0.5</v>
      </c>
      <c r="L362" s="146">
        <f t="shared" si="71"/>
        <v>9.5833382481798193E-2</v>
      </c>
      <c r="M362" s="146">
        <f>0.0174994801501063*7.15</f>
        <v>0.12512128307326006</v>
      </c>
      <c r="N362" s="146">
        <f>0.00409620987293173*7.15</f>
        <v>2.9287900591461875E-2</v>
      </c>
      <c r="O362" s="119">
        <f t="shared" si="59"/>
        <v>1.4643950295730937E-2</v>
      </c>
      <c r="P362" s="120">
        <v>1</v>
      </c>
      <c r="Q362" s="119">
        <f t="shared" si="60"/>
        <v>9.5833382481798193E-2</v>
      </c>
      <c r="R362" s="151">
        <v>12826030</v>
      </c>
      <c r="S362" s="147">
        <f t="shared" si="69"/>
        <v>325451454</v>
      </c>
      <c r="T362" s="149">
        <f>1445425.20219722*7.15</f>
        <v>10334790.195710123</v>
      </c>
      <c r="U362" s="119"/>
      <c r="V362" s="136" t="s">
        <v>45</v>
      </c>
      <c r="W362" s="132"/>
      <c r="X362" s="124">
        <v>0.5</v>
      </c>
      <c r="Y362" s="133" t="s">
        <v>46</v>
      </c>
      <c r="Z362" s="133"/>
      <c r="AA362" s="125">
        <v>0</v>
      </c>
      <c r="AB362" s="126">
        <f t="shared" si="56"/>
        <v>1604809.3303361258</v>
      </c>
      <c r="AC362" s="126">
        <f t="shared" si="61"/>
        <v>0</v>
      </c>
      <c r="AD362" s="127">
        <f t="shared" si="57"/>
        <v>6413.0150000000003</v>
      </c>
      <c r="AE362" s="123" t="s">
        <v>125</v>
      </c>
    </row>
    <row r="363" spans="1:31" s="129" customFormat="1" x14ac:dyDescent="0.2">
      <c r="A363" s="110" t="s">
        <v>124</v>
      </c>
      <c r="B363" s="114" t="str">
        <f>VLOOKUP(A363,Sheet1!A:B,2,0)</f>
        <v>RCS POD</v>
      </c>
      <c r="C363" s="130" t="s">
        <v>130</v>
      </c>
      <c r="D363" s="110" t="s">
        <v>131</v>
      </c>
      <c r="E363" s="110" t="s">
        <v>42</v>
      </c>
      <c r="F363" s="110" t="s">
        <v>60</v>
      </c>
      <c r="G363" s="162" t="s">
        <v>44</v>
      </c>
      <c r="H363" s="123">
        <v>2024</v>
      </c>
      <c r="I363" s="116">
        <v>7</v>
      </c>
      <c r="J363" s="117">
        <v>45590</v>
      </c>
      <c r="K363" s="118">
        <v>0.5</v>
      </c>
      <c r="L363" s="146">
        <f t="shared" si="71"/>
        <v>0.11296999999999974</v>
      </c>
      <c r="M363" s="146">
        <f>0.0185189867051391*7.15</f>
        <v>0.13241075494174459</v>
      </c>
      <c r="N363" s="146">
        <f>0.00271898670513914*7.15</f>
        <v>1.944075494174485E-2</v>
      </c>
      <c r="O363" s="119">
        <f t="shared" si="59"/>
        <v>9.7203774708724249E-3</v>
      </c>
      <c r="P363" s="120">
        <v>1</v>
      </c>
      <c r="Q363" s="119">
        <f t="shared" si="60"/>
        <v>0.11296999999999974</v>
      </c>
      <c r="R363" s="151">
        <v>12900000</v>
      </c>
      <c r="S363" s="147">
        <f t="shared" si="69"/>
        <v>323505208</v>
      </c>
      <c r="T363" s="149">
        <f>728800.55983205*7.15</f>
        <v>5210924.002799158</v>
      </c>
      <c r="U363" s="119"/>
      <c r="V363" s="234" t="s">
        <v>132</v>
      </c>
      <c r="W363" s="150"/>
      <c r="X363" s="124">
        <v>1.29</v>
      </c>
      <c r="Y363" s="150" t="s">
        <v>133</v>
      </c>
      <c r="Z363" s="150"/>
      <c r="AA363" s="125">
        <v>0</v>
      </c>
      <c r="AB363" s="126">
        <f t="shared" si="56"/>
        <v>1708098.7387485052</v>
      </c>
      <c r="AC363" s="126">
        <f t="shared" si="61"/>
        <v>0</v>
      </c>
      <c r="AD363" s="127">
        <f t="shared" si="57"/>
        <v>16641</v>
      </c>
      <c r="AE363" s="123" t="s">
        <v>125</v>
      </c>
    </row>
    <row r="364" spans="1:31" s="129" customFormat="1" x14ac:dyDescent="0.2">
      <c r="A364" s="110" t="s">
        <v>124</v>
      </c>
      <c r="B364" s="114" t="str">
        <f>VLOOKUP(A364,Sheet1!A:B,2,0)</f>
        <v>RCS POD</v>
      </c>
      <c r="C364" s="130" t="s">
        <v>84</v>
      </c>
      <c r="D364" s="110" t="s">
        <v>85</v>
      </c>
      <c r="E364" s="110" t="s">
        <v>42</v>
      </c>
      <c r="F364" s="110" t="s">
        <v>60</v>
      </c>
      <c r="G364" s="162" t="s">
        <v>44</v>
      </c>
      <c r="H364" s="123">
        <v>2024</v>
      </c>
      <c r="I364" s="116">
        <v>8</v>
      </c>
      <c r="J364" s="117">
        <v>45590</v>
      </c>
      <c r="K364" s="118">
        <v>0.5</v>
      </c>
      <c r="L364" s="146">
        <f>M364-N364</f>
        <v>0.2716898724654021</v>
      </c>
      <c r="M364" s="146">
        <f>0.0486776607435088*7.15</f>
        <v>0.34804527431608795</v>
      </c>
      <c r="N364" s="146">
        <f>0.0106790771819141*7.15</f>
        <v>7.6355401850685817E-2</v>
      </c>
      <c r="O364" s="119">
        <f t="shared" si="59"/>
        <v>3.8177700925342908E-2</v>
      </c>
      <c r="P364" s="120">
        <v>1</v>
      </c>
      <c r="Q364" s="119">
        <f t="shared" si="60"/>
        <v>0.2716898724654021</v>
      </c>
      <c r="R364" s="151">
        <v>19592110</v>
      </c>
      <c r="S364" s="147">
        <f t="shared" si="69"/>
        <v>342015678</v>
      </c>
      <c r="T364" s="148">
        <f>3463988.94540042*7.15</f>
        <v>24767520.959613007</v>
      </c>
      <c r="U364" s="119"/>
      <c r="V364" s="136" t="s">
        <v>45</v>
      </c>
      <c r="W364" s="132"/>
      <c r="X364" s="124">
        <v>2.09</v>
      </c>
      <c r="Y364" s="133" t="s">
        <v>46</v>
      </c>
      <c r="Z364" s="133"/>
      <c r="AA364" s="125">
        <v>0</v>
      </c>
      <c r="AB364" s="126">
        <f t="shared" si="56"/>
        <v>6818941.2993809702</v>
      </c>
      <c r="AC364" s="126">
        <f t="shared" si="61"/>
        <v>0</v>
      </c>
      <c r="AD364" s="127">
        <f t="shared" si="57"/>
        <v>40947.509899999997</v>
      </c>
      <c r="AE364" s="123" t="s">
        <v>125</v>
      </c>
    </row>
    <row r="365" spans="1:31" s="129" customFormat="1" x14ac:dyDescent="0.2">
      <c r="A365" s="110" t="s">
        <v>124</v>
      </c>
      <c r="B365" s="114" t="str">
        <f>VLOOKUP(A365,Sheet1!A:B,2,0)</f>
        <v>RCS POD</v>
      </c>
      <c r="C365" s="130" t="s">
        <v>126</v>
      </c>
      <c r="D365" s="110" t="s">
        <v>127</v>
      </c>
      <c r="E365" s="110" t="s">
        <v>42</v>
      </c>
      <c r="F365" s="110" t="s">
        <v>60</v>
      </c>
      <c r="G365" s="162" t="s">
        <v>44</v>
      </c>
      <c r="H365" s="123">
        <v>2024</v>
      </c>
      <c r="I365" s="116">
        <v>8</v>
      </c>
      <c r="J365" s="117">
        <v>45590</v>
      </c>
      <c r="K365" s="118">
        <v>0.5</v>
      </c>
      <c r="L365" s="146">
        <f t="shared" ref="L365:L367" si="72">M365-N365</f>
        <v>8.678151776003247E-2</v>
      </c>
      <c r="M365" s="146">
        <f>0.0161737427216087*7.15</f>
        <v>0.11564226045950222</v>
      </c>
      <c r="N365" s="146">
        <f>0.00403646751041535*7.15</f>
        <v>2.8860742699469755E-2</v>
      </c>
      <c r="O365" s="119">
        <f t="shared" si="59"/>
        <v>1.4430371349734877E-2</v>
      </c>
      <c r="P365" s="120">
        <v>1</v>
      </c>
      <c r="Q365" s="119">
        <f t="shared" si="60"/>
        <v>8.678151776003247E-2</v>
      </c>
      <c r="R365" s="151">
        <v>19590030</v>
      </c>
      <c r="S365" s="147">
        <f t="shared" si="69"/>
        <v>345191309</v>
      </c>
      <c r="T365" s="126">
        <f>1437831.94798769*7.15</f>
        <v>10280498.428111985</v>
      </c>
      <c r="U365" s="119"/>
      <c r="V365" s="136" t="s">
        <v>45</v>
      </c>
      <c r="W365" s="132"/>
      <c r="X365" s="124">
        <v>0.31</v>
      </c>
      <c r="Y365" s="133" t="s">
        <v>46</v>
      </c>
      <c r="Z365" s="133"/>
      <c r="AA365" s="125">
        <v>0</v>
      </c>
      <c r="AB365" s="126">
        <f t="shared" si="56"/>
        <v>2265435.3516694624</v>
      </c>
      <c r="AC365" s="126">
        <f t="shared" si="61"/>
        <v>0</v>
      </c>
      <c r="AD365" s="127">
        <f t="shared" si="57"/>
        <v>6072.9093000000003</v>
      </c>
      <c r="AE365" s="123" t="s">
        <v>125</v>
      </c>
    </row>
    <row r="366" spans="1:31" s="129" customFormat="1" x14ac:dyDescent="0.2">
      <c r="A366" s="110" t="s">
        <v>124</v>
      </c>
      <c r="B366" s="114" t="str">
        <f>VLOOKUP(A366,Sheet1!A:B,2,0)</f>
        <v>RCS POD</v>
      </c>
      <c r="C366" s="130" t="s">
        <v>128</v>
      </c>
      <c r="D366" s="110" t="s">
        <v>129</v>
      </c>
      <c r="E366" s="110" t="s">
        <v>42</v>
      </c>
      <c r="F366" s="110" t="s">
        <v>60</v>
      </c>
      <c r="G366" s="162" t="s">
        <v>44</v>
      </c>
      <c r="H366" s="123">
        <v>2024</v>
      </c>
      <c r="I366" s="116">
        <v>8</v>
      </c>
      <c r="J366" s="117">
        <v>45590</v>
      </c>
      <c r="K366" s="118">
        <v>0.5</v>
      </c>
      <c r="L366" s="146">
        <f t="shared" si="72"/>
        <v>9.5833382481798193E-2</v>
      </c>
      <c r="M366" s="146">
        <f>0.0174994801501063*7.15</f>
        <v>0.12512128307326006</v>
      </c>
      <c r="N366" s="146">
        <f>0.00409620987293173*7.15</f>
        <v>2.9287900591461875E-2</v>
      </c>
      <c r="O366" s="119">
        <f t="shared" si="59"/>
        <v>1.4643950295730937E-2</v>
      </c>
      <c r="P366" s="120">
        <v>1</v>
      </c>
      <c r="Q366" s="119">
        <f t="shared" si="60"/>
        <v>9.5833382481798193E-2</v>
      </c>
      <c r="R366" s="151">
        <v>19706030</v>
      </c>
      <c r="S366" s="147">
        <f t="shared" si="69"/>
        <v>345157484</v>
      </c>
      <c r="T366" s="149">
        <f>1445425.20219722*7.15</f>
        <v>10334790.195710123</v>
      </c>
      <c r="U366" s="119"/>
      <c r="V366" s="136" t="s">
        <v>45</v>
      </c>
      <c r="W366" s="132"/>
      <c r="X366" s="124">
        <v>0.5</v>
      </c>
      <c r="Y366" s="133" t="s">
        <v>46</v>
      </c>
      <c r="Z366" s="133"/>
      <c r="AA366" s="125">
        <v>0</v>
      </c>
      <c r="AB366" s="126">
        <f t="shared" si="56"/>
        <v>2465643.757880155</v>
      </c>
      <c r="AC366" s="126">
        <f t="shared" si="61"/>
        <v>0</v>
      </c>
      <c r="AD366" s="127">
        <f t="shared" si="57"/>
        <v>9853.0149999999994</v>
      </c>
      <c r="AE366" s="123" t="s">
        <v>125</v>
      </c>
    </row>
    <row r="367" spans="1:31" s="129" customFormat="1" x14ac:dyDescent="0.2">
      <c r="A367" s="110" t="s">
        <v>124</v>
      </c>
      <c r="B367" s="114" t="str">
        <f>VLOOKUP(A367,Sheet1!A:B,2,0)</f>
        <v>RCS POD</v>
      </c>
      <c r="C367" s="130" t="s">
        <v>130</v>
      </c>
      <c r="D367" s="110" t="s">
        <v>131</v>
      </c>
      <c r="E367" s="110" t="s">
        <v>42</v>
      </c>
      <c r="F367" s="110" t="s">
        <v>60</v>
      </c>
      <c r="G367" s="162" t="s">
        <v>44</v>
      </c>
      <c r="H367" s="123">
        <v>2024</v>
      </c>
      <c r="I367" s="116">
        <v>8</v>
      </c>
      <c r="J367" s="117">
        <v>45590</v>
      </c>
      <c r="K367" s="118">
        <v>0.5</v>
      </c>
      <c r="L367" s="146">
        <f t="shared" si="72"/>
        <v>0.11296999999999974</v>
      </c>
      <c r="M367" s="146">
        <f>0.0185189867051391*7.15</f>
        <v>0.13241075494174459</v>
      </c>
      <c r="N367" s="146">
        <f>0.00271898670513914*7.15</f>
        <v>1.944075494174485E-2</v>
      </c>
      <c r="O367" s="119">
        <f t="shared" si="59"/>
        <v>9.7203774708724249E-3</v>
      </c>
      <c r="P367" s="120">
        <v>1</v>
      </c>
      <c r="Q367" s="119">
        <f t="shared" si="60"/>
        <v>0.11296999999999974</v>
      </c>
      <c r="R367" s="151">
        <v>19622000</v>
      </c>
      <c r="S367" s="147">
        <f t="shared" si="69"/>
        <v>343127208</v>
      </c>
      <c r="T367" s="149">
        <f>728800.55983205*7.15</f>
        <v>5210924.002799158</v>
      </c>
      <c r="U367" s="119"/>
      <c r="V367" s="234" t="s">
        <v>132</v>
      </c>
      <c r="W367" s="150"/>
      <c r="X367" s="124">
        <v>1.29</v>
      </c>
      <c r="Y367" s="150" t="s">
        <v>133</v>
      </c>
      <c r="Z367" s="150"/>
      <c r="AA367" s="125">
        <v>0</v>
      </c>
      <c r="AB367" s="126">
        <f t="shared" si="56"/>
        <v>2598163.8334669122</v>
      </c>
      <c r="AC367" s="126">
        <f t="shared" si="61"/>
        <v>0</v>
      </c>
      <c r="AD367" s="127">
        <f t="shared" si="57"/>
        <v>25312.38</v>
      </c>
      <c r="AE367" s="123" t="s">
        <v>125</v>
      </c>
    </row>
    <row r="368" spans="1:31" s="129" customFormat="1" x14ac:dyDescent="0.2">
      <c r="A368" s="110" t="s">
        <v>124</v>
      </c>
      <c r="B368" s="114" t="str">
        <f>VLOOKUP(A368,Sheet1!A:B,2,0)</f>
        <v>RCS POD</v>
      </c>
      <c r="C368" s="130" t="s">
        <v>84</v>
      </c>
      <c r="D368" s="110" t="s">
        <v>85</v>
      </c>
      <c r="E368" s="110" t="s">
        <v>42</v>
      </c>
      <c r="F368" s="110" t="s">
        <v>60</v>
      </c>
      <c r="G368" s="162" t="s">
        <v>44</v>
      </c>
      <c r="H368" s="123">
        <v>2024</v>
      </c>
      <c r="I368" s="116">
        <v>9</v>
      </c>
      <c r="J368" s="117">
        <v>45590</v>
      </c>
      <c r="K368" s="118">
        <v>0.5</v>
      </c>
      <c r="L368" s="146">
        <f>M368-N368</f>
        <v>0.2716898724654021</v>
      </c>
      <c r="M368" s="146">
        <f>0.0486776607435088*7.15</f>
        <v>0.34804527431608795</v>
      </c>
      <c r="N368" s="146">
        <f>0.0106790771819141*7.15</f>
        <v>7.6355401850685817E-2</v>
      </c>
      <c r="O368" s="119">
        <f t="shared" si="59"/>
        <v>3.8177700925342908E-2</v>
      </c>
      <c r="P368" s="120">
        <v>1</v>
      </c>
      <c r="Q368" s="119">
        <f t="shared" si="60"/>
        <v>0.2716898724654021</v>
      </c>
      <c r="R368" s="151">
        <v>3258661</v>
      </c>
      <c r="S368" s="147">
        <f t="shared" si="69"/>
        <v>345274339</v>
      </c>
      <c r="T368" s="148">
        <f>3463988.94540042*7.15</f>
        <v>24767520.959613007</v>
      </c>
      <c r="U368" s="152"/>
      <c r="V368" s="136" t="s">
        <v>45</v>
      </c>
      <c r="W368" s="132"/>
      <c r="X368" s="124">
        <v>2.09</v>
      </c>
      <c r="Y368" s="133" t="s">
        <v>46</v>
      </c>
      <c r="Z368" s="133"/>
      <c r="AA368" s="125">
        <v>0</v>
      </c>
      <c r="AB368" s="126">
        <f t="shared" si="56"/>
        <v>1134161.5616481374</v>
      </c>
      <c r="AC368" s="126">
        <f t="shared" si="61"/>
        <v>0</v>
      </c>
      <c r="AD368" s="127">
        <f t="shared" si="57"/>
        <v>6810.6014899999991</v>
      </c>
      <c r="AE368" s="123" t="s">
        <v>125</v>
      </c>
    </row>
    <row r="369" spans="1:31" s="129" customFormat="1" x14ac:dyDescent="0.2">
      <c r="A369" s="110" t="s">
        <v>124</v>
      </c>
      <c r="B369" s="114" t="str">
        <f>VLOOKUP(A369,Sheet1!A:B,2,0)</f>
        <v>RCS POD</v>
      </c>
      <c r="C369" s="130" t="s">
        <v>126</v>
      </c>
      <c r="D369" s="110" t="s">
        <v>127</v>
      </c>
      <c r="E369" s="110" t="s">
        <v>42</v>
      </c>
      <c r="F369" s="110" t="s">
        <v>60</v>
      </c>
      <c r="G369" s="162" t="s">
        <v>44</v>
      </c>
      <c r="H369" s="123">
        <v>2024</v>
      </c>
      <c r="I369" s="116">
        <v>9</v>
      </c>
      <c r="J369" s="117">
        <v>45590</v>
      </c>
      <c r="K369" s="118">
        <v>0.5</v>
      </c>
      <c r="L369" s="146">
        <f t="shared" ref="L369:L371" si="73">M369-N369</f>
        <v>8.678151776003247E-2</v>
      </c>
      <c r="M369" s="146">
        <f>0.0161737427216087*7.15</f>
        <v>0.11564226045950222</v>
      </c>
      <c r="N369" s="146">
        <f>0.00403646751041535*7.15</f>
        <v>2.8860742699469755E-2</v>
      </c>
      <c r="O369" s="119">
        <f t="shared" si="59"/>
        <v>1.4430371349734877E-2</v>
      </c>
      <c r="P369" s="120">
        <v>1</v>
      </c>
      <c r="Q369" s="119">
        <f t="shared" si="60"/>
        <v>8.678151776003247E-2</v>
      </c>
      <c r="R369" s="151">
        <v>3216825</v>
      </c>
      <c r="S369" s="147">
        <f t="shared" si="69"/>
        <v>348408134</v>
      </c>
      <c r="T369" s="126">
        <f>1437831.94798769*7.15</f>
        <v>10280498.428111985</v>
      </c>
      <c r="U369" s="238"/>
      <c r="V369" s="136" t="s">
        <v>45</v>
      </c>
      <c r="W369" s="132"/>
      <c r="X369" s="124">
        <v>0.31</v>
      </c>
      <c r="Y369" s="133" t="s">
        <v>46</v>
      </c>
      <c r="Z369" s="133"/>
      <c r="AA369" s="125">
        <v>0</v>
      </c>
      <c r="AB369" s="126">
        <f t="shared" si="56"/>
        <v>372000.91450263822</v>
      </c>
      <c r="AC369" s="126">
        <f t="shared" si="61"/>
        <v>0</v>
      </c>
      <c r="AD369" s="127">
        <f t="shared" si="57"/>
        <v>997.21574999999996</v>
      </c>
      <c r="AE369" s="123" t="s">
        <v>125</v>
      </c>
    </row>
    <row r="370" spans="1:31" s="129" customFormat="1" x14ac:dyDescent="0.2">
      <c r="A370" s="110" t="s">
        <v>124</v>
      </c>
      <c r="B370" s="114" t="str">
        <f>VLOOKUP(A370,Sheet1!A:B,2,0)</f>
        <v>RCS POD</v>
      </c>
      <c r="C370" s="130" t="s">
        <v>128</v>
      </c>
      <c r="D370" s="110" t="s">
        <v>129</v>
      </c>
      <c r="E370" s="110" t="s">
        <v>42</v>
      </c>
      <c r="F370" s="110" t="s">
        <v>60</v>
      </c>
      <c r="G370" s="162" t="s">
        <v>44</v>
      </c>
      <c r="H370" s="123">
        <v>2024</v>
      </c>
      <c r="I370" s="116">
        <v>9</v>
      </c>
      <c r="J370" s="117">
        <v>45590</v>
      </c>
      <c r="K370" s="118">
        <v>0.5</v>
      </c>
      <c r="L370" s="146">
        <f t="shared" si="73"/>
        <v>9.5833382481798193E-2</v>
      </c>
      <c r="M370" s="146">
        <f>0.0174994801501063*7.15</f>
        <v>0.12512128307326006</v>
      </c>
      <c r="N370" s="146">
        <f>0.00409620987293173*7.15</f>
        <v>2.9287900591461875E-2</v>
      </c>
      <c r="O370" s="119">
        <f t="shared" si="59"/>
        <v>1.4643950295730937E-2</v>
      </c>
      <c r="P370" s="120">
        <v>1</v>
      </c>
      <c r="Q370" s="119">
        <f t="shared" si="60"/>
        <v>9.5833382481798193E-2</v>
      </c>
      <c r="R370" s="151">
        <v>3867000</v>
      </c>
      <c r="S370" s="147">
        <f t="shared" si="69"/>
        <v>349024484</v>
      </c>
      <c r="T370" s="149">
        <f>1445425.20219722*7.15</f>
        <v>10334790.195710123</v>
      </c>
      <c r="U370" s="152"/>
      <c r="V370" s="136" t="s">
        <v>45</v>
      </c>
      <c r="W370" s="132"/>
      <c r="X370" s="124">
        <v>0.5</v>
      </c>
      <c r="Y370" s="133" t="s">
        <v>46</v>
      </c>
      <c r="Z370" s="133"/>
      <c r="AA370" s="125">
        <v>0</v>
      </c>
      <c r="AB370" s="126">
        <f t="shared" si="56"/>
        <v>483844.00164429669</v>
      </c>
      <c r="AC370" s="126">
        <f t="shared" si="61"/>
        <v>0</v>
      </c>
      <c r="AD370" s="127">
        <f t="shared" si="57"/>
        <v>1933.5</v>
      </c>
      <c r="AE370" s="123" t="s">
        <v>125</v>
      </c>
    </row>
    <row r="371" spans="1:31" s="129" customFormat="1" x14ac:dyDescent="0.2">
      <c r="A371" s="110" t="s">
        <v>124</v>
      </c>
      <c r="B371" s="114" t="str">
        <f>VLOOKUP(A371,Sheet1!A:B,2,0)</f>
        <v>RCS POD</v>
      </c>
      <c r="C371" s="130" t="s">
        <v>130</v>
      </c>
      <c r="D371" s="110" t="s">
        <v>131</v>
      </c>
      <c r="E371" s="110" t="s">
        <v>42</v>
      </c>
      <c r="F371" s="110" t="s">
        <v>60</v>
      </c>
      <c r="G371" s="162" t="s">
        <v>44</v>
      </c>
      <c r="H371" s="123">
        <v>2024</v>
      </c>
      <c r="I371" s="116">
        <v>9</v>
      </c>
      <c r="J371" s="117">
        <v>45590</v>
      </c>
      <c r="K371" s="118">
        <v>0.5</v>
      </c>
      <c r="L371" s="146">
        <f t="shared" si="73"/>
        <v>0.11296999999999974</v>
      </c>
      <c r="M371" s="146">
        <f>0.0185189867051391*7.15</f>
        <v>0.13241075494174459</v>
      </c>
      <c r="N371" s="146">
        <f>0.00271898670513914*7.15</f>
        <v>1.944075494174485E-2</v>
      </c>
      <c r="O371" s="119">
        <f t="shared" si="59"/>
        <v>9.7203774708724249E-3</v>
      </c>
      <c r="P371" s="120">
        <v>1</v>
      </c>
      <c r="Q371" s="119">
        <f t="shared" si="60"/>
        <v>0.11296999999999974</v>
      </c>
      <c r="R371" s="151">
        <v>2519608</v>
      </c>
      <c r="S371" s="147">
        <f t="shared" si="69"/>
        <v>345646816</v>
      </c>
      <c r="T371" s="149">
        <f>728800.55983205*7.15</f>
        <v>5210924.002799158</v>
      </c>
      <c r="U371" s="152"/>
      <c r="V371" s="234" t="s">
        <v>132</v>
      </c>
      <c r="W371" s="150"/>
      <c r="X371" s="124">
        <v>1.29</v>
      </c>
      <c r="Y371" s="150" t="s">
        <v>133</v>
      </c>
      <c r="Z371" s="150"/>
      <c r="AA371" s="125">
        <v>0</v>
      </c>
      <c r="AB371" s="126">
        <f t="shared" si="56"/>
        <v>333623.19743725919</v>
      </c>
      <c r="AC371" s="126">
        <f>R371*AA371</f>
        <v>0</v>
      </c>
      <c r="AD371" s="127">
        <f t="shared" si="57"/>
        <v>3250.2943200000004</v>
      </c>
      <c r="AE371" s="123" t="s">
        <v>125</v>
      </c>
    </row>
    <row r="372" spans="1:31" s="112" customFormat="1" x14ac:dyDescent="0.2">
      <c r="A372" s="110" t="s">
        <v>39</v>
      </c>
      <c r="B372" s="114" t="str">
        <f>VLOOKUP(A372,Sheet1!A:B,2,0)</f>
        <v>MODI</v>
      </c>
      <c r="C372" s="115" t="s">
        <v>40</v>
      </c>
      <c r="D372" s="161" t="s">
        <v>41</v>
      </c>
      <c r="E372" s="111" t="s">
        <v>42</v>
      </c>
      <c r="F372" s="111" t="s">
        <v>43</v>
      </c>
      <c r="G372" s="162" t="s">
        <v>44</v>
      </c>
      <c r="H372" s="150">
        <v>2024</v>
      </c>
      <c r="I372" s="116">
        <v>10</v>
      </c>
      <c r="J372" s="117">
        <v>45590</v>
      </c>
      <c r="K372" s="118">
        <v>0.5</v>
      </c>
      <c r="L372" s="119">
        <v>0.313524986358025</v>
      </c>
      <c r="M372" s="119">
        <v>0.313524986358025</v>
      </c>
      <c r="N372" s="119">
        <f t="shared" ref="N372:N387" si="74">M372-L372</f>
        <v>0</v>
      </c>
      <c r="O372" s="119">
        <f t="shared" si="59"/>
        <v>0</v>
      </c>
      <c r="P372" s="120">
        <v>1</v>
      </c>
      <c r="Q372" s="119">
        <f t="shared" si="60"/>
        <v>0.313524986358025</v>
      </c>
      <c r="R372" s="121"/>
      <c r="S372" s="122">
        <f>R372+S49</f>
        <v>45548572</v>
      </c>
      <c r="T372" s="119">
        <v>4760000</v>
      </c>
      <c r="U372" s="119"/>
      <c r="V372" s="134" t="s">
        <v>45</v>
      </c>
      <c r="W372" s="123"/>
      <c r="X372" s="124">
        <v>6.7279999999999998</v>
      </c>
      <c r="Y372" s="124" t="s">
        <v>46</v>
      </c>
      <c r="Z372" s="124"/>
      <c r="AA372" s="125">
        <v>0</v>
      </c>
      <c r="AB372" s="126">
        <f t="shared" si="56"/>
        <v>0</v>
      </c>
      <c r="AC372" s="126">
        <f t="shared" si="61"/>
        <v>0</v>
      </c>
      <c r="AD372" s="127">
        <f t="shared" si="57"/>
        <v>0</v>
      </c>
      <c r="AE372" s="123"/>
    </row>
    <row r="373" spans="1:31" s="112" customFormat="1" x14ac:dyDescent="0.2">
      <c r="A373" s="110" t="s">
        <v>39</v>
      </c>
      <c r="B373" s="114" t="str">
        <f>VLOOKUP(A373,Sheet1!A:B,2,0)</f>
        <v>MODI</v>
      </c>
      <c r="C373" s="115" t="s">
        <v>47</v>
      </c>
      <c r="D373" s="161" t="s">
        <v>48</v>
      </c>
      <c r="E373" s="111" t="s">
        <v>42</v>
      </c>
      <c r="F373" s="111" t="s">
        <v>43</v>
      </c>
      <c r="G373" s="162" t="s">
        <v>44</v>
      </c>
      <c r="H373" s="150">
        <v>2024</v>
      </c>
      <c r="I373" s="116">
        <v>10</v>
      </c>
      <c r="J373" s="117">
        <v>45590</v>
      </c>
      <c r="K373" s="118">
        <v>0.5</v>
      </c>
      <c r="L373" s="119">
        <v>4.21539321081182E-2</v>
      </c>
      <c r="M373" s="119">
        <v>4.21539321081182E-2</v>
      </c>
      <c r="N373" s="119">
        <f t="shared" si="74"/>
        <v>0</v>
      </c>
      <c r="O373" s="119">
        <f t="shared" si="59"/>
        <v>0</v>
      </c>
      <c r="P373" s="120">
        <v>1</v>
      </c>
      <c r="Q373" s="119">
        <f t="shared" si="60"/>
        <v>4.21539321081182E-2</v>
      </c>
      <c r="R373" s="121"/>
      <c r="S373" s="122">
        <f>R373+S50</f>
        <v>40190122</v>
      </c>
      <c r="T373" s="119">
        <v>3450000</v>
      </c>
      <c r="U373" s="119"/>
      <c r="V373" s="134" t="s">
        <v>45</v>
      </c>
      <c r="W373" s="123"/>
      <c r="X373" s="124">
        <v>0.87</v>
      </c>
      <c r="Y373" s="124" t="s">
        <v>46</v>
      </c>
      <c r="Z373" s="124"/>
      <c r="AA373" s="125">
        <v>0</v>
      </c>
      <c r="AB373" s="126">
        <f t="shared" si="56"/>
        <v>0</v>
      </c>
      <c r="AC373" s="126">
        <f t="shared" si="61"/>
        <v>0</v>
      </c>
      <c r="AD373" s="127">
        <f t="shared" si="57"/>
        <v>0</v>
      </c>
      <c r="AE373" s="123"/>
    </row>
    <row r="374" spans="1:31" s="112" customFormat="1" x14ac:dyDescent="0.2">
      <c r="A374" s="110" t="s">
        <v>39</v>
      </c>
      <c r="B374" s="114" t="str">
        <f>VLOOKUP(A374,Sheet1!A:B,2,0)</f>
        <v>MODI</v>
      </c>
      <c r="C374" s="115" t="s">
        <v>49</v>
      </c>
      <c r="D374" s="161" t="s">
        <v>50</v>
      </c>
      <c r="E374" s="111" t="s">
        <v>42</v>
      </c>
      <c r="F374" s="111" t="s">
        <v>43</v>
      </c>
      <c r="G374" s="162" t="s">
        <v>44</v>
      </c>
      <c r="H374" s="150">
        <v>2024</v>
      </c>
      <c r="I374" s="116">
        <v>10</v>
      </c>
      <c r="J374" s="117">
        <v>45590</v>
      </c>
      <c r="K374" s="118">
        <v>0.5</v>
      </c>
      <c r="L374" s="119">
        <v>7.2210434624191605E-2</v>
      </c>
      <c r="M374" s="119">
        <v>7.2210434624191605E-2</v>
      </c>
      <c r="N374" s="119">
        <f t="shared" si="74"/>
        <v>0</v>
      </c>
      <c r="O374" s="119">
        <f t="shared" si="59"/>
        <v>0</v>
      </c>
      <c r="P374" s="120">
        <v>1</v>
      </c>
      <c r="Q374" s="119">
        <f t="shared" si="60"/>
        <v>7.2210434624191605E-2</v>
      </c>
      <c r="R374" s="121"/>
      <c r="S374" s="122">
        <f>R374+S51</f>
        <v>45465414</v>
      </c>
      <c r="T374" s="119">
        <v>3740000</v>
      </c>
      <c r="U374" s="119"/>
      <c r="V374" s="134" t="s">
        <v>45</v>
      </c>
      <c r="W374" s="123"/>
      <c r="X374" s="124">
        <v>1.1779999999999999</v>
      </c>
      <c r="Y374" s="124" t="s">
        <v>46</v>
      </c>
      <c r="Z374" s="124"/>
      <c r="AA374" s="125">
        <v>0</v>
      </c>
      <c r="AB374" s="126">
        <f t="shared" si="56"/>
        <v>0</v>
      </c>
      <c r="AC374" s="126">
        <f t="shared" si="61"/>
        <v>0</v>
      </c>
      <c r="AD374" s="127">
        <f t="shared" si="57"/>
        <v>0</v>
      </c>
      <c r="AE374" s="123"/>
    </row>
    <row r="375" spans="1:31" s="112" customFormat="1" x14ac:dyDescent="0.2">
      <c r="A375" s="110" t="s">
        <v>39</v>
      </c>
      <c r="B375" s="114" t="str">
        <f>VLOOKUP(A375,Sheet1!A:B,2,0)</f>
        <v>MODI</v>
      </c>
      <c r="C375" s="128" t="s">
        <v>51</v>
      </c>
      <c r="D375" s="161" t="s">
        <v>52</v>
      </c>
      <c r="E375" s="111" t="s">
        <v>42</v>
      </c>
      <c r="F375" s="111" t="s">
        <v>43</v>
      </c>
      <c r="G375" s="162" t="s">
        <v>44</v>
      </c>
      <c r="H375" s="150">
        <v>2024</v>
      </c>
      <c r="I375" s="116">
        <v>10</v>
      </c>
      <c r="J375" s="117">
        <v>45590</v>
      </c>
      <c r="K375" s="118">
        <v>0.5</v>
      </c>
      <c r="L375" s="119">
        <v>6.6190725348954399E-2</v>
      </c>
      <c r="M375" s="119">
        <v>6.6190725348954399E-2</v>
      </c>
      <c r="N375" s="119">
        <f t="shared" si="74"/>
        <v>0</v>
      </c>
      <c r="O375" s="119">
        <f t="shared" si="59"/>
        <v>0</v>
      </c>
      <c r="P375" s="120">
        <v>1</v>
      </c>
      <c r="Q375" s="119">
        <f t="shared" si="60"/>
        <v>6.6190725348954399E-2</v>
      </c>
      <c r="R375" s="121"/>
      <c r="S375" s="122">
        <f>R375+S52</f>
        <v>29670256</v>
      </c>
      <c r="T375" s="119">
        <v>3450000</v>
      </c>
      <c r="U375" s="119"/>
      <c r="V375" s="134" t="s">
        <v>53</v>
      </c>
      <c r="W375" s="123"/>
      <c r="X375" s="124">
        <v>1.1779999999999999</v>
      </c>
      <c r="Y375" s="124" t="s">
        <v>54</v>
      </c>
      <c r="Z375" s="124"/>
      <c r="AA375" s="125">
        <v>0</v>
      </c>
      <c r="AB375" s="126">
        <f t="shared" si="56"/>
        <v>0</v>
      </c>
      <c r="AC375" s="126">
        <f t="shared" si="61"/>
        <v>0</v>
      </c>
      <c r="AD375" s="127">
        <f t="shared" si="57"/>
        <v>0</v>
      </c>
      <c r="AE375" s="123"/>
    </row>
    <row r="376" spans="1:31" s="112" customFormat="1" x14ac:dyDescent="0.2">
      <c r="A376" s="110" t="s">
        <v>39</v>
      </c>
      <c r="B376" s="114" t="str">
        <f>VLOOKUP(A376,Sheet1!A:B,2,0)</f>
        <v>MODI</v>
      </c>
      <c r="C376" s="115" t="s">
        <v>55</v>
      </c>
      <c r="D376" s="161" t="s">
        <v>56</v>
      </c>
      <c r="E376" s="111" t="s">
        <v>42</v>
      </c>
      <c r="F376" s="111" t="s">
        <v>43</v>
      </c>
      <c r="G376" s="162" t="s">
        <v>44</v>
      </c>
      <c r="H376" s="150">
        <v>2024</v>
      </c>
      <c r="I376" s="116">
        <v>10</v>
      </c>
      <c r="J376" s="117">
        <v>45590</v>
      </c>
      <c r="K376" s="118">
        <v>0.5</v>
      </c>
      <c r="L376" s="119">
        <v>3.8519575097127702E-2</v>
      </c>
      <c r="M376" s="119">
        <v>3.8519575097127702E-2</v>
      </c>
      <c r="N376" s="119">
        <f t="shared" si="74"/>
        <v>0</v>
      </c>
      <c r="O376" s="119">
        <f t="shared" si="59"/>
        <v>0</v>
      </c>
      <c r="P376" s="120">
        <v>1</v>
      </c>
      <c r="Q376" s="119">
        <f t="shared" si="60"/>
        <v>3.8519575097127702E-2</v>
      </c>
      <c r="R376" s="121"/>
      <c r="S376" s="122">
        <f>R376+S53</f>
        <v>56288362</v>
      </c>
      <c r="T376" s="119">
        <v>3400000</v>
      </c>
      <c r="U376" s="119"/>
      <c r="V376" s="134" t="s">
        <v>53</v>
      </c>
      <c r="W376" s="123"/>
      <c r="X376" s="124">
        <v>0.13400000000000001</v>
      </c>
      <c r="Y376" s="124" t="s">
        <v>54</v>
      </c>
      <c r="Z376" s="124"/>
      <c r="AA376" s="125">
        <v>0</v>
      </c>
      <c r="AB376" s="126">
        <f t="shared" si="56"/>
        <v>0</v>
      </c>
      <c r="AC376" s="126">
        <f t="shared" si="61"/>
        <v>0</v>
      </c>
      <c r="AD376" s="127">
        <f t="shared" si="57"/>
        <v>0</v>
      </c>
      <c r="AE376" s="123"/>
    </row>
    <row r="377" spans="1:31" s="129" customFormat="1" x14ac:dyDescent="0.2">
      <c r="A377" s="111" t="s">
        <v>57</v>
      </c>
      <c r="B377" s="114" t="str">
        <f>VLOOKUP(A377,Sheet1!A:B,2,0)</f>
        <v>RCS DEVICE</v>
      </c>
      <c r="C377" s="110" t="s">
        <v>58</v>
      </c>
      <c r="D377" s="163" t="s">
        <v>59</v>
      </c>
      <c r="E377" s="110" t="s">
        <v>42</v>
      </c>
      <c r="F377" s="110" t="s">
        <v>60</v>
      </c>
      <c r="G377" s="162" t="s">
        <v>44</v>
      </c>
      <c r="H377" s="123">
        <v>2024</v>
      </c>
      <c r="I377" s="116">
        <v>10</v>
      </c>
      <c r="J377" s="117">
        <v>45590</v>
      </c>
      <c r="K377" s="118">
        <v>1</v>
      </c>
      <c r="L377" s="119">
        <v>2.3583408602377398</v>
      </c>
      <c r="M377" s="119">
        <v>2.3583408602377398</v>
      </c>
      <c r="N377" s="119">
        <f t="shared" si="74"/>
        <v>0</v>
      </c>
      <c r="O377" s="119">
        <f t="shared" si="59"/>
        <v>0</v>
      </c>
      <c r="P377" s="120">
        <v>1</v>
      </c>
      <c r="Q377" s="119">
        <f t="shared" si="60"/>
        <v>2.3583408602377398</v>
      </c>
      <c r="R377" s="121">
        <v>0</v>
      </c>
      <c r="S377" s="122">
        <f>R377+S90</f>
        <v>644603</v>
      </c>
      <c r="T377" s="119">
        <v>0</v>
      </c>
      <c r="U377" s="119">
        <v>0</v>
      </c>
      <c r="V377" s="134" t="s">
        <v>61</v>
      </c>
      <c r="W377" s="123"/>
      <c r="X377" s="124">
        <v>16.260000000000002</v>
      </c>
      <c r="Y377" s="124" t="s">
        <v>62</v>
      </c>
      <c r="Z377" s="124" t="s">
        <v>63</v>
      </c>
      <c r="AA377" s="125">
        <v>1.3080000000000001</v>
      </c>
      <c r="AB377" s="126">
        <f t="shared" si="56"/>
        <v>0</v>
      </c>
      <c r="AC377" s="126">
        <f t="shared" si="61"/>
        <v>0</v>
      </c>
      <c r="AD377" s="127">
        <f t="shared" si="57"/>
        <v>0</v>
      </c>
      <c r="AE377" s="123"/>
    </row>
    <row r="378" spans="1:31" s="129" customFormat="1" x14ac:dyDescent="0.2">
      <c r="A378" s="111" t="s">
        <v>57</v>
      </c>
      <c r="B378" s="114" t="str">
        <f>VLOOKUP(A378,Sheet1!A:B,2,0)</f>
        <v>RCS DEVICE</v>
      </c>
      <c r="C378" s="110" t="s">
        <v>64</v>
      </c>
      <c r="D378" s="163" t="s">
        <v>65</v>
      </c>
      <c r="E378" s="110" t="s">
        <v>42</v>
      </c>
      <c r="F378" s="110" t="s">
        <v>60</v>
      </c>
      <c r="G378" s="162" t="s">
        <v>44</v>
      </c>
      <c r="H378" s="123">
        <v>2024</v>
      </c>
      <c r="I378" s="116">
        <v>10</v>
      </c>
      <c r="J378" s="117">
        <v>45590</v>
      </c>
      <c r="K378" s="118">
        <v>1</v>
      </c>
      <c r="L378" s="119">
        <v>2.31652727583774</v>
      </c>
      <c r="M378" s="119">
        <v>2.31652727583774</v>
      </c>
      <c r="N378" s="119">
        <f t="shared" si="74"/>
        <v>0</v>
      </c>
      <c r="O378" s="119">
        <f t="shared" si="59"/>
        <v>0</v>
      </c>
      <c r="P378" s="120">
        <v>1</v>
      </c>
      <c r="Q378" s="119">
        <f t="shared" si="60"/>
        <v>2.31652727583774</v>
      </c>
      <c r="R378" s="121">
        <v>0</v>
      </c>
      <c r="S378" s="122">
        <f>R378+S91</f>
        <v>686982</v>
      </c>
      <c r="T378" s="119">
        <v>0</v>
      </c>
      <c r="U378" s="119">
        <v>0</v>
      </c>
      <c r="V378" s="134" t="s">
        <v>61</v>
      </c>
      <c r="W378" s="123"/>
      <c r="X378" s="124">
        <v>8.3019999999999996</v>
      </c>
      <c r="Y378" s="124" t="s">
        <v>62</v>
      </c>
      <c r="Z378" s="124" t="s">
        <v>63</v>
      </c>
      <c r="AA378" s="125">
        <v>1.4279999999999999</v>
      </c>
      <c r="AB378" s="126">
        <f t="shared" si="56"/>
        <v>0</v>
      </c>
      <c r="AC378" s="126">
        <f t="shared" si="61"/>
        <v>0</v>
      </c>
      <c r="AD378" s="127">
        <f t="shared" si="57"/>
        <v>0</v>
      </c>
      <c r="AE378" s="123"/>
    </row>
    <row r="379" spans="1:31" s="129" customFormat="1" x14ac:dyDescent="0.2">
      <c r="A379" s="111" t="s">
        <v>57</v>
      </c>
      <c r="B379" s="114" t="str">
        <f>VLOOKUP(A379,Sheet1!A:B,2,0)</f>
        <v>RCS DEVICE</v>
      </c>
      <c r="C379" s="110" t="s">
        <v>66</v>
      </c>
      <c r="D379" s="163" t="s">
        <v>67</v>
      </c>
      <c r="E379" s="110" t="s">
        <v>42</v>
      </c>
      <c r="F379" s="110" t="s">
        <v>60</v>
      </c>
      <c r="G379" s="162" t="s">
        <v>44</v>
      </c>
      <c r="H379" s="123">
        <v>2024</v>
      </c>
      <c r="I379" s="116">
        <v>10</v>
      </c>
      <c r="J379" s="117">
        <v>45590</v>
      </c>
      <c r="K379" s="118">
        <v>1</v>
      </c>
      <c r="L379" s="119">
        <v>0.37651638011816602</v>
      </c>
      <c r="M379" s="119">
        <v>0.37651638011816602</v>
      </c>
      <c r="N379" s="119">
        <f t="shared" si="74"/>
        <v>0</v>
      </c>
      <c r="O379" s="119">
        <f t="shared" si="59"/>
        <v>0</v>
      </c>
      <c r="P379" s="120">
        <v>1</v>
      </c>
      <c r="Q379" s="119">
        <f t="shared" si="60"/>
        <v>0.37651638011816602</v>
      </c>
      <c r="R379" s="121">
        <v>0</v>
      </c>
      <c r="S379" s="122">
        <f>R379+S92</f>
        <v>665191</v>
      </c>
      <c r="T379" s="119">
        <v>0</v>
      </c>
      <c r="U379" s="119">
        <v>0</v>
      </c>
      <c r="V379" s="134" t="s">
        <v>61</v>
      </c>
      <c r="W379" s="123"/>
      <c r="X379" s="124">
        <v>0.57199999999999995</v>
      </c>
      <c r="Y379" s="124" t="s">
        <v>62</v>
      </c>
      <c r="Z379" s="124"/>
      <c r="AA379" s="125">
        <v>0</v>
      </c>
      <c r="AB379" s="126">
        <f t="shared" si="56"/>
        <v>0</v>
      </c>
      <c r="AC379" s="126">
        <f t="shared" si="61"/>
        <v>0</v>
      </c>
      <c r="AD379" s="127">
        <f t="shared" si="57"/>
        <v>0</v>
      </c>
      <c r="AE379" s="123"/>
    </row>
    <row r="380" spans="1:31" s="129" customFormat="1" x14ac:dyDescent="0.2">
      <c r="A380" s="111" t="s">
        <v>57</v>
      </c>
      <c r="B380" s="114" t="str">
        <f>VLOOKUP(A380,Sheet1!A:B,2,0)</f>
        <v>RCS DEVICE</v>
      </c>
      <c r="C380" s="110" t="s">
        <v>68</v>
      </c>
      <c r="D380" s="163" t="s">
        <v>69</v>
      </c>
      <c r="E380" s="110" t="s">
        <v>42</v>
      </c>
      <c r="F380" s="110" t="s">
        <v>60</v>
      </c>
      <c r="G380" s="162" t="s">
        <v>44</v>
      </c>
      <c r="H380" s="123">
        <v>2024</v>
      </c>
      <c r="I380" s="116">
        <v>10</v>
      </c>
      <c r="J380" s="117">
        <v>45590</v>
      </c>
      <c r="K380" s="118">
        <v>1</v>
      </c>
      <c r="L380" s="119">
        <v>0.37927344911816602</v>
      </c>
      <c r="M380" s="119">
        <v>0.37927344911816602</v>
      </c>
      <c r="N380" s="119">
        <f t="shared" si="74"/>
        <v>0</v>
      </c>
      <c r="O380" s="119">
        <f t="shared" si="59"/>
        <v>0</v>
      </c>
      <c r="P380" s="120">
        <v>1</v>
      </c>
      <c r="Q380" s="119">
        <f t="shared" si="60"/>
        <v>0.37927344911816602</v>
      </c>
      <c r="R380" s="121">
        <v>0</v>
      </c>
      <c r="S380" s="122">
        <f>R380+S93</f>
        <v>655070</v>
      </c>
      <c r="T380" s="119">
        <v>0</v>
      </c>
      <c r="U380" s="119">
        <v>0</v>
      </c>
      <c r="V380" s="134" t="s">
        <v>70</v>
      </c>
      <c r="W380" s="123"/>
      <c r="X380" s="124">
        <v>1.87</v>
      </c>
      <c r="Y380" s="124" t="s">
        <v>71</v>
      </c>
      <c r="Z380" s="124"/>
      <c r="AA380" s="125">
        <v>0</v>
      </c>
      <c r="AB380" s="126">
        <f t="shared" si="56"/>
        <v>0</v>
      </c>
      <c r="AC380" s="126">
        <f t="shared" si="61"/>
        <v>0</v>
      </c>
      <c r="AD380" s="127">
        <f t="shared" si="57"/>
        <v>0</v>
      </c>
      <c r="AE380" s="123"/>
    </row>
    <row r="381" spans="1:31" s="112" customFormat="1" x14ac:dyDescent="0.2">
      <c r="A381" s="110" t="s">
        <v>72</v>
      </c>
      <c r="B381" s="114" t="str">
        <f>VLOOKUP(A381,Sheet1!A:B,2,0)</f>
        <v>RCS DEVICE</v>
      </c>
      <c r="C381" s="110" t="s">
        <v>73</v>
      </c>
      <c r="D381" s="163" t="s">
        <v>74</v>
      </c>
      <c r="E381" s="110" t="s">
        <v>42</v>
      </c>
      <c r="F381" s="110" t="s">
        <v>60</v>
      </c>
      <c r="G381" s="162" t="s">
        <v>44</v>
      </c>
      <c r="H381" s="123">
        <v>2024</v>
      </c>
      <c r="I381" s="116">
        <v>10</v>
      </c>
      <c r="J381" s="117">
        <v>45590</v>
      </c>
      <c r="K381" s="118">
        <v>0.3</v>
      </c>
      <c r="L381" s="119">
        <v>1.8774416082318</v>
      </c>
      <c r="M381" s="119">
        <v>1.9124416082318001</v>
      </c>
      <c r="N381" s="119">
        <f t="shared" si="74"/>
        <v>3.5000000000000142E-2</v>
      </c>
      <c r="O381" s="119">
        <f t="shared" si="59"/>
        <v>1.0500000000000042E-2</v>
      </c>
      <c r="P381" s="120">
        <v>1</v>
      </c>
      <c r="Q381" s="119">
        <f t="shared" si="60"/>
        <v>1.8774416082318</v>
      </c>
      <c r="R381" s="121">
        <v>972789</v>
      </c>
      <c r="S381" s="122">
        <f>R381+S114</f>
        <v>1462579</v>
      </c>
      <c r="T381" s="126">
        <v>280000</v>
      </c>
      <c r="U381" s="119">
        <f>T381-N381*S381</f>
        <v>228809.73499999978</v>
      </c>
      <c r="V381" s="134" t="s">
        <v>75</v>
      </c>
      <c r="W381" s="123"/>
      <c r="X381" s="124">
        <v>6.5389999999999997</v>
      </c>
      <c r="Y381" s="124" t="s">
        <v>62</v>
      </c>
      <c r="Z381" s="124" t="s">
        <v>63</v>
      </c>
      <c r="AA381" s="125">
        <v>1.2</v>
      </c>
      <c r="AB381" s="126">
        <f t="shared" si="56"/>
        <v>1860402.1596302046</v>
      </c>
      <c r="AC381" s="126">
        <f t="shared" si="61"/>
        <v>1167346.8</v>
      </c>
      <c r="AD381" s="127">
        <f t="shared" si="57"/>
        <v>6361.0672709999999</v>
      </c>
      <c r="AE381" s="123"/>
    </row>
    <row r="382" spans="1:31" s="112" customFormat="1" x14ac:dyDescent="0.2">
      <c r="A382" s="110" t="s">
        <v>72</v>
      </c>
      <c r="B382" s="114" t="str">
        <f>VLOOKUP(A382,Sheet1!A:B,2,0)</f>
        <v>RCS DEVICE</v>
      </c>
      <c r="C382" s="110" t="s">
        <v>76</v>
      </c>
      <c r="D382" s="163" t="s">
        <v>77</v>
      </c>
      <c r="E382" s="110" t="s">
        <v>42</v>
      </c>
      <c r="F382" s="110" t="s">
        <v>60</v>
      </c>
      <c r="G382" s="162" t="s">
        <v>44</v>
      </c>
      <c r="H382" s="123">
        <v>2024</v>
      </c>
      <c r="I382" s="116">
        <v>10</v>
      </c>
      <c r="J382" s="117">
        <v>45590</v>
      </c>
      <c r="K382" s="118">
        <v>0.3</v>
      </c>
      <c r="L382" s="119">
        <v>0.27335792652733598</v>
      </c>
      <c r="M382" s="119">
        <v>0.33085792652733598</v>
      </c>
      <c r="N382" s="119">
        <f t="shared" si="74"/>
        <v>5.7499999999999996E-2</v>
      </c>
      <c r="O382" s="119">
        <f t="shared" si="59"/>
        <v>1.7249999999999998E-2</v>
      </c>
      <c r="P382" s="120">
        <v>1</v>
      </c>
      <c r="Q382" s="119">
        <f t="shared" si="60"/>
        <v>0.27335792652733598</v>
      </c>
      <c r="R382" s="121">
        <v>487677</v>
      </c>
      <c r="S382" s="122">
        <f>R382+S115</f>
        <v>1398413</v>
      </c>
      <c r="T382" s="126">
        <v>460000</v>
      </c>
      <c r="U382" s="119">
        <f>T382-N382*S382</f>
        <v>379591.2525</v>
      </c>
      <c r="V382" s="134" t="s">
        <v>75</v>
      </c>
      <c r="W382" s="123"/>
      <c r="X382" s="124">
        <v>3.3170000000000002</v>
      </c>
      <c r="Y382" s="124" t="s">
        <v>62</v>
      </c>
      <c r="Z382" s="124"/>
      <c r="AA382" s="125">
        <v>0</v>
      </c>
      <c r="AB382" s="126">
        <f t="shared" si="56"/>
        <v>161351.80103507164</v>
      </c>
      <c r="AC382" s="126">
        <f t="shared" si="61"/>
        <v>0</v>
      </c>
      <c r="AD382" s="127">
        <f t="shared" si="57"/>
        <v>1617.6246090000002</v>
      </c>
      <c r="AE382" s="123"/>
    </row>
    <row r="383" spans="1:31" s="112" customFormat="1" x14ac:dyDescent="0.2">
      <c r="A383" s="110" t="s">
        <v>72</v>
      </c>
      <c r="B383" s="114" t="str">
        <f>VLOOKUP(A383,Sheet1!A:B,2,0)</f>
        <v>RCS DEVICE</v>
      </c>
      <c r="C383" s="110" t="s">
        <v>78</v>
      </c>
      <c r="D383" s="163" t="s">
        <v>79</v>
      </c>
      <c r="E383" s="110" t="s">
        <v>42</v>
      </c>
      <c r="F383" s="110" t="s">
        <v>60</v>
      </c>
      <c r="G383" s="162" t="s">
        <v>44</v>
      </c>
      <c r="H383" s="123">
        <v>2024</v>
      </c>
      <c r="I383" s="116">
        <v>10</v>
      </c>
      <c r="J383" s="117">
        <v>45590</v>
      </c>
      <c r="K383" s="118">
        <v>0.3</v>
      </c>
      <c r="L383" s="119">
        <v>0.20453293319930799</v>
      </c>
      <c r="M383" s="119">
        <v>0.23078293319930801</v>
      </c>
      <c r="N383" s="119">
        <f t="shared" si="74"/>
        <v>2.6250000000000023E-2</v>
      </c>
      <c r="O383" s="119">
        <f t="shared" si="59"/>
        <v>7.875000000000007E-3</v>
      </c>
      <c r="P383" s="120">
        <v>1</v>
      </c>
      <c r="Q383" s="119">
        <f t="shared" si="60"/>
        <v>0.20453293319930799</v>
      </c>
      <c r="R383" s="121">
        <v>421705</v>
      </c>
      <c r="S383" s="122">
        <f>R383+S116</f>
        <v>2285542</v>
      </c>
      <c r="T383" s="126">
        <v>420000</v>
      </c>
      <c r="U383" s="119">
        <f t="shared" ref="U383:U386" si="75">T383-N383*S383</f>
        <v>360004.52249999996</v>
      </c>
      <c r="V383" s="134" t="s">
        <v>70</v>
      </c>
      <c r="W383" s="123"/>
      <c r="X383" s="124">
        <v>4.2469999999999999</v>
      </c>
      <c r="Y383" s="124" t="s">
        <v>71</v>
      </c>
      <c r="Z383" s="124"/>
      <c r="AA383" s="125">
        <v>0</v>
      </c>
      <c r="AB383" s="126">
        <f t="shared" si="56"/>
        <v>97322.316844814181</v>
      </c>
      <c r="AC383" s="126">
        <f t="shared" si="61"/>
        <v>0</v>
      </c>
      <c r="AD383" s="127">
        <f t="shared" si="57"/>
        <v>1790.981135</v>
      </c>
      <c r="AE383" s="123"/>
    </row>
    <row r="384" spans="1:31" s="112" customFormat="1" x14ac:dyDescent="0.2">
      <c r="A384" s="110" t="s">
        <v>72</v>
      </c>
      <c r="B384" s="114" t="str">
        <f>VLOOKUP(A384,Sheet1!A:B,2,0)</f>
        <v>RCS DEVICE</v>
      </c>
      <c r="C384" s="110" t="s">
        <v>66</v>
      </c>
      <c r="D384" s="163" t="s">
        <v>80</v>
      </c>
      <c r="E384" s="110" t="s">
        <v>42</v>
      </c>
      <c r="F384" s="110" t="s">
        <v>60</v>
      </c>
      <c r="G384" s="162" t="s">
        <v>44</v>
      </c>
      <c r="H384" s="123">
        <v>2024</v>
      </c>
      <c r="I384" s="116">
        <v>10</v>
      </c>
      <c r="J384" s="117">
        <v>45590</v>
      </c>
      <c r="K384" s="118">
        <v>0.3</v>
      </c>
      <c r="L384" s="119">
        <v>0.120262750041086</v>
      </c>
      <c r="M384" s="119">
        <v>0.14526275004108599</v>
      </c>
      <c r="N384" s="119">
        <f t="shared" si="74"/>
        <v>2.4999999999999994E-2</v>
      </c>
      <c r="O384" s="119">
        <f t="shared" si="59"/>
        <v>7.499999999999998E-3</v>
      </c>
      <c r="P384" s="120">
        <v>1</v>
      </c>
      <c r="Q384" s="119">
        <f t="shared" si="60"/>
        <v>0.120262750041086</v>
      </c>
      <c r="R384" s="121">
        <v>713369</v>
      </c>
      <c r="S384" s="122">
        <f>R384+S117</f>
        <v>2263648</v>
      </c>
      <c r="T384" s="126">
        <v>400000</v>
      </c>
      <c r="U384" s="119">
        <f t="shared" si="75"/>
        <v>343408.8</v>
      </c>
      <c r="V384" s="134" t="s">
        <v>70</v>
      </c>
      <c r="W384" s="123"/>
      <c r="X384" s="124">
        <v>0.53500000000000003</v>
      </c>
      <c r="Y384" s="124" t="s">
        <v>71</v>
      </c>
      <c r="Z384" s="124"/>
      <c r="AA384" s="125">
        <v>0</v>
      </c>
      <c r="AB384" s="126">
        <f t="shared" si="56"/>
        <v>103625.94273405947</v>
      </c>
      <c r="AC384" s="126">
        <f t="shared" si="61"/>
        <v>0</v>
      </c>
      <c r="AD384" s="127">
        <f t="shared" si="57"/>
        <v>381.65241500000002</v>
      </c>
      <c r="AE384" s="123"/>
    </row>
    <row r="385" spans="1:31" s="112" customFormat="1" x14ac:dyDescent="0.2">
      <c r="A385" s="110" t="s">
        <v>72</v>
      </c>
      <c r="B385" s="114" t="str">
        <f>VLOOKUP(A385,Sheet1!A:B,2,0)</f>
        <v>RCS DEVICE</v>
      </c>
      <c r="C385" s="110" t="s">
        <v>81</v>
      </c>
      <c r="D385" s="163" t="s">
        <v>82</v>
      </c>
      <c r="E385" s="110" t="s">
        <v>42</v>
      </c>
      <c r="F385" s="110" t="s">
        <v>60</v>
      </c>
      <c r="G385" s="162" t="s">
        <v>44</v>
      </c>
      <c r="H385" s="123">
        <v>2024</v>
      </c>
      <c r="I385" s="116">
        <v>10</v>
      </c>
      <c r="J385" s="117">
        <v>45590</v>
      </c>
      <c r="K385" s="118">
        <v>0.3</v>
      </c>
      <c r="L385" s="119">
        <v>0.122488041645336</v>
      </c>
      <c r="M385" s="119">
        <v>0.14748804164533599</v>
      </c>
      <c r="N385" s="119">
        <f>M385-L385</f>
        <v>2.4999999999999994E-2</v>
      </c>
      <c r="O385" s="119">
        <f t="shared" si="59"/>
        <v>7.499999999999998E-3</v>
      </c>
      <c r="P385" s="120">
        <v>1</v>
      </c>
      <c r="Q385" s="119">
        <f t="shared" si="60"/>
        <v>0.122488041645336</v>
      </c>
      <c r="R385" s="121">
        <v>924710</v>
      </c>
      <c r="S385" s="122">
        <f>R385+S118</f>
        <v>2769910</v>
      </c>
      <c r="T385" s="126">
        <v>400000</v>
      </c>
      <c r="U385" s="119">
        <f t="shared" si="75"/>
        <v>330752.25</v>
      </c>
      <c r="V385" s="134" t="s">
        <v>75</v>
      </c>
      <c r="W385" s="123"/>
      <c r="X385" s="124">
        <v>0.50900000000000001</v>
      </c>
      <c r="Y385" s="124" t="s">
        <v>62</v>
      </c>
      <c r="Z385" s="124"/>
      <c r="AA385" s="125">
        <v>0</v>
      </c>
      <c r="AB385" s="126">
        <f t="shared" si="56"/>
        <v>136383.66698985864</v>
      </c>
      <c r="AC385" s="126">
        <f t="shared" si="61"/>
        <v>0</v>
      </c>
      <c r="AD385" s="127">
        <f t="shared" si="57"/>
        <v>470.67739</v>
      </c>
      <c r="AE385" s="123"/>
    </row>
    <row r="386" spans="1:31" s="112" customFormat="1" x14ac:dyDescent="0.2">
      <c r="A386" s="110" t="s">
        <v>83</v>
      </c>
      <c r="B386" s="114" t="str">
        <f>VLOOKUP(A386,Sheet1!A:B,2,0)</f>
        <v>RCS POD</v>
      </c>
      <c r="C386" s="130" t="s">
        <v>84</v>
      </c>
      <c r="D386" s="110" t="s">
        <v>85</v>
      </c>
      <c r="E386" s="110" t="s">
        <v>42</v>
      </c>
      <c r="F386" s="110" t="s">
        <v>60</v>
      </c>
      <c r="G386" s="162" t="s">
        <v>44</v>
      </c>
      <c r="H386" s="123">
        <v>2023</v>
      </c>
      <c r="I386" s="116">
        <v>10</v>
      </c>
      <c r="J386" s="117">
        <v>45590</v>
      </c>
      <c r="K386" s="118">
        <v>1</v>
      </c>
      <c r="L386" s="119">
        <v>0.97679221076727096</v>
      </c>
      <c r="M386" s="119">
        <v>0.97985471076727104</v>
      </c>
      <c r="N386" s="119">
        <f t="shared" si="74"/>
        <v>3.062500000000079E-3</v>
      </c>
      <c r="O386" s="119">
        <f t="shared" si="59"/>
        <v>3.062500000000079E-3</v>
      </c>
      <c r="P386" s="120">
        <v>1</v>
      </c>
      <c r="Q386" s="119">
        <f t="shared" si="60"/>
        <v>0.97679221076727096</v>
      </c>
      <c r="R386" s="121">
        <v>932960</v>
      </c>
      <c r="S386" s="122">
        <f>R386+S125</f>
        <v>11114010</v>
      </c>
      <c r="T386" s="141">
        <v>98000</v>
      </c>
      <c r="U386" s="119">
        <f t="shared" si="75"/>
        <v>63963.34437499912</v>
      </c>
      <c r="V386" s="136" t="s">
        <v>45</v>
      </c>
      <c r="W386" s="132"/>
      <c r="X386" s="124">
        <v>2.09</v>
      </c>
      <c r="Y386" s="133" t="s">
        <v>46</v>
      </c>
      <c r="Z386" s="133"/>
      <c r="AA386" s="125">
        <v>0.93117705002376205</v>
      </c>
      <c r="AB386" s="126">
        <f t="shared" si="56"/>
        <v>914165.25095743313</v>
      </c>
      <c r="AC386" s="126">
        <f t="shared" si="61"/>
        <v>868750.94059016905</v>
      </c>
      <c r="AD386" s="127">
        <f t="shared" si="57"/>
        <v>1949.8863999999999</v>
      </c>
      <c r="AE386" s="123" t="s">
        <v>86</v>
      </c>
    </row>
    <row r="387" spans="1:31" s="112" customFormat="1" x14ac:dyDescent="0.2">
      <c r="A387" s="110" t="s">
        <v>83</v>
      </c>
      <c r="B387" s="114" t="str">
        <f>VLOOKUP(A387,Sheet1!A:B,2,0)</f>
        <v>RCS POD</v>
      </c>
      <c r="C387" s="130" t="s">
        <v>84</v>
      </c>
      <c r="D387" s="110" t="s">
        <v>85</v>
      </c>
      <c r="E387" s="110" t="s">
        <v>42</v>
      </c>
      <c r="F387" s="110" t="s">
        <v>60</v>
      </c>
      <c r="G387" s="162" t="s">
        <v>44</v>
      </c>
      <c r="H387" s="123">
        <v>2024</v>
      </c>
      <c r="I387" s="116">
        <v>10</v>
      </c>
      <c r="J387" s="117">
        <v>45590</v>
      </c>
      <c r="K387" s="118">
        <v>1</v>
      </c>
      <c r="L387" s="119">
        <v>1.05412849674197</v>
      </c>
      <c r="M387" s="119">
        <v>1.22365196079064</v>
      </c>
      <c r="N387" s="119">
        <f t="shared" si="74"/>
        <v>0.16952346404867003</v>
      </c>
      <c r="O387" s="119">
        <f t="shared" si="59"/>
        <v>0.16952346404867003</v>
      </c>
      <c r="P387" s="120">
        <v>1</v>
      </c>
      <c r="Q387" s="119">
        <f t="shared" si="60"/>
        <v>1.05412849674197</v>
      </c>
      <c r="R387" s="121">
        <v>0</v>
      </c>
      <c r="S387" s="122">
        <f>R387</f>
        <v>0</v>
      </c>
      <c r="T387" s="141">
        <f>5424750.84955752-(2800000*30%)</f>
        <v>4584750.8495575199</v>
      </c>
      <c r="U387" s="119">
        <f>T387-N387*S387</f>
        <v>4584750.8495575199</v>
      </c>
      <c r="V387" s="136" t="s">
        <v>45</v>
      </c>
      <c r="W387" s="132"/>
      <c r="X387" s="124">
        <v>2.09</v>
      </c>
      <c r="Y387" s="133" t="s">
        <v>46</v>
      </c>
      <c r="Z387" s="133"/>
      <c r="AA387" s="125">
        <f>L387-L553</f>
        <v>0.98412849674196989</v>
      </c>
      <c r="AB387" s="126">
        <f t="shared" si="56"/>
        <v>0</v>
      </c>
      <c r="AC387" s="126">
        <f t="shared" si="61"/>
        <v>0</v>
      </c>
      <c r="AD387" s="127">
        <f t="shared" si="57"/>
        <v>0</v>
      </c>
      <c r="AE387" s="123" t="s">
        <v>87</v>
      </c>
    </row>
    <row r="388" spans="1:31" s="112" customFormat="1" x14ac:dyDescent="0.2">
      <c r="A388" s="110" t="s">
        <v>83</v>
      </c>
      <c r="B388" s="114" t="str">
        <f>VLOOKUP(A388,Sheet1!A:B,2,0)</f>
        <v>RCS POD</v>
      </c>
      <c r="C388" s="130" t="s">
        <v>84</v>
      </c>
      <c r="D388" s="110" t="s">
        <v>85</v>
      </c>
      <c r="E388" s="110" t="s">
        <v>42</v>
      </c>
      <c r="F388" s="110" t="s">
        <v>60</v>
      </c>
      <c r="G388" s="162" t="s">
        <v>44</v>
      </c>
      <c r="H388" s="123">
        <v>2024</v>
      </c>
      <c r="I388" s="116">
        <v>10</v>
      </c>
      <c r="J388" s="117">
        <v>45590</v>
      </c>
      <c r="K388" s="118">
        <v>1</v>
      </c>
      <c r="L388" s="119">
        <v>1.17411721731226</v>
      </c>
      <c r="M388" s="119">
        <v>1.3582877285124899</v>
      </c>
      <c r="N388" s="119">
        <f>M388-L388</f>
        <v>0.18417051120022987</v>
      </c>
      <c r="O388" s="119">
        <f>N388*K388</f>
        <v>0.18417051120022987</v>
      </c>
      <c r="P388" s="120">
        <v>1</v>
      </c>
      <c r="Q388" s="119">
        <f t="shared" si="60"/>
        <v>1.17411721731226</v>
      </c>
      <c r="R388" s="121">
        <v>0</v>
      </c>
      <c r="S388" s="122">
        <f>R388+S126</f>
        <v>0</v>
      </c>
      <c r="T388" s="141">
        <f>5893456.35840708-(2800000*70%)</f>
        <v>3933456.3584070802</v>
      </c>
      <c r="U388" s="119">
        <f>T388-N388*S388</f>
        <v>3933456.3584070802</v>
      </c>
      <c r="V388" s="136" t="s">
        <v>45</v>
      </c>
      <c r="W388" s="132"/>
      <c r="X388" s="124">
        <v>2.09</v>
      </c>
      <c r="Y388" s="133" t="s">
        <v>46</v>
      </c>
      <c r="Z388" s="133"/>
      <c r="AA388" s="125">
        <f>L388-L583</f>
        <v>0.90411721731226002</v>
      </c>
      <c r="AB388" s="126">
        <f t="shared" ref="AB388:AB451" si="76">M388*R388</f>
        <v>0</v>
      </c>
      <c r="AC388" s="126">
        <f t="shared" si="61"/>
        <v>0</v>
      </c>
      <c r="AD388" s="127">
        <f>R388*X388/1000</f>
        <v>0</v>
      </c>
      <c r="AE388" s="123" t="s">
        <v>88</v>
      </c>
    </row>
    <row r="389" spans="1:31" s="113" customFormat="1" x14ac:dyDescent="0.2">
      <c r="A389" s="110" t="s">
        <v>89</v>
      </c>
      <c r="B389" s="114" t="str">
        <f>VLOOKUP(A389,Sheet1!A:B,2,0)</f>
        <v>HP</v>
      </c>
      <c r="C389" s="140" t="s">
        <v>90</v>
      </c>
      <c r="D389" s="111">
        <v>22150202014</v>
      </c>
      <c r="E389" s="111" t="s">
        <v>42</v>
      </c>
      <c r="F389" s="111" t="s">
        <v>91</v>
      </c>
      <c r="G389" s="162" t="s">
        <v>44</v>
      </c>
      <c r="H389" s="116">
        <v>2024</v>
      </c>
      <c r="I389" s="116">
        <v>10</v>
      </c>
      <c r="J389" s="117">
        <v>45590</v>
      </c>
      <c r="K389" s="118">
        <v>0.4</v>
      </c>
      <c r="L389" s="141">
        <v>2.3161999999999998</v>
      </c>
      <c r="M389" s="141">
        <v>2.2169787761879198</v>
      </c>
      <c r="N389" s="141">
        <v>0</v>
      </c>
      <c r="O389" s="119">
        <f>N389*K389</f>
        <v>0</v>
      </c>
      <c r="P389" s="120">
        <v>1</v>
      </c>
      <c r="Q389" s="119">
        <f t="shared" ref="Q389:Q423" si="77">P389*L389</f>
        <v>2.3161999999999998</v>
      </c>
      <c r="R389" s="121">
        <v>86927</v>
      </c>
      <c r="S389" s="121">
        <f>R389+S272</f>
        <v>2118068</v>
      </c>
      <c r="T389" s="141">
        <v>105000</v>
      </c>
      <c r="U389" s="141">
        <v>42668.587500000001</v>
      </c>
      <c r="V389" s="142" t="s">
        <v>92</v>
      </c>
      <c r="W389" s="142"/>
      <c r="X389" s="143">
        <v>1.5549999999999999</v>
      </c>
      <c r="Y389" s="143" t="s">
        <v>54</v>
      </c>
      <c r="Z389" s="124" t="s">
        <v>93</v>
      </c>
      <c r="AA389" s="135">
        <v>1.9422999999999999</v>
      </c>
      <c r="AB389" s="126">
        <f t="shared" si="76"/>
        <v>192715.3140776873</v>
      </c>
      <c r="AC389" s="126">
        <f t="shared" ref="AC389:AC456" si="78">R389*AA389</f>
        <v>168838.31209999998</v>
      </c>
      <c r="AD389" s="144">
        <f t="shared" ref="AD389:AD408" si="79">R389*X389/1000</f>
        <v>135.17148499999999</v>
      </c>
      <c r="AE389" s="116"/>
    </row>
    <row r="390" spans="1:31" s="113" customFormat="1" ht="25.5" x14ac:dyDescent="0.2">
      <c r="A390" s="110" t="s">
        <v>89</v>
      </c>
      <c r="B390" s="114" t="str">
        <f>VLOOKUP(A390,Sheet1!A:B,2,0)</f>
        <v>HP</v>
      </c>
      <c r="C390" s="130" t="s">
        <v>94</v>
      </c>
      <c r="D390" s="111">
        <v>22150202015</v>
      </c>
      <c r="E390" s="111" t="s">
        <v>42</v>
      </c>
      <c r="F390" s="111" t="s">
        <v>91</v>
      </c>
      <c r="G390" s="162" t="s">
        <v>44</v>
      </c>
      <c r="H390" s="116">
        <v>2024</v>
      </c>
      <c r="I390" s="116">
        <v>10</v>
      </c>
      <c r="J390" s="117">
        <v>45590</v>
      </c>
      <c r="K390" s="118">
        <v>0.6</v>
      </c>
      <c r="L390" s="141">
        <v>1.5443588135792301</v>
      </c>
      <c r="M390" s="141">
        <v>1.5423175780454099</v>
      </c>
      <c r="N390" s="141">
        <v>0</v>
      </c>
      <c r="O390" s="119">
        <f t="shared" ref="O390:O408" si="80">N390*K390</f>
        <v>0</v>
      </c>
      <c r="P390" s="120">
        <v>1</v>
      </c>
      <c r="Q390" s="119">
        <f t="shared" si="77"/>
        <v>1.5443588135792301</v>
      </c>
      <c r="R390" s="121">
        <v>118166</v>
      </c>
      <c r="S390" s="121">
        <f t="shared" ref="S390:S404" si="81">R390+S273</f>
        <v>1919248</v>
      </c>
      <c r="T390" s="141">
        <v>376000</v>
      </c>
      <c r="U390" s="141">
        <v>275626.17333333299</v>
      </c>
      <c r="V390" s="142" t="s">
        <v>95</v>
      </c>
      <c r="W390" s="142"/>
      <c r="X390" s="143">
        <v>1.7450000000000001</v>
      </c>
      <c r="Y390" s="143" t="s">
        <v>54</v>
      </c>
      <c r="Z390" s="124" t="s">
        <v>93</v>
      </c>
      <c r="AA390" s="135">
        <v>1.1437999999999999</v>
      </c>
      <c r="AB390" s="126">
        <f t="shared" si="76"/>
        <v>182249.49892731392</v>
      </c>
      <c r="AC390" s="126">
        <f t="shared" si="78"/>
        <v>135158.2708</v>
      </c>
      <c r="AD390" s="144">
        <f t="shared" si="79"/>
        <v>206.19967000000003</v>
      </c>
      <c r="AE390" s="116"/>
    </row>
    <row r="391" spans="1:31" s="113" customFormat="1" x14ac:dyDescent="0.2">
      <c r="A391" s="110" t="s">
        <v>89</v>
      </c>
      <c r="B391" s="114" t="str">
        <f>VLOOKUP(A391,Sheet1!A:B,2,0)</f>
        <v>HP</v>
      </c>
      <c r="C391" s="130" t="s">
        <v>66</v>
      </c>
      <c r="D391" s="111">
        <v>22150202010</v>
      </c>
      <c r="E391" s="111" t="s">
        <v>42</v>
      </c>
      <c r="F391" s="111" t="s">
        <v>96</v>
      </c>
      <c r="G391" s="162" t="s">
        <v>44</v>
      </c>
      <c r="H391" s="116">
        <v>2024</v>
      </c>
      <c r="I391" s="116">
        <v>10</v>
      </c>
      <c r="J391" s="117">
        <v>45590</v>
      </c>
      <c r="K391" s="118">
        <v>0.4</v>
      </c>
      <c r="L391" s="141">
        <v>0.91622499999999996</v>
      </c>
      <c r="M391" s="141">
        <v>1.13316525889116</v>
      </c>
      <c r="N391" s="141">
        <v>0</v>
      </c>
      <c r="O391" s="119">
        <f t="shared" si="80"/>
        <v>0</v>
      </c>
      <c r="P391" s="120">
        <v>1</v>
      </c>
      <c r="Q391" s="119">
        <f t="shared" si="77"/>
        <v>0.91622499999999996</v>
      </c>
      <c r="R391" s="121">
        <v>32256</v>
      </c>
      <c r="S391" s="121">
        <f t="shared" si="81"/>
        <v>1777867</v>
      </c>
      <c r="T391" s="141">
        <f>98350</f>
        <v>98350</v>
      </c>
      <c r="U391" s="141">
        <v>-232301.71650000001</v>
      </c>
      <c r="V391" s="142" t="s">
        <v>97</v>
      </c>
      <c r="W391" s="142"/>
      <c r="X391" s="143">
        <v>0.57899999999999996</v>
      </c>
      <c r="Y391" s="143" t="s">
        <v>54</v>
      </c>
      <c r="Z391" s="124" t="s">
        <v>93</v>
      </c>
      <c r="AA391" s="135">
        <v>0.75590000000000002</v>
      </c>
      <c r="AB391" s="126">
        <f t="shared" si="76"/>
        <v>36551.378590793262</v>
      </c>
      <c r="AC391" s="126">
        <f t="shared" si="78"/>
        <v>24382.310400000002</v>
      </c>
      <c r="AD391" s="144">
        <f t="shared" si="79"/>
        <v>18.676223999999998</v>
      </c>
      <c r="AE391" s="116"/>
    </row>
    <row r="392" spans="1:31" s="113" customFormat="1" x14ac:dyDescent="0.2">
      <c r="A392" s="110" t="s">
        <v>89</v>
      </c>
      <c r="B392" s="114" t="str">
        <f>VLOOKUP(A392,Sheet1!A:B,2,0)</f>
        <v>HP</v>
      </c>
      <c r="C392" s="130" t="s">
        <v>98</v>
      </c>
      <c r="D392" s="111">
        <v>22150202008</v>
      </c>
      <c r="E392" s="111" t="s">
        <v>42</v>
      </c>
      <c r="F392" s="111" t="s">
        <v>99</v>
      </c>
      <c r="G392" s="162" t="s">
        <v>44</v>
      </c>
      <c r="H392" s="116">
        <v>2024</v>
      </c>
      <c r="I392" s="116">
        <v>10</v>
      </c>
      <c r="J392" s="117">
        <v>45590</v>
      </c>
      <c r="K392" s="118">
        <v>0.5</v>
      </c>
      <c r="L392" s="141">
        <v>0.1278</v>
      </c>
      <c r="M392" s="141">
        <v>0.15579999999999999</v>
      </c>
      <c r="N392" s="141">
        <v>0</v>
      </c>
      <c r="O392" s="119">
        <f t="shared" si="80"/>
        <v>0</v>
      </c>
      <c r="P392" s="120">
        <v>1</v>
      </c>
      <c r="Q392" s="119">
        <f t="shared" si="77"/>
        <v>0.1278</v>
      </c>
      <c r="R392" s="121">
        <v>25000</v>
      </c>
      <c r="S392" s="121">
        <f t="shared" si="81"/>
        <v>1230057</v>
      </c>
      <c r="T392" s="141">
        <f>98000+12600</f>
        <v>110600</v>
      </c>
      <c r="U392" s="141">
        <v>79347.604000000007</v>
      </c>
      <c r="V392" s="142" t="s">
        <v>100</v>
      </c>
      <c r="W392" s="142"/>
      <c r="X392" s="143">
        <v>0.76300000000000001</v>
      </c>
      <c r="Y392" s="143" t="s">
        <v>54</v>
      </c>
      <c r="Z392" s="143"/>
      <c r="AA392" s="135">
        <v>0</v>
      </c>
      <c r="AB392" s="126">
        <f t="shared" si="76"/>
        <v>3895</v>
      </c>
      <c r="AC392" s="126">
        <f t="shared" si="78"/>
        <v>0</v>
      </c>
      <c r="AD392" s="144">
        <f t="shared" si="79"/>
        <v>19.074999999999999</v>
      </c>
      <c r="AE392" s="116"/>
    </row>
    <row r="393" spans="1:31" s="113" customFormat="1" x14ac:dyDescent="0.2">
      <c r="A393" s="110" t="s">
        <v>89</v>
      </c>
      <c r="B393" s="114" t="str">
        <f>VLOOKUP(A393,Sheet1!A:B,2,0)</f>
        <v>HP</v>
      </c>
      <c r="C393" s="140" t="s">
        <v>101</v>
      </c>
      <c r="D393" s="111">
        <v>22150202017</v>
      </c>
      <c r="E393" s="111" t="s">
        <v>42</v>
      </c>
      <c r="F393" s="111" t="s">
        <v>99</v>
      </c>
      <c r="G393" s="162" t="s">
        <v>44</v>
      </c>
      <c r="H393" s="116">
        <v>2024</v>
      </c>
      <c r="I393" s="116">
        <v>10</v>
      </c>
      <c r="J393" s="117">
        <v>45590</v>
      </c>
      <c r="K393" s="118">
        <v>0.4</v>
      </c>
      <c r="L393" s="141">
        <v>0.17249999999999999</v>
      </c>
      <c r="M393" s="141">
        <v>0.41749999999999998</v>
      </c>
      <c r="N393" s="141">
        <v>0</v>
      </c>
      <c r="O393" s="119">
        <f t="shared" si="80"/>
        <v>0</v>
      </c>
      <c r="P393" s="120">
        <v>1</v>
      </c>
      <c r="Q393" s="119">
        <f t="shared" si="77"/>
        <v>0.17249999999999999</v>
      </c>
      <c r="R393" s="121">
        <v>24610</v>
      </c>
      <c r="S393" s="121">
        <f t="shared" si="81"/>
        <v>1043847</v>
      </c>
      <c r="T393" s="141">
        <v>98000</v>
      </c>
      <c r="U393" s="141">
        <v>-114228.065</v>
      </c>
      <c r="V393" s="142" t="s">
        <v>102</v>
      </c>
      <c r="W393" s="142"/>
      <c r="X393" s="143">
        <v>1.173</v>
      </c>
      <c r="Y393" s="143" t="s">
        <v>54</v>
      </c>
      <c r="Z393" s="143"/>
      <c r="AA393" s="135">
        <v>0</v>
      </c>
      <c r="AB393" s="126">
        <f t="shared" si="76"/>
        <v>10274.674999999999</v>
      </c>
      <c r="AC393" s="126">
        <f t="shared" si="78"/>
        <v>0</v>
      </c>
      <c r="AD393" s="144">
        <f t="shared" si="79"/>
        <v>28.867530000000002</v>
      </c>
      <c r="AE393" s="116"/>
    </row>
    <row r="394" spans="1:31" s="113" customFormat="1" x14ac:dyDescent="0.2">
      <c r="A394" s="110" t="s">
        <v>89</v>
      </c>
      <c r="B394" s="114" t="str">
        <f>VLOOKUP(A394,Sheet1!A:B,2,0)</f>
        <v>HP</v>
      </c>
      <c r="C394" s="130" t="s">
        <v>103</v>
      </c>
      <c r="D394" s="111">
        <v>22150202009</v>
      </c>
      <c r="E394" s="111" t="s">
        <v>42</v>
      </c>
      <c r="F394" s="111" t="s">
        <v>91</v>
      </c>
      <c r="G394" s="162" t="s">
        <v>44</v>
      </c>
      <c r="H394" s="116">
        <v>2024</v>
      </c>
      <c r="I394" s="116">
        <v>10</v>
      </c>
      <c r="J394" s="117">
        <v>45590</v>
      </c>
      <c r="K394" s="118">
        <v>0.5</v>
      </c>
      <c r="L394" s="141">
        <v>0.1285</v>
      </c>
      <c r="M394" s="141">
        <v>0.1565</v>
      </c>
      <c r="N394" s="141">
        <v>0</v>
      </c>
      <c r="O394" s="119">
        <f t="shared" si="80"/>
        <v>0</v>
      </c>
      <c r="P394" s="120">
        <v>1</v>
      </c>
      <c r="Q394" s="119">
        <f t="shared" si="77"/>
        <v>0.1285</v>
      </c>
      <c r="R394" s="121">
        <v>0</v>
      </c>
      <c r="S394" s="121">
        <f t="shared" si="81"/>
        <v>2457540</v>
      </c>
      <c r="T394" s="141">
        <f>98000</f>
        <v>98000</v>
      </c>
      <c r="U394" s="141">
        <v>50569.68</v>
      </c>
      <c r="V394" s="136" t="s">
        <v>97</v>
      </c>
      <c r="W394" s="136"/>
      <c r="X394" s="137">
        <v>0.69499999999999995</v>
      </c>
      <c r="Y394" s="138" t="s">
        <v>54</v>
      </c>
      <c r="Z394" s="138"/>
      <c r="AA394" s="133"/>
      <c r="AB394" s="126">
        <f t="shared" si="76"/>
        <v>0</v>
      </c>
      <c r="AC394" s="126">
        <f t="shared" si="78"/>
        <v>0</v>
      </c>
      <c r="AD394" s="144">
        <f t="shared" si="79"/>
        <v>0</v>
      </c>
      <c r="AE394" s="116"/>
    </row>
    <row r="395" spans="1:31" s="113" customFormat="1" x14ac:dyDescent="0.2">
      <c r="A395" s="110" t="s">
        <v>89</v>
      </c>
      <c r="B395" s="114" t="str">
        <f>VLOOKUP(A395,Sheet1!A:B,2,0)</f>
        <v>HP</v>
      </c>
      <c r="C395" s="130" t="s">
        <v>104</v>
      </c>
      <c r="D395" s="111">
        <v>22150202021</v>
      </c>
      <c r="E395" s="111" t="s">
        <v>42</v>
      </c>
      <c r="F395" s="111" t="s">
        <v>91</v>
      </c>
      <c r="G395" s="162" t="s">
        <v>44</v>
      </c>
      <c r="H395" s="116">
        <v>2024</v>
      </c>
      <c r="I395" s="116">
        <v>10</v>
      </c>
      <c r="J395" s="117">
        <v>45590</v>
      </c>
      <c r="K395" s="118">
        <v>0.6</v>
      </c>
      <c r="L395" s="141">
        <v>2.5636999999999999</v>
      </c>
      <c r="M395" s="141">
        <v>2.7518227149358401</v>
      </c>
      <c r="N395" s="141">
        <v>0</v>
      </c>
      <c r="O395" s="119">
        <f t="shared" si="80"/>
        <v>0</v>
      </c>
      <c r="P395" s="120">
        <v>1</v>
      </c>
      <c r="Q395" s="119">
        <f t="shared" si="77"/>
        <v>2.5636999999999999</v>
      </c>
      <c r="R395" s="121">
        <v>53875</v>
      </c>
      <c r="S395" s="121">
        <f t="shared" si="81"/>
        <v>2429762</v>
      </c>
      <c r="T395" s="141">
        <f>200100</f>
        <v>200100</v>
      </c>
      <c r="U395" s="141">
        <v>-415369.91450000001</v>
      </c>
      <c r="V395" s="142" t="s">
        <v>105</v>
      </c>
      <c r="W395" s="142"/>
      <c r="X395" s="143">
        <v>3.4089999999999998</v>
      </c>
      <c r="Y395" s="145" t="s">
        <v>54</v>
      </c>
      <c r="Z395" s="124" t="s">
        <v>93</v>
      </c>
      <c r="AA395" s="135">
        <v>1.7574000000000001</v>
      </c>
      <c r="AB395" s="126">
        <f t="shared" si="76"/>
        <v>148254.44876716839</v>
      </c>
      <c r="AC395" s="126">
        <f t="shared" si="78"/>
        <v>94679.925000000003</v>
      </c>
      <c r="AD395" s="144">
        <f t="shared" si="79"/>
        <v>183.659875</v>
      </c>
      <c r="AE395" s="116"/>
    </row>
    <row r="396" spans="1:31" s="113" customFormat="1" x14ac:dyDescent="0.2">
      <c r="A396" s="110" t="s">
        <v>89</v>
      </c>
      <c r="B396" s="114" t="str">
        <f>VLOOKUP(A396,Sheet1!A:B,2,0)</f>
        <v>HP</v>
      </c>
      <c r="C396" s="130" t="s">
        <v>106</v>
      </c>
      <c r="D396" s="111">
        <v>22150202018</v>
      </c>
      <c r="E396" s="111" t="s">
        <v>42</v>
      </c>
      <c r="F396" s="111" t="s">
        <v>91</v>
      </c>
      <c r="G396" s="162" t="s">
        <v>44</v>
      </c>
      <c r="H396" s="116">
        <v>2024</v>
      </c>
      <c r="I396" s="116">
        <v>10</v>
      </c>
      <c r="J396" s="117">
        <v>45590</v>
      </c>
      <c r="K396" s="118">
        <v>0.4</v>
      </c>
      <c r="L396" s="141">
        <v>0.1608</v>
      </c>
      <c r="M396" s="141">
        <v>0.1958</v>
      </c>
      <c r="N396" s="141">
        <v>0</v>
      </c>
      <c r="O396" s="119">
        <f t="shared" si="80"/>
        <v>0</v>
      </c>
      <c r="P396" s="120">
        <v>1</v>
      </c>
      <c r="Q396" s="119">
        <f t="shared" si="77"/>
        <v>0.1608</v>
      </c>
      <c r="R396" s="121">
        <v>68970</v>
      </c>
      <c r="S396" s="121">
        <f t="shared" si="81"/>
        <v>2399669</v>
      </c>
      <c r="T396" s="141">
        <f>98000</f>
        <v>98000</v>
      </c>
      <c r="U396" s="141">
        <v>36997.589999999997</v>
      </c>
      <c r="V396" s="142" t="s">
        <v>107</v>
      </c>
      <c r="W396" s="142"/>
      <c r="X396" s="143">
        <v>1.117</v>
      </c>
      <c r="Y396" s="143" t="s">
        <v>54</v>
      </c>
      <c r="Z396" s="143"/>
      <c r="AA396" s="135">
        <v>0</v>
      </c>
      <c r="AB396" s="126">
        <f t="shared" si="76"/>
        <v>13504.326000000001</v>
      </c>
      <c r="AC396" s="126">
        <f t="shared" si="78"/>
        <v>0</v>
      </c>
      <c r="AD396" s="144">
        <f t="shared" si="79"/>
        <v>77.039490000000001</v>
      </c>
      <c r="AE396" s="116"/>
    </row>
    <row r="397" spans="1:31" s="113" customFormat="1" x14ac:dyDescent="0.2">
      <c r="A397" s="110" t="s">
        <v>89</v>
      </c>
      <c r="B397" s="114" t="str">
        <f>VLOOKUP(A397,Sheet1!A:B,2,0)</f>
        <v>HP</v>
      </c>
      <c r="C397" s="130" t="s">
        <v>108</v>
      </c>
      <c r="D397" s="111">
        <v>22150202007</v>
      </c>
      <c r="E397" s="111" t="s">
        <v>42</v>
      </c>
      <c r="F397" s="111" t="s">
        <v>109</v>
      </c>
      <c r="G397" s="162" t="s">
        <v>44</v>
      </c>
      <c r="H397" s="116">
        <v>2024</v>
      </c>
      <c r="I397" s="116">
        <v>10</v>
      </c>
      <c r="J397" s="117">
        <v>45590</v>
      </c>
      <c r="K397" s="118">
        <v>0.5</v>
      </c>
      <c r="L397" s="141">
        <v>0.122757142857143</v>
      </c>
      <c r="M397" s="141">
        <v>0.16</v>
      </c>
      <c r="N397" s="141">
        <v>0</v>
      </c>
      <c r="O397" s="119">
        <f t="shared" si="80"/>
        <v>0</v>
      </c>
      <c r="P397" s="120">
        <v>1</v>
      </c>
      <c r="Q397" s="119">
        <f t="shared" si="77"/>
        <v>0.122757142857143</v>
      </c>
      <c r="R397" s="121">
        <v>0</v>
      </c>
      <c r="S397" s="121">
        <f t="shared" si="81"/>
        <v>3070324</v>
      </c>
      <c r="T397" s="141">
        <v>130350</v>
      </c>
      <c r="U397" s="141">
        <v>47342.226171428701</v>
      </c>
      <c r="V397" s="142" t="s">
        <v>100</v>
      </c>
      <c r="W397" s="142"/>
      <c r="X397" s="143">
        <v>0.52400000000000002</v>
      </c>
      <c r="Y397" s="143" t="s">
        <v>54</v>
      </c>
      <c r="Z397" s="143"/>
      <c r="AA397" s="135">
        <v>0</v>
      </c>
      <c r="AB397" s="126">
        <f t="shared" si="76"/>
        <v>0</v>
      </c>
      <c r="AC397" s="126">
        <f t="shared" si="78"/>
        <v>0</v>
      </c>
      <c r="AD397" s="144">
        <f t="shared" si="79"/>
        <v>0</v>
      </c>
      <c r="AE397" s="116"/>
    </row>
    <row r="398" spans="1:31" s="113" customFormat="1" x14ac:dyDescent="0.2">
      <c r="A398" s="111" t="s">
        <v>110</v>
      </c>
      <c r="B398" s="114" t="str">
        <f>VLOOKUP(A398,Sheet1!A:B,2,0)</f>
        <v>HP</v>
      </c>
      <c r="C398" s="130" t="s">
        <v>98</v>
      </c>
      <c r="D398" s="111">
        <v>23590202001</v>
      </c>
      <c r="E398" s="111" t="s">
        <v>42</v>
      </c>
      <c r="F398" s="111" t="s">
        <v>111</v>
      </c>
      <c r="G398" s="162" t="s">
        <v>44</v>
      </c>
      <c r="H398" s="116">
        <v>2024</v>
      </c>
      <c r="I398" s="116">
        <v>10</v>
      </c>
      <c r="J398" s="117">
        <v>45590</v>
      </c>
      <c r="K398" s="118">
        <v>0.5</v>
      </c>
      <c r="L398" s="141">
        <v>0.125588670602168</v>
      </c>
      <c r="M398" s="141">
        <v>0.15358867060216799</v>
      </c>
      <c r="N398" s="141">
        <v>0</v>
      </c>
      <c r="O398" s="119">
        <f t="shared" si="80"/>
        <v>0</v>
      </c>
      <c r="P398" s="120">
        <v>1</v>
      </c>
      <c r="Q398" s="119">
        <f t="shared" si="77"/>
        <v>0.125588670602168</v>
      </c>
      <c r="R398" s="121">
        <v>20000</v>
      </c>
      <c r="S398" s="121">
        <f t="shared" si="81"/>
        <v>1932198</v>
      </c>
      <c r="T398" s="141">
        <v>98000</v>
      </c>
      <c r="U398" s="141">
        <v>63491.96</v>
      </c>
      <c r="V398" s="142" t="s">
        <v>112</v>
      </c>
      <c r="W398" s="142"/>
      <c r="X398" s="143">
        <v>0.69499999999999995</v>
      </c>
      <c r="Y398" s="143" t="s">
        <v>54</v>
      </c>
      <c r="Z398" s="143"/>
      <c r="AA398" s="135">
        <v>0</v>
      </c>
      <c r="AB398" s="126">
        <f t="shared" si="76"/>
        <v>3071.7734120433597</v>
      </c>
      <c r="AC398" s="126">
        <f t="shared" si="78"/>
        <v>0</v>
      </c>
      <c r="AD398" s="144">
        <f t="shared" si="79"/>
        <v>13.899999999999999</v>
      </c>
      <c r="AE398" s="116"/>
    </row>
    <row r="399" spans="1:31" s="113" customFormat="1" ht="25.5" x14ac:dyDescent="0.2">
      <c r="A399" s="111" t="s">
        <v>110</v>
      </c>
      <c r="B399" s="114" t="str">
        <f>VLOOKUP(A399,Sheet1!A:B,2,0)</f>
        <v>HP</v>
      </c>
      <c r="C399" s="140" t="s">
        <v>101</v>
      </c>
      <c r="D399" s="111">
        <v>23480202015</v>
      </c>
      <c r="E399" s="111" t="s">
        <v>42</v>
      </c>
      <c r="F399" s="111" t="s">
        <v>113</v>
      </c>
      <c r="G399" s="162" t="s">
        <v>44</v>
      </c>
      <c r="H399" s="116">
        <v>2024</v>
      </c>
      <c r="I399" s="116">
        <v>10</v>
      </c>
      <c r="J399" s="117">
        <v>45590</v>
      </c>
      <c r="K399" s="118">
        <v>0.4</v>
      </c>
      <c r="L399" s="141">
        <v>0.27566008648311202</v>
      </c>
      <c r="M399" s="141">
        <v>0.353993419816445</v>
      </c>
      <c r="N399" s="141">
        <v>0</v>
      </c>
      <c r="O399" s="119">
        <f t="shared" si="80"/>
        <v>0</v>
      </c>
      <c r="P399" s="120">
        <v>1</v>
      </c>
      <c r="Q399" s="119">
        <f t="shared" si="77"/>
        <v>0.27566008648311202</v>
      </c>
      <c r="R399" s="121">
        <v>0</v>
      </c>
      <c r="S399" s="121">
        <f t="shared" si="81"/>
        <v>1388296</v>
      </c>
      <c r="T399" s="141">
        <v>188000</v>
      </c>
      <c r="U399" s="141">
        <v>126964.546666667</v>
      </c>
      <c r="V399" s="142" t="s">
        <v>114</v>
      </c>
      <c r="W399" s="142"/>
      <c r="X399" s="143">
        <v>1.722</v>
      </c>
      <c r="Y399" s="143" t="s">
        <v>54</v>
      </c>
      <c r="Z399" s="143"/>
      <c r="AA399" s="135">
        <v>0</v>
      </c>
      <c r="AB399" s="126">
        <f t="shared" si="76"/>
        <v>0</v>
      </c>
      <c r="AC399" s="126">
        <f t="shared" si="78"/>
        <v>0</v>
      </c>
      <c r="AD399" s="144">
        <f t="shared" si="79"/>
        <v>0</v>
      </c>
      <c r="AE399" s="116"/>
    </row>
    <row r="400" spans="1:31" s="113" customFormat="1" x14ac:dyDescent="0.2">
      <c r="A400" s="111" t="s">
        <v>110</v>
      </c>
      <c r="B400" s="114" t="str">
        <f>VLOOKUP(A400,Sheet1!A:B,2,0)</f>
        <v>HP</v>
      </c>
      <c r="C400" s="130" t="s">
        <v>115</v>
      </c>
      <c r="D400" s="111">
        <v>23480202012</v>
      </c>
      <c r="E400" s="111" t="s">
        <v>42</v>
      </c>
      <c r="F400" s="140" t="s">
        <v>116</v>
      </c>
      <c r="G400" s="162" t="s">
        <v>44</v>
      </c>
      <c r="H400" s="116">
        <v>2024</v>
      </c>
      <c r="I400" s="116">
        <v>10</v>
      </c>
      <c r="J400" s="117">
        <v>45590</v>
      </c>
      <c r="K400" s="118">
        <v>0.4</v>
      </c>
      <c r="L400" s="141">
        <f t="shared" ref="L400:L404" si="82">M400-N400</f>
        <v>0.80865388388102988</v>
      </c>
      <c r="M400" s="141">
        <v>1.0756538838810299</v>
      </c>
      <c r="N400" s="141">
        <v>0.26700000000000002</v>
      </c>
      <c r="O400" s="119">
        <f t="shared" si="80"/>
        <v>0.10680000000000001</v>
      </c>
      <c r="P400" s="120">
        <v>1</v>
      </c>
      <c r="Q400" s="119">
        <f t="shared" si="77"/>
        <v>0.80865388388102988</v>
      </c>
      <c r="R400" s="121">
        <v>16632</v>
      </c>
      <c r="S400" s="121">
        <f>R400+S283</f>
        <v>737869</v>
      </c>
      <c r="T400" s="141">
        <v>640000</v>
      </c>
      <c r="U400" s="141">
        <f>T400-N400*S400</f>
        <v>442988.97699999996</v>
      </c>
      <c r="V400" s="142" t="s">
        <v>117</v>
      </c>
      <c r="W400" s="142"/>
      <c r="X400" s="143">
        <v>5.7469999999999999</v>
      </c>
      <c r="Y400" s="143" t="s">
        <v>54</v>
      </c>
      <c r="Z400" s="143"/>
      <c r="AA400" s="135">
        <v>0</v>
      </c>
      <c r="AB400" s="126">
        <f t="shared" si="76"/>
        <v>17890.27539670929</v>
      </c>
      <c r="AC400" s="126">
        <f t="shared" si="78"/>
        <v>0</v>
      </c>
      <c r="AD400" s="144">
        <f t="shared" si="79"/>
        <v>95.584103999999996</v>
      </c>
      <c r="AE400" s="116"/>
    </row>
    <row r="401" spans="1:31" s="113" customFormat="1" ht="25.5" x14ac:dyDescent="0.2">
      <c r="A401" s="111" t="s">
        <v>110</v>
      </c>
      <c r="B401" s="114" t="str">
        <f>VLOOKUP(A401,Sheet1!A:B,2,0)</f>
        <v>HP</v>
      </c>
      <c r="C401" s="130" t="s">
        <v>118</v>
      </c>
      <c r="D401" s="111">
        <v>23480202005</v>
      </c>
      <c r="E401" s="111" t="s">
        <v>42</v>
      </c>
      <c r="F401" s="140" t="s">
        <v>119</v>
      </c>
      <c r="G401" s="162" t="s">
        <v>44</v>
      </c>
      <c r="H401" s="116">
        <v>2024</v>
      </c>
      <c r="I401" s="116">
        <v>10</v>
      </c>
      <c r="J401" s="117">
        <v>45590</v>
      </c>
      <c r="K401" s="118">
        <v>0.6</v>
      </c>
      <c r="L401" s="141">
        <f t="shared" si="82"/>
        <v>0.61243323981863296</v>
      </c>
      <c r="M401" s="141">
        <v>0.790433239818633</v>
      </c>
      <c r="N401" s="141">
        <v>0.17799999999999999</v>
      </c>
      <c r="O401" s="119">
        <f t="shared" si="80"/>
        <v>0.10679999999999999</v>
      </c>
      <c r="P401" s="120">
        <v>1</v>
      </c>
      <c r="Q401" s="119">
        <f t="shared" si="77"/>
        <v>0.61243323981863296</v>
      </c>
      <c r="R401" s="121">
        <v>36300</v>
      </c>
      <c r="S401" s="121">
        <f t="shared" si="81"/>
        <v>1309940</v>
      </c>
      <c r="T401" s="141">
        <f>640000+35296</f>
        <v>675296</v>
      </c>
      <c r="U401" s="141">
        <f t="shared" ref="U401:U404" si="83">T401-N401*S401</f>
        <v>442126.68000000005</v>
      </c>
      <c r="V401" s="142" t="s">
        <v>120</v>
      </c>
      <c r="W401" s="142"/>
      <c r="X401" s="143">
        <v>3.2709999999999999</v>
      </c>
      <c r="Y401" s="143" t="s">
        <v>54</v>
      </c>
      <c r="Z401" s="143"/>
      <c r="AA401" s="135">
        <v>0</v>
      </c>
      <c r="AB401" s="126">
        <f t="shared" si="76"/>
        <v>28692.726605416377</v>
      </c>
      <c r="AC401" s="126">
        <f t="shared" si="78"/>
        <v>0</v>
      </c>
      <c r="AD401" s="144">
        <f t="shared" si="79"/>
        <v>118.7373</v>
      </c>
      <c r="AE401" s="116"/>
    </row>
    <row r="402" spans="1:31" s="113" customFormat="1" x14ac:dyDescent="0.2">
      <c r="A402" s="111" t="s">
        <v>110</v>
      </c>
      <c r="B402" s="114" t="str">
        <f>VLOOKUP(A402,Sheet1!A:B,2,0)</f>
        <v>HP</v>
      </c>
      <c r="C402" s="130" t="s">
        <v>121</v>
      </c>
      <c r="D402" s="111">
        <v>23480202011</v>
      </c>
      <c r="E402" s="111" t="s">
        <v>42</v>
      </c>
      <c r="F402" s="140" t="s">
        <v>116</v>
      </c>
      <c r="G402" s="162" t="s">
        <v>44</v>
      </c>
      <c r="H402" s="116">
        <v>2024</v>
      </c>
      <c r="I402" s="116">
        <v>10</v>
      </c>
      <c r="J402" s="117">
        <v>45590</v>
      </c>
      <c r="K402" s="118">
        <v>0.5</v>
      </c>
      <c r="L402" s="141">
        <f t="shared" si="82"/>
        <v>0.29378086188436198</v>
      </c>
      <c r="M402" s="141">
        <v>0.41711419521769499</v>
      </c>
      <c r="N402" s="141">
        <v>0.123333333333333</v>
      </c>
      <c r="O402" s="119">
        <f t="shared" si="80"/>
        <v>6.1666666666666502E-2</v>
      </c>
      <c r="P402" s="120">
        <v>1</v>
      </c>
      <c r="Q402" s="119">
        <f t="shared" si="77"/>
        <v>0.29378086188436198</v>
      </c>
      <c r="R402" s="121">
        <v>60000</v>
      </c>
      <c r="S402" s="121">
        <f t="shared" si="81"/>
        <v>1062735</v>
      </c>
      <c r="T402" s="141">
        <v>370000</v>
      </c>
      <c r="U402" s="141">
        <f t="shared" si="83"/>
        <v>238929.35000000036</v>
      </c>
      <c r="V402" s="142" t="s">
        <v>107</v>
      </c>
      <c r="W402" s="142"/>
      <c r="X402" s="143">
        <v>1.7749999999999999</v>
      </c>
      <c r="Y402" s="143" t="s">
        <v>54</v>
      </c>
      <c r="Z402" s="143"/>
      <c r="AA402" s="135">
        <v>0</v>
      </c>
      <c r="AB402" s="126">
        <f t="shared" si="76"/>
        <v>25026.8517130617</v>
      </c>
      <c r="AC402" s="126">
        <f t="shared" si="78"/>
        <v>0</v>
      </c>
      <c r="AD402" s="144">
        <f t="shared" si="79"/>
        <v>106.5</v>
      </c>
      <c r="AE402" s="116"/>
    </row>
    <row r="403" spans="1:31" s="113" customFormat="1" ht="25.5" x14ac:dyDescent="0.2">
      <c r="A403" s="111" t="s">
        <v>110</v>
      </c>
      <c r="B403" s="114" t="str">
        <f>VLOOKUP(A403,Sheet1!A:B,2,0)</f>
        <v>HP</v>
      </c>
      <c r="C403" s="130" t="s">
        <v>66</v>
      </c>
      <c r="D403" s="111">
        <v>23480202017</v>
      </c>
      <c r="E403" s="111" t="s">
        <v>42</v>
      </c>
      <c r="F403" s="140" t="s">
        <v>116</v>
      </c>
      <c r="G403" s="162" t="s">
        <v>44</v>
      </c>
      <c r="H403" s="116">
        <v>2024</v>
      </c>
      <c r="I403" s="116">
        <v>10</v>
      </c>
      <c r="J403" s="117">
        <v>45590</v>
      </c>
      <c r="K403" s="118">
        <v>0.5</v>
      </c>
      <c r="L403" s="141">
        <f t="shared" si="82"/>
        <v>1.0628666666666668</v>
      </c>
      <c r="M403" s="141">
        <v>1.1322000000000001</v>
      </c>
      <c r="N403" s="141">
        <v>6.9333333333333302E-2</v>
      </c>
      <c r="O403" s="119">
        <f t="shared" si="80"/>
        <v>3.4666666666666651E-2</v>
      </c>
      <c r="P403" s="120">
        <v>1</v>
      </c>
      <c r="Q403" s="119">
        <f t="shared" si="77"/>
        <v>1.0628666666666668</v>
      </c>
      <c r="R403" s="121">
        <v>25627</v>
      </c>
      <c r="S403" s="121">
        <f t="shared" si="81"/>
        <v>814396</v>
      </c>
      <c r="T403" s="141">
        <f>208000+207000+35513+26171+7330</f>
        <v>484014</v>
      </c>
      <c r="U403" s="141">
        <f t="shared" si="83"/>
        <v>427549.21066666668</v>
      </c>
      <c r="V403" s="142" t="s">
        <v>122</v>
      </c>
      <c r="W403" s="142"/>
      <c r="X403" s="143">
        <v>2.3839999999999999</v>
      </c>
      <c r="Y403" s="143" t="s">
        <v>54</v>
      </c>
      <c r="Z403" s="124" t="s">
        <v>93</v>
      </c>
      <c r="AA403" s="135">
        <v>0.7964</v>
      </c>
      <c r="AB403" s="126">
        <f t="shared" si="76"/>
        <v>29014.889400000004</v>
      </c>
      <c r="AC403" s="126">
        <f t="shared" si="78"/>
        <v>20409.342799999999</v>
      </c>
      <c r="AD403" s="144">
        <f t="shared" si="79"/>
        <v>61.094767999999995</v>
      </c>
      <c r="AE403" s="116"/>
    </row>
    <row r="404" spans="1:31" s="113" customFormat="1" ht="51" x14ac:dyDescent="0.2">
      <c r="A404" s="111" t="s">
        <v>110</v>
      </c>
      <c r="B404" s="114" t="str">
        <f>VLOOKUP(A404,Sheet1!A:B,2,0)</f>
        <v>HP</v>
      </c>
      <c r="C404" s="130" t="s">
        <v>81</v>
      </c>
      <c r="D404" s="111">
        <v>23480202018</v>
      </c>
      <c r="E404" s="111" t="s">
        <v>42</v>
      </c>
      <c r="F404" s="140" t="s">
        <v>116</v>
      </c>
      <c r="G404" s="162" t="s">
        <v>44</v>
      </c>
      <c r="H404" s="116">
        <v>2024</v>
      </c>
      <c r="I404" s="116">
        <v>10</v>
      </c>
      <c r="J404" s="117">
        <v>45590</v>
      </c>
      <c r="K404" s="118">
        <v>0.4</v>
      </c>
      <c r="L404" s="141">
        <f t="shared" si="82"/>
        <v>0.41382922267354705</v>
      </c>
      <c r="M404" s="141">
        <v>0.54316255600688002</v>
      </c>
      <c r="N404" s="141">
        <v>0.12933333333333299</v>
      </c>
      <c r="O404" s="119">
        <f>N404*K404</f>
        <v>5.1733333333333201E-2</v>
      </c>
      <c r="P404" s="120">
        <v>1</v>
      </c>
      <c r="Q404" s="119">
        <f t="shared" si="77"/>
        <v>0.41382922267354705</v>
      </c>
      <c r="R404" s="121">
        <v>0</v>
      </c>
      <c r="S404" s="121">
        <f t="shared" si="81"/>
        <v>429495</v>
      </c>
      <c r="T404" s="141">
        <f>388000+53870+10859</f>
        <v>452729</v>
      </c>
      <c r="U404" s="141">
        <f t="shared" si="83"/>
        <v>397180.98000000016</v>
      </c>
      <c r="V404" s="142" t="s">
        <v>123</v>
      </c>
      <c r="W404" s="116"/>
      <c r="X404" s="143">
        <v>3.673</v>
      </c>
      <c r="Y404" s="143" t="s">
        <v>54</v>
      </c>
      <c r="Z404" s="143"/>
      <c r="AA404" s="157" t="s">
        <v>134</v>
      </c>
      <c r="AB404" s="126">
        <f t="shared" si="76"/>
        <v>0</v>
      </c>
      <c r="AC404" s="126" t="e">
        <f t="shared" si="78"/>
        <v>#VALUE!</v>
      </c>
      <c r="AD404" s="144">
        <f t="shared" si="79"/>
        <v>0</v>
      </c>
      <c r="AE404" s="116"/>
    </row>
    <row r="405" spans="1:31" s="129" customFormat="1" x14ac:dyDescent="0.2">
      <c r="A405" s="110" t="s">
        <v>124</v>
      </c>
      <c r="B405" s="114" t="str">
        <f>VLOOKUP(A405,Sheet1!A:B,2,0)</f>
        <v>RCS POD</v>
      </c>
      <c r="C405" s="130" t="s">
        <v>84</v>
      </c>
      <c r="D405" s="110" t="s">
        <v>85</v>
      </c>
      <c r="E405" s="110" t="s">
        <v>42</v>
      </c>
      <c r="F405" s="110" t="s">
        <v>60</v>
      </c>
      <c r="G405" s="162" t="s">
        <v>44</v>
      </c>
      <c r="H405" s="123">
        <v>2024</v>
      </c>
      <c r="I405" s="116">
        <v>10</v>
      </c>
      <c r="J405" s="117">
        <v>45590</v>
      </c>
      <c r="K405" s="118">
        <v>0.5</v>
      </c>
      <c r="L405" s="146">
        <f>M405-N405</f>
        <v>0.2716898724654021</v>
      </c>
      <c r="M405" s="146">
        <f>0.0486776607435088*7.15</f>
        <v>0.34804527431608795</v>
      </c>
      <c r="N405" s="146">
        <f>0.0106790771819141*7.15</f>
        <v>7.6355401850685817E-2</v>
      </c>
      <c r="O405" s="119">
        <f t="shared" si="80"/>
        <v>3.8177700925342908E-2</v>
      </c>
      <c r="P405" s="120">
        <v>1</v>
      </c>
      <c r="Q405" s="119">
        <f t="shared" si="77"/>
        <v>0.2716898724654021</v>
      </c>
      <c r="R405" s="151">
        <v>4832000</v>
      </c>
      <c r="S405" s="147">
        <f>R405+S368</f>
        <v>350106339</v>
      </c>
      <c r="T405" s="148">
        <f>3463988.94540042*7.15</f>
        <v>24767520.959613007</v>
      </c>
      <c r="U405" s="164">
        <f>-565708.65*7.15</f>
        <v>-4044816.8475000001</v>
      </c>
      <c r="V405" s="136" t="s">
        <v>45</v>
      </c>
      <c r="W405" s="132"/>
      <c r="X405" s="124">
        <v>2.09</v>
      </c>
      <c r="Y405" s="133" t="s">
        <v>46</v>
      </c>
      <c r="Z405" s="133"/>
      <c r="AA405" s="125">
        <v>0</v>
      </c>
      <c r="AB405" s="126">
        <f t="shared" si="76"/>
        <v>1681754.7654953371</v>
      </c>
      <c r="AC405" s="126">
        <f>R405*AA405</f>
        <v>0</v>
      </c>
      <c r="AD405" s="127">
        <f t="shared" si="79"/>
        <v>10098.879999999999</v>
      </c>
      <c r="AE405" s="123" t="s">
        <v>125</v>
      </c>
    </row>
    <row r="406" spans="1:31" s="129" customFormat="1" x14ac:dyDescent="0.2">
      <c r="A406" s="110" t="s">
        <v>124</v>
      </c>
      <c r="B406" s="114" t="str">
        <f>VLOOKUP(A406,Sheet1!A:B,2,0)</f>
        <v>RCS POD</v>
      </c>
      <c r="C406" s="130" t="s">
        <v>126</v>
      </c>
      <c r="D406" s="110" t="s">
        <v>127</v>
      </c>
      <c r="E406" s="110" t="s">
        <v>42</v>
      </c>
      <c r="F406" s="110" t="s">
        <v>60</v>
      </c>
      <c r="G406" s="162" t="s">
        <v>44</v>
      </c>
      <c r="H406" s="123">
        <v>2024</v>
      </c>
      <c r="I406" s="116">
        <v>10</v>
      </c>
      <c r="J406" s="117">
        <v>45590</v>
      </c>
      <c r="K406" s="118">
        <v>0.5</v>
      </c>
      <c r="L406" s="146">
        <f t="shared" ref="L406:L407" si="84">M406-N406</f>
        <v>8.678151776003247E-2</v>
      </c>
      <c r="M406" s="146">
        <f>0.0161737427216087*7.15</f>
        <v>0.11564226045950222</v>
      </c>
      <c r="N406" s="146">
        <f>0.00403646751041535*7.15</f>
        <v>2.8860742699469755E-2</v>
      </c>
      <c r="O406" s="119">
        <f t="shared" si="80"/>
        <v>1.4430371349734877E-2</v>
      </c>
      <c r="P406" s="120">
        <v>1</v>
      </c>
      <c r="Q406" s="119">
        <f t="shared" si="77"/>
        <v>8.678151776003247E-2</v>
      </c>
      <c r="R406" s="151">
        <v>5003000</v>
      </c>
      <c r="S406" s="147">
        <f>R406+S369</f>
        <v>353411134</v>
      </c>
      <c r="T406" s="126">
        <f>1437831.94798769*7.15</f>
        <v>10280498.428111985</v>
      </c>
      <c r="U406" s="165">
        <f>-154940.58*7.15</f>
        <v>-1107825.1469999999</v>
      </c>
      <c r="V406" s="136" t="s">
        <v>45</v>
      </c>
      <c r="W406" s="132"/>
      <c r="X406" s="124">
        <v>0.31</v>
      </c>
      <c r="Y406" s="133" t="s">
        <v>46</v>
      </c>
      <c r="Z406" s="133"/>
      <c r="AA406" s="125">
        <v>0</v>
      </c>
      <c r="AB406" s="126">
        <f t="shared" si="76"/>
        <v>578558.22907888959</v>
      </c>
      <c r="AC406" s="126">
        <f t="shared" si="78"/>
        <v>0</v>
      </c>
      <c r="AD406" s="127">
        <f t="shared" si="79"/>
        <v>1550.93</v>
      </c>
      <c r="AE406" s="123" t="s">
        <v>125</v>
      </c>
    </row>
    <row r="407" spans="1:31" s="129" customFormat="1" x14ac:dyDescent="0.2">
      <c r="A407" s="110" t="s">
        <v>124</v>
      </c>
      <c r="B407" s="114" t="str">
        <f>VLOOKUP(A407,Sheet1!A:B,2,0)</f>
        <v>RCS POD</v>
      </c>
      <c r="C407" s="130" t="s">
        <v>128</v>
      </c>
      <c r="D407" s="110" t="s">
        <v>129</v>
      </c>
      <c r="E407" s="110" t="s">
        <v>42</v>
      </c>
      <c r="F407" s="110" t="s">
        <v>60</v>
      </c>
      <c r="G407" s="162" t="s">
        <v>44</v>
      </c>
      <c r="H407" s="123">
        <v>2024</v>
      </c>
      <c r="I407" s="116">
        <v>10</v>
      </c>
      <c r="J407" s="117">
        <v>45590</v>
      </c>
      <c r="K407" s="118">
        <v>0.5</v>
      </c>
      <c r="L407" s="146">
        <f t="shared" si="84"/>
        <v>9.5833382481798193E-2</v>
      </c>
      <c r="M407" s="146">
        <f>0.0174994801501063*7.15</f>
        <v>0.12512128307326006</v>
      </c>
      <c r="N407" s="146">
        <f>0.00409620987293173*7.15</f>
        <v>2.9287900591461875E-2</v>
      </c>
      <c r="O407" s="119">
        <f t="shared" si="80"/>
        <v>1.4643950295730937E-2</v>
      </c>
      <c r="P407" s="120">
        <v>1</v>
      </c>
      <c r="Q407" s="119">
        <f t="shared" si="77"/>
        <v>9.5833382481798193E-2</v>
      </c>
      <c r="R407" s="151">
        <v>5027000</v>
      </c>
      <c r="S407" s="147">
        <f>R407+S370</f>
        <v>354051484</v>
      </c>
      <c r="T407" s="149">
        <f>1445425.20219722*7.15</f>
        <v>10334790.195710123</v>
      </c>
      <c r="U407" s="164">
        <f>-170423.26*7.15</f>
        <v>-1218526.3090000001</v>
      </c>
      <c r="V407" s="136" t="s">
        <v>45</v>
      </c>
      <c r="W407" s="132"/>
      <c r="X407" s="124">
        <v>0.5</v>
      </c>
      <c r="Y407" s="133" t="s">
        <v>46</v>
      </c>
      <c r="Z407" s="133"/>
      <c r="AA407" s="125">
        <v>0</v>
      </c>
      <c r="AB407" s="126">
        <f t="shared" si="76"/>
        <v>628984.69000927836</v>
      </c>
      <c r="AC407" s="126">
        <f t="shared" si="78"/>
        <v>0</v>
      </c>
      <c r="AD407" s="127">
        <f t="shared" si="79"/>
        <v>2513.5</v>
      </c>
      <c r="AE407" s="123" t="s">
        <v>125</v>
      </c>
    </row>
    <row r="408" spans="1:31" s="129" customFormat="1" x14ac:dyDescent="0.2">
      <c r="A408" s="110" t="s">
        <v>124</v>
      </c>
      <c r="B408" s="114" t="str">
        <f>VLOOKUP(A408,Sheet1!A:B,2,0)</f>
        <v>RCS POD</v>
      </c>
      <c r="C408" s="130" t="s">
        <v>130</v>
      </c>
      <c r="D408" s="110" t="s">
        <v>131</v>
      </c>
      <c r="E408" s="110" t="s">
        <v>42</v>
      </c>
      <c r="F408" s="110" t="s">
        <v>60</v>
      </c>
      <c r="G408" s="162" t="s">
        <v>44</v>
      </c>
      <c r="H408" s="123">
        <v>2024</v>
      </c>
      <c r="I408" s="116">
        <v>10</v>
      </c>
      <c r="J408" s="117">
        <v>45590</v>
      </c>
      <c r="K408" s="118">
        <v>0.5</v>
      </c>
      <c r="L408" s="146">
        <f t="shared" ref="L408:L410" si="85">M408-N408</f>
        <v>0.11296999999999974</v>
      </c>
      <c r="M408" s="146">
        <f>0.0185189867051391*7.15</f>
        <v>0.13241075494174459</v>
      </c>
      <c r="N408" s="146">
        <f>0.00271898670513914*7.15</f>
        <v>1.944075494174485E-2</v>
      </c>
      <c r="O408" s="119">
        <f t="shared" si="80"/>
        <v>9.7203774708724249E-3</v>
      </c>
      <c r="P408" s="120">
        <v>1</v>
      </c>
      <c r="Q408" s="119">
        <f t="shared" si="77"/>
        <v>0.11296999999999974</v>
      </c>
      <c r="R408" s="151">
        <v>4980000</v>
      </c>
      <c r="S408" s="147">
        <f>R408+S371</f>
        <v>350626816</v>
      </c>
      <c r="T408" s="149">
        <f>728800.55983205*7.15</f>
        <v>5210924.002799158</v>
      </c>
      <c r="U408" s="164">
        <f>-224549.09*7.15</f>
        <v>-1605525.9935000001</v>
      </c>
      <c r="V408" s="234" t="s">
        <v>132</v>
      </c>
      <c r="W408" s="150"/>
      <c r="X408" s="124">
        <v>1.29</v>
      </c>
      <c r="Y408" s="150" t="s">
        <v>133</v>
      </c>
      <c r="Z408" s="150"/>
      <c r="AA408" s="125">
        <v>0</v>
      </c>
      <c r="AB408" s="126">
        <f t="shared" si="76"/>
        <v>659405.55960988801</v>
      </c>
      <c r="AC408" s="126">
        <f t="shared" si="78"/>
        <v>0</v>
      </c>
      <c r="AD408" s="127">
        <f t="shared" si="79"/>
        <v>6424.2</v>
      </c>
      <c r="AE408" s="123" t="s">
        <v>125</v>
      </c>
    </row>
    <row r="409" spans="1:31" s="112" customFormat="1" x14ac:dyDescent="0.2">
      <c r="A409" s="107" t="s">
        <v>124</v>
      </c>
      <c r="B409" s="114" t="str">
        <f>VLOOKUP(A409,Sheet1!A:B,2,0)</f>
        <v>RCS POD</v>
      </c>
      <c r="C409" s="108" t="s">
        <v>135</v>
      </c>
      <c r="D409" s="157" t="s">
        <v>136</v>
      </c>
      <c r="E409" s="157" t="s">
        <v>42</v>
      </c>
      <c r="F409" s="157" t="s">
        <v>60</v>
      </c>
      <c r="G409" s="158" t="s">
        <v>137</v>
      </c>
      <c r="H409" s="157">
        <v>2024</v>
      </c>
      <c r="I409" s="108">
        <v>1</v>
      </c>
      <c r="J409" s="159">
        <v>45628</v>
      </c>
      <c r="K409" s="160">
        <v>0.5</v>
      </c>
      <c r="L409" s="146">
        <f t="shared" si="85"/>
        <v>0.16769999999999999</v>
      </c>
      <c r="M409" s="146">
        <v>0.16769999999999999</v>
      </c>
      <c r="N409" s="146">
        <v>0</v>
      </c>
      <c r="O409" s="119">
        <f t="shared" ref="O409:O411" si="86">N409*K409</f>
        <v>0</v>
      </c>
      <c r="P409" s="120">
        <v>1</v>
      </c>
      <c r="Q409" s="119">
        <f t="shared" si="77"/>
        <v>0.16769999999999999</v>
      </c>
      <c r="R409" s="104">
        <v>24912610</v>
      </c>
      <c r="S409" s="105">
        <v>24912610</v>
      </c>
      <c r="T409" s="153">
        <v>0</v>
      </c>
      <c r="U409" s="153">
        <v>0</v>
      </c>
      <c r="V409" s="167" t="s">
        <v>138</v>
      </c>
      <c r="W409" s="108"/>
      <c r="X409" s="157">
        <v>5.3</v>
      </c>
      <c r="Y409" s="108" t="s">
        <v>139</v>
      </c>
      <c r="Z409" s="108"/>
      <c r="AA409" s="153">
        <v>9.11E-2</v>
      </c>
      <c r="AB409" s="126">
        <f t="shared" si="76"/>
        <v>4177844.6969999997</v>
      </c>
      <c r="AC409" s="126">
        <f t="shared" si="78"/>
        <v>2269538.7710000002</v>
      </c>
      <c r="AD409" s="105">
        <v>132037</v>
      </c>
      <c r="AE409" s="157" t="s">
        <v>140</v>
      </c>
    </row>
    <row r="410" spans="1:31" s="112" customFormat="1" x14ac:dyDescent="0.2">
      <c r="A410" s="107" t="s">
        <v>124</v>
      </c>
      <c r="B410" s="114" t="str">
        <f>VLOOKUP(A410,Sheet1!A:B,2,0)</f>
        <v>RCS POD</v>
      </c>
      <c r="C410" s="108" t="s">
        <v>135</v>
      </c>
      <c r="D410" s="157" t="s">
        <v>136</v>
      </c>
      <c r="E410" s="157" t="s">
        <v>42</v>
      </c>
      <c r="F410" s="157" t="s">
        <v>60</v>
      </c>
      <c r="G410" s="158" t="s">
        <v>137</v>
      </c>
      <c r="H410" s="157">
        <v>2024</v>
      </c>
      <c r="I410" s="108">
        <v>2</v>
      </c>
      <c r="J410" s="159">
        <v>45628</v>
      </c>
      <c r="K410" s="160">
        <v>0.5</v>
      </c>
      <c r="L410" s="146">
        <f t="shared" si="85"/>
        <v>0.16769999999999999</v>
      </c>
      <c r="M410" s="146">
        <v>0.16769999999999999</v>
      </c>
      <c r="N410" s="146">
        <v>0</v>
      </c>
      <c r="O410" s="119">
        <f t="shared" si="86"/>
        <v>0</v>
      </c>
      <c r="P410" s="120">
        <v>1</v>
      </c>
      <c r="Q410" s="119">
        <f t="shared" si="77"/>
        <v>0.16769999999999999</v>
      </c>
      <c r="R410" s="104">
        <v>15447251</v>
      </c>
      <c r="S410" s="105">
        <v>40359861</v>
      </c>
      <c r="T410" s="153">
        <v>0</v>
      </c>
      <c r="U410" s="153">
        <v>0</v>
      </c>
      <c r="V410" s="167" t="s">
        <v>138</v>
      </c>
      <c r="W410" s="108"/>
      <c r="X410" s="157">
        <v>5.3</v>
      </c>
      <c r="Y410" s="108" t="s">
        <v>139</v>
      </c>
      <c r="Z410" s="108"/>
      <c r="AA410" s="153">
        <v>9.11E-2</v>
      </c>
      <c r="AB410" s="126">
        <f t="shared" si="76"/>
        <v>2590503.9926999998</v>
      </c>
      <c r="AC410" s="126">
        <f t="shared" si="78"/>
        <v>1407244.5660999999</v>
      </c>
      <c r="AD410" s="105">
        <v>81870</v>
      </c>
      <c r="AE410" s="157" t="s">
        <v>140</v>
      </c>
    </row>
    <row r="411" spans="1:31" s="112" customFormat="1" x14ac:dyDescent="0.2">
      <c r="A411" s="107" t="s">
        <v>124</v>
      </c>
      <c r="B411" s="114" t="str">
        <f>VLOOKUP(A411,Sheet1!A:B,2,0)</f>
        <v>RCS POD</v>
      </c>
      <c r="C411" s="108" t="s">
        <v>135</v>
      </c>
      <c r="D411" s="157" t="s">
        <v>136</v>
      </c>
      <c r="E411" s="157" t="s">
        <v>42</v>
      </c>
      <c r="F411" s="157" t="s">
        <v>60</v>
      </c>
      <c r="G411" s="158" t="s">
        <v>137</v>
      </c>
      <c r="H411" s="157">
        <v>2024</v>
      </c>
      <c r="I411" s="108">
        <v>3</v>
      </c>
      <c r="J411" s="159">
        <v>45628</v>
      </c>
      <c r="K411" s="160">
        <v>0.5</v>
      </c>
      <c r="L411" s="146">
        <f t="shared" ref="L411:L428" si="87">M411-N411</f>
        <v>0.16769999999999999</v>
      </c>
      <c r="M411" s="146">
        <v>0.16769999999999999</v>
      </c>
      <c r="N411" s="146">
        <v>0</v>
      </c>
      <c r="O411" s="119">
        <f t="shared" si="86"/>
        <v>0</v>
      </c>
      <c r="P411" s="120">
        <v>1</v>
      </c>
      <c r="Q411" s="119">
        <f t="shared" si="77"/>
        <v>0.16769999999999999</v>
      </c>
      <c r="R411" s="104">
        <v>17111011</v>
      </c>
      <c r="S411" s="105">
        <v>57470872</v>
      </c>
      <c r="T411" s="153">
        <v>0</v>
      </c>
      <c r="U411" s="153">
        <v>0</v>
      </c>
      <c r="V411" s="167" t="s">
        <v>138</v>
      </c>
      <c r="W411" s="108"/>
      <c r="X411" s="157">
        <v>5.3</v>
      </c>
      <c r="Y411" s="108" t="s">
        <v>139</v>
      </c>
      <c r="Z411" s="108"/>
      <c r="AA411" s="153">
        <v>9.11E-2</v>
      </c>
      <c r="AB411" s="126">
        <f t="shared" si="76"/>
        <v>2869516.5447</v>
      </c>
      <c r="AC411" s="126">
        <f t="shared" si="78"/>
        <v>1558813.1021</v>
      </c>
      <c r="AD411" s="105">
        <v>90688</v>
      </c>
      <c r="AE411" s="157" t="s">
        <v>140</v>
      </c>
    </row>
    <row r="412" spans="1:31" s="112" customFormat="1" x14ac:dyDescent="0.2">
      <c r="A412" s="107" t="s">
        <v>124</v>
      </c>
      <c r="B412" s="114" t="str">
        <f>VLOOKUP(A412,Sheet1!A:B,2,0)</f>
        <v>RCS POD</v>
      </c>
      <c r="C412" s="108" t="s">
        <v>135</v>
      </c>
      <c r="D412" s="157" t="s">
        <v>136</v>
      </c>
      <c r="E412" s="157" t="s">
        <v>42</v>
      </c>
      <c r="F412" s="157" t="s">
        <v>60</v>
      </c>
      <c r="G412" s="158" t="s">
        <v>137</v>
      </c>
      <c r="H412" s="157">
        <v>2024</v>
      </c>
      <c r="I412" s="108">
        <v>4</v>
      </c>
      <c r="J412" s="159">
        <v>45628</v>
      </c>
      <c r="K412" s="160">
        <v>0.5</v>
      </c>
      <c r="L412" s="146">
        <f t="shared" si="87"/>
        <v>0.16769999999999999</v>
      </c>
      <c r="M412" s="146">
        <v>0.16769999999999999</v>
      </c>
      <c r="N412" s="146">
        <v>0</v>
      </c>
      <c r="O412" s="119">
        <f t="shared" ref="O412:O429" si="88">N412*K412</f>
        <v>0</v>
      </c>
      <c r="P412" s="120">
        <v>1</v>
      </c>
      <c r="Q412" s="119">
        <f t="shared" si="77"/>
        <v>0.16769999999999999</v>
      </c>
      <c r="R412" s="104">
        <v>10244287</v>
      </c>
      <c r="S412" s="105">
        <v>67715159</v>
      </c>
      <c r="T412" s="153">
        <v>0</v>
      </c>
      <c r="U412" s="153">
        <v>0</v>
      </c>
      <c r="V412" s="167" t="s">
        <v>138</v>
      </c>
      <c r="W412" s="108"/>
      <c r="X412" s="157">
        <v>5.3</v>
      </c>
      <c r="Y412" s="108" t="s">
        <v>139</v>
      </c>
      <c r="Z412" s="108"/>
      <c r="AA412" s="153">
        <v>9.11E-2</v>
      </c>
      <c r="AB412" s="126">
        <f t="shared" si="76"/>
        <v>1717966.9298999999</v>
      </c>
      <c r="AC412" s="126">
        <f t="shared" si="78"/>
        <v>933254.54570000002</v>
      </c>
      <c r="AD412" s="105">
        <v>54295</v>
      </c>
      <c r="AE412" s="157" t="s">
        <v>140</v>
      </c>
    </row>
    <row r="413" spans="1:31" s="112" customFormat="1" x14ac:dyDescent="0.2">
      <c r="A413" s="107" t="s">
        <v>124</v>
      </c>
      <c r="B413" s="114" t="str">
        <f>VLOOKUP(A413,Sheet1!A:B,2,0)</f>
        <v>RCS POD</v>
      </c>
      <c r="C413" s="108" t="s">
        <v>135</v>
      </c>
      <c r="D413" s="157" t="s">
        <v>136</v>
      </c>
      <c r="E413" s="157" t="s">
        <v>42</v>
      </c>
      <c r="F413" s="157" t="s">
        <v>60</v>
      </c>
      <c r="G413" s="158" t="s">
        <v>137</v>
      </c>
      <c r="H413" s="157">
        <v>2024</v>
      </c>
      <c r="I413" s="108">
        <v>5</v>
      </c>
      <c r="J413" s="159">
        <v>45628</v>
      </c>
      <c r="K413" s="160">
        <v>0.5</v>
      </c>
      <c r="L413" s="146">
        <f t="shared" si="87"/>
        <v>0.16769999999999999</v>
      </c>
      <c r="M413" s="146">
        <v>0.16769999999999999</v>
      </c>
      <c r="N413" s="146">
        <v>0</v>
      </c>
      <c r="O413" s="119">
        <f t="shared" si="88"/>
        <v>0</v>
      </c>
      <c r="P413" s="120">
        <v>1</v>
      </c>
      <c r="Q413" s="119">
        <f t="shared" si="77"/>
        <v>0.16769999999999999</v>
      </c>
      <c r="R413" s="104">
        <v>17764238</v>
      </c>
      <c r="S413" s="105">
        <v>85479397</v>
      </c>
      <c r="T413" s="153">
        <v>0</v>
      </c>
      <c r="U413" s="153">
        <v>0</v>
      </c>
      <c r="V413" s="167" t="s">
        <v>138</v>
      </c>
      <c r="W413" s="108"/>
      <c r="X413" s="157">
        <v>5.3</v>
      </c>
      <c r="Y413" s="108" t="s">
        <v>139</v>
      </c>
      <c r="Z413" s="108"/>
      <c r="AA413" s="153">
        <v>9.11E-2</v>
      </c>
      <c r="AB413" s="126">
        <f t="shared" si="76"/>
        <v>2979062.7125999997</v>
      </c>
      <c r="AC413" s="126">
        <f t="shared" si="78"/>
        <v>1618322.0818</v>
      </c>
      <c r="AD413" s="105">
        <v>94150</v>
      </c>
      <c r="AE413" s="157" t="s">
        <v>140</v>
      </c>
    </row>
    <row r="414" spans="1:31" s="112" customFormat="1" x14ac:dyDescent="0.2">
      <c r="A414" s="107" t="s">
        <v>124</v>
      </c>
      <c r="B414" s="114" t="str">
        <f>VLOOKUP(A414,Sheet1!A:B,2,0)</f>
        <v>RCS POD</v>
      </c>
      <c r="C414" s="108" t="s">
        <v>135</v>
      </c>
      <c r="D414" s="157" t="s">
        <v>136</v>
      </c>
      <c r="E414" s="157" t="s">
        <v>42</v>
      </c>
      <c r="F414" s="157" t="s">
        <v>60</v>
      </c>
      <c r="G414" s="158" t="s">
        <v>137</v>
      </c>
      <c r="H414" s="157">
        <v>2024</v>
      </c>
      <c r="I414" s="108">
        <v>6</v>
      </c>
      <c r="J414" s="159">
        <v>45628</v>
      </c>
      <c r="K414" s="160">
        <v>0.5</v>
      </c>
      <c r="L414" s="146">
        <f t="shared" si="87"/>
        <v>0.16769999999999999</v>
      </c>
      <c r="M414" s="146">
        <v>0.16769999999999999</v>
      </c>
      <c r="N414" s="146">
        <v>0</v>
      </c>
      <c r="O414" s="119">
        <f t="shared" si="88"/>
        <v>0</v>
      </c>
      <c r="P414" s="120">
        <v>1</v>
      </c>
      <c r="Q414" s="119">
        <f t="shared" si="77"/>
        <v>0.16769999999999999</v>
      </c>
      <c r="R414" s="104">
        <v>17299773</v>
      </c>
      <c r="S414" s="105">
        <v>102779170</v>
      </c>
      <c r="T414" s="153">
        <v>0</v>
      </c>
      <c r="U414" s="153">
        <v>0</v>
      </c>
      <c r="V414" s="167" t="s">
        <v>138</v>
      </c>
      <c r="W414" s="108"/>
      <c r="X414" s="157">
        <v>5.3</v>
      </c>
      <c r="Y414" s="108" t="s">
        <v>139</v>
      </c>
      <c r="Z414" s="108"/>
      <c r="AA414" s="153">
        <v>9.11E-2</v>
      </c>
      <c r="AB414" s="126">
        <f t="shared" si="76"/>
        <v>2901171.9320999999</v>
      </c>
      <c r="AC414" s="126">
        <f t="shared" si="78"/>
        <v>1576009.3203</v>
      </c>
      <c r="AD414" s="105">
        <v>91689</v>
      </c>
      <c r="AE414" s="157" t="s">
        <v>140</v>
      </c>
    </row>
    <row r="415" spans="1:31" s="112" customFormat="1" x14ac:dyDescent="0.2">
      <c r="A415" s="107" t="s">
        <v>124</v>
      </c>
      <c r="B415" s="114" t="str">
        <f>VLOOKUP(A415,Sheet1!A:B,2,0)</f>
        <v>RCS POD</v>
      </c>
      <c r="C415" s="108" t="s">
        <v>135</v>
      </c>
      <c r="D415" s="157" t="s">
        <v>136</v>
      </c>
      <c r="E415" s="157" t="s">
        <v>42</v>
      </c>
      <c r="F415" s="157" t="s">
        <v>60</v>
      </c>
      <c r="G415" s="158" t="s">
        <v>137</v>
      </c>
      <c r="H415" s="157">
        <v>2024</v>
      </c>
      <c r="I415" s="108">
        <v>7</v>
      </c>
      <c r="J415" s="159">
        <v>45628</v>
      </c>
      <c r="K415" s="160">
        <v>0.5</v>
      </c>
      <c r="L415" s="146">
        <f t="shared" si="87"/>
        <v>0.16769999999999999</v>
      </c>
      <c r="M415" s="146">
        <v>0.16769999999999999</v>
      </c>
      <c r="N415" s="146">
        <v>0</v>
      </c>
      <c r="O415" s="119">
        <f t="shared" si="88"/>
        <v>0</v>
      </c>
      <c r="P415" s="120">
        <v>1</v>
      </c>
      <c r="Q415" s="119">
        <f t="shared" si="77"/>
        <v>0.16769999999999999</v>
      </c>
      <c r="R415" s="104">
        <v>21575991</v>
      </c>
      <c r="S415" s="105">
        <v>124355161</v>
      </c>
      <c r="T415" s="153">
        <v>0</v>
      </c>
      <c r="U415" s="153">
        <v>0</v>
      </c>
      <c r="V415" s="167" t="s">
        <v>138</v>
      </c>
      <c r="W415" s="108"/>
      <c r="X415" s="157">
        <v>5.3</v>
      </c>
      <c r="Y415" s="108" t="s">
        <v>139</v>
      </c>
      <c r="Z415" s="108"/>
      <c r="AA415" s="153">
        <v>9.11E-2</v>
      </c>
      <c r="AB415" s="126">
        <f t="shared" si="76"/>
        <v>3618293.6906999997</v>
      </c>
      <c r="AC415" s="126">
        <f t="shared" si="78"/>
        <v>1965572.7801000001</v>
      </c>
      <c r="AD415" s="105">
        <v>114353</v>
      </c>
      <c r="AE415" s="157" t="s">
        <v>140</v>
      </c>
    </row>
    <row r="416" spans="1:31" s="112" customFormat="1" x14ac:dyDescent="0.2">
      <c r="A416" s="107" t="s">
        <v>124</v>
      </c>
      <c r="B416" s="114" t="str">
        <f>VLOOKUP(A416,Sheet1!A:B,2,0)</f>
        <v>RCS POD</v>
      </c>
      <c r="C416" s="108" t="s">
        <v>135</v>
      </c>
      <c r="D416" s="157" t="s">
        <v>136</v>
      </c>
      <c r="E416" s="157" t="s">
        <v>42</v>
      </c>
      <c r="F416" s="157" t="s">
        <v>60</v>
      </c>
      <c r="G416" s="158" t="s">
        <v>137</v>
      </c>
      <c r="H416" s="157">
        <v>2024</v>
      </c>
      <c r="I416" s="108">
        <v>8</v>
      </c>
      <c r="J416" s="159">
        <v>45628</v>
      </c>
      <c r="K416" s="160">
        <v>0.5</v>
      </c>
      <c r="L416" s="146">
        <f t="shared" si="87"/>
        <v>0.16769999999999999</v>
      </c>
      <c r="M416" s="146">
        <v>0.16769999999999999</v>
      </c>
      <c r="N416" s="146">
        <v>0</v>
      </c>
      <c r="O416" s="119">
        <f t="shared" si="88"/>
        <v>0</v>
      </c>
      <c r="P416" s="120">
        <v>1</v>
      </c>
      <c r="Q416" s="119">
        <f t="shared" si="77"/>
        <v>0.16769999999999999</v>
      </c>
      <c r="R416" s="104">
        <v>10231124</v>
      </c>
      <c r="S416" s="105">
        <v>134586285</v>
      </c>
      <c r="T416" s="153">
        <v>0</v>
      </c>
      <c r="U416" s="153">
        <v>0</v>
      </c>
      <c r="V416" s="167" t="s">
        <v>138</v>
      </c>
      <c r="W416" s="108"/>
      <c r="X416" s="157">
        <v>5.3</v>
      </c>
      <c r="Y416" s="108" t="s">
        <v>139</v>
      </c>
      <c r="Z416" s="108"/>
      <c r="AA416" s="153">
        <v>9.11E-2</v>
      </c>
      <c r="AB416" s="126">
        <f t="shared" si="76"/>
        <v>1715759.4948</v>
      </c>
      <c r="AC416" s="126">
        <f t="shared" si="78"/>
        <v>932055.39639999997</v>
      </c>
      <c r="AD416" s="105">
        <v>54225</v>
      </c>
      <c r="AE416" s="157" t="s">
        <v>140</v>
      </c>
    </row>
    <row r="417" spans="1:31" s="112" customFormat="1" x14ac:dyDescent="0.2">
      <c r="A417" s="107" t="s">
        <v>124</v>
      </c>
      <c r="B417" s="114" t="str">
        <f>VLOOKUP(A417,Sheet1!A:B,2,0)</f>
        <v>RCS POD</v>
      </c>
      <c r="C417" s="108" t="s">
        <v>135</v>
      </c>
      <c r="D417" s="157" t="s">
        <v>136</v>
      </c>
      <c r="E417" s="157" t="s">
        <v>42</v>
      </c>
      <c r="F417" s="157" t="s">
        <v>60</v>
      </c>
      <c r="G417" s="158" t="s">
        <v>137</v>
      </c>
      <c r="H417" s="157">
        <v>2024</v>
      </c>
      <c r="I417" s="108">
        <v>9</v>
      </c>
      <c r="J417" s="159">
        <v>45628</v>
      </c>
      <c r="K417" s="160">
        <v>0.5</v>
      </c>
      <c r="L417" s="146">
        <f t="shared" si="87"/>
        <v>0.16769999999999999</v>
      </c>
      <c r="M417" s="146">
        <v>0.16769999999999999</v>
      </c>
      <c r="N417" s="146">
        <v>0</v>
      </c>
      <c r="O417" s="119">
        <f t="shared" si="88"/>
        <v>0</v>
      </c>
      <c r="P417" s="120">
        <v>1</v>
      </c>
      <c r="Q417" s="119">
        <f t="shared" si="77"/>
        <v>0.16769999999999999</v>
      </c>
      <c r="R417" s="104">
        <v>8092085</v>
      </c>
      <c r="S417" s="105">
        <v>142678370</v>
      </c>
      <c r="T417" s="153">
        <v>0</v>
      </c>
      <c r="U417" s="153">
        <v>0</v>
      </c>
      <c r="V417" s="167" t="s">
        <v>138</v>
      </c>
      <c r="W417" s="108"/>
      <c r="X417" s="157">
        <v>5.3</v>
      </c>
      <c r="Y417" s="108" t="s">
        <v>139</v>
      </c>
      <c r="Z417" s="108"/>
      <c r="AA417" s="153">
        <v>9.11E-2</v>
      </c>
      <c r="AB417" s="126">
        <f t="shared" si="76"/>
        <v>1357042.6544999999</v>
      </c>
      <c r="AC417" s="126">
        <f t="shared" si="78"/>
        <v>737188.94350000005</v>
      </c>
      <c r="AD417" s="105">
        <v>42888</v>
      </c>
      <c r="AE417" s="157" t="s">
        <v>140</v>
      </c>
    </row>
    <row r="418" spans="1:31" s="112" customFormat="1" x14ac:dyDescent="0.2">
      <c r="A418" s="107" t="s">
        <v>124</v>
      </c>
      <c r="B418" s="114" t="str">
        <f>VLOOKUP(A418,Sheet1!A:B,2,0)</f>
        <v>RCS POD</v>
      </c>
      <c r="C418" s="108" t="s">
        <v>135</v>
      </c>
      <c r="D418" s="157" t="s">
        <v>136</v>
      </c>
      <c r="E418" s="157" t="s">
        <v>42</v>
      </c>
      <c r="F418" s="157" t="s">
        <v>60</v>
      </c>
      <c r="G418" s="158" t="s">
        <v>137</v>
      </c>
      <c r="H418" s="157">
        <v>2024</v>
      </c>
      <c r="I418" s="108">
        <v>10</v>
      </c>
      <c r="J418" s="159">
        <v>45628</v>
      </c>
      <c r="K418" s="160">
        <v>0.5</v>
      </c>
      <c r="L418" s="146">
        <f t="shared" si="87"/>
        <v>0.16769999999999999</v>
      </c>
      <c r="M418" s="146">
        <v>0.16769999999999999</v>
      </c>
      <c r="N418" s="146">
        <v>0</v>
      </c>
      <c r="O418" s="119">
        <f t="shared" si="88"/>
        <v>0</v>
      </c>
      <c r="P418" s="120">
        <v>1</v>
      </c>
      <c r="Q418" s="119">
        <f t="shared" si="77"/>
        <v>0.16769999999999999</v>
      </c>
      <c r="R418" s="104">
        <v>7713627</v>
      </c>
      <c r="S418" s="105">
        <v>150391997</v>
      </c>
      <c r="T418" s="153">
        <v>0</v>
      </c>
      <c r="U418" s="153">
        <v>0</v>
      </c>
      <c r="V418" s="167" t="s">
        <v>138</v>
      </c>
      <c r="W418" s="108"/>
      <c r="X418" s="157">
        <v>5.3</v>
      </c>
      <c r="Y418" s="108" t="s">
        <v>139</v>
      </c>
      <c r="Z418" s="108"/>
      <c r="AA418" s="153">
        <v>9.11E-2</v>
      </c>
      <c r="AB418" s="126">
        <f t="shared" si="76"/>
        <v>1293575.2478999998</v>
      </c>
      <c r="AC418" s="126">
        <f t="shared" si="78"/>
        <v>702711.41969999997</v>
      </c>
      <c r="AD418" s="105">
        <v>40882</v>
      </c>
      <c r="AE418" s="157" t="s">
        <v>140</v>
      </c>
    </row>
    <row r="419" spans="1:31" s="112" customFormat="1" x14ac:dyDescent="0.2">
      <c r="A419" s="284" t="s">
        <v>124</v>
      </c>
      <c r="B419" s="285" t="str">
        <f>VLOOKUP(A419,Sheet1!A:B,2,0)</f>
        <v>RCS POD</v>
      </c>
      <c r="C419" s="171" t="s">
        <v>135</v>
      </c>
      <c r="D419" s="172" t="s">
        <v>136</v>
      </c>
      <c r="E419" s="172" t="s">
        <v>42</v>
      </c>
      <c r="F419" s="172" t="s">
        <v>60</v>
      </c>
      <c r="G419" s="286" t="s">
        <v>137</v>
      </c>
      <c r="H419" s="172">
        <v>2024</v>
      </c>
      <c r="I419" s="171">
        <v>11</v>
      </c>
      <c r="J419" s="287">
        <v>45628</v>
      </c>
      <c r="K419" s="173">
        <v>0.5</v>
      </c>
      <c r="L419" s="288">
        <f t="shared" si="87"/>
        <v>0.16769999999999999</v>
      </c>
      <c r="M419" s="288">
        <v>0.16769999999999999</v>
      </c>
      <c r="N419" s="288">
        <v>0</v>
      </c>
      <c r="O419" s="119">
        <f t="shared" si="88"/>
        <v>0</v>
      </c>
      <c r="P419" s="120">
        <v>1</v>
      </c>
      <c r="Q419" s="119">
        <f t="shared" si="77"/>
        <v>0.16769999999999999</v>
      </c>
      <c r="R419" s="104">
        <v>4708800</v>
      </c>
      <c r="S419" s="105">
        <v>155100797</v>
      </c>
      <c r="T419" s="153">
        <v>0</v>
      </c>
      <c r="U419" s="153">
        <v>0</v>
      </c>
      <c r="V419" s="167" t="s">
        <v>138</v>
      </c>
      <c r="W419" s="108"/>
      <c r="X419" s="157">
        <v>5.3</v>
      </c>
      <c r="Y419" s="108" t="s">
        <v>139</v>
      </c>
      <c r="Z419" s="108"/>
      <c r="AA419" s="153">
        <v>9.11E-2</v>
      </c>
      <c r="AB419" s="126">
        <f t="shared" si="76"/>
        <v>789665.75999999989</v>
      </c>
      <c r="AC419" s="126">
        <f t="shared" si="78"/>
        <v>428971.68</v>
      </c>
      <c r="AD419" s="105">
        <v>24957</v>
      </c>
      <c r="AE419" s="157" t="s">
        <v>140</v>
      </c>
    </row>
    <row r="420" spans="1:31" s="112" customFormat="1" x14ac:dyDescent="0.2">
      <c r="A420" s="108" t="s">
        <v>39</v>
      </c>
      <c r="B420" s="114" t="str">
        <f>VLOOKUP(A420,Sheet1!A:B,2,0)</f>
        <v>MODI</v>
      </c>
      <c r="C420" s="108" t="s">
        <v>40</v>
      </c>
      <c r="D420" s="166">
        <v>310493191000</v>
      </c>
      <c r="E420" s="108" t="s">
        <v>42</v>
      </c>
      <c r="F420" s="108" t="s">
        <v>43</v>
      </c>
      <c r="G420" s="158" t="s">
        <v>44</v>
      </c>
      <c r="H420" s="157">
        <v>2024</v>
      </c>
      <c r="I420" s="108">
        <v>11</v>
      </c>
      <c r="J420" s="159">
        <v>45628</v>
      </c>
      <c r="K420" s="160">
        <v>0.5</v>
      </c>
      <c r="L420" s="146">
        <f t="shared" si="87"/>
        <v>0.3135</v>
      </c>
      <c r="M420" s="119">
        <v>0.3135</v>
      </c>
      <c r="N420" s="146">
        <v>0</v>
      </c>
      <c r="O420" s="119">
        <f t="shared" si="88"/>
        <v>0</v>
      </c>
      <c r="P420" s="120">
        <v>1</v>
      </c>
      <c r="Q420" s="119">
        <f t="shared" si="77"/>
        <v>0.3135</v>
      </c>
      <c r="R420" s="104">
        <v>26852</v>
      </c>
      <c r="S420" s="105">
        <v>45575424</v>
      </c>
      <c r="T420" s="157" t="s">
        <v>141</v>
      </c>
      <c r="U420" s="157"/>
      <c r="V420" s="186" t="s">
        <v>45</v>
      </c>
      <c r="W420" s="157"/>
      <c r="X420" s="157">
        <v>6.73</v>
      </c>
      <c r="Y420" s="157" t="s">
        <v>142</v>
      </c>
      <c r="Z420" s="157"/>
      <c r="AA420" s="153">
        <v>0</v>
      </c>
      <c r="AB420" s="126">
        <f t="shared" si="76"/>
        <v>8418.1020000000008</v>
      </c>
      <c r="AC420" s="126">
        <f t="shared" si="78"/>
        <v>0</v>
      </c>
      <c r="AD420" s="157">
        <v>181</v>
      </c>
      <c r="AE420" s="157"/>
    </row>
    <row r="421" spans="1:31" s="112" customFormat="1" x14ac:dyDescent="0.2">
      <c r="A421" s="108" t="s">
        <v>39</v>
      </c>
      <c r="B421" s="114" t="str">
        <f>VLOOKUP(A421,Sheet1!A:B,2,0)</f>
        <v>MODI</v>
      </c>
      <c r="C421" s="108" t="s">
        <v>47</v>
      </c>
      <c r="D421" s="166">
        <v>310493192000</v>
      </c>
      <c r="E421" s="108" t="s">
        <v>42</v>
      </c>
      <c r="F421" s="108" t="s">
        <v>43</v>
      </c>
      <c r="G421" s="158" t="s">
        <v>44</v>
      </c>
      <c r="H421" s="157">
        <v>2024</v>
      </c>
      <c r="I421" s="108">
        <v>11</v>
      </c>
      <c r="J421" s="159">
        <v>45628</v>
      </c>
      <c r="K421" s="160">
        <v>0.5</v>
      </c>
      <c r="L421" s="146">
        <f t="shared" si="87"/>
        <v>4.2200000000000001E-2</v>
      </c>
      <c r="M421" s="119">
        <v>4.2200000000000001E-2</v>
      </c>
      <c r="N421" s="146">
        <v>0</v>
      </c>
      <c r="O421" s="119">
        <f t="shared" si="88"/>
        <v>0</v>
      </c>
      <c r="P421" s="120">
        <v>1</v>
      </c>
      <c r="Q421" s="119">
        <f t="shared" si="77"/>
        <v>4.2200000000000001E-2</v>
      </c>
      <c r="R421" s="104">
        <v>29088</v>
      </c>
      <c r="S421" s="105">
        <v>40219210</v>
      </c>
      <c r="T421" s="157" t="s">
        <v>143</v>
      </c>
      <c r="U421" s="157"/>
      <c r="V421" s="186" t="s">
        <v>45</v>
      </c>
      <c r="W421" s="157"/>
      <c r="X421" s="157">
        <v>0.87</v>
      </c>
      <c r="Y421" s="157" t="s">
        <v>142</v>
      </c>
      <c r="Z421" s="157"/>
      <c r="AA421" s="153">
        <v>0</v>
      </c>
      <c r="AB421" s="126">
        <f t="shared" si="76"/>
        <v>1227.5136</v>
      </c>
      <c r="AC421" s="126">
        <f t="shared" si="78"/>
        <v>0</v>
      </c>
      <c r="AD421" s="157">
        <v>25</v>
      </c>
      <c r="AE421" s="157"/>
    </row>
    <row r="422" spans="1:31" s="112" customFormat="1" x14ac:dyDescent="0.2">
      <c r="A422" s="108" t="s">
        <v>39</v>
      </c>
      <c r="B422" s="114" t="str">
        <f>VLOOKUP(A422,Sheet1!A:B,2,0)</f>
        <v>MODI</v>
      </c>
      <c r="C422" s="108" t="s">
        <v>49</v>
      </c>
      <c r="D422" s="166">
        <v>310493193000</v>
      </c>
      <c r="E422" s="108" t="s">
        <v>42</v>
      </c>
      <c r="F422" s="108" t="s">
        <v>43</v>
      </c>
      <c r="G422" s="158" t="s">
        <v>44</v>
      </c>
      <c r="H422" s="157">
        <v>2024</v>
      </c>
      <c r="I422" s="108">
        <v>11</v>
      </c>
      <c r="J422" s="159">
        <v>45628</v>
      </c>
      <c r="K422" s="160">
        <v>0.5</v>
      </c>
      <c r="L422" s="146">
        <f t="shared" si="87"/>
        <v>7.22E-2</v>
      </c>
      <c r="M422" s="119">
        <v>7.22E-2</v>
      </c>
      <c r="N422" s="146">
        <v>0</v>
      </c>
      <c r="O422" s="119">
        <f t="shared" si="88"/>
        <v>0</v>
      </c>
      <c r="P422" s="120">
        <v>1</v>
      </c>
      <c r="Q422" s="119">
        <f t="shared" si="77"/>
        <v>7.22E-2</v>
      </c>
      <c r="R422" s="104">
        <v>89088</v>
      </c>
      <c r="S422" s="105">
        <v>45554502</v>
      </c>
      <c r="T422" s="157" t="s">
        <v>144</v>
      </c>
      <c r="U422" s="157"/>
      <c r="V422" s="186" t="s">
        <v>45</v>
      </c>
      <c r="W422" s="157"/>
      <c r="X422" s="157">
        <v>1.18</v>
      </c>
      <c r="Y422" s="157" t="s">
        <v>142</v>
      </c>
      <c r="Z422" s="157"/>
      <c r="AA422" s="153">
        <v>0</v>
      </c>
      <c r="AB422" s="126">
        <f t="shared" si="76"/>
        <v>6432.1535999999996</v>
      </c>
      <c r="AC422" s="126">
        <f t="shared" si="78"/>
        <v>0</v>
      </c>
      <c r="AD422" s="157">
        <v>105</v>
      </c>
      <c r="AE422" s="157"/>
    </row>
    <row r="423" spans="1:31" s="112" customFormat="1" x14ac:dyDescent="0.2">
      <c r="A423" s="108" t="s">
        <v>39</v>
      </c>
      <c r="B423" s="114" t="str">
        <f>VLOOKUP(A423,Sheet1!A:B,2,0)</f>
        <v>MODI</v>
      </c>
      <c r="C423" s="167" t="s">
        <v>51</v>
      </c>
      <c r="D423" s="166">
        <v>310493194000</v>
      </c>
      <c r="E423" s="108" t="s">
        <v>42</v>
      </c>
      <c r="F423" s="108" t="s">
        <v>43</v>
      </c>
      <c r="G423" s="158" t="s">
        <v>44</v>
      </c>
      <c r="H423" s="157">
        <v>2024</v>
      </c>
      <c r="I423" s="108">
        <v>11</v>
      </c>
      <c r="J423" s="159">
        <v>45628</v>
      </c>
      <c r="K423" s="160">
        <v>0.5</v>
      </c>
      <c r="L423" s="146">
        <f t="shared" si="87"/>
        <v>6.6199999999999995E-2</v>
      </c>
      <c r="M423" s="119">
        <v>6.6199999999999995E-2</v>
      </c>
      <c r="N423" s="146">
        <v>0</v>
      </c>
      <c r="O423" s="119">
        <f t="shared" si="88"/>
        <v>0</v>
      </c>
      <c r="P423" s="120">
        <v>1</v>
      </c>
      <c r="Q423" s="119">
        <f t="shared" si="77"/>
        <v>6.6199999999999995E-2</v>
      </c>
      <c r="R423" s="104">
        <v>101808</v>
      </c>
      <c r="S423" s="105">
        <v>29772064</v>
      </c>
      <c r="T423" s="157" t="s">
        <v>143</v>
      </c>
      <c r="U423" s="157"/>
      <c r="V423" s="186" t="s">
        <v>53</v>
      </c>
      <c r="W423" s="157"/>
      <c r="X423" s="157">
        <v>1.18</v>
      </c>
      <c r="Y423" s="157" t="s">
        <v>145</v>
      </c>
      <c r="Z423" s="157"/>
      <c r="AA423" s="153">
        <v>0</v>
      </c>
      <c r="AB423" s="126">
        <f t="shared" si="76"/>
        <v>6739.6895999999997</v>
      </c>
      <c r="AC423" s="126">
        <f t="shared" si="78"/>
        <v>0</v>
      </c>
      <c r="AD423" s="157">
        <v>120</v>
      </c>
      <c r="AE423" s="157"/>
    </row>
    <row r="424" spans="1:31" s="112" customFormat="1" x14ac:dyDescent="0.2">
      <c r="A424" s="108" t="s">
        <v>39</v>
      </c>
      <c r="B424" s="114" t="str">
        <f>VLOOKUP(A424,Sheet1!A:B,2,0)</f>
        <v>MODI</v>
      </c>
      <c r="C424" s="108" t="s">
        <v>55</v>
      </c>
      <c r="D424" s="166">
        <v>310493195000</v>
      </c>
      <c r="E424" s="108" t="s">
        <v>42</v>
      </c>
      <c r="F424" s="108" t="s">
        <v>43</v>
      </c>
      <c r="G424" s="158" t="s">
        <v>44</v>
      </c>
      <c r="H424" s="157">
        <v>2024</v>
      </c>
      <c r="I424" s="108">
        <v>11</v>
      </c>
      <c r="J424" s="159">
        <v>45628</v>
      </c>
      <c r="K424" s="160">
        <v>0.5</v>
      </c>
      <c r="L424" s="146">
        <f t="shared" si="87"/>
        <v>3.85E-2</v>
      </c>
      <c r="M424" s="119">
        <v>3.85E-2</v>
      </c>
      <c r="N424" s="146">
        <v>0</v>
      </c>
      <c r="O424" s="119">
        <f t="shared" si="88"/>
        <v>0</v>
      </c>
      <c r="P424" s="120">
        <v>1</v>
      </c>
      <c r="Q424" s="119">
        <f t="shared" ref="Q424:Q455" si="89">P424*L424</f>
        <v>3.85E-2</v>
      </c>
      <c r="R424" s="104">
        <v>101808</v>
      </c>
      <c r="S424" s="105">
        <v>56390170</v>
      </c>
      <c r="T424" s="157" t="s">
        <v>146</v>
      </c>
      <c r="U424" s="157"/>
      <c r="V424" s="186" t="s">
        <v>53</v>
      </c>
      <c r="W424" s="157"/>
      <c r="X424" s="157">
        <v>0.13</v>
      </c>
      <c r="Y424" s="157" t="s">
        <v>145</v>
      </c>
      <c r="Z424" s="157"/>
      <c r="AA424" s="153">
        <v>0</v>
      </c>
      <c r="AB424" s="126">
        <f t="shared" si="76"/>
        <v>3919.6080000000002</v>
      </c>
      <c r="AC424" s="126">
        <f t="shared" si="78"/>
        <v>0</v>
      </c>
      <c r="AD424" s="157">
        <v>14</v>
      </c>
      <c r="AE424" s="157"/>
    </row>
    <row r="425" spans="1:31" s="112" customFormat="1" x14ac:dyDescent="0.2">
      <c r="A425" s="108" t="s">
        <v>57</v>
      </c>
      <c r="B425" s="114" t="str">
        <f>VLOOKUP(A425,Sheet1!A:B,2,0)</f>
        <v>RCS DEVICE</v>
      </c>
      <c r="C425" s="157" t="s">
        <v>58</v>
      </c>
      <c r="D425" s="156">
        <v>130040670021260</v>
      </c>
      <c r="E425" s="157" t="s">
        <v>42</v>
      </c>
      <c r="F425" s="157" t="s">
        <v>60</v>
      </c>
      <c r="G425" s="158" t="s">
        <v>44</v>
      </c>
      <c r="H425" s="157">
        <v>2024</v>
      </c>
      <c r="I425" s="108">
        <v>11</v>
      </c>
      <c r="J425" s="159">
        <v>45628</v>
      </c>
      <c r="K425" s="160">
        <v>1</v>
      </c>
      <c r="L425" s="146">
        <f t="shared" si="87"/>
        <v>2.3582999999999998</v>
      </c>
      <c r="M425" s="146">
        <v>2.3582999999999998</v>
      </c>
      <c r="N425" s="146">
        <v>0</v>
      </c>
      <c r="O425" s="119">
        <f t="shared" si="88"/>
        <v>0</v>
      </c>
      <c r="P425" s="120">
        <v>1</v>
      </c>
      <c r="Q425" s="119">
        <f t="shared" si="89"/>
        <v>2.3582999999999998</v>
      </c>
      <c r="R425" s="108">
        <v>0</v>
      </c>
      <c r="S425" s="105">
        <v>644603</v>
      </c>
      <c r="T425" s="157" t="s">
        <v>134</v>
      </c>
      <c r="U425" s="157" t="s">
        <v>134</v>
      </c>
      <c r="V425" s="186" t="s">
        <v>61</v>
      </c>
      <c r="W425" s="157"/>
      <c r="X425" s="157">
        <v>16.260000000000002</v>
      </c>
      <c r="Y425" s="157" t="s">
        <v>147</v>
      </c>
      <c r="Z425" s="124" t="s">
        <v>63</v>
      </c>
      <c r="AA425" s="153">
        <v>1.31</v>
      </c>
      <c r="AB425" s="126">
        <f t="shared" si="76"/>
        <v>0</v>
      </c>
      <c r="AC425" s="126">
        <f t="shared" si="78"/>
        <v>0</v>
      </c>
      <c r="AD425" s="157" t="s">
        <v>148</v>
      </c>
      <c r="AE425" s="157"/>
    </row>
    <row r="426" spans="1:31" s="112" customFormat="1" x14ac:dyDescent="0.2">
      <c r="A426" s="108" t="s">
        <v>57</v>
      </c>
      <c r="B426" s="114" t="str">
        <f>VLOOKUP(A426,Sheet1!A:B,2,0)</f>
        <v>RCS DEVICE</v>
      </c>
      <c r="C426" s="157" t="s">
        <v>64</v>
      </c>
      <c r="D426" s="156">
        <v>130040670021261</v>
      </c>
      <c r="E426" s="157" t="s">
        <v>42</v>
      </c>
      <c r="F426" s="157" t="s">
        <v>60</v>
      </c>
      <c r="G426" s="158" t="s">
        <v>44</v>
      </c>
      <c r="H426" s="157">
        <v>2024</v>
      </c>
      <c r="I426" s="108">
        <v>11</v>
      </c>
      <c r="J426" s="159">
        <v>45628</v>
      </c>
      <c r="K426" s="160">
        <v>1</v>
      </c>
      <c r="L426" s="146">
        <f t="shared" si="87"/>
        <v>2.3165</v>
      </c>
      <c r="M426" s="146">
        <v>2.3165</v>
      </c>
      <c r="N426" s="146">
        <v>0</v>
      </c>
      <c r="O426" s="119">
        <f t="shared" si="88"/>
        <v>0</v>
      </c>
      <c r="P426" s="120">
        <v>1</v>
      </c>
      <c r="Q426" s="119">
        <f t="shared" si="89"/>
        <v>2.3165</v>
      </c>
      <c r="R426" s="108">
        <v>0</v>
      </c>
      <c r="S426" s="105">
        <v>686982</v>
      </c>
      <c r="T426" s="157" t="s">
        <v>134</v>
      </c>
      <c r="U426" s="157" t="s">
        <v>134</v>
      </c>
      <c r="V426" s="186" t="s">
        <v>61</v>
      </c>
      <c r="W426" s="157"/>
      <c r="X426" s="157">
        <v>8.3000000000000007</v>
      </c>
      <c r="Y426" s="157" t="s">
        <v>147</v>
      </c>
      <c r="Z426" s="124" t="s">
        <v>63</v>
      </c>
      <c r="AA426" s="153">
        <v>1.43</v>
      </c>
      <c r="AB426" s="126">
        <f t="shared" si="76"/>
        <v>0</v>
      </c>
      <c r="AC426" s="126">
        <f t="shared" si="78"/>
        <v>0</v>
      </c>
      <c r="AD426" s="157" t="s">
        <v>148</v>
      </c>
      <c r="AE426" s="157"/>
    </row>
    <row r="427" spans="1:31" s="112" customFormat="1" x14ac:dyDescent="0.2">
      <c r="A427" s="108" t="s">
        <v>57</v>
      </c>
      <c r="B427" s="114" t="str">
        <f>VLOOKUP(A427,Sheet1!A:B,2,0)</f>
        <v>RCS DEVICE</v>
      </c>
      <c r="C427" s="157" t="s">
        <v>66</v>
      </c>
      <c r="D427" s="156">
        <v>130040670021263</v>
      </c>
      <c r="E427" s="157" t="s">
        <v>42</v>
      </c>
      <c r="F427" s="157" t="s">
        <v>60</v>
      </c>
      <c r="G427" s="158" t="s">
        <v>44</v>
      </c>
      <c r="H427" s="157">
        <v>2024</v>
      </c>
      <c r="I427" s="108">
        <v>11</v>
      </c>
      <c r="J427" s="159">
        <v>45628</v>
      </c>
      <c r="K427" s="160">
        <v>1</v>
      </c>
      <c r="L427" s="146">
        <f t="shared" si="87"/>
        <v>0.3765</v>
      </c>
      <c r="M427" s="146">
        <v>0.3765</v>
      </c>
      <c r="N427" s="146">
        <v>0</v>
      </c>
      <c r="O427" s="119">
        <f t="shared" si="88"/>
        <v>0</v>
      </c>
      <c r="P427" s="120">
        <v>1</v>
      </c>
      <c r="Q427" s="119">
        <f t="shared" si="89"/>
        <v>0.3765</v>
      </c>
      <c r="R427" s="108">
        <v>0</v>
      </c>
      <c r="S427" s="105">
        <v>665191</v>
      </c>
      <c r="T427" s="157" t="s">
        <v>134</v>
      </c>
      <c r="U427" s="157" t="s">
        <v>134</v>
      </c>
      <c r="V427" s="186" t="s">
        <v>61</v>
      </c>
      <c r="W427" s="157"/>
      <c r="X427" s="157">
        <v>0.56999999999999995</v>
      </c>
      <c r="Y427" s="157" t="s">
        <v>147</v>
      </c>
      <c r="Z427" s="157"/>
      <c r="AA427" s="153">
        <v>0</v>
      </c>
      <c r="AB427" s="126">
        <f t="shared" si="76"/>
        <v>0</v>
      </c>
      <c r="AC427" s="126">
        <f t="shared" si="78"/>
        <v>0</v>
      </c>
      <c r="AD427" s="157" t="s">
        <v>148</v>
      </c>
      <c r="AE427" s="157"/>
    </row>
    <row r="428" spans="1:31" s="112" customFormat="1" x14ac:dyDescent="0.2">
      <c r="A428" s="108" t="s">
        <v>57</v>
      </c>
      <c r="B428" s="114" t="str">
        <f>VLOOKUP(A428,Sheet1!A:B,2,0)</f>
        <v>RCS DEVICE</v>
      </c>
      <c r="C428" s="157" t="s">
        <v>68</v>
      </c>
      <c r="D428" s="156">
        <v>130040670021262</v>
      </c>
      <c r="E428" s="157" t="s">
        <v>42</v>
      </c>
      <c r="F428" s="157" t="s">
        <v>60</v>
      </c>
      <c r="G428" s="158" t="s">
        <v>44</v>
      </c>
      <c r="H428" s="157">
        <v>2024</v>
      </c>
      <c r="I428" s="108">
        <v>11</v>
      </c>
      <c r="J428" s="159">
        <v>45628</v>
      </c>
      <c r="K428" s="160">
        <v>1</v>
      </c>
      <c r="L428" s="146">
        <f t="shared" si="87"/>
        <v>0.37930000000000003</v>
      </c>
      <c r="M428" s="146">
        <v>0.37930000000000003</v>
      </c>
      <c r="N428" s="146">
        <v>0</v>
      </c>
      <c r="O428" s="119">
        <f t="shared" si="88"/>
        <v>0</v>
      </c>
      <c r="P428" s="120">
        <v>1</v>
      </c>
      <c r="Q428" s="119">
        <f t="shared" si="89"/>
        <v>0.37930000000000003</v>
      </c>
      <c r="R428" s="108">
        <v>0</v>
      </c>
      <c r="S428" s="105">
        <v>655070</v>
      </c>
      <c r="T428" s="157" t="s">
        <v>134</v>
      </c>
      <c r="U428" s="157" t="s">
        <v>134</v>
      </c>
      <c r="V428" s="186" t="s">
        <v>70</v>
      </c>
      <c r="W428" s="157"/>
      <c r="X428" s="157">
        <v>1.87</v>
      </c>
      <c r="Y428" s="157" t="s">
        <v>149</v>
      </c>
      <c r="Z428" s="157"/>
      <c r="AA428" s="153">
        <v>0</v>
      </c>
      <c r="AB428" s="126">
        <f t="shared" si="76"/>
        <v>0</v>
      </c>
      <c r="AC428" s="126">
        <f t="shared" si="78"/>
        <v>0</v>
      </c>
      <c r="AD428" s="157" t="s">
        <v>148</v>
      </c>
      <c r="AE428" s="157"/>
    </row>
    <row r="429" spans="1:31" s="112" customFormat="1" x14ac:dyDescent="0.2">
      <c r="A429" s="108" t="s">
        <v>72</v>
      </c>
      <c r="B429" s="114" t="str">
        <f>VLOOKUP(A429,Sheet1!A:B,2,0)</f>
        <v>RCS DEVICE</v>
      </c>
      <c r="C429" s="157" t="s">
        <v>73</v>
      </c>
      <c r="D429" s="156">
        <v>120020670031773</v>
      </c>
      <c r="E429" s="157" t="s">
        <v>42</v>
      </c>
      <c r="F429" s="157" t="s">
        <v>60</v>
      </c>
      <c r="G429" s="158" t="s">
        <v>44</v>
      </c>
      <c r="H429" s="157">
        <v>2024</v>
      </c>
      <c r="I429" s="108">
        <v>11</v>
      </c>
      <c r="J429" s="159">
        <v>45628</v>
      </c>
      <c r="K429" s="160">
        <v>0.3</v>
      </c>
      <c r="L429" s="119">
        <v>1.8774416082318</v>
      </c>
      <c r="M429" s="119">
        <v>1.9124416082318001</v>
      </c>
      <c r="N429" s="119">
        <f t="shared" ref="N429:N435" si="90">M429-L429</f>
        <v>3.5000000000000142E-2</v>
      </c>
      <c r="O429" s="119">
        <f t="shared" si="88"/>
        <v>1.0500000000000042E-2</v>
      </c>
      <c r="P429" s="120">
        <v>1</v>
      </c>
      <c r="Q429" s="119">
        <f t="shared" si="89"/>
        <v>1.8774416082318</v>
      </c>
      <c r="R429" s="121">
        <v>396400</v>
      </c>
      <c r="S429" s="122">
        <v>1858979</v>
      </c>
      <c r="T429" s="126">
        <v>280000</v>
      </c>
      <c r="U429" s="119">
        <f>T429-N429*S429</f>
        <v>214935.73499999975</v>
      </c>
      <c r="V429" s="186" t="s">
        <v>75</v>
      </c>
      <c r="W429" s="157"/>
      <c r="X429" s="157">
        <v>6.54</v>
      </c>
      <c r="Y429" s="157" t="s">
        <v>147</v>
      </c>
      <c r="Z429" s="124" t="s">
        <v>63</v>
      </c>
      <c r="AA429" s="153">
        <v>1.2</v>
      </c>
      <c r="AB429" s="126">
        <f t="shared" si="76"/>
        <v>758091.85350308556</v>
      </c>
      <c r="AC429" s="126">
        <f t="shared" si="78"/>
        <v>475680</v>
      </c>
      <c r="AD429" s="105">
        <v>2592</v>
      </c>
      <c r="AE429" s="157"/>
    </row>
    <row r="430" spans="1:31" s="112" customFormat="1" x14ac:dyDescent="0.2">
      <c r="A430" s="108" t="s">
        <v>72</v>
      </c>
      <c r="B430" s="114" t="str">
        <f>VLOOKUP(A430,Sheet1!A:B,2,0)</f>
        <v>RCS DEVICE</v>
      </c>
      <c r="C430" s="157" t="s">
        <v>76</v>
      </c>
      <c r="D430" s="156">
        <v>130020670031775</v>
      </c>
      <c r="E430" s="157" t="s">
        <v>42</v>
      </c>
      <c r="F430" s="157" t="s">
        <v>60</v>
      </c>
      <c r="G430" s="158" t="s">
        <v>44</v>
      </c>
      <c r="H430" s="157">
        <v>2024</v>
      </c>
      <c r="I430" s="108">
        <v>11</v>
      </c>
      <c r="J430" s="159">
        <v>45628</v>
      </c>
      <c r="K430" s="160">
        <v>0.3</v>
      </c>
      <c r="L430" s="119">
        <v>0.27335792652733598</v>
      </c>
      <c r="M430" s="119">
        <v>0.33085792652733598</v>
      </c>
      <c r="N430" s="119">
        <f t="shared" si="90"/>
        <v>5.7499999999999996E-2</v>
      </c>
      <c r="O430" s="119">
        <f t="shared" ref="O430:O435" si="91">N430*K430</f>
        <v>1.7249999999999998E-2</v>
      </c>
      <c r="P430" s="120">
        <v>1</v>
      </c>
      <c r="Q430" s="119">
        <f t="shared" si="89"/>
        <v>0.27335792652733598</v>
      </c>
      <c r="R430" s="121">
        <v>365488</v>
      </c>
      <c r="S430" s="122">
        <v>1763901</v>
      </c>
      <c r="T430" s="126">
        <v>460000</v>
      </c>
      <c r="U430" s="119">
        <f t="shared" ref="U430:U436" si="92">T430-N430*S430</f>
        <v>358575.6925</v>
      </c>
      <c r="V430" s="186" t="s">
        <v>75</v>
      </c>
      <c r="W430" s="157"/>
      <c r="X430" s="157">
        <v>3.32</v>
      </c>
      <c r="Y430" s="157" t="s">
        <v>147</v>
      </c>
      <c r="Z430" s="157"/>
      <c r="AA430" s="153">
        <v>0</v>
      </c>
      <c r="AB430" s="126">
        <f t="shared" si="76"/>
        <v>120924.60185062297</v>
      </c>
      <c r="AC430" s="126">
        <f t="shared" si="78"/>
        <v>0</v>
      </c>
      <c r="AD430" s="105">
        <v>1212</v>
      </c>
      <c r="AE430" s="157"/>
    </row>
    <row r="431" spans="1:31" s="112" customFormat="1" x14ac:dyDescent="0.2">
      <c r="A431" s="108" t="s">
        <v>72</v>
      </c>
      <c r="B431" s="114" t="str">
        <f>VLOOKUP(A431,Sheet1!A:B,2,0)</f>
        <v>RCS DEVICE</v>
      </c>
      <c r="C431" s="157" t="s">
        <v>78</v>
      </c>
      <c r="D431" s="156">
        <v>130020670031776</v>
      </c>
      <c r="E431" s="157" t="s">
        <v>42</v>
      </c>
      <c r="F431" s="157" t="s">
        <v>60</v>
      </c>
      <c r="G431" s="158" t="s">
        <v>44</v>
      </c>
      <c r="H431" s="157">
        <v>2024</v>
      </c>
      <c r="I431" s="108">
        <v>11</v>
      </c>
      <c r="J431" s="159">
        <v>45628</v>
      </c>
      <c r="K431" s="160">
        <v>0.3</v>
      </c>
      <c r="L431" s="119">
        <v>0.20453293319930799</v>
      </c>
      <c r="M431" s="119">
        <v>0.23078293319930801</v>
      </c>
      <c r="N431" s="119">
        <f t="shared" si="90"/>
        <v>2.6250000000000023E-2</v>
      </c>
      <c r="O431" s="119">
        <f t="shared" si="91"/>
        <v>7.875000000000007E-3</v>
      </c>
      <c r="P431" s="120">
        <v>1</v>
      </c>
      <c r="Q431" s="119">
        <f t="shared" si="89"/>
        <v>0.20453293319930799</v>
      </c>
      <c r="R431" s="121">
        <v>409560</v>
      </c>
      <c r="S431" s="122">
        <v>2695102</v>
      </c>
      <c r="T431" s="126">
        <v>420000</v>
      </c>
      <c r="U431" s="119">
        <f t="shared" si="92"/>
        <v>349253.57249999995</v>
      </c>
      <c r="V431" s="186" t="s">
        <v>70</v>
      </c>
      <c r="W431" s="157"/>
      <c r="X431" s="157">
        <v>4.25</v>
      </c>
      <c r="Y431" s="157" t="s">
        <v>149</v>
      </c>
      <c r="Z431" s="157"/>
      <c r="AA431" s="153">
        <v>0</v>
      </c>
      <c r="AB431" s="126">
        <f t="shared" si="76"/>
        <v>94519.45812110859</v>
      </c>
      <c r="AC431" s="126">
        <f t="shared" si="78"/>
        <v>0</v>
      </c>
      <c r="AD431" s="105">
        <v>1739</v>
      </c>
      <c r="AE431" s="157"/>
    </row>
    <row r="432" spans="1:31" s="112" customFormat="1" x14ac:dyDescent="0.2">
      <c r="A432" s="108" t="s">
        <v>72</v>
      </c>
      <c r="B432" s="114" t="str">
        <f>VLOOKUP(A432,Sheet1!A:B,2,0)</f>
        <v>RCS DEVICE</v>
      </c>
      <c r="C432" s="157" t="s">
        <v>66</v>
      </c>
      <c r="D432" s="156">
        <v>130020670031777</v>
      </c>
      <c r="E432" s="157" t="s">
        <v>42</v>
      </c>
      <c r="F432" s="157" t="s">
        <v>60</v>
      </c>
      <c r="G432" s="158" t="s">
        <v>44</v>
      </c>
      <c r="H432" s="157">
        <v>2024</v>
      </c>
      <c r="I432" s="108">
        <v>11</v>
      </c>
      <c r="J432" s="159">
        <v>45628</v>
      </c>
      <c r="K432" s="160">
        <v>0.3</v>
      </c>
      <c r="L432" s="119">
        <v>0.120262750041086</v>
      </c>
      <c r="M432" s="119">
        <v>0.14526275004108599</v>
      </c>
      <c r="N432" s="119">
        <f t="shared" si="90"/>
        <v>2.4999999999999994E-2</v>
      </c>
      <c r="O432" s="119">
        <f t="shared" si="91"/>
        <v>7.499999999999998E-3</v>
      </c>
      <c r="P432" s="120">
        <v>1</v>
      </c>
      <c r="Q432" s="119">
        <f t="shared" si="89"/>
        <v>0.120262750041086</v>
      </c>
      <c r="R432" s="121">
        <v>454846</v>
      </c>
      <c r="S432" s="122">
        <v>2718494</v>
      </c>
      <c r="T432" s="126">
        <v>400000</v>
      </c>
      <c r="U432" s="119">
        <f t="shared" si="92"/>
        <v>332037.65000000002</v>
      </c>
      <c r="V432" s="186" t="s">
        <v>70</v>
      </c>
      <c r="W432" s="157"/>
      <c r="X432" s="157">
        <v>0.54</v>
      </c>
      <c r="Y432" s="157" t="s">
        <v>149</v>
      </c>
      <c r="Z432" s="157"/>
      <c r="AA432" s="153">
        <v>0</v>
      </c>
      <c r="AB432" s="126">
        <f t="shared" si="76"/>
        <v>66072.180805187803</v>
      </c>
      <c r="AC432" s="126">
        <f t="shared" si="78"/>
        <v>0</v>
      </c>
      <c r="AD432" s="157">
        <v>243</v>
      </c>
      <c r="AE432" s="157"/>
    </row>
    <row r="433" spans="1:31" s="112" customFormat="1" x14ac:dyDescent="0.2">
      <c r="A433" s="108" t="s">
        <v>72</v>
      </c>
      <c r="B433" s="114" t="str">
        <f>VLOOKUP(A433,Sheet1!A:B,2,0)</f>
        <v>RCS DEVICE</v>
      </c>
      <c r="C433" s="157" t="s">
        <v>150</v>
      </c>
      <c r="D433" s="156">
        <v>130020670035243</v>
      </c>
      <c r="E433" s="157" t="s">
        <v>42</v>
      </c>
      <c r="F433" s="157" t="s">
        <v>60</v>
      </c>
      <c r="G433" s="158" t="s">
        <v>44</v>
      </c>
      <c r="H433" s="157">
        <v>2024</v>
      </c>
      <c r="I433" s="108">
        <v>11</v>
      </c>
      <c r="J433" s="159">
        <v>45628</v>
      </c>
      <c r="K433" s="160">
        <v>0.3</v>
      </c>
      <c r="L433" s="119">
        <v>0.122488041645336</v>
      </c>
      <c r="M433" s="119">
        <v>0.14748804164533599</v>
      </c>
      <c r="N433" s="119">
        <f t="shared" si="90"/>
        <v>2.4999999999999994E-2</v>
      </c>
      <c r="O433" s="119">
        <f t="shared" si="91"/>
        <v>7.499999999999998E-3</v>
      </c>
      <c r="P433" s="120">
        <v>1</v>
      </c>
      <c r="Q433" s="119">
        <f t="shared" si="89"/>
        <v>0.122488041645336</v>
      </c>
      <c r="R433" s="121">
        <v>329202</v>
      </c>
      <c r="S433" s="122">
        <v>3099112</v>
      </c>
      <c r="T433" s="126">
        <v>400000</v>
      </c>
      <c r="U433" s="119">
        <f t="shared" si="92"/>
        <v>322522.2</v>
      </c>
      <c r="V433" s="186" t="s">
        <v>75</v>
      </c>
      <c r="W433" s="157"/>
      <c r="X433" s="157">
        <v>0.51</v>
      </c>
      <c r="Y433" s="157" t="s">
        <v>147</v>
      </c>
      <c r="Z433" s="157"/>
      <c r="AA433" s="153">
        <v>0</v>
      </c>
      <c r="AB433" s="126">
        <f t="shared" si="76"/>
        <v>48553.358285727896</v>
      </c>
      <c r="AC433" s="126">
        <f t="shared" si="78"/>
        <v>0</v>
      </c>
      <c r="AD433" s="157">
        <v>168</v>
      </c>
      <c r="AE433" s="157"/>
    </row>
    <row r="434" spans="1:31" s="112" customFormat="1" x14ac:dyDescent="0.2">
      <c r="A434" s="108" t="s">
        <v>83</v>
      </c>
      <c r="B434" s="114" t="str">
        <f>VLOOKUP(A434,Sheet1!A:B,2,0)</f>
        <v>RCS POD</v>
      </c>
      <c r="C434" s="108" t="s">
        <v>84</v>
      </c>
      <c r="D434" s="156">
        <v>130010390000214</v>
      </c>
      <c r="E434" s="157" t="s">
        <v>42</v>
      </c>
      <c r="F434" s="157" t="s">
        <v>60</v>
      </c>
      <c r="G434" s="158" t="s">
        <v>44</v>
      </c>
      <c r="H434" s="157">
        <v>2023</v>
      </c>
      <c r="I434" s="108">
        <v>11</v>
      </c>
      <c r="J434" s="159">
        <v>45628</v>
      </c>
      <c r="K434" s="160">
        <v>1</v>
      </c>
      <c r="L434" s="119">
        <v>0.97679221076727096</v>
      </c>
      <c r="M434" s="119">
        <v>0.97985471076727104</v>
      </c>
      <c r="N434" s="119">
        <f t="shared" si="90"/>
        <v>3.062500000000079E-3</v>
      </c>
      <c r="O434" s="119">
        <f t="shared" si="91"/>
        <v>3.062500000000079E-3</v>
      </c>
      <c r="P434" s="120">
        <v>1</v>
      </c>
      <c r="Q434" s="119">
        <f t="shared" si="89"/>
        <v>0.97679221076727096</v>
      </c>
      <c r="R434" s="108">
        <v>0</v>
      </c>
      <c r="S434" s="122">
        <v>11114010</v>
      </c>
      <c r="T434" s="126">
        <v>98000</v>
      </c>
      <c r="U434" s="119">
        <f>T434-N434*S434</f>
        <v>63963.34437499912</v>
      </c>
      <c r="V434" s="167" t="s">
        <v>151</v>
      </c>
      <c r="W434" s="108"/>
      <c r="X434" s="157">
        <v>2.09</v>
      </c>
      <c r="Y434" s="108" t="s">
        <v>142</v>
      </c>
      <c r="Z434" s="108"/>
      <c r="AA434" s="153">
        <v>0.93</v>
      </c>
      <c r="AB434" s="126">
        <f t="shared" si="76"/>
        <v>0</v>
      </c>
      <c r="AC434" s="126">
        <f t="shared" si="78"/>
        <v>0</v>
      </c>
      <c r="AD434" s="157" t="s">
        <v>148</v>
      </c>
      <c r="AE434" s="157" t="s">
        <v>86</v>
      </c>
    </row>
    <row r="435" spans="1:31" s="112" customFormat="1" x14ac:dyDescent="0.2">
      <c r="A435" s="108" t="s">
        <v>83</v>
      </c>
      <c r="B435" s="114" t="str">
        <f>VLOOKUP(A435,Sheet1!A:B,2,0)</f>
        <v>RCS POD</v>
      </c>
      <c r="C435" s="108" t="s">
        <v>84</v>
      </c>
      <c r="D435" s="156">
        <v>130010390000214</v>
      </c>
      <c r="E435" s="157" t="s">
        <v>42</v>
      </c>
      <c r="F435" s="157" t="s">
        <v>60</v>
      </c>
      <c r="G435" s="158" t="s">
        <v>44</v>
      </c>
      <c r="H435" s="157">
        <v>2024</v>
      </c>
      <c r="I435" s="108">
        <v>11</v>
      </c>
      <c r="J435" s="159">
        <v>45628</v>
      </c>
      <c r="K435" s="160">
        <v>1</v>
      </c>
      <c r="L435" s="119">
        <v>1.05412849674197</v>
      </c>
      <c r="M435" s="119">
        <v>1.22365196079064</v>
      </c>
      <c r="N435" s="119">
        <f t="shared" si="90"/>
        <v>0.16952346404867003</v>
      </c>
      <c r="O435" s="119">
        <f t="shared" si="91"/>
        <v>0.16952346404867003</v>
      </c>
      <c r="P435" s="120">
        <v>1</v>
      </c>
      <c r="Q435" s="119">
        <f t="shared" si="89"/>
        <v>1.05412849674197</v>
      </c>
      <c r="R435" s="108">
        <v>0</v>
      </c>
      <c r="S435" s="122">
        <v>0</v>
      </c>
      <c r="T435" s="126">
        <v>4584750.8499999996</v>
      </c>
      <c r="U435" s="119">
        <f t="shared" si="92"/>
        <v>4584750.8499999996</v>
      </c>
      <c r="V435" s="167" t="s">
        <v>151</v>
      </c>
      <c r="W435" s="108"/>
      <c r="X435" s="157">
        <v>2.09</v>
      </c>
      <c r="Y435" s="108" t="s">
        <v>142</v>
      </c>
      <c r="Z435" s="108"/>
      <c r="AA435" s="153">
        <v>1.05</v>
      </c>
      <c r="AB435" s="126">
        <f t="shared" si="76"/>
        <v>0</v>
      </c>
      <c r="AC435" s="126">
        <f t="shared" si="78"/>
        <v>0</v>
      </c>
      <c r="AD435" s="157" t="s">
        <v>148</v>
      </c>
      <c r="AE435" s="157" t="s">
        <v>87</v>
      </c>
    </row>
    <row r="436" spans="1:31" s="112" customFormat="1" x14ac:dyDescent="0.2">
      <c r="A436" s="108" t="s">
        <v>83</v>
      </c>
      <c r="B436" s="114" t="str">
        <f>VLOOKUP(A436,Sheet1!A:B,2,0)</f>
        <v>RCS POD</v>
      </c>
      <c r="C436" s="108" t="s">
        <v>84</v>
      </c>
      <c r="D436" s="156">
        <v>130010390000214</v>
      </c>
      <c r="E436" s="157" t="s">
        <v>42</v>
      </c>
      <c r="F436" s="157" t="s">
        <v>60</v>
      </c>
      <c r="G436" s="158" t="s">
        <v>44</v>
      </c>
      <c r="H436" s="157">
        <v>2024</v>
      </c>
      <c r="I436" s="108">
        <v>11</v>
      </c>
      <c r="J436" s="159">
        <v>45628</v>
      </c>
      <c r="K436" s="160">
        <v>1</v>
      </c>
      <c r="L436" s="119">
        <v>1.17411721731226</v>
      </c>
      <c r="M436" s="119">
        <v>1.3582877285124899</v>
      </c>
      <c r="N436" s="119">
        <f>M436-L436</f>
        <v>0.18417051120022987</v>
      </c>
      <c r="O436" s="119">
        <f>N436*K436</f>
        <v>0.18417051120022987</v>
      </c>
      <c r="P436" s="120">
        <v>1</v>
      </c>
      <c r="Q436" s="119">
        <f t="shared" si="89"/>
        <v>1.17411721731226</v>
      </c>
      <c r="R436" s="108">
        <v>0</v>
      </c>
      <c r="S436" s="122">
        <v>0</v>
      </c>
      <c r="T436" s="126">
        <v>3933456.36</v>
      </c>
      <c r="U436" s="119">
        <f t="shared" si="92"/>
        <v>3933456.36</v>
      </c>
      <c r="V436" s="167" t="s">
        <v>151</v>
      </c>
      <c r="W436" s="108"/>
      <c r="X436" s="157">
        <v>2.09</v>
      </c>
      <c r="Y436" s="108" t="s">
        <v>142</v>
      </c>
      <c r="Z436" s="108"/>
      <c r="AA436" s="153">
        <v>1.17</v>
      </c>
      <c r="AB436" s="126">
        <f t="shared" si="76"/>
        <v>0</v>
      </c>
      <c r="AC436" s="126">
        <f t="shared" si="78"/>
        <v>0</v>
      </c>
      <c r="AD436" s="157" t="s">
        <v>148</v>
      </c>
      <c r="AE436" s="157" t="s">
        <v>88</v>
      </c>
    </row>
    <row r="437" spans="1:31" s="112" customFormat="1" x14ac:dyDescent="0.2">
      <c r="A437" s="110" t="s">
        <v>89</v>
      </c>
      <c r="B437" s="114" t="str">
        <f>VLOOKUP(A437,Sheet1!A:B,2,0)</f>
        <v>HP</v>
      </c>
      <c r="C437" s="108" t="s">
        <v>90</v>
      </c>
      <c r="D437" s="166">
        <v>22150202014</v>
      </c>
      <c r="E437" s="108" t="s">
        <v>42</v>
      </c>
      <c r="F437" s="108" t="s">
        <v>91</v>
      </c>
      <c r="G437" s="158" t="s">
        <v>44</v>
      </c>
      <c r="H437" s="108">
        <v>2024</v>
      </c>
      <c r="I437" s="108">
        <v>11</v>
      </c>
      <c r="J437" s="159">
        <v>45628</v>
      </c>
      <c r="K437" s="160">
        <v>0.4</v>
      </c>
      <c r="L437" s="141">
        <v>2.3161999999999998</v>
      </c>
      <c r="M437" s="141">
        <v>2.2169787761879198</v>
      </c>
      <c r="N437" s="141">
        <v>0</v>
      </c>
      <c r="O437" s="119">
        <f>N437*K437</f>
        <v>0</v>
      </c>
      <c r="P437" s="120">
        <v>1</v>
      </c>
      <c r="Q437" s="119">
        <f t="shared" si="89"/>
        <v>2.3161999999999998</v>
      </c>
      <c r="R437" s="104">
        <v>58551</v>
      </c>
      <c r="S437" s="104">
        <v>2176619</v>
      </c>
      <c r="T437" s="141">
        <v>105000</v>
      </c>
      <c r="U437" s="141">
        <v>42668.587500000001</v>
      </c>
      <c r="V437" s="167" t="s">
        <v>92</v>
      </c>
      <c r="W437" s="167"/>
      <c r="X437" s="108">
        <v>1.56</v>
      </c>
      <c r="Y437" s="108" t="s">
        <v>145</v>
      </c>
      <c r="Z437" s="124" t="s">
        <v>93</v>
      </c>
      <c r="AA437" s="153">
        <v>1.94</v>
      </c>
      <c r="AB437" s="126">
        <f t="shared" si="76"/>
        <v>129806.32432457889</v>
      </c>
      <c r="AC437" s="126">
        <f t="shared" si="78"/>
        <v>113588.94</v>
      </c>
      <c r="AD437" s="108">
        <v>91</v>
      </c>
      <c r="AE437" s="108"/>
    </row>
    <row r="438" spans="1:31" s="112" customFormat="1" ht="25.5" x14ac:dyDescent="0.2">
      <c r="A438" s="110" t="s">
        <v>89</v>
      </c>
      <c r="B438" s="114" t="str">
        <f>VLOOKUP(A438,Sheet1!A:B,2,0)</f>
        <v>HP</v>
      </c>
      <c r="C438" s="108" t="s">
        <v>94</v>
      </c>
      <c r="D438" s="166">
        <v>22150202015</v>
      </c>
      <c r="E438" s="108" t="s">
        <v>42</v>
      </c>
      <c r="F438" s="108" t="s">
        <v>91</v>
      </c>
      <c r="G438" s="158" t="s">
        <v>44</v>
      </c>
      <c r="H438" s="108">
        <v>2024</v>
      </c>
      <c r="I438" s="108">
        <v>11</v>
      </c>
      <c r="J438" s="159">
        <v>45628</v>
      </c>
      <c r="K438" s="160">
        <v>0.6</v>
      </c>
      <c r="L438" s="141">
        <v>1.5443588135792301</v>
      </c>
      <c r="M438" s="141">
        <v>1.5423175780454099</v>
      </c>
      <c r="N438" s="141">
        <v>0</v>
      </c>
      <c r="O438" s="119">
        <f t="shared" ref="O438:O452" si="93">N438*K438</f>
        <v>0</v>
      </c>
      <c r="P438" s="120">
        <v>1</v>
      </c>
      <c r="Q438" s="119">
        <f t="shared" si="89"/>
        <v>1.5443588135792301</v>
      </c>
      <c r="R438" s="104">
        <v>121461</v>
      </c>
      <c r="S438" s="104">
        <v>2040709</v>
      </c>
      <c r="T438" s="141">
        <v>376000</v>
      </c>
      <c r="U438" s="141">
        <v>275626.17330000002</v>
      </c>
      <c r="V438" s="167" t="s">
        <v>95</v>
      </c>
      <c r="W438" s="167"/>
      <c r="X438" s="108">
        <v>1.75</v>
      </c>
      <c r="Y438" s="108" t="s">
        <v>145</v>
      </c>
      <c r="Z438" s="124" t="s">
        <v>93</v>
      </c>
      <c r="AA438" s="153">
        <v>1.1399999999999999</v>
      </c>
      <c r="AB438" s="126">
        <f t="shared" si="76"/>
        <v>187331.43534697354</v>
      </c>
      <c r="AC438" s="126">
        <f t="shared" si="78"/>
        <v>138465.53999999998</v>
      </c>
      <c r="AD438" s="108">
        <v>212</v>
      </c>
      <c r="AE438" s="108"/>
    </row>
    <row r="439" spans="1:31" s="112" customFormat="1" x14ac:dyDescent="0.2">
      <c r="A439" s="110" t="s">
        <v>89</v>
      </c>
      <c r="B439" s="114" t="str">
        <f>VLOOKUP(A439,Sheet1!A:B,2,0)</f>
        <v>HP</v>
      </c>
      <c r="C439" s="108" t="s">
        <v>66</v>
      </c>
      <c r="D439" s="166">
        <v>22150202010</v>
      </c>
      <c r="E439" s="108" t="s">
        <v>42</v>
      </c>
      <c r="F439" s="108" t="s">
        <v>96</v>
      </c>
      <c r="G439" s="158" t="s">
        <v>44</v>
      </c>
      <c r="H439" s="108">
        <v>2024</v>
      </c>
      <c r="I439" s="108">
        <v>11</v>
      </c>
      <c r="J439" s="159">
        <v>45628</v>
      </c>
      <c r="K439" s="160">
        <v>0.4</v>
      </c>
      <c r="L439" s="141">
        <v>0.91622499999999996</v>
      </c>
      <c r="M439" s="141">
        <v>1.13316525889116</v>
      </c>
      <c r="N439" s="141">
        <v>0</v>
      </c>
      <c r="O439" s="119">
        <f t="shared" si="93"/>
        <v>0</v>
      </c>
      <c r="P439" s="120">
        <v>1</v>
      </c>
      <c r="Q439" s="119">
        <f t="shared" si="89"/>
        <v>0.91622499999999996</v>
      </c>
      <c r="R439" s="104">
        <v>97080</v>
      </c>
      <c r="S439" s="104">
        <v>1874947</v>
      </c>
      <c r="T439" s="141">
        <f>98350</f>
        <v>98350</v>
      </c>
      <c r="U439" s="141">
        <v>-232301.71650000001</v>
      </c>
      <c r="V439" s="167" t="s">
        <v>97</v>
      </c>
      <c r="W439" s="167"/>
      <c r="X439" s="108">
        <v>0.57999999999999996</v>
      </c>
      <c r="Y439" s="108" t="s">
        <v>145</v>
      </c>
      <c r="Z439" s="124" t="s">
        <v>93</v>
      </c>
      <c r="AA439" s="153">
        <v>0.76</v>
      </c>
      <c r="AB439" s="126">
        <f t="shared" si="76"/>
        <v>110007.68333315382</v>
      </c>
      <c r="AC439" s="126">
        <f t="shared" si="78"/>
        <v>73780.800000000003</v>
      </c>
      <c r="AD439" s="108">
        <v>56</v>
      </c>
      <c r="AE439" s="108"/>
    </row>
    <row r="440" spans="1:31" s="112" customFormat="1" x14ac:dyDescent="0.2">
      <c r="A440" s="110" t="s">
        <v>89</v>
      </c>
      <c r="B440" s="114" t="str">
        <f>VLOOKUP(A440,Sheet1!A:B,2,0)</f>
        <v>HP</v>
      </c>
      <c r="C440" s="108" t="s">
        <v>98</v>
      </c>
      <c r="D440" s="166">
        <v>22150202008</v>
      </c>
      <c r="E440" s="108" t="s">
        <v>42</v>
      </c>
      <c r="F440" s="108" t="s">
        <v>99</v>
      </c>
      <c r="G440" s="158" t="s">
        <v>44</v>
      </c>
      <c r="H440" s="108">
        <v>2024</v>
      </c>
      <c r="I440" s="108">
        <v>11</v>
      </c>
      <c r="J440" s="159">
        <v>45628</v>
      </c>
      <c r="K440" s="160">
        <v>0.5</v>
      </c>
      <c r="L440" s="141">
        <v>0.1278</v>
      </c>
      <c r="M440" s="141">
        <v>0.15579999999999999</v>
      </c>
      <c r="N440" s="141">
        <v>0</v>
      </c>
      <c r="O440" s="119">
        <f t="shared" si="93"/>
        <v>0</v>
      </c>
      <c r="P440" s="120">
        <v>1</v>
      </c>
      <c r="Q440" s="119">
        <f t="shared" si="89"/>
        <v>0.1278</v>
      </c>
      <c r="R440" s="104">
        <v>20000</v>
      </c>
      <c r="S440" s="104">
        <v>1250057</v>
      </c>
      <c r="T440" s="141">
        <f>98000+12600</f>
        <v>110600</v>
      </c>
      <c r="U440" s="141">
        <v>79347.604000000007</v>
      </c>
      <c r="V440" s="167" t="s">
        <v>100</v>
      </c>
      <c r="W440" s="167"/>
      <c r="X440" s="108">
        <v>0.76</v>
      </c>
      <c r="Y440" s="108" t="s">
        <v>145</v>
      </c>
      <c r="Z440" s="108"/>
      <c r="AA440" s="153">
        <v>0</v>
      </c>
      <c r="AB440" s="126">
        <f t="shared" si="76"/>
        <v>3116</v>
      </c>
      <c r="AC440" s="126">
        <f t="shared" si="78"/>
        <v>0</v>
      </c>
      <c r="AD440" s="108">
        <v>15</v>
      </c>
      <c r="AE440" s="108"/>
    </row>
    <row r="441" spans="1:31" s="112" customFormat="1" x14ac:dyDescent="0.2">
      <c r="A441" s="110" t="s">
        <v>89</v>
      </c>
      <c r="B441" s="114" t="str">
        <f>VLOOKUP(A441,Sheet1!A:B,2,0)</f>
        <v>HP</v>
      </c>
      <c r="C441" s="108" t="s">
        <v>101</v>
      </c>
      <c r="D441" s="166">
        <v>22150202017</v>
      </c>
      <c r="E441" s="108" t="s">
        <v>42</v>
      </c>
      <c r="F441" s="108" t="s">
        <v>99</v>
      </c>
      <c r="G441" s="158" t="s">
        <v>44</v>
      </c>
      <c r="H441" s="108">
        <v>2024</v>
      </c>
      <c r="I441" s="108">
        <v>11</v>
      </c>
      <c r="J441" s="159">
        <v>45628</v>
      </c>
      <c r="K441" s="160">
        <v>0.4</v>
      </c>
      <c r="L441" s="141">
        <v>0.17249999999999999</v>
      </c>
      <c r="M441" s="141">
        <v>0.41749999999999998</v>
      </c>
      <c r="N441" s="141">
        <v>0</v>
      </c>
      <c r="O441" s="119">
        <f t="shared" si="93"/>
        <v>0</v>
      </c>
      <c r="P441" s="120">
        <v>1</v>
      </c>
      <c r="Q441" s="119">
        <f t="shared" si="89"/>
        <v>0.17249999999999999</v>
      </c>
      <c r="R441" s="104">
        <v>10000</v>
      </c>
      <c r="S441" s="104">
        <v>1053847</v>
      </c>
      <c r="T441" s="141">
        <v>98000</v>
      </c>
      <c r="U441" s="141">
        <v>-114228.065</v>
      </c>
      <c r="V441" s="167" t="s">
        <v>102</v>
      </c>
      <c r="W441" s="167"/>
      <c r="X441" s="108">
        <v>1.17</v>
      </c>
      <c r="Y441" s="108" t="s">
        <v>145</v>
      </c>
      <c r="Z441" s="108"/>
      <c r="AA441" s="153">
        <v>0</v>
      </c>
      <c r="AB441" s="126">
        <f t="shared" si="76"/>
        <v>4175</v>
      </c>
      <c r="AC441" s="126">
        <f t="shared" si="78"/>
        <v>0</v>
      </c>
      <c r="AD441" s="108">
        <v>12</v>
      </c>
      <c r="AE441" s="108"/>
    </row>
    <row r="442" spans="1:31" s="112" customFormat="1" x14ac:dyDescent="0.2">
      <c r="A442" s="110" t="s">
        <v>89</v>
      </c>
      <c r="B442" s="114" t="str">
        <f>VLOOKUP(A442,Sheet1!A:B,2,0)</f>
        <v>HP</v>
      </c>
      <c r="C442" s="108" t="s">
        <v>103</v>
      </c>
      <c r="D442" s="166">
        <v>22150202009</v>
      </c>
      <c r="E442" s="108" t="s">
        <v>42</v>
      </c>
      <c r="F442" s="108" t="s">
        <v>91</v>
      </c>
      <c r="G442" s="158" t="s">
        <v>44</v>
      </c>
      <c r="H442" s="108">
        <v>2024</v>
      </c>
      <c r="I442" s="108">
        <v>11</v>
      </c>
      <c r="J442" s="159">
        <v>45628</v>
      </c>
      <c r="K442" s="160">
        <v>0.5</v>
      </c>
      <c r="L442" s="141">
        <v>0.1285</v>
      </c>
      <c r="M442" s="141">
        <v>0.1565</v>
      </c>
      <c r="N442" s="141">
        <v>0</v>
      </c>
      <c r="O442" s="119">
        <f t="shared" si="93"/>
        <v>0</v>
      </c>
      <c r="P442" s="120">
        <v>1</v>
      </c>
      <c r="Q442" s="119">
        <f t="shared" si="89"/>
        <v>0.1285</v>
      </c>
      <c r="R442" s="104">
        <v>153400</v>
      </c>
      <c r="S442" s="104">
        <v>2610940</v>
      </c>
      <c r="T442" s="141">
        <f>98000</f>
        <v>98000</v>
      </c>
      <c r="U442" s="141">
        <v>50569.68</v>
      </c>
      <c r="V442" s="167" t="s">
        <v>152</v>
      </c>
      <c r="W442" s="167"/>
      <c r="X442" s="108">
        <v>0.69499999999999995</v>
      </c>
      <c r="Y442" s="168" t="s">
        <v>153</v>
      </c>
      <c r="Z442" s="168"/>
      <c r="AA442" s="153">
        <v>0</v>
      </c>
      <c r="AB442" s="126">
        <f t="shared" si="76"/>
        <v>24007.1</v>
      </c>
      <c r="AC442" s="126">
        <f t="shared" si="78"/>
        <v>0</v>
      </c>
      <c r="AD442" s="108">
        <v>107</v>
      </c>
      <c r="AE442" s="108"/>
    </row>
    <row r="443" spans="1:31" s="112" customFormat="1" x14ac:dyDescent="0.2">
      <c r="A443" s="110" t="s">
        <v>89</v>
      </c>
      <c r="B443" s="114" t="str">
        <f>VLOOKUP(A443,Sheet1!A:B,2,0)</f>
        <v>HP</v>
      </c>
      <c r="C443" s="108" t="s">
        <v>104</v>
      </c>
      <c r="D443" s="166">
        <v>22150202021</v>
      </c>
      <c r="E443" s="108" t="s">
        <v>42</v>
      </c>
      <c r="F443" s="108" t="s">
        <v>91</v>
      </c>
      <c r="G443" s="158" t="s">
        <v>44</v>
      </c>
      <c r="H443" s="108">
        <v>2024</v>
      </c>
      <c r="I443" s="108">
        <v>11</v>
      </c>
      <c r="J443" s="159">
        <v>45628</v>
      </c>
      <c r="K443" s="160">
        <v>0.6</v>
      </c>
      <c r="L443" s="141">
        <v>2.5636999999999999</v>
      </c>
      <c r="M443" s="141">
        <v>2.7518227149358401</v>
      </c>
      <c r="N443" s="141">
        <v>0</v>
      </c>
      <c r="O443" s="119">
        <f t="shared" si="93"/>
        <v>0</v>
      </c>
      <c r="P443" s="120">
        <v>1</v>
      </c>
      <c r="Q443" s="119">
        <f t="shared" si="89"/>
        <v>2.5636999999999999</v>
      </c>
      <c r="R443" s="104">
        <v>109687</v>
      </c>
      <c r="S443" s="104">
        <v>2539449</v>
      </c>
      <c r="T443" s="141">
        <f>200100</f>
        <v>200100</v>
      </c>
      <c r="U443" s="141">
        <v>-415369.91450000001</v>
      </c>
      <c r="V443" s="167" t="s">
        <v>105</v>
      </c>
      <c r="W443" s="167"/>
      <c r="X443" s="108">
        <v>3.41</v>
      </c>
      <c r="Y443" s="168" t="s">
        <v>153</v>
      </c>
      <c r="Z443" s="124" t="s">
        <v>93</v>
      </c>
      <c r="AA443" s="153">
        <v>1.76</v>
      </c>
      <c r="AB443" s="126">
        <f t="shared" si="76"/>
        <v>301839.1781331675</v>
      </c>
      <c r="AC443" s="126">
        <f t="shared" si="78"/>
        <v>193049.12</v>
      </c>
      <c r="AD443" s="108">
        <v>374</v>
      </c>
      <c r="AE443" s="108"/>
    </row>
    <row r="444" spans="1:31" s="112" customFormat="1" x14ac:dyDescent="0.2">
      <c r="A444" s="110" t="s">
        <v>89</v>
      </c>
      <c r="B444" s="114" t="str">
        <f>VLOOKUP(A444,Sheet1!A:B,2,0)</f>
        <v>HP</v>
      </c>
      <c r="C444" s="108" t="s">
        <v>106</v>
      </c>
      <c r="D444" s="166">
        <v>22150202018</v>
      </c>
      <c r="E444" s="108" t="s">
        <v>42</v>
      </c>
      <c r="F444" s="108" t="s">
        <v>91</v>
      </c>
      <c r="G444" s="158" t="s">
        <v>44</v>
      </c>
      <c r="H444" s="108">
        <v>2024</v>
      </c>
      <c r="I444" s="108">
        <v>11</v>
      </c>
      <c r="J444" s="159">
        <v>45628</v>
      </c>
      <c r="K444" s="160">
        <v>0.4</v>
      </c>
      <c r="L444" s="141">
        <v>0.1608</v>
      </c>
      <c r="M444" s="141">
        <v>0.1958</v>
      </c>
      <c r="N444" s="141">
        <v>0</v>
      </c>
      <c r="O444" s="119">
        <f t="shared" si="93"/>
        <v>0</v>
      </c>
      <c r="P444" s="120">
        <v>1</v>
      </c>
      <c r="Q444" s="119">
        <f t="shared" si="89"/>
        <v>0.1608</v>
      </c>
      <c r="R444" s="104">
        <v>355740</v>
      </c>
      <c r="S444" s="104">
        <v>2755409</v>
      </c>
      <c r="T444" s="141">
        <f>98000</f>
        <v>98000</v>
      </c>
      <c r="U444" s="141">
        <v>36997.589999999997</v>
      </c>
      <c r="V444" s="167" t="s">
        <v>107</v>
      </c>
      <c r="W444" s="167"/>
      <c r="X444" s="108">
        <v>1.1200000000000001</v>
      </c>
      <c r="Y444" s="108" t="s">
        <v>145</v>
      </c>
      <c r="Z444" s="108"/>
      <c r="AA444" s="153">
        <v>0</v>
      </c>
      <c r="AB444" s="126">
        <f t="shared" si="76"/>
        <v>69653.892000000007</v>
      </c>
      <c r="AC444" s="126">
        <f t="shared" si="78"/>
        <v>0</v>
      </c>
      <c r="AD444" s="108">
        <v>397</v>
      </c>
      <c r="AE444" s="108"/>
    </row>
    <row r="445" spans="1:31" s="112" customFormat="1" x14ac:dyDescent="0.2">
      <c r="A445" s="110" t="s">
        <v>89</v>
      </c>
      <c r="B445" s="114" t="str">
        <f>VLOOKUP(A445,Sheet1!A:B,2,0)</f>
        <v>HP</v>
      </c>
      <c r="C445" s="108" t="s">
        <v>108</v>
      </c>
      <c r="D445" s="166">
        <v>22150202007</v>
      </c>
      <c r="E445" s="108" t="s">
        <v>42</v>
      </c>
      <c r="F445" s="108" t="s">
        <v>109</v>
      </c>
      <c r="G445" s="158" t="s">
        <v>44</v>
      </c>
      <c r="H445" s="108">
        <v>2024</v>
      </c>
      <c r="I445" s="108">
        <v>11</v>
      </c>
      <c r="J445" s="159">
        <v>45628</v>
      </c>
      <c r="K445" s="160">
        <v>0.5</v>
      </c>
      <c r="L445" s="141">
        <v>0.122757142857143</v>
      </c>
      <c r="M445" s="141">
        <v>0.16</v>
      </c>
      <c r="N445" s="141">
        <v>0</v>
      </c>
      <c r="O445" s="119">
        <f t="shared" si="93"/>
        <v>0</v>
      </c>
      <c r="P445" s="120">
        <v>1</v>
      </c>
      <c r="Q445" s="119">
        <f t="shared" si="89"/>
        <v>0.122757142857143</v>
      </c>
      <c r="R445" s="104">
        <v>121461</v>
      </c>
      <c r="S445" s="104">
        <v>3191785</v>
      </c>
      <c r="T445" s="141">
        <v>130350</v>
      </c>
      <c r="U445" s="141">
        <v>47342.226199999997</v>
      </c>
      <c r="V445" s="167" t="s">
        <v>100</v>
      </c>
      <c r="W445" s="167"/>
      <c r="X445" s="108">
        <v>0.52</v>
      </c>
      <c r="Y445" s="108" t="s">
        <v>145</v>
      </c>
      <c r="Z445" s="108"/>
      <c r="AA445" s="153">
        <v>0</v>
      </c>
      <c r="AB445" s="126">
        <f t="shared" si="76"/>
        <v>19433.760000000002</v>
      </c>
      <c r="AC445" s="126">
        <f t="shared" si="78"/>
        <v>0</v>
      </c>
      <c r="AD445" s="108">
        <v>64</v>
      </c>
      <c r="AE445" s="108"/>
    </row>
    <row r="446" spans="1:31" s="112" customFormat="1" x14ac:dyDescent="0.2">
      <c r="A446" s="108" t="s">
        <v>110</v>
      </c>
      <c r="B446" s="114" t="str">
        <f>VLOOKUP(A446,Sheet1!A:B,2,0)</f>
        <v>HP</v>
      </c>
      <c r="C446" s="108" t="s">
        <v>98</v>
      </c>
      <c r="D446" s="166">
        <v>23590202001</v>
      </c>
      <c r="E446" s="108" t="s">
        <v>42</v>
      </c>
      <c r="F446" s="108" t="s">
        <v>111</v>
      </c>
      <c r="G446" s="158" t="s">
        <v>44</v>
      </c>
      <c r="H446" s="108">
        <v>2024</v>
      </c>
      <c r="I446" s="108">
        <v>11</v>
      </c>
      <c r="J446" s="159">
        <v>45628</v>
      </c>
      <c r="K446" s="160">
        <v>0.5</v>
      </c>
      <c r="L446" s="141">
        <v>0.125588670602168</v>
      </c>
      <c r="M446" s="141">
        <v>0.15358867060216799</v>
      </c>
      <c r="N446" s="141">
        <v>0</v>
      </c>
      <c r="O446" s="119">
        <f t="shared" si="93"/>
        <v>0</v>
      </c>
      <c r="P446" s="120">
        <v>1</v>
      </c>
      <c r="Q446" s="119">
        <f t="shared" si="89"/>
        <v>0.125588670602168</v>
      </c>
      <c r="R446" s="104">
        <v>100000</v>
      </c>
      <c r="S446" s="104">
        <v>2032198</v>
      </c>
      <c r="T446" s="141">
        <v>98000</v>
      </c>
      <c r="U446" s="141">
        <v>63491.96</v>
      </c>
      <c r="V446" s="167" t="s">
        <v>112</v>
      </c>
      <c r="W446" s="167"/>
      <c r="X446" s="108">
        <v>0.7</v>
      </c>
      <c r="Y446" s="108" t="s">
        <v>145</v>
      </c>
      <c r="Z446" s="108"/>
      <c r="AA446" s="153">
        <v>0</v>
      </c>
      <c r="AB446" s="126">
        <f t="shared" si="76"/>
        <v>15358.867060216799</v>
      </c>
      <c r="AC446" s="126">
        <f t="shared" si="78"/>
        <v>0</v>
      </c>
      <c r="AD446" s="108">
        <v>70</v>
      </c>
      <c r="AE446" s="108"/>
    </row>
    <row r="447" spans="1:31" s="112" customFormat="1" ht="25.5" x14ac:dyDescent="0.2">
      <c r="A447" s="108" t="s">
        <v>110</v>
      </c>
      <c r="B447" s="114" t="str">
        <f>VLOOKUP(A447,Sheet1!A:B,2,0)</f>
        <v>HP</v>
      </c>
      <c r="C447" s="108" t="s">
        <v>101</v>
      </c>
      <c r="D447" s="166">
        <v>23480202015</v>
      </c>
      <c r="E447" s="108" t="s">
        <v>42</v>
      </c>
      <c r="F447" s="108" t="s">
        <v>113</v>
      </c>
      <c r="G447" s="158" t="s">
        <v>44</v>
      </c>
      <c r="H447" s="108">
        <v>2024</v>
      </c>
      <c r="I447" s="108">
        <v>11</v>
      </c>
      <c r="J447" s="159">
        <v>45628</v>
      </c>
      <c r="K447" s="160">
        <v>0.4</v>
      </c>
      <c r="L447" s="141">
        <v>0.27566008648311202</v>
      </c>
      <c r="M447" s="141">
        <v>0.353993419816445</v>
      </c>
      <c r="N447" s="141">
        <v>0</v>
      </c>
      <c r="O447" s="119">
        <f t="shared" si="93"/>
        <v>0</v>
      </c>
      <c r="P447" s="120">
        <v>1</v>
      </c>
      <c r="Q447" s="119">
        <f t="shared" si="89"/>
        <v>0.27566008648311202</v>
      </c>
      <c r="R447" s="104">
        <v>165240</v>
      </c>
      <c r="S447" s="104">
        <v>1553536</v>
      </c>
      <c r="T447" s="141">
        <v>188000</v>
      </c>
      <c r="U447" s="141">
        <v>126964.54670000001</v>
      </c>
      <c r="V447" s="167" t="s">
        <v>114</v>
      </c>
      <c r="W447" s="167"/>
      <c r="X447" s="108">
        <v>1.72</v>
      </c>
      <c r="Y447" s="108" t="s">
        <v>145</v>
      </c>
      <c r="Z447" s="108"/>
      <c r="AA447" s="153">
        <v>0</v>
      </c>
      <c r="AB447" s="126">
        <f t="shared" si="76"/>
        <v>58493.872690469369</v>
      </c>
      <c r="AC447" s="126">
        <f t="shared" si="78"/>
        <v>0</v>
      </c>
      <c r="AD447" s="108">
        <v>285</v>
      </c>
      <c r="AE447" s="108"/>
    </row>
    <row r="448" spans="1:31" s="112" customFormat="1" x14ac:dyDescent="0.2">
      <c r="A448" s="108" t="s">
        <v>110</v>
      </c>
      <c r="B448" s="114" t="str">
        <f>VLOOKUP(A448,Sheet1!A:B,2,0)</f>
        <v>HP</v>
      </c>
      <c r="C448" s="108" t="s">
        <v>115</v>
      </c>
      <c r="D448" s="166">
        <v>23480202012</v>
      </c>
      <c r="E448" s="108" t="s">
        <v>42</v>
      </c>
      <c r="F448" s="108" t="s">
        <v>116</v>
      </c>
      <c r="G448" s="158" t="s">
        <v>44</v>
      </c>
      <c r="H448" s="108">
        <v>2024</v>
      </c>
      <c r="I448" s="108">
        <v>11</v>
      </c>
      <c r="J448" s="159">
        <v>45628</v>
      </c>
      <c r="K448" s="160">
        <v>0.4</v>
      </c>
      <c r="L448" s="141">
        <f t="shared" ref="L448:L452" si="94">M448-N448</f>
        <v>0.80865388388102988</v>
      </c>
      <c r="M448" s="141">
        <v>1.0756538838810299</v>
      </c>
      <c r="N448" s="141">
        <v>0.26700000000000002</v>
      </c>
      <c r="O448" s="119">
        <f>N448*K448</f>
        <v>0.10680000000000001</v>
      </c>
      <c r="P448" s="120">
        <v>1</v>
      </c>
      <c r="Q448" s="119">
        <f t="shared" si="89"/>
        <v>0.80865388388102988</v>
      </c>
      <c r="R448" s="104">
        <v>87332</v>
      </c>
      <c r="S448" s="104">
        <v>825201</v>
      </c>
      <c r="T448" s="141">
        <v>640000</v>
      </c>
      <c r="U448" s="141">
        <f t="shared" ref="U448:U452" si="95">T448-N448*S448</f>
        <v>419671.33299999998</v>
      </c>
      <c r="V448" s="167" t="s">
        <v>117</v>
      </c>
      <c r="W448" s="167"/>
      <c r="X448" s="108">
        <v>5.75</v>
      </c>
      <c r="Y448" s="108" t="s">
        <v>145</v>
      </c>
      <c r="Z448" s="108"/>
      <c r="AA448" s="153">
        <v>0</v>
      </c>
      <c r="AB448" s="126">
        <f t="shared" si="76"/>
        <v>93939.004987098102</v>
      </c>
      <c r="AC448" s="126">
        <f t="shared" si="78"/>
        <v>0</v>
      </c>
      <c r="AD448" s="108">
        <v>502</v>
      </c>
      <c r="AE448" s="108"/>
    </row>
    <row r="449" spans="1:31" s="112" customFormat="1" ht="25.5" x14ac:dyDescent="0.2">
      <c r="A449" s="108" t="s">
        <v>110</v>
      </c>
      <c r="B449" s="114" t="str">
        <f>VLOOKUP(A449,Sheet1!A:B,2,0)</f>
        <v>HP</v>
      </c>
      <c r="C449" s="108" t="s">
        <v>118</v>
      </c>
      <c r="D449" s="166">
        <v>23480202005</v>
      </c>
      <c r="E449" s="108" t="s">
        <v>42</v>
      </c>
      <c r="F449" s="108" t="s">
        <v>119</v>
      </c>
      <c r="G449" s="158" t="s">
        <v>44</v>
      </c>
      <c r="H449" s="108">
        <v>2024</v>
      </c>
      <c r="I449" s="108">
        <v>11</v>
      </c>
      <c r="J449" s="159">
        <v>45628</v>
      </c>
      <c r="K449" s="160">
        <v>0.6</v>
      </c>
      <c r="L449" s="141">
        <f t="shared" si="94"/>
        <v>0.61243323981863296</v>
      </c>
      <c r="M449" s="141">
        <v>0.790433239818633</v>
      </c>
      <c r="N449" s="141">
        <v>0.17799999999999999</v>
      </c>
      <c r="O449" s="119">
        <f>N449*K449</f>
        <v>0.10679999999999999</v>
      </c>
      <c r="P449" s="120">
        <v>1</v>
      </c>
      <c r="Q449" s="119">
        <f t="shared" si="89"/>
        <v>0.61243323981863296</v>
      </c>
      <c r="R449" s="104">
        <v>179080</v>
      </c>
      <c r="S449" s="104">
        <v>1489020</v>
      </c>
      <c r="T449" s="141">
        <f>640000+35296</f>
        <v>675296</v>
      </c>
      <c r="U449" s="141">
        <f t="shared" si="95"/>
        <v>410250.44</v>
      </c>
      <c r="V449" s="167" t="s">
        <v>120</v>
      </c>
      <c r="W449" s="167"/>
      <c r="X449" s="108">
        <v>3.27</v>
      </c>
      <c r="Y449" s="108" t="s">
        <v>145</v>
      </c>
      <c r="Z449" s="108"/>
      <c r="AA449" s="153">
        <v>0</v>
      </c>
      <c r="AB449" s="126">
        <f t="shared" si="76"/>
        <v>141550.78458672081</v>
      </c>
      <c r="AC449" s="126">
        <f t="shared" si="78"/>
        <v>0</v>
      </c>
      <c r="AD449" s="108">
        <v>586</v>
      </c>
      <c r="AE449" s="108"/>
    </row>
    <row r="450" spans="1:31" s="112" customFormat="1" x14ac:dyDescent="0.2">
      <c r="A450" s="108" t="s">
        <v>110</v>
      </c>
      <c r="B450" s="114" t="str">
        <f>VLOOKUP(A450,Sheet1!A:B,2,0)</f>
        <v>HP</v>
      </c>
      <c r="C450" s="108" t="s">
        <v>121</v>
      </c>
      <c r="D450" s="166">
        <v>23480202011</v>
      </c>
      <c r="E450" s="108" t="s">
        <v>42</v>
      </c>
      <c r="F450" s="108" t="s">
        <v>116</v>
      </c>
      <c r="G450" s="158" t="s">
        <v>44</v>
      </c>
      <c r="H450" s="108">
        <v>2024</v>
      </c>
      <c r="I450" s="108">
        <v>11</v>
      </c>
      <c r="J450" s="159">
        <v>45628</v>
      </c>
      <c r="K450" s="160">
        <v>0.5</v>
      </c>
      <c r="L450" s="141">
        <f t="shared" si="94"/>
        <v>0.29378086188436198</v>
      </c>
      <c r="M450" s="141">
        <v>0.41711419521769499</v>
      </c>
      <c r="N450" s="141">
        <v>0.123333333333333</v>
      </c>
      <c r="O450" s="119">
        <f t="shared" si="93"/>
        <v>6.1666666666666502E-2</v>
      </c>
      <c r="P450" s="120">
        <v>1</v>
      </c>
      <c r="Q450" s="119">
        <f t="shared" si="89"/>
        <v>0.29378086188436198</v>
      </c>
      <c r="R450" s="104">
        <v>111200</v>
      </c>
      <c r="S450" s="104">
        <v>1173935</v>
      </c>
      <c r="T450" s="141">
        <v>370000</v>
      </c>
      <c r="U450" s="141">
        <f t="shared" si="95"/>
        <v>225214.68333333373</v>
      </c>
      <c r="V450" s="167" t="s">
        <v>107</v>
      </c>
      <c r="W450" s="167"/>
      <c r="X450" s="108">
        <v>1.78</v>
      </c>
      <c r="Y450" s="108" t="s">
        <v>145</v>
      </c>
      <c r="Z450" s="108"/>
      <c r="AA450" s="153">
        <v>0</v>
      </c>
      <c r="AB450" s="126">
        <f t="shared" si="76"/>
        <v>46383.09850820768</v>
      </c>
      <c r="AC450" s="126">
        <f t="shared" si="78"/>
        <v>0</v>
      </c>
      <c r="AD450" s="108">
        <v>197</v>
      </c>
      <c r="AE450" s="108"/>
    </row>
    <row r="451" spans="1:31" s="112" customFormat="1" x14ac:dyDescent="0.2">
      <c r="A451" s="108" t="s">
        <v>110</v>
      </c>
      <c r="B451" s="114" t="str">
        <f>VLOOKUP(A451,Sheet1!A:B,2,0)</f>
        <v>HP</v>
      </c>
      <c r="C451" s="108" t="s">
        <v>66</v>
      </c>
      <c r="D451" s="166">
        <v>23480202017</v>
      </c>
      <c r="E451" s="108" t="s">
        <v>42</v>
      </c>
      <c r="F451" s="108" t="s">
        <v>116</v>
      </c>
      <c r="G451" s="158" t="s">
        <v>44</v>
      </c>
      <c r="H451" s="108">
        <v>2024</v>
      </c>
      <c r="I451" s="108">
        <v>11</v>
      </c>
      <c r="J451" s="159">
        <v>45628</v>
      </c>
      <c r="K451" s="160">
        <v>0.5</v>
      </c>
      <c r="L451" s="141">
        <f t="shared" si="94"/>
        <v>1.0628666666666668</v>
      </c>
      <c r="M451" s="141">
        <v>1.1322000000000001</v>
      </c>
      <c r="N451" s="141">
        <v>6.9333333333333302E-2</v>
      </c>
      <c r="O451" s="119">
        <f t="shared" si="93"/>
        <v>3.4666666666666651E-2</v>
      </c>
      <c r="P451" s="120">
        <v>1</v>
      </c>
      <c r="Q451" s="119">
        <f t="shared" si="89"/>
        <v>1.0628666666666668</v>
      </c>
      <c r="R451" s="104">
        <v>199030</v>
      </c>
      <c r="S451" s="104">
        <v>1013426</v>
      </c>
      <c r="T451" s="141">
        <f>208000+207000+35513+26171+7330</f>
        <v>484014</v>
      </c>
      <c r="U451" s="141">
        <f t="shared" si="95"/>
        <v>413749.79733333335</v>
      </c>
      <c r="V451" s="167" t="s">
        <v>154</v>
      </c>
      <c r="W451" s="167"/>
      <c r="X451" s="108">
        <v>2.38</v>
      </c>
      <c r="Y451" s="108" t="s">
        <v>145</v>
      </c>
      <c r="Z451" s="124" t="s">
        <v>93</v>
      </c>
      <c r="AA451" s="153">
        <v>0.8</v>
      </c>
      <c r="AB451" s="126">
        <f t="shared" si="76"/>
        <v>225341.76600000003</v>
      </c>
      <c r="AC451" s="126">
        <f t="shared" si="78"/>
        <v>159224</v>
      </c>
      <c r="AD451" s="108">
        <v>474</v>
      </c>
      <c r="AE451" s="108"/>
    </row>
    <row r="452" spans="1:31" s="112" customFormat="1" ht="38.25" x14ac:dyDescent="0.2">
      <c r="A452" s="108" t="s">
        <v>110</v>
      </c>
      <c r="B452" s="114" t="str">
        <f>VLOOKUP(A452,Sheet1!A:B,2,0)</f>
        <v>HP</v>
      </c>
      <c r="C452" s="108" t="s">
        <v>150</v>
      </c>
      <c r="D452" s="166">
        <v>23480202018</v>
      </c>
      <c r="E452" s="108" t="s">
        <v>42</v>
      </c>
      <c r="F452" s="108" t="s">
        <v>116</v>
      </c>
      <c r="G452" s="158" t="s">
        <v>44</v>
      </c>
      <c r="H452" s="108">
        <v>2024</v>
      </c>
      <c r="I452" s="108">
        <v>11</v>
      </c>
      <c r="J452" s="159">
        <v>45628</v>
      </c>
      <c r="K452" s="160">
        <v>0.4</v>
      </c>
      <c r="L452" s="141">
        <f t="shared" si="94"/>
        <v>0.41382922267354705</v>
      </c>
      <c r="M452" s="141">
        <v>0.54316255600688002</v>
      </c>
      <c r="N452" s="141">
        <v>0.12933333333333299</v>
      </c>
      <c r="O452" s="119">
        <f t="shared" si="93"/>
        <v>5.1733333333333201E-2</v>
      </c>
      <c r="P452" s="120">
        <v>1</v>
      </c>
      <c r="Q452" s="119">
        <f t="shared" si="89"/>
        <v>0.41382922267354705</v>
      </c>
      <c r="R452" s="104">
        <v>45927</v>
      </c>
      <c r="S452" s="104">
        <v>475422</v>
      </c>
      <c r="T452" s="141">
        <f>388000+53870+10859</f>
        <v>452729</v>
      </c>
      <c r="U452" s="141">
        <f t="shared" si="95"/>
        <v>391241.08800000016</v>
      </c>
      <c r="V452" s="167" t="s">
        <v>155</v>
      </c>
      <c r="W452" s="167"/>
      <c r="X452" s="108">
        <v>3.67</v>
      </c>
      <c r="Y452" s="108" t="s">
        <v>145</v>
      </c>
      <c r="Z452" s="108"/>
      <c r="AA452" s="125">
        <v>0</v>
      </c>
      <c r="AB452" s="126">
        <f t="shared" ref="AB452:AB474" si="96">M452*R452</f>
        <v>24945.826709727979</v>
      </c>
      <c r="AC452" s="126">
        <f t="shared" si="78"/>
        <v>0</v>
      </c>
      <c r="AD452" s="104">
        <v>13768</v>
      </c>
      <c r="AE452" s="108"/>
    </row>
    <row r="453" spans="1:31" s="112" customFormat="1" x14ac:dyDescent="0.2">
      <c r="A453" s="108" t="s">
        <v>124</v>
      </c>
      <c r="B453" s="114" t="str">
        <f>VLOOKUP(A453,Sheet1!A:B,2,0)</f>
        <v>RCS POD</v>
      </c>
      <c r="C453" s="108" t="s">
        <v>84</v>
      </c>
      <c r="D453" s="156">
        <v>130010390000214</v>
      </c>
      <c r="E453" s="157" t="s">
        <v>42</v>
      </c>
      <c r="F453" s="157" t="s">
        <v>60</v>
      </c>
      <c r="G453" s="158" t="s">
        <v>44</v>
      </c>
      <c r="H453" s="157">
        <v>2024</v>
      </c>
      <c r="I453" s="108">
        <v>11</v>
      </c>
      <c r="J453" s="159">
        <v>45628</v>
      </c>
      <c r="K453" s="160">
        <v>0.5</v>
      </c>
      <c r="L453" s="119">
        <f>M453-N453</f>
        <v>0.2716898724654021</v>
      </c>
      <c r="M453" s="119">
        <f>0.0486776607435088*7.15</f>
        <v>0.34804527431608795</v>
      </c>
      <c r="N453" s="119">
        <f>0.0106790771819141*7.15</f>
        <v>7.6355401850685817E-2</v>
      </c>
      <c r="O453" s="119" t="s">
        <v>156</v>
      </c>
      <c r="P453" s="120">
        <v>1</v>
      </c>
      <c r="Q453" s="119">
        <f t="shared" si="89"/>
        <v>0.2716898724654021</v>
      </c>
      <c r="R453" s="104">
        <v>3748500</v>
      </c>
      <c r="S453" s="105">
        <v>484692624</v>
      </c>
      <c r="T453" s="148">
        <f>3463988.94540042*7.15</f>
        <v>24767520.959613007</v>
      </c>
      <c r="U453" s="141">
        <v>-4398001.5199999996</v>
      </c>
      <c r="V453" s="167" t="s">
        <v>151</v>
      </c>
      <c r="W453" s="108"/>
      <c r="X453" s="157">
        <v>2.09</v>
      </c>
      <c r="Y453" s="108" t="s">
        <v>142</v>
      </c>
      <c r="Z453" s="108"/>
      <c r="AA453" s="125">
        <v>0</v>
      </c>
      <c r="AB453" s="126">
        <f t="shared" si="96"/>
        <v>1304647.7107738557</v>
      </c>
      <c r="AC453" s="126">
        <f t="shared" si="78"/>
        <v>0</v>
      </c>
      <c r="AD453" s="104">
        <v>7834</v>
      </c>
      <c r="AE453" s="157" t="s">
        <v>125</v>
      </c>
    </row>
    <row r="454" spans="1:31" s="112" customFormat="1" x14ac:dyDescent="0.2">
      <c r="A454" s="108" t="s">
        <v>124</v>
      </c>
      <c r="B454" s="114" t="str">
        <f>VLOOKUP(A454,Sheet1!A:B,2,0)</f>
        <v>RCS POD</v>
      </c>
      <c r="C454" s="108" t="s">
        <v>126</v>
      </c>
      <c r="D454" s="156">
        <v>130010390000215</v>
      </c>
      <c r="E454" s="157" t="s">
        <v>42</v>
      </c>
      <c r="F454" s="157" t="s">
        <v>60</v>
      </c>
      <c r="G454" s="158" t="s">
        <v>44</v>
      </c>
      <c r="H454" s="157">
        <v>2024</v>
      </c>
      <c r="I454" s="108">
        <v>11</v>
      </c>
      <c r="J454" s="159">
        <v>45628</v>
      </c>
      <c r="K454" s="160">
        <v>0.5</v>
      </c>
      <c r="L454" s="119">
        <f t="shared" ref="L454:L455" si="97">M454-N454</f>
        <v>8.678151776003247E-2</v>
      </c>
      <c r="M454" s="119">
        <f>0.0161737427216087*7.15</f>
        <v>0.11564226045950222</v>
      </c>
      <c r="N454" s="119">
        <f>0.00403646751041535*7.15</f>
        <v>2.8860742699469755E-2</v>
      </c>
      <c r="O454" s="119" t="s">
        <v>157</v>
      </c>
      <c r="P454" s="120">
        <v>1</v>
      </c>
      <c r="Q454" s="119">
        <f t="shared" si="89"/>
        <v>8.678151776003247E-2</v>
      </c>
      <c r="R454" s="104">
        <v>3616700</v>
      </c>
      <c r="S454" s="105">
        <v>496089504</v>
      </c>
      <c r="T454" s="126">
        <f>1437831.94798769*7.15</f>
        <v>10280498.428111985</v>
      </c>
      <c r="U454" s="141">
        <v>-1249372.8999999999</v>
      </c>
      <c r="V454" s="167" t="s">
        <v>151</v>
      </c>
      <c r="W454" s="108"/>
      <c r="X454" s="157">
        <v>0.31</v>
      </c>
      <c r="Y454" s="108" t="s">
        <v>142</v>
      </c>
      <c r="Z454" s="108"/>
      <c r="AA454" s="125">
        <v>0</v>
      </c>
      <c r="AB454" s="126">
        <f t="shared" si="96"/>
        <v>418243.36340388167</v>
      </c>
      <c r="AC454" s="126">
        <f t="shared" si="78"/>
        <v>0</v>
      </c>
      <c r="AD454" s="105">
        <v>1121</v>
      </c>
      <c r="AE454" s="157" t="s">
        <v>125</v>
      </c>
    </row>
    <row r="455" spans="1:31" s="112" customFormat="1" x14ac:dyDescent="0.2">
      <c r="A455" s="108" t="s">
        <v>124</v>
      </c>
      <c r="B455" s="114" t="str">
        <f>VLOOKUP(A455,Sheet1!A:B,2,0)</f>
        <v>RCS POD</v>
      </c>
      <c r="C455" s="108" t="s">
        <v>128</v>
      </c>
      <c r="D455" s="156">
        <v>130010390000216</v>
      </c>
      <c r="E455" s="157" t="s">
        <v>42</v>
      </c>
      <c r="F455" s="157" t="s">
        <v>60</v>
      </c>
      <c r="G455" s="158" t="s">
        <v>44</v>
      </c>
      <c r="H455" s="157">
        <v>2024</v>
      </c>
      <c r="I455" s="108">
        <v>11</v>
      </c>
      <c r="J455" s="159">
        <v>45628</v>
      </c>
      <c r="K455" s="160">
        <v>0.5</v>
      </c>
      <c r="L455" s="119">
        <f t="shared" si="97"/>
        <v>9.5833382481798193E-2</v>
      </c>
      <c r="M455" s="119">
        <f>0.0174994801501063*7.15</f>
        <v>0.12512128307326006</v>
      </c>
      <c r="N455" s="119">
        <f>0.00409620987293173*7.15</f>
        <v>2.9287900591461875E-2</v>
      </c>
      <c r="O455" s="119" t="s">
        <v>157</v>
      </c>
      <c r="P455" s="120">
        <v>1</v>
      </c>
      <c r="Q455" s="119">
        <f t="shared" si="89"/>
        <v>9.5833382481798193E-2</v>
      </c>
      <c r="R455" s="104">
        <v>3480000</v>
      </c>
      <c r="S455" s="105">
        <v>504443481</v>
      </c>
      <c r="T455" s="149">
        <f>1445425.20219722*7.15</f>
        <v>10334790.195710123</v>
      </c>
      <c r="U455" s="141">
        <v>-1355364.35</v>
      </c>
      <c r="V455" s="167" t="s">
        <v>151</v>
      </c>
      <c r="W455" s="169"/>
      <c r="X455" s="157">
        <v>0.5</v>
      </c>
      <c r="Y455" s="108" t="s">
        <v>142</v>
      </c>
      <c r="Z455" s="108"/>
      <c r="AA455" s="125">
        <v>0</v>
      </c>
      <c r="AB455" s="126">
        <f t="shared" si="96"/>
        <v>435422.06509494502</v>
      </c>
      <c r="AC455" s="126">
        <f t="shared" si="78"/>
        <v>0</v>
      </c>
      <c r="AD455" s="105">
        <v>1740</v>
      </c>
      <c r="AE455" s="157" t="s">
        <v>125</v>
      </c>
    </row>
    <row r="456" spans="1:31" s="112" customFormat="1" x14ac:dyDescent="0.2">
      <c r="A456" s="108" t="s">
        <v>124</v>
      </c>
      <c r="B456" s="114" t="str">
        <f>VLOOKUP(A456,Sheet1!A:B,2,0)</f>
        <v>RCS POD</v>
      </c>
      <c r="C456" s="108" t="s">
        <v>130</v>
      </c>
      <c r="D456" s="156">
        <v>130010390000221</v>
      </c>
      <c r="E456" s="157" t="s">
        <v>42</v>
      </c>
      <c r="F456" s="157" t="s">
        <v>60</v>
      </c>
      <c r="G456" s="158" t="s">
        <v>44</v>
      </c>
      <c r="H456" s="157">
        <v>2024</v>
      </c>
      <c r="I456" s="108">
        <v>11</v>
      </c>
      <c r="J456" s="159">
        <v>45628</v>
      </c>
      <c r="K456" s="160">
        <v>0.5</v>
      </c>
      <c r="L456" s="119">
        <f>M456-N456</f>
        <v>0.11296999999999974</v>
      </c>
      <c r="M456" s="119">
        <f>0.0185189867051391*7.15</f>
        <v>0.13241075494174459</v>
      </c>
      <c r="N456" s="119">
        <f>0.00271898670513914*7.15</f>
        <v>1.944075494174485E-2</v>
      </c>
      <c r="O456" s="119" t="s">
        <v>158</v>
      </c>
      <c r="P456" s="120">
        <v>1</v>
      </c>
      <c r="Q456" s="119">
        <f t="shared" ref="Q456:Q474" si="98">P456*L456</f>
        <v>0.11296999999999974</v>
      </c>
      <c r="R456" s="104">
        <v>3400700</v>
      </c>
      <c r="S456" s="105">
        <v>505727613</v>
      </c>
      <c r="T456" s="149">
        <f>728800.55983205*7.15</f>
        <v>5210924.002799158</v>
      </c>
      <c r="U456" s="141">
        <v>-1671638.18</v>
      </c>
      <c r="V456" s="186" t="s">
        <v>132</v>
      </c>
      <c r="W456" s="157"/>
      <c r="X456" s="157">
        <v>1.29</v>
      </c>
      <c r="Y456" s="157" t="s">
        <v>133</v>
      </c>
      <c r="Z456" s="157"/>
      <c r="AA456" s="125">
        <v>0</v>
      </c>
      <c r="AB456" s="126">
        <f t="shared" si="96"/>
        <v>450289.25433039083</v>
      </c>
      <c r="AC456" s="126">
        <f t="shared" si="78"/>
        <v>0</v>
      </c>
      <c r="AD456" s="105">
        <v>4387</v>
      </c>
      <c r="AE456" s="157" t="s">
        <v>125</v>
      </c>
    </row>
    <row r="457" spans="1:31" s="112" customFormat="1" x14ac:dyDescent="0.2">
      <c r="A457" s="157" t="s">
        <v>159</v>
      </c>
      <c r="B457" s="157" t="s">
        <v>2</v>
      </c>
      <c r="C457" s="108" t="s">
        <v>160</v>
      </c>
      <c r="D457" s="157" t="s">
        <v>136</v>
      </c>
      <c r="E457" s="157" t="s">
        <v>42</v>
      </c>
      <c r="F457" s="157" t="s">
        <v>60</v>
      </c>
      <c r="G457" s="108" t="s">
        <v>137</v>
      </c>
      <c r="H457" s="157">
        <v>2024</v>
      </c>
      <c r="I457" s="108">
        <v>3</v>
      </c>
      <c r="J457" s="159">
        <v>45628</v>
      </c>
      <c r="K457" s="160">
        <v>0.5</v>
      </c>
      <c r="L457" s="119">
        <v>27.14</v>
      </c>
      <c r="M457" s="119">
        <v>27.14</v>
      </c>
      <c r="N457" s="119">
        <v>0</v>
      </c>
      <c r="O457" s="119">
        <f t="shared" ref="O457:O474" si="99">N457*K457</f>
        <v>0</v>
      </c>
      <c r="P457" s="120">
        <v>1</v>
      </c>
      <c r="Q457" s="119">
        <f t="shared" si="98"/>
        <v>27.14</v>
      </c>
      <c r="R457" s="108"/>
      <c r="S457" s="157">
        <v>0</v>
      </c>
      <c r="T457" s="108">
        <v>0</v>
      </c>
      <c r="U457" s="149">
        <v>0</v>
      </c>
      <c r="V457" s="167" t="s">
        <v>138</v>
      </c>
      <c r="W457" s="157"/>
      <c r="X457" s="157">
        <v>5.3</v>
      </c>
      <c r="Y457" s="108" t="s">
        <v>161</v>
      </c>
      <c r="Z457" s="157"/>
      <c r="AA457" s="125">
        <v>12.95</v>
      </c>
      <c r="AB457" s="126">
        <f t="shared" si="96"/>
        <v>0</v>
      </c>
      <c r="AC457" s="126">
        <f t="shared" ref="AC457:AC474" si="100">R457*AA457</f>
        <v>0</v>
      </c>
      <c r="AD457" s="127">
        <f t="shared" ref="AD457:AD474" si="101">R457*X457/1000</f>
        <v>0</v>
      </c>
      <c r="AE457" s="157"/>
    </row>
    <row r="458" spans="1:31" s="112" customFormat="1" x14ac:dyDescent="0.2">
      <c r="A458" s="157" t="s">
        <v>159</v>
      </c>
      <c r="B458" s="157" t="s">
        <v>2</v>
      </c>
      <c r="C458" s="108" t="s">
        <v>162</v>
      </c>
      <c r="D458" s="157" t="s">
        <v>136</v>
      </c>
      <c r="E458" s="157" t="s">
        <v>42</v>
      </c>
      <c r="F458" s="157" t="s">
        <v>60</v>
      </c>
      <c r="G458" s="108" t="s">
        <v>137</v>
      </c>
      <c r="H458" s="157">
        <v>2024</v>
      </c>
      <c r="I458" s="108">
        <v>3</v>
      </c>
      <c r="J458" s="159">
        <v>45628</v>
      </c>
      <c r="K458" s="160">
        <v>0.5</v>
      </c>
      <c r="L458" s="119">
        <v>27.14</v>
      </c>
      <c r="M458" s="119">
        <v>27.14</v>
      </c>
      <c r="N458" s="119">
        <v>0</v>
      </c>
      <c r="O458" s="119">
        <f t="shared" si="99"/>
        <v>0</v>
      </c>
      <c r="P458" s="120">
        <v>1</v>
      </c>
      <c r="Q458" s="119">
        <f t="shared" si="98"/>
        <v>27.14</v>
      </c>
      <c r="R458" s="104">
        <v>219648</v>
      </c>
      <c r="S458" s="105">
        <v>219648</v>
      </c>
      <c r="T458" s="108">
        <v>0</v>
      </c>
      <c r="U458" s="149">
        <v>0</v>
      </c>
      <c r="V458" s="167" t="s">
        <v>138</v>
      </c>
      <c r="W458" s="157"/>
      <c r="X458" s="157">
        <v>5.3</v>
      </c>
      <c r="Y458" s="108" t="s">
        <v>161</v>
      </c>
      <c r="Z458" s="157"/>
      <c r="AA458" s="125">
        <v>12.95</v>
      </c>
      <c r="AB458" s="126">
        <f t="shared" si="96"/>
        <v>5961246.7199999997</v>
      </c>
      <c r="AC458" s="126">
        <f t="shared" si="100"/>
        <v>2844441.5999999996</v>
      </c>
      <c r="AD458" s="127">
        <f t="shared" si="101"/>
        <v>1164.1343999999999</v>
      </c>
      <c r="AE458" s="157"/>
    </row>
    <row r="459" spans="1:31" s="112" customFormat="1" x14ac:dyDescent="0.2">
      <c r="A459" s="157" t="s">
        <v>159</v>
      </c>
      <c r="B459" s="157" t="s">
        <v>2</v>
      </c>
      <c r="C459" s="108" t="s">
        <v>160</v>
      </c>
      <c r="D459" s="157" t="s">
        <v>136</v>
      </c>
      <c r="E459" s="157" t="s">
        <v>42</v>
      </c>
      <c r="F459" s="157" t="s">
        <v>60</v>
      </c>
      <c r="G459" s="108" t="s">
        <v>137</v>
      </c>
      <c r="H459" s="157">
        <v>2024</v>
      </c>
      <c r="I459" s="108">
        <v>4</v>
      </c>
      <c r="J459" s="159">
        <v>45628</v>
      </c>
      <c r="K459" s="160">
        <v>0.5</v>
      </c>
      <c r="L459" s="119">
        <v>27.14</v>
      </c>
      <c r="M459" s="119">
        <v>27.14</v>
      </c>
      <c r="N459" s="119">
        <v>0</v>
      </c>
      <c r="O459" s="119">
        <f t="shared" si="99"/>
        <v>0</v>
      </c>
      <c r="P459" s="120">
        <v>1</v>
      </c>
      <c r="Q459" s="119">
        <f t="shared" si="98"/>
        <v>27.14</v>
      </c>
      <c r="R459" s="104">
        <v>70656</v>
      </c>
      <c r="S459" s="105">
        <v>70656</v>
      </c>
      <c r="T459" s="108">
        <v>0</v>
      </c>
      <c r="U459" s="149">
        <v>0</v>
      </c>
      <c r="V459" s="167" t="s">
        <v>138</v>
      </c>
      <c r="W459" s="157"/>
      <c r="X459" s="157">
        <v>5.3</v>
      </c>
      <c r="Y459" s="108" t="s">
        <v>161</v>
      </c>
      <c r="Z459" s="157"/>
      <c r="AA459" s="125">
        <v>12.95</v>
      </c>
      <c r="AB459" s="126">
        <f t="shared" si="96"/>
        <v>1917603.8400000001</v>
      </c>
      <c r="AC459" s="126">
        <f t="shared" si="100"/>
        <v>914995.19999999995</v>
      </c>
      <c r="AD459" s="127">
        <f t="shared" si="101"/>
        <v>374.47679999999997</v>
      </c>
      <c r="AE459" s="157"/>
    </row>
    <row r="460" spans="1:31" s="112" customFormat="1" x14ac:dyDescent="0.2">
      <c r="A460" s="157" t="s">
        <v>159</v>
      </c>
      <c r="B460" s="157" t="s">
        <v>2</v>
      </c>
      <c r="C460" s="108" t="s">
        <v>162</v>
      </c>
      <c r="D460" s="157" t="s">
        <v>136</v>
      </c>
      <c r="E460" s="157" t="s">
        <v>42</v>
      </c>
      <c r="F460" s="157" t="s">
        <v>60</v>
      </c>
      <c r="G460" s="108" t="s">
        <v>137</v>
      </c>
      <c r="H460" s="157">
        <v>2024</v>
      </c>
      <c r="I460" s="108">
        <v>4</v>
      </c>
      <c r="J460" s="159">
        <v>45628</v>
      </c>
      <c r="K460" s="160">
        <v>0.5</v>
      </c>
      <c r="L460" s="119">
        <v>27.14</v>
      </c>
      <c r="M460" s="119">
        <v>27.14</v>
      </c>
      <c r="N460" s="119">
        <v>0</v>
      </c>
      <c r="O460" s="119">
        <f t="shared" si="99"/>
        <v>0</v>
      </c>
      <c r="P460" s="120">
        <v>1</v>
      </c>
      <c r="Q460" s="119">
        <f t="shared" si="98"/>
        <v>27.14</v>
      </c>
      <c r="R460" s="104">
        <v>303593</v>
      </c>
      <c r="S460" s="105">
        <v>523241</v>
      </c>
      <c r="T460" s="108">
        <v>0</v>
      </c>
      <c r="U460" s="149">
        <v>0</v>
      </c>
      <c r="V460" s="167" t="s">
        <v>138</v>
      </c>
      <c r="W460" s="157"/>
      <c r="X460" s="157">
        <v>5.3</v>
      </c>
      <c r="Y460" s="108" t="s">
        <v>161</v>
      </c>
      <c r="Z460" s="157"/>
      <c r="AA460" s="125">
        <v>12.95</v>
      </c>
      <c r="AB460" s="126">
        <f t="shared" si="96"/>
        <v>8239514.0200000005</v>
      </c>
      <c r="AC460" s="126">
        <f t="shared" si="100"/>
        <v>3931529.3499999996</v>
      </c>
      <c r="AD460" s="127">
        <f t="shared" si="101"/>
        <v>1609.0428999999999</v>
      </c>
      <c r="AE460" s="157"/>
    </row>
    <row r="461" spans="1:31" s="112" customFormat="1" x14ac:dyDescent="0.2">
      <c r="A461" s="157" t="s">
        <v>159</v>
      </c>
      <c r="B461" s="157" t="s">
        <v>2</v>
      </c>
      <c r="C461" s="108" t="s">
        <v>160</v>
      </c>
      <c r="D461" s="157" t="s">
        <v>136</v>
      </c>
      <c r="E461" s="157" t="s">
        <v>42</v>
      </c>
      <c r="F461" s="157" t="s">
        <v>60</v>
      </c>
      <c r="G461" s="108" t="s">
        <v>137</v>
      </c>
      <c r="H461" s="157">
        <v>2024</v>
      </c>
      <c r="I461" s="108">
        <v>5</v>
      </c>
      <c r="J461" s="159">
        <v>45628</v>
      </c>
      <c r="K461" s="160">
        <v>0.5</v>
      </c>
      <c r="L461" s="119">
        <v>27.14</v>
      </c>
      <c r="M461" s="119">
        <v>27.14</v>
      </c>
      <c r="N461" s="119">
        <v>0</v>
      </c>
      <c r="O461" s="119">
        <f t="shared" si="99"/>
        <v>0</v>
      </c>
      <c r="P461" s="120">
        <v>1</v>
      </c>
      <c r="Q461" s="119">
        <f t="shared" si="98"/>
        <v>27.14</v>
      </c>
      <c r="R461" s="104">
        <v>366373</v>
      </c>
      <c r="S461" s="105">
        <v>437029</v>
      </c>
      <c r="T461" s="108">
        <v>0</v>
      </c>
      <c r="U461" s="149">
        <v>0</v>
      </c>
      <c r="V461" s="167" t="s">
        <v>138</v>
      </c>
      <c r="W461" s="157"/>
      <c r="X461" s="157">
        <v>5.3</v>
      </c>
      <c r="Y461" s="108" t="s">
        <v>161</v>
      </c>
      <c r="Z461" s="157"/>
      <c r="AA461" s="125">
        <v>12.95</v>
      </c>
      <c r="AB461" s="126">
        <f t="shared" si="96"/>
        <v>9943363.2200000007</v>
      </c>
      <c r="AC461" s="126">
        <f t="shared" si="100"/>
        <v>4744530.3499999996</v>
      </c>
      <c r="AD461" s="127">
        <f t="shared" si="101"/>
        <v>1941.7768999999998</v>
      </c>
      <c r="AE461" s="157"/>
    </row>
    <row r="462" spans="1:31" s="112" customFormat="1" x14ac:dyDescent="0.2">
      <c r="A462" s="157" t="s">
        <v>159</v>
      </c>
      <c r="B462" s="157" t="s">
        <v>2</v>
      </c>
      <c r="C462" s="108" t="s">
        <v>162</v>
      </c>
      <c r="D462" s="157" t="s">
        <v>136</v>
      </c>
      <c r="E462" s="157" t="s">
        <v>42</v>
      </c>
      <c r="F462" s="157" t="s">
        <v>60</v>
      </c>
      <c r="G462" s="108" t="s">
        <v>137</v>
      </c>
      <c r="H462" s="157">
        <v>2024</v>
      </c>
      <c r="I462" s="108">
        <v>5</v>
      </c>
      <c r="J462" s="159">
        <v>45628</v>
      </c>
      <c r="K462" s="160">
        <v>0.5</v>
      </c>
      <c r="L462" s="119">
        <v>27.14</v>
      </c>
      <c r="M462" s="119">
        <v>27.14</v>
      </c>
      <c r="N462" s="119">
        <v>0</v>
      </c>
      <c r="O462" s="119">
        <f t="shared" si="99"/>
        <v>0</v>
      </c>
      <c r="P462" s="120">
        <v>1</v>
      </c>
      <c r="Q462" s="119">
        <f t="shared" si="98"/>
        <v>27.14</v>
      </c>
      <c r="R462" s="104">
        <v>51658</v>
      </c>
      <c r="S462" s="105">
        <v>574899</v>
      </c>
      <c r="T462" s="108">
        <v>0</v>
      </c>
      <c r="U462" s="149">
        <v>0</v>
      </c>
      <c r="V462" s="167" t="s">
        <v>138</v>
      </c>
      <c r="W462" s="157"/>
      <c r="X462" s="157">
        <v>5.3</v>
      </c>
      <c r="Y462" s="108" t="s">
        <v>161</v>
      </c>
      <c r="Z462" s="157"/>
      <c r="AA462" s="125">
        <v>12.95</v>
      </c>
      <c r="AB462" s="126">
        <f t="shared" si="96"/>
        <v>1401998.12</v>
      </c>
      <c r="AC462" s="126">
        <f t="shared" si="100"/>
        <v>668971.1</v>
      </c>
      <c r="AD462" s="127">
        <f t="shared" si="101"/>
        <v>273.78739999999999</v>
      </c>
      <c r="AE462" s="157"/>
    </row>
    <row r="463" spans="1:31" s="112" customFormat="1" x14ac:dyDescent="0.2">
      <c r="A463" s="157" t="s">
        <v>159</v>
      </c>
      <c r="B463" s="157" t="s">
        <v>2</v>
      </c>
      <c r="C463" s="108" t="s">
        <v>160</v>
      </c>
      <c r="D463" s="157" t="s">
        <v>136</v>
      </c>
      <c r="E463" s="157" t="s">
        <v>42</v>
      </c>
      <c r="F463" s="157" t="s">
        <v>60</v>
      </c>
      <c r="G463" s="108" t="s">
        <v>137</v>
      </c>
      <c r="H463" s="157">
        <v>2024</v>
      </c>
      <c r="I463" s="108">
        <v>6</v>
      </c>
      <c r="J463" s="159">
        <v>45628</v>
      </c>
      <c r="K463" s="160">
        <v>0.5</v>
      </c>
      <c r="L463" s="119">
        <v>27.14</v>
      </c>
      <c r="M463" s="119">
        <v>27.14</v>
      </c>
      <c r="N463" s="119">
        <v>0</v>
      </c>
      <c r="O463" s="119">
        <f t="shared" si="99"/>
        <v>0</v>
      </c>
      <c r="P463" s="120">
        <v>1</v>
      </c>
      <c r="Q463" s="119">
        <f t="shared" si="98"/>
        <v>27.14</v>
      </c>
      <c r="R463" s="104">
        <v>133632</v>
      </c>
      <c r="S463" s="105">
        <v>570661</v>
      </c>
      <c r="T463" s="108">
        <v>0</v>
      </c>
      <c r="U463" s="149">
        <v>0</v>
      </c>
      <c r="V463" s="167" t="s">
        <v>138</v>
      </c>
      <c r="W463" s="157"/>
      <c r="X463" s="157">
        <v>5.3</v>
      </c>
      <c r="Y463" s="108" t="s">
        <v>161</v>
      </c>
      <c r="Z463" s="157"/>
      <c r="AA463" s="125">
        <v>12.95</v>
      </c>
      <c r="AB463" s="126">
        <f t="shared" si="96"/>
        <v>3626772.48</v>
      </c>
      <c r="AC463" s="126">
        <f t="shared" si="100"/>
        <v>1730534.3999999999</v>
      </c>
      <c r="AD463" s="127">
        <f t="shared" si="101"/>
        <v>708.24959999999999</v>
      </c>
      <c r="AE463" s="157"/>
    </row>
    <row r="464" spans="1:31" s="112" customFormat="1" x14ac:dyDescent="0.2">
      <c r="A464" s="157" t="s">
        <v>159</v>
      </c>
      <c r="B464" s="157" t="s">
        <v>2</v>
      </c>
      <c r="C464" s="108" t="s">
        <v>162</v>
      </c>
      <c r="D464" s="157" t="s">
        <v>136</v>
      </c>
      <c r="E464" s="157" t="s">
        <v>42</v>
      </c>
      <c r="F464" s="157" t="s">
        <v>60</v>
      </c>
      <c r="G464" s="108" t="s">
        <v>137</v>
      </c>
      <c r="H464" s="157">
        <v>2024</v>
      </c>
      <c r="I464" s="108">
        <v>6</v>
      </c>
      <c r="J464" s="159">
        <v>45628</v>
      </c>
      <c r="K464" s="160">
        <v>0.5</v>
      </c>
      <c r="L464" s="119">
        <v>27.14</v>
      </c>
      <c r="M464" s="119">
        <v>27.14</v>
      </c>
      <c r="N464" s="119">
        <v>0</v>
      </c>
      <c r="O464" s="119">
        <f t="shared" si="99"/>
        <v>0</v>
      </c>
      <c r="P464" s="120">
        <v>1</v>
      </c>
      <c r="Q464" s="119">
        <f t="shared" si="98"/>
        <v>27.14</v>
      </c>
      <c r="R464" s="104">
        <v>75389</v>
      </c>
      <c r="S464" s="105">
        <v>650288</v>
      </c>
      <c r="T464" s="108">
        <v>0</v>
      </c>
      <c r="U464" s="149">
        <v>0</v>
      </c>
      <c r="V464" s="167" t="s">
        <v>138</v>
      </c>
      <c r="W464" s="157"/>
      <c r="X464" s="157">
        <v>5.3</v>
      </c>
      <c r="Y464" s="108" t="s">
        <v>161</v>
      </c>
      <c r="Z464" s="157"/>
      <c r="AA464" s="125">
        <v>12.95</v>
      </c>
      <c r="AB464" s="126">
        <f t="shared" si="96"/>
        <v>2046057.46</v>
      </c>
      <c r="AC464" s="126">
        <f t="shared" si="100"/>
        <v>976287.54999999993</v>
      </c>
      <c r="AD464" s="127">
        <f t="shared" si="101"/>
        <v>399.56170000000003</v>
      </c>
      <c r="AE464" s="157"/>
    </row>
    <row r="465" spans="1:31" s="112" customFormat="1" x14ac:dyDescent="0.2">
      <c r="A465" s="157" t="s">
        <v>159</v>
      </c>
      <c r="B465" s="157" t="s">
        <v>2</v>
      </c>
      <c r="C465" s="108" t="s">
        <v>160</v>
      </c>
      <c r="D465" s="157" t="s">
        <v>136</v>
      </c>
      <c r="E465" s="157" t="s">
        <v>42</v>
      </c>
      <c r="F465" s="157" t="s">
        <v>60</v>
      </c>
      <c r="G465" s="108" t="s">
        <v>137</v>
      </c>
      <c r="H465" s="157">
        <v>2024</v>
      </c>
      <c r="I465" s="108">
        <v>7</v>
      </c>
      <c r="J465" s="159">
        <v>45628</v>
      </c>
      <c r="K465" s="160">
        <v>0.5</v>
      </c>
      <c r="L465" s="119">
        <v>27.14</v>
      </c>
      <c r="M465" s="119">
        <v>27.14</v>
      </c>
      <c r="N465" s="119">
        <v>0</v>
      </c>
      <c r="O465" s="119">
        <f t="shared" si="99"/>
        <v>0</v>
      </c>
      <c r="P465" s="120">
        <v>1</v>
      </c>
      <c r="Q465" s="119">
        <f t="shared" si="98"/>
        <v>27.14</v>
      </c>
      <c r="R465" s="104">
        <v>104425</v>
      </c>
      <c r="S465" s="105">
        <v>675086</v>
      </c>
      <c r="T465" s="108">
        <v>0</v>
      </c>
      <c r="U465" s="149">
        <v>0</v>
      </c>
      <c r="V465" s="167" t="s">
        <v>138</v>
      </c>
      <c r="W465" s="157"/>
      <c r="X465" s="157">
        <v>5.3</v>
      </c>
      <c r="Y465" s="108" t="s">
        <v>161</v>
      </c>
      <c r="Z465" s="157"/>
      <c r="AA465" s="125">
        <v>12.95</v>
      </c>
      <c r="AB465" s="126">
        <f t="shared" si="96"/>
        <v>2834094.5</v>
      </c>
      <c r="AC465" s="126">
        <f t="shared" si="100"/>
        <v>1352303.75</v>
      </c>
      <c r="AD465" s="127">
        <f t="shared" si="101"/>
        <v>553.45249999999999</v>
      </c>
      <c r="AE465" s="157"/>
    </row>
    <row r="466" spans="1:31" s="112" customFormat="1" x14ac:dyDescent="0.2">
      <c r="A466" s="157" t="s">
        <v>159</v>
      </c>
      <c r="B466" s="157" t="s">
        <v>2</v>
      </c>
      <c r="C466" s="108" t="s">
        <v>162</v>
      </c>
      <c r="D466" s="157" t="s">
        <v>136</v>
      </c>
      <c r="E466" s="157" t="s">
        <v>42</v>
      </c>
      <c r="F466" s="157" t="s">
        <v>60</v>
      </c>
      <c r="G466" s="108" t="s">
        <v>137</v>
      </c>
      <c r="H466" s="157">
        <v>2024</v>
      </c>
      <c r="I466" s="108">
        <v>7</v>
      </c>
      <c r="J466" s="159">
        <v>45628</v>
      </c>
      <c r="K466" s="160">
        <v>0.5</v>
      </c>
      <c r="L466" s="119">
        <v>27.14</v>
      </c>
      <c r="M466" s="119">
        <v>27.14</v>
      </c>
      <c r="N466" s="119">
        <v>0</v>
      </c>
      <c r="O466" s="119">
        <f t="shared" si="99"/>
        <v>0</v>
      </c>
      <c r="P466" s="120">
        <v>1</v>
      </c>
      <c r="Q466" s="119">
        <f t="shared" si="98"/>
        <v>27.14</v>
      </c>
      <c r="R466" s="104">
        <v>117900</v>
      </c>
      <c r="S466" s="105">
        <v>768188</v>
      </c>
      <c r="T466" s="108">
        <v>0</v>
      </c>
      <c r="U466" s="149">
        <v>0</v>
      </c>
      <c r="V466" s="167" t="s">
        <v>138</v>
      </c>
      <c r="W466" s="157"/>
      <c r="X466" s="157">
        <v>5.3</v>
      </c>
      <c r="Y466" s="108" t="s">
        <v>161</v>
      </c>
      <c r="Z466" s="157"/>
      <c r="AA466" s="125">
        <v>12.95</v>
      </c>
      <c r="AB466" s="126">
        <f t="shared" si="96"/>
        <v>3199806</v>
      </c>
      <c r="AC466" s="126">
        <f t="shared" si="100"/>
        <v>1526805</v>
      </c>
      <c r="AD466" s="127">
        <f t="shared" si="101"/>
        <v>624.87</v>
      </c>
      <c r="AE466" s="157"/>
    </row>
    <row r="467" spans="1:31" s="112" customFormat="1" x14ac:dyDescent="0.2">
      <c r="A467" s="157" t="s">
        <v>159</v>
      </c>
      <c r="B467" s="157" t="s">
        <v>2</v>
      </c>
      <c r="C467" s="108" t="s">
        <v>160</v>
      </c>
      <c r="D467" s="157" t="s">
        <v>136</v>
      </c>
      <c r="E467" s="157" t="s">
        <v>42</v>
      </c>
      <c r="F467" s="157" t="s">
        <v>60</v>
      </c>
      <c r="G467" s="108" t="s">
        <v>137</v>
      </c>
      <c r="H467" s="157">
        <v>2024</v>
      </c>
      <c r="I467" s="108">
        <v>8</v>
      </c>
      <c r="J467" s="159">
        <v>45628</v>
      </c>
      <c r="K467" s="160">
        <v>0.5</v>
      </c>
      <c r="L467" s="119">
        <v>27.14</v>
      </c>
      <c r="M467" s="119">
        <v>27.14</v>
      </c>
      <c r="N467" s="119">
        <v>0</v>
      </c>
      <c r="O467" s="119">
        <f t="shared" si="99"/>
        <v>0</v>
      </c>
      <c r="P467" s="120">
        <v>1</v>
      </c>
      <c r="Q467" s="119">
        <f t="shared" si="98"/>
        <v>27.14</v>
      </c>
      <c r="R467" s="108">
        <v>-292</v>
      </c>
      <c r="S467" s="105">
        <v>674794</v>
      </c>
      <c r="T467" s="108">
        <v>0</v>
      </c>
      <c r="U467" s="149">
        <v>0</v>
      </c>
      <c r="V467" s="167" t="s">
        <v>138</v>
      </c>
      <c r="W467" s="157"/>
      <c r="X467" s="157">
        <v>5.3</v>
      </c>
      <c r="Y467" s="108" t="s">
        <v>161</v>
      </c>
      <c r="Z467" s="157"/>
      <c r="AA467" s="125">
        <v>12.95</v>
      </c>
      <c r="AB467" s="126">
        <f t="shared" si="96"/>
        <v>-7924.88</v>
      </c>
      <c r="AC467" s="126">
        <f t="shared" si="100"/>
        <v>-3781.3999999999996</v>
      </c>
      <c r="AD467" s="127">
        <f t="shared" si="101"/>
        <v>-1.5475999999999999</v>
      </c>
      <c r="AE467" s="157"/>
    </row>
    <row r="468" spans="1:31" s="112" customFormat="1" x14ac:dyDescent="0.2">
      <c r="A468" s="157" t="s">
        <v>159</v>
      </c>
      <c r="B468" s="157" t="s">
        <v>2</v>
      </c>
      <c r="C468" s="108" t="s">
        <v>162</v>
      </c>
      <c r="D468" s="157" t="s">
        <v>136</v>
      </c>
      <c r="E468" s="157" t="s">
        <v>42</v>
      </c>
      <c r="F468" s="157" t="s">
        <v>60</v>
      </c>
      <c r="G468" s="108" t="s">
        <v>137</v>
      </c>
      <c r="H468" s="157">
        <v>2024</v>
      </c>
      <c r="I468" s="108">
        <v>8</v>
      </c>
      <c r="J468" s="159">
        <v>45628</v>
      </c>
      <c r="K468" s="160">
        <v>0.5</v>
      </c>
      <c r="L468" s="119">
        <v>27.14</v>
      </c>
      <c r="M468" s="119">
        <v>27.14</v>
      </c>
      <c r="N468" s="119">
        <v>0</v>
      </c>
      <c r="O468" s="119">
        <f t="shared" si="99"/>
        <v>0</v>
      </c>
      <c r="P468" s="120">
        <v>1</v>
      </c>
      <c r="Q468" s="119">
        <f t="shared" si="98"/>
        <v>27.14</v>
      </c>
      <c r="R468" s="104">
        <v>40778</v>
      </c>
      <c r="S468" s="105">
        <v>808966</v>
      </c>
      <c r="T468" s="108">
        <v>0</v>
      </c>
      <c r="U468" s="149">
        <v>0</v>
      </c>
      <c r="V468" s="167" t="s">
        <v>138</v>
      </c>
      <c r="W468" s="157"/>
      <c r="X468" s="157">
        <v>5.3</v>
      </c>
      <c r="Y468" s="108" t="s">
        <v>161</v>
      </c>
      <c r="Z468" s="157"/>
      <c r="AA468" s="125">
        <v>12.95</v>
      </c>
      <c r="AB468" s="126">
        <f t="shared" si="96"/>
        <v>1106714.92</v>
      </c>
      <c r="AC468" s="126">
        <f t="shared" si="100"/>
        <v>528075.1</v>
      </c>
      <c r="AD468" s="127">
        <f t="shared" si="101"/>
        <v>216.1234</v>
      </c>
      <c r="AE468" s="157"/>
    </row>
    <row r="469" spans="1:31" s="112" customFormat="1" x14ac:dyDescent="0.2">
      <c r="A469" s="157" t="s">
        <v>159</v>
      </c>
      <c r="B469" s="157" t="s">
        <v>2</v>
      </c>
      <c r="C469" s="108" t="s">
        <v>160</v>
      </c>
      <c r="D469" s="157" t="s">
        <v>136</v>
      </c>
      <c r="E469" s="157" t="s">
        <v>42</v>
      </c>
      <c r="F469" s="157" t="s">
        <v>60</v>
      </c>
      <c r="G469" s="108" t="s">
        <v>137</v>
      </c>
      <c r="H469" s="157">
        <v>2024</v>
      </c>
      <c r="I469" s="108">
        <v>9</v>
      </c>
      <c r="J469" s="159">
        <v>45628</v>
      </c>
      <c r="K469" s="160">
        <v>0.5</v>
      </c>
      <c r="L469" s="119">
        <v>27.14</v>
      </c>
      <c r="M469" s="119">
        <v>27.14</v>
      </c>
      <c r="N469" s="119">
        <v>0</v>
      </c>
      <c r="O469" s="119">
        <f t="shared" si="99"/>
        <v>0</v>
      </c>
      <c r="P469" s="120">
        <v>1</v>
      </c>
      <c r="Q469" s="119">
        <f t="shared" si="98"/>
        <v>27.14</v>
      </c>
      <c r="R469" s="104">
        <v>21930</v>
      </c>
      <c r="S469" s="105">
        <v>696724</v>
      </c>
      <c r="T469" s="108">
        <v>0</v>
      </c>
      <c r="U469" s="149">
        <v>0</v>
      </c>
      <c r="V469" s="167" t="s">
        <v>138</v>
      </c>
      <c r="W469" s="157"/>
      <c r="X469" s="157">
        <v>5.3</v>
      </c>
      <c r="Y469" s="108" t="s">
        <v>161</v>
      </c>
      <c r="Z469" s="157"/>
      <c r="AA469" s="125">
        <v>12.95</v>
      </c>
      <c r="AB469" s="126">
        <f t="shared" si="96"/>
        <v>595180.20000000007</v>
      </c>
      <c r="AC469" s="126">
        <f t="shared" si="100"/>
        <v>283993.5</v>
      </c>
      <c r="AD469" s="127">
        <f t="shared" si="101"/>
        <v>116.229</v>
      </c>
      <c r="AE469" s="157"/>
    </row>
    <row r="470" spans="1:31" s="112" customFormat="1" x14ac:dyDescent="0.2">
      <c r="A470" s="157" t="s">
        <v>159</v>
      </c>
      <c r="B470" s="157" t="s">
        <v>2</v>
      </c>
      <c r="C470" s="108" t="s">
        <v>162</v>
      </c>
      <c r="D470" s="157" t="s">
        <v>136</v>
      </c>
      <c r="E470" s="157" t="s">
        <v>42</v>
      </c>
      <c r="F470" s="157" t="s">
        <v>60</v>
      </c>
      <c r="G470" s="108" t="s">
        <v>137</v>
      </c>
      <c r="H470" s="157">
        <v>2024</v>
      </c>
      <c r="I470" s="108">
        <v>9</v>
      </c>
      <c r="J470" s="159">
        <v>45628</v>
      </c>
      <c r="K470" s="160">
        <v>0.5</v>
      </c>
      <c r="L470" s="119">
        <v>27.14</v>
      </c>
      <c r="M470" s="119">
        <v>27.14</v>
      </c>
      <c r="N470" s="119">
        <v>0</v>
      </c>
      <c r="O470" s="119">
        <f t="shared" si="99"/>
        <v>0</v>
      </c>
      <c r="P470" s="120">
        <v>1</v>
      </c>
      <c r="Q470" s="119">
        <f t="shared" si="98"/>
        <v>27.14</v>
      </c>
      <c r="R470" s="104">
        <v>109472</v>
      </c>
      <c r="S470" s="105">
        <v>918438</v>
      </c>
      <c r="T470" s="108">
        <v>0</v>
      </c>
      <c r="U470" s="149">
        <v>0</v>
      </c>
      <c r="V470" s="167" t="s">
        <v>138</v>
      </c>
      <c r="W470" s="157"/>
      <c r="X470" s="157">
        <v>5.3</v>
      </c>
      <c r="Y470" s="108" t="s">
        <v>161</v>
      </c>
      <c r="Z470" s="157"/>
      <c r="AA470" s="125">
        <v>12.95</v>
      </c>
      <c r="AB470" s="126">
        <f t="shared" si="96"/>
        <v>2971070.08</v>
      </c>
      <c r="AC470" s="126">
        <f t="shared" si="100"/>
        <v>1417662.4</v>
      </c>
      <c r="AD470" s="127">
        <f t="shared" si="101"/>
        <v>580.20159999999998</v>
      </c>
      <c r="AE470" s="157"/>
    </row>
    <row r="471" spans="1:31" s="112" customFormat="1" x14ac:dyDescent="0.2">
      <c r="A471" s="157" t="s">
        <v>159</v>
      </c>
      <c r="B471" s="157" t="s">
        <v>2</v>
      </c>
      <c r="C471" s="108" t="s">
        <v>160</v>
      </c>
      <c r="D471" s="157" t="s">
        <v>136</v>
      </c>
      <c r="E471" s="157" t="s">
        <v>42</v>
      </c>
      <c r="F471" s="157" t="s">
        <v>60</v>
      </c>
      <c r="G471" s="108" t="s">
        <v>137</v>
      </c>
      <c r="H471" s="157">
        <v>2024</v>
      </c>
      <c r="I471" s="108">
        <v>10</v>
      </c>
      <c r="J471" s="159">
        <v>45628</v>
      </c>
      <c r="K471" s="160">
        <v>0.5</v>
      </c>
      <c r="L471" s="119">
        <v>27.14</v>
      </c>
      <c r="M471" s="119">
        <v>27.14</v>
      </c>
      <c r="N471" s="119">
        <v>0</v>
      </c>
      <c r="O471" s="119">
        <f t="shared" si="99"/>
        <v>0</v>
      </c>
      <c r="P471" s="120">
        <v>1</v>
      </c>
      <c r="Q471" s="119">
        <f t="shared" si="98"/>
        <v>27.14</v>
      </c>
      <c r="R471" s="104">
        <v>463872</v>
      </c>
      <c r="S471" s="105">
        <v>1160596</v>
      </c>
      <c r="T471" s="108">
        <v>0</v>
      </c>
      <c r="U471" s="149">
        <v>0</v>
      </c>
      <c r="V471" s="167" t="s">
        <v>138</v>
      </c>
      <c r="W471" s="157"/>
      <c r="X471" s="157">
        <v>5.3</v>
      </c>
      <c r="Y471" s="108" t="s">
        <v>161</v>
      </c>
      <c r="Z471" s="157"/>
      <c r="AA471" s="125">
        <v>12.95</v>
      </c>
      <c r="AB471" s="126">
        <f t="shared" si="96"/>
        <v>12589486.08</v>
      </c>
      <c r="AC471" s="126">
        <f t="shared" si="100"/>
        <v>6007142.3999999994</v>
      </c>
      <c r="AD471" s="127">
        <f t="shared" si="101"/>
        <v>2458.5216</v>
      </c>
      <c r="AE471" s="157"/>
    </row>
    <row r="472" spans="1:31" s="112" customFormat="1" x14ac:dyDescent="0.2">
      <c r="A472" s="157" t="s">
        <v>159</v>
      </c>
      <c r="B472" s="157" t="s">
        <v>2</v>
      </c>
      <c r="C472" s="108" t="s">
        <v>162</v>
      </c>
      <c r="D472" s="157" t="s">
        <v>136</v>
      </c>
      <c r="E472" s="157" t="s">
        <v>42</v>
      </c>
      <c r="F472" s="157" t="s">
        <v>60</v>
      </c>
      <c r="G472" s="108" t="s">
        <v>137</v>
      </c>
      <c r="H472" s="157">
        <v>2024</v>
      </c>
      <c r="I472" s="108">
        <v>10</v>
      </c>
      <c r="J472" s="159">
        <v>45628</v>
      </c>
      <c r="K472" s="160">
        <v>0.5</v>
      </c>
      <c r="L472" s="119">
        <v>27.14</v>
      </c>
      <c r="M472" s="119">
        <v>27.14</v>
      </c>
      <c r="N472" s="119">
        <v>0</v>
      </c>
      <c r="O472" s="119">
        <f t="shared" si="99"/>
        <v>0</v>
      </c>
      <c r="P472" s="120">
        <v>1</v>
      </c>
      <c r="Q472" s="119">
        <f t="shared" si="98"/>
        <v>27.14</v>
      </c>
      <c r="R472" s="104">
        <v>265786</v>
      </c>
      <c r="S472" s="105">
        <v>1184224</v>
      </c>
      <c r="T472" s="108">
        <v>0</v>
      </c>
      <c r="U472" s="149">
        <v>0</v>
      </c>
      <c r="V472" s="167" t="s">
        <v>138</v>
      </c>
      <c r="W472" s="157"/>
      <c r="X472" s="157">
        <v>5.3</v>
      </c>
      <c r="Y472" s="108" t="s">
        <v>161</v>
      </c>
      <c r="Z472" s="157"/>
      <c r="AA472" s="125">
        <v>12.95</v>
      </c>
      <c r="AB472" s="126">
        <f t="shared" si="96"/>
        <v>7213432.04</v>
      </c>
      <c r="AC472" s="126">
        <f t="shared" si="100"/>
        <v>3441928.6999999997</v>
      </c>
      <c r="AD472" s="127">
        <f t="shared" si="101"/>
        <v>1408.6658</v>
      </c>
      <c r="AE472" s="157"/>
    </row>
    <row r="473" spans="1:31" s="112" customFormat="1" x14ac:dyDescent="0.2">
      <c r="A473" s="157" t="s">
        <v>159</v>
      </c>
      <c r="B473" s="157" t="s">
        <v>2</v>
      </c>
      <c r="C473" s="108" t="s">
        <v>160</v>
      </c>
      <c r="D473" s="157" t="s">
        <v>136</v>
      </c>
      <c r="E473" s="157" t="s">
        <v>42</v>
      </c>
      <c r="F473" s="157" t="s">
        <v>60</v>
      </c>
      <c r="G473" s="108" t="s">
        <v>137</v>
      </c>
      <c r="H473" s="157">
        <v>2024</v>
      </c>
      <c r="I473" s="108">
        <v>11</v>
      </c>
      <c r="J473" s="159">
        <v>45628</v>
      </c>
      <c r="K473" s="160">
        <v>0.5</v>
      </c>
      <c r="L473" s="119">
        <v>27.14</v>
      </c>
      <c r="M473" s="119">
        <v>27.14</v>
      </c>
      <c r="N473" s="119">
        <v>0</v>
      </c>
      <c r="O473" s="119">
        <f t="shared" si="99"/>
        <v>0</v>
      </c>
      <c r="P473" s="120">
        <v>1</v>
      </c>
      <c r="Q473" s="119">
        <f t="shared" si="98"/>
        <v>27.14</v>
      </c>
      <c r="R473" s="104">
        <v>64418</v>
      </c>
      <c r="S473" s="105">
        <v>1225014</v>
      </c>
      <c r="T473" s="108">
        <v>0</v>
      </c>
      <c r="U473" s="149">
        <v>0</v>
      </c>
      <c r="V473" s="167" t="s">
        <v>138</v>
      </c>
      <c r="W473" s="157"/>
      <c r="X473" s="157">
        <v>5.3</v>
      </c>
      <c r="Y473" s="108" t="s">
        <v>161</v>
      </c>
      <c r="Z473" s="157"/>
      <c r="AA473" s="125">
        <v>12.95</v>
      </c>
      <c r="AB473" s="126">
        <f t="shared" si="96"/>
        <v>1748304.52</v>
      </c>
      <c r="AC473" s="126">
        <f t="shared" si="100"/>
        <v>834213.1</v>
      </c>
      <c r="AD473" s="127">
        <f t="shared" si="101"/>
        <v>341.41539999999998</v>
      </c>
      <c r="AE473" s="157"/>
    </row>
    <row r="474" spans="1:31" s="112" customFormat="1" x14ac:dyDescent="0.2">
      <c r="A474" s="157" t="s">
        <v>159</v>
      </c>
      <c r="B474" s="157" t="s">
        <v>2</v>
      </c>
      <c r="C474" s="108" t="s">
        <v>162</v>
      </c>
      <c r="D474" s="157" t="s">
        <v>136</v>
      </c>
      <c r="E474" s="157" t="s">
        <v>42</v>
      </c>
      <c r="F474" s="157" t="s">
        <v>60</v>
      </c>
      <c r="G474" s="108" t="s">
        <v>137</v>
      </c>
      <c r="H474" s="157">
        <v>2024</v>
      </c>
      <c r="I474" s="108">
        <v>11</v>
      </c>
      <c r="J474" s="159">
        <v>45628</v>
      </c>
      <c r="K474" s="160">
        <v>0.5</v>
      </c>
      <c r="L474" s="119">
        <v>27.14</v>
      </c>
      <c r="M474" s="119">
        <v>27.14</v>
      </c>
      <c r="N474" s="119">
        <v>0</v>
      </c>
      <c r="O474" s="119">
        <f t="shared" si="99"/>
        <v>0</v>
      </c>
      <c r="P474" s="120">
        <v>1</v>
      </c>
      <c r="Q474" s="119">
        <f t="shared" si="98"/>
        <v>27.14</v>
      </c>
      <c r="R474" s="104">
        <v>-1198</v>
      </c>
      <c r="S474" s="105">
        <v>1183026</v>
      </c>
      <c r="T474" s="108">
        <v>0</v>
      </c>
      <c r="U474" s="149">
        <v>0</v>
      </c>
      <c r="V474" s="167" t="s">
        <v>138</v>
      </c>
      <c r="W474" s="157"/>
      <c r="X474" s="157">
        <v>5.3</v>
      </c>
      <c r="Y474" s="108" t="s">
        <v>161</v>
      </c>
      <c r="Z474" s="157"/>
      <c r="AA474" s="125">
        <v>12.95</v>
      </c>
      <c r="AB474" s="126">
        <f t="shared" si="96"/>
        <v>-32513.72</v>
      </c>
      <c r="AC474" s="126">
        <f t="shared" si="100"/>
        <v>-15514.099999999999</v>
      </c>
      <c r="AD474" s="127">
        <f t="shared" si="101"/>
        <v>-6.3493999999999993</v>
      </c>
      <c r="AE474" s="157"/>
    </row>
    <row r="475" spans="1:31" s="112" customFormat="1" x14ac:dyDescent="0.2">
      <c r="A475" s="157" t="s">
        <v>163</v>
      </c>
      <c r="B475" s="157" t="s">
        <v>2</v>
      </c>
      <c r="C475" s="108" t="s">
        <v>164</v>
      </c>
      <c r="D475" s="157" t="s">
        <v>136</v>
      </c>
      <c r="E475" s="157" t="s">
        <v>42</v>
      </c>
      <c r="F475" s="157" t="s">
        <v>60</v>
      </c>
      <c r="G475" s="108" t="s">
        <v>137</v>
      </c>
      <c r="H475" s="157">
        <v>2024</v>
      </c>
      <c r="I475" s="108">
        <v>1</v>
      </c>
      <c r="J475" s="159">
        <v>45628</v>
      </c>
      <c r="K475" s="160">
        <v>0.5</v>
      </c>
      <c r="L475" s="119">
        <v>3.4611000000000001</v>
      </c>
      <c r="M475" s="119">
        <v>3.4611000000000001</v>
      </c>
      <c r="N475" s="119">
        <v>0</v>
      </c>
      <c r="O475" s="119">
        <f t="shared" ref="O475:O485" si="102">N475*K475</f>
        <v>0</v>
      </c>
      <c r="P475" s="120">
        <v>1</v>
      </c>
      <c r="Q475" s="119">
        <f t="shared" ref="Q475:Q485" si="103">P475*L475</f>
        <v>3.4611000000000001</v>
      </c>
      <c r="R475" s="104">
        <v>1071102</v>
      </c>
      <c r="S475" s="105">
        <v>1071102</v>
      </c>
      <c r="T475" s="108">
        <v>0</v>
      </c>
      <c r="U475" s="149">
        <v>0</v>
      </c>
      <c r="V475" s="167" t="s">
        <v>138</v>
      </c>
      <c r="W475" s="157"/>
      <c r="X475" s="157">
        <v>5.3</v>
      </c>
      <c r="Y475" s="108" t="s">
        <v>165</v>
      </c>
      <c r="Z475" s="157" t="s">
        <v>166</v>
      </c>
      <c r="AA475" s="125">
        <v>2.5499999999999998</v>
      </c>
      <c r="AB475" s="126">
        <f t="shared" ref="AB475:AB485" si="104">M475*R475</f>
        <v>3707191.1321999999</v>
      </c>
      <c r="AC475" s="126">
        <f t="shared" ref="AC475:AC485" si="105">R475*AA475</f>
        <v>2731310.0999999996</v>
      </c>
      <c r="AD475" s="127">
        <f t="shared" ref="AD475:AD485" si="106">R475*X475/1000</f>
        <v>5676.8405999999995</v>
      </c>
      <c r="AE475" s="155"/>
    </row>
    <row r="476" spans="1:31" s="112" customFormat="1" x14ac:dyDescent="0.2">
      <c r="A476" s="157" t="s">
        <v>163</v>
      </c>
      <c r="B476" s="157" t="s">
        <v>2</v>
      </c>
      <c r="C476" s="108" t="s">
        <v>164</v>
      </c>
      <c r="D476" s="157" t="s">
        <v>136</v>
      </c>
      <c r="E476" s="157" t="s">
        <v>42</v>
      </c>
      <c r="F476" s="157" t="s">
        <v>60</v>
      </c>
      <c r="G476" s="108" t="s">
        <v>137</v>
      </c>
      <c r="H476" s="157">
        <v>2024</v>
      </c>
      <c r="I476" s="108">
        <v>2</v>
      </c>
      <c r="J476" s="159">
        <v>45628</v>
      </c>
      <c r="K476" s="160">
        <v>0.5</v>
      </c>
      <c r="L476" s="119">
        <v>3.4611000000000001</v>
      </c>
      <c r="M476" s="119">
        <v>3.4611000000000001</v>
      </c>
      <c r="N476" s="119">
        <v>0</v>
      </c>
      <c r="O476" s="119">
        <f t="shared" si="102"/>
        <v>0</v>
      </c>
      <c r="P476" s="120">
        <v>1</v>
      </c>
      <c r="Q476" s="119">
        <f t="shared" si="103"/>
        <v>3.4611000000000001</v>
      </c>
      <c r="R476" s="104">
        <v>-3730</v>
      </c>
      <c r="S476" s="105">
        <v>1067372</v>
      </c>
      <c r="T476" s="108">
        <v>0</v>
      </c>
      <c r="U476" s="149">
        <v>0</v>
      </c>
      <c r="V476" s="167" t="s">
        <v>138</v>
      </c>
      <c r="W476" s="157"/>
      <c r="X476" s="157">
        <v>5.3</v>
      </c>
      <c r="Y476" s="108" t="s">
        <v>165</v>
      </c>
      <c r="Z476" s="157" t="s">
        <v>166</v>
      </c>
      <c r="AA476" s="125">
        <v>2.5499999999999998</v>
      </c>
      <c r="AB476" s="126">
        <f t="shared" si="104"/>
        <v>-12909.903</v>
      </c>
      <c r="AC476" s="126">
        <f t="shared" si="105"/>
        <v>-9511.5</v>
      </c>
      <c r="AD476" s="127">
        <f t="shared" si="106"/>
        <v>-19.768999999999998</v>
      </c>
      <c r="AE476" s="155"/>
    </row>
    <row r="477" spans="1:31" s="112" customFormat="1" x14ac:dyDescent="0.2">
      <c r="A477" s="157" t="s">
        <v>163</v>
      </c>
      <c r="B477" s="157" t="s">
        <v>2</v>
      </c>
      <c r="C477" s="108" t="s">
        <v>164</v>
      </c>
      <c r="D477" s="157" t="s">
        <v>136</v>
      </c>
      <c r="E477" s="157" t="s">
        <v>42</v>
      </c>
      <c r="F477" s="157" t="s">
        <v>60</v>
      </c>
      <c r="G477" s="108" t="s">
        <v>137</v>
      </c>
      <c r="H477" s="157">
        <v>2024</v>
      </c>
      <c r="I477" s="108">
        <v>3</v>
      </c>
      <c r="J477" s="159">
        <v>45628</v>
      </c>
      <c r="K477" s="160">
        <v>0.5</v>
      </c>
      <c r="L477" s="119">
        <v>3.4611000000000001</v>
      </c>
      <c r="M477" s="119">
        <v>3.4611000000000001</v>
      </c>
      <c r="N477" s="119">
        <v>0</v>
      </c>
      <c r="O477" s="119">
        <f t="shared" si="102"/>
        <v>0</v>
      </c>
      <c r="P477" s="120">
        <v>1</v>
      </c>
      <c r="Q477" s="119">
        <f t="shared" si="103"/>
        <v>3.4611000000000001</v>
      </c>
      <c r="R477" s="108">
        <v>0</v>
      </c>
      <c r="S477" s="105">
        <v>1183026</v>
      </c>
      <c r="T477" s="108">
        <v>0</v>
      </c>
      <c r="U477" s="149">
        <v>0</v>
      </c>
      <c r="V477" s="167" t="s">
        <v>138</v>
      </c>
      <c r="W477" s="157"/>
      <c r="X477" s="157">
        <v>5.3</v>
      </c>
      <c r="Y477" s="108" t="s">
        <v>165</v>
      </c>
      <c r="Z477" s="157" t="s">
        <v>166</v>
      </c>
      <c r="AA477" s="125">
        <v>2.5499999999999998</v>
      </c>
      <c r="AB477" s="126">
        <f t="shared" si="104"/>
        <v>0</v>
      </c>
      <c r="AC477" s="126">
        <f t="shared" si="105"/>
        <v>0</v>
      </c>
      <c r="AD477" s="127">
        <f t="shared" si="106"/>
        <v>0</v>
      </c>
      <c r="AE477" s="155"/>
    </row>
    <row r="478" spans="1:31" s="112" customFormat="1" x14ac:dyDescent="0.2">
      <c r="A478" s="157" t="s">
        <v>163</v>
      </c>
      <c r="B478" s="157" t="s">
        <v>2</v>
      </c>
      <c r="C478" s="108" t="s">
        <v>164</v>
      </c>
      <c r="D478" s="157" t="s">
        <v>136</v>
      </c>
      <c r="E478" s="157" t="s">
        <v>42</v>
      </c>
      <c r="F478" s="157" t="s">
        <v>60</v>
      </c>
      <c r="G478" s="108" t="s">
        <v>137</v>
      </c>
      <c r="H478" s="157">
        <v>2024</v>
      </c>
      <c r="I478" s="108">
        <v>4</v>
      </c>
      <c r="J478" s="159">
        <v>45628</v>
      </c>
      <c r="K478" s="160">
        <v>0.5</v>
      </c>
      <c r="L478" s="119">
        <v>3.4611000000000001</v>
      </c>
      <c r="M478" s="119">
        <v>3.4611000000000001</v>
      </c>
      <c r="N478" s="119">
        <v>0</v>
      </c>
      <c r="O478" s="119">
        <f t="shared" si="102"/>
        <v>0</v>
      </c>
      <c r="P478" s="120">
        <v>1</v>
      </c>
      <c r="Q478" s="119">
        <f t="shared" si="103"/>
        <v>3.4611000000000001</v>
      </c>
      <c r="R478" s="108">
        <v>0</v>
      </c>
      <c r="S478" s="105">
        <v>1183026</v>
      </c>
      <c r="T478" s="108">
        <v>0</v>
      </c>
      <c r="U478" s="149">
        <v>0</v>
      </c>
      <c r="V478" s="167" t="s">
        <v>138</v>
      </c>
      <c r="W478" s="157"/>
      <c r="X478" s="157">
        <v>5.3</v>
      </c>
      <c r="Y478" s="108" t="s">
        <v>165</v>
      </c>
      <c r="Z478" s="157" t="s">
        <v>166</v>
      </c>
      <c r="AA478" s="125">
        <v>2.5499999999999998</v>
      </c>
      <c r="AB478" s="126">
        <f t="shared" si="104"/>
        <v>0</v>
      </c>
      <c r="AC478" s="126">
        <f t="shared" si="105"/>
        <v>0</v>
      </c>
      <c r="AD478" s="127">
        <f t="shared" si="106"/>
        <v>0</v>
      </c>
      <c r="AE478" s="155"/>
    </row>
    <row r="479" spans="1:31" s="112" customFormat="1" x14ac:dyDescent="0.2">
      <c r="A479" s="157" t="s">
        <v>163</v>
      </c>
      <c r="B479" s="157" t="s">
        <v>2</v>
      </c>
      <c r="C479" s="108" t="s">
        <v>164</v>
      </c>
      <c r="D479" s="157" t="s">
        <v>136</v>
      </c>
      <c r="E479" s="157" t="s">
        <v>42</v>
      </c>
      <c r="F479" s="157" t="s">
        <v>60</v>
      </c>
      <c r="G479" s="108" t="s">
        <v>137</v>
      </c>
      <c r="H479" s="157">
        <v>2024</v>
      </c>
      <c r="I479" s="108">
        <v>5</v>
      </c>
      <c r="J479" s="159">
        <v>45628</v>
      </c>
      <c r="K479" s="160">
        <v>0.5</v>
      </c>
      <c r="L479" s="119">
        <v>3.4611000000000001</v>
      </c>
      <c r="M479" s="119">
        <v>3.4611000000000001</v>
      </c>
      <c r="N479" s="119">
        <v>0</v>
      </c>
      <c r="O479" s="119">
        <f t="shared" si="102"/>
        <v>0</v>
      </c>
      <c r="P479" s="120">
        <v>1</v>
      </c>
      <c r="Q479" s="119">
        <f t="shared" si="103"/>
        <v>3.4611000000000001</v>
      </c>
      <c r="R479" s="108">
        <v>0</v>
      </c>
      <c r="S479" s="105">
        <v>1067372</v>
      </c>
      <c r="T479" s="108">
        <v>0</v>
      </c>
      <c r="U479" s="149">
        <v>0</v>
      </c>
      <c r="V479" s="167" t="s">
        <v>138</v>
      </c>
      <c r="W479" s="157"/>
      <c r="X479" s="157">
        <v>5.3</v>
      </c>
      <c r="Y479" s="108" t="s">
        <v>165</v>
      </c>
      <c r="Z479" s="157" t="s">
        <v>166</v>
      </c>
      <c r="AA479" s="125">
        <v>2.5499999999999998</v>
      </c>
      <c r="AB479" s="126">
        <f t="shared" si="104"/>
        <v>0</v>
      </c>
      <c r="AC479" s="126">
        <f t="shared" si="105"/>
        <v>0</v>
      </c>
      <c r="AD479" s="127">
        <f t="shared" si="106"/>
        <v>0</v>
      </c>
      <c r="AE479" s="155"/>
    </row>
    <row r="480" spans="1:31" s="112" customFormat="1" x14ac:dyDescent="0.2">
      <c r="A480" s="157" t="s">
        <v>163</v>
      </c>
      <c r="B480" s="157" t="s">
        <v>2</v>
      </c>
      <c r="C480" s="108" t="s">
        <v>164</v>
      </c>
      <c r="D480" s="157" t="s">
        <v>136</v>
      </c>
      <c r="E480" s="157" t="s">
        <v>42</v>
      </c>
      <c r="F480" s="157" t="s">
        <v>60</v>
      </c>
      <c r="G480" s="108" t="s">
        <v>137</v>
      </c>
      <c r="H480" s="157">
        <v>2024</v>
      </c>
      <c r="I480" s="108">
        <v>6</v>
      </c>
      <c r="J480" s="159">
        <v>45628</v>
      </c>
      <c r="K480" s="160">
        <v>0.5</v>
      </c>
      <c r="L480" s="119">
        <v>3.4611000000000001</v>
      </c>
      <c r="M480" s="119">
        <v>3.4611000000000001</v>
      </c>
      <c r="N480" s="119">
        <v>0</v>
      </c>
      <c r="O480" s="119">
        <f t="shared" si="102"/>
        <v>0</v>
      </c>
      <c r="P480" s="120">
        <v>1</v>
      </c>
      <c r="Q480" s="119">
        <f t="shared" si="103"/>
        <v>3.4611000000000001</v>
      </c>
      <c r="R480" s="108">
        <v>0</v>
      </c>
      <c r="S480" s="105">
        <v>1067372</v>
      </c>
      <c r="T480" s="108">
        <v>0</v>
      </c>
      <c r="U480" s="149">
        <v>0</v>
      </c>
      <c r="V480" s="167" t="s">
        <v>138</v>
      </c>
      <c r="W480" s="157"/>
      <c r="X480" s="157">
        <v>5.3</v>
      </c>
      <c r="Y480" s="108" t="s">
        <v>165</v>
      </c>
      <c r="Z480" s="157" t="s">
        <v>166</v>
      </c>
      <c r="AA480" s="125">
        <v>2.5499999999999998</v>
      </c>
      <c r="AB480" s="126">
        <f t="shared" si="104"/>
        <v>0</v>
      </c>
      <c r="AC480" s="126">
        <f t="shared" si="105"/>
        <v>0</v>
      </c>
      <c r="AD480" s="127">
        <f t="shared" si="106"/>
        <v>0</v>
      </c>
      <c r="AE480" s="155"/>
    </row>
    <row r="481" spans="1:31" s="112" customFormat="1" x14ac:dyDescent="0.2">
      <c r="A481" s="157" t="s">
        <v>163</v>
      </c>
      <c r="B481" s="157" t="s">
        <v>2</v>
      </c>
      <c r="C481" s="108" t="s">
        <v>164</v>
      </c>
      <c r="D481" s="157" t="s">
        <v>136</v>
      </c>
      <c r="E481" s="157" t="s">
        <v>42</v>
      </c>
      <c r="F481" s="157" t="s">
        <v>60</v>
      </c>
      <c r="G481" s="108" t="s">
        <v>137</v>
      </c>
      <c r="H481" s="157">
        <v>2024</v>
      </c>
      <c r="I481" s="108">
        <v>7</v>
      </c>
      <c r="J481" s="159">
        <v>45628</v>
      </c>
      <c r="K481" s="160">
        <v>0.5</v>
      </c>
      <c r="L481" s="119">
        <v>3.4611000000000001</v>
      </c>
      <c r="M481" s="119">
        <v>3.4611000000000001</v>
      </c>
      <c r="N481" s="119">
        <v>0</v>
      </c>
      <c r="O481" s="119">
        <f t="shared" si="102"/>
        <v>0</v>
      </c>
      <c r="P481" s="120">
        <v>1</v>
      </c>
      <c r="Q481" s="119">
        <f t="shared" si="103"/>
        <v>3.4611000000000001</v>
      </c>
      <c r="R481" s="104">
        <v>1554564</v>
      </c>
      <c r="S481" s="105">
        <v>2621936</v>
      </c>
      <c r="T481" s="108">
        <v>0</v>
      </c>
      <c r="U481" s="149">
        <v>0</v>
      </c>
      <c r="V481" s="167" t="s">
        <v>138</v>
      </c>
      <c r="W481" s="157"/>
      <c r="X481" s="157">
        <v>5.3</v>
      </c>
      <c r="Y481" s="108" t="s">
        <v>165</v>
      </c>
      <c r="Z481" s="157" t="s">
        <v>166</v>
      </c>
      <c r="AA481" s="125">
        <v>2.5499999999999998</v>
      </c>
      <c r="AB481" s="126">
        <f t="shared" si="104"/>
        <v>5380501.4604000002</v>
      </c>
      <c r="AC481" s="126">
        <f t="shared" si="105"/>
        <v>3964138.1999999997</v>
      </c>
      <c r="AD481" s="127">
        <f t="shared" si="106"/>
        <v>8239.1892000000007</v>
      </c>
      <c r="AE481" s="155"/>
    </row>
    <row r="482" spans="1:31" s="112" customFormat="1" x14ac:dyDescent="0.2">
      <c r="A482" s="157" t="s">
        <v>163</v>
      </c>
      <c r="B482" s="157" t="s">
        <v>2</v>
      </c>
      <c r="C482" s="108" t="s">
        <v>164</v>
      </c>
      <c r="D482" s="157" t="s">
        <v>136</v>
      </c>
      <c r="E482" s="157" t="s">
        <v>42</v>
      </c>
      <c r="F482" s="157" t="s">
        <v>60</v>
      </c>
      <c r="G482" s="108" t="s">
        <v>137</v>
      </c>
      <c r="H482" s="157">
        <v>2024</v>
      </c>
      <c r="I482" s="108">
        <v>8</v>
      </c>
      <c r="J482" s="159">
        <v>45628</v>
      </c>
      <c r="K482" s="160">
        <v>0.5</v>
      </c>
      <c r="L482" s="119">
        <v>3.4611000000000001</v>
      </c>
      <c r="M482" s="119">
        <v>3.4611000000000001</v>
      </c>
      <c r="N482" s="119">
        <v>0</v>
      </c>
      <c r="O482" s="119">
        <f t="shared" si="102"/>
        <v>0</v>
      </c>
      <c r="P482" s="120">
        <v>1</v>
      </c>
      <c r="Q482" s="119">
        <f t="shared" si="103"/>
        <v>3.4611000000000001</v>
      </c>
      <c r="R482" s="104">
        <v>1184103</v>
      </c>
      <c r="S482" s="105">
        <v>2251475</v>
      </c>
      <c r="T482" s="108">
        <v>0</v>
      </c>
      <c r="U482" s="149">
        <v>0</v>
      </c>
      <c r="V482" s="167" t="s">
        <v>138</v>
      </c>
      <c r="W482" s="157"/>
      <c r="X482" s="157">
        <v>5.3</v>
      </c>
      <c r="Y482" s="108" t="s">
        <v>165</v>
      </c>
      <c r="Z482" s="157" t="s">
        <v>166</v>
      </c>
      <c r="AA482" s="125">
        <v>2.5499999999999998</v>
      </c>
      <c r="AB482" s="126">
        <f t="shared" si="104"/>
        <v>4098298.8933000001</v>
      </c>
      <c r="AC482" s="126">
        <f t="shared" si="105"/>
        <v>3019462.65</v>
      </c>
      <c r="AD482" s="127">
        <f t="shared" si="106"/>
        <v>6275.7458999999999</v>
      </c>
      <c r="AE482" s="155"/>
    </row>
    <row r="483" spans="1:31" s="112" customFormat="1" x14ac:dyDescent="0.2">
      <c r="A483" s="157" t="s">
        <v>163</v>
      </c>
      <c r="B483" s="157" t="s">
        <v>2</v>
      </c>
      <c r="C483" s="108" t="s">
        <v>164</v>
      </c>
      <c r="D483" s="157" t="s">
        <v>136</v>
      </c>
      <c r="E483" s="157" t="s">
        <v>42</v>
      </c>
      <c r="F483" s="157" t="s">
        <v>60</v>
      </c>
      <c r="G483" s="108" t="s">
        <v>137</v>
      </c>
      <c r="H483" s="157">
        <v>2024</v>
      </c>
      <c r="I483" s="108">
        <v>9</v>
      </c>
      <c r="J483" s="159">
        <v>45628</v>
      </c>
      <c r="K483" s="160">
        <v>0.5</v>
      </c>
      <c r="L483" s="119">
        <v>3.4611000000000001</v>
      </c>
      <c r="M483" s="119">
        <v>3.4611000000000001</v>
      </c>
      <c r="N483" s="119">
        <v>0</v>
      </c>
      <c r="O483" s="119">
        <f t="shared" si="102"/>
        <v>0</v>
      </c>
      <c r="P483" s="120">
        <v>1</v>
      </c>
      <c r="Q483" s="119">
        <f t="shared" si="103"/>
        <v>3.4611000000000001</v>
      </c>
      <c r="R483" s="104">
        <v>153748</v>
      </c>
      <c r="S483" s="105">
        <v>2405223</v>
      </c>
      <c r="T483" s="108">
        <v>0</v>
      </c>
      <c r="U483" s="149">
        <v>0</v>
      </c>
      <c r="V483" s="167" t="s">
        <v>138</v>
      </c>
      <c r="W483" s="157"/>
      <c r="X483" s="157">
        <v>5.3</v>
      </c>
      <c r="Y483" s="108" t="s">
        <v>165</v>
      </c>
      <c r="Z483" s="157" t="s">
        <v>166</v>
      </c>
      <c r="AA483" s="125">
        <v>2.5499999999999998</v>
      </c>
      <c r="AB483" s="126">
        <f t="shared" si="104"/>
        <v>532137.20279999997</v>
      </c>
      <c r="AC483" s="126">
        <f t="shared" si="105"/>
        <v>392057.39999999997</v>
      </c>
      <c r="AD483" s="127">
        <f t="shared" si="106"/>
        <v>814.86440000000005</v>
      </c>
      <c r="AE483" s="155"/>
    </row>
    <row r="484" spans="1:31" s="112" customFormat="1" x14ac:dyDescent="0.2">
      <c r="A484" s="157" t="s">
        <v>163</v>
      </c>
      <c r="B484" s="157" t="s">
        <v>2</v>
      </c>
      <c r="C484" s="108" t="s">
        <v>164</v>
      </c>
      <c r="D484" s="157" t="s">
        <v>136</v>
      </c>
      <c r="E484" s="157" t="s">
        <v>42</v>
      </c>
      <c r="F484" s="157" t="s">
        <v>60</v>
      </c>
      <c r="G484" s="108" t="s">
        <v>137</v>
      </c>
      <c r="H484" s="157">
        <v>2024</v>
      </c>
      <c r="I484" s="108">
        <v>10</v>
      </c>
      <c r="J484" s="159">
        <v>45628</v>
      </c>
      <c r="K484" s="160">
        <v>0.5</v>
      </c>
      <c r="L484" s="119">
        <v>3.4611000000000001</v>
      </c>
      <c r="M484" s="119">
        <v>3.4611000000000001</v>
      </c>
      <c r="N484" s="119">
        <v>0</v>
      </c>
      <c r="O484" s="119">
        <f t="shared" si="102"/>
        <v>0</v>
      </c>
      <c r="P484" s="120">
        <v>1</v>
      </c>
      <c r="Q484" s="119">
        <f t="shared" si="103"/>
        <v>3.4611000000000001</v>
      </c>
      <c r="R484" s="104">
        <v>688804</v>
      </c>
      <c r="S484" s="105">
        <v>3310740</v>
      </c>
      <c r="T484" s="108">
        <v>0</v>
      </c>
      <c r="U484" s="149">
        <v>0</v>
      </c>
      <c r="V484" s="167" t="s">
        <v>138</v>
      </c>
      <c r="W484" s="157"/>
      <c r="X484" s="157">
        <v>5.3</v>
      </c>
      <c r="Y484" s="108" t="s">
        <v>165</v>
      </c>
      <c r="Z484" s="157" t="s">
        <v>166</v>
      </c>
      <c r="AA484" s="125">
        <v>2.5499999999999998</v>
      </c>
      <c r="AB484" s="126">
        <f t="shared" si="104"/>
        <v>2384019.5244</v>
      </c>
      <c r="AC484" s="126">
        <f t="shared" si="105"/>
        <v>1756450.2</v>
      </c>
      <c r="AD484" s="127">
        <f t="shared" si="106"/>
        <v>3650.6611999999996</v>
      </c>
      <c r="AE484" s="155"/>
    </row>
    <row r="485" spans="1:31" s="112" customFormat="1" x14ac:dyDescent="0.2">
      <c r="A485" s="157" t="s">
        <v>163</v>
      </c>
      <c r="B485" s="157" t="s">
        <v>2</v>
      </c>
      <c r="C485" s="108" t="s">
        <v>164</v>
      </c>
      <c r="D485" s="157" t="s">
        <v>136</v>
      </c>
      <c r="E485" s="157" t="s">
        <v>42</v>
      </c>
      <c r="F485" s="157" t="s">
        <v>60</v>
      </c>
      <c r="G485" s="108" t="s">
        <v>137</v>
      </c>
      <c r="H485" s="157">
        <v>2024</v>
      </c>
      <c r="I485" s="108">
        <v>11</v>
      </c>
      <c r="J485" s="159">
        <v>45628</v>
      </c>
      <c r="K485" s="160">
        <v>0.5</v>
      </c>
      <c r="L485" s="119">
        <v>3.4611000000000001</v>
      </c>
      <c r="M485" s="119">
        <v>3.4611000000000001</v>
      </c>
      <c r="N485" s="119">
        <v>0</v>
      </c>
      <c r="O485" s="119">
        <f t="shared" si="102"/>
        <v>0</v>
      </c>
      <c r="P485" s="120">
        <v>1</v>
      </c>
      <c r="Q485" s="119">
        <f t="shared" si="103"/>
        <v>3.4611000000000001</v>
      </c>
      <c r="R485" s="104">
        <v>206608</v>
      </c>
      <c r="S485" s="105">
        <v>3517348</v>
      </c>
      <c r="T485" s="108">
        <v>0</v>
      </c>
      <c r="U485" s="149">
        <v>0</v>
      </c>
      <c r="V485" s="167" t="s">
        <v>138</v>
      </c>
      <c r="W485" s="157"/>
      <c r="X485" s="157">
        <v>5.3</v>
      </c>
      <c r="Y485" s="108" t="s">
        <v>165</v>
      </c>
      <c r="Z485" s="157" t="s">
        <v>166</v>
      </c>
      <c r="AA485" s="125">
        <v>2.5499999999999998</v>
      </c>
      <c r="AB485" s="126">
        <f t="shared" si="104"/>
        <v>715090.94880000001</v>
      </c>
      <c r="AC485" s="126">
        <f t="shared" si="105"/>
        <v>526850.39999999991</v>
      </c>
      <c r="AD485" s="127">
        <f t="shared" si="106"/>
        <v>1095.0223999999998</v>
      </c>
      <c r="AE485" s="155"/>
    </row>
    <row r="486" spans="1:31" s="112" customFormat="1" x14ac:dyDescent="0.2">
      <c r="A486" s="108" t="s">
        <v>159</v>
      </c>
      <c r="B486" s="114" t="s">
        <v>2</v>
      </c>
      <c r="C486" s="108" t="s">
        <v>160</v>
      </c>
      <c r="D486" s="156" t="s">
        <v>136</v>
      </c>
      <c r="E486" s="157" t="s">
        <v>42</v>
      </c>
      <c r="F486" s="157" t="s">
        <v>60</v>
      </c>
      <c r="G486" s="158" t="s">
        <v>137</v>
      </c>
      <c r="H486" s="157">
        <v>2024</v>
      </c>
      <c r="I486" s="108">
        <v>12</v>
      </c>
      <c r="J486" s="159">
        <v>45660</v>
      </c>
      <c r="K486" s="160">
        <v>0.5</v>
      </c>
      <c r="L486" s="119">
        <v>27.14</v>
      </c>
      <c r="M486" s="119">
        <v>27.14</v>
      </c>
      <c r="N486" s="119">
        <v>0</v>
      </c>
      <c r="O486" s="119">
        <f>N486*K486</f>
        <v>0</v>
      </c>
      <c r="P486" s="120">
        <v>1</v>
      </c>
      <c r="Q486" s="119">
        <f>P486*L486</f>
        <v>27.14</v>
      </c>
      <c r="R486" s="104">
        <v>150036</v>
      </c>
      <c r="S486" s="105">
        <v>1375050</v>
      </c>
      <c r="T486" s="108">
        <v>0</v>
      </c>
      <c r="U486" s="149">
        <v>0</v>
      </c>
      <c r="V486" s="167" t="s">
        <v>138</v>
      </c>
      <c r="W486" s="157"/>
      <c r="X486" s="157">
        <v>5.3</v>
      </c>
      <c r="Y486" s="108" t="s">
        <v>161</v>
      </c>
      <c r="Z486" s="157"/>
      <c r="AA486" s="125">
        <v>12.95</v>
      </c>
      <c r="AB486" s="126">
        <f>M486*R486</f>
        <v>4071977.04</v>
      </c>
      <c r="AC486" s="126">
        <f>R486*AA486</f>
        <v>1942966.2</v>
      </c>
      <c r="AD486" s="127">
        <f>R486*X486/1000</f>
        <v>795.19079999999997</v>
      </c>
      <c r="AE486" s="155"/>
    </row>
    <row r="487" spans="1:31" s="112" customFormat="1" x14ac:dyDescent="0.2">
      <c r="A487" s="108" t="s">
        <v>159</v>
      </c>
      <c r="B487" s="114" t="s">
        <v>2</v>
      </c>
      <c r="C487" s="108" t="s">
        <v>162</v>
      </c>
      <c r="D487" s="156" t="s">
        <v>136</v>
      </c>
      <c r="E487" s="157" t="s">
        <v>42</v>
      </c>
      <c r="F487" s="157" t="s">
        <v>60</v>
      </c>
      <c r="G487" s="158" t="s">
        <v>137</v>
      </c>
      <c r="H487" s="157">
        <v>2024</v>
      </c>
      <c r="I487" s="108">
        <v>12</v>
      </c>
      <c r="J487" s="159">
        <v>45660</v>
      </c>
      <c r="K487" s="160">
        <v>0.5</v>
      </c>
      <c r="L487" s="119">
        <v>27.14</v>
      </c>
      <c r="M487" s="119">
        <v>27.14</v>
      </c>
      <c r="N487" s="119">
        <v>0</v>
      </c>
      <c r="O487" s="119">
        <f>N487*K487</f>
        <v>0</v>
      </c>
      <c r="P487" s="120">
        <v>1</v>
      </c>
      <c r="Q487" s="119">
        <f>P487*L487</f>
        <v>27.14</v>
      </c>
      <c r="R487" s="104">
        <v>166076</v>
      </c>
      <c r="S487" s="105">
        <v>1349102</v>
      </c>
      <c r="T487" s="108">
        <v>0</v>
      </c>
      <c r="U487" s="149">
        <v>0</v>
      </c>
      <c r="V487" s="167" t="s">
        <v>138</v>
      </c>
      <c r="W487" s="157"/>
      <c r="X487" s="157">
        <v>5.3</v>
      </c>
      <c r="Y487" s="108" t="s">
        <v>161</v>
      </c>
      <c r="Z487" s="157"/>
      <c r="AA487" s="125">
        <v>12.95</v>
      </c>
      <c r="AB487" s="126">
        <f>M487*R487</f>
        <v>4507302.6399999997</v>
      </c>
      <c r="AC487" s="126">
        <f>R487*AA487</f>
        <v>2150684.1999999997</v>
      </c>
      <c r="AD487" s="127">
        <f>R487*X487/1000</f>
        <v>880.20279999999991</v>
      </c>
      <c r="AE487" s="155"/>
    </row>
    <row r="488" spans="1:31" s="112" customFormat="1" x14ac:dyDescent="0.2">
      <c r="A488" s="108" t="s">
        <v>163</v>
      </c>
      <c r="B488" s="114" t="s">
        <v>2</v>
      </c>
      <c r="C488" s="108" t="s">
        <v>164</v>
      </c>
      <c r="D488" s="156" t="s">
        <v>136</v>
      </c>
      <c r="E488" s="157" t="s">
        <v>42</v>
      </c>
      <c r="F488" s="157" t="s">
        <v>60</v>
      </c>
      <c r="G488" s="158" t="s">
        <v>137</v>
      </c>
      <c r="H488" s="157">
        <v>2024</v>
      </c>
      <c r="I488" s="108">
        <v>12</v>
      </c>
      <c r="J488" s="159">
        <v>45660</v>
      </c>
      <c r="K488" s="160">
        <v>0.5</v>
      </c>
      <c r="L488" s="119">
        <v>3.4611000000000001</v>
      </c>
      <c r="M488" s="119">
        <v>3.4611000000000001</v>
      </c>
      <c r="N488" s="119">
        <v>0</v>
      </c>
      <c r="O488" s="119">
        <f t="shared" ref="O488:O527" si="107">N488*K488</f>
        <v>0</v>
      </c>
      <c r="P488" s="120">
        <v>1</v>
      </c>
      <c r="Q488" s="119">
        <f t="shared" ref="Q488:Q527" si="108">P488*L488</f>
        <v>3.4611000000000001</v>
      </c>
      <c r="R488" s="104">
        <v>402738</v>
      </c>
      <c r="S488" s="105">
        <v>3920086</v>
      </c>
      <c r="T488" s="108">
        <v>0</v>
      </c>
      <c r="U488" s="149">
        <v>0</v>
      </c>
      <c r="V488" s="167" t="s">
        <v>138</v>
      </c>
      <c r="W488" s="157"/>
      <c r="X488" s="157">
        <v>5.3</v>
      </c>
      <c r="Y488" s="108" t="s">
        <v>165</v>
      </c>
      <c r="Z488" s="157" t="s">
        <v>166</v>
      </c>
      <c r="AA488" s="125">
        <v>2.5499999999999998</v>
      </c>
      <c r="AB488" s="126">
        <f t="shared" ref="AB488:AB527" si="109">M488*R488</f>
        <v>1393916.4918</v>
      </c>
      <c r="AC488" s="126">
        <f t="shared" ref="AC488:AC527" si="110">R488*AA488</f>
        <v>1026981.8999999999</v>
      </c>
      <c r="AD488" s="127">
        <f t="shared" ref="AD488:AD527" si="111">R488*X488/1000</f>
        <v>2134.5113999999999</v>
      </c>
      <c r="AE488" s="155"/>
    </row>
    <row r="489" spans="1:31" s="112" customFormat="1" x14ac:dyDescent="0.2">
      <c r="A489" s="171" t="s">
        <v>124</v>
      </c>
      <c r="B489" s="285" t="s">
        <v>1</v>
      </c>
      <c r="C489" s="171" t="s">
        <v>135</v>
      </c>
      <c r="D489" s="289" t="s">
        <v>136</v>
      </c>
      <c r="E489" s="172" t="s">
        <v>42</v>
      </c>
      <c r="F489" s="172" t="s">
        <v>60</v>
      </c>
      <c r="G489" s="286" t="s">
        <v>137</v>
      </c>
      <c r="H489" s="172">
        <v>2024</v>
      </c>
      <c r="I489" s="171">
        <v>12</v>
      </c>
      <c r="J489" s="287">
        <v>45660</v>
      </c>
      <c r="K489" s="173">
        <v>0.5</v>
      </c>
      <c r="L489" s="290">
        <v>0.16769999999999999</v>
      </c>
      <c r="M489" s="290">
        <v>0.16769999999999999</v>
      </c>
      <c r="N489" s="290">
        <v>0</v>
      </c>
      <c r="O489" s="119">
        <f t="shared" si="107"/>
        <v>0</v>
      </c>
      <c r="P489" s="120">
        <v>1</v>
      </c>
      <c r="Q489" s="119">
        <f t="shared" si="108"/>
        <v>0.16769999999999999</v>
      </c>
      <c r="R489" s="104">
        <v>40000</v>
      </c>
      <c r="S489" s="105">
        <v>155140797</v>
      </c>
      <c r="T489" s="149">
        <v>0</v>
      </c>
      <c r="U489" s="149">
        <v>0</v>
      </c>
      <c r="V489" s="167" t="s">
        <v>138</v>
      </c>
      <c r="W489" s="157"/>
      <c r="X489" s="157">
        <v>5.3</v>
      </c>
      <c r="Y489" s="108" t="s">
        <v>139</v>
      </c>
      <c r="Z489" s="157"/>
      <c r="AA489" s="125">
        <v>9.11E-2</v>
      </c>
      <c r="AB489" s="126">
        <f t="shared" si="109"/>
        <v>6707.9999999999991</v>
      </c>
      <c r="AC489" s="126">
        <f t="shared" si="110"/>
        <v>3644</v>
      </c>
      <c r="AD489" s="127">
        <f t="shared" si="111"/>
        <v>212</v>
      </c>
      <c r="AE489" s="155"/>
    </row>
    <row r="490" spans="1:31" s="112" customFormat="1" x14ac:dyDescent="0.2">
      <c r="A490" s="108" t="s">
        <v>39</v>
      </c>
      <c r="B490" s="114" t="s">
        <v>3</v>
      </c>
      <c r="C490" s="108" t="s">
        <v>40</v>
      </c>
      <c r="D490" s="156">
        <v>310493191000</v>
      </c>
      <c r="E490" s="157" t="s">
        <v>42</v>
      </c>
      <c r="F490" s="157" t="s">
        <v>43</v>
      </c>
      <c r="G490" s="158" t="s">
        <v>44</v>
      </c>
      <c r="H490" s="157">
        <v>2024</v>
      </c>
      <c r="I490" s="108">
        <v>12</v>
      </c>
      <c r="J490" s="159">
        <v>45660</v>
      </c>
      <c r="K490" s="160">
        <v>0.5</v>
      </c>
      <c r="L490" s="119">
        <v>0.3135</v>
      </c>
      <c r="M490" s="119">
        <v>0.3135</v>
      </c>
      <c r="N490" s="119">
        <v>0</v>
      </c>
      <c r="O490" s="119">
        <f>N490*K490</f>
        <v>0</v>
      </c>
      <c r="P490" s="120">
        <v>1</v>
      </c>
      <c r="Q490" s="119">
        <f>P490*L490</f>
        <v>0.3135</v>
      </c>
      <c r="R490" s="104">
        <v>14544</v>
      </c>
      <c r="S490" s="105">
        <v>45589968</v>
      </c>
      <c r="T490" s="149">
        <v>4760000</v>
      </c>
      <c r="U490" s="149">
        <v>0</v>
      </c>
      <c r="V490" s="186" t="s">
        <v>45</v>
      </c>
      <c r="W490" s="157"/>
      <c r="X490" s="157">
        <v>6.73</v>
      </c>
      <c r="Y490" s="157" t="s">
        <v>142</v>
      </c>
      <c r="Z490" s="157"/>
      <c r="AA490" s="125">
        <v>0</v>
      </c>
      <c r="AB490" s="126">
        <f>M490*R490</f>
        <v>4559.5439999999999</v>
      </c>
      <c r="AC490" s="126">
        <f>R490*AA490</f>
        <v>0</v>
      </c>
      <c r="AD490" s="127">
        <f>R490*X490/1000</f>
        <v>97.88112000000001</v>
      </c>
      <c r="AE490" s="155"/>
    </row>
    <row r="491" spans="1:31" s="112" customFormat="1" x14ac:dyDescent="0.2">
      <c r="A491" s="108" t="s">
        <v>39</v>
      </c>
      <c r="B491" s="114" t="s">
        <v>3</v>
      </c>
      <c r="C491" s="108" t="s">
        <v>47</v>
      </c>
      <c r="D491" s="156">
        <v>310493192000</v>
      </c>
      <c r="E491" s="157" t="s">
        <v>42</v>
      </c>
      <c r="F491" s="157" t="s">
        <v>43</v>
      </c>
      <c r="G491" s="158" t="s">
        <v>44</v>
      </c>
      <c r="H491" s="157">
        <v>2024</v>
      </c>
      <c r="I491" s="108">
        <v>12</v>
      </c>
      <c r="J491" s="159">
        <v>45660</v>
      </c>
      <c r="K491" s="160">
        <v>0.5</v>
      </c>
      <c r="L491" s="119">
        <v>4.2200000000000001E-2</v>
      </c>
      <c r="M491" s="119">
        <v>4.2200000000000001E-2</v>
      </c>
      <c r="N491" s="119">
        <v>0</v>
      </c>
      <c r="O491" s="119">
        <f t="shared" si="107"/>
        <v>0</v>
      </c>
      <c r="P491" s="120">
        <v>1</v>
      </c>
      <c r="Q491" s="119">
        <f t="shared" si="108"/>
        <v>4.2200000000000001E-2</v>
      </c>
      <c r="R491" s="104">
        <v>0</v>
      </c>
      <c r="S491" s="105">
        <v>40219210</v>
      </c>
      <c r="T491" s="149">
        <v>3450000</v>
      </c>
      <c r="U491" s="149">
        <v>0</v>
      </c>
      <c r="V491" s="186" t="s">
        <v>45</v>
      </c>
      <c r="W491" s="157"/>
      <c r="X491" s="157">
        <v>0.87</v>
      </c>
      <c r="Y491" s="157" t="s">
        <v>142</v>
      </c>
      <c r="Z491" s="157"/>
      <c r="AA491" s="125">
        <v>0</v>
      </c>
      <c r="AB491" s="126">
        <f t="shared" si="109"/>
        <v>0</v>
      </c>
      <c r="AC491" s="126">
        <f t="shared" si="110"/>
        <v>0</v>
      </c>
      <c r="AD491" s="127">
        <f t="shared" si="111"/>
        <v>0</v>
      </c>
      <c r="AE491" s="155"/>
    </row>
    <row r="492" spans="1:31" s="112" customFormat="1" x14ac:dyDescent="0.2">
      <c r="A492" s="108" t="s">
        <v>39</v>
      </c>
      <c r="B492" s="114" t="s">
        <v>3</v>
      </c>
      <c r="C492" s="108" t="s">
        <v>49</v>
      </c>
      <c r="D492" s="156">
        <v>310493193000</v>
      </c>
      <c r="E492" s="157" t="s">
        <v>42</v>
      </c>
      <c r="F492" s="157" t="s">
        <v>43</v>
      </c>
      <c r="G492" s="158" t="s">
        <v>44</v>
      </c>
      <c r="H492" s="157">
        <v>2024</v>
      </c>
      <c r="I492" s="108">
        <v>12</v>
      </c>
      <c r="J492" s="159">
        <v>45660</v>
      </c>
      <c r="K492" s="160">
        <v>0.5</v>
      </c>
      <c r="L492" s="119">
        <v>7.22E-2</v>
      </c>
      <c r="M492" s="119">
        <v>7.22E-2</v>
      </c>
      <c r="N492" s="119">
        <v>0</v>
      </c>
      <c r="O492" s="119">
        <f t="shared" si="107"/>
        <v>0</v>
      </c>
      <c r="P492" s="120">
        <v>1</v>
      </c>
      <c r="Q492" s="119">
        <f t="shared" si="108"/>
        <v>7.22E-2</v>
      </c>
      <c r="R492" s="104">
        <v>123917</v>
      </c>
      <c r="S492" s="105">
        <v>45678419</v>
      </c>
      <c r="T492" s="149">
        <v>3740000</v>
      </c>
      <c r="U492" s="149">
        <v>0</v>
      </c>
      <c r="V492" s="186" t="s">
        <v>45</v>
      </c>
      <c r="W492" s="157"/>
      <c r="X492" s="157">
        <v>1.18</v>
      </c>
      <c r="Y492" s="157" t="s">
        <v>142</v>
      </c>
      <c r="Z492" s="157"/>
      <c r="AA492" s="125">
        <v>0</v>
      </c>
      <c r="AB492" s="126">
        <f>M492*R492</f>
        <v>8946.8073999999997</v>
      </c>
      <c r="AC492" s="126">
        <f t="shared" si="110"/>
        <v>0</v>
      </c>
      <c r="AD492" s="127">
        <f t="shared" si="111"/>
        <v>146.22206</v>
      </c>
      <c r="AE492" s="155"/>
    </row>
    <row r="493" spans="1:31" s="112" customFormat="1" x14ac:dyDescent="0.2">
      <c r="A493" s="108" t="s">
        <v>39</v>
      </c>
      <c r="B493" s="114" t="s">
        <v>3</v>
      </c>
      <c r="C493" s="108" t="s">
        <v>51</v>
      </c>
      <c r="D493" s="156">
        <v>310493194000</v>
      </c>
      <c r="E493" s="157" t="s">
        <v>42</v>
      </c>
      <c r="F493" s="157" t="s">
        <v>43</v>
      </c>
      <c r="G493" s="158" t="s">
        <v>44</v>
      </c>
      <c r="H493" s="157">
        <v>2024</v>
      </c>
      <c r="I493" s="108">
        <v>12</v>
      </c>
      <c r="J493" s="159">
        <v>45660</v>
      </c>
      <c r="K493" s="160">
        <v>0.5</v>
      </c>
      <c r="L493" s="119">
        <v>6.6199999999999995E-2</v>
      </c>
      <c r="M493" s="119">
        <v>6.6199999999999995E-2</v>
      </c>
      <c r="N493" s="119">
        <v>0</v>
      </c>
      <c r="O493" s="119">
        <f t="shared" si="107"/>
        <v>0</v>
      </c>
      <c r="P493" s="120">
        <v>1</v>
      </c>
      <c r="Q493" s="119">
        <f t="shared" si="108"/>
        <v>6.6199999999999995E-2</v>
      </c>
      <c r="R493" s="104">
        <v>11520</v>
      </c>
      <c r="S493" s="105">
        <v>29783584</v>
      </c>
      <c r="T493" s="149">
        <v>3450000</v>
      </c>
      <c r="U493" s="149">
        <v>0</v>
      </c>
      <c r="V493" s="186" t="s">
        <v>53</v>
      </c>
      <c r="W493" s="157"/>
      <c r="X493" s="157">
        <v>1.18</v>
      </c>
      <c r="Y493" s="157" t="s">
        <v>145</v>
      </c>
      <c r="Z493" s="157"/>
      <c r="AA493" s="125">
        <v>0</v>
      </c>
      <c r="AB493" s="126">
        <f t="shared" si="109"/>
        <v>762.62399999999991</v>
      </c>
      <c r="AC493" s="126">
        <f t="shared" si="110"/>
        <v>0</v>
      </c>
      <c r="AD493" s="127">
        <f t="shared" si="111"/>
        <v>13.593599999999999</v>
      </c>
      <c r="AE493" s="155"/>
    </row>
    <row r="494" spans="1:31" s="112" customFormat="1" x14ac:dyDescent="0.2">
      <c r="A494" s="108" t="s">
        <v>39</v>
      </c>
      <c r="B494" s="114" t="s">
        <v>3</v>
      </c>
      <c r="C494" s="108" t="s">
        <v>55</v>
      </c>
      <c r="D494" s="156">
        <v>310493195000</v>
      </c>
      <c r="E494" s="157" t="s">
        <v>42</v>
      </c>
      <c r="F494" s="157" t="s">
        <v>43</v>
      </c>
      <c r="G494" s="158" t="s">
        <v>44</v>
      </c>
      <c r="H494" s="157">
        <v>2024</v>
      </c>
      <c r="I494" s="108">
        <v>12</v>
      </c>
      <c r="J494" s="159">
        <v>45660</v>
      </c>
      <c r="K494" s="160">
        <v>0.5</v>
      </c>
      <c r="L494" s="119">
        <v>3.85E-2</v>
      </c>
      <c r="M494" s="119">
        <v>3.85E-2</v>
      </c>
      <c r="N494" s="119">
        <v>0</v>
      </c>
      <c r="O494" s="119">
        <f t="shared" si="107"/>
        <v>0</v>
      </c>
      <c r="P494" s="120">
        <v>1</v>
      </c>
      <c r="Q494" s="119">
        <f t="shared" si="108"/>
        <v>3.85E-2</v>
      </c>
      <c r="R494" s="104">
        <v>20000</v>
      </c>
      <c r="S494" s="105">
        <v>56410170</v>
      </c>
      <c r="T494" s="149">
        <v>3400000</v>
      </c>
      <c r="U494" s="149">
        <v>0</v>
      </c>
      <c r="V494" s="186" t="s">
        <v>53</v>
      </c>
      <c r="W494" s="157"/>
      <c r="X494" s="157">
        <v>0.13</v>
      </c>
      <c r="Y494" s="157" t="s">
        <v>145</v>
      </c>
      <c r="Z494" s="157"/>
      <c r="AA494" s="125">
        <v>0</v>
      </c>
      <c r="AB494" s="126">
        <f t="shared" si="109"/>
        <v>770</v>
      </c>
      <c r="AC494" s="126">
        <f t="shared" si="110"/>
        <v>0</v>
      </c>
      <c r="AD494" s="127">
        <f t="shared" si="111"/>
        <v>2.6</v>
      </c>
      <c r="AE494" s="139"/>
    </row>
    <row r="495" spans="1:31" s="112" customFormat="1" x14ac:dyDescent="0.2">
      <c r="A495" s="108" t="s">
        <v>57</v>
      </c>
      <c r="B495" s="114" t="s">
        <v>2</v>
      </c>
      <c r="C495" s="108" t="s">
        <v>58</v>
      </c>
      <c r="D495" s="156">
        <v>130040670021260</v>
      </c>
      <c r="E495" s="157" t="s">
        <v>42</v>
      </c>
      <c r="F495" s="157" t="s">
        <v>60</v>
      </c>
      <c r="G495" s="158" t="s">
        <v>44</v>
      </c>
      <c r="H495" s="157">
        <v>2024</v>
      </c>
      <c r="I495" s="108">
        <v>12</v>
      </c>
      <c r="J495" s="159">
        <v>45660</v>
      </c>
      <c r="K495" s="160">
        <v>1</v>
      </c>
      <c r="L495" s="119">
        <v>2.3582999999999998</v>
      </c>
      <c r="M495" s="119">
        <v>2.3582999999999998</v>
      </c>
      <c r="N495" s="119">
        <v>0</v>
      </c>
      <c r="O495" s="119">
        <f t="shared" si="107"/>
        <v>0</v>
      </c>
      <c r="P495" s="120">
        <v>1</v>
      </c>
      <c r="Q495" s="119">
        <f t="shared" si="108"/>
        <v>2.3582999999999998</v>
      </c>
      <c r="R495" s="104">
        <v>0</v>
      </c>
      <c r="S495" s="105">
        <v>644603</v>
      </c>
      <c r="T495" s="149">
        <v>0</v>
      </c>
      <c r="U495" s="149">
        <v>0</v>
      </c>
      <c r="V495" s="186" t="s">
        <v>61</v>
      </c>
      <c r="W495" s="157"/>
      <c r="X495" s="157">
        <v>16.260000000000002</v>
      </c>
      <c r="Y495" s="157" t="s">
        <v>147</v>
      </c>
      <c r="Z495" s="124" t="s">
        <v>63</v>
      </c>
      <c r="AA495" s="125">
        <v>1.31</v>
      </c>
      <c r="AB495" s="126">
        <f t="shared" si="109"/>
        <v>0</v>
      </c>
      <c r="AC495" s="126">
        <f t="shared" si="110"/>
        <v>0</v>
      </c>
      <c r="AD495" s="127">
        <f t="shared" si="111"/>
        <v>0</v>
      </c>
      <c r="AE495" s="139"/>
    </row>
    <row r="496" spans="1:31" s="112" customFormat="1" x14ac:dyDescent="0.2">
      <c r="A496" s="108" t="s">
        <v>57</v>
      </c>
      <c r="B496" s="114" t="s">
        <v>2</v>
      </c>
      <c r="C496" s="108" t="s">
        <v>64</v>
      </c>
      <c r="D496" s="156">
        <v>130040670021261</v>
      </c>
      <c r="E496" s="157" t="s">
        <v>42</v>
      </c>
      <c r="F496" s="157" t="s">
        <v>60</v>
      </c>
      <c r="G496" s="158" t="s">
        <v>44</v>
      </c>
      <c r="H496" s="157">
        <v>2024</v>
      </c>
      <c r="I496" s="108">
        <v>12</v>
      </c>
      <c r="J496" s="159">
        <v>45660</v>
      </c>
      <c r="K496" s="160">
        <v>1</v>
      </c>
      <c r="L496" s="119">
        <v>2.3165</v>
      </c>
      <c r="M496" s="119">
        <v>2.3165</v>
      </c>
      <c r="N496" s="119">
        <v>0</v>
      </c>
      <c r="O496" s="119">
        <f t="shared" si="107"/>
        <v>0</v>
      </c>
      <c r="P496" s="120">
        <v>1</v>
      </c>
      <c r="Q496" s="119">
        <f t="shared" si="108"/>
        <v>2.3165</v>
      </c>
      <c r="R496" s="104">
        <v>0</v>
      </c>
      <c r="S496" s="105">
        <v>686982</v>
      </c>
      <c r="T496" s="149">
        <v>0</v>
      </c>
      <c r="U496" s="149">
        <v>0</v>
      </c>
      <c r="V496" s="186" t="s">
        <v>61</v>
      </c>
      <c r="W496" s="157"/>
      <c r="X496" s="157">
        <v>8.3000000000000007</v>
      </c>
      <c r="Y496" s="157" t="s">
        <v>147</v>
      </c>
      <c r="Z496" s="124" t="s">
        <v>63</v>
      </c>
      <c r="AA496" s="125">
        <v>1.43</v>
      </c>
      <c r="AB496" s="126">
        <f t="shared" si="109"/>
        <v>0</v>
      </c>
      <c r="AC496" s="126">
        <f t="shared" si="110"/>
        <v>0</v>
      </c>
      <c r="AD496" s="127">
        <f t="shared" si="111"/>
        <v>0</v>
      </c>
      <c r="AE496" s="139"/>
    </row>
    <row r="497" spans="1:31" s="112" customFormat="1" x14ac:dyDescent="0.2">
      <c r="A497" s="108" t="s">
        <v>57</v>
      </c>
      <c r="B497" s="114" t="s">
        <v>2</v>
      </c>
      <c r="C497" s="108" t="s">
        <v>66</v>
      </c>
      <c r="D497" s="156">
        <v>130040670021263</v>
      </c>
      <c r="E497" s="157" t="s">
        <v>42</v>
      </c>
      <c r="F497" s="157" t="s">
        <v>60</v>
      </c>
      <c r="G497" s="158" t="s">
        <v>44</v>
      </c>
      <c r="H497" s="157">
        <v>2024</v>
      </c>
      <c r="I497" s="108">
        <v>12</v>
      </c>
      <c r="J497" s="159">
        <v>45660</v>
      </c>
      <c r="K497" s="160">
        <v>1</v>
      </c>
      <c r="L497" s="119">
        <v>0.3765</v>
      </c>
      <c r="M497" s="119">
        <v>0.3765</v>
      </c>
      <c r="N497" s="119">
        <v>0</v>
      </c>
      <c r="O497" s="119">
        <f t="shared" si="107"/>
        <v>0</v>
      </c>
      <c r="P497" s="120">
        <v>1</v>
      </c>
      <c r="Q497" s="119">
        <f t="shared" si="108"/>
        <v>0.3765</v>
      </c>
      <c r="R497" s="104">
        <v>0</v>
      </c>
      <c r="S497" s="105">
        <v>665191</v>
      </c>
      <c r="T497" s="149">
        <v>0</v>
      </c>
      <c r="U497" s="149">
        <v>0</v>
      </c>
      <c r="V497" s="186" t="s">
        <v>61</v>
      </c>
      <c r="W497" s="157"/>
      <c r="X497" s="157">
        <v>0.56999999999999995</v>
      </c>
      <c r="Y497" s="157" t="s">
        <v>147</v>
      </c>
      <c r="Z497" s="157"/>
      <c r="AA497" s="125">
        <v>0</v>
      </c>
      <c r="AB497" s="126">
        <f t="shared" si="109"/>
        <v>0</v>
      </c>
      <c r="AC497" s="126">
        <f t="shared" si="110"/>
        <v>0</v>
      </c>
      <c r="AD497" s="127">
        <f t="shared" si="111"/>
        <v>0</v>
      </c>
      <c r="AE497" s="139"/>
    </row>
    <row r="498" spans="1:31" s="112" customFormat="1" x14ac:dyDescent="0.2">
      <c r="A498" s="108" t="s">
        <v>57</v>
      </c>
      <c r="B498" s="114" t="s">
        <v>2</v>
      </c>
      <c r="C498" s="108" t="s">
        <v>68</v>
      </c>
      <c r="D498" s="156">
        <v>130040670021262</v>
      </c>
      <c r="E498" s="157" t="s">
        <v>42</v>
      </c>
      <c r="F498" s="157" t="s">
        <v>60</v>
      </c>
      <c r="G498" s="158" t="s">
        <v>44</v>
      </c>
      <c r="H498" s="157">
        <v>2024</v>
      </c>
      <c r="I498" s="108">
        <v>12</v>
      </c>
      <c r="J498" s="159">
        <v>45660</v>
      </c>
      <c r="K498" s="160">
        <v>1</v>
      </c>
      <c r="L498" s="119">
        <v>0.37930000000000003</v>
      </c>
      <c r="M498" s="119">
        <v>0.37930000000000003</v>
      </c>
      <c r="N498" s="119">
        <v>0</v>
      </c>
      <c r="O498" s="119">
        <f t="shared" si="107"/>
        <v>0</v>
      </c>
      <c r="P498" s="120">
        <v>1</v>
      </c>
      <c r="Q498" s="119">
        <f t="shared" si="108"/>
        <v>0.37930000000000003</v>
      </c>
      <c r="R498" s="104">
        <v>0</v>
      </c>
      <c r="S498" s="105">
        <v>655070</v>
      </c>
      <c r="T498" s="175">
        <v>0</v>
      </c>
      <c r="U498" s="149">
        <v>0</v>
      </c>
      <c r="V498" s="186" t="s">
        <v>70</v>
      </c>
      <c r="W498" s="157"/>
      <c r="X498" s="157">
        <v>1.87</v>
      </c>
      <c r="Y498" s="157" t="s">
        <v>149</v>
      </c>
      <c r="Z498" s="157"/>
      <c r="AA498" s="125">
        <v>0</v>
      </c>
      <c r="AB498" s="126">
        <f t="shared" si="109"/>
        <v>0</v>
      </c>
      <c r="AC498" s="126">
        <f t="shared" si="110"/>
        <v>0</v>
      </c>
      <c r="AD498" s="127">
        <f t="shared" si="111"/>
        <v>0</v>
      </c>
      <c r="AE498" s="139"/>
    </row>
    <row r="499" spans="1:31" s="112" customFormat="1" x14ac:dyDescent="0.2">
      <c r="A499" s="108" t="s">
        <v>72</v>
      </c>
      <c r="B499" s="114" t="s">
        <v>2</v>
      </c>
      <c r="C499" s="108" t="s">
        <v>73</v>
      </c>
      <c r="D499" s="156">
        <v>120020670031773</v>
      </c>
      <c r="E499" s="157" t="s">
        <v>42</v>
      </c>
      <c r="F499" s="157" t="s">
        <v>60</v>
      </c>
      <c r="G499" s="158" t="s">
        <v>44</v>
      </c>
      <c r="H499" s="157">
        <v>2024</v>
      </c>
      <c r="I499" s="108">
        <v>12</v>
      </c>
      <c r="J499" s="159">
        <v>45660</v>
      </c>
      <c r="K499" s="160">
        <v>0.3</v>
      </c>
      <c r="L499" s="119">
        <v>1.8774</v>
      </c>
      <c r="M499" s="119">
        <v>1.9124416082318001</v>
      </c>
      <c r="N499" s="119">
        <f>M499-L499</f>
        <v>3.5041608231800137E-2</v>
      </c>
      <c r="O499" s="119">
        <f t="shared" si="107"/>
        <v>1.0512482469540041E-2</v>
      </c>
      <c r="P499" s="120">
        <v>1</v>
      </c>
      <c r="Q499" s="119">
        <f t="shared" si="108"/>
        <v>1.8774</v>
      </c>
      <c r="R499" s="104">
        <v>458000</v>
      </c>
      <c r="S499" s="105">
        <v>2316979</v>
      </c>
      <c r="T499" s="175">
        <v>280000</v>
      </c>
      <c r="U499" s="119">
        <f>T499-N499*S499</f>
        <v>198809.32960069197</v>
      </c>
      <c r="V499" s="186" t="s">
        <v>75</v>
      </c>
      <c r="W499" s="157"/>
      <c r="X499" s="157">
        <v>6.54</v>
      </c>
      <c r="Y499" s="157" t="s">
        <v>147</v>
      </c>
      <c r="Z499" s="124" t="s">
        <v>63</v>
      </c>
      <c r="AA499" s="125">
        <v>1.2</v>
      </c>
      <c r="AB499" s="126">
        <f t="shared" si="109"/>
        <v>875898.25657016446</v>
      </c>
      <c r="AC499" s="126">
        <f t="shared" si="110"/>
        <v>549600</v>
      </c>
      <c r="AD499" s="127">
        <f t="shared" si="111"/>
        <v>2995.32</v>
      </c>
      <c r="AE499" s="139"/>
    </row>
    <row r="500" spans="1:31" s="112" customFormat="1" x14ac:dyDescent="0.2">
      <c r="A500" s="108" t="s">
        <v>72</v>
      </c>
      <c r="B500" s="114" t="s">
        <v>2</v>
      </c>
      <c r="C500" s="108" t="s">
        <v>76</v>
      </c>
      <c r="D500" s="156">
        <v>130020670031775</v>
      </c>
      <c r="E500" s="157" t="s">
        <v>42</v>
      </c>
      <c r="F500" s="157" t="s">
        <v>60</v>
      </c>
      <c r="G500" s="158" t="s">
        <v>44</v>
      </c>
      <c r="H500" s="157">
        <v>2024</v>
      </c>
      <c r="I500" s="108">
        <v>12</v>
      </c>
      <c r="J500" s="159">
        <v>45660</v>
      </c>
      <c r="K500" s="160">
        <v>0.3</v>
      </c>
      <c r="L500" s="119">
        <v>0.27339999999999998</v>
      </c>
      <c r="M500" s="119">
        <v>0.33085792652733598</v>
      </c>
      <c r="N500" s="119">
        <f t="shared" ref="N500:N505" si="112">M500-L500</f>
        <v>5.7457926527336001E-2</v>
      </c>
      <c r="O500" s="119">
        <f t="shared" si="107"/>
        <v>1.7237377958200798E-2</v>
      </c>
      <c r="P500" s="120">
        <v>1</v>
      </c>
      <c r="Q500" s="119">
        <f t="shared" si="108"/>
        <v>0.27339999999999998</v>
      </c>
      <c r="R500" s="104">
        <v>521080</v>
      </c>
      <c r="S500" s="105">
        <v>2284981</v>
      </c>
      <c r="T500" s="175">
        <v>460000</v>
      </c>
      <c r="U500" s="119">
        <f t="shared" ref="U500:U506" si="113">T500-N500*S500</f>
        <v>328709.7295856413</v>
      </c>
      <c r="V500" s="186" t="s">
        <v>75</v>
      </c>
      <c r="W500" s="157"/>
      <c r="X500" s="157">
        <v>3.32</v>
      </c>
      <c r="Y500" s="157" t="s">
        <v>147</v>
      </c>
      <c r="Z500" s="157"/>
      <c r="AA500" s="125">
        <v>0</v>
      </c>
      <c r="AB500" s="126">
        <f t="shared" si="109"/>
        <v>172403.44835486423</v>
      </c>
      <c r="AC500" s="126">
        <f t="shared" si="110"/>
        <v>0</v>
      </c>
      <c r="AD500" s="127">
        <f t="shared" si="111"/>
        <v>1729.9855999999997</v>
      </c>
      <c r="AE500" s="139"/>
    </row>
    <row r="501" spans="1:31" s="112" customFormat="1" x14ac:dyDescent="0.2">
      <c r="A501" s="108" t="s">
        <v>72</v>
      </c>
      <c r="B501" s="114" t="s">
        <v>2</v>
      </c>
      <c r="C501" s="108" t="s">
        <v>78</v>
      </c>
      <c r="D501" s="156">
        <v>130020670031776</v>
      </c>
      <c r="E501" s="157" t="s">
        <v>42</v>
      </c>
      <c r="F501" s="157" t="s">
        <v>60</v>
      </c>
      <c r="G501" s="158" t="s">
        <v>44</v>
      </c>
      <c r="H501" s="157">
        <v>2024</v>
      </c>
      <c r="I501" s="108">
        <v>12</v>
      </c>
      <c r="J501" s="159">
        <v>45660</v>
      </c>
      <c r="K501" s="160">
        <v>0.3</v>
      </c>
      <c r="L501" s="119">
        <v>0.20449999999999999</v>
      </c>
      <c r="M501" s="119">
        <v>0.23078293319930801</v>
      </c>
      <c r="N501" s="119">
        <f t="shared" si="112"/>
        <v>2.6282933199308023E-2</v>
      </c>
      <c r="O501" s="119">
        <f t="shared" si="107"/>
        <v>7.8848799597924062E-3</v>
      </c>
      <c r="P501" s="120">
        <v>1</v>
      </c>
      <c r="Q501" s="119">
        <f t="shared" si="108"/>
        <v>0.20449999999999999</v>
      </c>
      <c r="R501" s="104">
        <v>266811</v>
      </c>
      <c r="S501" s="105">
        <v>2961913</v>
      </c>
      <c r="T501" s="175">
        <v>420000</v>
      </c>
      <c r="U501" s="119">
        <f t="shared" si="113"/>
        <v>342152.238478838</v>
      </c>
      <c r="V501" s="186" t="s">
        <v>70</v>
      </c>
      <c r="W501" s="157"/>
      <c r="X501" s="157">
        <v>4.25</v>
      </c>
      <c r="Y501" s="157" t="s">
        <v>149</v>
      </c>
      <c r="Z501" s="157"/>
      <c r="AA501" s="125">
        <v>0</v>
      </c>
      <c r="AB501" s="126">
        <f t="shared" si="109"/>
        <v>61575.425189840571</v>
      </c>
      <c r="AC501" s="126">
        <f t="shared" si="110"/>
        <v>0</v>
      </c>
      <c r="AD501" s="127">
        <f t="shared" si="111"/>
        <v>1133.9467500000001</v>
      </c>
      <c r="AE501" s="139"/>
    </row>
    <row r="502" spans="1:31" s="112" customFormat="1" x14ac:dyDescent="0.2">
      <c r="A502" s="108" t="s">
        <v>72</v>
      </c>
      <c r="B502" s="114" t="s">
        <v>2</v>
      </c>
      <c r="C502" s="108" t="s">
        <v>66</v>
      </c>
      <c r="D502" s="156">
        <v>130020670031777</v>
      </c>
      <c r="E502" s="157" t="s">
        <v>42</v>
      </c>
      <c r="F502" s="157" t="s">
        <v>60</v>
      </c>
      <c r="G502" s="158" t="s">
        <v>44</v>
      </c>
      <c r="H502" s="157">
        <v>2024</v>
      </c>
      <c r="I502" s="108">
        <v>12</v>
      </c>
      <c r="J502" s="159">
        <v>45660</v>
      </c>
      <c r="K502" s="160">
        <v>0.3</v>
      </c>
      <c r="L502" s="119">
        <v>0.1203</v>
      </c>
      <c r="M502" s="119">
        <v>0.14526275004108599</v>
      </c>
      <c r="N502" s="119">
        <f t="shared" si="112"/>
        <v>2.4962750041085988E-2</v>
      </c>
      <c r="O502" s="119">
        <f t="shared" si="107"/>
        <v>7.4888250123257959E-3</v>
      </c>
      <c r="P502" s="120">
        <v>1</v>
      </c>
      <c r="Q502" s="119">
        <f t="shared" si="108"/>
        <v>0.1203</v>
      </c>
      <c r="R502" s="104">
        <v>486429</v>
      </c>
      <c r="S502" s="105">
        <v>3204923</v>
      </c>
      <c r="T502" s="175">
        <v>400000</v>
      </c>
      <c r="U502" s="119">
        <f t="shared" si="113"/>
        <v>319996.30825007259</v>
      </c>
      <c r="V502" s="186" t="s">
        <v>70</v>
      </c>
      <c r="W502" s="157"/>
      <c r="X502" s="157">
        <v>0.54</v>
      </c>
      <c r="Y502" s="157" t="s">
        <v>149</v>
      </c>
      <c r="Z502" s="157"/>
      <c r="AA502" s="125">
        <v>0</v>
      </c>
      <c r="AB502" s="126">
        <f t="shared" si="109"/>
        <v>70660.014239735421</v>
      </c>
      <c r="AC502" s="126">
        <f t="shared" si="110"/>
        <v>0</v>
      </c>
      <c r="AD502" s="127">
        <f t="shared" si="111"/>
        <v>262.67166000000003</v>
      </c>
      <c r="AE502" s="139"/>
    </row>
    <row r="503" spans="1:31" s="112" customFormat="1" x14ac:dyDescent="0.2">
      <c r="A503" s="108" t="s">
        <v>72</v>
      </c>
      <c r="B503" s="114" t="s">
        <v>2</v>
      </c>
      <c r="C503" s="108" t="s">
        <v>150</v>
      </c>
      <c r="D503" s="156">
        <v>130020670035243</v>
      </c>
      <c r="E503" s="157" t="s">
        <v>42</v>
      </c>
      <c r="F503" s="157" t="s">
        <v>60</v>
      </c>
      <c r="G503" s="158" t="s">
        <v>44</v>
      </c>
      <c r="H503" s="157">
        <v>2024</v>
      </c>
      <c r="I503" s="108">
        <v>12</v>
      </c>
      <c r="J503" s="159">
        <v>45660</v>
      </c>
      <c r="K503" s="160">
        <v>0.3</v>
      </c>
      <c r="L503" s="119">
        <v>0.1225</v>
      </c>
      <c r="M503" s="119">
        <v>0.14748804164533599</v>
      </c>
      <c r="N503" s="119">
        <f t="shared" si="112"/>
        <v>2.4988041645335995E-2</v>
      </c>
      <c r="O503" s="119">
        <f t="shared" si="107"/>
        <v>7.4964124936007983E-3</v>
      </c>
      <c r="P503" s="120">
        <v>1</v>
      </c>
      <c r="Q503" s="119">
        <f t="shared" si="108"/>
        <v>0.1225</v>
      </c>
      <c r="R503" s="104">
        <v>435719</v>
      </c>
      <c r="S503" s="105">
        <v>3534831</v>
      </c>
      <c r="T503" s="175">
        <v>400000</v>
      </c>
      <c r="U503" s="119">
        <f t="shared" si="113"/>
        <v>311671.4957627753</v>
      </c>
      <c r="V503" s="186" t="s">
        <v>75</v>
      </c>
      <c r="W503" s="157"/>
      <c r="X503" s="157">
        <v>0.51</v>
      </c>
      <c r="Y503" s="157" t="s">
        <v>147</v>
      </c>
      <c r="Z503" s="157"/>
      <c r="AA503" s="125">
        <v>0</v>
      </c>
      <c r="AB503" s="126">
        <f t="shared" si="109"/>
        <v>64263.342017664152</v>
      </c>
      <c r="AC503" s="126">
        <f t="shared" si="110"/>
        <v>0</v>
      </c>
      <c r="AD503" s="127">
        <f t="shared" si="111"/>
        <v>222.21669</v>
      </c>
      <c r="AE503" s="139"/>
    </row>
    <row r="504" spans="1:31" s="112" customFormat="1" x14ac:dyDescent="0.2">
      <c r="A504" s="108" t="s">
        <v>83</v>
      </c>
      <c r="B504" s="114" t="s">
        <v>1</v>
      </c>
      <c r="C504" s="108" t="s">
        <v>84</v>
      </c>
      <c r="D504" s="156">
        <v>130010390000214</v>
      </c>
      <c r="E504" s="157" t="s">
        <v>42</v>
      </c>
      <c r="F504" s="157" t="s">
        <v>60</v>
      </c>
      <c r="G504" s="158" t="s">
        <v>44</v>
      </c>
      <c r="H504" s="157">
        <v>2023</v>
      </c>
      <c r="I504" s="108">
        <v>12</v>
      </c>
      <c r="J504" s="159">
        <v>45660</v>
      </c>
      <c r="K504" s="160">
        <v>1</v>
      </c>
      <c r="L504" s="119">
        <v>0.97679221076727096</v>
      </c>
      <c r="M504" s="119">
        <v>0.97985471076727104</v>
      </c>
      <c r="N504" s="119">
        <f t="shared" si="112"/>
        <v>3.062500000000079E-3</v>
      </c>
      <c r="O504" s="119">
        <f t="shared" si="107"/>
        <v>3.062500000000079E-3</v>
      </c>
      <c r="P504" s="120">
        <v>1</v>
      </c>
      <c r="Q504" s="119">
        <f t="shared" si="108"/>
        <v>0.97679221076727096</v>
      </c>
      <c r="R504" s="104">
        <v>82846</v>
      </c>
      <c r="S504" s="105">
        <v>11196856</v>
      </c>
      <c r="T504" s="149">
        <v>98000</v>
      </c>
      <c r="U504" s="119">
        <f>T504-N504*S504</f>
        <v>63709.628499999119</v>
      </c>
      <c r="V504" s="167" t="s">
        <v>151</v>
      </c>
      <c r="W504" s="157"/>
      <c r="X504" s="157">
        <v>2.09</v>
      </c>
      <c r="Y504" s="108" t="s">
        <v>142</v>
      </c>
      <c r="Z504" s="157"/>
      <c r="AA504" s="125">
        <v>0.93</v>
      </c>
      <c r="AB504" s="126">
        <f t="shared" si="109"/>
        <v>81177.043368225335</v>
      </c>
      <c r="AC504" s="126">
        <f t="shared" si="110"/>
        <v>77046.78</v>
      </c>
      <c r="AD504" s="127">
        <f t="shared" si="111"/>
        <v>173.14813999999998</v>
      </c>
      <c r="AE504" s="139"/>
    </row>
    <row r="505" spans="1:31" s="112" customFormat="1" x14ac:dyDescent="0.2">
      <c r="A505" s="108" t="s">
        <v>83</v>
      </c>
      <c r="B505" s="114" t="s">
        <v>1</v>
      </c>
      <c r="C505" s="108" t="s">
        <v>84</v>
      </c>
      <c r="D505" s="156">
        <v>130010390000214</v>
      </c>
      <c r="E505" s="157" t="s">
        <v>42</v>
      </c>
      <c r="F505" s="157" t="s">
        <v>60</v>
      </c>
      <c r="G505" s="158" t="s">
        <v>44</v>
      </c>
      <c r="H505" s="157">
        <v>2024</v>
      </c>
      <c r="I505" s="108">
        <v>12</v>
      </c>
      <c r="J505" s="159">
        <v>45660</v>
      </c>
      <c r="K505" s="160">
        <v>1</v>
      </c>
      <c r="L505" s="119">
        <v>1.05412849674197</v>
      </c>
      <c r="M505" s="119">
        <v>1.22365196079064</v>
      </c>
      <c r="N505" s="119">
        <f t="shared" si="112"/>
        <v>0.16952346404867003</v>
      </c>
      <c r="O505" s="119">
        <f t="shared" si="107"/>
        <v>0.16952346404867003</v>
      </c>
      <c r="P505" s="120">
        <v>1</v>
      </c>
      <c r="Q505" s="119">
        <f t="shared" si="108"/>
        <v>1.05412849674197</v>
      </c>
      <c r="R505" s="104">
        <v>0</v>
      </c>
      <c r="S505" s="105">
        <v>0</v>
      </c>
      <c r="T505" s="175">
        <v>4584750.8499999996</v>
      </c>
      <c r="U505" s="119">
        <f t="shared" si="113"/>
        <v>4584750.8499999996</v>
      </c>
      <c r="V505" s="167" t="s">
        <v>151</v>
      </c>
      <c r="W505" s="157"/>
      <c r="X505" s="157">
        <v>2.09</v>
      </c>
      <c r="Y505" s="108" t="s">
        <v>142</v>
      </c>
      <c r="Z505" s="157"/>
      <c r="AA505" s="125">
        <v>1.05</v>
      </c>
      <c r="AB505" s="126">
        <f t="shared" si="109"/>
        <v>0</v>
      </c>
      <c r="AC505" s="126">
        <f t="shared" si="110"/>
        <v>0</v>
      </c>
      <c r="AD505" s="127">
        <f t="shared" si="111"/>
        <v>0</v>
      </c>
      <c r="AE505" s="139"/>
    </row>
    <row r="506" spans="1:31" s="112" customFormat="1" x14ac:dyDescent="0.2">
      <c r="A506" s="108" t="s">
        <v>83</v>
      </c>
      <c r="B506" s="114" t="s">
        <v>1</v>
      </c>
      <c r="C506" s="108" t="s">
        <v>84</v>
      </c>
      <c r="D506" s="156">
        <v>130010390000214</v>
      </c>
      <c r="E506" s="157" t="s">
        <v>42</v>
      </c>
      <c r="F506" s="157" t="s">
        <v>60</v>
      </c>
      <c r="G506" s="158" t="s">
        <v>44</v>
      </c>
      <c r="H506" s="157">
        <v>2024</v>
      </c>
      <c r="I506" s="108">
        <v>12</v>
      </c>
      <c r="J506" s="159">
        <v>45660</v>
      </c>
      <c r="K506" s="160">
        <v>1</v>
      </c>
      <c r="L506" s="119">
        <v>1.17411721731226</v>
      </c>
      <c r="M506" s="119">
        <v>1.3582877285124899</v>
      </c>
      <c r="N506" s="119">
        <f>M506-L506</f>
        <v>0.18417051120022987</v>
      </c>
      <c r="O506" s="119">
        <f t="shared" si="107"/>
        <v>0.18417051120022987</v>
      </c>
      <c r="P506" s="120">
        <v>1</v>
      </c>
      <c r="Q506" s="119">
        <f t="shared" si="108"/>
        <v>1.17411721731226</v>
      </c>
      <c r="R506" s="104">
        <v>0</v>
      </c>
      <c r="S506" s="105">
        <v>0</v>
      </c>
      <c r="T506" s="175">
        <v>3933456.36</v>
      </c>
      <c r="U506" s="119">
        <f t="shared" si="113"/>
        <v>3933456.36</v>
      </c>
      <c r="V506" s="167" t="s">
        <v>151</v>
      </c>
      <c r="W506" s="157"/>
      <c r="X506" s="157">
        <v>2.09</v>
      </c>
      <c r="Y506" s="108" t="s">
        <v>142</v>
      </c>
      <c r="Z506" s="157"/>
      <c r="AA506" s="125">
        <v>1.17</v>
      </c>
      <c r="AB506" s="126">
        <f t="shared" si="109"/>
        <v>0</v>
      </c>
      <c r="AC506" s="126">
        <f t="shared" si="110"/>
        <v>0</v>
      </c>
      <c r="AD506" s="127">
        <f t="shared" si="111"/>
        <v>0</v>
      </c>
      <c r="AE506" s="139"/>
    </row>
    <row r="507" spans="1:31" s="112" customFormat="1" x14ac:dyDescent="0.2">
      <c r="A507" s="108" t="s">
        <v>167</v>
      </c>
      <c r="B507" s="114" t="s">
        <v>4</v>
      </c>
      <c r="C507" s="108" t="s">
        <v>90</v>
      </c>
      <c r="D507" s="156">
        <v>22150202014</v>
      </c>
      <c r="E507" s="157" t="s">
        <v>42</v>
      </c>
      <c r="F507" s="157" t="s">
        <v>91</v>
      </c>
      <c r="G507" s="158" t="s">
        <v>44</v>
      </c>
      <c r="H507" s="157">
        <v>2024</v>
      </c>
      <c r="I507" s="108">
        <v>12</v>
      </c>
      <c r="J507" s="159">
        <v>45660</v>
      </c>
      <c r="K507" s="160">
        <v>0.4</v>
      </c>
      <c r="L507" s="119">
        <v>2.3161999999999998</v>
      </c>
      <c r="M507" s="119">
        <v>2.2169787761879198</v>
      </c>
      <c r="N507" s="119">
        <v>0</v>
      </c>
      <c r="O507" s="119">
        <f t="shared" si="107"/>
        <v>0</v>
      </c>
      <c r="P507" s="120">
        <v>1</v>
      </c>
      <c r="Q507" s="119">
        <f t="shared" si="108"/>
        <v>2.3161999999999998</v>
      </c>
      <c r="R507" s="104">
        <v>188980</v>
      </c>
      <c r="S507" s="105">
        <v>2365599</v>
      </c>
      <c r="T507" s="175">
        <v>105000</v>
      </c>
      <c r="U507" s="141">
        <v>42668.587500000001</v>
      </c>
      <c r="V507" s="167" t="s">
        <v>168</v>
      </c>
      <c r="W507" s="108"/>
      <c r="X507" s="108">
        <v>1.56</v>
      </c>
      <c r="Y507" s="108" t="s">
        <v>145</v>
      </c>
      <c r="Z507" s="124" t="s">
        <v>93</v>
      </c>
      <c r="AA507" s="125">
        <v>1.94</v>
      </c>
      <c r="AB507" s="126">
        <f t="shared" si="109"/>
        <v>418964.64912399306</v>
      </c>
      <c r="AC507" s="126">
        <f t="shared" si="110"/>
        <v>366621.2</v>
      </c>
      <c r="AD507" s="127">
        <f t="shared" si="111"/>
        <v>294.80879999999996</v>
      </c>
      <c r="AE507" s="139"/>
    </row>
    <row r="508" spans="1:31" s="112" customFormat="1" ht="25.5" x14ac:dyDescent="0.2">
      <c r="A508" s="108" t="s">
        <v>167</v>
      </c>
      <c r="B508" s="114" t="s">
        <v>4</v>
      </c>
      <c r="C508" s="108" t="s">
        <v>94</v>
      </c>
      <c r="D508" s="156">
        <v>22150202015</v>
      </c>
      <c r="E508" s="157" t="s">
        <v>42</v>
      </c>
      <c r="F508" s="157" t="s">
        <v>91</v>
      </c>
      <c r="G508" s="158" t="s">
        <v>44</v>
      </c>
      <c r="H508" s="157">
        <v>2024</v>
      </c>
      <c r="I508" s="108">
        <v>12</v>
      </c>
      <c r="J508" s="159">
        <v>45660</v>
      </c>
      <c r="K508" s="160">
        <v>0.6</v>
      </c>
      <c r="L508" s="119">
        <v>1.5443588135792301</v>
      </c>
      <c r="M508" s="119">
        <v>1.5423175780454099</v>
      </c>
      <c r="N508" s="119">
        <v>0</v>
      </c>
      <c r="O508" s="119">
        <f t="shared" si="107"/>
        <v>0</v>
      </c>
      <c r="P508" s="120">
        <v>1</v>
      </c>
      <c r="Q508" s="119">
        <f t="shared" si="108"/>
        <v>1.5443588135792301</v>
      </c>
      <c r="R508" s="104">
        <v>155980</v>
      </c>
      <c r="S508" s="105">
        <v>2196689</v>
      </c>
      <c r="T508" s="149">
        <v>376000</v>
      </c>
      <c r="U508" s="141">
        <v>275626.17330000002</v>
      </c>
      <c r="V508" s="167" t="s">
        <v>95</v>
      </c>
      <c r="W508" s="108"/>
      <c r="X508" s="108">
        <v>1.75</v>
      </c>
      <c r="Y508" s="108" t="s">
        <v>145</v>
      </c>
      <c r="Z508" s="124" t="s">
        <v>93</v>
      </c>
      <c r="AA508" s="125">
        <v>1.1399999999999999</v>
      </c>
      <c r="AB508" s="126">
        <f t="shared" si="109"/>
        <v>240570.69582352304</v>
      </c>
      <c r="AC508" s="126">
        <f t="shared" si="110"/>
        <v>177817.19999999998</v>
      </c>
      <c r="AD508" s="127">
        <f t="shared" si="111"/>
        <v>272.96499999999997</v>
      </c>
      <c r="AE508" s="139"/>
    </row>
    <row r="509" spans="1:31" s="112" customFormat="1" x14ac:dyDescent="0.2">
      <c r="A509" s="108" t="s">
        <v>167</v>
      </c>
      <c r="B509" s="114" t="s">
        <v>4</v>
      </c>
      <c r="C509" s="108" t="s">
        <v>66</v>
      </c>
      <c r="D509" s="156">
        <v>22150202010</v>
      </c>
      <c r="E509" s="157" t="s">
        <v>42</v>
      </c>
      <c r="F509" s="157" t="s">
        <v>96</v>
      </c>
      <c r="G509" s="158" t="s">
        <v>44</v>
      </c>
      <c r="H509" s="157">
        <v>2024</v>
      </c>
      <c r="I509" s="108">
        <v>12</v>
      </c>
      <c r="J509" s="159">
        <v>45660</v>
      </c>
      <c r="K509" s="160">
        <v>0.4</v>
      </c>
      <c r="L509" s="119">
        <v>0.91622499999999996</v>
      </c>
      <c r="M509" s="119">
        <v>1.13316525889116</v>
      </c>
      <c r="N509" s="119">
        <v>0</v>
      </c>
      <c r="O509" s="119">
        <f t="shared" si="107"/>
        <v>0</v>
      </c>
      <c r="P509" s="120">
        <v>1</v>
      </c>
      <c r="Q509" s="119">
        <f t="shared" si="108"/>
        <v>0.91622499999999996</v>
      </c>
      <c r="R509" s="104">
        <v>195166</v>
      </c>
      <c r="S509" s="105">
        <v>2070113</v>
      </c>
      <c r="T509" s="149">
        <f>98350</f>
        <v>98350</v>
      </c>
      <c r="U509" s="141">
        <v>-232301.71650000001</v>
      </c>
      <c r="V509" s="167" t="s">
        <v>97</v>
      </c>
      <c r="W509" s="108"/>
      <c r="X509" s="108">
        <v>0.57999999999999996</v>
      </c>
      <c r="Y509" s="108" t="s">
        <v>145</v>
      </c>
      <c r="Z509" s="124" t="s">
        <v>93</v>
      </c>
      <c r="AA509" s="125">
        <v>0.76</v>
      </c>
      <c r="AB509" s="126">
        <f t="shared" si="109"/>
        <v>221155.33091675214</v>
      </c>
      <c r="AC509" s="126">
        <f t="shared" si="110"/>
        <v>148326.16</v>
      </c>
      <c r="AD509" s="127">
        <f t="shared" si="111"/>
        <v>113.19628</v>
      </c>
      <c r="AE509" s="139"/>
    </row>
    <row r="510" spans="1:31" s="112" customFormat="1" x14ac:dyDescent="0.2">
      <c r="A510" s="108" t="s">
        <v>167</v>
      </c>
      <c r="B510" s="114" t="s">
        <v>4</v>
      </c>
      <c r="C510" s="108" t="s">
        <v>98</v>
      </c>
      <c r="D510" s="156">
        <v>22150202008</v>
      </c>
      <c r="E510" s="157" t="s">
        <v>42</v>
      </c>
      <c r="F510" s="157" t="s">
        <v>99</v>
      </c>
      <c r="G510" s="158" t="s">
        <v>44</v>
      </c>
      <c r="H510" s="157">
        <v>2024</v>
      </c>
      <c r="I510" s="108">
        <v>12</v>
      </c>
      <c r="J510" s="159">
        <v>45660</v>
      </c>
      <c r="K510" s="160">
        <v>0.5</v>
      </c>
      <c r="L510" s="119">
        <v>0.1278</v>
      </c>
      <c r="M510" s="119">
        <v>0.15579999999999999</v>
      </c>
      <c r="N510" s="119">
        <v>0</v>
      </c>
      <c r="O510" s="119">
        <f t="shared" si="107"/>
        <v>0</v>
      </c>
      <c r="P510" s="120">
        <v>1</v>
      </c>
      <c r="Q510" s="119">
        <f t="shared" si="108"/>
        <v>0.1278</v>
      </c>
      <c r="R510" s="104">
        <v>76000</v>
      </c>
      <c r="S510" s="105">
        <v>1326057</v>
      </c>
      <c r="T510" s="149">
        <f>98000+12600</f>
        <v>110600</v>
      </c>
      <c r="U510" s="141">
        <v>79347.604000000007</v>
      </c>
      <c r="V510" s="167" t="s">
        <v>100</v>
      </c>
      <c r="W510" s="108"/>
      <c r="X510" s="108">
        <v>0.76</v>
      </c>
      <c r="Y510" s="108" t="s">
        <v>145</v>
      </c>
      <c r="Z510" s="108"/>
      <c r="AA510" s="125"/>
      <c r="AB510" s="126">
        <f t="shared" si="109"/>
        <v>11840.8</v>
      </c>
      <c r="AC510" s="126">
        <f t="shared" si="110"/>
        <v>0</v>
      </c>
      <c r="AD510" s="127">
        <f t="shared" si="111"/>
        <v>57.76</v>
      </c>
      <c r="AE510" s="139"/>
    </row>
    <row r="511" spans="1:31" s="112" customFormat="1" x14ac:dyDescent="0.2">
      <c r="A511" s="108" t="s">
        <v>167</v>
      </c>
      <c r="B511" s="114" t="s">
        <v>4</v>
      </c>
      <c r="C511" s="108" t="s">
        <v>101</v>
      </c>
      <c r="D511" s="156">
        <v>22150202017</v>
      </c>
      <c r="E511" s="157" t="s">
        <v>42</v>
      </c>
      <c r="F511" s="157" t="s">
        <v>99</v>
      </c>
      <c r="G511" s="158" t="s">
        <v>44</v>
      </c>
      <c r="H511" s="157">
        <v>2024</v>
      </c>
      <c r="I511" s="108">
        <v>12</v>
      </c>
      <c r="J511" s="159">
        <v>45660</v>
      </c>
      <c r="K511" s="160">
        <v>0.4</v>
      </c>
      <c r="L511" s="119">
        <v>0.17249999999999999</v>
      </c>
      <c r="M511" s="119">
        <v>0.41749999999999998</v>
      </c>
      <c r="N511" s="119">
        <v>0</v>
      </c>
      <c r="O511" s="119">
        <f t="shared" si="107"/>
        <v>0</v>
      </c>
      <c r="P511" s="120">
        <v>1</v>
      </c>
      <c r="Q511" s="119">
        <f t="shared" si="108"/>
        <v>0.17249999999999999</v>
      </c>
      <c r="R511" s="104">
        <v>29470</v>
      </c>
      <c r="S511" s="105">
        <v>1083317</v>
      </c>
      <c r="T511" s="149">
        <v>98000</v>
      </c>
      <c r="U511" s="141">
        <v>-114228.065</v>
      </c>
      <c r="V511" s="167" t="s">
        <v>102</v>
      </c>
      <c r="W511" s="108"/>
      <c r="X511" s="108">
        <v>1.17</v>
      </c>
      <c r="Y511" s="108" t="s">
        <v>145</v>
      </c>
      <c r="Z511" s="108"/>
      <c r="AA511" s="125"/>
      <c r="AB511" s="126">
        <f t="shared" si="109"/>
        <v>12303.725</v>
      </c>
      <c r="AC511" s="126">
        <f t="shared" si="110"/>
        <v>0</v>
      </c>
      <c r="AD511" s="127">
        <f t="shared" si="111"/>
        <v>34.479900000000001</v>
      </c>
      <c r="AE511" s="139"/>
    </row>
    <row r="512" spans="1:31" s="112" customFormat="1" x14ac:dyDescent="0.2">
      <c r="A512" s="108" t="s">
        <v>167</v>
      </c>
      <c r="B512" s="114" t="s">
        <v>4</v>
      </c>
      <c r="C512" s="108" t="s">
        <v>103</v>
      </c>
      <c r="D512" s="156">
        <v>22150202009</v>
      </c>
      <c r="E512" s="157" t="s">
        <v>42</v>
      </c>
      <c r="F512" s="157" t="s">
        <v>91</v>
      </c>
      <c r="G512" s="158" t="s">
        <v>44</v>
      </c>
      <c r="H512" s="157">
        <v>2024</v>
      </c>
      <c r="I512" s="108">
        <v>12</v>
      </c>
      <c r="J512" s="159">
        <v>45660</v>
      </c>
      <c r="K512" s="160">
        <v>0.5</v>
      </c>
      <c r="L512" s="119">
        <v>0.1285</v>
      </c>
      <c r="M512" s="119">
        <v>0.1565</v>
      </c>
      <c r="N512" s="119">
        <v>0</v>
      </c>
      <c r="O512" s="119">
        <f t="shared" si="107"/>
        <v>0</v>
      </c>
      <c r="P512" s="120">
        <v>1</v>
      </c>
      <c r="Q512" s="119">
        <f t="shared" si="108"/>
        <v>0.1285</v>
      </c>
      <c r="R512" s="104">
        <v>266600</v>
      </c>
      <c r="S512" s="105">
        <v>2877540</v>
      </c>
      <c r="T512" s="149">
        <f>98000</f>
        <v>98000</v>
      </c>
      <c r="U512" s="141">
        <v>50569.68</v>
      </c>
      <c r="V512" s="167" t="s">
        <v>152</v>
      </c>
      <c r="W512" s="108"/>
      <c r="X512" s="108">
        <v>0.69499999999999995</v>
      </c>
      <c r="Y512" s="168" t="s">
        <v>153</v>
      </c>
      <c r="Z512" s="108"/>
      <c r="AA512" s="125"/>
      <c r="AB512" s="126">
        <f t="shared" si="109"/>
        <v>41722.9</v>
      </c>
      <c r="AC512" s="126">
        <f t="shared" si="110"/>
        <v>0</v>
      </c>
      <c r="AD512" s="127">
        <f t="shared" si="111"/>
        <v>185.28700000000001</v>
      </c>
      <c r="AE512" s="139"/>
    </row>
    <row r="513" spans="1:31" s="112" customFormat="1" x14ac:dyDescent="0.2">
      <c r="A513" s="108" t="s">
        <v>167</v>
      </c>
      <c r="B513" s="114" t="s">
        <v>4</v>
      </c>
      <c r="C513" s="108" t="s">
        <v>104</v>
      </c>
      <c r="D513" s="156">
        <v>22150202021</v>
      </c>
      <c r="E513" s="157" t="s">
        <v>42</v>
      </c>
      <c r="F513" s="157" t="s">
        <v>91</v>
      </c>
      <c r="G513" s="158" t="s">
        <v>44</v>
      </c>
      <c r="H513" s="157">
        <v>2024</v>
      </c>
      <c r="I513" s="108">
        <v>12</v>
      </c>
      <c r="J513" s="159">
        <v>45660</v>
      </c>
      <c r="K513" s="160">
        <v>0.6</v>
      </c>
      <c r="L513" s="119">
        <v>2.5636999999999999</v>
      </c>
      <c r="M513" s="119">
        <v>2.7518227149358401</v>
      </c>
      <c r="N513" s="119">
        <v>0</v>
      </c>
      <c r="O513" s="119">
        <f t="shared" si="107"/>
        <v>0</v>
      </c>
      <c r="P513" s="120">
        <v>1</v>
      </c>
      <c r="Q513" s="119">
        <f t="shared" si="108"/>
        <v>2.5636999999999999</v>
      </c>
      <c r="R513" s="104">
        <v>181278</v>
      </c>
      <c r="S513" s="105">
        <v>2720727</v>
      </c>
      <c r="T513" s="149">
        <f>200100</f>
        <v>200100</v>
      </c>
      <c r="U513" s="141">
        <v>-415369.91450000001</v>
      </c>
      <c r="V513" s="167" t="s">
        <v>169</v>
      </c>
      <c r="W513" s="108"/>
      <c r="X513" s="108">
        <v>3.41</v>
      </c>
      <c r="Y513" s="154" t="s">
        <v>153</v>
      </c>
      <c r="Z513" s="124" t="s">
        <v>93</v>
      </c>
      <c r="AA513" s="125">
        <v>1.76</v>
      </c>
      <c r="AB513" s="126">
        <f t="shared" si="109"/>
        <v>498844.91811813921</v>
      </c>
      <c r="AC513" s="126">
        <f t="shared" si="110"/>
        <v>319049.28000000003</v>
      </c>
      <c r="AD513" s="127">
        <f t="shared" si="111"/>
        <v>618.15797999999995</v>
      </c>
      <c r="AE513" s="139"/>
    </row>
    <row r="514" spans="1:31" s="112" customFormat="1" x14ac:dyDescent="0.2">
      <c r="A514" s="108" t="s">
        <v>167</v>
      </c>
      <c r="B514" s="114" t="s">
        <v>4</v>
      </c>
      <c r="C514" s="108" t="s">
        <v>106</v>
      </c>
      <c r="D514" s="156">
        <v>22150202018</v>
      </c>
      <c r="E514" s="157" t="s">
        <v>42</v>
      </c>
      <c r="F514" s="157" t="s">
        <v>91</v>
      </c>
      <c r="G514" s="158" t="s">
        <v>44</v>
      </c>
      <c r="H514" s="157">
        <v>2024</v>
      </c>
      <c r="I514" s="108">
        <v>12</v>
      </c>
      <c r="J514" s="159">
        <v>45660</v>
      </c>
      <c r="K514" s="160">
        <v>0.4</v>
      </c>
      <c r="L514" s="119">
        <v>0.1608</v>
      </c>
      <c r="M514" s="119">
        <v>0.1958</v>
      </c>
      <c r="N514" s="119">
        <v>0</v>
      </c>
      <c r="O514" s="119">
        <f t="shared" si="107"/>
        <v>0</v>
      </c>
      <c r="P514" s="120">
        <v>1</v>
      </c>
      <c r="Q514" s="119">
        <f t="shared" si="108"/>
        <v>0.1608</v>
      </c>
      <c r="R514" s="104">
        <v>287900</v>
      </c>
      <c r="S514" s="105">
        <v>3043309</v>
      </c>
      <c r="T514" s="149">
        <f>98000</f>
        <v>98000</v>
      </c>
      <c r="U514" s="141">
        <v>36997.589999999997</v>
      </c>
      <c r="V514" s="167" t="s">
        <v>107</v>
      </c>
      <c r="W514" s="108"/>
      <c r="X514" s="108">
        <v>1.1200000000000001</v>
      </c>
      <c r="Y514" s="108" t="s">
        <v>145</v>
      </c>
      <c r="Z514" s="108"/>
      <c r="AA514" s="125">
        <v>0</v>
      </c>
      <c r="AB514" s="126">
        <f t="shared" si="109"/>
        <v>56370.82</v>
      </c>
      <c r="AC514" s="126">
        <f t="shared" si="110"/>
        <v>0</v>
      </c>
      <c r="AD514" s="127">
        <f t="shared" si="111"/>
        <v>322.44800000000004</v>
      </c>
      <c r="AE514" s="139"/>
    </row>
    <row r="515" spans="1:31" s="112" customFormat="1" x14ac:dyDescent="0.2">
      <c r="A515" s="108" t="s">
        <v>167</v>
      </c>
      <c r="B515" s="114" t="s">
        <v>4</v>
      </c>
      <c r="C515" s="108" t="s">
        <v>108</v>
      </c>
      <c r="D515" s="156">
        <v>22150202007</v>
      </c>
      <c r="E515" s="157" t="s">
        <v>42</v>
      </c>
      <c r="F515" s="157" t="s">
        <v>109</v>
      </c>
      <c r="G515" s="158" t="s">
        <v>44</v>
      </c>
      <c r="H515" s="157">
        <v>2024</v>
      </c>
      <c r="I515" s="108">
        <v>12</v>
      </c>
      <c r="J515" s="159">
        <v>45660</v>
      </c>
      <c r="K515" s="160">
        <v>0.5</v>
      </c>
      <c r="L515" s="119">
        <v>0.122757142857143</v>
      </c>
      <c r="M515" s="119">
        <v>0.16</v>
      </c>
      <c r="N515" s="119">
        <v>0</v>
      </c>
      <c r="O515" s="119">
        <f t="shared" si="107"/>
        <v>0</v>
      </c>
      <c r="P515" s="120">
        <v>1</v>
      </c>
      <c r="Q515" s="119">
        <f t="shared" si="108"/>
        <v>0.122757142857143</v>
      </c>
      <c r="R515" s="104">
        <v>255000</v>
      </c>
      <c r="S515" s="105">
        <v>3446785</v>
      </c>
      <c r="T515" s="149">
        <v>130350</v>
      </c>
      <c r="U515" s="141">
        <v>47342.226199999997</v>
      </c>
      <c r="V515" s="167" t="s">
        <v>100</v>
      </c>
      <c r="W515" s="108"/>
      <c r="X515" s="108">
        <v>0.52</v>
      </c>
      <c r="Y515" s="108" t="s">
        <v>145</v>
      </c>
      <c r="Z515" s="108"/>
      <c r="AA515" s="125"/>
      <c r="AB515" s="126">
        <f t="shared" si="109"/>
        <v>40800</v>
      </c>
      <c r="AC515" s="126">
        <f t="shared" si="110"/>
        <v>0</v>
      </c>
      <c r="AD515" s="127">
        <f t="shared" si="111"/>
        <v>132.6</v>
      </c>
      <c r="AE515" s="139"/>
    </row>
    <row r="516" spans="1:31" s="112" customFormat="1" x14ac:dyDescent="0.2">
      <c r="A516" s="108" t="s">
        <v>110</v>
      </c>
      <c r="B516" s="114" t="s">
        <v>4</v>
      </c>
      <c r="C516" s="108" t="s">
        <v>98</v>
      </c>
      <c r="D516" s="156">
        <v>23590202001</v>
      </c>
      <c r="E516" s="157" t="s">
        <v>42</v>
      </c>
      <c r="F516" s="157" t="s">
        <v>111</v>
      </c>
      <c r="G516" s="158" t="s">
        <v>44</v>
      </c>
      <c r="H516" s="157">
        <v>2024</v>
      </c>
      <c r="I516" s="108">
        <v>12</v>
      </c>
      <c r="J516" s="159">
        <v>45660</v>
      </c>
      <c r="K516" s="160">
        <v>0.5</v>
      </c>
      <c r="L516" s="119">
        <v>0.125588670602168</v>
      </c>
      <c r="M516" s="119">
        <v>0.15358867060216799</v>
      </c>
      <c r="N516" s="119">
        <v>0</v>
      </c>
      <c r="O516" s="119">
        <f t="shared" si="107"/>
        <v>0</v>
      </c>
      <c r="P516" s="120">
        <v>1</v>
      </c>
      <c r="Q516" s="119">
        <f t="shared" si="108"/>
        <v>0.125588670602168</v>
      </c>
      <c r="R516" s="104">
        <v>238750</v>
      </c>
      <c r="S516" s="105">
        <v>2270948</v>
      </c>
      <c r="T516" s="149">
        <v>98000</v>
      </c>
      <c r="U516" s="141">
        <v>63491.96</v>
      </c>
      <c r="V516" s="167" t="s">
        <v>112</v>
      </c>
      <c r="W516" s="108"/>
      <c r="X516" s="108">
        <v>0.7</v>
      </c>
      <c r="Y516" s="108" t="s">
        <v>145</v>
      </c>
      <c r="Z516" s="108"/>
      <c r="AA516" s="125"/>
      <c r="AB516" s="126">
        <f t="shared" si="109"/>
        <v>36669.295106267607</v>
      </c>
      <c r="AC516" s="126">
        <f t="shared" si="110"/>
        <v>0</v>
      </c>
      <c r="AD516" s="127">
        <f t="shared" si="111"/>
        <v>167.125</v>
      </c>
      <c r="AE516" s="139"/>
    </row>
    <row r="517" spans="1:31" s="112" customFormat="1" ht="24.75" x14ac:dyDescent="0.2">
      <c r="A517" s="108" t="s">
        <v>110</v>
      </c>
      <c r="B517" s="114" t="s">
        <v>4</v>
      </c>
      <c r="C517" s="108" t="s">
        <v>101</v>
      </c>
      <c r="D517" s="156">
        <v>23480202015</v>
      </c>
      <c r="E517" s="157" t="s">
        <v>42</v>
      </c>
      <c r="F517" s="157" t="s">
        <v>113</v>
      </c>
      <c r="G517" s="158" t="s">
        <v>44</v>
      </c>
      <c r="H517" s="157">
        <v>2024</v>
      </c>
      <c r="I517" s="108">
        <v>12</v>
      </c>
      <c r="J517" s="159">
        <v>45660</v>
      </c>
      <c r="K517" s="160">
        <v>0.4</v>
      </c>
      <c r="L517" s="119">
        <v>0.27566008648311202</v>
      </c>
      <c r="M517" s="119">
        <v>0.353993419816445</v>
      </c>
      <c r="N517" s="119">
        <v>0</v>
      </c>
      <c r="O517" s="119">
        <f t="shared" si="107"/>
        <v>0</v>
      </c>
      <c r="P517" s="120">
        <v>1</v>
      </c>
      <c r="Q517" s="119">
        <f t="shared" si="108"/>
        <v>0.27566008648311202</v>
      </c>
      <c r="R517" s="104">
        <v>131220</v>
      </c>
      <c r="S517" s="105">
        <v>1684756</v>
      </c>
      <c r="T517" s="149">
        <v>188000</v>
      </c>
      <c r="U517" s="141">
        <v>126964.54670000001</v>
      </c>
      <c r="V517" s="167" t="s">
        <v>170</v>
      </c>
      <c r="W517" s="108"/>
      <c r="X517" s="108">
        <v>1.72</v>
      </c>
      <c r="Y517" s="108" t="s">
        <v>145</v>
      </c>
      <c r="Z517" s="108"/>
      <c r="AA517" s="125"/>
      <c r="AB517" s="126">
        <f t="shared" si="109"/>
        <v>46451.016548313914</v>
      </c>
      <c r="AC517" s="126">
        <f t="shared" si="110"/>
        <v>0</v>
      </c>
      <c r="AD517" s="127">
        <f t="shared" si="111"/>
        <v>225.69839999999999</v>
      </c>
      <c r="AE517" s="139"/>
    </row>
    <row r="518" spans="1:31" s="112" customFormat="1" x14ac:dyDescent="0.2">
      <c r="A518" s="108" t="s">
        <v>110</v>
      </c>
      <c r="B518" s="114" t="s">
        <v>4</v>
      </c>
      <c r="C518" s="108" t="s">
        <v>115</v>
      </c>
      <c r="D518" s="156">
        <v>23480202012</v>
      </c>
      <c r="E518" s="157" t="s">
        <v>42</v>
      </c>
      <c r="F518" s="157" t="s">
        <v>116</v>
      </c>
      <c r="G518" s="158" t="s">
        <v>44</v>
      </c>
      <c r="H518" s="157">
        <v>2024</v>
      </c>
      <c r="I518" s="108">
        <v>12</v>
      </c>
      <c r="J518" s="159">
        <v>45660</v>
      </c>
      <c r="K518" s="160">
        <v>0.4</v>
      </c>
      <c r="L518" s="119">
        <f>M518-N518</f>
        <v>0.80865388388102988</v>
      </c>
      <c r="M518" s="119">
        <v>1.0756538838810299</v>
      </c>
      <c r="N518" s="119">
        <v>0.26700000000000002</v>
      </c>
      <c r="O518" s="119">
        <f t="shared" si="107"/>
        <v>0.10680000000000001</v>
      </c>
      <c r="P518" s="120">
        <v>1</v>
      </c>
      <c r="Q518" s="119">
        <f t="shared" si="108"/>
        <v>0.80865388388102988</v>
      </c>
      <c r="R518" s="104">
        <v>37970</v>
      </c>
      <c r="S518" s="105">
        <v>863171</v>
      </c>
      <c r="T518" s="149">
        <v>640000</v>
      </c>
      <c r="U518" s="141">
        <f t="shared" ref="U518:U522" si="114">T518-N518*S518</f>
        <v>409533.34299999999</v>
      </c>
      <c r="V518" s="167" t="s">
        <v>117</v>
      </c>
      <c r="W518" s="108"/>
      <c r="X518" s="108">
        <v>5.75</v>
      </c>
      <c r="Y518" s="108" t="s">
        <v>145</v>
      </c>
      <c r="Z518" s="108"/>
      <c r="AA518" s="125"/>
      <c r="AB518" s="126">
        <f t="shared" si="109"/>
        <v>40842.577970962702</v>
      </c>
      <c r="AC518" s="126">
        <f t="shared" si="110"/>
        <v>0</v>
      </c>
      <c r="AD518" s="127">
        <f t="shared" si="111"/>
        <v>218.32749999999999</v>
      </c>
      <c r="AE518" s="139"/>
    </row>
    <row r="519" spans="1:31" s="112" customFormat="1" ht="25.5" x14ac:dyDescent="0.2">
      <c r="A519" s="108" t="s">
        <v>110</v>
      </c>
      <c r="B519" s="114" t="s">
        <v>4</v>
      </c>
      <c r="C519" s="108" t="s">
        <v>118</v>
      </c>
      <c r="D519" s="156">
        <v>23480202005</v>
      </c>
      <c r="E519" s="157" t="s">
        <v>42</v>
      </c>
      <c r="F519" s="157" t="s">
        <v>119</v>
      </c>
      <c r="G519" s="158" t="s">
        <v>44</v>
      </c>
      <c r="H519" s="157">
        <v>2024</v>
      </c>
      <c r="I519" s="108">
        <v>12</v>
      </c>
      <c r="J519" s="159">
        <v>45660</v>
      </c>
      <c r="K519" s="160">
        <v>0.6</v>
      </c>
      <c r="L519" s="119">
        <f t="shared" ref="L519:L522" si="115">M519-N519</f>
        <v>0.61243323981863296</v>
      </c>
      <c r="M519" s="119">
        <v>0.790433239818633</v>
      </c>
      <c r="N519" s="119">
        <v>0.17799999999999999</v>
      </c>
      <c r="O519" s="119">
        <f t="shared" si="107"/>
        <v>0.10679999999999999</v>
      </c>
      <c r="P519" s="120">
        <v>1</v>
      </c>
      <c r="Q519" s="119">
        <f t="shared" si="108"/>
        <v>0.61243323981863296</v>
      </c>
      <c r="R519" s="104">
        <v>123446</v>
      </c>
      <c r="S519" s="105">
        <v>1612466</v>
      </c>
      <c r="T519" s="149">
        <v>640000</v>
      </c>
      <c r="U519" s="141">
        <f t="shared" si="114"/>
        <v>352981.05200000003</v>
      </c>
      <c r="V519" s="167" t="s">
        <v>120</v>
      </c>
      <c r="W519" s="108"/>
      <c r="X519" s="108">
        <v>3.27</v>
      </c>
      <c r="Y519" s="108" t="s">
        <v>145</v>
      </c>
      <c r="Z519" s="108"/>
      <c r="AA519" s="125"/>
      <c r="AB519" s="126">
        <f t="shared" si="109"/>
        <v>97575.821722650973</v>
      </c>
      <c r="AC519" s="126">
        <f t="shared" si="110"/>
        <v>0</v>
      </c>
      <c r="AD519" s="127">
        <f t="shared" si="111"/>
        <v>403.66841999999997</v>
      </c>
      <c r="AE519" s="139"/>
    </row>
    <row r="520" spans="1:31" s="112" customFormat="1" x14ac:dyDescent="0.2">
      <c r="A520" s="108" t="s">
        <v>110</v>
      </c>
      <c r="B520" s="114" t="s">
        <v>4</v>
      </c>
      <c r="C520" s="108" t="s">
        <v>121</v>
      </c>
      <c r="D520" s="156">
        <v>23480202011</v>
      </c>
      <c r="E520" s="157" t="s">
        <v>42</v>
      </c>
      <c r="F520" s="157" t="s">
        <v>116</v>
      </c>
      <c r="G520" s="158" t="s">
        <v>44</v>
      </c>
      <c r="H520" s="157">
        <v>2024</v>
      </c>
      <c r="I520" s="108">
        <v>12</v>
      </c>
      <c r="J520" s="159">
        <v>45660</v>
      </c>
      <c r="K520" s="160">
        <v>0.5</v>
      </c>
      <c r="L520" s="119">
        <f t="shared" si="115"/>
        <v>0.29381419521769497</v>
      </c>
      <c r="M520" s="119">
        <v>0.41711419521769499</v>
      </c>
      <c r="N520" s="119">
        <v>0.12330000000000001</v>
      </c>
      <c r="O520" s="119">
        <f t="shared" si="107"/>
        <v>6.1650000000000003E-2</v>
      </c>
      <c r="P520" s="120">
        <v>1</v>
      </c>
      <c r="Q520" s="119">
        <f t="shared" si="108"/>
        <v>0.29381419521769497</v>
      </c>
      <c r="R520" s="104">
        <v>0</v>
      </c>
      <c r="S520" s="105">
        <v>1173935</v>
      </c>
      <c r="T520" s="149">
        <v>370000</v>
      </c>
      <c r="U520" s="141">
        <f t="shared" si="114"/>
        <v>225253.81449999998</v>
      </c>
      <c r="V520" s="167" t="s">
        <v>107</v>
      </c>
      <c r="W520" s="108"/>
      <c r="X520" s="108">
        <v>1.78</v>
      </c>
      <c r="Y520" s="108" t="s">
        <v>145</v>
      </c>
      <c r="Z520" s="108"/>
      <c r="AA520" s="125"/>
      <c r="AB520" s="126">
        <f t="shared" si="109"/>
        <v>0</v>
      </c>
      <c r="AC520" s="126">
        <f t="shared" si="110"/>
        <v>0</v>
      </c>
      <c r="AD520" s="127">
        <f t="shared" si="111"/>
        <v>0</v>
      </c>
      <c r="AE520" s="139"/>
    </row>
    <row r="521" spans="1:31" s="112" customFormat="1" x14ac:dyDescent="0.2">
      <c r="A521" s="108" t="s">
        <v>110</v>
      </c>
      <c r="B521" s="114" t="s">
        <v>4</v>
      </c>
      <c r="C521" s="108" t="s">
        <v>66</v>
      </c>
      <c r="D521" s="156">
        <v>23480202017</v>
      </c>
      <c r="E521" s="157" t="s">
        <v>42</v>
      </c>
      <c r="F521" s="157" t="s">
        <v>116</v>
      </c>
      <c r="G521" s="158" t="s">
        <v>44</v>
      </c>
      <c r="H521" s="157">
        <v>2024</v>
      </c>
      <c r="I521" s="108">
        <v>12</v>
      </c>
      <c r="J521" s="159">
        <v>45660</v>
      </c>
      <c r="K521" s="160">
        <v>0.5</v>
      </c>
      <c r="L521" s="119">
        <f t="shared" si="115"/>
        <v>1.0629000000000002</v>
      </c>
      <c r="M521" s="119">
        <v>1.1322000000000001</v>
      </c>
      <c r="N521" s="119">
        <v>6.93E-2</v>
      </c>
      <c r="O521" s="119">
        <f t="shared" si="107"/>
        <v>3.465E-2</v>
      </c>
      <c r="P521" s="120">
        <v>1</v>
      </c>
      <c r="Q521" s="119">
        <f t="shared" si="108"/>
        <v>1.0629000000000002</v>
      </c>
      <c r="R521" s="104">
        <v>120098</v>
      </c>
      <c r="S521" s="105">
        <v>1133524</v>
      </c>
      <c r="T521" s="149">
        <f>208000+207000+35513+26171+7330</f>
        <v>484014</v>
      </c>
      <c r="U521" s="141">
        <f t="shared" si="114"/>
        <v>405460.7868</v>
      </c>
      <c r="V521" s="167" t="s">
        <v>154</v>
      </c>
      <c r="W521" s="108"/>
      <c r="X521" s="108">
        <v>2.38</v>
      </c>
      <c r="Y521" s="108" t="s">
        <v>145</v>
      </c>
      <c r="Z521" s="124" t="s">
        <v>93</v>
      </c>
      <c r="AA521" s="125">
        <v>0.8</v>
      </c>
      <c r="AB521" s="126">
        <f t="shared" si="109"/>
        <v>135974.95560000002</v>
      </c>
      <c r="AC521" s="126">
        <f t="shared" si="110"/>
        <v>96078.400000000009</v>
      </c>
      <c r="AD521" s="127">
        <f t="shared" si="111"/>
        <v>285.83323999999999</v>
      </c>
      <c r="AE521" s="139"/>
    </row>
    <row r="522" spans="1:31" s="112" customFormat="1" ht="38.25" x14ac:dyDescent="0.2">
      <c r="A522" s="108" t="s">
        <v>110</v>
      </c>
      <c r="B522" s="114" t="s">
        <v>4</v>
      </c>
      <c r="C522" s="108" t="s">
        <v>150</v>
      </c>
      <c r="D522" s="156">
        <v>23480202018</v>
      </c>
      <c r="E522" s="157" t="s">
        <v>42</v>
      </c>
      <c r="F522" s="157" t="s">
        <v>116</v>
      </c>
      <c r="G522" s="158" t="s">
        <v>44</v>
      </c>
      <c r="H522" s="157">
        <v>2024</v>
      </c>
      <c r="I522" s="108">
        <v>12</v>
      </c>
      <c r="J522" s="159">
        <v>45660</v>
      </c>
      <c r="K522" s="160">
        <v>0.4</v>
      </c>
      <c r="L522" s="119">
        <f t="shared" si="115"/>
        <v>0.41386255600688004</v>
      </c>
      <c r="M522" s="119">
        <v>0.54316255600688002</v>
      </c>
      <c r="N522" s="119">
        <v>0.1293</v>
      </c>
      <c r="O522" s="119">
        <f t="shared" si="107"/>
        <v>5.1720000000000002E-2</v>
      </c>
      <c r="P522" s="120">
        <v>1</v>
      </c>
      <c r="Q522" s="119">
        <f t="shared" si="108"/>
        <v>0.41386255600688004</v>
      </c>
      <c r="R522" s="104">
        <v>70033</v>
      </c>
      <c r="S522" s="105">
        <v>545455</v>
      </c>
      <c r="T522" s="149">
        <f>388000+53870+10859</f>
        <v>452729</v>
      </c>
      <c r="U522" s="141">
        <f t="shared" si="114"/>
        <v>382201.66850000003</v>
      </c>
      <c r="V522" s="167" t="s">
        <v>171</v>
      </c>
      <c r="W522" s="108"/>
      <c r="X522" s="108">
        <v>3.67</v>
      </c>
      <c r="Y522" s="108" t="s">
        <v>145</v>
      </c>
      <c r="Z522" s="108"/>
      <c r="AA522" s="125"/>
      <c r="AB522" s="126">
        <f t="shared" si="109"/>
        <v>38039.303284829832</v>
      </c>
      <c r="AC522" s="126">
        <f t="shared" si="110"/>
        <v>0</v>
      </c>
      <c r="AD522" s="127">
        <f t="shared" si="111"/>
        <v>257.02110999999996</v>
      </c>
      <c r="AE522" s="139"/>
    </row>
    <row r="523" spans="1:31" s="112" customFormat="1" ht="25.5" x14ac:dyDescent="0.2">
      <c r="A523" s="171" t="s">
        <v>110</v>
      </c>
      <c r="B523" s="172" t="s">
        <v>4</v>
      </c>
      <c r="C523" s="108" t="s">
        <v>98</v>
      </c>
      <c r="D523" s="171">
        <v>23590202001</v>
      </c>
      <c r="E523" s="171" t="s">
        <v>42</v>
      </c>
      <c r="F523" s="171" t="s">
        <v>116</v>
      </c>
      <c r="G523" s="171" t="s">
        <v>44</v>
      </c>
      <c r="H523" s="171">
        <v>2024</v>
      </c>
      <c r="I523" s="171">
        <v>12</v>
      </c>
      <c r="J523" s="159">
        <v>45660</v>
      </c>
      <c r="K523" s="173">
        <v>0.4</v>
      </c>
      <c r="L523" s="171"/>
      <c r="M523" s="171"/>
      <c r="N523" s="171"/>
      <c r="O523" s="172"/>
      <c r="P523" s="171"/>
      <c r="Q523" s="172"/>
      <c r="R523" s="172"/>
      <c r="S523" s="172"/>
      <c r="T523" s="149">
        <v>381308</v>
      </c>
      <c r="U523" s="141">
        <v>381309</v>
      </c>
      <c r="V523" s="174"/>
      <c r="W523" s="171"/>
      <c r="X523" s="171"/>
      <c r="Y523" s="172"/>
      <c r="Z523" s="171"/>
      <c r="AA523" s="174"/>
      <c r="AB523" s="126"/>
      <c r="AC523" s="126"/>
      <c r="AD523" s="127"/>
      <c r="AE523" s="174" t="s">
        <v>172</v>
      </c>
    </row>
    <row r="524" spans="1:31" s="112" customFormat="1" x14ac:dyDescent="0.2">
      <c r="A524" s="108" t="s">
        <v>124</v>
      </c>
      <c r="B524" s="114" t="s">
        <v>1</v>
      </c>
      <c r="C524" s="108" t="s">
        <v>84</v>
      </c>
      <c r="D524" s="156">
        <v>130010390000214</v>
      </c>
      <c r="E524" s="157" t="s">
        <v>42</v>
      </c>
      <c r="F524" s="157" t="s">
        <v>60</v>
      </c>
      <c r="G524" s="158" t="s">
        <v>44</v>
      </c>
      <c r="H524" s="157">
        <v>2024</v>
      </c>
      <c r="I524" s="108">
        <v>12</v>
      </c>
      <c r="J524" s="159">
        <v>45660</v>
      </c>
      <c r="K524" s="160">
        <v>0.5</v>
      </c>
      <c r="L524" s="119">
        <v>0.25</v>
      </c>
      <c r="M524" s="119">
        <v>0.28000000000000003</v>
      </c>
      <c r="N524" s="119">
        <v>0.03</v>
      </c>
      <c r="O524" s="119">
        <f t="shared" si="107"/>
        <v>1.4999999999999999E-2</v>
      </c>
      <c r="P524" s="120">
        <v>1</v>
      </c>
      <c r="Q524" s="119">
        <f t="shared" si="108"/>
        <v>0.25</v>
      </c>
      <c r="R524" s="104">
        <v>5832730</v>
      </c>
      <c r="S524" s="105">
        <v>490525354</v>
      </c>
      <c r="T524" s="175">
        <f>3463988.94540042*7.15</f>
        <v>24767520.959613007</v>
      </c>
      <c r="U524" s="141">
        <v>-4947562.9400000004</v>
      </c>
      <c r="V524" s="167" t="s">
        <v>151</v>
      </c>
      <c r="W524" s="157"/>
      <c r="X524" s="157">
        <v>2.09</v>
      </c>
      <c r="Y524" s="108" t="s">
        <v>142</v>
      </c>
      <c r="Z524" s="157"/>
      <c r="AA524" s="125">
        <v>0</v>
      </c>
      <c r="AB524" s="126">
        <f t="shared" si="109"/>
        <v>1633164.4000000001</v>
      </c>
      <c r="AC524" s="126">
        <f t="shared" si="110"/>
        <v>0</v>
      </c>
      <c r="AD524" s="127">
        <f t="shared" si="111"/>
        <v>12190.405699999999</v>
      </c>
      <c r="AE524" s="157" t="s">
        <v>125</v>
      </c>
    </row>
    <row r="525" spans="1:31" s="112" customFormat="1" x14ac:dyDescent="0.2">
      <c r="A525" s="108" t="s">
        <v>124</v>
      </c>
      <c r="B525" s="114" t="s">
        <v>1</v>
      </c>
      <c r="C525" s="108" t="s">
        <v>126</v>
      </c>
      <c r="D525" s="156">
        <v>130010390000215</v>
      </c>
      <c r="E525" s="157" t="s">
        <v>42</v>
      </c>
      <c r="F525" s="157" t="s">
        <v>60</v>
      </c>
      <c r="G525" s="158" t="s">
        <v>44</v>
      </c>
      <c r="H525" s="157">
        <v>2024</v>
      </c>
      <c r="I525" s="108">
        <v>12</v>
      </c>
      <c r="J525" s="159">
        <v>45660</v>
      </c>
      <c r="K525" s="160">
        <v>0.5</v>
      </c>
      <c r="L525" s="119">
        <v>0.08</v>
      </c>
      <c r="M525" s="119">
        <v>0.09</v>
      </c>
      <c r="N525" s="119">
        <v>0.02</v>
      </c>
      <c r="O525" s="119">
        <f t="shared" si="107"/>
        <v>0.01</v>
      </c>
      <c r="P525" s="120">
        <v>1</v>
      </c>
      <c r="Q525" s="119">
        <f t="shared" si="108"/>
        <v>0.08</v>
      </c>
      <c r="R525" s="104">
        <v>5836030</v>
      </c>
      <c r="S525" s="105">
        <v>501925534</v>
      </c>
      <c r="T525" s="175">
        <f>1437831.94798769*7.15</f>
        <v>10280498.428111985</v>
      </c>
      <c r="U525" s="141">
        <v>-1785095.01</v>
      </c>
      <c r="V525" s="167" t="s">
        <v>151</v>
      </c>
      <c r="W525" s="157"/>
      <c r="X525" s="157">
        <v>0.31</v>
      </c>
      <c r="Y525" s="108" t="s">
        <v>142</v>
      </c>
      <c r="Z525" s="157"/>
      <c r="AA525" s="125">
        <v>0</v>
      </c>
      <c r="AB525" s="126">
        <f t="shared" si="109"/>
        <v>525242.69999999995</v>
      </c>
      <c r="AC525" s="126">
        <f t="shared" si="110"/>
        <v>0</v>
      </c>
      <c r="AD525" s="127">
        <f t="shared" si="111"/>
        <v>1809.1693</v>
      </c>
      <c r="AE525" s="157" t="s">
        <v>125</v>
      </c>
    </row>
    <row r="526" spans="1:31" s="112" customFormat="1" x14ac:dyDescent="0.2">
      <c r="A526" s="108" t="s">
        <v>124</v>
      </c>
      <c r="B526" s="114" t="s">
        <v>1</v>
      </c>
      <c r="C526" s="108" t="s">
        <v>128</v>
      </c>
      <c r="D526" s="156">
        <v>130010390000216</v>
      </c>
      <c r="E526" s="157" t="s">
        <v>42</v>
      </c>
      <c r="F526" s="157" t="s">
        <v>60</v>
      </c>
      <c r="G526" s="158" t="s">
        <v>44</v>
      </c>
      <c r="H526" s="157">
        <v>2024</v>
      </c>
      <c r="I526" s="108">
        <v>12</v>
      </c>
      <c r="J526" s="159">
        <v>45660</v>
      </c>
      <c r="K526" s="160">
        <v>0.5</v>
      </c>
      <c r="L526" s="119">
        <v>0.09</v>
      </c>
      <c r="M526" s="119">
        <v>0.1</v>
      </c>
      <c r="N526" s="119">
        <v>0.02</v>
      </c>
      <c r="O526" s="119">
        <f t="shared" si="107"/>
        <v>0.01</v>
      </c>
      <c r="P526" s="120">
        <v>1</v>
      </c>
      <c r="Q526" s="119">
        <f t="shared" si="108"/>
        <v>0.09</v>
      </c>
      <c r="R526" s="104">
        <v>5624030</v>
      </c>
      <c r="S526" s="105">
        <v>510067511</v>
      </c>
      <c r="T526" s="175">
        <f>1445425.20219722*7.15</f>
        <v>10334790.195710123</v>
      </c>
      <c r="U526" s="141">
        <v>-1476370.18</v>
      </c>
      <c r="V526" s="167" t="s">
        <v>151</v>
      </c>
      <c r="W526" s="157"/>
      <c r="X526" s="157">
        <v>0.5</v>
      </c>
      <c r="Y526" s="108" t="s">
        <v>142</v>
      </c>
      <c r="Z526" s="157"/>
      <c r="AA526" s="125">
        <v>0</v>
      </c>
      <c r="AB526" s="126">
        <f t="shared" si="109"/>
        <v>562403</v>
      </c>
      <c r="AC526" s="126">
        <f t="shared" si="110"/>
        <v>0</v>
      </c>
      <c r="AD526" s="127">
        <f t="shared" si="111"/>
        <v>2812.0149999999999</v>
      </c>
      <c r="AE526" s="157" t="s">
        <v>125</v>
      </c>
    </row>
    <row r="527" spans="1:31" s="112" customFormat="1" x14ac:dyDescent="0.2">
      <c r="A527" s="108" t="s">
        <v>124</v>
      </c>
      <c r="B527" s="114" t="s">
        <v>1</v>
      </c>
      <c r="C527" s="108" t="s">
        <v>130</v>
      </c>
      <c r="D527" s="156">
        <v>130010390000221</v>
      </c>
      <c r="E527" s="157" t="s">
        <v>42</v>
      </c>
      <c r="F527" s="157" t="s">
        <v>60</v>
      </c>
      <c r="G527" s="158" t="s">
        <v>44</v>
      </c>
      <c r="H527" s="157">
        <v>2024</v>
      </c>
      <c r="I527" s="108">
        <v>12</v>
      </c>
      <c r="J527" s="159">
        <v>45660</v>
      </c>
      <c r="K527" s="160">
        <v>0.5</v>
      </c>
      <c r="L527" s="119">
        <v>0.11</v>
      </c>
      <c r="M527" s="119">
        <v>0.13</v>
      </c>
      <c r="N527" s="119">
        <v>0.01</v>
      </c>
      <c r="O527" s="119">
        <f t="shared" si="107"/>
        <v>5.0000000000000001E-3</v>
      </c>
      <c r="P527" s="120">
        <v>1</v>
      </c>
      <c r="Q527" s="119">
        <f t="shared" si="108"/>
        <v>0.11</v>
      </c>
      <c r="R527" s="104">
        <v>1620000</v>
      </c>
      <c r="S527" s="105">
        <v>507347613</v>
      </c>
      <c r="T527" s="175">
        <f>728800.55983205*7.15</f>
        <v>5210924.002799158</v>
      </c>
      <c r="U527" s="141">
        <v>-1584214.22</v>
      </c>
      <c r="V527" s="186" t="s">
        <v>132</v>
      </c>
      <c r="W527" s="157"/>
      <c r="X527" s="157">
        <v>1.29</v>
      </c>
      <c r="Y527" s="157" t="s">
        <v>133</v>
      </c>
      <c r="Z527" s="157"/>
      <c r="AA527" s="125">
        <v>0</v>
      </c>
      <c r="AB527" s="126">
        <f t="shared" si="109"/>
        <v>210600</v>
      </c>
      <c r="AC527" s="126">
        <f t="shared" si="110"/>
        <v>0</v>
      </c>
      <c r="AD527" s="127">
        <f t="shared" si="111"/>
        <v>2089.8000000000002</v>
      </c>
      <c r="AE527" s="157" t="s">
        <v>125</v>
      </c>
    </row>
    <row r="528" spans="1:31" s="112" customFormat="1" x14ac:dyDescent="0.2">
      <c r="A528" s="108" t="s">
        <v>124</v>
      </c>
      <c r="B528" s="114" t="s">
        <v>1</v>
      </c>
      <c r="C528" s="108" t="s">
        <v>84</v>
      </c>
      <c r="D528" s="156">
        <v>130010390000214</v>
      </c>
      <c r="E528" s="157" t="s">
        <v>42</v>
      </c>
      <c r="F528" s="157" t="s">
        <v>60</v>
      </c>
      <c r="G528" s="158" t="s">
        <v>44</v>
      </c>
      <c r="H528" s="157">
        <v>2024</v>
      </c>
      <c r="I528" s="108">
        <v>12</v>
      </c>
      <c r="J528" s="159">
        <v>45660</v>
      </c>
      <c r="K528" s="160">
        <v>0.5</v>
      </c>
      <c r="L528" s="119">
        <v>0.25</v>
      </c>
      <c r="M528" s="119">
        <v>0.28000000000000003</v>
      </c>
      <c r="N528" s="119">
        <v>0.03</v>
      </c>
      <c r="O528" s="119">
        <v>0.02</v>
      </c>
      <c r="P528" s="120">
        <v>1</v>
      </c>
      <c r="Q528" s="119">
        <f t="shared" ref="Q528:Q591" si="116">P528*L528</f>
        <v>0.25</v>
      </c>
      <c r="R528" s="104"/>
      <c r="S528" s="105"/>
      <c r="T528" s="175">
        <v>7349092.6100000003</v>
      </c>
      <c r="U528" s="141">
        <v>7349092.6100000003</v>
      </c>
      <c r="V528" s="167" t="s">
        <v>151</v>
      </c>
      <c r="W528" s="157"/>
      <c r="X528" s="157">
        <v>2.09</v>
      </c>
      <c r="Y528" s="108" t="s">
        <v>142</v>
      </c>
      <c r="Z528" s="157"/>
      <c r="AA528" s="125">
        <v>0</v>
      </c>
      <c r="AB528" s="126">
        <f t="shared" ref="AB528:AB531" si="117">M528*R528</f>
        <v>0</v>
      </c>
      <c r="AC528" s="126">
        <f t="shared" ref="AC528:AC531" si="118">R528*AA528</f>
        <v>0</v>
      </c>
      <c r="AD528" s="127">
        <f t="shared" ref="AD528:AD531" si="119">R528*X528/1000</f>
        <v>0</v>
      </c>
      <c r="AE528" s="157" t="s">
        <v>173</v>
      </c>
    </row>
    <row r="529" spans="1:33" s="112" customFormat="1" x14ac:dyDescent="0.2">
      <c r="A529" s="108" t="s">
        <v>124</v>
      </c>
      <c r="B529" s="114" t="s">
        <v>1</v>
      </c>
      <c r="C529" s="108" t="s">
        <v>126</v>
      </c>
      <c r="D529" s="156">
        <v>130010390000215</v>
      </c>
      <c r="E529" s="157" t="s">
        <v>42</v>
      </c>
      <c r="F529" s="157" t="s">
        <v>60</v>
      </c>
      <c r="G529" s="158" t="s">
        <v>44</v>
      </c>
      <c r="H529" s="157">
        <v>2024</v>
      </c>
      <c r="I529" s="108">
        <v>12</v>
      </c>
      <c r="J529" s="159">
        <v>45660</v>
      </c>
      <c r="K529" s="160">
        <v>0.5</v>
      </c>
      <c r="L529" s="119">
        <v>0.08</v>
      </c>
      <c r="M529" s="119">
        <v>0.09</v>
      </c>
      <c r="N529" s="119">
        <v>0.02</v>
      </c>
      <c r="O529" s="119">
        <v>0.01</v>
      </c>
      <c r="P529" s="120">
        <v>1</v>
      </c>
      <c r="Q529" s="119">
        <f t="shared" si="116"/>
        <v>0.08</v>
      </c>
      <c r="R529" s="104"/>
      <c r="S529" s="105"/>
      <c r="T529" s="149">
        <v>3669841.38</v>
      </c>
      <c r="U529" s="141">
        <v>3669841.38</v>
      </c>
      <c r="V529" s="167" t="s">
        <v>151</v>
      </c>
      <c r="W529" s="157"/>
      <c r="X529" s="157">
        <v>0.31</v>
      </c>
      <c r="Y529" s="108" t="s">
        <v>142</v>
      </c>
      <c r="Z529" s="157"/>
      <c r="AA529" s="125">
        <v>0</v>
      </c>
      <c r="AB529" s="126">
        <f t="shared" si="117"/>
        <v>0</v>
      </c>
      <c r="AC529" s="126">
        <f t="shared" si="118"/>
        <v>0</v>
      </c>
      <c r="AD529" s="127">
        <f t="shared" si="119"/>
        <v>0</v>
      </c>
      <c r="AE529" s="157" t="s">
        <v>173</v>
      </c>
    </row>
    <row r="530" spans="1:33" s="53" customFormat="1" x14ac:dyDescent="0.2">
      <c r="A530" s="108" t="s">
        <v>124</v>
      </c>
      <c r="B530" s="114" t="s">
        <v>1</v>
      </c>
      <c r="C530" s="108" t="s">
        <v>128</v>
      </c>
      <c r="D530" s="156">
        <v>130010390000216</v>
      </c>
      <c r="E530" s="157" t="s">
        <v>42</v>
      </c>
      <c r="F530" s="157" t="s">
        <v>60</v>
      </c>
      <c r="G530" s="158" t="s">
        <v>44</v>
      </c>
      <c r="H530" s="157">
        <v>2024</v>
      </c>
      <c r="I530" s="108">
        <v>12</v>
      </c>
      <c r="J530" s="159">
        <v>45660</v>
      </c>
      <c r="K530" s="160">
        <v>0.5</v>
      </c>
      <c r="L530" s="119">
        <v>0.09</v>
      </c>
      <c r="M530" s="119">
        <v>0.1</v>
      </c>
      <c r="N530" s="119">
        <v>0.02</v>
      </c>
      <c r="O530" s="119">
        <v>0.01</v>
      </c>
      <c r="P530" s="120">
        <v>1</v>
      </c>
      <c r="Q530" s="119">
        <f t="shared" si="116"/>
        <v>0.09</v>
      </c>
      <c r="R530" s="104"/>
      <c r="S530" s="105"/>
      <c r="T530" s="149">
        <v>3669841.38</v>
      </c>
      <c r="U530" s="141">
        <v>3669841.38</v>
      </c>
      <c r="V530" s="167" t="s">
        <v>151</v>
      </c>
      <c r="W530" s="157"/>
      <c r="X530" s="157">
        <v>0.5</v>
      </c>
      <c r="Y530" s="108" t="s">
        <v>142</v>
      </c>
      <c r="Z530" s="157"/>
      <c r="AA530" s="125">
        <v>0</v>
      </c>
      <c r="AB530" s="126">
        <f t="shared" si="117"/>
        <v>0</v>
      </c>
      <c r="AC530" s="126">
        <f t="shared" si="118"/>
        <v>0</v>
      </c>
      <c r="AD530" s="127">
        <f t="shared" si="119"/>
        <v>0</v>
      </c>
      <c r="AE530" s="157" t="s">
        <v>173</v>
      </c>
      <c r="AF530" s="112"/>
      <c r="AG530" s="112"/>
    </row>
    <row r="531" spans="1:33" s="53" customFormat="1" x14ac:dyDescent="0.2">
      <c r="A531" s="108" t="s">
        <v>124</v>
      </c>
      <c r="B531" s="114" t="s">
        <v>1</v>
      </c>
      <c r="C531" s="108" t="s">
        <v>130</v>
      </c>
      <c r="D531" s="156">
        <v>130010390000221</v>
      </c>
      <c r="E531" s="157" t="s">
        <v>42</v>
      </c>
      <c r="F531" s="157" t="s">
        <v>60</v>
      </c>
      <c r="G531" s="158" t="s">
        <v>44</v>
      </c>
      <c r="H531" s="157">
        <v>2024</v>
      </c>
      <c r="I531" s="108">
        <v>12</v>
      </c>
      <c r="J531" s="159">
        <v>45660</v>
      </c>
      <c r="K531" s="160">
        <v>0.5</v>
      </c>
      <c r="L531" s="119">
        <v>0.11</v>
      </c>
      <c r="M531" s="119">
        <v>0.13</v>
      </c>
      <c r="N531" s="119">
        <v>0.01</v>
      </c>
      <c r="O531" s="119">
        <v>0.01</v>
      </c>
      <c r="P531" s="120">
        <v>1</v>
      </c>
      <c r="Q531" s="119">
        <f t="shared" si="116"/>
        <v>0.11</v>
      </c>
      <c r="R531" s="104"/>
      <c r="S531" s="105"/>
      <c r="T531" s="149">
        <v>2493610.17</v>
      </c>
      <c r="U531" s="141">
        <v>2493610.17</v>
      </c>
      <c r="V531" s="186" t="s">
        <v>132</v>
      </c>
      <c r="W531" s="157"/>
      <c r="X531" s="157">
        <v>1.29</v>
      </c>
      <c r="Y531" s="157" t="s">
        <v>133</v>
      </c>
      <c r="Z531" s="157"/>
      <c r="AA531" s="125">
        <v>0</v>
      </c>
      <c r="AB531" s="126">
        <f t="shared" si="117"/>
        <v>0</v>
      </c>
      <c r="AC531" s="126">
        <f t="shared" si="118"/>
        <v>0</v>
      </c>
      <c r="AD531" s="127">
        <f t="shared" si="119"/>
        <v>0</v>
      </c>
      <c r="AE531" s="157" t="s">
        <v>173</v>
      </c>
      <c r="AF531" s="112"/>
      <c r="AG531" s="112"/>
    </row>
    <row r="532" spans="1:33" s="53" customFormat="1" x14ac:dyDescent="0.2">
      <c r="A532" s="239" t="s">
        <v>159</v>
      </c>
      <c r="B532" s="240" t="s">
        <v>2</v>
      </c>
      <c r="C532" s="239" t="s">
        <v>160</v>
      </c>
      <c r="D532" s="183">
        <v>120020670049784</v>
      </c>
      <c r="E532" s="240" t="s">
        <v>42</v>
      </c>
      <c r="F532" s="240" t="s">
        <v>60</v>
      </c>
      <c r="G532" s="241" t="s">
        <v>137</v>
      </c>
      <c r="H532" s="240">
        <v>2025</v>
      </c>
      <c r="I532" s="239">
        <v>1</v>
      </c>
      <c r="J532" s="242">
        <v>45694</v>
      </c>
      <c r="K532" s="243">
        <v>0.5</v>
      </c>
      <c r="L532" s="119">
        <v>27.14</v>
      </c>
      <c r="M532" s="119">
        <v>27.14</v>
      </c>
      <c r="N532" s="119">
        <v>0</v>
      </c>
      <c r="O532" s="119">
        <f t="shared" ref="O532:O595" si="120">N532*K532</f>
        <v>0</v>
      </c>
      <c r="P532" s="240">
        <v>1</v>
      </c>
      <c r="Q532" s="119">
        <f t="shared" si="116"/>
        <v>27.14</v>
      </c>
      <c r="R532" s="216">
        <v>-4933</v>
      </c>
      <c r="S532" s="244">
        <v>1370117</v>
      </c>
      <c r="T532" s="149">
        <v>0</v>
      </c>
      <c r="U532" s="175">
        <v>0</v>
      </c>
      <c r="V532" s="186" t="s">
        <v>138</v>
      </c>
      <c r="W532" s="240" t="s">
        <v>174</v>
      </c>
      <c r="X532" s="323">
        <v>5.3</v>
      </c>
      <c r="Y532" s="157" t="s">
        <v>161</v>
      </c>
      <c r="Z532" s="157"/>
      <c r="AA532" s="125">
        <v>12.95</v>
      </c>
      <c r="AB532" s="126">
        <v>-133881.62</v>
      </c>
      <c r="AC532" s="126">
        <v>-63882.35</v>
      </c>
      <c r="AD532" s="127">
        <v>-26</v>
      </c>
      <c r="AE532" s="157"/>
    </row>
    <row r="533" spans="1:33" s="53" customFormat="1" x14ac:dyDescent="0.2">
      <c r="A533" s="239" t="s">
        <v>159</v>
      </c>
      <c r="B533" s="240" t="s">
        <v>2</v>
      </c>
      <c r="C533" s="239" t="s">
        <v>162</v>
      </c>
      <c r="D533" s="183">
        <v>120020670039294</v>
      </c>
      <c r="E533" s="240" t="s">
        <v>42</v>
      </c>
      <c r="F533" s="240" t="s">
        <v>60</v>
      </c>
      <c r="G533" s="241" t="s">
        <v>137</v>
      </c>
      <c r="H533" s="240">
        <v>2025</v>
      </c>
      <c r="I533" s="239">
        <v>1</v>
      </c>
      <c r="J533" s="242">
        <v>45694</v>
      </c>
      <c r="K533" s="243">
        <v>0.5</v>
      </c>
      <c r="L533" s="119">
        <v>27.14</v>
      </c>
      <c r="M533" s="119">
        <v>27.14</v>
      </c>
      <c r="N533" s="119">
        <v>0</v>
      </c>
      <c r="O533" s="119">
        <f t="shared" si="120"/>
        <v>0</v>
      </c>
      <c r="P533" s="240">
        <v>1</v>
      </c>
      <c r="Q533" s="119">
        <f t="shared" si="116"/>
        <v>27.14</v>
      </c>
      <c r="R533" s="217">
        <v>-1632</v>
      </c>
      <c r="S533" s="244">
        <v>1347470</v>
      </c>
      <c r="T533" s="149">
        <v>0</v>
      </c>
      <c r="U533" s="175">
        <v>0</v>
      </c>
      <c r="V533" s="186" t="s">
        <v>138</v>
      </c>
      <c r="W533" s="240" t="s">
        <v>175</v>
      </c>
      <c r="X533" s="323">
        <v>5.3</v>
      </c>
      <c r="Y533" s="157" t="s">
        <v>161</v>
      </c>
      <c r="Z533" s="157"/>
      <c r="AA533" s="125">
        <v>12.95</v>
      </c>
      <c r="AB533" s="126">
        <v>-44292.480000000003</v>
      </c>
      <c r="AC533" s="126">
        <v>-21134.400000000001</v>
      </c>
      <c r="AD533" s="127">
        <v>-9</v>
      </c>
      <c r="AE533" s="157"/>
    </row>
    <row r="534" spans="1:33" s="53" customFormat="1" x14ac:dyDescent="0.2">
      <c r="A534" s="239" t="s">
        <v>163</v>
      </c>
      <c r="B534" s="239" t="s">
        <v>2</v>
      </c>
      <c r="C534" s="239" t="s">
        <v>164</v>
      </c>
      <c r="D534" s="183" t="s">
        <v>136</v>
      </c>
      <c r="E534" s="239" t="s">
        <v>42</v>
      </c>
      <c r="F534" s="239" t="s">
        <v>60</v>
      </c>
      <c r="G534" s="241" t="s">
        <v>137</v>
      </c>
      <c r="H534" s="239">
        <v>2025</v>
      </c>
      <c r="I534" s="239">
        <v>1</v>
      </c>
      <c r="J534" s="242">
        <v>45694</v>
      </c>
      <c r="K534" s="245">
        <v>0.5</v>
      </c>
      <c r="L534" s="119">
        <v>3.46</v>
      </c>
      <c r="M534" s="119">
        <v>3.46</v>
      </c>
      <c r="N534" s="119">
        <v>0</v>
      </c>
      <c r="O534" s="119">
        <f t="shared" si="120"/>
        <v>0</v>
      </c>
      <c r="P534" s="239">
        <v>1</v>
      </c>
      <c r="Q534" s="119">
        <f t="shared" si="116"/>
        <v>3.46</v>
      </c>
      <c r="R534" s="239">
        <v>0</v>
      </c>
      <c r="S534" s="246">
        <v>3920086</v>
      </c>
      <c r="T534" s="149">
        <v>0</v>
      </c>
      <c r="U534" s="175">
        <v>0</v>
      </c>
      <c r="V534" s="186" t="s">
        <v>138</v>
      </c>
      <c r="W534" s="239"/>
      <c r="X534" s="323">
        <v>5.3</v>
      </c>
      <c r="Y534" s="157" t="s">
        <v>165</v>
      </c>
      <c r="Z534" s="157" t="s">
        <v>166</v>
      </c>
      <c r="AA534" s="125">
        <v>2.5499999999999998</v>
      </c>
      <c r="AB534" s="126">
        <v>0</v>
      </c>
      <c r="AC534" s="126">
        <v>0</v>
      </c>
      <c r="AD534" s="127">
        <v>0</v>
      </c>
      <c r="AE534" s="157"/>
    </row>
    <row r="535" spans="1:33" s="53" customFormat="1" x14ac:dyDescent="0.2">
      <c r="A535" s="182" t="s">
        <v>124</v>
      </c>
      <c r="B535" s="182" t="s">
        <v>1</v>
      </c>
      <c r="C535" s="182" t="s">
        <v>135</v>
      </c>
      <c r="D535" s="291">
        <v>130010660052557</v>
      </c>
      <c r="E535" s="182" t="s">
        <v>42</v>
      </c>
      <c r="F535" s="182" t="s">
        <v>60</v>
      </c>
      <c r="G535" s="292" t="s">
        <v>137</v>
      </c>
      <c r="H535" s="182">
        <v>2025</v>
      </c>
      <c r="I535" s="182">
        <v>1</v>
      </c>
      <c r="J535" s="273">
        <v>45694</v>
      </c>
      <c r="K535" s="293">
        <v>0.5</v>
      </c>
      <c r="L535" s="290">
        <v>0.17</v>
      </c>
      <c r="M535" s="290">
        <v>0.17</v>
      </c>
      <c r="N535" s="290">
        <v>0</v>
      </c>
      <c r="O535" s="119">
        <f t="shared" si="120"/>
        <v>0</v>
      </c>
      <c r="P535" s="239">
        <v>1</v>
      </c>
      <c r="Q535" s="119">
        <f t="shared" si="116"/>
        <v>0.17</v>
      </c>
      <c r="R535" s="217">
        <v>-1138</v>
      </c>
      <c r="S535" s="246">
        <v>155139659</v>
      </c>
      <c r="T535" s="149">
        <v>0</v>
      </c>
      <c r="U535" s="175">
        <v>0</v>
      </c>
      <c r="V535" s="186" t="s">
        <v>138</v>
      </c>
      <c r="W535" s="239" t="s">
        <v>176</v>
      </c>
      <c r="X535" s="323">
        <v>5.3</v>
      </c>
      <c r="Y535" s="157" t="s">
        <v>139</v>
      </c>
      <c r="Z535" s="157"/>
      <c r="AA535" s="125">
        <v>0.09</v>
      </c>
      <c r="AB535" s="126">
        <v>6708</v>
      </c>
      <c r="AC535" s="126">
        <v>3644</v>
      </c>
      <c r="AD535" s="127">
        <v>212</v>
      </c>
      <c r="AE535" s="157"/>
    </row>
    <row r="536" spans="1:33" s="53" customFormat="1" x14ac:dyDescent="0.2">
      <c r="A536" s="239" t="s">
        <v>39</v>
      </c>
      <c r="B536" s="239" t="s">
        <v>3</v>
      </c>
      <c r="C536" s="239" t="s">
        <v>40</v>
      </c>
      <c r="D536" s="183">
        <v>310493191000</v>
      </c>
      <c r="E536" s="239" t="s">
        <v>42</v>
      </c>
      <c r="F536" s="239" t="s">
        <v>43</v>
      </c>
      <c r="G536" s="241" t="s">
        <v>44</v>
      </c>
      <c r="H536" s="239">
        <v>2025</v>
      </c>
      <c r="I536" s="239">
        <v>1</v>
      </c>
      <c r="J536" s="242">
        <v>45694</v>
      </c>
      <c r="K536" s="245">
        <v>0.5</v>
      </c>
      <c r="L536" s="119">
        <v>0.31</v>
      </c>
      <c r="M536" s="119">
        <v>0.31</v>
      </c>
      <c r="N536" s="119">
        <v>0</v>
      </c>
      <c r="O536" s="119">
        <f t="shared" si="120"/>
        <v>0</v>
      </c>
      <c r="P536" s="239">
        <v>1</v>
      </c>
      <c r="Q536" s="119">
        <f t="shared" si="116"/>
        <v>0.31</v>
      </c>
      <c r="R536" s="239">
        <v>0</v>
      </c>
      <c r="S536" s="246">
        <v>45589968</v>
      </c>
      <c r="T536" s="149">
        <v>4760000</v>
      </c>
      <c r="U536" s="175">
        <v>0</v>
      </c>
      <c r="V536" s="186" t="s">
        <v>45</v>
      </c>
      <c r="W536" s="239" t="s">
        <v>177</v>
      </c>
      <c r="X536" s="323">
        <v>6.73</v>
      </c>
      <c r="Y536" s="157" t="s">
        <v>142</v>
      </c>
      <c r="Z536" s="157"/>
      <c r="AA536" s="125">
        <v>0</v>
      </c>
      <c r="AB536" s="126">
        <v>0</v>
      </c>
      <c r="AC536" s="126">
        <v>0</v>
      </c>
      <c r="AD536" s="127" t="s">
        <v>148</v>
      </c>
      <c r="AE536" s="157"/>
    </row>
    <row r="537" spans="1:33" s="53" customFormat="1" x14ac:dyDescent="0.2">
      <c r="A537" s="239" t="s">
        <v>39</v>
      </c>
      <c r="B537" s="239" t="s">
        <v>3</v>
      </c>
      <c r="C537" s="239" t="s">
        <v>40</v>
      </c>
      <c r="D537" s="183">
        <v>310493191001</v>
      </c>
      <c r="E537" s="239" t="s">
        <v>42</v>
      </c>
      <c r="F537" s="239" t="s">
        <v>43</v>
      </c>
      <c r="G537" s="241" t="s">
        <v>44</v>
      </c>
      <c r="H537" s="239">
        <v>2025</v>
      </c>
      <c r="I537" s="239">
        <v>1</v>
      </c>
      <c r="J537" s="242">
        <v>45694</v>
      </c>
      <c r="K537" s="245">
        <v>0.5</v>
      </c>
      <c r="L537" s="119">
        <v>0.31</v>
      </c>
      <c r="M537" s="119">
        <v>0.31</v>
      </c>
      <c r="N537" s="119">
        <v>0</v>
      </c>
      <c r="O537" s="119">
        <f t="shared" si="120"/>
        <v>0</v>
      </c>
      <c r="P537" s="239">
        <v>1</v>
      </c>
      <c r="Q537" s="119">
        <f t="shared" si="116"/>
        <v>0.31</v>
      </c>
      <c r="R537" s="239">
        <v>0</v>
      </c>
      <c r="S537" s="239">
        <v>0</v>
      </c>
      <c r="T537" s="149"/>
      <c r="U537" s="175">
        <v>0</v>
      </c>
      <c r="V537" s="186" t="s">
        <v>45</v>
      </c>
      <c r="W537" s="239" t="s">
        <v>178</v>
      </c>
      <c r="X537" s="323">
        <v>6.73</v>
      </c>
      <c r="Y537" s="157" t="s">
        <v>142</v>
      </c>
      <c r="Z537" s="157"/>
      <c r="AA537" s="125">
        <v>0</v>
      </c>
      <c r="AB537" s="126">
        <v>0</v>
      </c>
      <c r="AC537" s="126">
        <v>0</v>
      </c>
      <c r="AD537" s="127" t="s">
        <v>148</v>
      </c>
      <c r="AE537" s="157"/>
    </row>
    <row r="538" spans="1:33" x14ac:dyDescent="0.2">
      <c r="A538" s="239" t="s">
        <v>39</v>
      </c>
      <c r="B538" s="239" t="s">
        <v>3</v>
      </c>
      <c r="C538" s="239" t="s">
        <v>40</v>
      </c>
      <c r="D538" s="183">
        <v>310493191002</v>
      </c>
      <c r="E538" s="239" t="s">
        <v>42</v>
      </c>
      <c r="F538" s="239" t="s">
        <v>43</v>
      </c>
      <c r="G538" s="241" t="s">
        <v>44</v>
      </c>
      <c r="H538" s="239">
        <v>2025</v>
      </c>
      <c r="I538" s="239">
        <v>1</v>
      </c>
      <c r="J538" s="242">
        <v>45694</v>
      </c>
      <c r="K538" s="245">
        <v>0.5</v>
      </c>
      <c r="L538" s="119">
        <v>0.31</v>
      </c>
      <c r="M538" s="119">
        <v>0.31</v>
      </c>
      <c r="N538" s="119">
        <v>0</v>
      </c>
      <c r="O538" s="119">
        <f t="shared" si="120"/>
        <v>0</v>
      </c>
      <c r="P538" s="239">
        <v>1</v>
      </c>
      <c r="Q538" s="119">
        <f t="shared" si="116"/>
        <v>0.31</v>
      </c>
      <c r="R538" s="239">
        <v>0</v>
      </c>
      <c r="S538" s="239">
        <v>0</v>
      </c>
      <c r="T538" s="149"/>
      <c r="U538" s="175">
        <v>0</v>
      </c>
      <c r="V538" s="186" t="s">
        <v>45</v>
      </c>
      <c r="W538" s="239" t="s">
        <v>179</v>
      </c>
      <c r="X538" s="323">
        <v>6.73</v>
      </c>
      <c r="Y538" s="157" t="s">
        <v>142</v>
      </c>
      <c r="Z538" s="157"/>
      <c r="AA538" s="125">
        <v>0</v>
      </c>
      <c r="AB538" s="126">
        <v>0</v>
      </c>
      <c r="AC538" s="126">
        <v>0</v>
      </c>
      <c r="AD538" s="127" t="s">
        <v>148</v>
      </c>
      <c r="AE538" s="157"/>
    </row>
    <row r="539" spans="1:33" x14ac:dyDescent="0.2">
      <c r="A539" s="239" t="s">
        <v>39</v>
      </c>
      <c r="B539" s="239" t="s">
        <v>3</v>
      </c>
      <c r="C539" s="239" t="s">
        <v>40</v>
      </c>
      <c r="D539" s="183">
        <v>310493191003</v>
      </c>
      <c r="E539" s="239" t="s">
        <v>42</v>
      </c>
      <c r="F539" s="239" t="s">
        <v>43</v>
      </c>
      <c r="G539" s="241" t="s">
        <v>44</v>
      </c>
      <c r="H539" s="239">
        <v>2025</v>
      </c>
      <c r="I539" s="239">
        <v>1</v>
      </c>
      <c r="J539" s="242">
        <v>45694</v>
      </c>
      <c r="K539" s="245">
        <v>0.5</v>
      </c>
      <c r="L539" s="119">
        <v>0.31</v>
      </c>
      <c r="M539" s="119">
        <v>0.31</v>
      </c>
      <c r="N539" s="119">
        <v>0</v>
      </c>
      <c r="O539" s="119">
        <f t="shared" si="120"/>
        <v>0</v>
      </c>
      <c r="P539" s="239">
        <v>1</v>
      </c>
      <c r="Q539" s="119">
        <f t="shared" si="116"/>
        <v>0.31</v>
      </c>
      <c r="R539" s="239">
        <v>0</v>
      </c>
      <c r="S539" s="239">
        <v>0</v>
      </c>
      <c r="T539" s="149"/>
      <c r="U539" s="175">
        <v>0</v>
      </c>
      <c r="V539" s="186" t="s">
        <v>45</v>
      </c>
      <c r="W539" s="239" t="s">
        <v>180</v>
      </c>
      <c r="X539" s="323">
        <v>6.73</v>
      </c>
      <c r="Y539" s="157" t="s">
        <v>142</v>
      </c>
      <c r="Z539" s="157"/>
      <c r="AA539" s="125">
        <v>0</v>
      </c>
      <c r="AB539" s="126">
        <v>0</v>
      </c>
      <c r="AC539" s="126">
        <v>0</v>
      </c>
      <c r="AD539" s="127" t="s">
        <v>148</v>
      </c>
      <c r="AE539" s="157"/>
    </row>
    <row r="540" spans="1:33" x14ac:dyDescent="0.2">
      <c r="A540" s="239" t="s">
        <v>39</v>
      </c>
      <c r="B540" s="239" t="s">
        <v>3</v>
      </c>
      <c r="C540" s="239" t="s">
        <v>40</v>
      </c>
      <c r="D540" s="183">
        <v>310493191004</v>
      </c>
      <c r="E540" s="239" t="s">
        <v>42</v>
      </c>
      <c r="F540" s="239" t="s">
        <v>43</v>
      </c>
      <c r="G540" s="241" t="s">
        <v>44</v>
      </c>
      <c r="H540" s="239">
        <v>2025</v>
      </c>
      <c r="I540" s="239">
        <v>1</v>
      </c>
      <c r="J540" s="242">
        <v>45694</v>
      </c>
      <c r="K540" s="245">
        <v>0.5</v>
      </c>
      <c r="L540" s="119">
        <v>0.31</v>
      </c>
      <c r="M540" s="119">
        <v>0.31</v>
      </c>
      <c r="N540" s="119">
        <v>0</v>
      </c>
      <c r="O540" s="119">
        <f t="shared" si="120"/>
        <v>0</v>
      </c>
      <c r="P540" s="239">
        <v>1</v>
      </c>
      <c r="Q540" s="119">
        <f t="shared" si="116"/>
        <v>0.31</v>
      </c>
      <c r="R540" s="246">
        <v>87264</v>
      </c>
      <c r="S540" s="246">
        <v>87264</v>
      </c>
      <c r="T540" s="149"/>
      <c r="U540" s="175">
        <v>0</v>
      </c>
      <c r="V540" s="186" t="s">
        <v>45</v>
      </c>
      <c r="W540" s="239" t="s">
        <v>181</v>
      </c>
      <c r="X540" s="323">
        <v>6.73</v>
      </c>
      <c r="Y540" s="157" t="s">
        <v>142</v>
      </c>
      <c r="Z540" s="157"/>
      <c r="AA540" s="125">
        <v>0</v>
      </c>
      <c r="AB540" s="126">
        <v>27357.26</v>
      </c>
      <c r="AC540" s="126">
        <v>0</v>
      </c>
      <c r="AD540" s="127">
        <v>587</v>
      </c>
      <c r="AE540" s="157"/>
    </row>
    <row r="541" spans="1:33" x14ac:dyDescent="0.2">
      <c r="A541" s="239" t="s">
        <v>39</v>
      </c>
      <c r="B541" s="239" t="s">
        <v>3</v>
      </c>
      <c r="C541" s="239" t="s">
        <v>40</v>
      </c>
      <c r="D541" s="183">
        <v>310493191005</v>
      </c>
      <c r="E541" s="239" t="s">
        <v>42</v>
      </c>
      <c r="F541" s="239" t="s">
        <v>43</v>
      </c>
      <c r="G541" s="241" t="s">
        <v>44</v>
      </c>
      <c r="H541" s="239">
        <v>2025</v>
      </c>
      <c r="I541" s="239">
        <v>1</v>
      </c>
      <c r="J541" s="242">
        <v>45694</v>
      </c>
      <c r="K541" s="245">
        <v>0.5</v>
      </c>
      <c r="L541" s="119">
        <v>0.31</v>
      </c>
      <c r="M541" s="119">
        <v>0.31</v>
      </c>
      <c r="N541" s="119">
        <v>0</v>
      </c>
      <c r="O541" s="119">
        <f t="shared" si="120"/>
        <v>0</v>
      </c>
      <c r="P541" s="239">
        <v>1</v>
      </c>
      <c r="Q541" s="119">
        <f t="shared" si="116"/>
        <v>0.31</v>
      </c>
      <c r="R541" s="246">
        <v>32759</v>
      </c>
      <c r="S541" s="246">
        <v>32759</v>
      </c>
      <c r="T541" s="149"/>
      <c r="U541" s="175">
        <v>0</v>
      </c>
      <c r="V541" s="186" t="s">
        <v>45</v>
      </c>
      <c r="W541" s="239" t="s">
        <v>182</v>
      </c>
      <c r="X541" s="323">
        <v>6.73</v>
      </c>
      <c r="Y541" s="157" t="s">
        <v>142</v>
      </c>
      <c r="Z541" s="157"/>
      <c r="AA541" s="125">
        <v>0</v>
      </c>
      <c r="AB541" s="126">
        <v>10269.950000000001</v>
      </c>
      <c r="AC541" s="126">
        <v>0</v>
      </c>
      <c r="AD541" s="127">
        <v>220</v>
      </c>
      <c r="AE541" s="157"/>
    </row>
    <row r="542" spans="1:33" x14ac:dyDescent="0.2">
      <c r="A542" s="239" t="s">
        <v>39</v>
      </c>
      <c r="B542" s="240" t="s">
        <v>3</v>
      </c>
      <c r="C542" s="239" t="s">
        <v>40</v>
      </c>
      <c r="D542" s="183">
        <v>310493191006</v>
      </c>
      <c r="E542" s="240" t="s">
        <v>42</v>
      </c>
      <c r="F542" s="240" t="s">
        <v>43</v>
      </c>
      <c r="G542" s="241" t="s">
        <v>44</v>
      </c>
      <c r="H542" s="240">
        <v>2025</v>
      </c>
      <c r="I542" s="239">
        <v>1</v>
      </c>
      <c r="J542" s="242">
        <v>45694</v>
      </c>
      <c r="K542" s="243">
        <v>0.5</v>
      </c>
      <c r="L542" s="119">
        <v>0.31</v>
      </c>
      <c r="M542" s="119">
        <v>0.31</v>
      </c>
      <c r="N542" s="119">
        <v>0</v>
      </c>
      <c r="O542" s="119">
        <f t="shared" si="120"/>
        <v>0</v>
      </c>
      <c r="P542" s="240">
        <v>1</v>
      </c>
      <c r="Q542" s="119">
        <f t="shared" si="116"/>
        <v>0.31</v>
      </c>
      <c r="R542" s="239">
        <v>0</v>
      </c>
      <c r="S542" s="239">
        <v>0</v>
      </c>
      <c r="T542" s="149"/>
      <c r="U542" s="175">
        <v>0</v>
      </c>
      <c r="V542" s="186" t="s">
        <v>45</v>
      </c>
      <c r="W542" s="240" t="s">
        <v>183</v>
      </c>
      <c r="X542" s="323">
        <v>6.73</v>
      </c>
      <c r="Y542" s="157" t="s">
        <v>142</v>
      </c>
      <c r="Z542" s="157"/>
      <c r="AA542" s="125">
        <v>0</v>
      </c>
      <c r="AB542" s="126">
        <v>0</v>
      </c>
      <c r="AC542" s="126">
        <v>0</v>
      </c>
      <c r="AD542" s="127" t="s">
        <v>148</v>
      </c>
      <c r="AE542" s="157"/>
    </row>
    <row r="543" spans="1:33" x14ac:dyDescent="0.2">
      <c r="A543" s="239" t="s">
        <v>39</v>
      </c>
      <c r="B543" s="240" t="s">
        <v>3</v>
      </c>
      <c r="C543" s="239" t="s">
        <v>40</v>
      </c>
      <c r="D543" s="183">
        <v>310493191009</v>
      </c>
      <c r="E543" s="240" t="s">
        <v>42</v>
      </c>
      <c r="F543" s="240" t="s">
        <v>43</v>
      </c>
      <c r="G543" s="241" t="s">
        <v>44</v>
      </c>
      <c r="H543" s="240">
        <v>2025</v>
      </c>
      <c r="I543" s="239">
        <v>1</v>
      </c>
      <c r="J543" s="242">
        <v>45694</v>
      </c>
      <c r="K543" s="243">
        <v>0.5</v>
      </c>
      <c r="L543" s="119">
        <v>0.31</v>
      </c>
      <c r="M543" s="119">
        <v>0.31</v>
      </c>
      <c r="N543" s="119">
        <v>0</v>
      </c>
      <c r="O543" s="119">
        <f t="shared" si="120"/>
        <v>0</v>
      </c>
      <c r="P543" s="240">
        <v>1</v>
      </c>
      <c r="Q543" s="119">
        <f t="shared" si="116"/>
        <v>0.31</v>
      </c>
      <c r="R543" s="246">
        <v>29088</v>
      </c>
      <c r="S543" s="246">
        <v>29088</v>
      </c>
      <c r="T543" s="149"/>
      <c r="U543" s="175">
        <v>0</v>
      </c>
      <c r="V543" s="186" t="s">
        <v>45</v>
      </c>
      <c r="W543" s="240" t="s">
        <v>184</v>
      </c>
      <c r="X543" s="323">
        <v>6.73</v>
      </c>
      <c r="Y543" s="157" t="s">
        <v>142</v>
      </c>
      <c r="Z543" s="157"/>
      <c r="AA543" s="125">
        <v>0</v>
      </c>
      <c r="AB543" s="126">
        <v>9119.09</v>
      </c>
      <c r="AC543" s="126">
        <v>0</v>
      </c>
      <c r="AD543" s="127">
        <v>196</v>
      </c>
      <c r="AE543" s="157"/>
    </row>
    <row r="544" spans="1:33" x14ac:dyDescent="0.2">
      <c r="A544" s="239" t="s">
        <v>39</v>
      </c>
      <c r="B544" s="240" t="s">
        <v>3</v>
      </c>
      <c r="C544" s="239" t="s">
        <v>47</v>
      </c>
      <c r="D544" s="183">
        <v>310493192000</v>
      </c>
      <c r="E544" s="240" t="s">
        <v>42</v>
      </c>
      <c r="F544" s="240" t="s">
        <v>43</v>
      </c>
      <c r="G544" s="241" t="s">
        <v>44</v>
      </c>
      <c r="H544" s="240">
        <v>2025</v>
      </c>
      <c r="I544" s="239">
        <v>1</v>
      </c>
      <c r="J544" s="242">
        <v>45694</v>
      </c>
      <c r="K544" s="243">
        <v>0.5</v>
      </c>
      <c r="L544" s="119">
        <v>0.04</v>
      </c>
      <c r="M544" s="119">
        <v>0.04</v>
      </c>
      <c r="N544" s="119">
        <v>0</v>
      </c>
      <c r="O544" s="119">
        <f t="shared" si="120"/>
        <v>0</v>
      </c>
      <c r="P544" s="240">
        <v>1</v>
      </c>
      <c r="Q544" s="119">
        <f t="shared" si="116"/>
        <v>0.04</v>
      </c>
      <c r="R544" s="246">
        <v>131893</v>
      </c>
      <c r="S544" s="244">
        <v>40351103</v>
      </c>
      <c r="T544" s="149">
        <v>3450000</v>
      </c>
      <c r="U544" s="175">
        <v>0</v>
      </c>
      <c r="V544" s="186" t="s">
        <v>45</v>
      </c>
      <c r="W544" s="239" t="s">
        <v>176</v>
      </c>
      <c r="X544" s="323">
        <v>0.87</v>
      </c>
      <c r="Y544" s="157" t="s">
        <v>142</v>
      </c>
      <c r="Z544" s="157"/>
      <c r="AA544" s="125">
        <v>0</v>
      </c>
      <c r="AB544" s="126">
        <v>5565.88</v>
      </c>
      <c r="AC544" s="126">
        <v>0</v>
      </c>
      <c r="AD544" s="127">
        <v>115</v>
      </c>
      <c r="AE544" s="157"/>
    </row>
    <row r="545" spans="1:31" x14ac:dyDescent="0.2">
      <c r="A545" s="239" t="s">
        <v>39</v>
      </c>
      <c r="B545" s="240" t="s">
        <v>3</v>
      </c>
      <c r="C545" s="239" t="s">
        <v>49</v>
      </c>
      <c r="D545" s="183">
        <v>310493193000</v>
      </c>
      <c r="E545" s="240" t="s">
        <v>42</v>
      </c>
      <c r="F545" s="240" t="s">
        <v>43</v>
      </c>
      <c r="G545" s="241" t="s">
        <v>44</v>
      </c>
      <c r="H545" s="240">
        <v>2025</v>
      </c>
      <c r="I545" s="239">
        <v>1</v>
      </c>
      <c r="J545" s="242">
        <v>45694</v>
      </c>
      <c r="K545" s="243">
        <v>0.5</v>
      </c>
      <c r="L545" s="119">
        <v>7.0000000000000007E-2</v>
      </c>
      <c r="M545" s="119">
        <v>7.0000000000000007E-2</v>
      </c>
      <c r="N545" s="119">
        <v>0</v>
      </c>
      <c r="O545" s="119">
        <f t="shared" si="120"/>
        <v>0</v>
      </c>
      <c r="P545" s="240">
        <v>1</v>
      </c>
      <c r="Q545" s="119">
        <f t="shared" si="116"/>
        <v>7.0000000000000007E-2</v>
      </c>
      <c r="R545" s="239">
        <v>0</v>
      </c>
      <c r="S545" s="244">
        <v>45678419</v>
      </c>
      <c r="T545" s="149">
        <v>3740000</v>
      </c>
      <c r="U545" s="175">
        <v>0</v>
      </c>
      <c r="V545" s="186" t="s">
        <v>45</v>
      </c>
      <c r="W545" s="239" t="s">
        <v>176</v>
      </c>
      <c r="X545" s="323">
        <v>1.18</v>
      </c>
      <c r="Y545" s="157" t="s">
        <v>142</v>
      </c>
      <c r="Z545" s="157"/>
      <c r="AA545" s="125">
        <v>0</v>
      </c>
      <c r="AB545" s="126">
        <v>0</v>
      </c>
      <c r="AC545" s="126">
        <v>0</v>
      </c>
      <c r="AD545" s="127" t="s">
        <v>148</v>
      </c>
      <c r="AE545" s="157"/>
    </row>
    <row r="546" spans="1:31" x14ac:dyDescent="0.2">
      <c r="A546" s="239" t="s">
        <v>39</v>
      </c>
      <c r="B546" s="240" t="s">
        <v>3</v>
      </c>
      <c r="C546" s="239" t="s">
        <v>51</v>
      </c>
      <c r="D546" s="183">
        <v>310493194000</v>
      </c>
      <c r="E546" s="240" t="s">
        <v>42</v>
      </c>
      <c r="F546" s="240" t="s">
        <v>43</v>
      </c>
      <c r="G546" s="241" t="s">
        <v>44</v>
      </c>
      <c r="H546" s="240">
        <v>2025</v>
      </c>
      <c r="I546" s="239">
        <v>1</v>
      </c>
      <c r="J546" s="242">
        <v>45694</v>
      </c>
      <c r="K546" s="243">
        <v>0.5</v>
      </c>
      <c r="L546" s="119">
        <v>7.0000000000000007E-2</v>
      </c>
      <c r="M546" s="119">
        <v>7.0000000000000007E-2</v>
      </c>
      <c r="N546" s="119">
        <v>0</v>
      </c>
      <c r="O546" s="119">
        <f t="shared" si="120"/>
        <v>0</v>
      </c>
      <c r="P546" s="240">
        <v>1</v>
      </c>
      <c r="Q546" s="119">
        <f t="shared" si="116"/>
        <v>7.0000000000000007E-2</v>
      </c>
      <c r="R546" s="239">
        <v>0</v>
      </c>
      <c r="S546" s="244">
        <v>29783584</v>
      </c>
      <c r="T546" s="149">
        <v>3450000</v>
      </c>
      <c r="U546" s="175">
        <v>0</v>
      </c>
      <c r="V546" s="186" t="s">
        <v>53</v>
      </c>
      <c r="W546" s="239" t="s">
        <v>177</v>
      </c>
      <c r="X546" s="323">
        <v>1.18</v>
      </c>
      <c r="Y546" s="157" t="s">
        <v>145</v>
      </c>
      <c r="Z546" s="157"/>
      <c r="AA546" s="125">
        <v>0</v>
      </c>
      <c r="AB546" s="126">
        <v>0</v>
      </c>
      <c r="AC546" s="126">
        <v>0</v>
      </c>
      <c r="AD546" s="127" t="s">
        <v>148</v>
      </c>
      <c r="AE546" s="157"/>
    </row>
    <row r="547" spans="1:31" x14ac:dyDescent="0.2">
      <c r="A547" s="239" t="s">
        <v>39</v>
      </c>
      <c r="B547" s="240" t="s">
        <v>3</v>
      </c>
      <c r="C547" s="239" t="s">
        <v>51</v>
      </c>
      <c r="D547" s="183">
        <v>310493194001</v>
      </c>
      <c r="E547" s="240" t="s">
        <v>42</v>
      </c>
      <c r="F547" s="240" t="s">
        <v>43</v>
      </c>
      <c r="G547" s="241" t="s">
        <v>44</v>
      </c>
      <c r="H547" s="240">
        <v>2025</v>
      </c>
      <c r="I547" s="239">
        <v>1</v>
      </c>
      <c r="J547" s="242">
        <v>45694</v>
      </c>
      <c r="K547" s="243">
        <v>0.5</v>
      </c>
      <c r="L547" s="119">
        <v>7.0000000000000007E-2</v>
      </c>
      <c r="M547" s="119">
        <v>7.0000000000000007E-2</v>
      </c>
      <c r="N547" s="119">
        <v>0</v>
      </c>
      <c r="O547" s="119">
        <f t="shared" si="120"/>
        <v>0</v>
      </c>
      <c r="P547" s="240">
        <v>1</v>
      </c>
      <c r="Q547" s="119">
        <f t="shared" si="116"/>
        <v>7.0000000000000007E-2</v>
      </c>
      <c r="R547" s="239">
        <v>0</v>
      </c>
      <c r="S547" s="239">
        <v>0</v>
      </c>
      <c r="T547" s="149"/>
      <c r="U547" s="175">
        <v>0</v>
      </c>
      <c r="V547" s="186" t="s">
        <v>53</v>
      </c>
      <c r="W547" s="239" t="s">
        <v>178</v>
      </c>
      <c r="X547" s="323">
        <v>1.18</v>
      </c>
      <c r="Y547" s="157" t="s">
        <v>145</v>
      </c>
      <c r="Z547" s="157"/>
      <c r="AA547" s="125">
        <v>0</v>
      </c>
      <c r="AB547" s="126">
        <v>0</v>
      </c>
      <c r="AC547" s="126">
        <v>0</v>
      </c>
      <c r="AD547" s="127" t="s">
        <v>148</v>
      </c>
      <c r="AE547" s="157"/>
    </row>
    <row r="548" spans="1:31" x14ac:dyDescent="0.2">
      <c r="A548" s="239" t="s">
        <v>39</v>
      </c>
      <c r="B548" s="240" t="s">
        <v>3</v>
      </c>
      <c r="C548" s="239" t="s">
        <v>51</v>
      </c>
      <c r="D548" s="183">
        <v>310493194002</v>
      </c>
      <c r="E548" s="240" t="s">
        <v>42</v>
      </c>
      <c r="F548" s="240" t="s">
        <v>43</v>
      </c>
      <c r="G548" s="241" t="s">
        <v>44</v>
      </c>
      <c r="H548" s="240">
        <v>2025</v>
      </c>
      <c r="I548" s="239">
        <v>1</v>
      </c>
      <c r="J548" s="242">
        <v>45694</v>
      </c>
      <c r="K548" s="243">
        <v>0.5</v>
      </c>
      <c r="L548" s="119">
        <v>7.0000000000000007E-2</v>
      </c>
      <c r="M548" s="119">
        <v>7.0000000000000007E-2</v>
      </c>
      <c r="N548" s="119">
        <v>0</v>
      </c>
      <c r="O548" s="119">
        <f t="shared" si="120"/>
        <v>0</v>
      </c>
      <c r="P548" s="240">
        <v>1</v>
      </c>
      <c r="Q548" s="119">
        <f t="shared" si="116"/>
        <v>7.0000000000000007E-2</v>
      </c>
      <c r="R548" s="239">
        <v>0</v>
      </c>
      <c r="S548" s="239">
        <v>0</v>
      </c>
      <c r="T548" s="149"/>
      <c r="U548" s="175">
        <v>0</v>
      </c>
      <c r="V548" s="186" t="s">
        <v>53</v>
      </c>
      <c r="W548" s="239" t="s">
        <v>179</v>
      </c>
      <c r="X548" s="323">
        <v>1.18</v>
      </c>
      <c r="Y548" s="157" t="s">
        <v>145</v>
      </c>
      <c r="Z548" s="157"/>
      <c r="AA548" s="125">
        <v>0</v>
      </c>
      <c r="AB548" s="126">
        <v>0</v>
      </c>
      <c r="AC548" s="126">
        <v>0</v>
      </c>
      <c r="AD548" s="127" t="s">
        <v>148</v>
      </c>
      <c r="AE548" s="157"/>
    </row>
    <row r="549" spans="1:31" x14ac:dyDescent="0.2">
      <c r="A549" s="239" t="s">
        <v>39</v>
      </c>
      <c r="B549" s="240" t="s">
        <v>3</v>
      </c>
      <c r="C549" s="239" t="s">
        <v>51</v>
      </c>
      <c r="D549" s="183">
        <v>310493194003</v>
      </c>
      <c r="E549" s="240" t="s">
        <v>42</v>
      </c>
      <c r="F549" s="240" t="s">
        <v>43</v>
      </c>
      <c r="G549" s="241" t="s">
        <v>44</v>
      </c>
      <c r="H549" s="240">
        <v>2025</v>
      </c>
      <c r="I549" s="239">
        <v>1</v>
      </c>
      <c r="J549" s="242">
        <v>45694</v>
      </c>
      <c r="K549" s="243">
        <v>0.5</v>
      </c>
      <c r="L549" s="119">
        <v>7.0000000000000007E-2</v>
      </c>
      <c r="M549" s="119">
        <v>7.0000000000000007E-2</v>
      </c>
      <c r="N549" s="119">
        <v>0</v>
      </c>
      <c r="O549" s="119">
        <f t="shared" si="120"/>
        <v>0</v>
      </c>
      <c r="P549" s="240">
        <v>1</v>
      </c>
      <c r="Q549" s="119">
        <f t="shared" si="116"/>
        <v>7.0000000000000007E-2</v>
      </c>
      <c r="R549" s="239">
        <v>0</v>
      </c>
      <c r="S549" s="239">
        <v>0</v>
      </c>
      <c r="T549" s="149"/>
      <c r="U549" s="175">
        <v>0</v>
      </c>
      <c r="V549" s="186" t="s">
        <v>53</v>
      </c>
      <c r="W549" s="239" t="s">
        <v>180</v>
      </c>
      <c r="X549" s="323">
        <v>1.18</v>
      </c>
      <c r="Y549" s="157" t="s">
        <v>145</v>
      </c>
      <c r="Z549" s="157"/>
      <c r="AA549" s="125">
        <v>0</v>
      </c>
      <c r="AB549" s="126">
        <v>0</v>
      </c>
      <c r="AC549" s="126">
        <v>0</v>
      </c>
      <c r="AD549" s="127" t="s">
        <v>148</v>
      </c>
      <c r="AE549" s="157"/>
    </row>
    <row r="550" spans="1:31" x14ac:dyDescent="0.2">
      <c r="A550" s="239" t="s">
        <v>39</v>
      </c>
      <c r="B550" s="240" t="s">
        <v>3</v>
      </c>
      <c r="C550" s="239" t="s">
        <v>51</v>
      </c>
      <c r="D550" s="183">
        <v>310493194004</v>
      </c>
      <c r="E550" s="240" t="s">
        <v>42</v>
      </c>
      <c r="F550" s="240" t="s">
        <v>43</v>
      </c>
      <c r="G550" s="241" t="s">
        <v>44</v>
      </c>
      <c r="H550" s="240">
        <v>2025</v>
      </c>
      <c r="I550" s="239">
        <v>1</v>
      </c>
      <c r="J550" s="242">
        <v>45694</v>
      </c>
      <c r="K550" s="243">
        <v>0.5</v>
      </c>
      <c r="L550" s="119">
        <v>7.0000000000000007E-2</v>
      </c>
      <c r="M550" s="119">
        <v>7.0000000000000007E-2</v>
      </c>
      <c r="N550" s="119">
        <v>0</v>
      </c>
      <c r="O550" s="119">
        <f t="shared" si="120"/>
        <v>0</v>
      </c>
      <c r="P550" s="240">
        <v>1</v>
      </c>
      <c r="Q550" s="119">
        <f t="shared" si="116"/>
        <v>7.0000000000000007E-2</v>
      </c>
      <c r="R550" s="246">
        <v>87236</v>
      </c>
      <c r="S550" s="246">
        <v>87236</v>
      </c>
      <c r="T550" s="149"/>
      <c r="U550" s="175">
        <v>0</v>
      </c>
      <c r="V550" s="186" t="s">
        <v>53</v>
      </c>
      <c r="W550" s="239" t="s">
        <v>181</v>
      </c>
      <c r="X550" s="323">
        <v>1.18</v>
      </c>
      <c r="Y550" s="157" t="s">
        <v>145</v>
      </c>
      <c r="Z550" s="157"/>
      <c r="AA550" s="125">
        <v>0</v>
      </c>
      <c r="AB550" s="126">
        <v>5775.02</v>
      </c>
      <c r="AC550" s="126">
        <v>0</v>
      </c>
      <c r="AD550" s="127">
        <v>103</v>
      </c>
      <c r="AE550" s="157"/>
    </row>
    <row r="551" spans="1:31" x14ac:dyDescent="0.2">
      <c r="A551" s="239" t="s">
        <v>39</v>
      </c>
      <c r="B551" s="240" t="s">
        <v>3</v>
      </c>
      <c r="C551" s="239" t="s">
        <v>51</v>
      </c>
      <c r="D551" s="183">
        <v>310493194005</v>
      </c>
      <c r="E551" s="240" t="s">
        <v>42</v>
      </c>
      <c r="F551" s="240" t="s">
        <v>43</v>
      </c>
      <c r="G551" s="241" t="s">
        <v>44</v>
      </c>
      <c r="H551" s="240">
        <v>2025</v>
      </c>
      <c r="I551" s="239">
        <v>1</v>
      </c>
      <c r="J551" s="242">
        <v>45694</v>
      </c>
      <c r="K551" s="243">
        <v>0.5</v>
      </c>
      <c r="L551" s="119">
        <v>7.0000000000000007E-2</v>
      </c>
      <c r="M551" s="119">
        <v>7.0000000000000007E-2</v>
      </c>
      <c r="N551" s="119">
        <v>0</v>
      </c>
      <c r="O551" s="119">
        <f t="shared" si="120"/>
        <v>0</v>
      </c>
      <c r="P551" s="240">
        <v>1</v>
      </c>
      <c r="Q551" s="119">
        <f t="shared" si="116"/>
        <v>7.0000000000000007E-2</v>
      </c>
      <c r="R551" s="239">
        <v>0</v>
      </c>
      <c r="S551" s="239">
        <v>0</v>
      </c>
      <c r="T551" s="149"/>
      <c r="U551" s="175">
        <v>0</v>
      </c>
      <c r="V551" s="186" t="s">
        <v>53</v>
      </c>
      <c r="W551" s="239" t="s">
        <v>182</v>
      </c>
      <c r="X551" s="323">
        <v>1.18</v>
      </c>
      <c r="Y551" s="157" t="s">
        <v>145</v>
      </c>
      <c r="Z551" s="157"/>
      <c r="AA551" s="125">
        <v>0</v>
      </c>
      <c r="AB551" s="126">
        <v>0</v>
      </c>
      <c r="AC551" s="126">
        <v>0</v>
      </c>
      <c r="AD551" s="127" t="s">
        <v>148</v>
      </c>
      <c r="AE551" s="157"/>
    </row>
    <row r="552" spans="1:31" x14ac:dyDescent="0.2">
      <c r="A552" s="239" t="s">
        <v>39</v>
      </c>
      <c r="B552" s="240" t="s">
        <v>3</v>
      </c>
      <c r="C552" s="239" t="s">
        <v>51</v>
      </c>
      <c r="D552" s="183">
        <v>310493194006</v>
      </c>
      <c r="E552" s="240" t="s">
        <v>42</v>
      </c>
      <c r="F552" s="240" t="s">
        <v>43</v>
      </c>
      <c r="G552" s="241" t="s">
        <v>44</v>
      </c>
      <c r="H552" s="240">
        <v>2025</v>
      </c>
      <c r="I552" s="239">
        <v>1</v>
      </c>
      <c r="J552" s="242">
        <v>45694</v>
      </c>
      <c r="K552" s="243">
        <v>0.5</v>
      </c>
      <c r="L552" s="119">
        <v>7.0000000000000007E-2</v>
      </c>
      <c r="M552" s="119">
        <v>7.0000000000000007E-2</v>
      </c>
      <c r="N552" s="119">
        <v>0</v>
      </c>
      <c r="O552" s="119">
        <f t="shared" si="120"/>
        <v>0</v>
      </c>
      <c r="P552" s="240">
        <v>1</v>
      </c>
      <c r="Q552" s="119">
        <f t="shared" si="116"/>
        <v>7.0000000000000007E-2</v>
      </c>
      <c r="R552" s="239">
        <v>0</v>
      </c>
      <c r="S552" s="239">
        <v>0</v>
      </c>
      <c r="T552" s="149"/>
      <c r="U552" s="175">
        <v>0</v>
      </c>
      <c r="V552" s="186" t="s">
        <v>53</v>
      </c>
      <c r="W552" s="240" t="s">
        <v>183</v>
      </c>
      <c r="X552" s="323">
        <v>1.18</v>
      </c>
      <c r="Y552" s="157" t="s">
        <v>145</v>
      </c>
      <c r="Z552" s="157"/>
      <c r="AA552" s="125">
        <v>0</v>
      </c>
      <c r="AB552" s="126">
        <v>0</v>
      </c>
      <c r="AC552" s="126">
        <v>0</v>
      </c>
      <c r="AD552" s="127" t="s">
        <v>148</v>
      </c>
      <c r="AE552" s="157"/>
    </row>
    <row r="553" spans="1:31" x14ac:dyDescent="0.2">
      <c r="A553" s="239" t="s">
        <v>39</v>
      </c>
      <c r="B553" s="240" t="s">
        <v>3</v>
      </c>
      <c r="C553" s="239" t="s">
        <v>51</v>
      </c>
      <c r="D553" s="183">
        <v>310493194009</v>
      </c>
      <c r="E553" s="240" t="s">
        <v>42</v>
      </c>
      <c r="F553" s="240" t="s">
        <v>43</v>
      </c>
      <c r="G553" s="241" t="s">
        <v>44</v>
      </c>
      <c r="H553" s="240">
        <v>2025</v>
      </c>
      <c r="I553" s="239">
        <v>1</v>
      </c>
      <c r="J553" s="242">
        <v>45694</v>
      </c>
      <c r="K553" s="243">
        <v>0.5</v>
      </c>
      <c r="L553" s="119">
        <v>7.0000000000000007E-2</v>
      </c>
      <c r="M553" s="119">
        <v>7.0000000000000007E-2</v>
      </c>
      <c r="N553" s="119">
        <v>0</v>
      </c>
      <c r="O553" s="119">
        <f t="shared" si="120"/>
        <v>0</v>
      </c>
      <c r="P553" s="240">
        <v>1</v>
      </c>
      <c r="Q553" s="119">
        <f t="shared" si="116"/>
        <v>7.0000000000000007E-2</v>
      </c>
      <c r="R553" s="246">
        <v>27922</v>
      </c>
      <c r="S553" s="246">
        <v>27922</v>
      </c>
      <c r="T553" s="149"/>
      <c r="U553" s="175">
        <v>0</v>
      </c>
      <c r="V553" s="186" t="s">
        <v>53</v>
      </c>
      <c r="W553" s="240" t="s">
        <v>184</v>
      </c>
      <c r="X553" s="323">
        <v>1.18</v>
      </c>
      <c r="Y553" s="157" t="s">
        <v>145</v>
      </c>
      <c r="Z553" s="157"/>
      <c r="AA553" s="125">
        <v>0</v>
      </c>
      <c r="AB553" s="126">
        <v>1848.44</v>
      </c>
      <c r="AC553" s="126">
        <v>0</v>
      </c>
      <c r="AD553" s="127">
        <v>33</v>
      </c>
      <c r="AE553" s="157"/>
    </row>
    <row r="554" spans="1:31" x14ac:dyDescent="0.2">
      <c r="A554" s="239" t="s">
        <v>39</v>
      </c>
      <c r="B554" s="240" t="s">
        <v>3</v>
      </c>
      <c r="C554" s="239" t="s">
        <v>55</v>
      </c>
      <c r="D554" s="183">
        <v>310493195000</v>
      </c>
      <c r="E554" s="240" t="s">
        <v>42</v>
      </c>
      <c r="F554" s="240" t="s">
        <v>43</v>
      </c>
      <c r="G554" s="241" t="s">
        <v>44</v>
      </c>
      <c r="H554" s="240">
        <v>2025</v>
      </c>
      <c r="I554" s="239">
        <v>1</v>
      </c>
      <c r="J554" s="242">
        <v>45694</v>
      </c>
      <c r="K554" s="243">
        <v>0.5</v>
      </c>
      <c r="L554" s="119">
        <v>0.04</v>
      </c>
      <c r="M554" s="119">
        <v>0.04</v>
      </c>
      <c r="N554" s="119">
        <v>0</v>
      </c>
      <c r="O554" s="119">
        <f t="shared" si="120"/>
        <v>0</v>
      </c>
      <c r="P554" s="240">
        <v>1</v>
      </c>
      <c r="Q554" s="119">
        <f t="shared" si="116"/>
        <v>0.04</v>
      </c>
      <c r="R554" s="239">
        <v>0</v>
      </c>
      <c r="S554" s="244">
        <v>56410170</v>
      </c>
      <c r="T554" s="149">
        <v>3400000</v>
      </c>
      <c r="U554" s="175">
        <v>0</v>
      </c>
      <c r="V554" s="186" t="s">
        <v>53</v>
      </c>
      <c r="W554" s="239" t="s">
        <v>177</v>
      </c>
      <c r="X554" s="323">
        <v>0.13</v>
      </c>
      <c r="Y554" s="157" t="s">
        <v>145</v>
      </c>
      <c r="Z554" s="157"/>
      <c r="AA554" s="125">
        <v>0</v>
      </c>
      <c r="AB554" s="126">
        <v>0</v>
      </c>
      <c r="AC554" s="126">
        <v>0</v>
      </c>
      <c r="AD554" s="127" t="s">
        <v>148</v>
      </c>
      <c r="AE554" s="157"/>
    </row>
    <row r="555" spans="1:31" x14ac:dyDescent="0.2">
      <c r="A555" s="239" t="s">
        <v>39</v>
      </c>
      <c r="B555" s="240" t="s">
        <v>3</v>
      </c>
      <c r="C555" s="239" t="s">
        <v>55</v>
      </c>
      <c r="D555" s="183">
        <v>310493196001</v>
      </c>
      <c r="E555" s="240" t="s">
        <v>42</v>
      </c>
      <c r="F555" s="240" t="s">
        <v>43</v>
      </c>
      <c r="G555" s="241" t="s">
        <v>44</v>
      </c>
      <c r="H555" s="240">
        <v>2025</v>
      </c>
      <c r="I555" s="239">
        <v>1</v>
      </c>
      <c r="J555" s="242">
        <v>45694</v>
      </c>
      <c r="K555" s="243">
        <v>0.5</v>
      </c>
      <c r="L555" s="119">
        <v>0.04</v>
      </c>
      <c r="M555" s="119">
        <v>0.04</v>
      </c>
      <c r="N555" s="119">
        <v>0</v>
      </c>
      <c r="O555" s="119">
        <f t="shared" si="120"/>
        <v>0</v>
      </c>
      <c r="P555" s="240">
        <v>1</v>
      </c>
      <c r="Q555" s="119">
        <f t="shared" si="116"/>
        <v>0.04</v>
      </c>
      <c r="R555" s="239">
        <v>0</v>
      </c>
      <c r="S555" s="239">
        <v>0</v>
      </c>
      <c r="T555" s="149"/>
      <c r="U555" s="175">
        <v>0</v>
      </c>
      <c r="V555" s="186" t="s">
        <v>53</v>
      </c>
      <c r="W555" s="239" t="s">
        <v>178</v>
      </c>
      <c r="X555" s="323">
        <v>0.13</v>
      </c>
      <c r="Y555" s="157" t="s">
        <v>145</v>
      </c>
      <c r="Z555" s="157"/>
      <c r="AA555" s="125">
        <v>0</v>
      </c>
      <c r="AB555" s="126">
        <v>0</v>
      </c>
      <c r="AC555" s="126">
        <v>0</v>
      </c>
      <c r="AD555" s="127" t="s">
        <v>148</v>
      </c>
      <c r="AE555" s="157"/>
    </row>
    <row r="556" spans="1:31" x14ac:dyDescent="0.2">
      <c r="A556" s="239" t="s">
        <v>39</v>
      </c>
      <c r="B556" s="240" t="s">
        <v>3</v>
      </c>
      <c r="C556" s="239" t="s">
        <v>55</v>
      </c>
      <c r="D556" s="183">
        <v>310493196002</v>
      </c>
      <c r="E556" s="240" t="s">
        <v>42</v>
      </c>
      <c r="F556" s="240" t="s">
        <v>43</v>
      </c>
      <c r="G556" s="241" t="s">
        <v>44</v>
      </c>
      <c r="H556" s="240">
        <v>2025</v>
      </c>
      <c r="I556" s="239">
        <v>1</v>
      </c>
      <c r="J556" s="242">
        <v>45694</v>
      </c>
      <c r="K556" s="243">
        <v>0.5</v>
      </c>
      <c r="L556" s="119">
        <v>0.04</v>
      </c>
      <c r="M556" s="119">
        <v>0.04</v>
      </c>
      <c r="N556" s="119">
        <v>0</v>
      </c>
      <c r="O556" s="119">
        <f t="shared" si="120"/>
        <v>0</v>
      </c>
      <c r="P556" s="240">
        <v>1</v>
      </c>
      <c r="Q556" s="119">
        <f t="shared" si="116"/>
        <v>0.04</v>
      </c>
      <c r="R556" s="239">
        <v>0</v>
      </c>
      <c r="S556" s="239">
        <v>0</v>
      </c>
      <c r="T556" s="149"/>
      <c r="U556" s="175">
        <v>0</v>
      </c>
      <c r="V556" s="186" t="s">
        <v>53</v>
      </c>
      <c r="W556" s="239" t="s">
        <v>179</v>
      </c>
      <c r="X556" s="323">
        <v>0.13</v>
      </c>
      <c r="Y556" s="157" t="s">
        <v>145</v>
      </c>
      <c r="Z556" s="157"/>
      <c r="AA556" s="125">
        <v>0</v>
      </c>
      <c r="AB556" s="126">
        <v>0</v>
      </c>
      <c r="AC556" s="126">
        <v>0</v>
      </c>
      <c r="AD556" s="127" t="s">
        <v>148</v>
      </c>
      <c r="AE556" s="157"/>
    </row>
    <row r="557" spans="1:31" x14ac:dyDescent="0.2">
      <c r="A557" s="239" t="s">
        <v>39</v>
      </c>
      <c r="B557" s="240" t="s">
        <v>3</v>
      </c>
      <c r="C557" s="239" t="s">
        <v>55</v>
      </c>
      <c r="D557" s="183">
        <v>310493196003</v>
      </c>
      <c r="E557" s="240" t="s">
        <v>42</v>
      </c>
      <c r="F557" s="240" t="s">
        <v>43</v>
      </c>
      <c r="G557" s="241" t="s">
        <v>44</v>
      </c>
      <c r="H557" s="240">
        <v>2025</v>
      </c>
      <c r="I557" s="239">
        <v>1</v>
      </c>
      <c r="J557" s="242">
        <v>45694</v>
      </c>
      <c r="K557" s="243">
        <v>0.5</v>
      </c>
      <c r="L557" s="119">
        <v>0.04</v>
      </c>
      <c r="M557" s="119">
        <v>0.04</v>
      </c>
      <c r="N557" s="119">
        <v>0</v>
      </c>
      <c r="O557" s="119">
        <f t="shared" si="120"/>
        <v>0</v>
      </c>
      <c r="P557" s="240">
        <v>1</v>
      </c>
      <c r="Q557" s="119">
        <f t="shared" si="116"/>
        <v>0.04</v>
      </c>
      <c r="R557" s="239">
        <v>0</v>
      </c>
      <c r="S557" s="239">
        <v>0</v>
      </c>
      <c r="T557" s="149"/>
      <c r="U557" s="175">
        <v>0</v>
      </c>
      <c r="V557" s="186" t="s">
        <v>53</v>
      </c>
      <c r="W557" s="239" t="s">
        <v>180</v>
      </c>
      <c r="X557" s="323">
        <v>0.13</v>
      </c>
      <c r="Y557" s="157" t="s">
        <v>145</v>
      </c>
      <c r="Z557" s="157"/>
      <c r="AA557" s="125">
        <v>0</v>
      </c>
      <c r="AB557" s="126">
        <v>0</v>
      </c>
      <c r="AC557" s="126">
        <v>0</v>
      </c>
      <c r="AD557" s="127" t="s">
        <v>148</v>
      </c>
      <c r="AE557" s="157"/>
    </row>
    <row r="558" spans="1:31" x14ac:dyDescent="0.2">
      <c r="A558" s="239" t="s">
        <v>39</v>
      </c>
      <c r="B558" s="240" t="s">
        <v>3</v>
      </c>
      <c r="C558" s="239" t="s">
        <v>55</v>
      </c>
      <c r="D558" s="183">
        <v>310493196004</v>
      </c>
      <c r="E558" s="240" t="s">
        <v>42</v>
      </c>
      <c r="F558" s="240" t="s">
        <v>43</v>
      </c>
      <c r="G558" s="241" t="s">
        <v>44</v>
      </c>
      <c r="H558" s="240">
        <v>2025</v>
      </c>
      <c r="I558" s="239">
        <v>1</v>
      </c>
      <c r="J558" s="242">
        <v>45694</v>
      </c>
      <c r="K558" s="243">
        <v>0.5</v>
      </c>
      <c r="L558" s="119">
        <v>0.04</v>
      </c>
      <c r="M558" s="119">
        <v>0.04</v>
      </c>
      <c r="N558" s="119">
        <v>0</v>
      </c>
      <c r="O558" s="119">
        <f t="shared" si="120"/>
        <v>0</v>
      </c>
      <c r="P558" s="240">
        <v>1</v>
      </c>
      <c r="Q558" s="119">
        <f t="shared" si="116"/>
        <v>0.04</v>
      </c>
      <c r="R558" s="246">
        <v>86760</v>
      </c>
      <c r="S558" s="246">
        <v>86760</v>
      </c>
      <c r="T558" s="149"/>
      <c r="U558" s="175">
        <v>0</v>
      </c>
      <c r="V558" s="186" t="s">
        <v>53</v>
      </c>
      <c r="W558" s="239" t="s">
        <v>181</v>
      </c>
      <c r="X558" s="323">
        <v>0.13</v>
      </c>
      <c r="Y558" s="157" t="s">
        <v>145</v>
      </c>
      <c r="Z558" s="157"/>
      <c r="AA558" s="125">
        <v>0</v>
      </c>
      <c r="AB558" s="126">
        <v>3340.26</v>
      </c>
      <c r="AC558" s="126">
        <v>0</v>
      </c>
      <c r="AD558" s="127">
        <v>11</v>
      </c>
      <c r="AE558" s="157"/>
    </row>
    <row r="559" spans="1:31" x14ac:dyDescent="0.2">
      <c r="A559" s="239" t="s">
        <v>39</v>
      </c>
      <c r="B559" s="240" t="s">
        <v>3</v>
      </c>
      <c r="C559" s="239" t="s">
        <v>55</v>
      </c>
      <c r="D559" s="183">
        <v>310493196005</v>
      </c>
      <c r="E559" s="240" t="s">
        <v>42</v>
      </c>
      <c r="F559" s="240" t="s">
        <v>43</v>
      </c>
      <c r="G559" s="241" t="s">
        <v>44</v>
      </c>
      <c r="H559" s="240">
        <v>2025</v>
      </c>
      <c r="I559" s="239">
        <v>1</v>
      </c>
      <c r="J559" s="242">
        <v>45694</v>
      </c>
      <c r="K559" s="243">
        <v>0.5</v>
      </c>
      <c r="L559" s="119">
        <v>0.04</v>
      </c>
      <c r="M559" s="119">
        <v>0.04</v>
      </c>
      <c r="N559" s="119">
        <v>0</v>
      </c>
      <c r="O559" s="119">
        <f t="shared" si="120"/>
        <v>0</v>
      </c>
      <c r="P559" s="240">
        <v>1</v>
      </c>
      <c r="Q559" s="119">
        <f t="shared" si="116"/>
        <v>0.04</v>
      </c>
      <c r="R559" s="239">
        <v>0</v>
      </c>
      <c r="S559" s="239">
        <v>0</v>
      </c>
      <c r="T559" s="149"/>
      <c r="U559" s="175">
        <v>0</v>
      </c>
      <c r="V559" s="186" t="s">
        <v>53</v>
      </c>
      <c r="W559" s="239" t="s">
        <v>182</v>
      </c>
      <c r="X559" s="323">
        <v>0.13</v>
      </c>
      <c r="Y559" s="157" t="s">
        <v>145</v>
      </c>
      <c r="Z559" s="157"/>
      <c r="AA559" s="125">
        <v>0</v>
      </c>
      <c r="AB559" s="126">
        <v>0</v>
      </c>
      <c r="AC559" s="126">
        <v>0</v>
      </c>
      <c r="AD559" s="127" t="s">
        <v>148</v>
      </c>
      <c r="AE559" s="157"/>
    </row>
    <row r="560" spans="1:31" x14ac:dyDescent="0.2">
      <c r="A560" s="239" t="s">
        <v>39</v>
      </c>
      <c r="B560" s="240" t="s">
        <v>3</v>
      </c>
      <c r="C560" s="239" t="s">
        <v>55</v>
      </c>
      <c r="D560" s="183">
        <v>310493196006</v>
      </c>
      <c r="E560" s="240" t="s">
        <v>42</v>
      </c>
      <c r="F560" s="240" t="s">
        <v>43</v>
      </c>
      <c r="G560" s="241" t="s">
        <v>44</v>
      </c>
      <c r="H560" s="240">
        <v>2025</v>
      </c>
      <c r="I560" s="239">
        <v>1</v>
      </c>
      <c r="J560" s="242">
        <v>45694</v>
      </c>
      <c r="K560" s="243">
        <v>0.5</v>
      </c>
      <c r="L560" s="119">
        <v>0.04</v>
      </c>
      <c r="M560" s="119">
        <v>0.04</v>
      </c>
      <c r="N560" s="119">
        <v>0</v>
      </c>
      <c r="O560" s="119">
        <f t="shared" si="120"/>
        <v>0</v>
      </c>
      <c r="P560" s="240">
        <v>1</v>
      </c>
      <c r="Q560" s="119">
        <f t="shared" si="116"/>
        <v>0.04</v>
      </c>
      <c r="R560" s="239">
        <v>0</v>
      </c>
      <c r="S560" s="239">
        <v>0</v>
      </c>
      <c r="T560" s="149"/>
      <c r="U560" s="175">
        <v>0</v>
      </c>
      <c r="V560" s="186" t="s">
        <v>53</v>
      </c>
      <c r="W560" s="240" t="s">
        <v>183</v>
      </c>
      <c r="X560" s="323">
        <v>0.13</v>
      </c>
      <c r="Y560" s="157" t="s">
        <v>145</v>
      </c>
      <c r="Z560" s="157"/>
      <c r="AA560" s="125">
        <v>0</v>
      </c>
      <c r="AB560" s="126">
        <v>0</v>
      </c>
      <c r="AC560" s="126">
        <v>0</v>
      </c>
      <c r="AD560" s="127" t="s">
        <v>148</v>
      </c>
      <c r="AE560" s="157"/>
    </row>
    <row r="561" spans="1:31" x14ac:dyDescent="0.2">
      <c r="A561" s="239" t="s">
        <v>39</v>
      </c>
      <c r="B561" s="239" t="s">
        <v>3</v>
      </c>
      <c r="C561" s="239" t="s">
        <v>55</v>
      </c>
      <c r="D561" s="183">
        <v>310493196009</v>
      </c>
      <c r="E561" s="239" t="s">
        <v>42</v>
      </c>
      <c r="F561" s="239" t="s">
        <v>43</v>
      </c>
      <c r="G561" s="241" t="s">
        <v>44</v>
      </c>
      <c r="H561" s="239">
        <v>2025</v>
      </c>
      <c r="I561" s="239">
        <v>1</v>
      </c>
      <c r="J561" s="242">
        <v>45694</v>
      </c>
      <c r="K561" s="245">
        <v>0.5</v>
      </c>
      <c r="L561" s="119">
        <v>0.04</v>
      </c>
      <c r="M561" s="119">
        <v>0.04</v>
      </c>
      <c r="N561" s="119">
        <v>0</v>
      </c>
      <c r="O561" s="119">
        <f t="shared" si="120"/>
        <v>0</v>
      </c>
      <c r="P561" s="239">
        <v>1</v>
      </c>
      <c r="Q561" s="119">
        <f t="shared" si="116"/>
        <v>0.04</v>
      </c>
      <c r="R561" s="246">
        <v>20361</v>
      </c>
      <c r="S561" s="246">
        <v>20361</v>
      </c>
      <c r="T561" s="149"/>
      <c r="U561" s="175">
        <v>0</v>
      </c>
      <c r="V561" s="186" t="s">
        <v>53</v>
      </c>
      <c r="W561" s="240" t="s">
        <v>184</v>
      </c>
      <c r="X561" s="323">
        <v>0.13</v>
      </c>
      <c r="Y561" s="157" t="s">
        <v>145</v>
      </c>
      <c r="Z561" s="157"/>
      <c r="AA561" s="125">
        <v>0</v>
      </c>
      <c r="AB561" s="126">
        <v>783.9</v>
      </c>
      <c r="AC561" s="126">
        <v>0</v>
      </c>
      <c r="AD561" s="127">
        <v>3</v>
      </c>
      <c r="AE561" s="157"/>
    </row>
    <row r="562" spans="1:31" x14ac:dyDescent="0.2">
      <c r="A562" s="239" t="s">
        <v>57</v>
      </c>
      <c r="B562" s="239" t="s">
        <v>2</v>
      </c>
      <c r="C562" s="239" t="s">
        <v>58</v>
      </c>
      <c r="D562" s="183">
        <v>130040670043095</v>
      </c>
      <c r="E562" s="239" t="s">
        <v>42</v>
      </c>
      <c r="F562" s="239" t="s">
        <v>60</v>
      </c>
      <c r="G562" s="241" t="s">
        <v>44</v>
      </c>
      <c r="H562" s="239">
        <v>2025</v>
      </c>
      <c r="I562" s="239">
        <v>1</v>
      </c>
      <c r="J562" s="242">
        <v>45694</v>
      </c>
      <c r="K562" s="245">
        <v>1</v>
      </c>
      <c r="L562" s="119">
        <v>2.36</v>
      </c>
      <c r="M562" s="119">
        <v>2.36</v>
      </c>
      <c r="N562" s="119">
        <v>0</v>
      </c>
      <c r="O562" s="119">
        <f t="shared" si="120"/>
        <v>0</v>
      </c>
      <c r="P562" s="239">
        <v>1</v>
      </c>
      <c r="Q562" s="119">
        <f t="shared" si="116"/>
        <v>2.36</v>
      </c>
      <c r="R562" s="239">
        <v>0</v>
      </c>
      <c r="S562" s="246">
        <v>644603</v>
      </c>
      <c r="T562" s="149">
        <v>0</v>
      </c>
      <c r="U562" s="175">
        <v>0</v>
      </c>
      <c r="V562" s="186" t="s">
        <v>61</v>
      </c>
      <c r="W562" s="240" t="s">
        <v>184</v>
      </c>
      <c r="X562" s="323">
        <v>16.260000000000002</v>
      </c>
      <c r="Y562" s="157" t="s">
        <v>147</v>
      </c>
      <c r="Z562" s="157" t="s">
        <v>185</v>
      </c>
      <c r="AA562" s="125">
        <v>1.31</v>
      </c>
      <c r="AB562" s="126">
        <v>0</v>
      </c>
      <c r="AC562" s="126">
        <v>0</v>
      </c>
      <c r="AD562" s="127" t="s">
        <v>148</v>
      </c>
      <c r="AE562" s="157"/>
    </row>
    <row r="563" spans="1:31" x14ac:dyDescent="0.2">
      <c r="A563" s="239" t="s">
        <v>57</v>
      </c>
      <c r="B563" s="239" t="s">
        <v>2</v>
      </c>
      <c r="C563" s="239" t="s">
        <v>58</v>
      </c>
      <c r="D563" s="183">
        <v>130040670043098</v>
      </c>
      <c r="E563" s="239" t="s">
        <v>42</v>
      </c>
      <c r="F563" s="239" t="s">
        <v>60</v>
      </c>
      <c r="G563" s="241" t="s">
        <v>44</v>
      </c>
      <c r="H563" s="239">
        <v>2025</v>
      </c>
      <c r="I563" s="239">
        <v>1</v>
      </c>
      <c r="J563" s="242">
        <v>45694</v>
      </c>
      <c r="K563" s="245">
        <v>1</v>
      </c>
      <c r="L563" s="119">
        <v>2.36</v>
      </c>
      <c r="M563" s="119">
        <v>2.36</v>
      </c>
      <c r="N563" s="119">
        <v>0</v>
      </c>
      <c r="O563" s="119">
        <f t="shared" si="120"/>
        <v>0</v>
      </c>
      <c r="P563" s="239">
        <v>1</v>
      </c>
      <c r="Q563" s="119">
        <f t="shared" si="116"/>
        <v>2.36</v>
      </c>
      <c r="R563" s="239">
        <v>0</v>
      </c>
      <c r="S563" s="239"/>
      <c r="T563" s="149">
        <v>0</v>
      </c>
      <c r="U563" s="175">
        <v>0</v>
      </c>
      <c r="V563" s="186" t="s">
        <v>61</v>
      </c>
      <c r="W563" s="239" t="s">
        <v>186</v>
      </c>
      <c r="X563" s="323">
        <v>16.260000000000002</v>
      </c>
      <c r="Y563" s="157" t="s">
        <v>147</v>
      </c>
      <c r="Z563" s="157" t="s">
        <v>185</v>
      </c>
      <c r="AA563" s="125">
        <v>1.31</v>
      </c>
      <c r="AB563" s="126">
        <v>0</v>
      </c>
      <c r="AC563" s="126">
        <v>0</v>
      </c>
      <c r="AD563" s="127" t="s">
        <v>148</v>
      </c>
      <c r="AE563" s="157"/>
    </row>
    <row r="564" spans="1:31" x14ac:dyDescent="0.2">
      <c r="A564" s="239" t="s">
        <v>57</v>
      </c>
      <c r="B564" s="239" t="s">
        <v>2</v>
      </c>
      <c r="C564" s="239" t="s">
        <v>58</v>
      </c>
      <c r="D564" s="183">
        <v>130040670043096</v>
      </c>
      <c r="E564" s="239" t="s">
        <v>42</v>
      </c>
      <c r="F564" s="239" t="s">
        <v>60</v>
      </c>
      <c r="G564" s="241" t="s">
        <v>44</v>
      </c>
      <c r="H564" s="239">
        <v>2025</v>
      </c>
      <c r="I564" s="239">
        <v>1</v>
      </c>
      <c r="J564" s="242">
        <v>45694</v>
      </c>
      <c r="K564" s="245">
        <v>1</v>
      </c>
      <c r="L564" s="119">
        <v>2.36</v>
      </c>
      <c r="M564" s="119">
        <v>2.36</v>
      </c>
      <c r="N564" s="119">
        <v>0</v>
      </c>
      <c r="O564" s="119">
        <f t="shared" si="120"/>
        <v>0</v>
      </c>
      <c r="P564" s="239">
        <v>1</v>
      </c>
      <c r="Q564" s="119">
        <f t="shared" si="116"/>
        <v>2.36</v>
      </c>
      <c r="R564" s="239">
        <v>0</v>
      </c>
      <c r="S564" s="239"/>
      <c r="T564" s="149">
        <v>0</v>
      </c>
      <c r="U564" s="175">
        <v>0</v>
      </c>
      <c r="V564" s="186" t="s">
        <v>61</v>
      </c>
      <c r="W564" s="239" t="s">
        <v>177</v>
      </c>
      <c r="X564" s="323">
        <v>16.260000000000002</v>
      </c>
      <c r="Y564" s="157" t="s">
        <v>147</v>
      </c>
      <c r="Z564" s="157" t="s">
        <v>185</v>
      </c>
      <c r="AA564" s="125">
        <v>1.31</v>
      </c>
      <c r="AB564" s="126">
        <v>0</v>
      </c>
      <c r="AC564" s="126">
        <v>0</v>
      </c>
      <c r="AD564" s="127" t="s">
        <v>148</v>
      </c>
      <c r="AE564" s="157"/>
    </row>
    <row r="565" spans="1:31" x14ac:dyDescent="0.2">
      <c r="A565" s="239" t="s">
        <v>57</v>
      </c>
      <c r="B565" s="239" t="s">
        <v>2</v>
      </c>
      <c r="C565" s="239" t="s">
        <v>58</v>
      </c>
      <c r="D565" s="183">
        <v>130040670054811</v>
      </c>
      <c r="E565" s="239" t="s">
        <v>42</v>
      </c>
      <c r="F565" s="239" t="s">
        <v>60</v>
      </c>
      <c r="G565" s="241" t="s">
        <v>44</v>
      </c>
      <c r="H565" s="239">
        <v>2025</v>
      </c>
      <c r="I565" s="239">
        <v>1</v>
      </c>
      <c r="J565" s="242">
        <v>45694</v>
      </c>
      <c r="K565" s="245">
        <v>1</v>
      </c>
      <c r="L565" s="119">
        <v>2.36</v>
      </c>
      <c r="M565" s="119">
        <v>2.36</v>
      </c>
      <c r="N565" s="119">
        <v>0</v>
      </c>
      <c r="O565" s="119">
        <f t="shared" si="120"/>
        <v>0</v>
      </c>
      <c r="P565" s="239">
        <v>1</v>
      </c>
      <c r="Q565" s="119">
        <f t="shared" si="116"/>
        <v>2.36</v>
      </c>
      <c r="R565" s="239">
        <v>0</v>
      </c>
      <c r="S565" s="239"/>
      <c r="T565" s="149">
        <v>0</v>
      </c>
      <c r="U565" s="175">
        <v>0</v>
      </c>
      <c r="V565" s="186" t="s">
        <v>61</v>
      </c>
      <c r="W565" s="239" t="s">
        <v>187</v>
      </c>
      <c r="X565" s="323">
        <v>16.260000000000002</v>
      </c>
      <c r="Y565" s="157" t="s">
        <v>147</v>
      </c>
      <c r="Z565" s="157" t="s">
        <v>185</v>
      </c>
      <c r="AA565" s="125">
        <v>1.31</v>
      </c>
      <c r="AB565" s="126">
        <v>0</v>
      </c>
      <c r="AC565" s="126">
        <v>0</v>
      </c>
      <c r="AD565" s="127" t="s">
        <v>148</v>
      </c>
      <c r="AE565" s="157"/>
    </row>
    <row r="566" spans="1:31" x14ac:dyDescent="0.2">
      <c r="A566" s="239" t="s">
        <v>57</v>
      </c>
      <c r="B566" s="239" t="s">
        <v>2</v>
      </c>
      <c r="C566" s="239" t="s">
        <v>58</v>
      </c>
      <c r="D566" s="183">
        <v>130040670054813</v>
      </c>
      <c r="E566" s="239" t="s">
        <v>42</v>
      </c>
      <c r="F566" s="239" t="s">
        <v>60</v>
      </c>
      <c r="G566" s="241" t="s">
        <v>44</v>
      </c>
      <c r="H566" s="239">
        <v>2025</v>
      </c>
      <c r="I566" s="239">
        <v>1</v>
      </c>
      <c r="J566" s="242">
        <v>45694</v>
      </c>
      <c r="K566" s="245">
        <v>1</v>
      </c>
      <c r="L566" s="119">
        <v>2.36</v>
      </c>
      <c r="M566" s="119">
        <v>2.36</v>
      </c>
      <c r="N566" s="119">
        <v>0</v>
      </c>
      <c r="O566" s="119">
        <f t="shared" si="120"/>
        <v>0</v>
      </c>
      <c r="P566" s="239">
        <v>1</v>
      </c>
      <c r="Q566" s="119">
        <f t="shared" si="116"/>
        <v>2.36</v>
      </c>
      <c r="R566" s="239">
        <v>0</v>
      </c>
      <c r="S566" s="239"/>
      <c r="T566" s="149">
        <v>0</v>
      </c>
      <c r="U566" s="175">
        <v>0</v>
      </c>
      <c r="V566" s="186" t="s">
        <v>61</v>
      </c>
      <c r="W566" s="239" t="s">
        <v>188</v>
      </c>
      <c r="X566" s="323">
        <v>16.260000000000002</v>
      </c>
      <c r="Y566" s="157" t="s">
        <v>147</v>
      </c>
      <c r="Z566" s="157" t="s">
        <v>185</v>
      </c>
      <c r="AA566" s="125">
        <v>1.31</v>
      </c>
      <c r="AB566" s="126">
        <v>0</v>
      </c>
      <c r="AC566" s="126">
        <v>0</v>
      </c>
      <c r="AD566" s="127" t="s">
        <v>148</v>
      </c>
      <c r="AE566" s="157"/>
    </row>
    <row r="567" spans="1:31" x14ac:dyDescent="0.2">
      <c r="A567" s="239" t="s">
        <v>57</v>
      </c>
      <c r="B567" s="239" t="s">
        <v>2</v>
      </c>
      <c r="C567" s="239" t="s">
        <v>64</v>
      </c>
      <c r="D567" s="183">
        <v>130020670058316</v>
      </c>
      <c r="E567" s="239" t="s">
        <v>42</v>
      </c>
      <c r="F567" s="239" t="s">
        <v>60</v>
      </c>
      <c r="G567" s="241" t="s">
        <v>44</v>
      </c>
      <c r="H567" s="239">
        <v>2025</v>
      </c>
      <c r="I567" s="239">
        <v>1</v>
      </c>
      <c r="J567" s="242">
        <v>45694</v>
      </c>
      <c r="K567" s="245">
        <v>1</v>
      </c>
      <c r="L567" s="119">
        <v>2.3199999999999998</v>
      </c>
      <c r="M567" s="119">
        <v>2.3199999999999998</v>
      </c>
      <c r="N567" s="119">
        <v>0</v>
      </c>
      <c r="O567" s="119">
        <f t="shared" si="120"/>
        <v>0</v>
      </c>
      <c r="P567" s="239">
        <v>1</v>
      </c>
      <c r="Q567" s="119">
        <f t="shared" si="116"/>
        <v>2.3199999999999998</v>
      </c>
      <c r="R567" s="239">
        <v>0</v>
      </c>
      <c r="S567" s="246">
        <v>686982</v>
      </c>
      <c r="T567" s="149">
        <v>0</v>
      </c>
      <c r="U567" s="175">
        <v>0</v>
      </c>
      <c r="V567" s="186" t="s">
        <v>61</v>
      </c>
      <c r="W567" s="239" t="s">
        <v>188</v>
      </c>
      <c r="X567" s="323">
        <v>8.3000000000000007</v>
      </c>
      <c r="Y567" s="157" t="s">
        <v>147</v>
      </c>
      <c r="Z567" s="157" t="s">
        <v>185</v>
      </c>
      <c r="AA567" s="125">
        <v>1.43</v>
      </c>
      <c r="AB567" s="126">
        <v>0</v>
      </c>
      <c r="AC567" s="126">
        <v>0</v>
      </c>
      <c r="AD567" s="127" t="s">
        <v>148</v>
      </c>
      <c r="AE567" s="157"/>
    </row>
    <row r="568" spans="1:31" x14ac:dyDescent="0.2">
      <c r="A568" s="239" t="s">
        <v>57</v>
      </c>
      <c r="B568" s="239" t="s">
        <v>2</v>
      </c>
      <c r="C568" s="239" t="s">
        <v>64</v>
      </c>
      <c r="D568" s="183">
        <v>130020670058313</v>
      </c>
      <c r="E568" s="239" t="s">
        <v>42</v>
      </c>
      <c r="F568" s="239" t="s">
        <v>60</v>
      </c>
      <c r="G568" s="241" t="s">
        <v>44</v>
      </c>
      <c r="H568" s="239">
        <v>2025</v>
      </c>
      <c r="I568" s="239">
        <v>1</v>
      </c>
      <c r="J568" s="242">
        <v>45694</v>
      </c>
      <c r="K568" s="245">
        <v>1</v>
      </c>
      <c r="L568" s="119">
        <v>2.3199999999999998</v>
      </c>
      <c r="M568" s="119">
        <v>2.3199999999999998</v>
      </c>
      <c r="N568" s="119">
        <v>0</v>
      </c>
      <c r="O568" s="119">
        <f t="shared" si="120"/>
        <v>0</v>
      </c>
      <c r="P568" s="239">
        <v>1</v>
      </c>
      <c r="Q568" s="119">
        <f t="shared" si="116"/>
        <v>2.3199999999999998</v>
      </c>
      <c r="R568" s="239">
        <v>0</v>
      </c>
      <c r="S568" s="239"/>
      <c r="T568" s="149">
        <v>0</v>
      </c>
      <c r="U568" s="175">
        <v>0</v>
      </c>
      <c r="V568" s="186" t="s">
        <v>61</v>
      </c>
      <c r="W568" s="239" t="s">
        <v>189</v>
      </c>
      <c r="X568" s="323">
        <v>8.3000000000000007</v>
      </c>
      <c r="Y568" s="157" t="s">
        <v>147</v>
      </c>
      <c r="Z568" s="157" t="s">
        <v>185</v>
      </c>
      <c r="AA568" s="125">
        <v>1.43</v>
      </c>
      <c r="AB568" s="126">
        <v>0</v>
      </c>
      <c r="AC568" s="126">
        <v>0</v>
      </c>
      <c r="AD568" s="127" t="s">
        <v>148</v>
      </c>
      <c r="AE568" s="157"/>
    </row>
    <row r="569" spans="1:31" x14ac:dyDescent="0.2">
      <c r="A569" s="239" t="s">
        <v>57</v>
      </c>
      <c r="B569" s="239" t="s">
        <v>2</v>
      </c>
      <c r="C569" s="239" t="s">
        <v>64</v>
      </c>
      <c r="D569" s="183">
        <v>130040670028165</v>
      </c>
      <c r="E569" s="239" t="s">
        <v>42</v>
      </c>
      <c r="F569" s="239" t="s">
        <v>60</v>
      </c>
      <c r="G569" s="241" t="s">
        <v>44</v>
      </c>
      <c r="H569" s="239">
        <v>2025</v>
      </c>
      <c r="I569" s="239">
        <v>1</v>
      </c>
      <c r="J569" s="242">
        <v>45694</v>
      </c>
      <c r="K569" s="245">
        <v>1</v>
      </c>
      <c r="L569" s="119">
        <v>2.3199999999999998</v>
      </c>
      <c r="M569" s="119">
        <v>2.3199999999999998</v>
      </c>
      <c r="N569" s="119">
        <v>0</v>
      </c>
      <c r="O569" s="119">
        <f t="shared" si="120"/>
        <v>0</v>
      </c>
      <c r="P569" s="239">
        <v>1</v>
      </c>
      <c r="Q569" s="119">
        <f t="shared" si="116"/>
        <v>2.3199999999999998</v>
      </c>
      <c r="R569" s="239">
        <v>0</v>
      </c>
      <c r="S569" s="239"/>
      <c r="T569" s="149">
        <v>0</v>
      </c>
      <c r="U569" s="175">
        <v>0</v>
      </c>
      <c r="V569" s="186" t="s">
        <v>61</v>
      </c>
      <c r="W569" s="240" t="s">
        <v>184</v>
      </c>
      <c r="X569" s="323">
        <v>8.3000000000000007</v>
      </c>
      <c r="Y569" s="157" t="s">
        <v>147</v>
      </c>
      <c r="Z569" s="157" t="s">
        <v>185</v>
      </c>
      <c r="AA569" s="125">
        <v>1.43</v>
      </c>
      <c r="AB569" s="126">
        <v>0</v>
      </c>
      <c r="AC569" s="126">
        <v>0</v>
      </c>
      <c r="AD569" s="127" t="s">
        <v>148</v>
      </c>
      <c r="AE569" s="157"/>
    </row>
    <row r="570" spans="1:31" x14ac:dyDescent="0.2">
      <c r="A570" s="239" t="s">
        <v>57</v>
      </c>
      <c r="B570" s="239" t="s">
        <v>2</v>
      </c>
      <c r="C570" s="239" t="s">
        <v>64</v>
      </c>
      <c r="D570" s="183">
        <v>130040670028166</v>
      </c>
      <c r="E570" s="239" t="s">
        <v>42</v>
      </c>
      <c r="F570" s="239" t="s">
        <v>60</v>
      </c>
      <c r="G570" s="241" t="s">
        <v>44</v>
      </c>
      <c r="H570" s="239">
        <v>2025</v>
      </c>
      <c r="I570" s="239">
        <v>1</v>
      </c>
      <c r="J570" s="242">
        <v>45694</v>
      </c>
      <c r="K570" s="245">
        <v>1</v>
      </c>
      <c r="L570" s="119">
        <v>2.3199999999999998</v>
      </c>
      <c r="M570" s="119">
        <v>2.3199999999999998</v>
      </c>
      <c r="N570" s="119">
        <v>0</v>
      </c>
      <c r="O570" s="119">
        <f t="shared" si="120"/>
        <v>0</v>
      </c>
      <c r="P570" s="239">
        <v>1</v>
      </c>
      <c r="Q570" s="119">
        <f t="shared" si="116"/>
        <v>2.3199999999999998</v>
      </c>
      <c r="R570" s="239">
        <v>0</v>
      </c>
      <c r="S570" s="239"/>
      <c r="T570" s="149">
        <v>0</v>
      </c>
      <c r="U570" s="175">
        <v>0</v>
      </c>
      <c r="V570" s="186" t="s">
        <v>61</v>
      </c>
      <c r="W570" s="239" t="s">
        <v>186</v>
      </c>
      <c r="X570" s="323">
        <v>8.3000000000000007</v>
      </c>
      <c r="Y570" s="157" t="s">
        <v>147</v>
      </c>
      <c r="Z570" s="157" t="s">
        <v>185</v>
      </c>
      <c r="AA570" s="125">
        <v>1.43</v>
      </c>
      <c r="AB570" s="126">
        <v>0</v>
      </c>
      <c r="AC570" s="126">
        <v>0</v>
      </c>
      <c r="AD570" s="127" t="s">
        <v>148</v>
      </c>
      <c r="AE570" s="157"/>
    </row>
    <row r="571" spans="1:31" x14ac:dyDescent="0.2">
      <c r="A571" s="239" t="s">
        <v>57</v>
      </c>
      <c r="B571" s="239" t="s">
        <v>2</v>
      </c>
      <c r="C571" s="239" t="s">
        <v>64</v>
      </c>
      <c r="D571" s="183">
        <v>130040670028167</v>
      </c>
      <c r="E571" s="239" t="s">
        <v>42</v>
      </c>
      <c r="F571" s="239" t="s">
        <v>60</v>
      </c>
      <c r="G571" s="241" t="s">
        <v>44</v>
      </c>
      <c r="H571" s="239">
        <v>2025</v>
      </c>
      <c r="I571" s="239">
        <v>1</v>
      </c>
      <c r="J571" s="242">
        <v>45694</v>
      </c>
      <c r="K571" s="245">
        <v>1</v>
      </c>
      <c r="L571" s="119">
        <v>2.3199999999999998</v>
      </c>
      <c r="M571" s="119">
        <v>2.3199999999999998</v>
      </c>
      <c r="N571" s="119">
        <v>0</v>
      </c>
      <c r="O571" s="119">
        <f t="shared" si="120"/>
        <v>0</v>
      </c>
      <c r="P571" s="239">
        <v>1</v>
      </c>
      <c r="Q571" s="119">
        <f t="shared" si="116"/>
        <v>2.3199999999999998</v>
      </c>
      <c r="R571" s="239">
        <v>0</v>
      </c>
      <c r="S571" s="239"/>
      <c r="T571" s="149">
        <v>0</v>
      </c>
      <c r="U571" s="175">
        <v>0</v>
      </c>
      <c r="V571" s="186" t="s">
        <v>61</v>
      </c>
      <c r="W571" s="239" t="s">
        <v>177</v>
      </c>
      <c r="X571" s="323">
        <v>8.3000000000000007</v>
      </c>
      <c r="Y571" s="157" t="s">
        <v>147</v>
      </c>
      <c r="Z571" s="157" t="s">
        <v>185</v>
      </c>
      <c r="AA571" s="125">
        <v>1.43</v>
      </c>
      <c r="AB571" s="126">
        <v>0</v>
      </c>
      <c r="AC571" s="126">
        <v>0</v>
      </c>
      <c r="AD571" s="127" t="s">
        <v>148</v>
      </c>
      <c r="AE571" s="157"/>
    </row>
    <row r="572" spans="1:31" x14ac:dyDescent="0.2">
      <c r="A572" s="239" t="s">
        <v>57</v>
      </c>
      <c r="B572" s="239" t="s">
        <v>2</v>
      </c>
      <c r="C572" s="239" t="s">
        <v>64</v>
      </c>
      <c r="D572" s="183">
        <v>130040670028168</v>
      </c>
      <c r="E572" s="239" t="s">
        <v>42</v>
      </c>
      <c r="F572" s="239" t="s">
        <v>60</v>
      </c>
      <c r="G572" s="241" t="s">
        <v>44</v>
      </c>
      <c r="H572" s="239">
        <v>2025</v>
      </c>
      <c r="I572" s="239">
        <v>1</v>
      </c>
      <c r="J572" s="242">
        <v>45694</v>
      </c>
      <c r="K572" s="245">
        <v>1</v>
      </c>
      <c r="L572" s="119">
        <v>2.3199999999999998</v>
      </c>
      <c r="M572" s="119">
        <v>2.3199999999999998</v>
      </c>
      <c r="N572" s="119">
        <v>0</v>
      </c>
      <c r="O572" s="119">
        <f t="shared" si="120"/>
        <v>0</v>
      </c>
      <c r="P572" s="239">
        <v>1</v>
      </c>
      <c r="Q572" s="119">
        <f t="shared" si="116"/>
        <v>2.3199999999999998</v>
      </c>
      <c r="R572" s="239">
        <v>0</v>
      </c>
      <c r="S572" s="239"/>
      <c r="T572" s="149">
        <v>0</v>
      </c>
      <c r="U572" s="175">
        <v>0</v>
      </c>
      <c r="V572" s="186" t="s">
        <v>61</v>
      </c>
      <c r="W572" s="240" t="s">
        <v>184</v>
      </c>
      <c r="X572" s="323">
        <v>8.3000000000000007</v>
      </c>
      <c r="Y572" s="157" t="s">
        <v>147</v>
      </c>
      <c r="Z572" s="157" t="s">
        <v>185</v>
      </c>
      <c r="AA572" s="125">
        <v>1.43</v>
      </c>
      <c r="AB572" s="126">
        <v>0</v>
      </c>
      <c r="AC572" s="126">
        <v>0</v>
      </c>
      <c r="AD572" s="127" t="s">
        <v>148</v>
      </c>
      <c r="AE572" s="157"/>
    </row>
    <row r="573" spans="1:31" x14ac:dyDescent="0.2">
      <c r="A573" s="239" t="s">
        <v>57</v>
      </c>
      <c r="B573" s="239" t="s">
        <v>2</v>
      </c>
      <c r="C573" s="239" t="s">
        <v>64</v>
      </c>
      <c r="D573" s="183">
        <v>130040670028169</v>
      </c>
      <c r="E573" s="239" t="s">
        <v>42</v>
      </c>
      <c r="F573" s="239" t="s">
        <v>60</v>
      </c>
      <c r="G573" s="241" t="s">
        <v>44</v>
      </c>
      <c r="H573" s="239">
        <v>2025</v>
      </c>
      <c r="I573" s="239">
        <v>1</v>
      </c>
      <c r="J573" s="242">
        <v>45694</v>
      </c>
      <c r="K573" s="245">
        <v>1</v>
      </c>
      <c r="L573" s="119">
        <v>2.3199999999999998</v>
      </c>
      <c r="M573" s="119">
        <v>2.3199999999999998</v>
      </c>
      <c r="N573" s="119">
        <v>0</v>
      </c>
      <c r="O573" s="119">
        <f t="shared" si="120"/>
        <v>0</v>
      </c>
      <c r="P573" s="239">
        <v>1</v>
      </c>
      <c r="Q573" s="119">
        <f t="shared" si="116"/>
        <v>2.3199999999999998</v>
      </c>
      <c r="R573" s="239">
        <v>0</v>
      </c>
      <c r="S573" s="239"/>
      <c r="T573" s="149">
        <v>0</v>
      </c>
      <c r="U573" s="175">
        <v>0</v>
      </c>
      <c r="V573" s="186" t="s">
        <v>61</v>
      </c>
      <c r="W573" s="239" t="s">
        <v>186</v>
      </c>
      <c r="X573" s="323">
        <v>8.3000000000000007</v>
      </c>
      <c r="Y573" s="157" t="s">
        <v>147</v>
      </c>
      <c r="Z573" s="157" t="s">
        <v>185</v>
      </c>
      <c r="AA573" s="125">
        <v>1.43</v>
      </c>
      <c r="AB573" s="126">
        <v>0</v>
      </c>
      <c r="AC573" s="126">
        <v>0</v>
      </c>
      <c r="AD573" s="127" t="s">
        <v>148</v>
      </c>
      <c r="AE573" s="157"/>
    </row>
    <row r="574" spans="1:31" x14ac:dyDescent="0.2">
      <c r="A574" s="239" t="s">
        <v>57</v>
      </c>
      <c r="B574" s="239" t="s">
        <v>2</v>
      </c>
      <c r="C574" s="239" t="s">
        <v>64</v>
      </c>
      <c r="D574" s="183">
        <v>130040670028170</v>
      </c>
      <c r="E574" s="239" t="s">
        <v>42</v>
      </c>
      <c r="F574" s="239" t="s">
        <v>60</v>
      </c>
      <c r="G574" s="241" t="s">
        <v>44</v>
      </c>
      <c r="H574" s="239">
        <v>2025</v>
      </c>
      <c r="I574" s="239">
        <v>1</v>
      </c>
      <c r="J574" s="242">
        <v>45694</v>
      </c>
      <c r="K574" s="245">
        <v>1</v>
      </c>
      <c r="L574" s="119">
        <v>2.3199999999999998</v>
      </c>
      <c r="M574" s="119">
        <v>2.3199999999999998</v>
      </c>
      <c r="N574" s="119">
        <v>0</v>
      </c>
      <c r="O574" s="119">
        <f t="shared" si="120"/>
        <v>0</v>
      </c>
      <c r="P574" s="239">
        <v>1</v>
      </c>
      <c r="Q574" s="119">
        <f t="shared" si="116"/>
        <v>2.3199999999999998</v>
      </c>
      <c r="R574" s="239">
        <v>0</v>
      </c>
      <c r="S574" s="239"/>
      <c r="T574" s="149">
        <v>0</v>
      </c>
      <c r="U574" s="175">
        <v>0</v>
      </c>
      <c r="V574" s="186" t="s">
        <v>61</v>
      </c>
      <c r="W574" s="239" t="s">
        <v>177</v>
      </c>
      <c r="X574" s="323">
        <v>8.3000000000000007</v>
      </c>
      <c r="Y574" s="157" t="s">
        <v>147</v>
      </c>
      <c r="Z574" s="157" t="s">
        <v>185</v>
      </c>
      <c r="AA574" s="125">
        <v>1.43</v>
      </c>
      <c r="AB574" s="126">
        <v>0</v>
      </c>
      <c r="AC574" s="126">
        <v>0</v>
      </c>
      <c r="AD574" s="127" t="s">
        <v>148</v>
      </c>
      <c r="AE574" s="157"/>
    </row>
    <row r="575" spans="1:31" x14ac:dyDescent="0.2">
      <c r="A575" s="239" t="s">
        <v>57</v>
      </c>
      <c r="B575" s="239" t="s">
        <v>2</v>
      </c>
      <c r="C575" s="239" t="s">
        <v>66</v>
      </c>
      <c r="D575" s="183">
        <v>130020670058317</v>
      </c>
      <c r="E575" s="239" t="s">
        <v>42</v>
      </c>
      <c r="F575" s="239" t="s">
        <v>60</v>
      </c>
      <c r="G575" s="241" t="s">
        <v>44</v>
      </c>
      <c r="H575" s="239">
        <v>2025</v>
      </c>
      <c r="I575" s="239">
        <v>1</v>
      </c>
      <c r="J575" s="242">
        <v>45694</v>
      </c>
      <c r="K575" s="245">
        <v>1</v>
      </c>
      <c r="L575" s="119">
        <v>0.38</v>
      </c>
      <c r="M575" s="119">
        <v>0.38</v>
      </c>
      <c r="N575" s="119">
        <v>0</v>
      </c>
      <c r="O575" s="119">
        <f t="shared" si="120"/>
        <v>0</v>
      </c>
      <c r="P575" s="239">
        <v>1</v>
      </c>
      <c r="Q575" s="119">
        <f t="shared" si="116"/>
        <v>0.38</v>
      </c>
      <c r="R575" s="239">
        <v>0</v>
      </c>
      <c r="S575" s="246">
        <v>665191</v>
      </c>
      <c r="T575" s="149">
        <v>0</v>
      </c>
      <c r="U575" s="175">
        <v>0</v>
      </c>
      <c r="V575" s="186" t="s">
        <v>61</v>
      </c>
      <c r="W575" s="239" t="s">
        <v>189</v>
      </c>
      <c r="X575" s="323">
        <v>0.56999999999999995</v>
      </c>
      <c r="Y575" s="157" t="s">
        <v>147</v>
      </c>
      <c r="Z575" s="157"/>
      <c r="AA575" s="125">
        <v>0</v>
      </c>
      <c r="AB575" s="126">
        <v>0</v>
      </c>
      <c r="AC575" s="126">
        <v>0</v>
      </c>
      <c r="AD575" s="127" t="s">
        <v>148</v>
      </c>
      <c r="AE575" s="157"/>
    </row>
    <row r="576" spans="1:31" x14ac:dyDescent="0.2">
      <c r="A576" s="239" t="s">
        <v>57</v>
      </c>
      <c r="B576" s="239" t="s">
        <v>2</v>
      </c>
      <c r="C576" s="239" t="s">
        <v>66</v>
      </c>
      <c r="D576" s="183">
        <v>130020670058314</v>
      </c>
      <c r="E576" s="239" t="s">
        <v>42</v>
      </c>
      <c r="F576" s="239" t="s">
        <v>60</v>
      </c>
      <c r="G576" s="241" t="s">
        <v>44</v>
      </c>
      <c r="H576" s="239">
        <v>2025</v>
      </c>
      <c r="I576" s="239">
        <v>1</v>
      </c>
      <c r="J576" s="242">
        <v>45694</v>
      </c>
      <c r="K576" s="245">
        <v>1</v>
      </c>
      <c r="L576" s="119">
        <v>0.38</v>
      </c>
      <c r="M576" s="119">
        <v>0.38</v>
      </c>
      <c r="N576" s="119">
        <v>0</v>
      </c>
      <c r="O576" s="119">
        <f t="shared" si="120"/>
        <v>0</v>
      </c>
      <c r="P576" s="239">
        <v>1</v>
      </c>
      <c r="Q576" s="119">
        <f t="shared" si="116"/>
        <v>0.38</v>
      </c>
      <c r="R576" s="239">
        <v>0</v>
      </c>
      <c r="S576" s="239"/>
      <c r="T576" s="149">
        <v>0</v>
      </c>
      <c r="U576" s="175">
        <v>0</v>
      </c>
      <c r="V576" s="186" t="s">
        <v>61</v>
      </c>
      <c r="W576" s="239" t="s">
        <v>190</v>
      </c>
      <c r="X576" s="323">
        <v>0.56999999999999995</v>
      </c>
      <c r="Y576" s="157" t="s">
        <v>147</v>
      </c>
      <c r="Z576" s="157"/>
      <c r="AA576" s="125">
        <v>0</v>
      </c>
      <c r="AB576" s="126">
        <v>0</v>
      </c>
      <c r="AC576" s="126">
        <v>0</v>
      </c>
      <c r="AD576" s="127" t="s">
        <v>148</v>
      </c>
      <c r="AE576" s="157"/>
    </row>
    <row r="577" spans="1:31" x14ac:dyDescent="0.2">
      <c r="A577" s="239" t="s">
        <v>57</v>
      </c>
      <c r="B577" s="239" t="s">
        <v>2</v>
      </c>
      <c r="C577" s="239" t="s">
        <v>68</v>
      </c>
      <c r="D577" s="183">
        <v>130040670021262</v>
      </c>
      <c r="E577" s="239" t="s">
        <v>42</v>
      </c>
      <c r="F577" s="239" t="s">
        <v>60</v>
      </c>
      <c r="G577" s="241" t="s">
        <v>44</v>
      </c>
      <c r="H577" s="239">
        <v>2025</v>
      </c>
      <c r="I577" s="239">
        <v>1</v>
      </c>
      <c r="J577" s="242">
        <v>45694</v>
      </c>
      <c r="K577" s="245">
        <v>1</v>
      </c>
      <c r="L577" s="119">
        <v>0.38</v>
      </c>
      <c r="M577" s="119">
        <v>0.38</v>
      </c>
      <c r="N577" s="119">
        <v>0</v>
      </c>
      <c r="O577" s="119">
        <f t="shared" si="120"/>
        <v>0</v>
      </c>
      <c r="P577" s="239">
        <v>1</v>
      </c>
      <c r="Q577" s="119">
        <f t="shared" si="116"/>
        <v>0.38</v>
      </c>
      <c r="R577" s="239">
        <v>0</v>
      </c>
      <c r="S577" s="246">
        <v>655070</v>
      </c>
      <c r="T577" s="149">
        <v>0</v>
      </c>
      <c r="U577" s="175">
        <v>0</v>
      </c>
      <c r="V577" s="186" t="s">
        <v>70</v>
      </c>
      <c r="W577" s="239" t="s">
        <v>177</v>
      </c>
      <c r="X577" s="323">
        <v>1.87</v>
      </c>
      <c r="Y577" s="157" t="s">
        <v>149</v>
      </c>
      <c r="Z577" s="157"/>
      <c r="AA577" s="125">
        <v>0</v>
      </c>
      <c r="AB577" s="126">
        <v>0</v>
      </c>
      <c r="AC577" s="126">
        <v>0</v>
      </c>
      <c r="AD577" s="127" t="s">
        <v>148</v>
      </c>
      <c r="AE577" s="157"/>
    </row>
    <row r="578" spans="1:31" x14ac:dyDescent="0.2">
      <c r="A578" s="239" t="s">
        <v>72</v>
      </c>
      <c r="B578" s="239" t="s">
        <v>2</v>
      </c>
      <c r="C578" s="239" t="s">
        <v>73</v>
      </c>
      <c r="D578" s="183">
        <v>130020670031776</v>
      </c>
      <c r="E578" s="239" t="s">
        <v>42</v>
      </c>
      <c r="F578" s="239" t="s">
        <v>60</v>
      </c>
      <c r="G578" s="241" t="s">
        <v>44</v>
      </c>
      <c r="H578" s="239">
        <v>2025</v>
      </c>
      <c r="I578" s="239">
        <v>1</v>
      </c>
      <c r="J578" s="242">
        <v>45694</v>
      </c>
      <c r="K578" s="245">
        <v>0.3</v>
      </c>
      <c r="L578" s="119">
        <v>1.88</v>
      </c>
      <c r="M578" s="119">
        <v>1.91</v>
      </c>
      <c r="N578" s="119">
        <v>0.04</v>
      </c>
      <c r="O578" s="119">
        <f t="shared" si="120"/>
        <v>1.2E-2</v>
      </c>
      <c r="P578" s="239">
        <v>1</v>
      </c>
      <c r="Q578" s="119">
        <f t="shared" si="116"/>
        <v>1.88</v>
      </c>
      <c r="R578" s="246">
        <v>714350</v>
      </c>
      <c r="S578" s="246">
        <v>3031329</v>
      </c>
      <c r="T578" s="149">
        <v>280000</v>
      </c>
      <c r="U578" s="175">
        <v>173777.36</v>
      </c>
      <c r="V578" s="186" t="s">
        <v>75</v>
      </c>
      <c r="W578" s="239" t="s">
        <v>177</v>
      </c>
      <c r="X578" s="323">
        <v>6.54</v>
      </c>
      <c r="Y578" s="157" t="s">
        <v>147</v>
      </c>
      <c r="Z578" s="157" t="s">
        <v>185</v>
      </c>
      <c r="AA578" s="125">
        <v>1.2</v>
      </c>
      <c r="AB578" s="126">
        <v>875898.26</v>
      </c>
      <c r="AC578" s="126">
        <v>549600</v>
      </c>
      <c r="AD578" s="127">
        <v>2995</v>
      </c>
      <c r="AE578" s="157"/>
    </row>
    <row r="579" spans="1:31" x14ac:dyDescent="0.2">
      <c r="A579" s="239" t="s">
        <v>72</v>
      </c>
      <c r="B579" s="239" t="s">
        <v>2</v>
      </c>
      <c r="C579" s="239" t="s">
        <v>76</v>
      </c>
      <c r="D579" s="183">
        <v>130020670034027</v>
      </c>
      <c r="E579" s="239" t="s">
        <v>42</v>
      </c>
      <c r="F579" s="239" t="s">
        <v>60</v>
      </c>
      <c r="G579" s="241" t="s">
        <v>44</v>
      </c>
      <c r="H579" s="239">
        <v>2025</v>
      </c>
      <c r="I579" s="239">
        <v>1</v>
      </c>
      <c r="J579" s="242">
        <v>45694</v>
      </c>
      <c r="K579" s="245">
        <v>0.3</v>
      </c>
      <c r="L579" s="119">
        <v>0.27</v>
      </c>
      <c r="M579" s="119">
        <v>0.33</v>
      </c>
      <c r="N579" s="119">
        <v>0.06</v>
      </c>
      <c r="O579" s="119">
        <f t="shared" si="120"/>
        <v>1.7999999999999999E-2</v>
      </c>
      <c r="P579" s="239">
        <v>1</v>
      </c>
      <c r="Q579" s="119">
        <f t="shared" si="116"/>
        <v>0.27</v>
      </c>
      <c r="R579" s="246">
        <v>122506</v>
      </c>
      <c r="S579" s="246">
        <v>2407487</v>
      </c>
      <c r="T579" s="149">
        <v>460000</v>
      </c>
      <c r="U579" s="175">
        <v>321670.78999999998</v>
      </c>
      <c r="V579" s="186" t="s">
        <v>75</v>
      </c>
      <c r="W579" s="239" t="s">
        <v>177</v>
      </c>
      <c r="X579" s="323">
        <v>3.32</v>
      </c>
      <c r="Y579" s="157" t="s">
        <v>147</v>
      </c>
      <c r="Z579" s="157"/>
      <c r="AA579" s="125">
        <v>0</v>
      </c>
      <c r="AB579" s="126">
        <v>40532.080000000002</v>
      </c>
      <c r="AC579" s="126">
        <v>0</v>
      </c>
      <c r="AD579" s="127">
        <v>407</v>
      </c>
      <c r="AE579" s="157"/>
    </row>
    <row r="580" spans="1:31" x14ac:dyDescent="0.2">
      <c r="A580" s="239" t="s">
        <v>72</v>
      </c>
      <c r="B580" s="239" t="s">
        <v>2</v>
      </c>
      <c r="C580" s="239" t="s">
        <v>76</v>
      </c>
      <c r="D580" s="183">
        <v>130020670034026</v>
      </c>
      <c r="E580" s="239" t="s">
        <v>42</v>
      </c>
      <c r="F580" s="239" t="s">
        <v>60</v>
      </c>
      <c r="G580" s="241" t="s">
        <v>44</v>
      </c>
      <c r="H580" s="239">
        <v>2025</v>
      </c>
      <c r="I580" s="239">
        <v>1</v>
      </c>
      <c r="J580" s="242">
        <v>45694</v>
      </c>
      <c r="K580" s="245">
        <v>0.3</v>
      </c>
      <c r="L580" s="119">
        <v>0.27</v>
      </c>
      <c r="M580" s="119">
        <v>0.33</v>
      </c>
      <c r="N580" s="119">
        <v>0.06</v>
      </c>
      <c r="O580" s="119">
        <f t="shared" si="120"/>
        <v>1.7999999999999999E-2</v>
      </c>
      <c r="P580" s="239">
        <v>1</v>
      </c>
      <c r="Q580" s="119">
        <f t="shared" si="116"/>
        <v>0.27</v>
      </c>
      <c r="R580" s="246">
        <v>107520</v>
      </c>
      <c r="S580" s="246">
        <v>107520</v>
      </c>
      <c r="T580" s="149"/>
      <c r="U580" s="175"/>
      <c r="V580" s="186" t="s">
        <v>75</v>
      </c>
      <c r="W580" s="239" t="s">
        <v>188</v>
      </c>
      <c r="X580" s="323">
        <v>3.32</v>
      </c>
      <c r="Y580" s="157" t="s">
        <v>147</v>
      </c>
      <c r="Z580" s="157"/>
      <c r="AA580" s="125">
        <v>0</v>
      </c>
      <c r="AB580" s="126">
        <v>35573.839999999997</v>
      </c>
      <c r="AC580" s="126">
        <v>0</v>
      </c>
      <c r="AD580" s="127">
        <v>357</v>
      </c>
      <c r="AE580" s="157"/>
    </row>
    <row r="581" spans="1:31" x14ac:dyDescent="0.2">
      <c r="A581" s="239" t="s">
        <v>72</v>
      </c>
      <c r="B581" s="239" t="s">
        <v>2</v>
      </c>
      <c r="C581" s="239" t="s">
        <v>76</v>
      </c>
      <c r="D581" s="183">
        <v>130020670034025</v>
      </c>
      <c r="E581" s="239" t="s">
        <v>42</v>
      </c>
      <c r="F581" s="239" t="s">
        <v>60</v>
      </c>
      <c r="G581" s="241" t="s">
        <v>44</v>
      </c>
      <c r="H581" s="239">
        <v>2025</v>
      </c>
      <c r="I581" s="239">
        <v>1</v>
      </c>
      <c r="J581" s="242">
        <v>45694</v>
      </c>
      <c r="K581" s="245">
        <v>0.3</v>
      </c>
      <c r="L581" s="119">
        <v>0.27</v>
      </c>
      <c r="M581" s="119">
        <v>0.33</v>
      </c>
      <c r="N581" s="119">
        <v>0.06</v>
      </c>
      <c r="O581" s="119">
        <f t="shared" si="120"/>
        <v>1.7999999999999999E-2</v>
      </c>
      <c r="P581" s="239">
        <v>1</v>
      </c>
      <c r="Q581" s="119">
        <f t="shared" si="116"/>
        <v>0.27</v>
      </c>
      <c r="R581" s="246">
        <v>35086</v>
      </c>
      <c r="S581" s="246">
        <v>35086</v>
      </c>
      <c r="T581" s="149"/>
      <c r="U581" s="175"/>
      <c r="V581" s="186" t="s">
        <v>75</v>
      </c>
      <c r="W581" s="239" t="s">
        <v>191</v>
      </c>
      <c r="X581" s="323">
        <v>3.32</v>
      </c>
      <c r="Y581" s="157" t="s">
        <v>147</v>
      </c>
      <c r="Z581" s="157"/>
      <c r="AA581" s="125">
        <v>0</v>
      </c>
      <c r="AB581" s="126">
        <v>11608.48</v>
      </c>
      <c r="AC581" s="126">
        <v>0</v>
      </c>
      <c r="AD581" s="127">
        <v>116</v>
      </c>
      <c r="AE581" s="157"/>
    </row>
    <row r="582" spans="1:31" x14ac:dyDescent="0.2">
      <c r="A582" s="239" t="s">
        <v>72</v>
      </c>
      <c r="B582" s="239" t="s">
        <v>2</v>
      </c>
      <c r="C582" s="239" t="s">
        <v>76</v>
      </c>
      <c r="D582" s="183">
        <v>130020670034024</v>
      </c>
      <c r="E582" s="239" t="s">
        <v>42</v>
      </c>
      <c r="F582" s="239" t="s">
        <v>60</v>
      </c>
      <c r="G582" s="241" t="s">
        <v>44</v>
      </c>
      <c r="H582" s="239">
        <v>2025</v>
      </c>
      <c r="I582" s="239">
        <v>1</v>
      </c>
      <c r="J582" s="242">
        <v>45694</v>
      </c>
      <c r="K582" s="245">
        <v>0.3</v>
      </c>
      <c r="L582" s="119">
        <v>0.27</v>
      </c>
      <c r="M582" s="119">
        <v>0.33</v>
      </c>
      <c r="N582" s="119">
        <v>0.06</v>
      </c>
      <c r="O582" s="119">
        <f t="shared" si="120"/>
        <v>1.7999999999999999E-2</v>
      </c>
      <c r="P582" s="239">
        <v>1</v>
      </c>
      <c r="Q582" s="119">
        <f t="shared" si="116"/>
        <v>0.27</v>
      </c>
      <c r="R582" s="246">
        <v>7890</v>
      </c>
      <c r="S582" s="246">
        <v>7890</v>
      </c>
      <c r="T582" s="149"/>
      <c r="U582" s="175"/>
      <c r="V582" s="186" t="s">
        <v>75</v>
      </c>
      <c r="W582" s="239" t="s">
        <v>181</v>
      </c>
      <c r="X582" s="323">
        <v>3.32</v>
      </c>
      <c r="Y582" s="157" t="s">
        <v>147</v>
      </c>
      <c r="Z582" s="157"/>
      <c r="AA582" s="125">
        <v>0</v>
      </c>
      <c r="AB582" s="126">
        <v>2610.4699999999998</v>
      </c>
      <c r="AC582" s="126">
        <v>0</v>
      </c>
      <c r="AD582" s="127">
        <v>26</v>
      </c>
      <c r="AE582" s="157"/>
    </row>
    <row r="583" spans="1:31" x14ac:dyDescent="0.2">
      <c r="A583" s="239" t="s">
        <v>72</v>
      </c>
      <c r="B583" s="239" t="s">
        <v>2</v>
      </c>
      <c r="C583" s="239" t="s">
        <v>76</v>
      </c>
      <c r="D583" s="183">
        <v>130020670034023</v>
      </c>
      <c r="E583" s="239" t="s">
        <v>42</v>
      </c>
      <c r="F583" s="239" t="s">
        <v>60</v>
      </c>
      <c r="G583" s="241" t="s">
        <v>44</v>
      </c>
      <c r="H583" s="239">
        <v>2025</v>
      </c>
      <c r="I583" s="239">
        <v>1</v>
      </c>
      <c r="J583" s="242">
        <v>45694</v>
      </c>
      <c r="K583" s="245">
        <v>0.3</v>
      </c>
      <c r="L583" s="119">
        <v>0.27</v>
      </c>
      <c r="M583" s="119">
        <v>0.33</v>
      </c>
      <c r="N583" s="119">
        <v>0.06</v>
      </c>
      <c r="O583" s="119">
        <f t="shared" si="120"/>
        <v>1.7999999999999999E-2</v>
      </c>
      <c r="P583" s="239">
        <v>1</v>
      </c>
      <c r="Q583" s="119">
        <f t="shared" si="116"/>
        <v>0.27</v>
      </c>
      <c r="R583" s="246">
        <v>5730</v>
      </c>
      <c r="S583" s="246">
        <v>5730</v>
      </c>
      <c r="T583" s="149"/>
      <c r="U583" s="175"/>
      <c r="V583" s="186" t="s">
        <v>75</v>
      </c>
      <c r="W583" s="239" t="s">
        <v>179</v>
      </c>
      <c r="X583" s="323">
        <v>3.32</v>
      </c>
      <c r="Y583" s="157" t="s">
        <v>147</v>
      </c>
      <c r="Z583" s="157"/>
      <c r="AA583" s="125">
        <v>0</v>
      </c>
      <c r="AB583" s="126">
        <v>1895.82</v>
      </c>
      <c r="AC583" s="126">
        <v>0</v>
      </c>
      <c r="AD583" s="127">
        <v>19</v>
      </c>
      <c r="AE583" s="157"/>
    </row>
    <row r="584" spans="1:31" x14ac:dyDescent="0.2">
      <c r="A584" s="239" t="s">
        <v>72</v>
      </c>
      <c r="B584" s="239" t="s">
        <v>2</v>
      </c>
      <c r="C584" s="239" t="s">
        <v>76</v>
      </c>
      <c r="D584" s="183">
        <v>130020670034014</v>
      </c>
      <c r="E584" s="239" t="s">
        <v>42</v>
      </c>
      <c r="F584" s="239" t="s">
        <v>60</v>
      </c>
      <c r="G584" s="241" t="s">
        <v>44</v>
      </c>
      <c r="H584" s="239">
        <v>2025</v>
      </c>
      <c r="I584" s="239">
        <v>1</v>
      </c>
      <c r="J584" s="242">
        <v>45694</v>
      </c>
      <c r="K584" s="245">
        <v>0.3</v>
      </c>
      <c r="L584" s="119">
        <v>0.27</v>
      </c>
      <c r="M584" s="119">
        <v>0.33</v>
      </c>
      <c r="N584" s="119">
        <v>0.06</v>
      </c>
      <c r="O584" s="119">
        <f t="shared" si="120"/>
        <v>1.7999999999999999E-2</v>
      </c>
      <c r="P584" s="239">
        <v>1</v>
      </c>
      <c r="Q584" s="119">
        <f t="shared" si="116"/>
        <v>0.27</v>
      </c>
      <c r="R584" s="246">
        <v>97800</v>
      </c>
      <c r="S584" s="246">
        <v>97800</v>
      </c>
      <c r="T584" s="149"/>
      <c r="U584" s="175"/>
      <c r="V584" s="186" t="s">
        <v>75</v>
      </c>
      <c r="W584" s="239" t="s">
        <v>184</v>
      </c>
      <c r="X584" s="323">
        <v>3.32</v>
      </c>
      <c r="Y584" s="157" t="s">
        <v>147</v>
      </c>
      <c r="Z584" s="157"/>
      <c r="AA584" s="125">
        <v>0</v>
      </c>
      <c r="AB584" s="126">
        <v>32357.91</v>
      </c>
      <c r="AC584" s="126">
        <v>0</v>
      </c>
      <c r="AD584" s="127">
        <v>325</v>
      </c>
      <c r="AE584" s="157"/>
    </row>
    <row r="585" spans="1:31" x14ac:dyDescent="0.2">
      <c r="A585" s="239" t="s">
        <v>72</v>
      </c>
      <c r="B585" s="239" t="s">
        <v>2</v>
      </c>
      <c r="C585" s="239" t="s">
        <v>78</v>
      </c>
      <c r="D585" s="183">
        <v>130040670046310</v>
      </c>
      <c r="E585" s="239" t="s">
        <v>42</v>
      </c>
      <c r="F585" s="239" t="s">
        <v>60</v>
      </c>
      <c r="G585" s="241" t="s">
        <v>44</v>
      </c>
      <c r="H585" s="239">
        <v>2025</v>
      </c>
      <c r="I585" s="239">
        <v>1</v>
      </c>
      <c r="J585" s="242">
        <v>45694</v>
      </c>
      <c r="K585" s="245">
        <v>0.3</v>
      </c>
      <c r="L585" s="119">
        <v>0.2</v>
      </c>
      <c r="M585" s="119">
        <v>0.23</v>
      </c>
      <c r="N585" s="119">
        <v>0.03</v>
      </c>
      <c r="O585" s="119">
        <f t="shared" si="120"/>
        <v>8.9999999999999993E-3</v>
      </c>
      <c r="P585" s="239">
        <v>1</v>
      </c>
      <c r="Q585" s="119">
        <f t="shared" si="116"/>
        <v>0.2</v>
      </c>
      <c r="R585" s="246">
        <v>39141</v>
      </c>
      <c r="S585" s="246">
        <v>3001054</v>
      </c>
      <c r="T585" s="149">
        <v>420000</v>
      </c>
      <c r="U585" s="175">
        <v>341123.5</v>
      </c>
      <c r="V585" s="186" t="s">
        <v>70</v>
      </c>
      <c r="W585" s="239" t="s">
        <v>177</v>
      </c>
      <c r="X585" s="323">
        <v>4.25</v>
      </c>
      <c r="Y585" s="157" t="s">
        <v>149</v>
      </c>
      <c r="Z585" s="157"/>
      <c r="AA585" s="125">
        <v>0</v>
      </c>
      <c r="AB585" s="126">
        <v>9033.07</v>
      </c>
      <c r="AC585" s="126">
        <v>0</v>
      </c>
      <c r="AD585" s="127">
        <v>166</v>
      </c>
      <c r="AE585" s="157"/>
    </row>
    <row r="586" spans="1:31" x14ac:dyDescent="0.2">
      <c r="A586" s="239" t="s">
        <v>72</v>
      </c>
      <c r="B586" s="239" t="s">
        <v>2</v>
      </c>
      <c r="C586" s="239" t="s">
        <v>78</v>
      </c>
      <c r="D586" s="183">
        <v>130040670046308</v>
      </c>
      <c r="E586" s="239" t="s">
        <v>42</v>
      </c>
      <c r="F586" s="239" t="s">
        <v>60</v>
      </c>
      <c r="G586" s="241" t="s">
        <v>44</v>
      </c>
      <c r="H586" s="239">
        <v>2025</v>
      </c>
      <c r="I586" s="239">
        <v>1</v>
      </c>
      <c r="J586" s="242">
        <v>45694</v>
      </c>
      <c r="K586" s="245">
        <v>0.3</v>
      </c>
      <c r="L586" s="119">
        <v>0.2</v>
      </c>
      <c r="M586" s="119">
        <v>0.23</v>
      </c>
      <c r="N586" s="119">
        <v>0.03</v>
      </c>
      <c r="O586" s="119">
        <f t="shared" si="120"/>
        <v>8.9999999999999993E-3</v>
      </c>
      <c r="P586" s="239">
        <v>1</v>
      </c>
      <c r="Q586" s="119">
        <f t="shared" si="116"/>
        <v>0.2</v>
      </c>
      <c r="R586" s="246">
        <v>55500</v>
      </c>
      <c r="S586" s="246">
        <v>55500</v>
      </c>
      <c r="T586" s="149"/>
      <c r="U586" s="175"/>
      <c r="V586" s="186" t="s">
        <v>70</v>
      </c>
      <c r="W586" s="239" t="s">
        <v>191</v>
      </c>
      <c r="X586" s="323">
        <v>4.25</v>
      </c>
      <c r="Y586" s="157" t="s">
        <v>149</v>
      </c>
      <c r="Z586" s="157"/>
      <c r="AA586" s="125">
        <v>0</v>
      </c>
      <c r="AB586" s="126">
        <v>12808.45</v>
      </c>
      <c r="AC586" s="126">
        <v>0</v>
      </c>
      <c r="AD586" s="127">
        <v>236</v>
      </c>
      <c r="AE586" s="157"/>
    </row>
    <row r="587" spans="1:31" x14ac:dyDescent="0.2">
      <c r="A587" s="239" t="s">
        <v>72</v>
      </c>
      <c r="B587" s="239" t="s">
        <v>2</v>
      </c>
      <c r="C587" s="239" t="s">
        <v>66</v>
      </c>
      <c r="D587" s="183">
        <v>130020670033987</v>
      </c>
      <c r="E587" s="239" t="s">
        <v>42</v>
      </c>
      <c r="F587" s="239" t="s">
        <v>60</v>
      </c>
      <c r="G587" s="241" t="s">
        <v>44</v>
      </c>
      <c r="H587" s="239">
        <v>2025</v>
      </c>
      <c r="I587" s="239">
        <v>1</v>
      </c>
      <c r="J587" s="242">
        <v>45694</v>
      </c>
      <c r="K587" s="245">
        <v>0.3</v>
      </c>
      <c r="L587" s="119">
        <v>0.12</v>
      </c>
      <c r="M587" s="119">
        <v>0.15</v>
      </c>
      <c r="N587" s="119">
        <v>0.02</v>
      </c>
      <c r="O587" s="119">
        <f t="shared" si="120"/>
        <v>6.0000000000000001E-3</v>
      </c>
      <c r="P587" s="239">
        <v>1</v>
      </c>
      <c r="Q587" s="119">
        <f t="shared" si="116"/>
        <v>0.12</v>
      </c>
      <c r="R587" s="246">
        <v>126446</v>
      </c>
      <c r="S587" s="246">
        <v>3331369</v>
      </c>
      <c r="T587" s="149">
        <v>400000</v>
      </c>
      <c r="U587" s="175">
        <v>316839.87</v>
      </c>
      <c r="V587" s="186" t="s">
        <v>70</v>
      </c>
      <c r="W587" s="239" t="s">
        <v>177</v>
      </c>
      <c r="X587" s="323">
        <v>0.54</v>
      </c>
      <c r="Y587" s="157" t="s">
        <v>149</v>
      </c>
      <c r="Z587" s="157"/>
      <c r="AA587" s="125">
        <v>0</v>
      </c>
      <c r="AB587" s="126">
        <v>18367.89</v>
      </c>
      <c r="AC587" s="126">
        <v>0</v>
      </c>
      <c r="AD587" s="127">
        <v>68</v>
      </c>
      <c r="AE587" s="157"/>
    </row>
    <row r="588" spans="1:31" x14ac:dyDescent="0.2">
      <c r="A588" s="239" t="s">
        <v>72</v>
      </c>
      <c r="B588" s="239" t="s">
        <v>2</v>
      </c>
      <c r="C588" s="239" t="s">
        <v>66</v>
      </c>
      <c r="D588" s="183">
        <v>130020670033986</v>
      </c>
      <c r="E588" s="239" t="s">
        <v>42</v>
      </c>
      <c r="F588" s="239" t="s">
        <v>60</v>
      </c>
      <c r="G588" s="241" t="s">
        <v>44</v>
      </c>
      <c r="H588" s="239">
        <v>2025</v>
      </c>
      <c r="I588" s="239">
        <v>1</v>
      </c>
      <c r="J588" s="242">
        <v>45694</v>
      </c>
      <c r="K588" s="245">
        <v>0.3</v>
      </c>
      <c r="L588" s="119">
        <v>0.12</v>
      </c>
      <c r="M588" s="119">
        <v>0.15</v>
      </c>
      <c r="N588" s="119">
        <v>0.02</v>
      </c>
      <c r="O588" s="119">
        <f t="shared" si="120"/>
        <v>6.0000000000000001E-3</v>
      </c>
      <c r="P588" s="239">
        <v>1</v>
      </c>
      <c r="Q588" s="119">
        <f t="shared" si="116"/>
        <v>0.12</v>
      </c>
      <c r="R588" s="246">
        <v>87774</v>
      </c>
      <c r="S588" s="246">
        <v>87774</v>
      </c>
      <c r="T588" s="149"/>
      <c r="U588" s="175"/>
      <c r="V588" s="186" t="s">
        <v>70</v>
      </c>
      <c r="W588" s="239" t="s">
        <v>188</v>
      </c>
      <c r="X588" s="323">
        <v>0.54</v>
      </c>
      <c r="Y588" s="157" t="s">
        <v>149</v>
      </c>
      <c r="Z588" s="157"/>
      <c r="AA588" s="125">
        <v>0</v>
      </c>
      <c r="AB588" s="126">
        <v>12750.29</v>
      </c>
      <c r="AC588" s="126">
        <v>0</v>
      </c>
      <c r="AD588" s="127">
        <v>47</v>
      </c>
      <c r="AE588" s="157"/>
    </row>
    <row r="589" spans="1:31" x14ac:dyDescent="0.2">
      <c r="A589" s="239" t="s">
        <v>72</v>
      </c>
      <c r="B589" s="239" t="s">
        <v>2</v>
      </c>
      <c r="C589" s="239" t="s">
        <v>66</v>
      </c>
      <c r="D589" s="183">
        <v>130020670033985</v>
      </c>
      <c r="E589" s="239" t="s">
        <v>42</v>
      </c>
      <c r="F589" s="239" t="s">
        <v>60</v>
      </c>
      <c r="G589" s="241" t="s">
        <v>44</v>
      </c>
      <c r="H589" s="239">
        <v>2025</v>
      </c>
      <c r="I589" s="239">
        <v>1</v>
      </c>
      <c r="J589" s="242">
        <v>45694</v>
      </c>
      <c r="K589" s="245">
        <v>0.3</v>
      </c>
      <c r="L589" s="119">
        <v>0.12</v>
      </c>
      <c r="M589" s="119">
        <v>0.15</v>
      </c>
      <c r="N589" s="119">
        <v>0.02</v>
      </c>
      <c r="O589" s="119">
        <f t="shared" si="120"/>
        <v>6.0000000000000001E-3</v>
      </c>
      <c r="P589" s="239">
        <v>1</v>
      </c>
      <c r="Q589" s="119">
        <f t="shared" si="116"/>
        <v>0.12</v>
      </c>
      <c r="R589" s="246">
        <v>135000</v>
      </c>
      <c r="S589" s="246">
        <v>135000</v>
      </c>
      <c r="T589" s="149"/>
      <c r="U589" s="175"/>
      <c r="V589" s="186" t="s">
        <v>70</v>
      </c>
      <c r="W589" s="239" t="s">
        <v>191</v>
      </c>
      <c r="X589" s="323">
        <v>0.54</v>
      </c>
      <c r="Y589" s="157" t="s">
        <v>149</v>
      </c>
      <c r="Z589" s="157"/>
      <c r="AA589" s="125">
        <v>0</v>
      </c>
      <c r="AB589" s="126">
        <v>19610.47</v>
      </c>
      <c r="AC589" s="126">
        <v>0</v>
      </c>
      <c r="AD589" s="127">
        <v>73</v>
      </c>
      <c r="AE589" s="157"/>
    </row>
    <row r="590" spans="1:31" x14ac:dyDescent="0.2">
      <c r="A590" s="239" t="s">
        <v>72</v>
      </c>
      <c r="B590" s="239" t="s">
        <v>2</v>
      </c>
      <c r="C590" s="239" t="s">
        <v>66</v>
      </c>
      <c r="D590" s="183">
        <v>130020670033984</v>
      </c>
      <c r="E590" s="239" t="s">
        <v>42</v>
      </c>
      <c r="F590" s="239" t="s">
        <v>60</v>
      </c>
      <c r="G590" s="241" t="s">
        <v>44</v>
      </c>
      <c r="H590" s="239">
        <v>2025</v>
      </c>
      <c r="I590" s="239">
        <v>1</v>
      </c>
      <c r="J590" s="242">
        <v>45694</v>
      </c>
      <c r="K590" s="245">
        <v>0.3</v>
      </c>
      <c r="L590" s="119">
        <v>0.12</v>
      </c>
      <c r="M590" s="119">
        <v>0.15</v>
      </c>
      <c r="N590" s="119">
        <v>0.02</v>
      </c>
      <c r="O590" s="119">
        <f t="shared" si="120"/>
        <v>6.0000000000000001E-3</v>
      </c>
      <c r="P590" s="239">
        <v>1</v>
      </c>
      <c r="Q590" s="119">
        <f t="shared" si="116"/>
        <v>0.12</v>
      </c>
      <c r="R590" s="246">
        <v>46586</v>
      </c>
      <c r="S590" s="246">
        <v>46586</v>
      </c>
      <c r="T590" s="149"/>
      <c r="U590" s="175"/>
      <c r="V590" s="186" t="s">
        <v>70</v>
      </c>
      <c r="W590" s="239" t="s">
        <v>181</v>
      </c>
      <c r="X590" s="323">
        <v>0.54</v>
      </c>
      <c r="Y590" s="157" t="s">
        <v>149</v>
      </c>
      <c r="Z590" s="157"/>
      <c r="AA590" s="125">
        <v>0</v>
      </c>
      <c r="AB590" s="126">
        <v>6767.21</v>
      </c>
      <c r="AC590" s="126">
        <v>0</v>
      </c>
      <c r="AD590" s="127">
        <v>25</v>
      </c>
      <c r="AE590" s="157"/>
    </row>
    <row r="591" spans="1:31" x14ac:dyDescent="0.2">
      <c r="A591" s="239" t="s">
        <v>72</v>
      </c>
      <c r="B591" s="239" t="s">
        <v>2</v>
      </c>
      <c r="C591" s="239" t="s">
        <v>66</v>
      </c>
      <c r="D591" s="183">
        <v>130020670033983</v>
      </c>
      <c r="E591" s="239" t="s">
        <v>42</v>
      </c>
      <c r="F591" s="239" t="s">
        <v>60</v>
      </c>
      <c r="G591" s="241" t="s">
        <v>44</v>
      </c>
      <c r="H591" s="239">
        <v>2025</v>
      </c>
      <c r="I591" s="239">
        <v>1</v>
      </c>
      <c r="J591" s="242">
        <v>45694</v>
      </c>
      <c r="K591" s="245">
        <v>0.3</v>
      </c>
      <c r="L591" s="119">
        <v>0.12</v>
      </c>
      <c r="M591" s="119">
        <v>0.15</v>
      </c>
      <c r="N591" s="119">
        <v>0.02</v>
      </c>
      <c r="O591" s="119">
        <f t="shared" si="120"/>
        <v>6.0000000000000001E-3</v>
      </c>
      <c r="P591" s="239">
        <v>1</v>
      </c>
      <c r="Q591" s="119">
        <f t="shared" si="116"/>
        <v>0.12</v>
      </c>
      <c r="R591" s="246">
        <v>71130</v>
      </c>
      <c r="S591" s="246">
        <v>71130</v>
      </c>
      <c r="T591" s="149"/>
      <c r="U591" s="175"/>
      <c r="V591" s="186" t="s">
        <v>70</v>
      </c>
      <c r="W591" s="239" t="s">
        <v>179</v>
      </c>
      <c r="X591" s="323">
        <v>0.54</v>
      </c>
      <c r="Y591" s="157" t="s">
        <v>149</v>
      </c>
      <c r="Z591" s="157"/>
      <c r="AA591" s="125">
        <v>0</v>
      </c>
      <c r="AB591" s="126">
        <v>10332.540000000001</v>
      </c>
      <c r="AC591" s="126">
        <v>0</v>
      </c>
      <c r="AD591" s="127">
        <v>38</v>
      </c>
      <c r="AE591" s="157"/>
    </row>
    <row r="592" spans="1:31" x14ac:dyDescent="0.2">
      <c r="A592" s="239" t="s">
        <v>72</v>
      </c>
      <c r="B592" s="239" t="s">
        <v>2</v>
      </c>
      <c r="C592" s="239" t="s">
        <v>66</v>
      </c>
      <c r="D592" s="183">
        <v>130020670033964</v>
      </c>
      <c r="E592" s="239" t="s">
        <v>42</v>
      </c>
      <c r="F592" s="239" t="s">
        <v>60</v>
      </c>
      <c r="G592" s="241" t="s">
        <v>44</v>
      </c>
      <c r="H592" s="239">
        <v>2025</v>
      </c>
      <c r="I592" s="239">
        <v>1</v>
      </c>
      <c r="J592" s="242">
        <v>45694</v>
      </c>
      <c r="K592" s="245">
        <v>0.3</v>
      </c>
      <c r="L592" s="119">
        <v>0.12</v>
      </c>
      <c r="M592" s="119">
        <v>0.15</v>
      </c>
      <c r="N592" s="119">
        <v>0.02</v>
      </c>
      <c r="O592" s="119">
        <f t="shared" si="120"/>
        <v>6.0000000000000001E-3</v>
      </c>
      <c r="P592" s="239">
        <v>1</v>
      </c>
      <c r="Q592" s="119">
        <f t="shared" ref="Q592:Q641" si="121">P592*L592</f>
        <v>0.12</v>
      </c>
      <c r="R592" s="246">
        <v>160000</v>
      </c>
      <c r="S592" s="246">
        <v>160000</v>
      </c>
      <c r="T592" s="149"/>
      <c r="U592" s="175"/>
      <c r="V592" s="186" t="s">
        <v>70</v>
      </c>
      <c r="W592" s="239" t="s">
        <v>184</v>
      </c>
      <c r="X592" s="323">
        <v>0.54</v>
      </c>
      <c r="Y592" s="157" t="s">
        <v>149</v>
      </c>
      <c r="Z592" s="157"/>
      <c r="AA592" s="125">
        <v>0</v>
      </c>
      <c r="AB592" s="126">
        <v>23242.04</v>
      </c>
      <c r="AC592" s="126">
        <v>0</v>
      </c>
      <c r="AD592" s="127">
        <v>86</v>
      </c>
      <c r="AE592" s="157"/>
    </row>
    <row r="593" spans="1:31" x14ac:dyDescent="0.2">
      <c r="A593" s="239" t="s">
        <v>72</v>
      </c>
      <c r="B593" s="239" t="s">
        <v>2</v>
      </c>
      <c r="C593" s="239" t="s">
        <v>150</v>
      </c>
      <c r="D593" s="183">
        <v>130020670035243</v>
      </c>
      <c r="E593" s="239" t="s">
        <v>42</v>
      </c>
      <c r="F593" s="239" t="s">
        <v>60</v>
      </c>
      <c r="G593" s="241" t="s">
        <v>44</v>
      </c>
      <c r="H593" s="239">
        <v>2025</v>
      </c>
      <c r="I593" s="239">
        <v>1</v>
      </c>
      <c r="J593" s="242">
        <v>45694</v>
      </c>
      <c r="K593" s="245">
        <v>0.3</v>
      </c>
      <c r="L593" s="119">
        <v>0.12</v>
      </c>
      <c r="M593" s="119">
        <v>0.15</v>
      </c>
      <c r="N593" s="119">
        <v>0.02</v>
      </c>
      <c r="O593" s="119">
        <f t="shared" si="120"/>
        <v>6.0000000000000001E-3</v>
      </c>
      <c r="P593" s="239">
        <v>1</v>
      </c>
      <c r="Q593" s="119">
        <f t="shared" si="121"/>
        <v>0.12</v>
      </c>
      <c r="R593" s="246">
        <v>1018353</v>
      </c>
      <c r="S593" s="246">
        <v>4553184</v>
      </c>
      <c r="T593" s="149">
        <v>400000</v>
      </c>
      <c r="U593" s="175">
        <v>286224.84999999998</v>
      </c>
      <c r="V593" s="186" t="s">
        <v>75</v>
      </c>
      <c r="W593" s="239" t="s">
        <v>192</v>
      </c>
      <c r="X593" s="323">
        <v>0.51</v>
      </c>
      <c r="Y593" s="157" t="s">
        <v>147</v>
      </c>
      <c r="Z593" s="157"/>
      <c r="AA593" s="125">
        <v>0</v>
      </c>
      <c r="AB593" s="126">
        <v>150194.89000000001</v>
      </c>
      <c r="AC593" s="126">
        <v>0</v>
      </c>
      <c r="AD593" s="127">
        <v>519</v>
      </c>
      <c r="AE593" s="157"/>
    </row>
    <row r="594" spans="1:31" x14ac:dyDescent="0.2">
      <c r="A594" s="239" t="s">
        <v>83</v>
      </c>
      <c r="B594" s="239" t="s">
        <v>1</v>
      </c>
      <c r="C594" s="239" t="s">
        <v>84</v>
      </c>
      <c r="D594" s="183">
        <v>130010390000214</v>
      </c>
      <c r="E594" s="239" t="s">
        <v>42</v>
      </c>
      <c r="F594" s="239" t="s">
        <v>60</v>
      </c>
      <c r="G594" s="241" t="s">
        <v>44</v>
      </c>
      <c r="H594" s="239">
        <v>2025</v>
      </c>
      <c r="I594" s="239">
        <v>1</v>
      </c>
      <c r="J594" s="242">
        <v>45694</v>
      </c>
      <c r="K594" s="245">
        <v>1</v>
      </c>
      <c r="L594" s="119">
        <v>1.05</v>
      </c>
      <c r="M594" s="119">
        <v>1.22</v>
      </c>
      <c r="N594" s="119">
        <v>0.17</v>
      </c>
      <c r="O594" s="119">
        <f t="shared" si="120"/>
        <v>0.17</v>
      </c>
      <c r="P594" s="239">
        <v>1</v>
      </c>
      <c r="Q594" s="119">
        <f t="shared" si="121"/>
        <v>1.05</v>
      </c>
      <c r="R594" s="239">
        <v>0</v>
      </c>
      <c r="S594" s="239">
        <v>0</v>
      </c>
      <c r="T594" s="149">
        <v>4584750.8499999996</v>
      </c>
      <c r="U594" s="175">
        <v>4584750.8499999996</v>
      </c>
      <c r="V594" s="186" t="s">
        <v>151</v>
      </c>
      <c r="W594" s="239" t="s">
        <v>176</v>
      </c>
      <c r="X594" s="323">
        <v>2.09</v>
      </c>
      <c r="Y594" s="157" t="s">
        <v>142</v>
      </c>
      <c r="Z594" s="157"/>
      <c r="AA594" s="125">
        <v>1.05</v>
      </c>
      <c r="AB594" s="126">
        <v>0</v>
      </c>
      <c r="AC594" s="126">
        <v>0</v>
      </c>
      <c r="AD594" s="127" t="s">
        <v>148</v>
      </c>
      <c r="AE594" s="157" t="s">
        <v>87</v>
      </c>
    </row>
    <row r="595" spans="1:31" x14ac:dyDescent="0.2">
      <c r="A595" s="239" t="s">
        <v>83</v>
      </c>
      <c r="B595" s="239" t="s">
        <v>1</v>
      </c>
      <c r="C595" s="239" t="s">
        <v>84</v>
      </c>
      <c r="D595" s="183">
        <v>130010390000214</v>
      </c>
      <c r="E595" s="239" t="s">
        <v>42</v>
      </c>
      <c r="F595" s="239" t="s">
        <v>60</v>
      </c>
      <c r="G595" s="241" t="s">
        <v>44</v>
      </c>
      <c r="H595" s="239">
        <v>2025</v>
      </c>
      <c r="I595" s="239">
        <v>1</v>
      </c>
      <c r="J595" s="242">
        <v>45694</v>
      </c>
      <c r="K595" s="245">
        <v>1</v>
      </c>
      <c r="L595" s="119">
        <v>1.17</v>
      </c>
      <c r="M595" s="119">
        <v>1.36</v>
      </c>
      <c r="N595" s="119">
        <v>0.18</v>
      </c>
      <c r="O595" s="119">
        <f t="shared" si="120"/>
        <v>0.18</v>
      </c>
      <c r="P595" s="239">
        <v>1</v>
      </c>
      <c r="Q595" s="119">
        <f t="shared" si="121"/>
        <v>1.17</v>
      </c>
      <c r="R595" s="239">
        <v>0</v>
      </c>
      <c r="S595" s="239">
        <v>0</v>
      </c>
      <c r="T595" s="149">
        <v>3933456.36</v>
      </c>
      <c r="U595" s="175">
        <v>3933456.36</v>
      </c>
      <c r="V595" s="186" t="s">
        <v>151</v>
      </c>
      <c r="W595" s="239" t="s">
        <v>176</v>
      </c>
      <c r="X595" s="323">
        <v>2.09</v>
      </c>
      <c r="Y595" s="157" t="s">
        <v>142</v>
      </c>
      <c r="Z595" s="157"/>
      <c r="AA595" s="125">
        <v>1.17</v>
      </c>
      <c r="AB595" s="126">
        <v>0</v>
      </c>
      <c r="AC595" s="126">
        <v>0</v>
      </c>
      <c r="AD595" s="127" t="s">
        <v>148</v>
      </c>
      <c r="AE595" s="157" t="s">
        <v>88</v>
      </c>
    </row>
    <row r="596" spans="1:31" s="283" customFormat="1" x14ac:dyDescent="0.2">
      <c r="A596" s="308" t="s">
        <v>89</v>
      </c>
      <c r="B596" s="309" t="s">
        <v>4</v>
      </c>
      <c r="C596" s="308" t="s">
        <v>90</v>
      </c>
      <c r="D596" s="310" t="s">
        <v>193</v>
      </c>
      <c r="E596" s="308" t="s">
        <v>42</v>
      </c>
      <c r="F596" s="308" t="s">
        <v>91</v>
      </c>
      <c r="G596" s="311" t="s">
        <v>44</v>
      </c>
      <c r="H596" s="308">
        <v>2025</v>
      </c>
      <c r="I596" s="308">
        <v>1</v>
      </c>
      <c r="J596" s="273">
        <v>45694</v>
      </c>
      <c r="K596" s="312">
        <v>0.4</v>
      </c>
      <c r="L596" s="313">
        <v>2.3161999999999998</v>
      </c>
      <c r="M596" s="314">
        <v>2.3161999999999998</v>
      </c>
      <c r="N596" s="313">
        <v>0</v>
      </c>
      <c r="O596" s="290">
        <f>N596*K596</f>
        <v>0</v>
      </c>
      <c r="P596" s="308">
        <v>1</v>
      </c>
      <c r="Q596" s="290">
        <f t="shared" si="121"/>
        <v>2.3161999999999998</v>
      </c>
      <c r="R596" s="315">
        <v>6000</v>
      </c>
      <c r="S596" s="315">
        <v>2371599</v>
      </c>
      <c r="T596" s="316">
        <v>105000</v>
      </c>
      <c r="U596" s="313">
        <v>37978.46</v>
      </c>
      <c r="V596" s="317" t="s">
        <v>194</v>
      </c>
      <c r="W596" s="182" t="s">
        <v>177</v>
      </c>
      <c r="X596" s="324">
        <v>1.56</v>
      </c>
      <c r="Y596" s="172" t="s">
        <v>145</v>
      </c>
      <c r="Z596" s="172" t="s">
        <v>195</v>
      </c>
      <c r="AA596" s="318">
        <v>1.94</v>
      </c>
      <c r="AB596" s="319">
        <v>13301.87</v>
      </c>
      <c r="AC596" s="319">
        <v>11640</v>
      </c>
      <c r="AD596" s="320">
        <v>295</v>
      </c>
      <c r="AE596" s="172"/>
    </row>
    <row r="597" spans="1:31" s="283" customFormat="1" x14ac:dyDescent="0.2">
      <c r="A597" s="182" t="s">
        <v>167</v>
      </c>
      <c r="B597" s="182" t="s">
        <v>4</v>
      </c>
      <c r="C597" s="182" t="s">
        <v>90</v>
      </c>
      <c r="D597" s="185" t="s">
        <v>196</v>
      </c>
      <c r="E597" s="182" t="s">
        <v>42</v>
      </c>
      <c r="F597" s="182" t="s">
        <v>91</v>
      </c>
      <c r="G597" s="292" t="s">
        <v>44</v>
      </c>
      <c r="H597" s="182">
        <v>2025</v>
      </c>
      <c r="I597" s="182">
        <v>1</v>
      </c>
      <c r="J597" s="273">
        <v>45694</v>
      </c>
      <c r="K597" s="293">
        <v>0.4</v>
      </c>
      <c r="L597" s="314">
        <v>2.3161999999999998</v>
      </c>
      <c r="M597" s="314">
        <v>2.3161999999999998</v>
      </c>
      <c r="N597" s="314">
        <v>0</v>
      </c>
      <c r="O597" s="290">
        <f t="shared" ref="O597:O641" si="122">N597*K597</f>
        <v>0</v>
      </c>
      <c r="P597" s="182">
        <v>1</v>
      </c>
      <c r="Q597" s="290">
        <f t="shared" si="121"/>
        <v>2.3161999999999998</v>
      </c>
      <c r="R597" s="217">
        <v>48000</v>
      </c>
      <c r="S597" s="217">
        <v>48000</v>
      </c>
      <c r="T597" s="316"/>
      <c r="U597" s="314"/>
      <c r="V597" s="317" t="s">
        <v>194</v>
      </c>
      <c r="W597" s="182" t="s">
        <v>177</v>
      </c>
      <c r="X597" s="324">
        <v>1.56</v>
      </c>
      <c r="Y597" s="172" t="s">
        <v>145</v>
      </c>
      <c r="Z597" s="172" t="s">
        <v>195</v>
      </c>
      <c r="AA597" s="318">
        <v>1.94</v>
      </c>
      <c r="AB597" s="319">
        <v>106414.98</v>
      </c>
      <c r="AC597" s="319">
        <v>93120</v>
      </c>
      <c r="AD597" s="320">
        <v>295</v>
      </c>
      <c r="AE597" s="172"/>
    </row>
    <row r="598" spans="1:31" x14ac:dyDescent="0.2">
      <c r="A598" s="239" t="s">
        <v>167</v>
      </c>
      <c r="B598" s="239" t="s">
        <v>4</v>
      </c>
      <c r="C598" s="239" t="s">
        <v>90</v>
      </c>
      <c r="D598" s="247" t="s">
        <v>197</v>
      </c>
      <c r="E598" s="239" t="s">
        <v>42</v>
      </c>
      <c r="F598" s="239" t="s">
        <v>91</v>
      </c>
      <c r="G598" s="241" t="s">
        <v>44</v>
      </c>
      <c r="H598" s="239">
        <v>2025</v>
      </c>
      <c r="I598" s="239">
        <v>1</v>
      </c>
      <c r="J598" s="242">
        <v>45694</v>
      </c>
      <c r="K598" s="245">
        <v>0.4</v>
      </c>
      <c r="L598" s="175">
        <v>2.3161999999999998</v>
      </c>
      <c r="M598" s="175">
        <v>2.3161999999999998</v>
      </c>
      <c r="N598" s="175">
        <v>0</v>
      </c>
      <c r="O598" s="119">
        <f t="shared" si="122"/>
        <v>0</v>
      </c>
      <c r="P598" s="239">
        <v>1</v>
      </c>
      <c r="Q598" s="119">
        <f t="shared" si="121"/>
        <v>2.3161999999999998</v>
      </c>
      <c r="R598" s="246">
        <v>15000</v>
      </c>
      <c r="S598" s="246">
        <v>15000</v>
      </c>
      <c r="T598" s="149"/>
      <c r="U598" s="219"/>
      <c r="V598" s="186" t="s">
        <v>194</v>
      </c>
      <c r="W598" s="239" t="s">
        <v>198</v>
      </c>
      <c r="X598" s="323">
        <v>1.56</v>
      </c>
      <c r="Y598" s="157" t="s">
        <v>145</v>
      </c>
      <c r="Z598" s="157" t="s">
        <v>195</v>
      </c>
      <c r="AA598" s="125">
        <v>1.94</v>
      </c>
      <c r="AB598" s="126">
        <v>33254.68</v>
      </c>
      <c r="AC598" s="126">
        <v>29100</v>
      </c>
      <c r="AD598" s="127">
        <v>295</v>
      </c>
      <c r="AE598" s="157"/>
    </row>
    <row r="599" spans="1:31" x14ac:dyDescent="0.2">
      <c r="A599" s="239" t="s">
        <v>167</v>
      </c>
      <c r="B599" s="239" t="s">
        <v>4</v>
      </c>
      <c r="C599" s="239" t="s">
        <v>90</v>
      </c>
      <c r="D599" s="247" t="s">
        <v>199</v>
      </c>
      <c r="E599" s="239" t="s">
        <v>42</v>
      </c>
      <c r="F599" s="239" t="s">
        <v>91</v>
      </c>
      <c r="G599" s="241" t="s">
        <v>44</v>
      </c>
      <c r="H599" s="239">
        <v>2025</v>
      </c>
      <c r="I599" s="239">
        <v>1</v>
      </c>
      <c r="J599" s="242">
        <v>45694</v>
      </c>
      <c r="K599" s="245">
        <v>0.4</v>
      </c>
      <c r="L599" s="175">
        <v>2.3161999999999998</v>
      </c>
      <c r="M599" s="175">
        <v>2.3161999999999998</v>
      </c>
      <c r="N599" s="175">
        <v>0</v>
      </c>
      <c r="O599" s="119">
        <f>N599*K599</f>
        <v>0</v>
      </c>
      <c r="P599" s="239">
        <v>1</v>
      </c>
      <c r="Q599" s="119">
        <f t="shared" si="121"/>
        <v>2.3161999999999998</v>
      </c>
      <c r="R599" s="246">
        <v>6000</v>
      </c>
      <c r="S599" s="246">
        <v>6000</v>
      </c>
      <c r="T599" s="149"/>
      <c r="U599" s="219"/>
      <c r="V599" s="186" t="s">
        <v>194</v>
      </c>
      <c r="W599" s="239" t="s">
        <v>187</v>
      </c>
      <c r="X599" s="323">
        <v>1.56</v>
      </c>
      <c r="Y599" s="157" t="s">
        <v>145</v>
      </c>
      <c r="Z599" s="157" t="s">
        <v>195</v>
      </c>
      <c r="AA599" s="125">
        <v>1.94</v>
      </c>
      <c r="AB599" s="126">
        <v>13301.87</v>
      </c>
      <c r="AC599" s="126">
        <v>11640</v>
      </c>
      <c r="AD599" s="127">
        <v>295</v>
      </c>
      <c r="AE599" s="157"/>
    </row>
    <row r="600" spans="1:31" x14ac:dyDescent="0.2">
      <c r="A600" s="239" t="s">
        <v>167</v>
      </c>
      <c r="B600" s="239" t="s">
        <v>4</v>
      </c>
      <c r="C600" s="239" t="s">
        <v>90</v>
      </c>
      <c r="D600" s="247" t="s">
        <v>200</v>
      </c>
      <c r="E600" s="239" t="s">
        <v>42</v>
      </c>
      <c r="F600" s="239" t="s">
        <v>91</v>
      </c>
      <c r="G600" s="241" t="s">
        <v>44</v>
      </c>
      <c r="H600" s="239">
        <v>2025</v>
      </c>
      <c r="I600" s="239">
        <v>1</v>
      </c>
      <c r="J600" s="242">
        <v>45694</v>
      </c>
      <c r="K600" s="245">
        <v>0.4</v>
      </c>
      <c r="L600" s="175">
        <v>2.3161999999999998</v>
      </c>
      <c r="M600" s="175">
        <v>2.3161999999999998</v>
      </c>
      <c r="N600" s="175">
        <v>0</v>
      </c>
      <c r="O600" s="119">
        <f t="shared" si="122"/>
        <v>0</v>
      </c>
      <c r="P600" s="239">
        <v>1</v>
      </c>
      <c r="Q600" s="119">
        <f t="shared" si="121"/>
        <v>2.3161999999999998</v>
      </c>
      <c r="R600" s="246">
        <v>9642</v>
      </c>
      <c r="S600" s="246">
        <v>9642</v>
      </c>
      <c r="T600" s="149"/>
      <c r="U600" s="219"/>
      <c r="V600" s="186" t="s">
        <v>194</v>
      </c>
      <c r="W600" s="239" t="s">
        <v>177</v>
      </c>
      <c r="X600" s="323">
        <v>1.56</v>
      </c>
      <c r="Y600" s="157"/>
      <c r="Z600" s="157"/>
      <c r="AA600" s="125"/>
      <c r="AB600" s="126">
        <v>3116.29</v>
      </c>
      <c r="AC600" s="126">
        <v>0</v>
      </c>
      <c r="AD600" s="127">
        <v>295</v>
      </c>
      <c r="AE600" s="157" t="s">
        <v>201</v>
      </c>
    </row>
    <row r="601" spans="1:31" ht="25.5" x14ac:dyDescent="0.2">
      <c r="A601" s="178" t="s">
        <v>89</v>
      </c>
      <c r="B601" s="179" t="s">
        <v>4</v>
      </c>
      <c r="C601" s="178" t="s">
        <v>94</v>
      </c>
      <c r="D601" s="184" t="s">
        <v>202</v>
      </c>
      <c r="E601" s="178" t="s">
        <v>42</v>
      </c>
      <c r="F601" s="178" t="s">
        <v>91</v>
      </c>
      <c r="G601" s="180" t="s">
        <v>44</v>
      </c>
      <c r="H601" s="178">
        <v>2025</v>
      </c>
      <c r="I601" s="178">
        <v>1</v>
      </c>
      <c r="J601" s="242">
        <v>45694</v>
      </c>
      <c r="K601" s="181">
        <v>0.6</v>
      </c>
      <c r="L601" s="328">
        <v>1.5444</v>
      </c>
      <c r="M601" s="328">
        <v>1.5444</v>
      </c>
      <c r="N601" s="328">
        <v>0</v>
      </c>
      <c r="O601" s="119">
        <f t="shared" si="122"/>
        <v>0</v>
      </c>
      <c r="P601" s="178">
        <v>1</v>
      </c>
      <c r="Q601" s="119">
        <f t="shared" si="121"/>
        <v>1.5444</v>
      </c>
      <c r="R601" s="329">
        <v>12500</v>
      </c>
      <c r="S601" s="329">
        <v>40202622</v>
      </c>
      <c r="T601" s="149">
        <v>376000</v>
      </c>
      <c r="U601" s="218">
        <v>259475.72</v>
      </c>
      <c r="V601" s="186" t="s">
        <v>95</v>
      </c>
      <c r="W601" s="178" t="s">
        <v>203</v>
      </c>
      <c r="X601" s="323">
        <v>1.75</v>
      </c>
      <c r="Y601" s="157" t="s">
        <v>145</v>
      </c>
      <c r="Z601" s="157" t="s">
        <v>195</v>
      </c>
      <c r="AA601" s="125">
        <v>1.1399999999999999</v>
      </c>
      <c r="AB601" s="126">
        <v>19278.97</v>
      </c>
      <c r="AC601" s="126">
        <v>14250</v>
      </c>
      <c r="AD601" s="127">
        <v>273</v>
      </c>
      <c r="AE601" s="157"/>
    </row>
    <row r="602" spans="1:31" ht="25.5" x14ac:dyDescent="0.2">
      <c r="A602" s="239" t="s">
        <v>167</v>
      </c>
      <c r="B602" s="239" t="s">
        <v>4</v>
      </c>
      <c r="C602" s="239" t="s">
        <v>94</v>
      </c>
      <c r="D602" s="247" t="s">
        <v>204</v>
      </c>
      <c r="E602" s="239" t="s">
        <v>42</v>
      </c>
      <c r="F602" s="239" t="s">
        <v>91</v>
      </c>
      <c r="G602" s="241" t="s">
        <v>44</v>
      </c>
      <c r="H602" s="239">
        <v>2025</v>
      </c>
      <c r="I602" s="239">
        <v>1</v>
      </c>
      <c r="J602" s="242">
        <v>45694</v>
      </c>
      <c r="K602" s="245">
        <v>0.6</v>
      </c>
      <c r="L602" s="175">
        <v>1.5444</v>
      </c>
      <c r="M602" s="175">
        <v>1.5444</v>
      </c>
      <c r="N602" s="175">
        <v>0</v>
      </c>
      <c r="O602" s="119">
        <f t="shared" si="122"/>
        <v>0</v>
      </c>
      <c r="P602" s="239">
        <v>1</v>
      </c>
      <c r="Q602" s="119">
        <f t="shared" si="121"/>
        <v>1.5444</v>
      </c>
      <c r="R602" s="246">
        <v>7820</v>
      </c>
      <c r="S602" s="246">
        <v>7820</v>
      </c>
      <c r="T602" s="149"/>
      <c r="U602" s="219"/>
      <c r="V602" s="186" t="s">
        <v>95</v>
      </c>
      <c r="W602" s="239" t="s">
        <v>177</v>
      </c>
      <c r="X602" s="323">
        <v>1.75</v>
      </c>
      <c r="Y602" s="157" t="s">
        <v>145</v>
      </c>
      <c r="Z602" s="157" t="s">
        <v>195</v>
      </c>
      <c r="AA602" s="125">
        <v>1.1399999999999999</v>
      </c>
      <c r="AB602" s="126">
        <v>12060.92</v>
      </c>
      <c r="AC602" s="126">
        <v>8914.7999999999993</v>
      </c>
      <c r="AD602" s="127">
        <v>273</v>
      </c>
      <c r="AE602" s="157"/>
    </row>
    <row r="603" spans="1:31" ht="25.5" x14ac:dyDescent="0.2">
      <c r="A603" s="239" t="s">
        <v>167</v>
      </c>
      <c r="B603" s="239" t="s">
        <v>4</v>
      </c>
      <c r="C603" s="239" t="s">
        <v>94</v>
      </c>
      <c r="D603" s="247" t="s">
        <v>205</v>
      </c>
      <c r="E603" s="239" t="s">
        <v>42</v>
      </c>
      <c r="F603" s="239" t="s">
        <v>91</v>
      </c>
      <c r="G603" s="241" t="s">
        <v>44</v>
      </c>
      <c r="H603" s="239">
        <v>2025</v>
      </c>
      <c r="I603" s="239">
        <v>1</v>
      </c>
      <c r="J603" s="242">
        <v>45694</v>
      </c>
      <c r="K603" s="245">
        <v>0.6</v>
      </c>
      <c r="L603" s="175">
        <v>1.5444</v>
      </c>
      <c r="M603" s="175">
        <v>1.5444</v>
      </c>
      <c r="N603" s="175">
        <v>0</v>
      </c>
      <c r="O603" s="119">
        <f t="shared" si="122"/>
        <v>0</v>
      </c>
      <c r="P603" s="239">
        <v>1</v>
      </c>
      <c r="Q603" s="119">
        <f t="shared" si="121"/>
        <v>1.5444</v>
      </c>
      <c r="R603" s="246">
        <v>11206</v>
      </c>
      <c r="S603" s="246">
        <v>11206</v>
      </c>
      <c r="T603" s="149"/>
      <c r="U603" s="219"/>
      <c r="V603" s="186" t="s">
        <v>95</v>
      </c>
      <c r="W603" s="239" t="s">
        <v>187</v>
      </c>
      <c r="X603" s="323">
        <v>1.75</v>
      </c>
      <c r="Y603" s="157" t="s">
        <v>145</v>
      </c>
      <c r="Z603" s="157" t="s">
        <v>195</v>
      </c>
      <c r="AA603" s="125">
        <v>1.1399999999999999</v>
      </c>
      <c r="AB603" s="126">
        <v>17283.21</v>
      </c>
      <c r="AC603" s="126">
        <v>12774.84</v>
      </c>
      <c r="AD603" s="127">
        <v>273</v>
      </c>
      <c r="AE603" s="157"/>
    </row>
    <row r="604" spans="1:31" ht="25.5" x14ac:dyDescent="0.2">
      <c r="A604" s="239" t="s">
        <v>167</v>
      </c>
      <c r="B604" s="239" t="s">
        <v>4</v>
      </c>
      <c r="C604" s="239" t="s">
        <v>94</v>
      </c>
      <c r="D604" s="247" t="s">
        <v>206</v>
      </c>
      <c r="E604" s="239" t="s">
        <v>42</v>
      </c>
      <c r="F604" s="239" t="s">
        <v>91</v>
      </c>
      <c r="G604" s="241" t="s">
        <v>44</v>
      </c>
      <c r="H604" s="239">
        <v>2025</v>
      </c>
      <c r="I604" s="239">
        <v>1</v>
      </c>
      <c r="J604" s="242">
        <v>45694</v>
      </c>
      <c r="K604" s="245">
        <v>0.6</v>
      </c>
      <c r="L604" s="175">
        <v>1.5444</v>
      </c>
      <c r="M604" s="175">
        <v>1.5444</v>
      </c>
      <c r="N604" s="175">
        <v>0</v>
      </c>
      <c r="O604" s="119">
        <f t="shared" si="122"/>
        <v>0</v>
      </c>
      <c r="P604" s="239">
        <v>1</v>
      </c>
      <c r="Q604" s="119">
        <f t="shared" si="121"/>
        <v>1.5444</v>
      </c>
      <c r="R604" s="246">
        <v>22440</v>
      </c>
      <c r="S604" s="246">
        <v>22440</v>
      </c>
      <c r="T604" s="149"/>
      <c r="U604" s="219"/>
      <c r="V604" s="186" t="s">
        <v>95</v>
      </c>
      <c r="W604" s="239" t="s">
        <v>207</v>
      </c>
      <c r="X604" s="323">
        <v>1.75</v>
      </c>
      <c r="Y604" s="157" t="s">
        <v>145</v>
      </c>
      <c r="Z604" s="157" t="s">
        <v>195</v>
      </c>
      <c r="AA604" s="125">
        <v>1.1399999999999999</v>
      </c>
      <c r="AB604" s="126">
        <v>34609.61</v>
      </c>
      <c r="AC604" s="126">
        <v>25581.599999999999</v>
      </c>
      <c r="AD604" s="127">
        <v>273</v>
      </c>
      <c r="AE604" s="157"/>
    </row>
    <row r="605" spans="1:31" x14ac:dyDescent="0.2">
      <c r="A605" s="178" t="s">
        <v>89</v>
      </c>
      <c r="B605" s="179" t="s">
        <v>4</v>
      </c>
      <c r="C605" s="178" t="s">
        <v>66</v>
      </c>
      <c r="D605" s="184" t="s">
        <v>208</v>
      </c>
      <c r="E605" s="178" t="s">
        <v>42</v>
      </c>
      <c r="F605" s="178" t="s">
        <v>96</v>
      </c>
      <c r="G605" s="180" t="s">
        <v>44</v>
      </c>
      <c r="H605" s="178">
        <v>2025</v>
      </c>
      <c r="I605" s="178">
        <v>1</v>
      </c>
      <c r="J605" s="242">
        <v>45694</v>
      </c>
      <c r="K605" s="181">
        <v>0.4</v>
      </c>
      <c r="L605" s="328">
        <v>0.91620000000000001</v>
      </c>
      <c r="M605" s="328">
        <v>0.91620000000000001</v>
      </c>
      <c r="N605" s="328">
        <v>0</v>
      </c>
      <c r="O605" s="119">
        <f t="shared" si="122"/>
        <v>0</v>
      </c>
      <c r="P605" s="178">
        <v>1</v>
      </c>
      <c r="Q605" s="119">
        <f t="shared" si="121"/>
        <v>0.91620000000000001</v>
      </c>
      <c r="R605" s="329">
        <v>48000</v>
      </c>
      <c r="S605" s="329">
        <v>2118113</v>
      </c>
      <c r="T605" s="149">
        <v>98350</v>
      </c>
      <c r="U605" s="218">
        <v>-261822.21</v>
      </c>
      <c r="V605" s="186" t="s">
        <v>97</v>
      </c>
      <c r="W605" s="239" t="s">
        <v>187</v>
      </c>
      <c r="X605" s="323">
        <v>0.57999999999999996</v>
      </c>
      <c r="Y605" s="157" t="s">
        <v>145</v>
      </c>
      <c r="Z605" s="157" t="s">
        <v>195</v>
      </c>
      <c r="AA605" s="125">
        <v>0.76</v>
      </c>
      <c r="AB605" s="126">
        <v>54391.93</v>
      </c>
      <c r="AC605" s="126">
        <v>36480</v>
      </c>
      <c r="AD605" s="127">
        <v>113</v>
      </c>
      <c r="AE605" s="157"/>
    </row>
    <row r="606" spans="1:31" x14ac:dyDescent="0.2">
      <c r="A606" s="239" t="s">
        <v>167</v>
      </c>
      <c r="B606" s="239" t="s">
        <v>4</v>
      </c>
      <c r="C606" s="239" t="s">
        <v>66</v>
      </c>
      <c r="D606" s="247" t="s">
        <v>209</v>
      </c>
      <c r="E606" s="239" t="s">
        <v>42</v>
      </c>
      <c r="F606" s="239" t="s">
        <v>96</v>
      </c>
      <c r="G606" s="241" t="s">
        <v>44</v>
      </c>
      <c r="H606" s="239">
        <v>2025</v>
      </c>
      <c r="I606" s="239">
        <v>1</v>
      </c>
      <c r="J606" s="242">
        <v>45694</v>
      </c>
      <c r="K606" s="245">
        <v>0.4</v>
      </c>
      <c r="L606" s="175">
        <v>0.91620000000000001</v>
      </c>
      <c r="M606" s="175">
        <v>0.91620000000000001</v>
      </c>
      <c r="N606" s="175">
        <v>0</v>
      </c>
      <c r="O606" s="119">
        <f t="shared" si="122"/>
        <v>0</v>
      </c>
      <c r="P606" s="239">
        <v>1</v>
      </c>
      <c r="Q606" s="119">
        <f t="shared" si="121"/>
        <v>0.91620000000000001</v>
      </c>
      <c r="R606" s="246">
        <v>25704</v>
      </c>
      <c r="S606" s="246">
        <v>25704</v>
      </c>
      <c r="T606" s="149"/>
      <c r="U606" s="219"/>
      <c r="V606" s="186" t="s">
        <v>97</v>
      </c>
      <c r="W606" s="239" t="s">
        <v>210</v>
      </c>
      <c r="X606" s="323">
        <v>0.57999999999999996</v>
      </c>
      <c r="Y606" s="157" t="s">
        <v>145</v>
      </c>
      <c r="Z606" s="157" t="s">
        <v>195</v>
      </c>
      <c r="AA606" s="125">
        <v>0.76</v>
      </c>
      <c r="AB606" s="126">
        <v>29126.880000000001</v>
      </c>
      <c r="AC606" s="126">
        <v>19535.04</v>
      </c>
      <c r="AD606" s="127">
        <v>113</v>
      </c>
      <c r="AE606" s="157"/>
    </row>
    <row r="607" spans="1:31" x14ac:dyDescent="0.2">
      <c r="A607" s="178" t="s">
        <v>89</v>
      </c>
      <c r="B607" s="179" t="s">
        <v>4</v>
      </c>
      <c r="C607" s="178" t="s">
        <v>98</v>
      </c>
      <c r="D607" s="184" t="s">
        <v>211</v>
      </c>
      <c r="E607" s="178" t="s">
        <v>42</v>
      </c>
      <c r="F607" s="178" t="s">
        <v>99</v>
      </c>
      <c r="G607" s="180" t="s">
        <v>44</v>
      </c>
      <c r="H607" s="178">
        <v>2025</v>
      </c>
      <c r="I607" s="178">
        <v>1</v>
      </c>
      <c r="J607" s="242">
        <v>45694</v>
      </c>
      <c r="K607" s="181">
        <v>0.5</v>
      </c>
      <c r="L607" s="328">
        <v>0.1278</v>
      </c>
      <c r="M607" s="328">
        <v>0.1278</v>
      </c>
      <c r="N607" s="328">
        <v>0</v>
      </c>
      <c r="O607" s="119">
        <f t="shared" si="122"/>
        <v>0</v>
      </c>
      <c r="P607" s="178">
        <v>1</v>
      </c>
      <c r="Q607" s="119">
        <f t="shared" si="121"/>
        <v>0.1278</v>
      </c>
      <c r="R607" s="329">
        <v>37000</v>
      </c>
      <c r="S607" s="329">
        <v>1363057</v>
      </c>
      <c r="T607" s="149">
        <v>110600</v>
      </c>
      <c r="U607" s="218">
        <v>66747.600000000006</v>
      </c>
      <c r="V607" s="186" t="s">
        <v>100</v>
      </c>
      <c r="W607" s="239" t="s">
        <v>177</v>
      </c>
      <c r="X607" s="323">
        <v>0.76</v>
      </c>
      <c r="Y607" s="157" t="s">
        <v>145</v>
      </c>
      <c r="Z607" s="157"/>
      <c r="AA607" s="125"/>
      <c r="AB607" s="126">
        <v>5764.6</v>
      </c>
      <c r="AC607" s="126">
        <v>0</v>
      </c>
      <c r="AD607" s="127">
        <v>58</v>
      </c>
      <c r="AE607" s="157"/>
    </row>
    <row r="608" spans="1:31" x14ac:dyDescent="0.2">
      <c r="A608" s="178" t="s">
        <v>89</v>
      </c>
      <c r="B608" s="179" t="s">
        <v>4</v>
      </c>
      <c r="C608" s="178" t="s">
        <v>101</v>
      </c>
      <c r="D608" s="184" t="s">
        <v>212</v>
      </c>
      <c r="E608" s="178" t="s">
        <v>42</v>
      </c>
      <c r="F608" s="178" t="s">
        <v>99</v>
      </c>
      <c r="G608" s="180" t="s">
        <v>44</v>
      </c>
      <c r="H608" s="178">
        <v>2025</v>
      </c>
      <c r="I608" s="178">
        <v>1</v>
      </c>
      <c r="J608" s="242">
        <v>45694</v>
      </c>
      <c r="K608" s="181">
        <v>0.4</v>
      </c>
      <c r="L608" s="328">
        <v>0.17249999999999999</v>
      </c>
      <c r="M608" s="328">
        <v>0.17249999999999999</v>
      </c>
      <c r="N608" s="328">
        <v>0</v>
      </c>
      <c r="O608" s="119">
        <f t="shared" si="122"/>
        <v>0</v>
      </c>
      <c r="P608" s="178">
        <v>1</v>
      </c>
      <c r="Q608" s="119">
        <f t="shared" si="121"/>
        <v>0.17249999999999999</v>
      </c>
      <c r="R608" s="329">
        <v>109329</v>
      </c>
      <c r="S608" s="329">
        <v>1192646</v>
      </c>
      <c r="T608" s="149">
        <v>98000</v>
      </c>
      <c r="U608" s="218">
        <v>-124812.07</v>
      </c>
      <c r="V608" s="186" t="s">
        <v>102</v>
      </c>
      <c r="W608" s="239" t="s">
        <v>176</v>
      </c>
      <c r="X608" s="323">
        <v>1.17</v>
      </c>
      <c r="Y608" s="157" t="s">
        <v>145</v>
      </c>
      <c r="Z608" s="157"/>
      <c r="AA608" s="125"/>
      <c r="AB608" s="126">
        <v>45644.86</v>
      </c>
      <c r="AC608" s="126">
        <v>0</v>
      </c>
      <c r="AD608" s="127">
        <v>34</v>
      </c>
      <c r="AE608" s="157"/>
    </row>
    <row r="609" spans="1:31" x14ac:dyDescent="0.2">
      <c r="A609" s="178" t="s">
        <v>89</v>
      </c>
      <c r="B609" s="179" t="s">
        <v>4</v>
      </c>
      <c r="C609" s="178" t="s">
        <v>103</v>
      </c>
      <c r="D609" s="184" t="s">
        <v>213</v>
      </c>
      <c r="E609" s="178" t="s">
        <v>42</v>
      </c>
      <c r="F609" s="178" t="s">
        <v>91</v>
      </c>
      <c r="G609" s="180" t="s">
        <v>44</v>
      </c>
      <c r="H609" s="178">
        <v>2025</v>
      </c>
      <c r="I609" s="178">
        <v>1</v>
      </c>
      <c r="J609" s="242">
        <v>45694</v>
      </c>
      <c r="K609" s="181">
        <v>0.5</v>
      </c>
      <c r="L609" s="328">
        <v>0.1285</v>
      </c>
      <c r="M609" s="328">
        <v>0.1285</v>
      </c>
      <c r="N609" s="328">
        <v>0</v>
      </c>
      <c r="O609" s="119">
        <f t="shared" si="122"/>
        <v>0</v>
      </c>
      <c r="P609" s="178">
        <v>1</v>
      </c>
      <c r="Q609" s="119">
        <f t="shared" si="121"/>
        <v>0.1285</v>
      </c>
      <c r="R609" s="329">
        <v>140000</v>
      </c>
      <c r="S609" s="329">
        <v>3017540</v>
      </c>
      <c r="T609" s="149">
        <v>98000</v>
      </c>
      <c r="U609" s="218">
        <v>46873.68</v>
      </c>
      <c r="V609" s="186" t="s">
        <v>152</v>
      </c>
      <c r="W609" s="239" t="s">
        <v>177</v>
      </c>
      <c r="X609" s="323">
        <v>0.7</v>
      </c>
      <c r="Y609" s="157" t="s">
        <v>153</v>
      </c>
      <c r="Z609" s="157"/>
      <c r="AA609" s="125"/>
      <c r="AB609" s="126">
        <v>21910</v>
      </c>
      <c r="AC609" s="126">
        <v>0</v>
      </c>
      <c r="AD609" s="127">
        <v>185</v>
      </c>
      <c r="AE609" s="157"/>
    </row>
    <row r="610" spans="1:31" x14ac:dyDescent="0.2">
      <c r="A610" s="178" t="s">
        <v>89</v>
      </c>
      <c r="B610" s="179" t="s">
        <v>4</v>
      </c>
      <c r="C610" s="178" t="s">
        <v>104</v>
      </c>
      <c r="D610" s="184" t="s">
        <v>214</v>
      </c>
      <c r="E610" s="178" t="s">
        <v>42</v>
      </c>
      <c r="F610" s="178" t="s">
        <v>91</v>
      </c>
      <c r="G610" s="180" t="s">
        <v>44</v>
      </c>
      <c r="H610" s="178">
        <v>2025</v>
      </c>
      <c r="I610" s="178">
        <v>1</v>
      </c>
      <c r="J610" s="242">
        <v>45694</v>
      </c>
      <c r="K610" s="181">
        <v>0.6</v>
      </c>
      <c r="L610" s="328">
        <v>2.5636999999999999</v>
      </c>
      <c r="M610" s="328">
        <v>2.5636999999999999</v>
      </c>
      <c r="N610" s="328">
        <v>0</v>
      </c>
      <c r="O610" s="119">
        <f t="shared" si="122"/>
        <v>0</v>
      </c>
      <c r="P610" s="178">
        <v>1</v>
      </c>
      <c r="Q610" s="119">
        <f t="shared" si="121"/>
        <v>2.5636999999999999</v>
      </c>
      <c r="R610" s="329">
        <v>126252</v>
      </c>
      <c r="S610" s="329">
        <v>2846979</v>
      </c>
      <c r="T610" s="149">
        <v>200100</v>
      </c>
      <c r="U610" s="218">
        <v>-447786.11</v>
      </c>
      <c r="V610" s="186" t="s">
        <v>105</v>
      </c>
      <c r="W610" s="239" t="s">
        <v>177</v>
      </c>
      <c r="X610" s="323">
        <v>3.41</v>
      </c>
      <c r="Y610" s="157" t="s">
        <v>153</v>
      </c>
      <c r="Z610" s="157" t="s">
        <v>195</v>
      </c>
      <c r="AA610" s="125">
        <v>1.76</v>
      </c>
      <c r="AB610" s="126">
        <v>347423.12</v>
      </c>
      <c r="AC610" s="126">
        <v>222203.51999999999</v>
      </c>
      <c r="AD610" s="127">
        <v>618</v>
      </c>
      <c r="AE610" s="157"/>
    </row>
    <row r="611" spans="1:31" x14ac:dyDescent="0.2">
      <c r="A611" s="178" t="s">
        <v>89</v>
      </c>
      <c r="B611" s="179" t="s">
        <v>4</v>
      </c>
      <c r="C611" s="178" t="s">
        <v>106</v>
      </c>
      <c r="D611" s="184" t="s">
        <v>215</v>
      </c>
      <c r="E611" s="178" t="s">
        <v>42</v>
      </c>
      <c r="F611" s="178" t="s">
        <v>91</v>
      </c>
      <c r="G611" s="180" t="s">
        <v>44</v>
      </c>
      <c r="H611" s="178">
        <v>2025</v>
      </c>
      <c r="I611" s="178">
        <v>1</v>
      </c>
      <c r="J611" s="242">
        <v>45694</v>
      </c>
      <c r="K611" s="181">
        <v>0.4</v>
      </c>
      <c r="L611" s="328">
        <v>0.1608</v>
      </c>
      <c r="M611" s="328">
        <v>0.1608</v>
      </c>
      <c r="N611" s="328">
        <v>0</v>
      </c>
      <c r="O611" s="119">
        <f t="shared" si="122"/>
        <v>0</v>
      </c>
      <c r="P611" s="178">
        <v>1</v>
      </c>
      <c r="Q611" s="119">
        <f t="shared" si="121"/>
        <v>0.1608</v>
      </c>
      <c r="R611" s="329">
        <v>71965</v>
      </c>
      <c r="S611" s="329">
        <v>3115274</v>
      </c>
      <c r="T611" s="149">
        <v>98000</v>
      </c>
      <c r="U611" s="218">
        <v>35472.99</v>
      </c>
      <c r="V611" s="186" t="s">
        <v>107</v>
      </c>
      <c r="W611" s="239" t="s">
        <v>177</v>
      </c>
      <c r="X611" s="323">
        <v>1.1200000000000001</v>
      </c>
      <c r="Y611" s="157" t="s">
        <v>145</v>
      </c>
      <c r="Z611" s="157"/>
      <c r="AA611" s="125">
        <v>0</v>
      </c>
      <c r="AB611" s="126">
        <v>14090.75</v>
      </c>
      <c r="AC611" s="126">
        <v>0</v>
      </c>
      <c r="AD611" s="127">
        <v>322</v>
      </c>
      <c r="AE611" s="157"/>
    </row>
    <row r="612" spans="1:31" x14ac:dyDescent="0.2">
      <c r="A612" s="178" t="s">
        <v>89</v>
      </c>
      <c r="B612" s="179" t="s">
        <v>4</v>
      </c>
      <c r="C612" s="178" t="s">
        <v>108</v>
      </c>
      <c r="D612" s="184" t="s">
        <v>216</v>
      </c>
      <c r="E612" s="178" t="s">
        <v>42</v>
      </c>
      <c r="F612" s="178" t="s">
        <v>109</v>
      </c>
      <c r="G612" s="180" t="s">
        <v>44</v>
      </c>
      <c r="H612" s="178">
        <v>2025</v>
      </c>
      <c r="I612" s="178">
        <v>1</v>
      </c>
      <c r="J612" s="242">
        <v>45694</v>
      </c>
      <c r="K612" s="181">
        <v>0.5</v>
      </c>
      <c r="L612" s="328">
        <v>0.12280000000000001</v>
      </c>
      <c r="M612" s="328">
        <v>0.12280000000000001</v>
      </c>
      <c r="N612" s="328">
        <v>0</v>
      </c>
      <c r="O612" s="119">
        <f t="shared" si="122"/>
        <v>0</v>
      </c>
      <c r="P612" s="178">
        <v>1</v>
      </c>
      <c r="Q612" s="119">
        <f t="shared" si="121"/>
        <v>0.12280000000000001</v>
      </c>
      <c r="R612" s="329">
        <v>157000</v>
      </c>
      <c r="S612" s="329">
        <v>3603785</v>
      </c>
      <c r="T612" s="149">
        <v>130350</v>
      </c>
      <c r="U612" s="218">
        <v>41644.07</v>
      </c>
      <c r="V612" s="186" t="s">
        <v>100</v>
      </c>
      <c r="W612" s="239" t="s">
        <v>177</v>
      </c>
      <c r="X612" s="323">
        <v>0.52</v>
      </c>
      <c r="Y612" s="157" t="s">
        <v>145</v>
      </c>
      <c r="Z612" s="157"/>
      <c r="AA612" s="125"/>
      <c r="AB612" s="126">
        <v>25120</v>
      </c>
      <c r="AC612" s="126">
        <v>0</v>
      </c>
      <c r="AD612" s="127">
        <v>133</v>
      </c>
      <c r="AE612" s="157"/>
    </row>
    <row r="613" spans="1:31" x14ac:dyDescent="0.2">
      <c r="A613" s="239" t="s">
        <v>110</v>
      </c>
      <c r="B613" s="240" t="s">
        <v>4</v>
      </c>
      <c r="C613" s="239" t="s">
        <v>98</v>
      </c>
      <c r="D613" s="247" t="s">
        <v>217</v>
      </c>
      <c r="E613" s="239" t="s">
        <v>42</v>
      </c>
      <c r="F613" s="239" t="s">
        <v>111</v>
      </c>
      <c r="G613" s="241" t="s">
        <v>44</v>
      </c>
      <c r="H613" s="239">
        <v>2025</v>
      </c>
      <c r="I613" s="239">
        <v>1</v>
      </c>
      <c r="J613" s="242">
        <v>45694</v>
      </c>
      <c r="K613" s="245">
        <v>0.5</v>
      </c>
      <c r="L613" s="175">
        <v>0.12559999999999999</v>
      </c>
      <c r="M613" s="175">
        <v>0.12559999999999999</v>
      </c>
      <c r="N613" s="175">
        <v>0</v>
      </c>
      <c r="O613" s="119">
        <f t="shared" si="122"/>
        <v>0</v>
      </c>
      <c r="P613" s="239">
        <v>1</v>
      </c>
      <c r="Q613" s="119">
        <f t="shared" si="121"/>
        <v>0.12559999999999999</v>
      </c>
      <c r="R613" s="246">
        <v>30964</v>
      </c>
      <c r="S613" s="246">
        <v>2301912</v>
      </c>
      <c r="T613" s="149">
        <v>98000</v>
      </c>
      <c r="U613" s="219">
        <v>58493.96</v>
      </c>
      <c r="V613" s="186" t="s">
        <v>112</v>
      </c>
      <c r="W613" s="239" t="s">
        <v>177</v>
      </c>
      <c r="X613" s="323">
        <v>0.7</v>
      </c>
      <c r="Y613" s="157" t="s">
        <v>145</v>
      </c>
      <c r="Z613" s="157"/>
      <c r="AA613" s="125"/>
      <c r="AB613" s="126">
        <v>4755.72</v>
      </c>
      <c r="AC613" s="126">
        <v>0</v>
      </c>
      <c r="AD613" s="127">
        <v>167</v>
      </c>
      <c r="AE613" s="157"/>
    </row>
    <row r="614" spans="1:31" ht="25.5" x14ac:dyDescent="0.2">
      <c r="A614" s="239" t="s">
        <v>110</v>
      </c>
      <c r="B614" s="240" t="s">
        <v>4</v>
      </c>
      <c r="C614" s="239" t="s">
        <v>101</v>
      </c>
      <c r="D614" s="247" t="s">
        <v>218</v>
      </c>
      <c r="E614" s="239" t="s">
        <v>42</v>
      </c>
      <c r="F614" s="239" t="s">
        <v>113</v>
      </c>
      <c r="G614" s="241" t="s">
        <v>44</v>
      </c>
      <c r="H614" s="239">
        <v>2025</v>
      </c>
      <c r="I614" s="239">
        <v>1</v>
      </c>
      <c r="J614" s="242">
        <v>45694</v>
      </c>
      <c r="K614" s="245">
        <v>0.4</v>
      </c>
      <c r="L614" s="175">
        <v>0.2757</v>
      </c>
      <c r="M614" s="175">
        <v>0.2757</v>
      </c>
      <c r="N614" s="175">
        <v>0</v>
      </c>
      <c r="O614" s="119">
        <f t="shared" si="122"/>
        <v>0</v>
      </c>
      <c r="P614" s="239">
        <v>1</v>
      </c>
      <c r="Q614" s="119">
        <f t="shared" si="121"/>
        <v>0.2757</v>
      </c>
      <c r="R614" s="246">
        <v>109329</v>
      </c>
      <c r="S614" s="246">
        <v>1794085</v>
      </c>
      <c r="T614" s="149">
        <v>188000</v>
      </c>
      <c r="U614" s="219">
        <v>116939.45</v>
      </c>
      <c r="V614" s="186" t="s">
        <v>219</v>
      </c>
      <c r="W614" s="239" t="s">
        <v>176</v>
      </c>
      <c r="X614" s="323">
        <v>1.72</v>
      </c>
      <c r="Y614" s="157" t="s">
        <v>145</v>
      </c>
      <c r="Z614" s="157"/>
      <c r="AA614" s="125"/>
      <c r="AB614" s="126">
        <v>38701.75</v>
      </c>
      <c r="AC614" s="126">
        <v>0</v>
      </c>
      <c r="AD614" s="127">
        <v>226</v>
      </c>
      <c r="AE614" s="157"/>
    </row>
    <row r="615" spans="1:31" x14ac:dyDescent="0.2">
      <c r="A615" s="239" t="s">
        <v>110</v>
      </c>
      <c r="B615" s="240" t="s">
        <v>4</v>
      </c>
      <c r="C615" s="239" t="s">
        <v>115</v>
      </c>
      <c r="D615" s="247" t="s">
        <v>220</v>
      </c>
      <c r="E615" s="239" t="s">
        <v>42</v>
      </c>
      <c r="F615" s="239" t="s">
        <v>116</v>
      </c>
      <c r="G615" s="241" t="s">
        <v>44</v>
      </c>
      <c r="H615" s="239">
        <v>2025</v>
      </c>
      <c r="I615" s="239">
        <v>1</v>
      </c>
      <c r="J615" s="242">
        <v>45694</v>
      </c>
      <c r="K615" s="245">
        <v>0.4</v>
      </c>
      <c r="L615" s="175">
        <v>0.80869999999999997</v>
      </c>
      <c r="M615" s="175">
        <v>1.0757000000000001</v>
      </c>
      <c r="N615" s="175">
        <v>0.26700000000000002</v>
      </c>
      <c r="O615" s="119">
        <f>N615*K615</f>
        <v>0.10680000000000001</v>
      </c>
      <c r="P615" s="239">
        <v>1</v>
      </c>
      <c r="Q615" s="119">
        <f t="shared" si="121"/>
        <v>0.80869999999999997</v>
      </c>
      <c r="R615" s="246">
        <v>30096</v>
      </c>
      <c r="S615" s="246">
        <v>893267</v>
      </c>
      <c r="T615" s="149">
        <v>640000</v>
      </c>
      <c r="U615" s="220">
        <v>401497.71</v>
      </c>
      <c r="V615" s="186" t="s">
        <v>117</v>
      </c>
      <c r="W615" s="239" t="s">
        <v>177</v>
      </c>
      <c r="X615" s="323">
        <v>5.75</v>
      </c>
      <c r="Y615" s="157" t="s">
        <v>145</v>
      </c>
      <c r="Z615" s="157"/>
      <c r="AA615" s="125"/>
      <c r="AB615" s="126">
        <v>32372.880000000001</v>
      </c>
      <c r="AC615" s="126">
        <v>0</v>
      </c>
      <c r="AD615" s="127">
        <v>218</v>
      </c>
      <c r="AE615" s="157"/>
    </row>
    <row r="616" spans="1:31" ht="25.5" x14ac:dyDescent="0.2">
      <c r="A616" s="239" t="s">
        <v>110</v>
      </c>
      <c r="B616" s="240" t="s">
        <v>4</v>
      </c>
      <c r="C616" s="239" t="s">
        <v>118</v>
      </c>
      <c r="D616" s="247" t="s">
        <v>221</v>
      </c>
      <c r="E616" s="239" t="s">
        <v>42</v>
      </c>
      <c r="F616" s="239" t="s">
        <v>119</v>
      </c>
      <c r="G616" s="241" t="s">
        <v>44</v>
      </c>
      <c r="H616" s="239">
        <v>2025</v>
      </c>
      <c r="I616" s="239">
        <v>1</v>
      </c>
      <c r="J616" s="242">
        <v>45694</v>
      </c>
      <c r="K616" s="245">
        <v>0.6</v>
      </c>
      <c r="L616" s="175">
        <v>0.61240000000000006</v>
      </c>
      <c r="M616" s="175">
        <v>0.79039999999999999</v>
      </c>
      <c r="N616" s="175">
        <v>0.17799999999999999</v>
      </c>
      <c r="O616" s="119">
        <f t="shared" si="122"/>
        <v>0.10679999999999999</v>
      </c>
      <c r="P616" s="239">
        <v>1</v>
      </c>
      <c r="Q616" s="119">
        <f t="shared" si="121"/>
        <v>0.61240000000000006</v>
      </c>
      <c r="R616" s="246">
        <v>91481</v>
      </c>
      <c r="S616" s="246">
        <v>1703947</v>
      </c>
      <c r="T616" s="149">
        <v>640000</v>
      </c>
      <c r="U616" s="220">
        <v>21435.79</v>
      </c>
      <c r="V616" s="186" t="s">
        <v>120</v>
      </c>
      <c r="W616" s="239" t="s">
        <v>177</v>
      </c>
      <c r="X616" s="323">
        <v>3.27</v>
      </c>
      <c r="Y616" s="157" t="s">
        <v>145</v>
      </c>
      <c r="Z616" s="157"/>
      <c r="AA616" s="125"/>
      <c r="AB616" s="126">
        <v>72309.62</v>
      </c>
      <c r="AC616" s="126">
        <v>0</v>
      </c>
      <c r="AD616" s="127">
        <v>404</v>
      </c>
      <c r="AE616" s="157"/>
    </row>
    <row r="617" spans="1:31" x14ac:dyDescent="0.2">
      <c r="A617" s="239" t="s">
        <v>110</v>
      </c>
      <c r="B617" s="240" t="s">
        <v>4</v>
      </c>
      <c r="C617" s="239" t="s">
        <v>121</v>
      </c>
      <c r="D617" s="247" t="s">
        <v>222</v>
      </c>
      <c r="E617" s="239" t="s">
        <v>42</v>
      </c>
      <c r="F617" s="239" t="s">
        <v>116</v>
      </c>
      <c r="G617" s="241" t="s">
        <v>44</v>
      </c>
      <c r="H617" s="239">
        <v>2025</v>
      </c>
      <c r="I617" s="239">
        <v>1</v>
      </c>
      <c r="J617" s="242">
        <v>45694</v>
      </c>
      <c r="K617" s="245">
        <v>0.5</v>
      </c>
      <c r="L617" s="175">
        <v>0.29380000000000001</v>
      </c>
      <c r="M617" s="175">
        <v>0.41710000000000003</v>
      </c>
      <c r="N617" s="175">
        <v>0.12330000000000001</v>
      </c>
      <c r="O617" s="119">
        <f t="shared" si="122"/>
        <v>6.1650000000000003E-2</v>
      </c>
      <c r="P617" s="239">
        <v>1</v>
      </c>
      <c r="Q617" s="119">
        <f t="shared" si="121"/>
        <v>0.29380000000000001</v>
      </c>
      <c r="R617" s="246">
        <v>36800</v>
      </c>
      <c r="S617" s="246">
        <v>1210735</v>
      </c>
      <c r="T617" s="149">
        <v>370000</v>
      </c>
      <c r="U617" s="220">
        <v>220676.02</v>
      </c>
      <c r="V617" s="186" t="s">
        <v>107</v>
      </c>
      <c r="W617" s="239" t="s">
        <v>177</v>
      </c>
      <c r="X617" s="323">
        <v>1.78</v>
      </c>
      <c r="Y617" s="157" t="s">
        <v>145</v>
      </c>
      <c r="Z617" s="157"/>
      <c r="AA617" s="125"/>
      <c r="AB617" s="126">
        <v>15349.8</v>
      </c>
      <c r="AC617" s="126">
        <v>0</v>
      </c>
      <c r="AD617" s="127" t="s">
        <v>148</v>
      </c>
      <c r="AE617" s="157"/>
    </row>
    <row r="618" spans="1:31" x14ac:dyDescent="0.2">
      <c r="A618" s="239" t="s">
        <v>110</v>
      </c>
      <c r="B618" s="240" t="s">
        <v>4</v>
      </c>
      <c r="C618" s="239" t="s">
        <v>66</v>
      </c>
      <c r="D618" s="247" t="s">
        <v>223</v>
      </c>
      <c r="E618" s="239" t="s">
        <v>42</v>
      </c>
      <c r="F618" s="239" t="s">
        <v>116</v>
      </c>
      <c r="G618" s="241" t="s">
        <v>44</v>
      </c>
      <c r="H618" s="239">
        <v>2025</v>
      </c>
      <c r="I618" s="239">
        <v>1</v>
      </c>
      <c r="J618" s="242">
        <v>45694</v>
      </c>
      <c r="K618" s="245">
        <v>0.5</v>
      </c>
      <c r="L618" s="175">
        <v>1.0629</v>
      </c>
      <c r="M618" s="175">
        <v>1.1322000000000001</v>
      </c>
      <c r="N618" s="175">
        <v>6.93E-2</v>
      </c>
      <c r="O618" s="119">
        <f t="shared" si="122"/>
        <v>3.465E-2</v>
      </c>
      <c r="P618" s="239">
        <v>1</v>
      </c>
      <c r="Q618" s="119">
        <f t="shared" si="121"/>
        <v>1.0629</v>
      </c>
      <c r="R618" s="246">
        <v>14260</v>
      </c>
      <c r="S618" s="246">
        <v>1147784</v>
      </c>
      <c r="T618" s="149">
        <v>484014</v>
      </c>
      <c r="U618" s="220">
        <v>137247.34</v>
      </c>
      <c r="V618" s="186" t="s">
        <v>154</v>
      </c>
      <c r="W618" s="239" t="s">
        <v>224</v>
      </c>
      <c r="X618" s="323">
        <v>2.38</v>
      </c>
      <c r="Y618" s="157" t="s">
        <v>145</v>
      </c>
      <c r="Z618" s="157" t="s">
        <v>195</v>
      </c>
      <c r="AA618" s="125">
        <v>0.8</v>
      </c>
      <c r="AB618" s="126">
        <v>16145.17</v>
      </c>
      <c r="AC618" s="126">
        <v>11408</v>
      </c>
      <c r="AD618" s="127">
        <v>286</v>
      </c>
      <c r="AE618" s="157"/>
    </row>
    <row r="619" spans="1:31" x14ac:dyDescent="0.2">
      <c r="A619" s="239" t="s">
        <v>110</v>
      </c>
      <c r="B619" s="240" t="s">
        <v>4</v>
      </c>
      <c r="C619" s="239" t="s">
        <v>66</v>
      </c>
      <c r="D619" s="247" t="s">
        <v>225</v>
      </c>
      <c r="E619" s="239" t="s">
        <v>42</v>
      </c>
      <c r="F619" s="239" t="s">
        <v>116</v>
      </c>
      <c r="G619" s="241" t="s">
        <v>44</v>
      </c>
      <c r="H619" s="239">
        <v>2025</v>
      </c>
      <c r="I619" s="239">
        <v>1</v>
      </c>
      <c r="J619" s="242">
        <v>45694</v>
      </c>
      <c r="K619" s="245">
        <v>0.5</v>
      </c>
      <c r="L619" s="175">
        <v>1.0629</v>
      </c>
      <c r="M619" s="175">
        <v>1.1322000000000001</v>
      </c>
      <c r="N619" s="175">
        <v>6.93E-2</v>
      </c>
      <c r="O619" s="119">
        <f t="shared" si="122"/>
        <v>3.465E-2</v>
      </c>
      <c r="P619" s="239">
        <v>1</v>
      </c>
      <c r="Q619" s="119">
        <f t="shared" si="121"/>
        <v>1.0629</v>
      </c>
      <c r="R619" s="246">
        <v>24500</v>
      </c>
      <c r="S619" s="246">
        <v>24500</v>
      </c>
      <c r="T619" s="149"/>
      <c r="U619" s="220"/>
      <c r="V619" s="186" t="s">
        <v>154</v>
      </c>
      <c r="W619" s="239" t="s">
        <v>226</v>
      </c>
      <c r="X619" s="323">
        <v>2.38</v>
      </c>
      <c r="Y619" s="157" t="s">
        <v>145</v>
      </c>
      <c r="Z619" s="157" t="s">
        <v>195</v>
      </c>
      <c r="AA619" s="125">
        <v>0.8</v>
      </c>
      <c r="AB619" s="126">
        <v>27738.9</v>
      </c>
      <c r="AC619" s="126">
        <v>19600</v>
      </c>
      <c r="AD619" s="127">
        <v>286</v>
      </c>
      <c r="AE619" s="157"/>
    </row>
    <row r="620" spans="1:31" ht="38.25" x14ac:dyDescent="0.2">
      <c r="A620" s="239" t="s">
        <v>110</v>
      </c>
      <c r="B620" s="240" t="s">
        <v>4</v>
      </c>
      <c r="C620" s="239" t="s">
        <v>150</v>
      </c>
      <c r="D620" s="247" t="s">
        <v>227</v>
      </c>
      <c r="E620" s="239" t="s">
        <v>42</v>
      </c>
      <c r="F620" s="239" t="s">
        <v>116</v>
      </c>
      <c r="G620" s="241" t="s">
        <v>44</v>
      </c>
      <c r="H620" s="239">
        <v>2025</v>
      </c>
      <c r="I620" s="239">
        <v>1</v>
      </c>
      <c r="J620" s="242">
        <v>45694</v>
      </c>
      <c r="K620" s="245">
        <v>0.4</v>
      </c>
      <c r="L620" s="175">
        <v>0.41389999999999999</v>
      </c>
      <c r="M620" s="175">
        <v>0.54320000000000002</v>
      </c>
      <c r="N620" s="175">
        <v>0.1293</v>
      </c>
      <c r="O620" s="119">
        <f t="shared" si="122"/>
        <v>5.1720000000000002E-2</v>
      </c>
      <c r="P620" s="239">
        <v>1</v>
      </c>
      <c r="Q620" s="119">
        <f t="shared" si="121"/>
        <v>0.41389999999999999</v>
      </c>
      <c r="R620" s="246">
        <v>29000</v>
      </c>
      <c r="S620" s="246">
        <v>29000</v>
      </c>
      <c r="T620" s="149">
        <v>452729</v>
      </c>
      <c r="U620" s="220">
        <v>313724.77</v>
      </c>
      <c r="V620" s="186" t="s">
        <v>155</v>
      </c>
      <c r="W620" s="239" t="s">
        <v>177</v>
      </c>
      <c r="X620" s="323">
        <v>3.67</v>
      </c>
      <c r="Y620" s="157" t="s">
        <v>145</v>
      </c>
      <c r="Z620" s="157"/>
      <c r="AA620" s="125"/>
      <c r="AB620" s="126">
        <v>15751.71</v>
      </c>
      <c r="AC620" s="126">
        <v>0</v>
      </c>
      <c r="AD620" s="127">
        <v>257</v>
      </c>
      <c r="AE620" s="157"/>
    </row>
    <row r="621" spans="1:31" s="103" customFormat="1" ht="25.5" x14ac:dyDescent="0.2">
      <c r="A621" s="171" t="s">
        <v>110</v>
      </c>
      <c r="B621" s="172" t="s">
        <v>4</v>
      </c>
      <c r="C621" s="108" t="s">
        <v>98</v>
      </c>
      <c r="D621" s="185">
        <v>23590202001</v>
      </c>
      <c r="E621" s="171" t="s">
        <v>42</v>
      </c>
      <c r="F621" s="171" t="s">
        <v>116</v>
      </c>
      <c r="G621" s="171" t="s">
        <v>44</v>
      </c>
      <c r="H621" s="172">
        <v>2025</v>
      </c>
      <c r="I621" s="171">
        <v>1</v>
      </c>
      <c r="J621" s="242">
        <v>45694</v>
      </c>
      <c r="K621" s="173">
        <v>0.4</v>
      </c>
      <c r="L621" s="175"/>
      <c r="M621" s="314"/>
      <c r="N621" s="314"/>
      <c r="O621" s="119">
        <f t="shared" si="122"/>
        <v>0</v>
      </c>
      <c r="P621" s="171"/>
      <c r="Q621" s="119">
        <f t="shared" si="121"/>
        <v>0</v>
      </c>
      <c r="R621" s="108"/>
      <c r="S621" s="172"/>
      <c r="T621" s="149">
        <v>381309</v>
      </c>
      <c r="U621" s="220">
        <v>381309</v>
      </c>
      <c r="V621" s="186"/>
      <c r="W621" s="182"/>
      <c r="X621" s="323"/>
      <c r="Y621" s="157"/>
      <c r="Z621" s="157"/>
      <c r="AA621" s="125"/>
      <c r="AB621" s="126"/>
      <c r="AC621" s="126"/>
      <c r="AD621" s="127"/>
      <c r="AE621" s="186" t="s">
        <v>172</v>
      </c>
    </row>
    <row r="622" spans="1:31" x14ac:dyDescent="0.2">
      <c r="A622" s="248" t="s">
        <v>228</v>
      </c>
      <c r="B622" s="240" t="s">
        <v>3</v>
      </c>
      <c r="C622" s="208" t="s">
        <v>229</v>
      </c>
      <c r="D622" s="330">
        <v>120040670018926</v>
      </c>
      <c r="E622" s="240" t="s">
        <v>42</v>
      </c>
      <c r="F622" s="240" t="s">
        <v>60</v>
      </c>
      <c r="G622" s="241" t="s">
        <v>137</v>
      </c>
      <c r="H622" s="240">
        <v>2024</v>
      </c>
      <c r="I622" s="239">
        <v>12</v>
      </c>
      <c r="J622" s="242">
        <v>45694</v>
      </c>
      <c r="K622" s="243">
        <v>0.3</v>
      </c>
      <c r="L622" s="119">
        <v>0.42570000000000002</v>
      </c>
      <c r="M622" s="119">
        <v>0.42709999999999998</v>
      </c>
      <c r="N622" s="119">
        <f>M622-L622</f>
        <v>1.3999999999999568E-3</v>
      </c>
      <c r="O622" s="119">
        <f t="shared" si="122"/>
        <v>4.1999999999998706E-4</v>
      </c>
      <c r="P622" s="240">
        <v>1</v>
      </c>
      <c r="Q622" s="119">
        <f t="shared" si="121"/>
        <v>0.42570000000000002</v>
      </c>
      <c r="R622" s="246">
        <v>375686</v>
      </c>
      <c r="S622" s="240">
        <v>11211518</v>
      </c>
      <c r="T622" s="149">
        <v>14000</v>
      </c>
      <c r="U622" s="141">
        <v>14000</v>
      </c>
      <c r="V622" s="186" t="s">
        <v>138</v>
      </c>
      <c r="W622" s="239" t="s">
        <v>230</v>
      </c>
      <c r="X622" s="157">
        <v>8.3000000000000007</v>
      </c>
      <c r="Y622" s="157" t="s">
        <v>161</v>
      </c>
      <c r="Z622" s="157"/>
      <c r="AA622" s="125">
        <v>0</v>
      </c>
      <c r="AB622" s="126">
        <v>5281103.04</v>
      </c>
      <c r="AC622" s="126">
        <v>0</v>
      </c>
      <c r="AD622" s="127">
        <v>89937.41</v>
      </c>
      <c r="AE622" s="157" t="s">
        <v>231</v>
      </c>
    </row>
    <row r="623" spans="1:31" x14ac:dyDescent="0.2">
      <c r="A623" s="248" t="s">
        <v>228</v>
      </c>
      <c r="B623" s="240" t="s">
        <v>3</v>
      </c>
      <c r="C623" s="208" t="s">
        <v>229</v>
      </c>
      <c r="D623" s="330">
        <v>120040670018926</v>
      </c>
      <c r="E623" s="240" t="s">
        <v>42</v>
      </c>
      <c r="F623" s="240" t="s">
        <v>60</v>
      </c>
      <c r="G623" s="241" t="s">
        <v>137</v>
      </c>
      <c r="H623" s="240">
        <v>2025</v>
      </c>
      <c r="I623" s="239">
        <v>1</v>
      </c>
      <c r="J623" s="242">
        <v>45694</v>
      </c>
      <c r="K623" s="243">
        <v>0.3</v>
      </c>
      <c r="L623" s="119">
        <v>0.42570000000000002</v>
      </c>
      <c r="M623" s="119">
        <v>0.42709999999999998</v>
      </c>
      <c r="N623" s="119">
        <f>M623-L623</f>
        <v>1.3999999999999568E-3</v>
      </c>
      <c r="O623" s="119">
        <f t="shared" si="122"/>
        <v>4.1999999999998706E-4</v>
      </c>
      <c r="P623" s="240">
        <v>1</v>
      </c>
      <c r="Q623" s="119">
        <f t="shared" si="121"/>
        <v>0.42570000000000002</v>
      </c>
      <c r="R623" s="246">
        <v>375686</v>
      </c>
      <c r="S623" s="240">
        <v>11211518</v>
      </c>
      <c r="T623" s="149">
        <v>14000</v>
      </c>
      <c r="U623" s="141">
        <v>-1699.0204000000001</v>
      </c>
      <c r="V623" s="186" t="s">
        <v>138</v>
      </c>
      <c r="W623" s="239" t="s">
        <v>230</v>
      </c>
      <c r="X623" s="323">
        <v>8.3000000000000007</v>
      </c>
      <c r="Y623" s="157" t="s">
        <v>161</v>
      </c>
      <c r="Z623" s="157"/>
      <c r="AA623" s="125">
        <v>0</v>
      </c>
      <c r="AB623" s="126">
        <v>183099.6</v>
      </c>
      <c r="AC623" s="126">
        <v>0</v>
      </c>
      <c r="AD623" s="127">
        <v>3118</v>
      </c>
      <c r="AE623" s="157"/>
    </row>
    <row r="624" spans="1:31" x14ac:dyDescent="0.2">
      <c r="A624" s="248" t="s">
        <v>232</v>
      </c>
      <c r="B624" s="240" t="s">
        <v>3</v>
      </c>
      <c r="C624" s="208" t="s">
        <v>229</v>
      </c>
      <c r="D624" s="330">
        <v>120040670025620</v>
      </c>
      <c r="E624" s="240" t="s">
        <v>42</v>
      </c>
      <c r="F624" s="240" t="s">
        <v>60</v>
      </c>
      <c r="G624" s="241" t="s">
        <v>137</v>
      </c>
      <c r="H624" s="240">
        <v>2024</v>
      </c>
      <c r="I624" s="239">
        <v>12</v>
      </c>
      <c r="J624" s="242">
        <v>45694</v>
      </c>
      <c r="K624" s="243">
        <v>0.3</v>
      </c>
      <c r="L624" s="119">
        <v>0.92</v>
      </c>
      <c r="M624" s="119">
        <v>0.92</v>
      </c>
      <c r="N624" s="119">
        <v>0</v>
      </c>
      <c r="O624" s="119">
        <f t="shared" si="122"/>
        <v>0</v>
      </c>
      <c r="P624" s="240">
        <v>1</v>
      </c>
      <c r="Q624" s="119">
        <f t="shared" si="121"/>
        <v>0.92</v>
      </c>
      <c r="R624" s="246">
        <v>194058</v>
      </c>
      <c r="S624" s="240">
        <v>227558</v>
      </c>
      <c r="T624" s="149">
        <v>0</v>
      </c>
      <c r="U624" s="141" t="s">
        <v>134</v>
      </c>
      <c r="V624" s="186" t="s">
        <v>138</v>
      </c>
      <c r="W624" s="239" t="s">
        <v>230</v>
      </c>
      <c r="X624" s="157">
        <v>12.43</v>
      </c>
      <c r="Y624" s="157" t="s">
        <v>161</v>
      </c>
      <c r="Z624" s="157"/>
      <c r="AA624" s="125">
        <v>0</v>
      </c>
      <c r="AB624" s="126">
        <v>9113613.8399999999</v>
      </c>
      <c r="AC624" s="126">
        <v>0</v>
      </c>
      <c r="AD624" s="127">
        <v>87720.47</v>
      </c>
      <c r="AE624" s="157" t="s">
        <v>231</v>
      </c>
    </row>
    <row r="625" spans="1:31" x14ac:dyDescent="0.2">
      <c r="A625" s="248" t="s">
        <v>232</v>
      </c>
      <c r="B625" s="240" t="s">
        <v>3</v>
      </c>
      <c r="C625" s="208" t="s">
        <v>229</v>
      </c>
      <c r="D625" s="330">
        <v>120040670025620</v>
      </c>
      <c r="E625" s="240" t="s">
        <v>42</v>
      </c>
      <c r="F625" s="240" t="s">
        <v>60</v>
      </c>
      <c r="G625" s="241" t="s">
        <v>137</v>
      </c>
      <c r="H625" s="240">
        <v>2025</v>
      </c>
      <c r="I625" s="239">
        <v>1</v>
      </c>
      <c r="J625" s="242">
        <v>45694</v>
      </c>
      <c r="K625" s="243">
        <v>0.3</v>
      </c>
      <c r="L625" s="119">
        <v>0.92</v>
      </c>
      <c r="M625" s="119">
        <v>0.92</v>
      </c>
      <c r="N625" s="119">
        <v>0</v>
      </c>
      <c r="O625" s="119">
        <f t="shared" si="122"/>
        <v>0</v>
      </c>
      <c r="P625" s="240">
        <v>1</v>
      </c>
      <c r="Q625" s="119">
        <f t="shared" si="121"/>
        <v>0.92</v>
      </c>
      <c r="R625" s="217">
        <v>-204</v>
      </c>
      <c r="S625" s="244">
        <v>7056954</v>
      </c>
      <c r="T625" s="149">
        <v>0</v>
      </c>
      <c r="U625" s="141" t="s">
        <v>134</v>
      </c>
      <c r="V625" s="186" t="s">
        <v>138</v>
      </c>
      <c r="W625" s="239" t="s">
        <v>230</v>
      </c>
      <c r="X625" s="323">
        <v>12.43</v>
      </c>
      <c r="Y625" s="157" t="s">
        <v>161</v>
      </c>
      <c r="Z625" s="157"/>
      <c r="AA625" s="125">
        <v>0</v>
      </c>
      <c r="AB625" s="126">
        <v>-263.45</v>
      </c>
      <c r="AC625" s="126">
        <v>0</v>
      </c>
      <c r="AD625" s="127">
        <v>-2.54</v>
      </c>
      <c r="AE625" s="157"/>
    </row>
    <row r="626" spans="1:31" x14ac:dyDescent="0.2">
      <c r="A626" s="248" t="s">
        <v>233</v>
      </c>
      <c r="B626" s="240" t="s">
        <v>3</v>
      </c>
      <c r="C626" s="208" t="s">
        <v>229</v>
      </c>
      <c r="D626" s="183">
        <v>120040670017654</v>
      </c>
      <c r="E626" s="240" t="s">
        <v>42</v>
      </c>
      <c r="F626" s="240" t="s">
        <v>60</v>
      </c>
      <c r="G626" s="241" t="s">
        <v>137</v>
      </c>
      <c r="H626" s="240">
        <v>2024</v>
      </c>
      <c r="I626" s="239">
        <v>12</v>
      </c>
      <c r="J626" s="242">
        <v>45694</v>
      </c>
      <c r="K626" s="243">
        <v>0.3</v>
      </c>
      <c r="L626" s="119">
        <v>0.34651649899687498</v>
      </c>
      <c r="M626" s="119">
        <v>0.34739999999999999</v>
      </c>
      <c r="N626" s="119">
        <f>M626-L626</f>
        <v>8.8350100312500901E-4</v>
      </c>
      <c r="O626" s="119">
        <f t="shared" si="122"/>
        <v>2.6505030093750269E-4</v>
      </c>
      <c r="P626" s="240">
        <v>1</v>
      </c>
      <c r="Q626" s="119">
        <f t="shared" si="121"/>
        <v>0.34651649899687498</v>
      </c>
      <c r="R626" s="246">
        <v>10495800</v>
      </c>
      <c r="S626" s="244">
        <v>501021154</v>
      </c>
      <c r="T626" s="149">
        <v>111000</v>
      </c>
      <c r="U626" s="141">
        <v>277470.40269999998</v>
      </c>
      <c r="V626" s="186" t="s">
        <v>138</v>
      </c>
      <c r="W626" s="239" t="s">
        <v>230</v>
      </c>
      <c r="X626" s="157">
        <v>7.2</v>
      </c>
      <c r="Y626" s="157" t="s">
        <v>161</v>
      </c>
      <c r="Z626" s="157"/>
      <c r="AA626" s="125">
        <v>0</v>
      </c>
      <c r="AB626" s="126">
        <v>12154.61</v>
      </c>
      <c r="AC626" s="126">
        <v>0</v>
      </c>
      <c r="AD626" s="127">
        <v>241.2</v>
      </c>
      <c r="AE626" s="157" t="s">
        <v>231</v>
      </c>
    </row>
    <row r="627" spans="1:31" x14ac:dyDescent="0.2">
      <c r="A627" s="248" t="s">
        <v>233</v>
      </c>
      <c r="B627" s="240" t="s">
        <v>3</v>
      </c>
      <c r="C627" s="208" t="s">
        <v>229</v>
      </c>
      <c r="D627" s="183">
        <v>120040670017654</v>
      </c>
      <c r="E627" s="240" t="s">
        <v>42</v>
      </c>
      <c r="F627" s="240" t="s">
        <v>60</v>
      </c>
      <c r="G627" s="241" t="s">
        <v>137</v>
      </c>
      <c r="H627" s="240">
        <v>2025</v>
      </c>
      <c r="I627" s="239">
        <v>1</v>
      </c>
      <c r="J627" s="242">
        <v>45694</v>
      </c>
      <c r="K627" s="243">
        <v>0.3</v>
      </c>
      <c r="L627" s="119">
        <v>0.34651649899687498</v>
      </c>
      <c r="M627" s="119">
        <v>0.36</v>
      </c>
      <c r="N627" s="119">
        <f>M627-L627</f>
        <v>1.3483501003125009E-2</v>
      </c>
      <c r="O627" s="119">
        <f t="shared" si="122"/>
        <v>4.0450503009375029E-3</v>
      </c>
      <c r="P627" s="240">
        <v>1</v>
      </c>
      <c r="Q627" s="119">
        <f t="shared" si="121"/>
        <v>0.34651649899687498</v>
      </c>
      <c r="R627" s="246">
        <v>194058</v>
      </c>
      <c r="S627" s="240">
        <v>227558</v>
      </c>
      <c r="T627" s="149">
        <v>111000</v>
      </c>
      <c r="U627" s="141">
        <v>110798.9523</v>
      </c>
      <c r="V627" s="186" t="s">
        <v>138</v>
      </c>
      <c r="W627" s="239" t="s">
        <v>230</v>
      </c>
      <c r="X627" s="323">
        <v>7.2</v>
      </c>
      <c r="Y627" s="157" t="s">
        <v>161</v>
      </c>
      <c r="Z627" s="157"/>
      <c r="AA627" s="125">
        <v>0</v>
      </c>
      <c r="AB627" s="126">
        <v>70408.960000000006</v>
      </c>
      <c r="AC627" s="126">
        <v>0</v>
      </c>
      <c r="AD627" s="127">
        <v>1397.22</v>
      </c>
      <c r="AE627" s="157"/>
    </row>
    <row r="628" spans="1:31" x14ac:dyDescent="0.2">
      <c r="A628" s="239" t="s">
        <v>163</v>
      </c>
      <c r="B628" s="239" t="s">
        <v>2</v>
      </c>
      <c r="C628" s="239" t="s">
        <v>234</v>
      </c>
      <c r="D628" s="183">
        <v>130020390000222</v>
      </c>
      <c r="E628" s="239" t="s">
        <v>42</v>
      </c>
      <c r="F628" s="239" t="s">
        <v>60</v>
      </c>
      <c r="G628" s="241" t="s">
        <v>44</v>
      </c>
      <c r="H628" s="239">
        <v>2024</v>
      </c>
      <c r="I628" s="239">
        <v>12</v>
      </c>
      <c r="J628" s="242">
        <v>45694</v>
      </c>
      <c r="K628" s="245">
        <v>0.5</v>
      </c>
      <c r="L628" s="119">
        <v>0.42</v>
      </c>
      <c r="M628" s="119">
        <v>0.42</v>
      </c>
      <c r="N628" s="119">
        <v>0</v>
      </c>
      <c r="O628" s="119">
        <f t="shared" si="122"/>
        <v>0</v>
      </c>
      <c r="P628" s="239">
        <v>1</v>
      </c>
      <c r="Q628" s="119">
        <f t="shared" si="121"/>
        <v>0.42</v>
      </c>
      <c r="R628" s="246">
        <v>10621000</v>
      </c>
      <c r="S628" s="246">
        <v>520688511</v>
      </c>
      <c r="T628" s="149">
        <v>600000</v>
      </c>
      <c r="U628" s="141">
        <v>0</v>
      </c>
      <c r="V628" s="186" t="s">
        <v>132</v>
      </c>
      <c r="W628" s="239" t="s">
        <v>177</v>
      </c>
      <c r="X628" s="157">
        <v>2.09</v>
      </c>
      <c r="Y628" s="157" t="s">
        <v>71</v>
      </c>
      <c r="Z628" s="157"/>
      <c r="AA628" s="125">
        <v>0</v>
      </c>
      <c r="AB628" s="126">
        <v>5752271.0999999996</v>
      </c>
      <c r="AC628" s="126">
        <v>0</v>
      </c>
      <c r="AD628" s="127">
        <v>0</v>
      </c>
      <c r="AE628" s="157"/>
    </row>
    <row r="629" spans="1:31" x14ac:dyDescent="0.2">
      <c r="A629" s="239" t="s">
        <v>163</v>
      </c>
      <c r="B629" s="239" t="s">
        <v>2</v>
      </c>
      <c r="C629" s="239" t="s">
        <v>234</v>
      </c>
      <c r="D629" s="183">
        <v>130020390000222</v>
      </c>
      <c r="E629" s="239" t="s">
        <v>42</v>
      </c>
      <c r="F629" s="239" t="s">
        <v>60</v>
      </c>
      <c r="G629" s="241" t="s">
        <v>44</v>
      </c>
      <c r="H629" s="239">
        <v>2025</v>
      </c>
      <c r="I629" s="239">
        <v>1</v>
      </c>
      <c r="J629" s="242">
        <v>45694</v>
      </c>
      <c r="K629" s="245">
        <v>0.5</v>
      </c>
      <c r="L629" s="119">
        <v>0.42</v>
      </c>
      <c r="M629" s="119">
        <v>0.42</v>
      </c>
      <c r="N629" s="119">
        <v>0</v>
      </c>
      <c r="O629" s="119">
        <f t="shared" si="122"/>
        <v>0</v>
      </c>
      <c r="P629" s="239">
        <v>1</v>
      </c>
      <c r="Q629" s="119">
        <f t="shared" si="121"/>
        <v>0.42</v>
      </c>
      <c r="R629" s="246">
        <v>500000</v>
      </c>
      <c r="S629" s="246">
        <v>14108401</v>
      </c>
      <c r="T629" s="149">
        <v>600000</v>
      </c>
      <c r="U629" s="141">
        <v>0</v>
      </c>
      <c r="V629" s="235" t="s">
        <v>151</v>
      </c>
      <c r="W629" s="239" t="s">
        <v>177</v>
      </c>
      <c r="X629" s="323">
        <v>2.09</v>
      </c>
      <c r="Y629" s="157" t="s">
        <v>71</v>
      </c>
      <c r="Z629" s="157"/>
      <c r="AA629" s="125">
        <v>0</v>
      </c>
      <c r="AB629" s="126">
        <v>211350</v>
      </c>
      <c r="AC629" s="126">
        <v>0</v>
      </c>
      <c r="AD629" s="127">
        <v>1045</v>
      </c>
      <c r="AE629" s="157"/>
    </row>
    <row r="630" spans="1:31" x14ac:dyDescent="0.2">
      <c r="A630" s="239" t="s">
        <v>124</v>
      </c>
      <c r="B630" s="240" t="s">
        <v>1</v>
      </c>
      <c r="C630" s="239" t="s">
        <v>84</v>
      </c>
      <c r="D630" s="183">
        <v>130010390000214</v>
      </c>
      <c r="E630" s="240" t="s">
        <v>42</v>
      </c>
      <c r="F630" s="240" t="s">
        <v>60</v>
      </c>
      <c r="G630" s="241" t="s">
        <v>44</v>
      </c>
      <c r="H630" s="240">
        <v>2025</v>
      </c>
      <c r="I630" s="239">
        <v>1</v>
      </c>
      <c r="J630" s="242">
        <v>45694</v>
      </c>
      <c r="K630" s="243">
        <v>0.5</v>
      </c>
      <c r="L630" s="119">
        <v>0.25</v>
      </c>
      <c r="M630" s="119">
        <v>0.28000000000000003</v>
      </c>
      <c r="N630" s="119">
        <v>0.03</v>
      </c>
      <c r="O630" s="119">
        <f t="shared" si="122"/>
        <v>1.4999999999999999E-2</v>
      </c>
      <c r="P630" s="240">
        <v>1</v>
      </c>
      <c r="Q630" s="119">
        <f t="shared" si="121"/>
        <v>0.25</v>
      </c>
      <c r="R630" s="246">
        <v>10495800</v>
      </c>
      <c r="S630" s="244">
        <v>501021154</v>
      </c>
      <c r="T630" s="149">
        <v>24767520.960000001</v>
      </c>
      <c r="U630" s="141">
        <v>-5285265.3099999996</v>
      </c>
      <c r="V630" s="186" t="s">
        <v>151</v>
      </c>
      <c r="W630" s="239" t="s">
        <v>176</v>
      </c>
      <c r="X630" s="323">
        <v>2.09</v>
      </c>
      <c r="Y630" s="157" t="s">
        <v>142</v>
      </c>
      <c r="Z630" s="157"/>
      <c r="AA630" s="125">
        <v>0</v>
      </c>
      <c r="AB630" s="126">
        <v>2978970.44</v>
      </c>
      <c r="AC630" s="126">
        <v>0</v>
      </c>
      <c r="AD630" s="127">
        <v>21936</v>
      </c>
      <c r="AE630" s="157" t="s">
        <v>125</v>
      </c>
    </row>
    <row r="631" spans="1:31" x14ac:dyDescent="0.2">
      <c r="A631" s="239" t="s">
        <v>124</v>
      </c>
      <c r="B631" s="240" t="s">
        <v>1</v>
      </c>
      <c r="C631" s="239" t="s">
        <v>126</v>
      </c>
      <c r="D631" s="183">
        <v>130010390000215</v>
      </c>
      <c r="E631" s="240" t="s">
        <v>42</v>
      </c>
      <c r="F631" s="240" t="s">
        <v>60</v>
      </c>
      <c r="G631" s="241" t="s">
        <v>44</v>
      </c>
      <c r="H631" s="240">
        <v>2025</v>
      </c>
      <c r="I631" s="239">
        <v>1</v>
      </c>
      <c r="J631" s="242">
        <v>45694</v>
      </c>
      <c r="K631" s="243">
        <v>0.5</v>
      </c>
      <c r="L631" s="119">
        <v>0.08</v>
      </c>
      <c r="M631" s="119">
        <v>0.09</v>
      </c>
      <c r="N631" s="119">
        <v>0.01</v>
      </c>
      <c r="O631" s="119">
        <f t="shared" si="122"/>
        <v>5.0000000000000001E-3</v>
      </c>
      <c r="P631" s="240">
        <v>1</v>
      </c>
      <c r="Q631" s="119">
        <f t="shared" si="121"/>
        <v>0.08</v>
      </c>
      <c r="R631" s="246">
        <v>10613000</v>
      </c>
      <c r="S631" s="244">
        <v>512538534</v>
      </c>
      <c r="T631" s="149">
        <v>10280498.43</v>
      </c>
      <c r="U631" s="141">
        <v>-1612959.49</v>
      </c>
      <c r="V631" s="186" t="s">
        <v>151</v>
      </c>
      <c r="W631" s="240" t="s">
        <v>176</v>
      </c>
      <c r="X631" s="323">
        <v>0.31</v>
      </c>
      <c r="Y631" s="157" t="s">
        <v>142</v>
      </c>
      <c r="Z631" s="157"/>
      <c r="AA631" s="125">
        <v>0</v>
      </c>
      <c r="AB631" s="126">
        <v>948536.88</v>
      </c>
      <c r="AC631" s="126">
        <v>0</v>
      </c>
      <c r="AD631" s="127">
        <v>3290</v>
      </c>
      <c r="AE631" s="157" t="s">
        <v>125</v>
      </c>
    </row>
    <row r="632" spans="1:31" x14ac:dyDescent="0.2">
      <c r="A632" s="239" t="s">
        <v>124</v>
      </c>
      <c r="B632" s="240" t="s">
        <v>1</v>
      </c>
      <c r="C632" s="239" t="s">
        <v>128</v>
      </c>
      <c r="D632" s="183">
        <v>130010390000216</v>
      </c>
      <c r="E632" s="240" t="s">
        <v>42</v>
      </c>
      <c r="F632" s="240" t="s">
        <v>60</v>
      </c>
      <c r="G632" s="241" t="s">
        <v>44</v>
      </c>
      <c r="H632" s="240">
        <v>2025</v>
      </c>
      <c r="I632" s="239">
        <v>1</v>
      </c>
      <c r="J632" s="242">
        <v>45694</v>
      </c>
      <c r="K632" s="243">
        <v>0.5</v>
      </c>
      <c r="L632" s="119">
        <v>0.09</v>
      </c>
      <c r="M632" s="119">
        <v>0.1</v>
      </c>
      <c r="N632" s="119">
        <v>0.01</v>
      </c>
      <c r="O632" s="119">
        <f t="shared" si="122"/>
        <v>5.0000000000000001E-3</v>
      </c>
      <c r="P632" s="240">
        <v>1</v>
      </c>
      <c r="Q632" s="119">
        <f t="shared" si="121"/>
        <v>0.09</v>
      </c>
      <c r="R632" s="246">
        <v>10621000</v>
      </c>
      <c r="S632" s="244">
        <v>520688511</v>
      </c>
      <c r="T632" s="149">
        <v>10334790.199999999</v>
      </c>
      <c r="U632" s="141">
        <v>-1728500.5</v>
      </c>
      <c r="V632" s="186" t="s">
        <v>151</v>
      </c>
      <c r="W632" s="240" t="s">
        <v>176</v>
      </c>
      <c r="X632" s="323">
        <v>0.5</v>
      </c>
      <c r="Y632" s="157" t="s">
        <v>142</v>
      </c>
      <c r="Z632" s="157"/>
      <c r="AA632" s="125">
        <v>0</v>
      </c>
      <c r="AB632" s="126">
        <v>1055568.0900000001</v>
      </c>
      <c r="AC632" s="126">
        <v>0</v>
      </c>
      <c r="AD632" s="127">
        <v>5311</v>
      </c>
      <c r="AE632" s="157" t="s">
        <v>125</v>
      </c>
    </row>
    <row r="633" spans="1:31" x14ac:dyDescent="0.2">
      <c r="A633" s="239" t="s">
        <v>124</v>
      </c>
      <c r="B633" s="240" t="s">
        <v>1</v>
      </c>
      <c r="C633" s="239" t="s">
        <v>130</v>
      </c>
      <c r="D633" s="183">
        <v>130010390000221</v>
      </c>
      <c r="E633" s="240" t="s">
        <v>42</v>
      </c>
      <c r="F633" s="240" t="s">
        <v>60</v>
      </c>
      <c r="G633" s="241" t="s">
        <v>44</v>
      </c>
      <c r="H633" s="240">
        <v>2025</v>
      </c>
      <c r="I633" s="239">
        <v>1</v>
      </c>
      <c r="J633" s="242">
        <v>45694</v>
      </c>
      <c r="K633" s="243">
        <v>0.5</v>
      </c>
      <c r="L633" s="119">
        <v>0.11</v>
      </c>
      <c r="M633" s="119">
        <v>0.12</v>
      </c>
      <c r="N633" s="119">
        <v>0.01</v>
      </c>
      <c r="O633" s="119">
        <f t="shared" si="122"/>
        <v>5.0000000000000001E-3</v>
      </c>
      <c r="P633" s="240">
        <v>1</v>
      </c>
      <c r="Q633" s="119">
        <f t="shared" si="121"/>
        <v>0.11</v>
      </c>
      <c r="R633" s="246">
        <v>10572000</v>
      </c>
      <c r="S633" s="244">
        <v>517919613</v>
      </c>
      <c r="T633" s="149">
        <v>5210924</v>
      </c>
      <c r="U633" s="141">
        <v>-1853125.83</v>
      </c>
      <c r="V633" s="186" t="s">
        <v>132</v>
      </c>
      <c r="W633" s="240" t="s">
        <v>177</v>
      </c>
      <c r="X633" s="323">
        <v>1.29</v>
      </c>
      <c r="Y633" s="157" t="s">
        <v>133</v>
      </c>
      <c r="Z633" s="157"/>
      <c r="AA633" s="125">
        <v>0</v>
      </c>
      <c r="AB633" s="126">
        <v>1262349.6599999999</v>
      </c>
      <c r="AC633" s="126">
        <v>0</v>
      </c>
      <c r="AD633" s="127">
        <v>13638</v>
      </c>
      <c r="AE633" s="157" t="s">
        <v>125</v>
      </c>
    </row>
    <row r="634" spans="1:31" x14ac:dyDescent="0.2">
      <c r="A634" s="249" t="s">
        <v>124</v>
      </c>
      <c r="B634" s="240" t="s">
        <v>1</v>
      </c>
      <c r="C634" s="239" t="s">
        <v>84</v>
      </c>
      <c r="D634" s="183">
        <v>130010390000214</v>
      </c>
      <c r="E634" s="240" t="s">
        <v>42</v>
      </c>
      <c r="F634" s="240" t="s">
        <v>60</v>
      </c>
      <c r="G634" s="241" t="s">
        <v>44</v>
      </c>
      <c r="H634" s="240">
        <v>2025</v>
      </c>
      <c r="I634" s="239">
        <v>1</v>
      </c>
      <c r="J634" s="242">
        <v>45694</v>
      </c>
      <c r="K634" s="243">
        <v>0.5</v>
      </c>
      <c r="L634" s="119">
        <v>0.25</v>
      </c>
      <c r="M634" s="119">
        <v>0.28000000000000003</v>
      </c>
      <c r="N634" s="119">
        <v>0.03</v>
      </c>
      <c r="O634" s="119">
        <f t="shared" si="122"/>
        <v>1.4999999999999999E-2</v>
      </c>
      <c r="P634" s="240">
        <v>1</v>
      </c>
      <c r="Q634" s="119">
        <f t="shared" si="121"/>
        <v>0.25</v>
      </c>
      <c r="R634" s="193"/>
      <c r="S634" s="250">
        <v>0</v>
      </c>
      <c r="T634" s="149">
        <v>7349092.9655000009</v>
      </c>
      <c r="U634" s="141">
        <v>7349092.6100000003</v>
      </c>
      <c r="V634" s="186" t="s">
        <v>151</v>
      </c>
      <c r="W634" s="239" t="s">
        <v>176</v>
      </c>
      <c r="X634" s="323">
        <v>2.09</v>
      </c>
      <c r="Y634" s="157" t="s">
        <v>142</v>
      </c>
      <c r="Z634" s="157"/>
      <c r="AA634" s="125">
        <v>0</v>
      </c>
      <c r="AB634" s="126">
        <v>0</v>
      </c>
      <c r="AC634" s="126">
        <v>0</v>
      </c>
      <c r="AD634" s="127" t="s">
        <v>148</v>
      </c>
      <c r="AE634" s="157" t="s">
        <v>173</v>
      </c>
    </row>
    <row r="635" spans="1:31" x14ac:dyDescent="0.2">
      <c r="A635" s="249" t="s">
        <v>124</v>
      </c>
      <c r="B635" s="240" t="s">
        <v>1</v>
      </c>
      <c r="C635" s="239" t="s">
        <v>126</v>
      </c>
      <c r="D635" s="183">
        <v>130010390000215</v>
      </c>
      <c r="E635" s="240" t="s">
        <v>42</v>
      </c>
      <c r="F635" s="240" t="s">
        <v>60</v>
      </c>
      <c r="G635" s="241" t="s">
        <v>44</v>
      </c>
      <c r="H635" s="240">
        <v>2025</v>
      </c>
      <c r="I635" s="239">
        <v>1</v>
      </c>
      <c r="J635" s="242">
        <v>45694</v>
      </c>
      <c r="K635" s="243">
        <v>0.5</v>
      </c>
      <c r="L635" s="119">
        <v>0.08</v>
      </c>
      <c r="M635" s="119">
        <v>0.09</v>
      </c>
      <c r="N635" s="119">
        <v>0.02</v>
      </c>
      <c r="O635" s="119">
        <f t="shared" si="122"/>
        <v>0.01</v>
      </c>
      <c r="P635" s="240">
        <v>1</v>
      </c>
      <c r="Q635" s="119">
        <f t="shared" si="121"/>
        <v>0.08</v>
      </c>
      <c r="R635" s="193"/>
      <c r="S635" s="250">
        <v>0</v>
      </c>
      <c r="T635" s="149">
        <v>3669841.5325000002</v>
      </c>
      <c r="U635" s="141">
        <v>3669841.38</v>
      </c>
      <c r="V635" s="186" t="s">
        <v>151</v>
      </c>
      <c r="W635" s="240" t="s">
        <v>176</v>
      </c>
      <c r="X635" s="323">
        <v>0.31</v>
      </c>
      <c r="Y635" s="157" t="s">
        <v>142</v>
      </c>
      <c r="Z635" s="157"/>
      <c r="AA635" s="125">
        <v>0</v>
      </c>
      <c r="AB635" s="126">
        <v>0</v>
      </c>
      <c r="AC635" s="126">
        <v>0</v>
      </c>
      <c r="AD635" s="127" t="s">
        <v>148</v>
      </c>
      <c r="AE635" s="157" t="s">
        <v>173</v>
      </c>
    </row>
    <row r="636" spans="1:31" x14ac:dyDescent="0.2">
      <c r="A636" s="249" t="s">
        <v>124</v>
      </c>
      <c r="B636" s="240" t="s">
        <v>1</v>
      </c>
      <c r="C636" s="239" t="s">
        <v>128</v>
      </c>
      <c r="D636" s="183">
        <v>130010390000216</v>
      </c>
      <c r="E636" s="240" t="s">
        <v>42</v>
      </c>
      <c r="F636" s="240" t="s">
        <v>60</v>
      </c>
      <c r="G636" s="241" t="s">
        <v>44</v>
      </c>
      <c r="H636" s="240">
        <v>2025</v>
      </c>
      <c r="I636" s="239">
        <v>1</v>
      </c>
      <c r="J636" s="242">
        <v>45694</v>
      </c>
      <c r="K636" s="243">
        <v>0.5</v>
      </c>
      <c r="L636" s="119">
        <v>0.09</v>
      </c>
      <c r="M636" s="119">
        <v>0.1</v>
      </c>
      <c r="N636" s="119">
        <v>0.02</v>
      </c>
      <c r="O636" s="119">
        <f t="shared" si="122"/>
        <v>0.01</v>
      </c>
      <c r="P636" s="240">
        <v>1</v>
      </c>
      <c r="Q636" s="119">
        <f t="shared" si="121"/>
        <v>0.09</v>
      </c>
      <c r="R636" s="193"/>
      <c r="S636" s="250">
        <v>0</v>
      </c>
      <c r="T636" s="200">
        <v>3669841.5325000002</v>
      </c>
      <c r="U636" s="201">
        <v>3669841.38</v>
      </c>
      <c r="V636" s="251" t="s">
        <v>151</v>
      </c>
      <c r="W636" s="240" t="s">
        <v>176</v>
      </c>
      <c r="X636" s="323">
        <v>0.5</v>
      </c>
      <c r="Y636" s="157" t="s">
        <v>142</v>
      </c>
      <c r="Z636" s="157"/>
      <c r="AA636" s="125">
        <v>0</v>
      </c>
      <c r="AB636" s="126">
        <v>0</v>
      </c>
      <c r="AC636" s="126">
        <v>0</v>
      </c>
      <c r="AD636" s="127" t="s">
        <v>148</v>
      </c>
      <c r="AE636" s="157" t="s">
        <v>173</v>
      </c>
    </row>
    <row r="637" spans="1:31" x14ac:dyDescent="0.2">
      <c r="A637" s="252" t="s">
        <v>124</v>
      </c>
      <c r="B637" s="250" t="s">
        <v>1</v>
      </c>
      <c r="C637" s="253" t="s">
        <v>130</v>
      </c>
      <c r="D637" s="198">
        <v>130010390000221</v>
      </c>
      <c r="E637" s="250" t="s">
        <v>42</v>
      </c>
      <c r="F637" s="250" t="s">
        <v>60</v>
      </c>
      <c r="G637" s="254" t="s">
        <v>44</v>
      </c>
      <c r="H637" s="250">
        <v>2025</v>
      </c>
      <c r="I637" s="253">
        <v>1</v>
      </c>
      <c r="J637" s="242">
        <v>45694</v>
      </c>
      <c r="K637" s="255">
        <v>0.5</v>
      </c>
      <c r="L637" s="199">
        <v>0.11</v>
      </c>
      <c r="M637" s="199">
        <v>0.13</v>
      </c>
      <c r="N637" s="199">
        <v>0.01</v>
      </c>
      <c r="O637" s="199">
        <f t="shared" si="122"/>
        <v>5.0000000000000001E-3</v>
      </c>
      <c r="P637" s="250">
        <v>1</v>
      </c>
      <c r="Q637" s="199">
        <f t="shared" si="121"/>
        <v>0.11</v>
      </c>
      <c r="R637" s="210"/>
      <c r="S637" s="256">
        <v>0</v>
      </c>
      <c r="T637" s="221">
        <v>2493610.0475000003</v>
      </c>
      <c r="U637" s="141">
        <v>2493610.17</v>
      </c>
      <c r="V637" s="186" t="s">
        <v>132</v>
      </c>
      <c r="W637" s="257" t="s">
        <v>177</v>
      </c>
      <c r="X637" s="325">
        <v>1.29</v>
      </c>
      <c r="Y637" s="205" t="s">
        <v>133</v>
      </c>
      <c r="Z637" s="205"/>
      <c r="AA637" s="202">
        <v>0</v>
      </c>
      <c r="AB637" s="203">
        <v>0</v>
      </c>
      <c r="AC637" s="203">
        <v>0</v>
      </c>
      <c r="AD637" s="204" t="s">
        <v>148</v>
      </c>
      <c r="AE637" s="205" t="s">
        <v>173</v>
      </c>
    </row>
    <row r="638" spans="1:31" x14ac:dyDescent="0.2">
      <c r="A638" s="206" t="s">
        <v>235</v>
      </c>
      <c r="B638" s="207" t="s">
        <v>4</v>
      </c>
      <c r="C638" s="208" t="s">
        <v>236</v>
      </c>
      <c r="D638" s="188" t="s">
        <v>237</v>
      </c>
      <c r="E638" s="240" t="s">
        <v>42</v>
      </c>
      <c r="F638" s="240" t="s">
        <v>60</v>
      </c>
      <c r="G638" s="190" t="s">
        <v>137</v>
      </c>
      <c r="H638" s="240">
        <v>2025</v>
      </c>
      <c r="I638" s="239">
        <v>1</v>
      </c>
      <c r="J638" s="242">
        <v>45694</v>
      </c>
      <c r="K638" s="243">
        <v>0.5</v>
      </c>
      <c r="L638" s="199">
        <v>24.844000000000001</v>
      </c>
      <c r="M638" s="199">
        <v>25.105</v>
      </c>
      <c r="N638" s="199">
        <f>M638-L638</f>
        <v>0.26099999999999923</v>
      </c>
      <c r="O638" s="119">
        <f t="shared" si="122"/>
        <v>0.13049999999999962</v>
      </c>
      <c r="P638" s="240">
        <v>1</v>
      </c>
      <c r="Q638" s="119">
        <f t="shared" si="121"/>
        <v>24.844000000000001</v>
      </c>
      <c r="R638" s="193">
        <v>0</v>
      </c>
      <c r="S638" s="258">
        <v>0</v>
      </c>
      <c r="T638" s="221">
        <v>776500</v>
      </c>
      <c r="U638" s="141">
        <v>776500</v>
      </c>
      <c r="V638" s="186" t="s">
        <v>238</v>
      </c>
      <c r="W638" s="257"/>
      <c r="X638" s="325">
        <v>19.760000000000002</v>
      </c>
      <c r="Y638" s="205" t="s">
        <v>239</v>
      </c>
      <c r="Z638" s="259"/>
      <c r="AA638" s="125">
        <v>11.66</v>
      </c>
      <c r="AB638" s="126">
        <v>0</v>
      </c>
      <c r="AC638" s="126">
        <v>0</v>
      </c>
      <c r="AD638" s="127" t="s">
        <v>148</v>
      </c>
      <c r="AE638" s="157"/>
    </row>
    <row r="639" spans="1:31" x14ac:dyDescent="0.2">
      <c r="A639" s="206" t="s">
        <v>235</v>
      </c>
      <c r="B639" s="207" t="s">
        <v>4</v>
      </c>
      <c r="C639" s="208" t="s">
        <v>58</v>
      </c>
      <c r="D639" s="188" t="s">
        <v>240</v>
      </c>
      <c r="E639" s="240" t="s">
        <v>42</v>
      </c>
      <c r="F639" s="240" t="s">
        <v>60</v>
      </c>
      <c r="G639" s="190" t="s">
        <v>137</v>
      </c>
      <c r="H639" s="240">
        <v>2025</v>
      </c>
      <c r="I639" s="239">
        <v>1</v>
      </c>
      <c r="J639" s="242">
        <v>45694</v>
      </c>
      <c r="K639" s="243">
        <v>0.5</v>
      </c>
      <c r="L639" s="199">
        <v>20.678999999999998</v>
      </c>
      <c r="M639" s="199">
        <v>20.806999999999999</v>
      </c>
      <c r="N639" s="199">
        <f t="shared" ref="N639:N641" si="123">M639-L639</f>
        <v>0.12800000000000011</v>
      </c>
      <c r="O639" s="119">
        <f t="shared" si="122"/>
        <v>6.4000000000000057E-2</v>
      </c>
      <c r="P639" s="240">
        <v>1</v>
      </c>
      <c r="Q639" s="119">
        <f t="shared" si="121"/>
        <v>20.678999999999998</v>
      </c>
      <c r="R639" s="193">
        <v>0</v>
      </c>
      <c r="S639" s="258">
        <v>0</v>
      </c>
      <c r="T639" s="221">
        <v>441700</v>
      </c>
      <c r="U639" s="141">
        <v>441700</v>
      </c>
      <c r="V639" s="186" t="s">
        <v>238</v>
      </c>
      <c r="W639" s="257"/>
      <c r="X639" s="325">
        <v>20.6</v>
      </c>
      <c r="Y639" s="205" t="s">
        <v>241</v>
      </c>
      <c r="Z639" s="259"/>
      <c r="AA639" s="125">
        <v>8.9499999999999993</v>
      </c>
      <c r="AB639" s="126">
        <v>0</v>
      </c>
      <c r="AC639" s="126">
        <v>0</v>
      </c>
      <c r="AD639" s="127" t="s">
        <v>148</v>
      </c>
      <c r="AE639" s="157"/>
    </row>
    <row r="640" spans="1:31" x14ac:dyDescent="0.2">
      <c r="A640" s="206" t="s">
        <v>235</v>
      </c>
      <c r="B640" s="207" t="s">
        <v>4</v>
      </c>
      <c r="C640" s="208" t="s">
        <v>242</v>
      </c>
      <c r="D640" s="189" t="s">
        <v>243</v>
      </c>
      <c r="E640" s="240" t="s">
        <v>42</v>
      </c>
      <c r="F640" s="240" t="s">
        <v>60</v>
      </c>
      <c r="G640" s="190" t="s">
        <v>137</v>
      </c>
      <c r="H640" s="240">
        <v>2025</v>
      </c>
      <c r="I640" s="239">
        <v>1</v>
      </c>
      <c r="J640" s="242">
        <v>45694</v>
      </c>
      <c r="K640" s="243">
        <v>0.5</v>
      </c>
      <c r="L640" s="199">
        <v>2.44</v>
      </c>
      <c r="M640" s="199">
        <v>2.4569999999999999</v>
      </c>
      <c r="N640" s="199">
        <f t="shared" si="123"/>
        <v>1.6999999999999904E-2</v>
      </c>
      <c r="O640" s="119">
        <f t="shared" si="122"/>
        <v>8.499999999999952E-3</v>
      </c>
      <c r="P640" s="240">
        <v>1</v>
      </c>
      <c r="Q640" s="119">
        <f t="shared" si="121"/>
        <v>2.44</v>
      </c>
      <c r="R640" s="193">
        <v>0</v>
      </c>
      <c r="S640" s="258">
        <v>0</v>
      </c>
      <c r="T640" s="221">
        <v>51500</v>
      </c>
      <c r="U640" s="141">
        <v>51500</v>
      </c>
      <c r="V640" s="186" t="s">
        <v>238</v>
      </c>
      <c r="W640" s="257"/>
      <c r="X640" s="325">
        <v>4.01</v>
      </c>
      <c r="Y640" s="205" t="s">
        <v>241</v>
      </c>
      <c r="Z640" s="259"/>
      <c r="AA640" s="125">
        <v>0.11</v>
      </c>
      <c r="AB640" s="126">
        <v>0</v>
      </c>
      <c r="AC640" s="126">
        <v>0</v>
      </c>
      <c r="AD640" s="127" t="s">
        <v>148</v>
      </c>
      <c r="AE640" s="157"/>
    </row>
    <row r="641" spans="1:31" x14ac:dyDescent="0.2">
      <c r="A641" s="224" t="s">
        <v>235</v>
      </c>
      <c r="B641" s="225" t="s">
        <v>4</v>
      </c>
      <c r="C641" s="226" t="s">
        <v>244</v>
      </c>
      <c r="D641" s="227">
        <v>240000090201002</v>
      </c>
      <c r="E641" s="231" t="s">
        <v>42</v>
      </c>
      <c r="F641" s="250" t="s">
        <v>60</v>
      </c>
      <c r="G641" s="228" t="s">
        <v>137</v>
      </c>
      <c r="H641" s="250">
        <v>2025</v>
      </c>
      <c r="I641" s="253">
        <v>1</v>
      </c>
      <c r="J641" s="242">
        <v>45694</v>
      </c>
      <c r="K641" s="255">
        <v>0.5</v>
      </c>
      <c r="L641" s="199">
        <v>2.0219999999999998</v>
      </c>
      <c r="M641" s="199">
        <v>2.0299999999999998</v>
      </c>
      <c r="N641" s="199">
        <f t="shared" si="123"/>
        <v>8.0000000000000071E-3</v>
      </c>
      <c r="O641" s="199">
        <f t="shared" si="122"/>
        <v>4.0000000000000036E-3</v>
      </c>
      <c r="P641" s="250">
        <v>1</v>
      </c>
      <c r="Q641" s="199">
        <f t="shared" si="121"/>
        <v>2.0219999999999998</v>
      </c>
      <c r="R641" s="210">
        <v>0</v>
      </c>
      <c r="S641" s="256">
        <v>0</v>
      </c>
      <c r="T641" s="229">
        <v>26500</v>
      </c>
      <c r="U641" s="201">
        <v>26500</v>
      </c>
      <c r="V641" s="251" t="s">
        <v>238</v>
      </c>
      <c r="W641" s="260"/>
      <c r="X641" s="325">
        <v>2.7</v>
      </c>
      <c r="Y641" s="205" t="s">
        <v>241</v>
      </c>
      <c r="Z641" s="259"/>
      <c r="AA641" s="202">
        <v>0.17</v>
      </c>
      <c r="AB641" s="203">
        <v>0</v>
      </c>
      <c r="AC641" s="203">
        <v>0</v>
      </c>
      <c r="AD641" s="204" t="s">
        <v>148</v>
      </c>
      <c r="AE641" s="205"/>
    </row>
    <row r="642" spans="1:31" x14ac:dyDescent="0.2">
      <c r="A642" s="196" t="s">
        <v>159</v>
      </c>
      <c r="B642" s="190" t="s">
        <v>2</v>
      </c>
      <c r="C642" s="194" t="s">
        <v>160</v>
      </c>
      <c r="D642" s="232" t="s">
        <v>245</v>
      </c>
      <c r="E642" s="190" t="s">
        <v>42</v>
      </c>
      <c r="F642" s="190" t="s">
        <v>60</v>
      </c>
      <c r="G642" s="190" t="s">
        <v>137</v>
      </c>
      <c r="H642" s="190">
        <v>2025</v>
      </c>
      <c r="I642" s="253">
        <v>2</v>
      </c>
      <c r="J642" s="242">
        <v>45723</v>
      </c>
      <c r="K642" s="255">
        <v>0.5</v>
      </c>
      <c r="L642" s="199">
        <v>27.14</v>
      </c>
      <c r="M642" s="199">
        <v>27.14</v>
      </c>
      <c r="N642" s="199">
        <v>0</v>
      </c>
      <c r="O642" s="199">
        <v>0</v>
      </c>
      <c r="P642" s="192">
        <v>1</v>
      </c>
      <c r="Q642" s="199">
        <v>27.14</v>
      </c>
      <c r="R642" s="210">
        <v>0</v>
      </c>
      <c r="S642" s="256">
        <v>1370117</v>
      </c>
      <c r="T642" s="221">
        <v>0</v>
      </c>
      <c r="U642" s="141">
        <v>0</v>
      </c>
      <c r="V642" s="296" t="s">
        <v>138</v>
      </c>
      <c r="W642" s="194" t="s">
        <v>174</v>
      </c>
      <c r="X642" s="326">
        <v>5.3</v>
      </c>
      <c r="Y642" s="194" t="s">
        <v>161</v>
      </c>
      <c r="Z642" s="194"/>
      <c r="AA642" s="195">
        <v>12.95</v>
      </c>
      <c r="AB642" s="126">
        <v>0</v>
      </c>
      <c r="AC642" s="126">
        <v>0</v>
      </c>
      <c r="AD642" s="127" t="s">
        <v>148</v>
      </c>
      <c r="AE642" s="190"/>
    </row>
    <row r="643" spans="1:31" x14ac:dyDescent="0.2">
      <c r="A643" s="196" t="s">
        <v>159</v>
      </c>
      <c r="B643" s="190" t="s">
        <v>2</v>
      </c>
      <c r="C643" s="194" t="s">
        <v>162</v>
      </c>
      <c r="D643" s="232" t="s">
        <v>246</v>
      </c>
      <c r="E643" s="190" t="s">
        <v>42</v>
      </c>
      <c r="F643" s="190" t="s">
        <v>60</v>
      </c>
      <c r="G643" s="190" t="s">
        <v>137</v>
      </c>
      <c r="H643" s="190">
        <v>2025</v>
      </c>
      <c r="I643" s="253">
        <v>2</v>
      </c>
      <c r="J643" s="242">
        <v>45723</v>
      </c>
      <c r="K643" s="255">
        <v>0.5</v>
      </c>
      <c r="L643" s="199">
        <v>27.14</v>
      </c>
      <c r="M643" s="199">
        <v>27.14</v>
      </c>
      <c r="N643" s="199">
        <v>0</v>
      </c>
      <c r="O643" s="199">
        <v>0</v>
      </c>
      <c r="P643" s="192">
        <v>1</v>
      </c>
      <c r="Q643" s="199">
        <v>27.14</v>
      </c>
      <c r="R643" s="210">
        <v>0</v>
      </c>
      <c r="S643" s="256">
        <v>1347470</v>
      </c>
      <c r="T643" s="221">
        <v>0</v>
      </c>
      <c r="U643" s="141">
        <v>0</v>
      </c>
      <c r="V643" s="296" t="s">
        <v>138</v>
      </c>
      <c r="W643" s="194" t="s">
        <v>175</v>
      </c>
      <c r="X643" s="326">
        <v>5.3</v>
      </c>
      <c r="Y643" s="194" t="s">
        <v>161</v>
      </c>
      <c r="Z643" s="194"/>
      <c r="AA643" s="195">
        <v>12.95</v>
      </c>
      <c r="AB643" s="195">
        <v>0</v>
      </c>
      <c r="AC643" s="195">
        <v>0</v>
      </c>
      <c r="AD643" s="223" t="s">
        <v>148</v>
      </c>
      <c r="AE643" s="190"/>
    </row>
    <row r="644" spans="1:31" x14ac:dyDescent="0.2">
      <c r="A644" s="196" t="s">
        <v>163</v>
      </c>
      <c r="B644" s="190" t="s">
        <v>2</v>
      </c>
      <c r="C644" s="194" t="s">
        <v>164</v>
      </c>
      <c r="D644" s="232" t="s">
        <v>136</v>
      </c>
      <c r="E644" s="190" t="s">
        <v>42</v>
      </c>
      <c r="F644" s="190" t="s">
        <v>60</v>
      </c>
      <c r="G644" s="190" t="s">
        <v>137</v>
      </c>
      <c r="H644" s="190">
        <v>2025</v>
      </c>
      <c r="I644" s="253">
        <v>2</v>
      </c>
      <c r="J644" s="242">
        <v>45723</v>
      </c>
      <c r="K644" s="255">
        <v>0.5</v>
      </c>
      <c r="L644" s="199">
        <v>3.4611000000000001</v>
      </c>
      <c r="M644" s="199">
        <v>3.4611000000000001</v>
      </c>
      <c r="N644" s="199">
        <v>0</v>
      </c>
      <c r="O644" s="199">
        <v>0</v>
      </c>
      <c r="P644" s="192">
        <v>1</v>
      </c>
      <c r="Q644" s="199">
        <v>3.4611000000000001</v>
      </c>
      <c r="R644" s="210">
        <v>0</v>
      </c>
      <c r="S644" s="256">
        <v>3920086</v>
      </c>
      <c r="T644" s="221">
        <v>0</v>
      </c>
      <c r="U644" s="141">
        <v>0</v>
      </c>
      <c r="V644" s="296" t="s">
        <v>138</v>
      </c>
      <c r="W644" s="194"/>
      <c r="X644" s="326">
        <v>5.3</v>
      </c>
      <c r="Y644" s="194" t="s">
        <v>165</v>
      </c>
      <c r="Z644" s="194" t="s">
        <v>166</v>
      </c>
      <c r="AA644" s="195">
        <v>2.5499999999999998</v>
      </c>
      <c r="AB644" s="195">
        <v>0</v>
      </c>
      <c r="AC644" s="195">
        <v>0</v>
      </c>
      <c r="AD644" s="223">
        <v>0</v>
      </c>
      <c r="AE644" s="190"/>
    </row>
    <row r="645" spans="1:31" x14ac:dyDescent="0.2">
      <c r="A645" s="269" t="s">
        <v>124</v>
      </c>
      <c r="B645" s="270" t="s">
        <v>1</v>
      </c>
      <c r="C645" s="268" t="s">
        <v>135</v>
      </c>
      <c r="D645" s="271">
        <v>130010660052557</v>
      </c>
      <c r="E645" s="270" t="s">
        <v>42</v>
      </c>
      <c r="F645" s="270" t="s">
        <v>60</v>
      </c>
      <c r="G645" s="270" t="s">
        <v>137</v>
      </c>
      <c r="H645" s="270">
        <v>2025</v>
      </c>
      <c r="I645" s="272">
        <v>2</v>
      </c>
      <c r="J645" s="273">
        <v>45723</v>
      </c>
      <c r="K645" s="274">
        <v>0.5</v>
      </c>
      <c r="L645" s="275">
        <v>0.16769999999999999</v>
      </c>
      <c r="M645" s="275">
        <v>0.16769999999999999</v>
      </c>
      <c r="N645" s="275">
        <v>0</v>
      </c>
      <c r="O645" s="199">
        <v>0</v>
      </c>
      <c r="P645" s="192">
        <v>1</v>
      </c>
      <c r="Q645" s="199">
        <v>0.16769999999999999</v>
      </c>
      <c r="R645" s="210">
        <v>50</v>
      </c>
      <c r="S645" s="256">
        <v>155139709</v>
      </c>
      <c r="T645" s="221">
        <v>0</v>
      </c>
      <c r="U645" s="141">
        <v>0</v>
      </c>
      <c r="V645" s="296" t="s">
        <v>138</v>
      </c>
      <c r="W645" s="194" t="s">
        <v>176</v>
      </c>
      <c r="X645" s="326">
        <v>5.3</v>
      </c>
      <c r="Y645" s="194" t="s">
        <v>139</v>
      </c>
      <c r="Z645" s="194"/>
      <c r="AA645" s="195">
        <v>0.09</v>
      </c>
      <c r="AB645" s="195">
        <v>6708</v>
      </c>
      <c r="AC645" s="195">
        <v>3644</v>
      </c>
      <c r="AD645" s="223">
        <v>0</v>
      </c>
      <c r="AE645" s="190"/>
    </row>
    <row r="646" spans="1:31" x14ac:dyDescent="0.2">
      <c r="A646" s="196" t="s">
        <v>39</v>
      </c>
      <c r="B646" s="190" t="s">
        <v>3</v>
      </c>
      <c r="C646" s="194" t="s">
        <v>40</v>
      </c>
      <c r="D646" s="233">
        <v>310493191000</v>
      </c>
      <c r="E646" s="190" t="s">
        <v>42</v>
      </c>
      <c r="F646" s="190" t="s">
        <v>43</v>
      </c>
      <c r="G646" s="190" t="s">
        <v>44</v>
      </c>
      <c r="H646" s="190">
        <v>2025</v>
      </c>
      <c r="I646" s="253">
        <v>2</v>
      </c>
      <c r="J646" s="242">
        <v>45723</v>
      </c>
      <c r="K646" s="255">
        <v>0.5</v>
      </c>
      <c r="L646" s="199">
        <v>0.3135</v>
      </c>
      <c r="M646" s="199">
        <v>0.3135</v>
      </c>
      <c r="N646" s="199">
        <v>0</v>
      </c>
      <c r="O646" s="199">
        <v>0</v>
      </c>
      <c r="P646" s="192">
        <v>1</v>
      </c>
      <c r="Q646" s="199">
        <v>0.3135</v>
      </c>
      <c r="R646" s="210">
        <v>0</v>
      </c>
      <c r="S646" s="256">
        <v>45589968</v>
      </c>
      <c r="T646" s="221">
        <v>4760000</v>
      </c>
      <c r="U646" s="141">
        <v>0</v>
      </c>
      <c r="V646" s="296" t="s">
        <v>45</v>
      </c>
      <c r="W646" s="194" t="s">
        <v>177</v>
      </c>
      <c r="X646" s="326">
        <v>6.73</v>
      </c>
      <c r="Y646" s="194" t="s">
        <v>142</v>
      </c>
      <c r="Z646" s="194"/>
      <c r="AA646" s="195">
        <v>0</v>
      </c>
      <c r="AB646" s="195">
        <v>0</v>
      </c>
      <c r="AC646" s="195">
        <v>0</v>
      </c>
      <c r="AD646" s="223" t="s">
        <v>148</v>
      </c>
      <c r="AE646" s="190"/>
    </row>
    <row r="647" spans="1:31" x14ac:dyDescent="0.2">
      <c r="A647" s="196" t="s">
        <v>39</v>
      </c>
      <c r="B647" s="190" t="s">
        <v>3</v>
      </c>
      <c r="C647" s="194" t="s">
        <v>40</v>
      </c>
      <c r="D647" s="233">
        <v>310493191001</v>
      </c>
      <c r="E647" s="190" t="s">
        <v>42</v>
      </c>
      <c r="F647" s="190" t="s">
        <v>43</v>
      </c>
      <c r="G647" s="190" t="s">
        <v>44</v>
      </c>
      <c r="H647" s="190">
        <v>2025</v>
      </c>
      <c r="I647" s="253">
        <v>2</v>
      </c>
      <c r="J647" s="242">
        <v>45723</v>
      </c>
      <c r="K647" s="255">
        <v>0.5</v>
      </c>
      <c r="L647" s="199">
        <v>0.3135</v>
      </c>
      <c r="M647" s="199">
        <v>0.3135</v>
      </c>
      <c r="N647" s="199">
        <v>0</v>
      </c>
      <c r="O647" s="199">
        <v>0</v>
      </c>
      <c r="P647" s="192">
        <v>1</v>
      </c>
      <c r="Q647" s="199">
        <v>0.3135</v>
      </c>
      <c r="R647" s="210">
        <v>0</v>
      </c>
      <c r="S647" s="256">
        <v>0</v>
      </c>
      <c r="T647" s="221"/>
      <c r="U647" s="141">
        <v>0</v>
      </c>
      <c r="V647" s="296" t="s">
        <v>45</v>
      </c>
      <c r="W647" s="194" t="s">
        <v>178</v>
      </c>
      <c r="X647" s="326">
        <v>6.73</v>
      </c>
      <c r="Y647" s="194" t="s">
        <v>142</v>
      </c>
      <c r="Z647" s="194"/>
      <c r="AA647" s="195">
        <v>0</v>
      </c>
      <c r="AB647" s="195">
        <v>0</v>
      </c>
      <c r="AC647" s="195">
        <v>0</v>
      </c>
      <c r="AD647" s="223" t="s">
        <v>148</v>
      </c>
      <c r="AE647" s="190"/>
    </row>
    <row r="648" spans="1:31" x14ac:dyDescent="0.2">
      <c r="A648" s="196" t="s">
        <v>39</v>
      </c>
      <c r="B648" s="190" t="s">
        <v>3</v>
      </c>
      <c r="C648" s="194" t="s">
        <v>40</v>
      </c>
      <c r="D648" s="233">
        <v>310493191002</v>
      </c>
      <c r="E648" s="190" t="s">
        <v>42</v>
      </c>
      <c r="F648" s="190" t="s">
        <v>43</v>
      </c>
      <c r="G648" s="190" t="s">
        <v>44</v>
      </c>
      <c r="H648" s="190">
        <v>2025</v>
      </c>
      <c r="I648" s="253">
        <v>2</v>
      </c>
      <c r="J648" s="242">
        <v>45723</v>
      </c>
      <c r="K648" s="255">
        <v>0.5</v>
      </c>
      <c r="L648" s="199">
        <v>0.3135</v>
      </c>
      <c r="M648" s="199">
        <v>0.3135</v>
      </c>
      <c r="N648" s="199">
        <v>0</v>
      </c>
      <c r="O648" s="199">
        <v>0</v>
      </c>
      <c r="P648" s="192">
        <v>1</v>
      </c>
      <c r="Q648" s="199">
        <v>0.3135</v>
      </c>
      <c r="R648" s="210">
        <v>0</v>
      </c>
      <c r="S648" s="256">
        <v>0</v>
      </c>
      <c r="T648" s="221"/>
      <c r="U648" s="141">
        <v>0</v>
      </c>
      <c r="V648" s="296" t="s">
        <v>45</v>
      </c>
      <c r="W648" s="194" t="s">
        <v>179</v>
      </c>
      <c r="X648" s="326">
        <v>6.73</v>
      </c>
      <c r="Y648" s="194" t="s">
        <v>142</v>
      </c>
      <c r="Z648" s="194"/>
      <c r="AA648" s="195">
        <v>0</v>
      </c>
      <c r="AB648" s="195">
        <v>0</v>
      </c>
      <c r="AC648" s="195">
        <v>0</v>
      </c>
      <c r="AD648" s="223" t="s">
        <v>148</v>
      </c>
      <c r="AE648" s="190"/>
    </row>
    <row r="649" spans="1:31" x14ac:dyDescent="0.2">
      <c r="A649" s="196" t="s">
        <v>39</v>
      </c>
      <c r="B649" s="190" t="s">
        <v>3</v>
      </c>
      <c r="C649" s="194" t="s">
        <v>40</v>
      </c>
      <c r="D649" s="233">
        <v>310493191003</v>
      </c>
      <c r="E649" s="190" t="s">
        <v>42</v>
      </c>
      <c r="F649" s="190" t="s">
        <v>43</v>
      </c>
      <c r="G649" s="190" t="s">
        <v>44</v>
      </c>
      <c r="H649" s="190">
        <v>2025</v>
      </c>
      <c r="I649" s="253">
        <v>2</v>
      </c>
      <c r="J649" s="242">
        <v>45723</v>
      </c>
      <c r="K649" s="255">
        <v>0.5</v>
      </c>
      <c r="L649" s="199">
        <v>0.3135</v>
      </c>
      <c r="M649" s="199">
        <v>0.3135</v>
      </c>
      <c r="N649" s="199">
        <v>0</v>
      </c>
      <c r="O649" s="199">
        <v>0</v>
      </c>
      <c r="P649" s="192">
        <v>1</v>
      </c>
      <c r="Q649" s="199">
        <v>0.3135</v>
      </c>
      <c r="R649" s="210">
        <v>116352</v>
      </c>
      <c r="S649" s="256">
        <v>116352</v>
      </c>
      <c r="T649" s="221"/>
      <c r="U649" s="141">
        <v>0</v>
      </c>
      <c r="V649" s="296" t="s">
        <v>45</v>
      </c>
      <c r="W649" s="194" t="s">
        <v>180</v>
      </c>
      <c r="X649" s="326">
        <v>6.73</v>
      </c>
      <c r="Y649" s="194" t="s">
        <v>142</v>
      </c>
      <c r="Z649" s="194"/>
      <c r="AA649" s="195">
        <v>0</v>
      </c>
      <c r="AB649" s="195">
        <v>36476.35</v>
      </c>
      <c r="AC649" s="195">
        <v>0</v>
      </c>
      <c r="AD649" s="223">
        <v>783</v>
      </c>
      <c r="AE649" s="190"/>
    </row>
    <row r="650" spans="1:31" x14ac:dyDescent="0.2">
      <c r="A650" s="196" t="s">
        <v>39</v>
      </c>
      <c r="B650" s="190" t="s">
        <v>3</v>
      </c>
      <c r="C650" s="194" t="s">
        <v>40</v>
      </c>
      <c r="D650" s="233">
        <v>310493191004</v>
      </c>
      <c r="E650" s="190" t="s">
        <v>42</v>
      </c>
      <c r="F650" s="190" t="s">
        <v>43</v>
      </c>
      <c r="G650" s="190" t="s">
        <v>44</v>
      </c>
      <c r="H650" s="190">
        <v>2025</v>
      </c>
      <c r="I650" s="253">
        <v>2</v>
      </c>
      <c r="J650" s="242">
        <v>45723</v>
      </c>
      <c r="K650" s="255">
        <v>0.5</v>
      </c>
      <c r="L650" s="199">
        <v>0.3135</v>
      </c>
      <c r="M650" s="199">
        <v>0.3135</v>
      </c>
      <c r="N650" s="199">
        <v>0</v>
      </c>
      <c r="O650" s="199">
        <v>0</v>
      </c>
      <c r="P650" s="192">
        <v>1</v>
      </c>
      <c r="Q650" s="199">
        <v>0.3135</v>
      </c>
      <c r="R650" s="210">
        <v>0</v>
      </c>
      <c r="S650" s="256">
        <v>87264</v>
      </c>
      <c r="T650" s="221"/>
      <c r="U650" s="141">
        <v>0</v>
      </c>
      <c r="V650" s="296" t="s">
        <v>45</v>
      </c>
      <c r="W650" s="194" t="s">
        <v>181</v>
      </c>
      <c r="X650" s="326">
        <v>6.73</v>
      </c>
      <c r="Y650" s="194" t="s">
        <v>142</v>
      </c>
      <c r="Z650" s="194"/>
      <c r="AA650" s="195">
        <v>0</v>
      </c>
      <c r="AB650" s="195">
        <v>0</v>
      </c>
      <c r="AC650" s="195">
        <v>0</v>
      </c>
      <c r="AD650" s="223" t="s">
        <v>148</v>
      </c>
      <c r="AE650" s="190"/>
    </row>
    <row r="651" spans="1:31" x14ac:dyDescent="0.2">
      <c r="A651" s="196" t="s">
        <v>39</v>
      </c>
      <c r="B651" s="190" t="s">
        <v>3</v>
      </c>
      <c r="C651" s="194" t="s">
        <v>40</v>
      </c>
      <c r="D651" s="233">
        <v>310493191005</v>
      </c>
      <c r="E651" s="190" t="s">
        <v>42</v>
      </c>
      <c r="F651" s="190" t="s">
        <v>43</v>
      </c>
      <c r="G651" s="190" t="s">
        <v>44</v>
      </c>
      <c r="H651" s="190">
        <v>2025</v>
      </c>
      <c r="I651" s="253">
        <v>2</v>
      </c>
      <c r="J651" s="242">
        <v>45723</v>
      </c>
      <c r="K651" s="255">
        <v>0.5</v>
      </c>
      <c r="L651" s="199">
        <v>0.3135</v>
      </c>
      <c r="M651" s="199">
        <v>0.3135</v>
      </c>
      <c r="N651" s="199">
        <v>0</v>
      </c>
      <c r="O651" s="199">
        <v>0</v>
      </c>
      <c r="P651" s="192">
        <v>1</v>
      </c>
      <c r="Q651" s="199">
        <v>0.3135</v>
      </c>
      <c r="R651" s="210">
        <v>39961</v>
      </c>
      <c r="S651" s="256">
        <v>72720</v>
      </c>
      <c r="T651" s="221"/>
      <c r="U651" s="141">
        <v>0</v>
      </c>
      <c r="V651" s="296" t="s">
        <v>45</v>
      </c>
      <c r="W651" s="194" t="s">
        <v>182</v>
      </c>
      <c r="X651" s="326">
        <v>6.73</v>
      </c>
      <c r="Y651" s="194" t="s">
        <v>142</v>
      </c>
      <c r="Z651" s="194"/>
      <c r="AA651" s="195">
        <v>0</v>
      </c>
      <c r="AB651" s="195">
        <v>12527.77</v>
      </c>
      <c r="AC651" s="195">
        <v>0</v>
      </c>
      <c r="AD651" s="223">
        <v>269</v>
      </c>
      <c r="AE651" s="190"/>
    </row>
    <row r="652" spans="1:31" x14ac:dyDescent="0.2">
      <c r="A652" s="196" t="s">
        <v>39</v>
      </c>
      <c r="B652" s="190" t="s">
        <v>3</v>
      </c>
      <c r="C652" s="194" t="s">
        <v>40</v>
      </c>
      <c r="D652" s="233">
        <v>310493191006</v>
      </c>
      <c r="E652" s="190" t="s">
        <v>42</v>
      </c>
      <c r="F652" s="190" t="s">
        <v>43</v>
      </c>
      <c r="G652" s="190" t="s">
        <v>44</v>
      </c>
      <c r="H652" s="190">
        <v>2025</v>
      </c>
      <c r="I652" s="253">
        <v>2</v>
      </c>
      <c r="J652" s="242">
        <v>45723</v>
      </c>
      <c r="K652" s="255">
        <v>0.5</v>
      </c>
      <c r="L652" s="199">
        <v>0.3135</v>
      </c>
      <c r="M652" s="199">
        <v>0.3135</v>
      </c>
      <c r="N652" s="199">
        <v>0</v>
      </c>
      <c r="O652" s="199">
        <v>0</v>
      </c>
      <c r="P652" s="192">
        <v>1</v>
      </c>
      <c r="Q652" s="199">
        <v>0.3135</v>
      </c>
      <c r="R652" s="210">
        <v>0</v>
      </c>
      <c r="S652" s="256">
        <v>0</v>
      </c>
      <c r="T652" s="221"/>
      <c r="U652" s="141">
        <v>0</v>
      </c>
      <c r="V652" s="296" t="s">
        <v>45</v>
      </c>
      <c r="W652" s="194" t="s">
        <v>183</v>
      </c>
      <c r="X652" s="326">
        <v>6.73</v>
      </c>
      <c r="Y652" s="194" t="s">
        <v>142</v>
      </c>
      <c r="Z652" s="194"/>
      <c r="AA652" s="195">
        <v>0</v>
      </c>
      <c r="AB652" s="195">
        <v>0</v>
      </c>
      <c r="AC652" s="195">
        <v>0</v>
      </c>
      <c r="AD652" s="223" t="s">
        <v>148</v>
      </c>
      <c r="AE652" s="190"/>
    </row>
    <row r="653" spans="1:31" x14ac:dyDescent="0.2">
      <c r="A653" s="196" t="s">
        <v>39</v>
      </c>
      <c r="B653" s="190" t="s">
        <v>3</v>
      </c>
      <c r="C653" s="194" t="s">
        <v>40</v>
      </c>
      <c r="D653" s="233">
        <v>310493191009</v>
      </c>
      <c r="E653" s="190" t="s">
        <v>42</v>
      </c>
      <c r="F653" s="190" t="s">
        <v>43</v>
      </c>
      <c r="G653" s="190" t="s">
        <v>44</v>
      </c>
      <c r="H653" s="190">
        <v>2025</v>
      </c>
      <c r="I653" s="253">
        <v>2</v>
      </c>
      <c r="J653" s="242">
        <v>45723</v>
      </c>
      <c r="K653" s="255">
        <v>0.5</v>
      </c>
      <c r="L653" s="199">
        <v>0.3135</v>
      </c>
      <c r="M653" s="199">
        <v>0.3135</v>
      </c>
      <c r="N653" s="199">
        <v>0</v>
      </c>
      <c r="O653" s="199">
        <v>0</v>
      </c>
      <c r="P653" s="192">
        <v>1</v>
      </c>
      <c r="Q653" s="199">
        <v>0.3135</v>
      </c>
      <c r="R653" s="210">
        <v>130896</v>
      </c>
      <c r="S653" s="256">
        <v>159984</v>
      </c>
      <c r="T653" s="221"/>
      <c r="U653" s="141">
        <v>0</v>
      </c>
      <c r="V653" s="296" t="s">
        <v>45</v>
      </c>
      <c r="W653" s="194" t="s">
        <v>184</v>
      </c>
      <c r="X653" s="326">
        <v>6.73</v>
      </c>
      <c r="Y653" s="194" t="s">
        <v>142</v>
      </c>
      <c r="Z653" s="194"/>
      <c r="AA653" s="195">
        <v>0</v>
      </c>
      <c r="AB653" s="195">
        <v>41035.9</v>
      </c>
      <c r="AC653" s="195">
        <v>0</v>
      </c>
      <c r="AD653" s="223">
        <v>881</v>
      </c>
      <c r="AE653" s="190"/>
    </row>
    <row r="654" spans="1:31" x14ac:dyDescent="0.2">
      <c r="A654" s="196" t="s">
        <v>39</v>
      </c>
      <c r="B654" s="190" t="s">
        <v>3</v>
      </c>
      <c r="C654" s="194" t="s">
        <v>47</v>
      </c>
      <c r="D654" s="233">
        <v>310493192000</v>
      </c>
      <c r="E654" s="190" t="s">
        <v>42</v>
      </c>
      <c r="F654" s="190" t="s">
        <v>43</v>
      </c>
      <c r="G654" s="190" t="s">
        <v>44</v>
      </c>
      <c r="H654" s="190">
        <v>2025</v>
      </c>
      <c r="I654" s="253">
        <v>2</v>
      </c>
      <c r="J654" s="242">
        <v>45723</v>
      </c>
      <c r="K654" s="255">
        <v>0.5</v>
      </c>
      <c r="L654" s="199">
        <v>4.2200000000000001E-2</v>
      </c>
      <c r="M654" s="199">
        <v>4.2200000000000001E-2</v>
      </c>
      <c r="N654" s="199">
        <v>0</v>
      </c>
      <c r="O654" s="199">
        <v>0</v>
      </c>
      <c r="P654" s="192">
        <v>1</v>
      </c>
      <c r="Q654" s="199">
        <v>4.2200000000000001E-2</v>
      </c>
      <c r="R654" s="210">
        <v>255023</v>
      </c>
      <c r="S654" s="256">
        <v>40606126</v>
      </c>
      <c r="T654" s="221">
        <v>3450000</v>
      </c>
      <c r="U654" s="141">
        <v>0</v>
      </c>
      <c r="V654" s="296" t="s">
        <v>45</v>
      </c>
      <c r="W654" s="194" t="s">
        <v>176</v>
      </c>
      <c r="X654" s="326">
        <v>0.87</v>
      </c>
      <c r="Y654" s="194" t="s">
        <v>142</v>
      </c>
      <c r="Z654" s="194"/>
      <c r="AA654" s="195">
        <v>0</v>
      </c>
      <c r="AB654" s="195">
        <v>10761.97</v>
      </c>
      <c r="AC654" s="195">
        <v>0</v>
      </c>
      <c r="AD654" s="223">
        <v>222</v>
      </c>
      <c r="AE654" s="190"/>
    </row>
    <row r="655" spans="1:31" x14ac:dyDescent="0.2">
      <c r="A655" s="196" t="s">
        <v>39</v>
      </c>
      <c r="B655" s="190" t="s">
        <v>3</v>
      </c>
      <c r="C655" s="194" t="s">
        <v>49</v>
      </c>
      <c r="D655" s="233">
        <v>310493193000</v>
      </c>
      <c r="E655" s="190" t="s">
        <v>42</v>
      </c>
      <c r="F655" s="190" t="s">
        <v>43</v>
      </c>
      <c r="G655" s="190" t="s">
        <v>44</v>
      </c>
      <c r="H655" s="190">
        <v>2025</v>
      </c>
      <c r="I655" s="253">
        <v>2</v>
      </c>
      <c r="J655" s="242">
        <v>45723</v>
      </c>
      <c r="K655" s="255">
        <v>0.5</v>
      </c>
      <c r="L655" s="199">
        <v>7.22E-2</v>
      </c>
      <c r="M655" s="199">
        <v>7.22E-2</v>
      </c>
      <c r="N655" s="199">
        <v>0</v>
      </c>
      <c r="O655" s="199">
        <v>0</v>
      </c>
      <c r="P655" s="192">
        <v>1</v>
      </c>
      <c r="Q655" s="199">
        <v>7.22E-2</v>
      </c>
      <c r="R655" s="210">
        <v>0</v>
      </c>
      <c r="S655" s="256">
        <v>45678419</v>
      </c>
      <c r="T655" s="221">
        <v>3740000</v>
      </c>
      <c r="U655" s="141">
        <v>0</v>
      </c>
      <c r="V655" s="296" t="s">
        <v>45</v>
      </c>
      <c r="W655" s="194" t="s">
        <v>176</v>
      </c>
      <c r="X655" s="326">
        <v>1.18</v>
      </c>
      <c r="Y655" s="194" t="s">
        <v>142</v>
      </c>
      <c r="Z655" s="194"/>
      <c r="AA655" s="195">
        <v>0</v>
      </c>
      <c r="AB655" s="195">
        <v>0</v>
      </c>
      <c r="AC655" s="195">
        <v>0</v>
      </c>
      <c r="AD655" s="223" t="s">
        <v>148</v>
      </c>
      <c r="AE655" s="190"/>
    </row>
    <row r="656" spans="1:31" x14ac:dyDescent="0.2">
      <c r="A656" s="196" t="s">
        <v>39</v>
      </c>
      <c r="B656" s="190" t="s">
        <v>3</v>
      </c>
      <c r="C656" s="194" t="s">
        <v>51</v>
      </c>
      <c r="D656" s="233">
        <v>310493194000</v>
      </c>
      <c r="E656" s="190" t="s">
        <v>42</v>
      </c>
      <c r="F656" s="190" t="s">
        <v>43</v>
      </c>
      <c r="G656" s="190" t="s">
        <v>44</v>
      </c>
      <c r="H656" s="190">
        <v>2025</v>
      </c>
      <c r="I656" s="253">
        <v>2</v>
      </c>
      <c r="J656" s="242">
        <v>45723</v>
      </c>
      <c r="K656" s="255">
        <v>0.5</v>
      </c>
      <c r="L656" s="199">
        <v>6.6199999999999995E-2</v>
      </c>
      <c r="M656" s="199">
        <v>6.6199999999999995E-2</v>
      </c>
      <c r="N656" s="199">
        <v>0</v>
      </c>
      <c r="O656" s="199">
        <v>0</v>
      </c>
      <c r="P656" s="192">
        <v>1</v>
      </c>
      <c r="Q656" s="199">
        <v>6.6199999999999995E-2</v>
      </c>
      <c r="R656" s="210">
        <v>0</v>
      </c>
      <c r="S656" s="256">
        <v>29783584</v>
      </c>
      <c r="T656" s="221">
        <v>3450000</v>
      </c>
      <c r="U656" s="141">
        <v>0</v>
      </c>
      <c r="V656" s="296" t="s">
        <v>53</v>
      </c>
      <c r="W656" s="194" t="s">
        <v>177</v>
      </c>
      <c r="X656" s="326">
        <v>1.18</v>
      </c>
      <c r="Y656" s="194" t="s">
        <v>145</v>
      </c>
      <c r="Z656" s="194"/>
      <c r="AA656" s="195">
        <v>0</v>
      </c>
      <c r="AB656" s="195">
        <v>0</v>
      </c>
      <c r="AC656" s="195">
        <v>0</v>
      </c>
      <c r="AD656" s="223" t="s">
        <v>148</v>
      </c>
      <c r="AE656" s="190"/>
    </row>
    <row r="657" spans="1:31" x14ac:dyDescent="0.2">
      <c r="A657" s="196" t="s">
        <v>39</v>
      </c>
      <c r="B657" s="190" t="s">
        <v>3</v>
      </c>
      <c r="C657" s="194" t="s">
        <v>51</v>
      </c>
      <c r="D657" s="233">
        <v>310493194001</v>
      </c>
      <c r="E657" s="190" t="s">
        <v>42</v>
      </c>
      <c r="F657" s="190" t="s">
        <v>43</v>
      </c>
      <c r="G657" s="190" t="s">
        <v>44</v>
      </c>
      <c r="H657" s="190">
        <v>2025</v>
      </c>
      <c r="I657" s="253">
        <v>2</v>
      </c>
      <c r="J657" s="242">
        <v>45723</v>
      </c>
      <c r="K657" s="255">
        <v>0.5</v>
      </c>
      <c r="L657" s="199">
        <v>6.6199999999999995E-2</v>
      </c>
      <c r="M657" s="199">
        <v>6.6199999999999995E-2</v>
      </c>
      <c r="N657" s="199">
        <v>0</v>
      </c>
      <c r="O657" s="199">
        <v>0</v>
      </c>
      <c r="P657" s="192">
        <v>1</v>
      </c>
      <c r="Q657" s="199">
        <v>6.6199999999999995E-2</v>
      </c>
      <c r="R657" s="210">
        <v>0</v>
      </c>
      <c r="S657" s="256">
        <v>0</v>
      </c>
      <c r="T657" s="221"/>
      <c r="U657" s="141">
        <v>0</v>
      </c>
      <c r="V657" s="296" t="s">
        <v>53</v>
      </c>
      <c r="W657" s="194" t="s">
        <v>178</v>
      </c>
      <c r="X657" s="326">
        <v>1.18</v>
      </c>
      <c r="Y657" s="194" t="s">
        <v>145</v>
      </c>
      <c r="Z657" s="194"/>
      <c r="AA657" s="195">
        <v>0</v>
      </c>
      <c r="AB657" s="195">
        <v>0</v>
      </c>
      <c r="AC657" s="195">
        <v>0</v>
      </c>
      <c r="AD657" s="223" t="s">
        <v>148</v>
      </c>
      <c r="AE657" s="190"/>
    </row>
    <row r="658" spans="1:31" x14ac:dyDescent="0.2">
      <c r="A658" s="196" t="s">
        <v>39</v>
      </c>
      <c r="B658" s="190" t="s">
        <v>3</v>
      </c>
      <c r="C658" s="194" t="s">
        <v>51</v>
      </c>
      <c r="D658" s="233">
        <v>310493194002</v>
      </c>
      <c r="E658" s="190" t="s">
        <v>42</v>
      </c>
      <c r="F658" s="190" t="s">
        <v>43</v>
      </c>
      <c r="G658" s="190" t="s">
        <v>44</v>
      </c>
      <c r="H658" s="190">
        <v>2025</v>
      </c>
      <c r="I658" s="253">
        <v>2</v>
      </c>
      <c r="J658" s="242">
        <v>45723</v>
      </c>
      <c r="K658" s="255">
        <v>0.5</v>
      </c>
      <c r="L658" s="199">
        <v>6.6199999999999995E-2</v>
      </c>
      <c r="M658" s="199">
        <v>6.6199999999999995E-2</v>
      </c>
      <c r="N658" s="199">
        <v>0</v>
      </c>
      <c r="O658" s="199">
        <v>0</v>
      </c>
      <c r="P658" s="192">
        <v>1</v>
      </c>
      <c r="Q658" s="199">
        <v>6.6199999999999995E-2</v>
      </c>
      <c r="R658" s="210">
        <v>0</v>
      </c>
      <c r="S658" s="256">
        <v>0</v>
      </c>
      <c r="T658" s="221"/>
      <c r="U658" s="141">
        <v>0</v>
      </c>
      <c r="V658" s="296" t="s">
        <v>53</v>
      </c>
      <c r="W658" s="194" t="s">
        <v>179</v>
      </c>
      <c r="X658" s="326">
        <v>1.18</v>
      </c>
      <c r="Y658" s="194" t="s">
        <v>145</v>
      </c>
      <c r="Z658" s="194"/>
      <c r="AA658" s="195">
        <v>0</v>
      </c>
      <c r="AB658" s="195">
        <v>0</v>
      </c>
      <c r="AC658" s="195">
        <v>0</v>
      </c>
      <c r="AD658" s="223" t="s">
        <v>148</v>
      </c>
      <c r="AE658" s="190"/>
    </row>
    <row r="659" spans="1:31" x14ac:dyDescent="0.2">
      <c r="A659" s="196" t="s">
        <v>39</v>
      </c>
      <c r="B659" s="190" t="s">
        <v>3</v>
      </c>
      <c r="C659" s="194" t="s">
        <v>51</v>
      </c>
      <c r="D659" s="233">
        <v>310493194003</v>
      </c>
      <c r="E659" s="190" t="s">
        <v>42</v>
      </c>
      <c r="F659" s="190" t="s">
        <v>43</v>
      </c>
      <c r="G659" s="190" t="s">
        <v>44</v>
      </c>
      <c r="H659" s="190">
        <v>2025</v>
      </c>
      <c r="I659" s="253">
        <v>2</v>
      </c>
      <c r="J659" s="242">
        <v>45723</v>
      </c>
      <c r="K659" s="255">
        <v>0.5</v>
      </c>
      <c r="L659" s="199">
        <v>6.6199999999999995E-2</v>
      </c>
      <c r="M659" s="199">
        <v>6.6199999999999995E-2</v>
      </c>
      <c r="N659" s="199">
        <v>0</v>
      </c>
      <c r="O659" s="199">
        <v>0</v>
      </c>
      <c r="P659" s="192">
        <v>1</v>
      </c>
      <c r="Q659" s="199">
        <v>6.6199999999999995E-2</v>
      </c>
      <c r="R659" s="210">
        <v>114514</v>
      </c>
      <c r="S659" s="256">
        <v>114514</v>
      </c>
      <c r="T659" s="221"/>
      <c r="U659" s="141">
        <v>0</v>
      </c>
      <c r="V659" s="296" t="s">
        <v>53</v>
      </c>
      <c r="W659" s="194" t="s">
        <v>180</v>
      </c>
      <c r="X659" s="326">
        <v>1.18</v>
      </c>
      <c r="Y659" s="194" t="s">
        <v>145</v>
      </c>
      <c r="Z659" s="194"/>
      <c r="AA659" s="195">
        <v>0</v>
      </c>
      <c r="AB659" s="195">
        <v>7580.83</v>
      </c>
      <c r="AC659" s="195">
        <v>0</v>
      </c>
      <c r="AD659" s="223">
        <v>135</v>
      </c>
      <c r="AE659" s="190"/>
    </row>
    <row r="660" spans="1:31" x14ac:dyDescent="0.2">
      <c r="A660" s="196" t="s">
        <v>39</v>
      </c>
      <c r="B660" s="190" t="s">
        <v>3</v>
      </c>
      <c r="C660" s="194" t="s">
        <v>51</v>
      </c>
      <c r="D660" s="233">
        <v>310493194004</v>
      </c>
      <c r="E660" s="190" t="s">
        <v>42</v>
      </c>
      <c r="F660" s="190" t="s">
        <v>43</v>
      </c>
      <c r="G660" s="190" t="s">
        <v>44</v>
      </c>
      <c r="H660" s="190">
        <v>2025</v>
      </c>
      <c r="I660" s="253">
        <v>2</v>
      </c>
      <c r="J660" s="242">
        <v>45723</v>
      </c>
      <c r="K660" s="255">
        <v>0.5</v>
      </c>
      <c r="L660" s="199">
        <v>6.6199999999999995E-2</v>
      </c>
      <c r="M660" s="199">
        <v>6.6199999999999995E-2</v>
      </c>
      <c r="N660" s="199">
        <v>0</v>
      </c>
      <c r="O660" s="199">
        <v>0</v>
      </c>
      <c r="P660" s="192">
        <v>1</v>
      </c>
      <c r="Q660" s="199">
        <v>6.6199999999999995E-2</v>
      </c>
      <c r="R660" s="210">
        <v>1000</v>
      </c>
      <c r="S660" s="256">
        <v>88236</v>
      </c>
      <c r="T660" s="221"/>
      <c r="U660" s="141">
        <v>0</v>
      </c>
      <c r="V660" s="296" t="s">
        <v>53</v>
      </c>
      <c r="W660" s="194" t="s">
        <v>181</v>
      </c>
      <c r="X660" s="326">
        <v>1.18</v>
      </c>
      <c r="Y660" s="194" t="s">
        <v>145</v>
      </c>
      <c r="Z660" s="194"/>
      <c r="AA660" s="195">
        <v>0</v>
      </c>
      <c r="AB660" s="195">
        <v>66.2</v>
      </c>
      <c r="AC660" s="195">
        <v>0</v>
      </c>
      <c r="AD660" s="223">
        <v>1</v>
      </c>
      <c r="AE660" s="190"/>
    </row>
    <row r="661" spans="1:31" x14ac:dyDescent="0.2">
      <c r="A661" s="196" t="s">
        <v>39</v>
      </c>
      <c r="B661" s="190" t="s">
        <v>3</v>
      </c>
      <c r="C661" s="194" t="s">
        <v>51</v>
      </c>
      <c r="D661" s="233">
        <v>310493194005</v>
      </c>
      <c r="E661" s="190" t="s">
        <v>42</v>
      </c>
      <c r="F661" s="190" t="s">
        <v>43</v>
      </c>
      <c r="G661" s="190" t="s">
        <v>44</v>
      </c>
      <c r="H661" s="190">
        <v>2025</v>
      </c>
      <c r="I661" s="253">
        <v>2</v>
      </c>
      <c r="J661" s="242">
        <v>45723</v>
      </c>
      <c r="K661" s="255">
        <v>0.5</v>
      </c>
      <c r="L661" s="199">
        <v>6.6199999999999995E-2</v>
      </c>
      <c r="M661" s="199">
        <v>6.6199999999999995E-2</v>
      </c>
      <c r="N661" s="199">
        <v>0</v>
      </c>
      <c r="O661" s="199">
        <v>0</v>
      </c>
      <c r="P661" s="192">
        <v>1</v>
      </c>
      <c r="Q661" s="199">
        <v>6.6199999999999995E-2</v>
      </c>
      <c r="R661" s="210">
        <v>0</v>
      </c>
      <c r="S661" s="256">
        <v>0</v>
      </c>
      <c r="T661" s="221"/>
      <c r="U661" s="141">
        <v>0</v>
      </c>
      <c r="V661" s="296" t="s">
        <v>53</v>
      </c>
      <c r="W661" s="194" t="s">
        <v>182</v>
      </c>
      <c r="X661" s="326">
        <v>1.18</v>
      </c>
      <c r="Y661" s="194" t="s">
        <v>145</v>
      </c>
      <c r="Z661" s="194"/>
      <c r="AA661" s="195">
        <v>0</v>
      </c>
      <c r="AB661" s="195">
        <v>0</v>
      </c>
      <c r="AC661" s="195">
        <v>0</v>
      </c>
      <c r="AD661" s="223" t="s">
        <v>148</v>
      </c>
      <c r="AE661" s="190"/>
    </row>
    <row r="662" spans="1:31" x14ac:dyDescent="0.2">
      <c r="A662" s="196" t="s">
        <v>39</v>
      </c>
      <c r="B662" s="190" t="s">
        <v>3</v>
      </c>
      <c r="C662" s="194" t="s">
        <v>51</v>
      </c>
      <c r="D662" s="233">
        <v>310493194006</v>
      </c>
      <c r="E662" s="190" t="s">
        <v>42</v>
      </c>
      <c r="F662" s="190" t="s">
        <v>43</v>
      </c>
      <c r="G662" s="190" t="s">
        <v>44</v>
      </c>
      <c r="H662" s="190">
        <v>2025</v>
      </c>
      <c r="I662" s="253">
        <v>2</v>
      </c>
      <c r="J662" s="242">
        <v>45723</v>
      </c>
      <c r="K662" s="255">
        <v>0.5</v>
      </c>
      <c r="L662" s="199">
        <v>6.6199999999999995E-2</v>
      </c>
      <c r="M662" s="199">
        <v>6.6199999999999995E-2</v>
      </c>
      <c r="N662" s="199">
        <v>0</v>
      </c>
      <c r="O662" s="199">
        <v>0</v>
      </c>
      <c r="P662" s="192">
        <v>1</v>
      </c>
      <c r="Q662" s="199">
        <v>6.6199999999999995E-2</v>
      </c>
      <c r="R662" s="210">
        <v>0</v>
      </c>
      <c r="S662" s="256">
        <v>0</v>
      </c>
      <c r="T662" s="221"/>
      <c r="U662" s="141">
        <v>0</v>
      </c>
      <c r="V662" s="296" t="s">
        <v>53</v>
      </c>
      <c r="W662" s="194" t="s">
        <v>183</v>
      </c>
      <c r="X662" s="326">
        <v>1.18</v>
      </c>
      <c r="Y662" s="194" t="s">
        <v>145</v>
      </c>
      <c r="Z662" s="194"/>
      <c r="AA662" s="195">
        <v>0</v>
      </c>
      <c r="AB662" s="195">
        <v>0</v>
      </c>
      <c r="AC662" s="195">
        <v>0</v>
      </c>
      <c r="AD662" s="223" t="s">
        <v>148</v>
      </c>
      <c r="AE662" s="190"/>
    </row>
    <row r="663" spans="1:31" x14ac:dyDescent="0.2">
      <c r="A663" s="196" t="s">
        <v>39</v>
      </c>
      <c r="B663" s="190" t="s">
        <v>3</v>
      </c>
      <c r="C663" s="194" t="s">
        <v>51</v>
      </c>
      <c r="D663" s="233">
        <v>310493194009</v>
      </c>
      <c r="E663" s="190" t="s">
        <v>42</v>
      </c>
      <c r="F663" s="190" t="s">
        <v>43</v>
      </c>
      <c r="G663" s="190" t="s">
        <v>44</v>
      </c>
      <c r="H663" s="190">
        <v>2025</v>
      </c>
      <c r="I663" s="253">
        <v>2</v>
      </c>
      <c r="J663" s="242">
        <v>45723</v>
      </c>
      <c r="K663" s="255">
        <v>0.5</v>
      </c>
      <c r="L663" s="199">
        <v>6.6199999999999995E-2</v>
      </c>
      <c r="M663" s="199">
        <v>6.6199999999999995E-2</v>
      </c>
      <c r="N663" s="199">
        <v>0</v>
      </c>
      <c r="O663" s="199">
        <v>0</v>
      </c>
      <c r="P663" s="192">
        <v>1</v>
      </c>
      <c r="Q663" s="199">
        <v>6.6199999999999995E-2</v>
      </c>
      <c r="R663" s="210">
        <v>130896</v>
      </c>
      <c r="S663" s="256">
        <v>158818</v>
      </c>
      <c r="T663" s="221"/>
      <c r="U663" s="141">
        <v>0</v>
      </c>
      <c r="V663" s="296" t="s">
        <v>53</v>
      </c>
      <c r="W663" s="194" t="s">
        <v>184</v>
      </c>
      <c r="X663" s="326">
        <v>1.18</v>
      </c>
      <c r="Y663" s="194" t="s">
        <v>145</v>
      </c>
      <c r="Z663" s="194"/>
      <c r="AA663" s="195">
        <v>0</v>
      </c>
      <c r="AB663" s="195">
        <v>8665.32</v>
      </c>
      <c r="AC663" s="195">
        <v>0</v>
      </c>
      <c r="AD663" s="223">
        <v>154</v>
      </c>
      <c r="AE663" s="190"/>
    </row>
    <row r="664" spans="1:31" x14ac:dyDescent="0.2">
      <c r="A664" s="196" t="s">
        <v>39</v>
      </c>
      <c r="B664" s="190" t="s">
        <v>3</v>
      </c>
      <c r="C664" s="194" t="s">
        <v>55</v>
      </c>
      <c r="D664" s="233">
        <v>310493195000</v>
      </c>
      <c r="E664" s="190" t="s">
        <v>42</v>
      </c>
      <c r="F664" s="190" t="s">
        <v>43</v>
      </c>
      <c r="G664" s="190" t="s">
        <v>44</v>
      </c>
      <c r="H664" s="190">
        <v>2025</v>
      </c>
      <c r="I664" s="253">
        <v>2</v>
      </c>
      <c r="J664" s="242">
        <v>45723</v>
      </c>
      <c r="K664" s="255">
        <v>0.5</v>
      </c>
      <c r="L664" s="199">
        <v>3.85E-2</v>
      </c>
      <c r="M664" s="199">
        <v>3.85E-2</v>
      </c>
      <c r="N664" s="199">
        <v>0</v>
      </c>
      <c r="O664" s="199">
        <v>0</v>
      </c>
      <c r="P664" s="192">
        <v>1</v>
      </c>
      <c r="Q664" s="199">
        <v>3.85E-2</v>
      </c>
      <c r="R664" s="210">
        <v>0</v>
      </c>
      <c r="S664" s="256">
        <v>56410170</v>
      </c>
      <c r="T664" s="221">
        <v>3400000</v>
      </c>
      <c r="U664" s="141">
        <v>0</v>
      </c>
      <c r="V664" s="296" t="s">
        <v>53</v>
      </c>
      <c r="W664" s="194" t="s">
        <v>177</v>
      </c>
      <c r="X664" s="326">
        <v>0.13</v>
      </c>
      <c r="Y664" s="194" t="s">
        <v>145</v>
      </c>
      <c r="Z664" s="194"/>
      <c r="AA664" s="195">
        <v>0</v>
      </c>
      <c r="AB664" s="195">
        <v>0</v>
      </c>
      <c r="AC664" s="195">
        <v>0</v>
      </c>
      <c r="AD664" s="223" t="s">
        <v>148</v>
      </c>
      <c r="AE664" s="190"/>
    </row>
    <row r="665" spans="1:31" x14ac:dyDescent="0.2">
      <c r="A665" s="196" t="s">
        <v>39</v>
      </c>
      <c r="B665" s="190" t="s">
        <v>3</v>
      </c>
      <c r="C665" s="194" t="s">
        <v>55</v>
      </c>
      <c r="D665" s="233">
        <v>310493196001</v>
      </c>
      <c r="E665" s="190" t="s">
        <v>42</v>
      </c>
      <c r="F665" s="190" t="s">
        <v>43</v>
      </c>
      <c r="G665" s="190" t="s">
        <v>44</v>
      </c>
      <c r="H665" s="190">
        <v>2025</v>
      </c>
      <c r="I665" s="253">
        <v>2</v>
      </c>
      <c r="J665" s="242">
        <v>45723</v>
      </c>
      <c r="K665" s="255">
        <v>0.5</v>
      </c>
      <c r="L665" s="199">
        <v>3.85E-2</v>
      </c>
      <c r="M665" s="199">
        <v>3.85E-2</v>
      </c>
      <c r="N665" s="199">
        <v>0</v>
      </c>
      <c r="O665" s="199">
        <v>0</v>
      </c>
      <c r="P665" s="192">
        <v>1</v>
      </c>
      <c r="Q665" s="199">
        <v>3.85E-2</v>
      </c>
      <c r="R665" s="210">
        <v>0</v>
      </c>
      <c r="S665" s="256">
        <v>0</v>
      </c>
      <c r="T665" s="221"/>
      <c r="U665" s="141">
        <v>0</v>
      </c>
      <c r="V665" s="296" t="s">
        <v>53</v>
      </c>
      <c r="W665" s="194" t="s">
        <v>178</v>
      </c>
      <c r="X665" s="326">
        <v>0.13</v>
      </c>
      <c r="Y665" s="194" t="s">
        <v>145</v>
      </c>
      <c r="Z665" s="194"/>
      <c r="AA665" s="195">
        <v>0</v>
      </c>
      <c r="AB665" s="195">
        <v>0</v>
      </c>
      <c r="AC665" s="195">
        <v>0</v>
      </c>
      <c r="AD665" s="223" t="s">
        <v>148</v>
      </c>
      <c r="AE665" s="190"/>
    </row>
    <row r="666" spans="1:31" x14ac:dyDescent="0.2">
      <c r="A666" s="196" t="s">
        <v>39</v>
      </c>
      <c r="B666" s="190" t="s">
        <v>3</v>
      </c>
      <c r="C666" s="194" t="s">
        <v>55</v>
      </c>
      <c r="D666" s="233">
        <v>310493196002</v>
      </c>
      <c r="E666" s="190" t="s">
        <v>42</v>
      </c>
      <c r="F666" s="190" t="s">
        <v>43</v>
      </c>
      <c r="G666" s="190" t="s">
        <v>44</v>
      </c>
      <c r="H666" s="190">
        <v>2025</v>
      </c>
      <c r="I666" s="253">
        <v>2</v>
      </c>
      <c r="J666" s="242">
        <v>45723</v>
      </c>
      <c r="K666" s="255">
        <v>0.5</v>
      </c>
      <c r="L666" s="199">
        <v>3.85E-2</v>
      </c>
      <c r="M666" s="199">
        <v>3.85E-2</v>
      </c>
      <c r="N666" s="199">
        <v>0</v>
      </c>
      <c r="O666" s="199">
        <v>0</v>
      </c>
      <c r="P666" s="192">
        <v>1</v>
      </c>
      <c r="Q666" s="199">
        <v>3.85E-2</v>
      </c>
      <c r="R666" s="210">
        <v>0</v>
      </c>
      <c r="S666" s="256">
        <v>0</v>
      </c>
      <c r="T666" s="221"/>
      <c r="U666" s="141">
        <v>0</v>
      </c>
      <c r="V666" s="296" t="s">
        <v>53</v>
      </c>
      <c r="W666" s="194" t="s">
        <v>179</v>
      </c>
      <c r="X666" s="326">
        <v>0.13</v>
      </c>
      <c r="Y666" s="194" t="s">
        <v>145</v>
      </c>
      <c r="Z666" s="194"/>
      <c r="AA666" s="195">
        <v>0</v>
      </c>
      <c r="AB666" s="195">
        <v>0</v>
      </c>
      <c r="AC666" s="195">
        <v>0</v>
      </c>
      <c r="AD666" s="223" t="s">
        <v>148</v>
      </c>
      <c r="AE666" s="190"/>
    </row>
    <row r="667" spans="1:31" x14ac:dyDescent="0.2">
      <c r="A667" s="196" t="s">
        <v>39</v>
      </c>
      <c r="B667" s="190" t="s">
        <v>3</v>
      </c>
      <c r="C667" s="194" t="s">
        <v>55</v>
      </c>
      <c r="D667" s="233">
        <v>310493196003</v>
      </c>
      <c r="E667" s="190" t="s">
        <v>42</v>
      </c>
      <c r="F667" s="190" t="s">
        <v>43</v>
      </c>
      <c r="G667" s="190" t="s">
        <v>44</v>
      </c>
      <c r="H667" s="190">
        <v>2025</v>
      </c>
      <c r="I667" s="253">
        <v>2</v>
      </c>
      <c r="J667" s="242">
        <v>45723</v>
      </c>
      <c r="K667" s="255">
        <v>0.5</v>
      </c>
      <c r="L667" s="199">
        <v>3.85E-2</v>
      </c>
      <c r="M667" s="199">
        <v>3.85E-2</v>
      </c>
      <c r="N667" s="199">
        <v>0</v>
      </c>
      <c r="O667" s="199">
        <v>0</v>
      </c>
      <c r="P667" s="192">
        <v>1</v>
      </c>
      <c r="Q667" s="199">
        <v>3.85E-2</v>
      </c>
      <c r="R667" s="210">
        <v>111693</v>
      </c>
      <c r="S667" s="256">
        <v>111693</v>
      </c>
      <c r="T667" s="221"/>
      <c r="U667" s="141">
        <v>0</v>
      </c>
      <c r="V667" s="296" t="s">
        <v>53</v>
      </c>
      <c r="W667" s="194" t="s">
        <v>180</v>
      </c>
      <c r="X667" s="326">
        <v>0.13</v>
      </c>
      <c r="Y667" s="194" t="s">
        <v>145</v>
      </c>
      <c r="Z667" s="194"/>
      <c r="AA667" s="195">
        <v>0</v>
      </c>
      <c r="AB667" s="195">
        <v>4300.18</v>
      </c>
      <c r="AC667" s="195">
        <v>0</v>
      </c>
      <c r="AD667" s="223">
        <v>15</v>
      </c>
      <c r="AE667" s="190"/>
    </row>
    <row r="668" spans="1:31" x14ac:dyDescent="0.2">
      <c r="A668" s="196" t="s">
        <v>39</v>
      </c>
      <c r="B668" s="190" t="s">
        <v>3</v>
      </c>
      <c r="C668" s="194" t="s">
        <v>55</v>
      </c>
      <c r="D668" s="233">
        <v>310493196004</v>
      </c>
      <c r="E668" s="190" t="s">
        <v>42</v>
      </c>
      <c r="F668" s="190" t="s">
        <v>43</v>
      </c>
      <c r="G668" s="190" t="s">
        <v>44</v>
      </c>
      <c r="H668" s="190">
        <v>2025</v>
      </c>
      <c r="I668" s="253">
        <v>2</v>
      </c>
      <c r="J668" s="242">
        <v>45723</v>
      </c>
      <c r="K668" s="255">
        <v>0.5</v>
      </c>
      <c r="L668" s="199">
        <v>3.85E-2</v>
      </c>
      <c r="M668" s="199">
        <v>3.85E-2</v>
      </c>
      <c r="N668" s="199">
        <v>0</v>
      </c>
      <c r="O668" s="199">
        <v>0</v>
      </c>
      <c r="P668" s="192">
        <v>1</v>
      </c>
      <c r="Q668" s="199">
        <v>3.85E-2</v>
      </c>
      <c r="R668" s="210">
        <v>0</v>
      </c>
      <c r="S668" s="256">
        <v>86760</v>
      </c>
      <c r="T668" s="221"/>
      <c r="U668" s="141">
        <v>0</v>
      </c>
      <c r="V668" s="296" t="s">
        <v>53</v>
      </c>
      <c r="W668" s="194" t="s">
        <v>181</v>
      </c>
      <c r="X668" s="326">
        <v>0.13</v>
      </c>
      <c r="Y668" s="194" t="s">
        <v>145</v>
      </c>
      <c r="Z668" s="194"/>
      <c r="AA668" s="195">
        <v>0</v>
      </c>
      <c r="AB668" s="195">
        <v>0</v>
      </c>
      <c r="AC668" s="195">
        <v>0</v>
      </c>
      <c r="AD668" s="223" t="s">
        <v>148</v>
      </c>
      <c r="AE668" s="190"/>
    </row>
    <row r="669" spans="1:31" x14ac:dyDescent="0.2">
      <c r="A669" s="196" t="s">
        <v>39</v>
      </c>
      <c r="B669" s="190" t="s">
        <v>3</v>
      </c>
      <c r="C669" s="194" t="s">
        <v>55</v>
      </c>
      <c r="D669" s="233">
        <v>310493196005</v>
      </c>
      <c r="E669" s="190" t="s">
        <v>42</v>
      </c>
      <c r="F669" s="190" t="s">
        <v>43</v>
      </c>
      <c r="G669" s="190" t="s">
        <v>44</v>
      </c>
      <c r="H669" s="190">
        <v>2025</v>
      </c>
      <c r="I669" s="253">
        <v>2</v>
      </c>
      <c r="J669" s="242">
        <v>45723</v>
      </c>
      <c r="K669" s="255">
        <v>0.5</v>
      </c>
      <c r="L669" s="199">
        <v>3.85E-2</v>
      </c>
      <c r="M669" s="199">
        <v>3.85E-2</v>
      </c>
      <c r="N669" s="199">
        <v>0</v>
      </c>
      <c r="O669" s="199">
        <v>0</v>
      </c>
      <c r="P669" s="192">
        <v>1</v>
      </c>
      <c r="Q669" s="199">
        <v>3.85E-2</v>
      </c>
      <c r="R669" s="210">
        <v>0</v>
      </c>
      <c r="S669" s="256">
        <v>0</v>
      </c>
      <c r="T669" s="221"/>
      <c r="U669" s="141">
        <v>0</v>
      </c>
      <c r="V669" s="296" t="s">
        <v>53</v>
      </c>
      <c r="W669" s="194" t="s">
        <v>182</v>
      </c>
      <c r="X669" s="326">
        <v>0.13</v>
      </c>
      <c r="Y669" s="194" t="s">
        <v>145</v>
      </c>
      <c r="Z669" s="194"/>
      <c r="AA669" s="195">
        <v>0</v>
      </c>
      <c r="AB669" s="195">
        <v>0</v>
      </c>
      <c r="AC669" s="195">
        <v>0</v>
      </c>
      <c r="AD669" s="223" t="s">
        <v>148</v>
      </c>
      <c r="AE669" s="190"/>
    </row>
    <row r="670" spans="1:31" x14ac:dyDescent="0.2">
      <c r="A670" s="196" t="s">
        <v>39</v>
      </c>
      <c r="B670" s="190" t="s">
        <v>3</v>
      </c>
      <c r="C670" s="194" t="s">
        <v>55</v>
      </c>
      <c r="D670" s="233">
        <v>310493196006</v>
      </c>
      <c r="E670" s="190" t="s">
        <v>42</v>
      </c>
      <c r="F670" s="190" t="s">
        <v>43</v>
      </c>
      <c r="G670" s="190" t="s">
        <v>44</v>
      </c>
      <c r="H670" s="190">
        <v>2025</v>
      </c>
      <c r="I670" s="253">
        <v>2</v>
      </c>
      <c r="J670" s="242">
        <v>45723</v>
      </c>
      <c r="K670" s="255">
        <v>0.5</v>
      </c>
      <c r="L670" s="199">
        <v>3.85E-2</v>
      </c>
      <c r="M670" s="199">
        <v>3.85E-2</v>
      </c>
      <c r="N670" s="199">
        <v>0</v>
      </c>
      <c r="O670" s="199">
        <v>0</v>
      </c>
      <c r="P670" s="192">
        <v>1</v>
      </c>
      <c r="Q670" s="199">
        <v>3.85E-2</v>
      </c>
      <c r="R670" s="210">
        <v>0</v>
      </c>
      <c r="S670" s="256">
        <v>0</v>
      </c>
      <c r="T670" s="221"/>
      <c r="U670" s="141">
        <v>0</v>
      </c>
      <c r="V670" s="296" t="s">
        <v>53</v>
      </c>
      <c r="W670" s="194" t="s">
        <v>183</v>
      </c>
      <c r="X670" s="326">
        <v>0.13</v>
      </c>
      <c r="Y670" s="194" t="s">
        <v>145</v>
      </c>
      <c r="Z670" s="194"/>
      <c r="AA670" s="195">
        <v>0</v>
      </c>
      <c r="AB670" s="195">
        <v>0</v>
      </c>
      <c r="AC670" s="195">
        <v>0</v>
      </c>
      <c r="AD670" s="223" t="s">
        <v>148</v>
      </c>
      <c r="AE670" s="190"/>
    </row>
    <row r="671" spans="1:31" x14ac:dyDescent="0.2">
      <c r="A671" s="196" t="s">
        <v>39</v>
      </c>
      <c r="B671" s="190" t="s">
        <v>3</v>
      </c>
      <c r="C671" s="194" t="s">
        <v>55</v>
      </c>
      <c r="D671" s="233">
        <v>310493196009</v>
      </c>
      <c r="E671" s="190" t="s">
        <v>42</v>
      </c>
      <c r="F671" s="190" t="s">
        <v>43</v>
      </c>
      <c r="G671" s="190" t="s">
        <v>44</v>
      </c>
      <c r="H671" s="190">
        <v>2025</v>
      </c>
      <c r="I671" s="253">
        <v>2</v>
      </c>
      <c r="J671" s="242">
        <v>45723</v>
      </c>
      <c r="K671" s="255">
        <v>0.5</v>
      </c>
      <c r="L671" s="199">
        <v>3.85E-2</v>
      </c>
      <c r="M671" s="199">
        <v>3.85E-2</v>
      </c>
      <c r="N671" s="199">
        <v>0</v>
      </c>
      <c r="O671" s="199">
        <v>0</v>
      </c>
      <c r="P671" s="192">
        <v>1</v>
      </c>
      <c r="Q671" s="199">
        <v>3.85E-2</v>
      </c>
      <c r="R671" s="210">
        <v>133263</v>
      </c>
      <c r="S671" s="256">
        <v>153624</v>
      </c>
      <c r="T671" s="221"/>
      <c r="U671" s="141">
        <v>0</v>
      </c>
      <c r="V671" s="296" t="s">
        <v>53</v>
      </c>
      <c r="W671" s="194" t="s">
        <v>184</v>
      </c>
      <c r="X671" s="326">
        <v>0.13</v>
      </c>
      <c r="Y671" s="194" t="s">
        <v>145</v>
      </c>
      <c r="Z671" s="194"/>
      <c r="AA671" s="195">
        <v>0</v>
      </c>
      <c r="AB671" s="195">
        <v>5130.63</v>
      </c>
      <c r="AC671" s="195">
        <v>0</v>
      </c>
      <c r="AD671" s="223">
        <v>17</v>
      </c>
      <c r="AE671" s="190"/>
    </row>
    <row r="672" spans="1:31" x14ac:dyDescent="0.2">
      <c r="A672" s="196" t="s">
        <v>57</v>
      </c>
      <c r="B672" s="190" t="s">
        <v>2</v>
      </c>
      <c r="C672" s="194" t="s">
        <v>58</v>
      </c>
      <c r="D672" s="233">
        <v>130040670043095</v>
      </c>
      <c r="E672" s="190" t="s">
        <v>42</v>
      </c>
      <c r="F672" s="190" t="s">
        <v>60</v>
      </c>
      <c r="G672" s="190" t="s">
        <v>44</v>
      </c>
      <c r="H672" s="190">
        <v>2025</v>
      </c>
      <c r="I672" s="253">
        <v>2</v>
      </c>
      <c r="J672" s="242">
        <v>45723</v>
      </c>
      <c r="K672" s="255">
        <v>1</v>
      </c>
      <c r="L672" s="199">
        <v>2.3582999999999998</v>
      </c>
      <c r="M672" s="199">
        <v>2.3582999999999998</v>
      </c>
      <c r="N672" s="199">
        <v>0</v>
      </c>
      <c r="O672" s="199">
        <v>0</v>
      </c>
      <c r="P672" s="192">
        <v>1</v>
      </c>
      <c r="Q672" s="199">
        <v>2.3582999999999998</v>
      </c>
      <c r="R672" s="210">
        <v>0</v>
      </c>
      <c r="S672" s="256">
        <v>644603</v>
      </c>
      <c r="T672" s="221">
        <v>0</v>
      </c>
      <c r="U672" s="141">
        <v>0</v>
      </c>
      <c r="V672" s="296" t="s">
        <v>61</v>
      </c>
      <c r="W672" s="194" t="s">
        <v>184</v>
      </c>
      <c r="X672" s="326">
        <v>16.260000000000002</v>
      </c>
      <c r="Y672" s="194" t="s">
        <v>147</v>
      </c>
      <c r="Z672" s="194" t="s">
        <v>185</v>
      </c>
      <c r="AA672" s="195">
        <v>1.31</v>
      </c>
      <c r="AB672" s="195">
        <v>0</v>
      </c>
      <c r="AC672" s="195">
        <v>0</v>
      </c>
      <c r="AD672" s="223" t="s">
        <v>148</v>
      </c>
      <c r="AE672" s="190"/>
    </row>
    <row r="673" spans="1:31" x14ac:dyDescent="0.2">
      <c r="A673" s="196" t="s">
        <v>57</v>
      </c>
      <c r="B673" s="190" t="s">
        <v>2</v>
      </c>
      <c r="C673" s="194" t="s">
        <v>58</v>
      </c>
      <c r="D673" s="233">
        <v>130040670043098</v>
      </c>
      <c r="E673" s="190" t="s">
        <v>42</v>
      </c>
      <c r="F673" s="190" t="s">
        <v>60</v>
      </c>
      <c r="G673" s="190" t="s">
        <v>44</v>
      </c>
      <c r="H673" s="190">
        <v>2025</v>
      </c>
      <c r="I673" s="253">
        <v>2</v>
      </c>
      <c r="J673" s="242">
        <v>45723</v>
      </c>
      <c r="K673" s="255">
        <v>1</v>
      </c>
      <c r="L673" s="199">
        <v>2.3582999999999998</v>
      </c>
      <c r="M673" s="199">
        <v>2.3582999999999998</v>
      </c>
      <c r="N673" s="199">
        <v>0</v>
      </c>
      <c r="O673" s="199">
        <v>0</v>
      </c>
      <c r="P673" s="192">
        <v>1</v>
      </c>
      <c r="Q673" s="199">
        <v>2.3582999999999998</v>
      </c>
      <c r="R673" s="210">
        <v>0</v>
      </c>
      <c r="S673" s="256">
        <v>0</v>
      </c>
      <c r="T673" s="221">
        <v>0</v>
      </c>
      <c r="U673" s="141">
        <v>0</v>
      </c>
      <c r="V673" s="296" t="s">
        <v>61</v>
      </c>
      <c r="W673" s="194" t="s">
        <v>186</v>
      </c>
      <c r="X673" s="326">
        <v>16.260000000000002</v>
      </c>
      <c r="Y673" s="194" t="s">
        <v>147</v>
      </c>
      <c r="Z673" s="194" t="s">
        <v>185</v>
      </c>
      <c r="AA673" s="195">
        <v>1.31</v>
      </c>
      <c r="AB673" s="195">
        <v>0</v>
      </c>
      <c r="AC673" s="195">
        <v>0</v>
      </c>
      <c r="AD673" s="223" t="s">
        <v>148</v>
      </c>
      <c r="AE673" s="190"/>
    </row>
    <row r="674" spans="1:31" x14ac:dyDescent="0.2">
      <c r="A674" s="196" t="s">
        <v>57</v>
      </c>
      <c r="B674" s="190" t="s">
        <v>2</v>
      </c>
      <c r="C674" s="194" t="s">
        <v>58</v>
      </c>
      <c r="D674" s="233">
        <v>130040670043096</v>
      </c>
      <c r="E674" s="190" t="s">
        <v>42</v>
      </c>
      <c r="F674" s="190" t="s">
        <v>60</v>
      </c>
      <c r="G674" s="190" t="s">
        <v>44</v>
      </c>
      <c r="H674" s="190">
        <v>2025</v>
      </c>
      <c r="I674" s="253">
        <v>2</v>
      </c>
      <c r="J674" s="242">
        <v>45723</v>
      </c>
      <c r="K674" s="255">
        <v>1</v>
      </c>
      <c r="L674" s="199">
        <v>2.3582999999999998</v>
      </c>
      <c r="M674" s="199">
        <v>2.3582999999999998</v>
      </c>
      <c r="N674" s="199">
        <v>0</v>
      </c>
      <c r="O674" s="199">
        <v>0</v>
      </c>
      <c r="P674" s="192">
        <v>1</v>
      </c>
      <c r="Q674" s="199">
        <v>2.3582999999999998</v>
      </c>
      <c r="R674" s="210">
        <v>0</v>
      </c>
      <c r="S674" s="256">
        <v>0</v>
      </c>
      <c r="T674" s="221">
        <v>0</v>
      </c>
      <c r="U674" s="141">
        <v>0</v>
      </c>
      <c r="V674" s="296" t="s">
        <v>61</v>
      </c>
      <c r="W674" s="194" t="s">
        <v>177</v>
      </c>
      <c r="X674" s="326">
        <v>16.260000000000002</v>
      </c>
      <c r="Y674" s="194" t="s">
        <v>147</v>
      </c>
      <c r="Z674" s="194" t="s">
        <v>185</v>
      </c>
      <c r="AA674" s="195">
        <v>1.31</v>
      </c>
      <c r="AB674" s="195">
        <v>0</v>
      </c>
      <c r="AC674" s="195">
        <v>0</v>
      </c>
      <c r="AD674" s="223" t="s">
        <v>148</v>
      </c>
      <c r="AE674" s="190"/>
    </row>
    <row r="675" spans="1:31" x14ac:dyDescent="0.2">
      <c r="A675" s="196" t="s">
        <v>57</v>
      </c>
      <c r="B675" s="190" t="s">
        <v>2</v>
      </c>
      <c r="C675" s="194" t="s">
        <v>58</v>
      </c>
      <c r="D675" s="233">
        <v>130040670054811</v>
      </c>
      <c r="E675" s="190" t="s">
        <v>42</v>
      </c>
      <c r="F675" s="190" t="s">
        <v>60</v>
      </c>
      <c r="G675" s="190" t="s">
        <v>44</v>
      </c>
      <c r="H675" s="190">
        <v>2025</v>
      </c>
      <c r="I675" s="253">
        <v>2</v>
      </c>
      <c r="J675" s="242">
        <v>45723</v>
      </c>
      <c r="K675" s="255">
        <v>1</v>
      </c>
      <c r="L675" s="199">
        <v>2.3582999999999998</v>
      </c>
      <c r="M675" s="199">
        <v>2.3582999999999998</v>
      </c>
      <c r="N675" s="199">
        <v>0</v>
      </c>
      <c r="O675" s="199">
        <v>0</v>
      </c>
      <c r="P675" s="192">
        <v>1</v>
      </c>
      <c r="Q675" s="199">
        <v>2.3582999999999998</v>
      </c>
      <c r="R675" s="210">
        <v>0</v>
      </c>
      <c r="S675" s="256">
        <v>0</v>
      </c>
      <c r="T675" s="221">
        <v>0</v>
      </c>
      <c r="U675" s="141">
        <v>0</v>
      </c>
      <c r="V675" s="296" t="s">
        <v>61</v>
      </c>
      <c r="W675" s="194" t="s">
        <v>187</v>
      </c>
      <c r="X675" s="326">
        <v>16.260000000000002</v>
      </c>
      <c r="Y675" s="194" t="s">
        <v>147</v>
      </c>
      <c r="Z675" s="194" t="s">
        <v>185</v>
      </c>
      <c r="AA675" s="195">
        <v>1.31</v>
      </c>
      <c r="AB675" s="195">
        <v>0</v>
      </c>
      <c r="AC675" s="195">
        <v>0</v>
      </c>
      <c r="AD675" s="223" t="s">
        <v>148</v>
      </c>
      <c r="AE675" s="190"/>
    </row>
    <row r="676" spans="1:31" x14ac:dyDescent="0.2">
      <c r="A676" s="196" t="s">
        <v>57</v>
      </c>
      <c r="B676" s="190" t="s">
        <v>2</v>
      </c>
      <c r="C676" s="194" t="s">
        <v>58</v>
      </c>
      <c r="D676" s="233">
        <v>130040670054813</v>
      </c>
      <c r="E676" s="190" t="s">
        <v>42</v>
      </c>
      <c r="F676" s="190" t="s">
        <v>60</v>
      </c>
      <c r="G676" s="190" t="s">
        <v>44</v>
      </c>
      <c r="H676" s="190">
        <v>2025</v>
      </c>
      <c r="I676" s="253">
        <v>2</v>
      </c>
      <c r="J676" s="242">
        <v>45723</v>
      </c>
      <c r="K676" s="255">
        <v>1</v>
      </c>
      <c r="L676" s="199">
        <v>2.3582999999999998</v>
      </c>
      <c r="M676" s="199">
        <v>2.3582999999999998</v>
      </c>
      <c r="N676" s="199">
        <v>0</v>
      </c>
      <c r="O676" s="199">
        <v>0</v>
      </c>
      <c r="P676" s="192">
        <v>1</v>
      </c>
      <c r="Q676" s="199">
        <v>2.3582999999999998</v>
      </c>
      <c r="R676" s="210">
        <v>0</v>
      </c>
      <c r="S676" s="256">
        <v>0</v>
      </c>
      <c r="T676" s="221">
        <v>0</v>
      </c>
      <c r="U676" s="141">
        <v>0</v>
      </c>
      <c r="V676" s="296" t="s">
        <v>61</v>
      </c>
      <c r="W676" s="194" t="s">
        <v>188</v>
      </c>
      <c r="X676" s="326">
        <v>16.260000000000002</v>
      </c>
      <c r="Y676" s="194" t="s">
        <v>147</v>
      </c>
      <c r="Z676" s="194" t="s">
        <v>185</v>
      </c>
      <c r="AA676" s="195">
        <v>1.31</v>
      </c>
      <c r="AB676" s="195">
        <v>0</v>
      </c>
      <c r="AC676" s="195">
        <v>0</v>
      </c>
      <c r="AD676" s="223" t="s">
        <v>148</v>
      </c>
      <c r="AE676" s="190"/>
    </row>
    <row r="677" spans="1:31" x14ac:dyDescent="0.2">
      <c r="A677" s="196" t="s">
        <v>57</v>
      </c>
      <c r="B677" s="190" t="s">
        <v>2</v>
      </c>
      <c r="C677" s="194" t="s">
        <v>64</v>
      </c>
      <c r="D677" s="233">
        <v>130020670058316</v>
      </c>
      <c r="E677" s="190" t="s">
        <v>42</v>
      </c>
      <c r="F677" s="190" t="s">
        <v>60</v>
      </c>
      <c r="G677" s="190" t="s">
        <v>44</v>
      </c>
      <c r="H677" s="190">
        <v>2025</v>
      </c>
      <c r="I677" s="253">
        <v>2</v>
      </c>
      <c r="J677" s="242">
        <v>45723</v>
      </c>
      <c r="K677" s="255">
        <v>1</v>
      </c>
      <c r="L677" s="199">
        <v>2.3165</v>
      </c>
      <c r="M677" s="199">
        <v>2.3165</v>
      </c>
      <c r="N677" s="199">
        <v>0</v>
      </c>
      <c r="O677" s="199">
        <v>0</v>
      </c>
      <c r="P677" s="192">
        <v>1</v>
      </c>
      <c r="Q677" s="199">
        <v>2.3165</v>
      </c>
      <c r="R677" s="210">
        <v>0</v>
      </c>
      <c r="S677" s="256">
        <v>686982</v>
      </c>
      <c r="T677" s="221">
        <v>0</v>
      </c>
      <c r="U677" s="141">
        <v>0</v>
      </c>
      <c r="V677" s="296" t="s">
        <v>61</v>
      </c>
      <c r="W677" s="194" t="s">
        <v>188</v>
      </c>
      <c r="X677" s="326">
        <v>8.3000000000000007</v>
      </c>
      <c r="Y677" s="194" t="s">
        <v>147</v>
      </c>
      <c r="Z677" s="194" t="s">
        <v>185</v>
      </c>
      <c r="AA677" s="195">
        <v>1.43</v>
      </c>
      <c r="AB677" s="195">
        <v>0</v>
      </c>
      <c r="AC677" s="195">
        <v>0</v>
      </c>
      <c r="AD677" s="223" t="s">
        <v>148</v>
      </c>
      <c r="AE677" s="190"/>
    </row>
    <row r="678" spans="1:31" x14ac:dyDescent="0.2">
      <c r="A678" s="196" t="s">
        <v>57</v>
      </c>
      <c r="B678" s="190" t="s">
        <v>2</v>
      </c>
      <c r="C678" s="194" t="s">
        <v>64</v>
      </c>
      <c r="D678" s="233">
        <v>130020670058313</v>
      </c>
      <c r="E678" s="190" t="s">
        <v>42</v>
      </c>
      <c r="F678" s="190" t="s">
        <v>60</v>
      </c>
      <c r="G678" s="190" t="s">
        <v>44</v>
      </c>
      <c r="H678" s="190">
        <v>2025</v>
      </c>
      <c r="I678" s="253">
        <v>2</v>
      </c>
      <c r="J678" s="242">
        <v>45723</v>
      </c>
      <c r="K678" s="255">
        <v>1</v>
      </c>
      <c r="L678" s="199">
        <v>2.3165</v>
      </c>
      <c r="M678" s="199">
        <v>2.3165</v>
      </c>
      <c r="N678" s="199">
        <v>0</v>
      </c>
      <c r="O678" s="199">
        <v>0</v>
      </c>
      <c r="P678" s="192">
        <v>1</v>
      </c>
      <c r="Q678" s="199">
        <v>2.3165</v>
      </c>
      <c r="R678" s="210">
        <v>0</v>
      </c>
      <c r="S678" s="256">
        <v>0</v>
      </c>
      <c r="T678" s="221">
        <v>0</v>
      </c>
      <c r="U678" s="141">
        <v>0</v>
      </c>
      <c r="V678" s="296" t="s">
        <v>61</v>
      </c>
      <c r="W678" s="194" t="s">
        <v>189</v>
      </c>
      <c r="X678" s="326">
        <v>8.3000000000000007</v>
      </c>
      <c r="Y678" s="194" t="s">
        <v>147</v>
      </c>
      <c r="Z678" s="194" t="s">
        <v>185</v>
      </c>
      <c r="AA678" s="195">
        <v>1.43</v>
      </c>
      <c r="AB678" s="195">
        <v>0</v>
      </c>
      <c r="AC678" s="195">
        <v>0</v>
      </c>
      <c r="AD678" s="223" t="s">
        <v>148</v>
      </c>
      <c r="AE678" s="190"/>
    </row>
    <row r="679" spans="1:31" x14ac:dyDescent="0.2">
      <c r="A679" s="196" t="s">
        <v>57</v>
      </c>
      <c r="B679" s="190" t="s">
        <v>2</v>
      </c>
      <c r="C679" s="194" t="s">
        <v>64</v>
      </c>
      <c r="D679" s="233">
        <v>130040670028165</v>
      </c>
      <c r="E679" s="190" t="s">
        <v>42</v>
      </c>
      <c r="F679" s="190" t="s">
        <v>60</v>
      </c>
      <c r="G679" s="190" t="s">
        <v>44</v>
      </c>
      <c r="H679" s="190">
        <v>2025</v>
      </c>
      <c r="I679" s="253">
        <v>2</v>
      </c>
      <c r="J679" s="242">
        <v>45723</v>
      </c>
      <c r="K679" s="255">
        <v>1</v>
      </c>
      <c r="L679" s="199">
        <v>2.3165</v>
      </c>
      <c r="M679" s="199">
        <v>2.3165</v>
      </c>
      <c r="N679" s="199">
        <v>0</v>
      </c>
      <c r="O679" s="199">
        <v>0</v>
      </c>
      <c r="P679" s="192">
        <v>1</v>
      </c>
      <c r="Q679" s="199">
        <v>2.3165</v>
      </c>
      <c r="R679" s="210">
        <v>0</v>
      </c>
      <c r="S679" s="256">
        <v>0</v>
      </c>
      <c r="T679" s="221">
        <v>0</v>
      </c>
      <c r="U679" s="141">
        <v>0</v>
      </c>
      <c r="V679" s="296" t="s">
        <v>61</v>
      </c>
      <c r="W679" s="194" t="s">
        <v>184</v>
      </c>
      <c r="X679" s="326">
        <v>8.3000000000000007</v>
      </c>
      <c r="Y679" s="194" t="s">
        <v>147</v>
      </c>
      <c r="Z679" s="194" t="s">
        <v>185</v>
      </c>
      <c r="AA679" s="195">
        <v>1.43</v>
      </c>
      <c r="AB679" s="195">
        <v>0</v>
      </c>
      <c r="AC679" s="195">
        <v>0</v>
      </c>
      <c r="AD679" s="223" t="s">
        <v>148</v>
      </c>
      <c r="AE679" s="190"/>
    </row>
    <row r="680" spans="1:31" x14ac:dyDescent="0.2">
      <c r="A680" s="196" t="s">
        <v>57</v>
      </c>
      <c r="B680" s="190" t="s">
        <v>2</v>
      </c>
      <c r="C680" s="194" t="s">
        <v>64</v>
      </c>
      <c r="D680" s="233">
        <v>130040670028166</v>
      </c>
      <c r="E680" s="190" t="s">
        <v>42</v>
      </c>
      <c r="F680" s="190" t="s">
        <v>60</v>
      </c>
      <c r="G680" s="190" t="s">
        <v>44</v>
      </c>
      <c r="H680" s="190">
        <v>2025</v>
      </c>
      <c r="I680" s="253">
        <v>2</v>
      </c>
      <c r="J680" s="242">
        <v>45723</v>
      </c>
      <c r="K680" s="255">
        <v>1</v>
      </c>
      <c r="L680" s="199">
        <v>2.3165</v>
      </c>
      <c r="M680" s="199">
        <v>2.3165</v>
      </c>
      <c r="N680" s="199">
        <v>0</v>
      </c>
      <c r="O680" s="199">
        <v>0</v>
      </c>
      <c r="P680" s="192">
        <v>1</v>
      </c>
      <c r="Q680" s="199">
        <v>2.3165</v>
      </c>
      <c r="R680" s="210">
        <v>0</v>
      </c>
      <c r="S680" s="256">
        <v>0</v>
      </c>
      <c r="T680" s="221">
        <v>0</v>
      </c>
      <c r="U680" s="141">
        <v>0</v>
      </c>
      <c r="V680" s="296" t="s">
        <v>61</v>
      </c>
      <c r="W680" s="194" t="s">
        <v>186</v>
      </c>
      <c r="X680" s="326">
        <v>8.3000000000000007</v>
      </c>
      <c r="Y680" s="194" t="s">
        <v>147</v>
      </c>
      <c r="Z680" s="194" t="s">
        <v>185</v>
      </c>
      <c r="AA680" s="195">
        <v>1.43</v>
      </c>
      <c r="AB680" s="195">
        <v>0</v>
      </c>
      <c r="AC680" s="195">
        <v>0</v>
      </c>
      <c r="AD680" s="223" t="s">
        <v>148</v>
      </c>
      <c r="AE680" s="190"/>
    </row>
    <row r="681" spans="1:31" x14ac:dyDescent="0.2">
      <c r="A681" s="196" t="s">
        <v>57</v>
      </c>
      <c r="B681" s="190" t="s">
        <v>2</v>
      </c>
      <c r="C681" s="194" t="s">
        <v>64</v>
      </c>
      <c r="D681" s="233">
        <v>130040670028167</v>
      </c>
      <c r="E681" s="190" t="s">
        <v>42</v>
      </c>
      <c r="F681" s="190" t="s">
        <v>60</v>
      </c>
      <c r="G681" s="190" t="s">
        <v>44</v>
      </c>
      <c r="H681" s="190">
        <v>2025</v>
      </c>
      <c r="I681" s="253">
        <v>2</v>
      </c>
      <c r="J681" s="242">
        <v>45723</v>
      </c>
      <c r="K681" s="255">
        <v>1</v>
      </c>
      <c r="L681" s="199">
        <v>2.3165</v>
      </c>
      <c r="M681" s="199">
        <v>2.3165</v>
      </c>
      <c r="N681" s="199">
        <v>0</v>
      </c>
      <c r="O681" s="199">
        <v>0</v>
      </c>
      <c r="P681" s="192">
        <v>1</v>
      </c>
      <c r="Q681" s="199">
        <v>2.3165</v>
      </c>
      <c r="R681" s="210">
        <v>0</v>
      </c>
      <c r="S681" s="256">
        <v>0</v>
      </c>
      <c r="T681" s="221">
        <v>0</v>
      </c>
      <c r="U681" s="141">
        <v>0</v>
      </c>
      <c r="V681" s="296" t="s">
        <v>61</v>
      </c>
      <c r="W681" s="194" t="s">
        <v>177</v>
      </c>
      <c r="X681" s="326">
        <v>8.3000000000000007</v>
      </c>
      <c r="Y681" s="194" t="s">
        <v>147</v>
      </c>
      <c r="Z681" s="194" t="s">
        <v>185</v>
      </c>
      <c r="AA681" s="195">
        <v>1.43</v>
      </c>
      <c r="AB681" s="195">
        <v>0</v>
      </c>
      <c r="AC681" s="195">
        <v>0</v>
      </c>
      <c r="AD681" s="223" t="s">
        <v>148</v>
      </c>
      <c r="AE681" s="190"/>
    </row>
    <row r="682" spans="1:31" x14ac:dyDescent="0.2">
      <c r="A682" s="196" t="s">
        <v>57</v>
      </c>
      <c r="B682" s="190" t="s">
        <v>2</v>
      </c>
      <c r="C682" s="194" t="s">
        <v>64</v>
      </c>
      <c r="D682" s="233">
        <v>130040670028168</v>
      </c>
      <c r="E682" s="190" t="s">
        <v>42</v>
      </c>
      <c r="F682" s="190" t="s">
        <v>60</v>
      </c>
      <c r="G682" s="190" t="s">
        <v>44</v>
      </c>
      <c r="H682" s="190">
        <v>2025</v>
      </c>
      <c r="I682" s="253">
        <v>2</v>
      </c>
      <c r="J682" s="242">
        <v>45723</v>
      </c>
      <c r="K682" s="255">
        <v>1</v>
      </c>
      <c r="L682" s="199">
        <v>2.3165</v>
      </c>
      <c r="M682" s="199">
        <v>2.3165</v>
      </c>
      <c r="N682" s="199">
        <v>0</v>
      </c>
      <c r="O682" s="199">
        <v>0</v>
      </c>
      <c r="P682" s="192">
        <v>1</v>
      </c>
      <c r="Q682" s="199">
        <v>2.3165</v>
      </c>
      <c r="R682" s="210">
        <v>0</v>
      </c>
      <c r="S682" s="256">
        <v>0</v>
      </c>
      <c r="T682" s="221">
        <v>0</v>
      </c>
      <c r="U682" s="141">
        <v>0</v>
      </c>
      <c r="V682" s="296" t="s">
        <v>61</v>
      </c>
      <c r="W682" s="194" t="s">
        <v>184</v>
      </c>
      <c r="X682" s="326">
        <v>8.3000000000000007</v>
      </c>
      <c r="Y682" s="194" t="s">
        <v>147</v>
      </c>
      <c r="Z682" s="194" t="s">
        <v>185</v>
      </c>
      <c r="AA682" s="195">
        <v>1.43</v>
      </c>
      <c r="AB682" s="195">
        <v>0</v>
      </c>
      <c r="AC682" s="195">
        <v>0</v>
      </c>
      <c r="AD682" s="223" t="s">
        <v>148</v>
      </c>
      <c r="AE682" s="190"/>
    </row>
    <row r="683" spans="1:31" x14ac:dyDescent="0.2">
      <c r="A683" s="196" t="s">
        <v>57</v>
      </c>
      <c r="B683" s="190" t="s">
        <v>2</v>
      </c>
      <c r="C683" s="194" t="s">
        <v>64</v>
      </c>
      <c r="D683" s="233">
        <v>130040670028169</v>
      </c>
      <c r="E683" s="190" t="s">
        <v>42</v>
      </c>
      <c r="F683" s="190" t="s">
        <v>60</v>
      </c>
      <c r="G683" s="190" t="s">
        <v>44</v>
      </c>
      <c r="H683" s="190">
        <v>2025</v>
      </c>
      <c r="I683" s="253">
        <v>2</v>
      </c>
      <c r="J683" s="242">
        <v>45723</v>
      </c>
      <c r="K683" s="255">
        <v>1</v>
      </c>
      <c r="L683" s="199">
        <v>2.3165</v>
      </c>
      <c r="M683" s="199">
        <v>2.3165</v>
      </c>
      <c r="N683" s="199">
        <v>0</v>
      </c>
      <c r="O683" s="199">
        <v>0</v>
      </c>
      <c r="P683" s="192">
        <v>1</v>
      </c>
      <c r="Q683" s="199">
        <v>2.3165</v>
      </c>
      <c r="R683" s="210">
        <v>0</v>
      </c>
      <c r="S683" s="256">
        <v>0</v>
      </c>
      <c r="T683" s="221">
        <v>0</v>
      </c>
      <c r="U683" s="141">
        <v>0</v>
      </c>
      <c r="V683" s="296" t="s">
        <v>61</v>
      </c>
      <c r="W683" s="194" t="s">
        <v>186</v>
      </c>
      <c r="X683" s="326">
        <v>8.3000000000000007</v>
      </c>
      <c r="Y683" s="194" t="s">
        <v>147</v>
      </c>
      <c r="Z683" s="194" t="s">
        <v>185</v>
      </c>
      <c r="AA683" s="195">
        <v>1.43</v>
      </c>
      <c r="AB683" s="195">
        <v>0</v>
      </c>
      <c r="AC683" s="195">
        <v>0</v>
      </c>
      <c r="AD683" s="223" t="s">
        <v>148</v>
      </c>
      <c r="AE683" s="190"/>
    </row>
    <row r="684" spans="1:31" x14ac:dyDescent="0.2">
      <c r="A684" s="196" t="s">
        <v>57</v>
      </c>
      <c r="B684" s="190" t="s">
        <v>2</v>
      </c>
      <c r="C684" s="194" t="s">
        <v>64</v>
      </c>
      <c r="D684" s="233">
        <v>130040670028170</v>
      </c>
      <c r="E684" s="190" t="s">
        <v>42</v>
      </c>
      <c r="F684" s="190" t="s">
        <v>60</v>
      </c>
      <c r="G684" s="190" t="s">
        <v>44</v>
      </c>
      <c r="H684" s="190">
        <v>2025</v>
      </c>
      <c r="I684" s="253">
        <v>2</v>
      </c>
      <c r="J684" s="242">
        <v>45723</v>
      </c>
      <c r="K684" s="255">
        <v>1</v>
      </c>
      <c r="L684" s="199">
        <v>2.3165</v>
      </c>
      <c r="M684" s="199">
        <v>2.3165</v>
      </c>
      <c r="N684" s="199">
        <v>0</v>
      </c>
      <c r="O684" s="199">
        <v>0</v>
      </c>
      <c r="P684" s="192">
        <v>1</v>
      </c>
      <c r="Q684" s="199">
        <v>2.3165</v>
      </c>
      <c r="R684" s="210">
        <v>0</v>
      </c>
      <c r="S684" s="256">
        <v>0</v>
      </c>
      <c r="T684" s="221">
        <v>0</v>
      </c>
      <c r="U684" s="141">
        <v>0</v>
      </c>
      <c r="V684" s="296" t="s">
        <v>61</v>
      </c>
      <c r="W684" s="194" t="s">
        <v>177</v>
      </c>
      <c r="X684" s="326">
        <v>8.3000000000000007</v>
      </c>
      <c r="Y684" s="194" t="s">
        <v>147</v>
      </c>
      <c r="Z684" s="194" t="s">
        <v>185</v>
      </c>
      <c r="AA684" s="195">
        <v>1.43</v>
      </c>
      <c r="AB684" s="195">
        <v>0</v>
      </c>
      <c r="AC684" s="195">
        <v>0</v>
      </c>
      <c r="AD684" s="223" t="s">
        <v>148</v>
      </c>
      <c r="AE684" s="190"/>
    </row>
    <row r="685" spans="1:31" x14ac:dyDescent="0.2">
      <c r="A685" s="196" t="s">
        <v>57</v>
      </c>
      <c r="B685" s="190" t="s">
        <v>2</v>
      </c>
      <c r="C685" s="194" t="s">
        <v>66</v>
      </c>
      <c r="D685" s="233">
        <v>130020670058317</v>
      </c>
      <c r="E685" s="190" t="s">
        <v>42</v>
      </c>
      <c r="F685" s="190" t="s">
        <v>60</v>
      </c>
      <c r="G685" s="190" t="s">
        <v>44</v>
      </c>
      <c r="H685" s="190">
        <v>2025</v>
      </c>
      <c r="I685" s="253">
        <v>2</v>
      </c>
      <c r="J685" s="242">
        <v>45723</v>
      </c>
      <c r="K685" s="255">
        <v>1</v>
      </c>
      <c r="L685" s="199">
        <v>0.3765</v>
      </c>
      <c r="M685" s="199">
        <v>0.3765</v>
      </c>
      <c r="N685" s="199">
        <v>0</v>
      </c>
      <c r="O685" s="199">
        <v>0</v>
      </c>
      <c r="P685" s="192">
        <v>1</v>
      </c>
      <c r="Q685" s="199">
        <v>0.3765</v>
      </c>
      <c r="R685" s="210">
        <v>0</v>
      </c>
      <c r="S685" s="256">
        <v>665191</v>
      </c>
      <c r="T685" s="221">
        <v>0</v>
      </c>
      <c r="U685" s="141">
        <v>0</v>
      </c>
      <c r="V685" s="296" t="s">
        <v>61</v>
      </c>
      <c r="W685" s="194" t="s">
        <v>189</v>
      </c>
      <c r="X685" s="326">
        <v>0.56999999999999995</v>
      </c>
      <c r="Y685" s="194" t="s">
        <v>147</v>
      </c>
      <c r="Z685" s="194"/>
      <c r="AA685" s="195">
        <v>0</v>
      </c>
      <c r="AB685" s="195">
        <v>0</v>
      </c>
      <c r="AC685" s="195">
        <v>0</v>
      </c>
      <c r="AD685" s="223" t="s">
        <v>148</v>
      </c>
      <c r="AE685" s="190"/>
    </row>
    <row r="686" spans="1:31" x14ac:dyDescent="0.2">
      <c r="A686" s="196" t="s">
        <v>57</v>
      </c>
      <c r="B686" s="190" t="s">
        <v>2</v>
      </c>
      <c r="C686" s="194" t="s">
        <v>66</v>
      </c>
      <c r="D686" s="233">
        <v>130020670058314</v>
      </c>
      <c r="E686" s="190" t="s">
        <v>42</v>
      </c>
      <c r="F686" s="190" t="s">
        <v>60</v>
      </c>
      <c r="G686" s="190" t="s">
        <v>44</v>
      </c>
      <c r="H686" s="190">
        <v>2025</v>
      </c>
      <c r="I686" s="253">
        <v>2</v>
      </c>
      <c r="J686" s="242">
        <v>45723</v>
      </c>
      <c r="K686" s="255">
        <v>1</v>
      </c>
      <c r="L686" s="199">
        <v>0.3765</v>
      </c>
      <c r="M686" s="199">
        <v>0.3765</v>
      </c>
      <c r="N686" s="199">
        <v>0</v>
      </c>
      <c r="O686" s="199">
        <v>0</v>
      </c>
      <c r="P686" s="192">
        <v>1</v>
      </c>
      <c r="Q686" s="199">
        <v>0.3765</v>
      </c>
      <c r="R686" s="210">
        <v>0</v>
      </c>
      <c r="S686" s="256">
        <v>0</v>
      </c>
      <c r="T686" s="221">
        <v>0</v>
      </c>
      <c r="U686" s="141">
        <v>0</v>
      </c>
      <c r="V686" s="296" t="s">
        <v>61</v>
      </c>
      <c r="W686" s="194" t="s">
        <v>190</v>
      </c>
      <c r="X686" s="326">
        <v>0.56999999999999995</v>
      </c>
      <c r="Y686" s="194" t="s">
        <v>147</v>
      </c>
      <c r="Z686" s="194"/>
      <c r="AA686" s="195">
        <v>0</v>
      </c>
      <c r="AB686" s="195">
        <v>0</v>
      </c>
      <c r="AC686" s="195">
        <v>0</v>
      </c>
      <c r="AD686" s="223" t="s">
        <v>148</v>
      </c>
      <c r="AE686" s="190"/>
    </row>
    <row r="687" spans="1:31" x14ac:dyDescent="0.2">
      <c r="A687" s="196" t="s">
        <v>57</v>
      </c>
      <c r="B687" s="190" t="s">
        <v>2</v>
      </c>
      <c r="C687" s="194" t="s">
        <v>68</v>
      </c>
      <c r="D687" s="233">
        <v>130040670021262</v>
      </c>
      <c r="E687" s="190" t="s">
        <v>42</v>
      </c>
      <c r="F687" s="190" t="s">
        <v>60</v>
      </c>
      <c r="G687" s="190" t="s">
        <v>44</v>
      </c>
      <c r="H687" s="190">
        <v>2025</v>
      </c>
      <c r="I687" s="253">
        <v>2</v>
      </c>
      <c r="J687" s="242">
        <v>45723</v>
      </c>
      <c r="K687" s="255">
        <v>1</v>
      </c>
      <c r="L687" s="199">
        <v>0.37930000000000003</v>
      </c>
      <c r="M687" s="199">
        <v>0.37930000000000003</v>
      </c>
      <c r="N687" s="199">
        <v>0</v>
      </c>
      <c r="O687" s="199">
        <v>0</v>
      </c>
      <c r="P687" s="192">
        <v>1</v>
      </c>
      <c r="Q687" s="199">
        <v>0.37930000000000003</v>
      </c>
      <c r="R687" s="210">
        <v>0</v>
      </c>
      <c r="S687" s="256">
        <v>655070</v>
      </c>
      <c r="T687" s="221">
        <v>0</v>
      </c>
      <c r="U687" s="141">
        <v>0</v>
      </c>
      <c r="V687" s="296" t="s">
        <v>70</v>
      </c>
      <c r="W687" s="194" t="s">
        <v>177</v>
      </c>
      <c r="X687" s="326">
        <v>1.87</v>
      </c>
      <c r="Y687" s="194" t="s">
        <v>149</v>
      </c>
      <c r="Z687" s="194"/>
      <c r="AA687" s="195">
        <v>0</v>
      </c>
      <c r="AB687" s="195">
        <v>0</v>
      </c>
      <c r="AC687" s="195">
        <v>0</v>
      </c>
      <c r="AD687" s="223" t="s">
        <v>148</v>
      </c>
      <c r="AE687" s="190"/>
    </row>
    <row r="688" spans="1:31" x14ac:dyDescent="0.2">
      <c r="A688" s="196" t="s">
        <v>72</v>
      </c>
      <c r="B688" s="190" t="s">
        <v>2</v>
      </c>
      <c r="C688" s="194" t="s">
        <v>73</v>
      </c>
      <c r="D688" s="233">
        <v>130020670031776</v>
      </c>
      <c r="E688" s="190" t="s">
        <v>42</v>
      </c>
      <c r="F688" s="190" t="s">
        <v>60</v>
      </c>
      <c r="G688" s="190" t="s">
        <v>44</v>
      </c>
      <c r="H688" s="190">
        <v>2025</v>
      </c>
      <c r="I688" s="253">
        <v>2</v>
      </c>
      <c r="J688" s="242">
        <v>45723</v>
      </c>
      <c r="K688" s="255">
        <v>0.3</v>
      </c>
      <c r="L688" s="199">
        <v>1.8774</v>
      </c>
      <c r="M688" s="199">
        <v>1.9124000000000001</v>
      </c>
      <c r="N688" s="199">
        <v>3.5000000000000003E-2</v>
      </c>
      <c r="O688" s="199">
        <v>1.0500000000000001E-2</v>
      </c>
      <c r="P688" s="192">
        <v>1</v>
      </c>
      <c r="Q688" s="199">
        <v>1.8774</v>
      </c>
      <c r="R688" s="210">
        <v>294647</v>
      </c>
      <c r="S688" s="256">
        <v>3325976</v>
      </c>
      <c r="T688" s="221">
        <v>280000</v>
      </c>
      <c r="U688" s="141">
        <v>163452.45000000001</v>
      </c>
      <c r="V688" s="296" t="s">
        <v>75</v>
      </c>
      <c r="W688" s="194" t="s">
        <v>177</v>
      </c>
      <c r="X688" s="326">
        <v>6.54</v>
      </c>
      <c r="Y688" s="194" t="s">
        <v>147</v>
      </c>
      <c r="Z688" s="194" t="s">
        <v>185</v>
      </c>
      <c r="AA688" s="195">
        <v>1.2</v>
      </c>
      <c r="AB688" s="195">
        <v>875898.26</v>
      </c>
      <c r="AC688" s="195">
        <v>549600</v>
      </c>
      <c r="AD688" s="223">
        <v>2995</v>
      </c>
      <c r="AE688" s="190"/>
    </row>
    <row r="689" spans="1:31" x14ac:dyDescent="0.2">
      <c r="A689" s="196" t="s">
        <v>72</v>
      </c>
      <c r="B689" s="190" t="s">
        <v>2</v>
      </c>
      <c r="C689" s="194" t="s">
        <v>76</v>
      </c>
      <c r="D689" s="233">
        <v>130020670034027</v>
      </c>
      <c r="E689" s="190" t="s">
        <v>42</v>
      </c>
      <c r="F689" s="190" t="s">
        <v>60</v>
      </c>
      <c r="G689" s="190" t="s">
        <v>44</v>
      </c>
      <c r="H689" s="190">
        <v>2025</v>
      </c>
      <c r="I689" s="253">
        <v>2</v>
      </c>
      <c r="J689" s="242">
        <v>45723</v>
      </c>
      <c r="K689" s="255">
        <v>0.3</v>
      </c>
      <c r="L689" s="199">
        <v>0.27339999999999998</v>
      </c>
      <c r="M689" s="199">
        <v>0.33090000000000003</v>
      </c>
      <c r="N689" s="199">
        <v>5.7500000000000002E-2</v>
      </c>
      <c r="O689" s="199">
        <v>1.72E-2</v>
      </c>
      <c r="P689" s="192">
        <v>1</v>
      </c>
      <c r="Q689" s="199">
        <v>0.27339999999999998</v>
      </c>
      <c r="R689" s="210">
        <v>39308</v>
      </c>
      <c r="S689" s="256">
        <v>2446795</v>
      </c>
      <c r="T689" s="221">
        <v>460000</v>
      </c>
      <c r="U689" s="141">
        <v>319412.23</v>
      </c>
      <c r="V689" s="296" t="s">
        <v>75</v>
      </c>
      <c r="W689" s="194" t="s">
        <v>177</v>
      </c>
      <c r="X689" s="326">
        <v>3.32</v>
      </c>
      <c r="Y689" s="194" t="s">
        <v>147</v>
      </c>
      <c r="Z689" s="194"/>
      <c r="AA689" s="195">
        <v>0</v>
      </c>
      <c r="AB689" s="195">
        <v>13005.36</v>
      </c>
      <c r="AC689" s="195">
        <v>0</v>
      </c>
      <c r="AD689" s="223">
        <v>131</v>
      </c>
      <c r="AE689" s="190"/>
    </row>
    <row r="690" spans="1:31" x14ac:dyDescent="0.2">
      <c r="A690" s="196" t="s">
        <v>72</v>
      </c>
      <c r="B690" s="190" t="s">
        <v>2</v>
      </c>
      <c r="C690" s="194" t="s">
        <v>76</v>
      </c>
      <c r="D690" s="233">
        <v>130020670034026</v>
      </c>
      <c r="E690" s="190" t="s">
        <v>42</v>
      </c>
      <c r="F690" s="190" t="s">
        <v>60</v>
      </c>
      <c r="G690" s="190" t="s">
        <v>44</v>
      </c>
      <c r="H690" s="190">
        <v>2025</v>
      </c>
      <c r="I690" s="253">
        <v>2</v>
      </c>
      <c r="J690" s="242">
        <v>45723</v>
      </c>
      <c r="K690" s="255">
        <v>0.3</v>
      </c>
      <c r="L690" s="199">
        <v>0.27339999999999998</v>
      </c>
      <c r="M690" s="199">
        <v>0.33090000000000003</v>
      </c>
      <c r="N690" s="199">
        <v>5.7500000000000002E-2</v>
      </c>
      <c r="O690" s="199">
        <v>1.72E-2</v>
      </c>
      <c r="P690" s="192">
        <v>1</v>
      </c>
      <c r="Q690" s="199">
        <v>0.27339999999999998</v>
      </c>
      <c r="R690" s="210">
        <v>80400</v>
      </c>
      <c r="S690" s="256">
        <v>187920</v>
      </c>
      <c r="T690" s="221"/>
      <c r="U690" s="141"/>
      <c r="V690" s="296" t="s">
        <v>75</v>
      </c>
      <c r="W690" s="194" t="s">
        <v>188</v>
      </c>
      <c r="X690" s="326">
        <v>3.32</v>
      </c>
      <c r="Y690" s="194" t="s">
        <v>147</v>
      </c>
      <c r="Z690" s="194"/>
      <c r="AA690" s="195">
        <v>0</v>
      </c>
      <c r="AB690" s="195">
        <v>26600.98</v>
      </c>
      <c r="AC690" s="195">
        <v>0</v>
      </c>
      <c r="AD690" s="223">
        <v>267</v>
      </c>
      <c r="AE690" s="190"/>
    </row>
    <row r="691" spans="1:31" x14ac:dyDescent="0.2">
      <c r="A691" s="196" t="s">
        <v>72</v>
      </c>
      <c r="B691" s="190" t="s">
        <v>2</v>
      </c>
      <c r="C691" s="194" t="s">
        <v>76</v>
      </c>
      <c r="D691" s="233">
        <v>130020670034025</v>
      </c>
      <c r="E691" s="190" t="s">
        <v>42</v>
      </c>
      <c r="F691" s="190" t="s">
        <v>60</v>
      </c>
      <c r="G691" s="190" t="s">
        <v>44</v>
      </c>
      <c r="H691" s="190">
        <v>2025</v>
      </c>
      <c r="I691" s="253">
        <v>2</v>
      </c>
      <c r="J691" s="242">
        <v>45723</v>
      </c>
      <c r="K691" s="255">
        <v>0.3</v>
      </c>
      <c r="L691" s="199">
        <v>0.27339999999999998</v>
      </c>
      <c r="M691" s="199">
        <v>0.33090000000000003</v>
      </c>
      <c r="N691" s="199">
        <v>5.7500000000000002E-2</v>
      </c>
      <c r="O691" s="199">
        <v>1.72E-2</v>
      </c>
      <c r="P691" s="192">
        <v>1</v>
      </c>
      <c r="Q691" s="199">
        <v>0.27339999999999998</v>
      </c>
      <c r="R691" s="210">
        <v>114000</v>
      </c>
      <c r="S691" s="256">
        <v>149086</v>
      </c>
      <c r="T691" s="221"/>
      <c r="U691" s="141"/>
      <c r="V691" s="296" t="s">
        <v>75</v>
      </c>
      <c r="W691" s="194" t="s">
        <v>191</v>
      </c>
      <c r="X691" s="326">
        <v>3.32</v>
      </c>
      <c r="Y691" s="194" t="s">
        <v>147</v>
      </c>
      <c r="Z691" s="194"/>
      <c r="AA691" s="195">
        <v>0</v>
      </c>
      <c r="AB691" s="195">
        <v>37717.800000000003</v>
      </c>
      <c r="AC691" s="195">
        <v>0</v>
      </c>
      <c r="AD691" s="223">
        <v>378</v>
      </c>
      <c r="AE691" s="190"/>
    </row>
    <row r="692" spans="1:31" x14ac:dyDescent="0.2">
      <c r="A692" s="196" t="s">
        <v>72</v>
      </c>
      <c r="B692" s="190" t="s">
        <v>2</v>
      </c>
      <c r="C692" s="194" t="s">
        <v>76</v>
      </c>
      <c r="D692" s="233">
        <v>130020670034024</v>
      </c>
      <c r="E692" s="190" t="s">
        <v>42</v>
      </c>
      <c r="F692" s="190" t="s">
        <v>60</v>
      </c>
      <c r="G692" s="190" t="s">
        <v>44</v>
      </c>
      <c r="H692" s="190">
        <v>2025</v>
      </c>
      <c r="I692" s="253">
        <v>2</v>
      </c>
      <c r="J692" s="242">
        <v>45723</v>
      </c>
      <c r="K692" s="255">
        <v>0.3</v>
      </c>
      <c r="L692" s="199">
        <v>0.27339999999999998</v>
      </c>
      <c r="M692" s="199">
        <v>0.33090000000000003</v>
      </c>
      <c r="N692" s="199">
        <v>5.7500000000000002E-2</v>
      </c>
      <c r="O692" s="199">
        <v>1.72E-2</v>
      </c>
      <c r="P692" s="192">
        <v>1</v>
      </c>
      <c r="Q692" s="199">
        <v>0.27339999999999998</v>
      </c>
      <c r="R692" s="210">
        <v>29479</v>
      </c>
      <c r="S692" s="256">
        <v>37369</v>
      </c>
      <c r="T692" s="221"/>
      <c r="U692" s="141"/>
      <c r="V692" s="296" t="s">
        <v>75</v>
      </c>
      <c r="W692" s="194" t="s">
        <v>181</v>
      </c>
      <c r="X692" s="326">
        <v>3.32</v>
      </c>
      <c r="Y692" s="194" t="s">
        <v>147</v>
      </c>
      <c r="Z692" s="194"/>
      <c r="AA692" s="195">
        <v>0</v>
      </c>
      <c r="AB692" s="195">
        <v>9753.36</v>
      </c>
      <c r="AC692" s="195">
        <v>0</v>
      </c>
      <c r="AD692" s="223">
        <v>98</v>
      </c>
      <c r="AE692" s="190"/>
    </row>
    <row r="693" spans="1:31" x14ac:dyDescent="0.2">
      <c r="A693" s="196" t="s">
        <v>72</v>
      </c>
      <c r="B693" s="190" t="s">
        <v>2</v>
      </c>
      <c r="C693" s="194" t="s">
        <v>76</v>
      </c>
      <c r="D693" s="233">
        <v>130020670034023</v>
      </c>
      <c r="E693" s="190" t="s">
        <v>42</v>
      </c>
      <c r="F693" s="190" t="s">
        <v>60</v>
      </c>
      <c r="G693" s="190" t="s">
        <v>44</v>
      </c>
      <c r="H693" s="190">
        <v>2025</v>
      </c>
      <c r="I693" s="253">
        <v>2</v>
      </c>
      <c r="J693" s="242">
        <v>45723</v>
      </c>
      <c r="K693" s="255">
        <v>0.3</v>
      </c>
      <c r="L693" s="199">
        <v>0.27339999999999998</v>
      </c>
      <c r="M693" s="199">
        <v>0.33090000000000003</v>
      </c>
      <c r="N693" s="199">
        <v>5.7500000000000002E-2</v>
      </c>
      <c r="O693" s="199">
        <v>1.72E-2</v>
      </c>
      <c r="P693" s="192">
        <v>1</v>
      </c>
      <c r="Q693" s="199">
        <v>0.27339999999999998</v>
      </c>
      <c r="R693" s="210">
        <v>119581</v>
      </c>
      <c r="S693" s="256">
        <v>125311</v>
      </c>
      <c r="T693" s="221"/>
      <c r="U693" s="141"/>
      <c r="V693" s="296" t="s">
        <v>75</v>
      </c>
      <c r="W693" s="194" t="s">
        <v>179</v>
      </c>
      <c r="X693" s="326">
        <v>3.32</v>
      </c>
      <c r="Y693" s="194" t="s">
        <v>147</v>
      </c>
      <c r="Z693" s="194"/>
      <c r="AA693" s="195">
        <v>0</v>
      </c>
      <c r="AB693" s="195">
        <v>39564.32</v>
      </c>
      <c r="AC693" s="195">
        <v>0</v>
      </c>
      <c r="AD693" s="223">
        <v>397</v>
      </c>
      <c r="AE693" s="190"/>
    </row>
    <row r="694" spans="1:31" x14ac:dyDescent="0.2">
      <c r="A694" s="196" t="s">
        <v>72</v>
      </c>
      <c r="B694" s="190" t="s">
        <v>2</v>
      </c>
      <c r="C694" s="194" t="s">
        <v>76</v>
      </c>
      <c r="D694" s="233">
        <v>130020670034014</v>
      </c>
      <c r="E694" s="190" t="s">
        <v>42</v>
      </c>
      <c r="F694" s="190" t="s">
        <v>60</v>
      </c>
      <c r="G694" s="190" t="s">
        <v>44</v>
      </c>
      <c r="H694" s="190">
        <v>2025</v>
      </c>
      <c r="I694" s="253">
        <v>2</v>
      </c>
      <c r="J694" s="242">
        <v>45723</v>
      </c>
      <c r="K694" s="255">
        <v>0.3</v>
      </c>
      <c r="L694" s="199">
        <v>0.27339999999999998</v>
      </c>
      <c r="M694" s="199">
        <v>0.33090000000000003</v>
      </c>
      <c r="N694" s="199">
        <v>5.7500000000000002E-2</v>
      </c>
      <c r="O694" s="199">
        <v>1.72E-2</v>
      </c>
      <c r="P694" s="192">
        <v>1</v>
      </c>
      <c r="Q694" s="199">
        <v>0.27339999999999998</v>
      </c>
      <c r="R694" s="210">
        <v>22620</v>
      </c>
      <c r="S694" s="256">
        <v>120420</v>
      </c>
      <c r="T694" s="221"/>
      <c r="U694" s="141"/>
      <c r="V694" s="296" t="s">
        <v>75</v>
      </c>
      <c r="W694" s="194" t="s">
        <v>184</v>
      </c>
      <c r="X694" s="326">
        <v>3.32</v>
      </c>
      <c r="Y694" s="194" t="s">
        <v>147</v>
      </c>
      <c r="Z694" s="194"/>
      <c r="AA694" s="195">
        <v>0</v>
      </c>
      <c r="AB694" s="195">
        <v>7484.01</v>
      </c>
      <c r="AC694" s="195">
        <v>0</v>
      </c>
      <c r="AD694" s="223">
        <v>75</v>
      </c>
      <c r="AE694" s="190"/>
    </row>
    <row r="695" spans="1:31" x14ac:dyDescent="0.2">
      <c r="A695" s="196" t="s">
        <v>72</v>
      </c>
      <c r="B695" s="190" t="s">
        <v>2</v>
      </c>
      <c r="C695" s="194" t="s">
        <v>78</v>
      </c>
      <c r="D695" s="233">
        <v>130040670046310</v>
      </c>
      <c r="E695" s="190" t="s">
        <v>42</v>
      </c>
      <c r="F695" s="190" t="s">
        <v>60</v>
      </c>
      <c r="G695" s="190" t="s">
        <v>44</v>
      </c>
      <c r="H695" s="190">
        <v>2025</v>
      </c>
      <c r="I695" s="253">
        <v>2</v>
      </c>
      <c r="J695" s="242">
        <v>45723</v>
      </c>
      <c r="K695" s="255">
        <v>0.3</v>
      </c>
      <c r="L695" s="199">
        <v>0.20449999999999999</v>
      </c>
      <c r="M695" s="199">
        <v>0.23080000000000001</v>
      </c>
      <c r="N695" s="199">
        <v>2.63E-2</v>
      </c>
      <c r="O695" s="199">
        <v>7.9000000000000008E-3</v>
      </c>
      <c r="P695" s="192">
        <v>1</v>
      </c>
      <c r="Q695" s="199">
        <v>0.20449999999999999</v>
      </c>
      <c r="R695" s="210">
        <v>81739</v>
      </c>
      <c r="S695" s="256">
        <v>3082793</v>
      </c>
      <c r="T695" s="221">
        <v>420000</v>
      </c>
      <c r="U695" s="141">
        <v>338975.16</v>
      </c>
      <c r="V695" s="296" t="s">
        <v>70</v>
      </c>
      <c r="W695" s="194" t="s">
        <v>177</v>
      </c>
      <c r="X695" s="326">
        <v>4.25</v>
      </c>
      <c r="Y695" s="194" t="s">
        <v>149</v>
      </c>
      <c r="Z695" s="194"/>
      <c r="AA695" s="195">
        <v>0</v>
      </c>
      <c r="AB695" s="195">
        <v>18863.97</v>
      </c>
      <c r="AC695" s="195">
        <v>0</v>
      </c>
      <c r="AD695" s="223">
        <v>347</v>
      </c>
      <c r="AE695" s="190"/>
    </row>
    <row r="696" spans="1:31" x14ac:dyDescent="0.2">
      <c r="A696" s="196" t="s">
        <v>72</v>
      </c>
      <c r="B696" s="190" t="s">
        <v>2</v>
      </c>
      <c r="C696" s="194" t="s">
        <v>78</v>
      </c>
      <c r="D696" s="233">
        <v>130040670046308</v>
      </c>
      <c r="E696" s="190" t="s">
        <v>42</v>
      </c>
      <c r="F696" s="190" t="s">
        <v>60</v>
      </c>
      <c r="G696" s="190" t="s">
        <v>44</v>
      </c>
      <c r="H696" s="190">
        <v>2025</v>
      </c>
      <c r="I696" s="253">
        <v>2</v>
      </c>
      <c r="J696" s="242">
        <v>45723</v>
      </c>
      <c r="K696" s="255">
        <v>0.3</v>
      </c>
      <c r="L696" s="199">
        <v>0.20449999999999999</v>
      </c>
      <c r="M696" s="199">
        <v>0.23080000000000001</v>
      </c>
      <c r="N696" s="199">
        <v>2.63E-2</v>
      </c>
      <c r="O696" s="199">
        <v>7.9000000000000008E-3</v>
      </c>
      <c r="P696" s="192">
        <v>1</v>
      </c>
      <c r="Q696" s="199">
        <v>0.20449999999999999</v>
      </c>
      <c r="R696" s="210">
        <v>22127</v>
      </c>
      <c r="S696" s="256">
        <v>77627</v>
      </c>
      <c r="T696" s="221"/>
      <c r="U696" s="141"/>
      <c r="V696" s="296" t="s">
        <v>70</v>
      </c>
      <c r="W696" s="194" t="s">
        <v>191</v>
      </c>
      <c r="X696" s="326">
        <v>4.25</v>
      </c>
      <c r="Y696" s="194" t="s">
        <v>149</v>
      </c>
      <c r="Z696" s="194"/>
      <c r="AA696" s="195">
        <v>0</v>
      </c>
      <c r="AB696" s="195">
        <v>5106.53</v>
      </c>
      <c r="AC696" s="195">
        <v>0</v>
      </c>
      <c r="AD696" s="223">
        <v>94</v>
      </c>
      <c r="AE696" s="190"/>
    </row>
    <row r="697" spans="1:31" x14ac:dyDescent="0.2">
      <c r="A697" s="196" t="s">
        <v>72</v>
      </c>
      <c r="B697" s="190" t="s">
        <v>2</v>
      </c>
      <c r="C697" s="194" t="s">
        <v>66</v>
      </c>
      <c r="D697" s="233">
        <v>130020670033987</v>
      </c>
      <c r="E697" s="190" t="s">
        <v>42</v>
      </c>
      <c r="F697" s="190" t="s">
        <v>60</v>
      </c>
      <c r="G697" s="190" t="s">
        <v>44</v>
      </c>
      <c r="H697" s="190">
        <v>2025</v>
      </c>
      <c r="I697" s="253">
        <v>2</v>
      </c>
      <c r="J697" s="242">
        <v>45723</v>
      </c>
      <c r="K697" s="255">
        <v>0.3</v>
      </c>
      <c r="L697" s="199">
        <v>0.1203</v>
      </c>
      <c r="M697" s="199">
        <v>0.14530000000000001</v>
      </c>
      <c r="N697" s="199">
        <v>2.5000000000000001E-2</v>
      </c>
      <c r="O697" s="199">
        <v>7.4999999999999997E-3</v>
      </c>
      <c r="P697" s="192">
        <v>1</v>
      </c>
      <c r="Q697" s="199">
        <v>0.1203</v>
      </c>
      <c r="R697" s="210">
        <v>30000</v>
      </c>
      <c r="S697" s="256">
        <v>3361369</v>
      </c>
      <c r="T697" s="221">
        <v>400000</v>
      </c>
      <c r="U697" s="141">
        <v>316090.99</v>
      </c>
      <c r="V697" s="296" t="s">
        <v>70</v>
      </c>
      <c r="W697" s="194" t="s">
        <v>177</v>
      </c>
      <c r="X697" s="326">
        <v>0.54</v>
      </c>
      <c r="Y697" s="194" t="s">
        <v>149</v>
      </c>
      <c r="Z697" s="194"/>
      <c r="AA697" s="195">
        <v>0</v>
      </c>
      <c r="AB697" s="195">
        <v>4357.88</v>
      </c>
      <c r="AC697" s="195">
        <v>0</v>
      </c>
      <c r="AD697" s="223">
        <v>16</v>
      </c>
      <c r="AE697" s="190"/>
    </row>
    <row r="698" spans="1:31" x14ac:dyDescent="0.2">
      <c r="A698" s="196" t="s">
        <v>72</v>
      </c>
      <c r="B698" s="190" t="s">
        <v>2</v>
      </c>
      <c r="C698" s="194" t="s">
        <v>66</v>
      </c>
      <c r="D698" s="233">
        <v>130020670033986</v>
      </c>
      <c r="E698" s="190" t="s">
        <v>42</v>
      </c>
      <c r="F698" s="190" t="s">
        <v>60</v>
      </c>
      <c r="G698" s="190" t="s">
        <v>44</v>
      </c>
      <c r="H698" s="190">
        <v>2025</v>
      </c>
      <c r="I698" s="253">
        <v>2</v>
      </c>
      <c r="J698" s="242">
        <v>45723</v>
      </c>
      <c r="K698" s="255">
        <v>0.3</v>
      </c>
      <c r="L698" s="199">
        <v>0.1203</v>
      </c>
      <c r="M698" s="199">
        <v>0.14530000000000001</v>
      </c>
      <c r="N698" s="199">
        <v>2.5000000000000001E-2</v>
      </c>
      <c r="O698" s="199">
        <v>7.4999999999999997E-3</v>
      </c>
      <c r="P698" s="192">
        <v>1</v>
      </c>
      <c r="Q698" s="199">
        <v>0.1203</v>
      </c>
      <c r="R698" s="210">
        <v>70000</v>
      </c>
      <c r="S698" s="256">
        <v>157774</v>
      </c>
      <c r="T698" s="221"/>
      <c r="U698" s="141"/>
      <c r="V698" s="296" t="s">
        <v>70</v>
      </c>
      <c r="W698" s="194" t="s">
        <v>188</v>
      </c>
      <c r="X698" s="326">
        <v>0.54</v>
      </c>
      <c r="Y698" s="194" t="s">
        <v>149</v>
      </c>
      <c r="Z698" s="194"/>
      <c r="AA698" s="195">
        <v>0</v>
      </c>
      <c r="AB698" s="195">
        <v>10168.39</v>
      </c>
      <c r="AC698" s="195">
        <v>0</v>
      </c>
      <c r="AD698" s="223">
        <v>38</v>
      </c>
      <c r="AE698" s="190"/>
    </row>
    <row r="699" spans="1:31" x14ac:dyDescent="0.2">
      <c r="A699" s="196" t="s">
        <v>72</v>
      </c>
      <c r="B699" s="190" t="s">
        <v>2</v>
      </c>
      <c r="C699" s="194" t="s">
        <v>66</v>
      </c>
      <c r="D699" s="233">
        <v>130020670033985</v>
      </c>
      <c r="E699" s="190" t="s">
        <v>42</v>
      </c>
      <c r="F699" s="190" t="s">
        <v>60</v>
      </c>
      <c r="G699" s="190" t="s">
        <v>44</v>
      </c>
      <c r="H699" s="190">
        <v>2025</v>
      </c>
      <c r="I699" s="253">
        <v>2</v>
      </c>
      <c r="J699" s="242">
        <v>45723</v>
      </c>
      <c r="K699" s="255">
        <v>0.3</v>
      </c>
      <c r="L699" s="199">
        <v>0.1203</v>
      </c>
      <c r="M699" s="199">
        <v>0.14530000000000001</v>
      </c>
      <c r="N699" s="199">
        <v>2.5000000000000001E-2</v>
      </c>
      <c r="O699" s="199">
        <v>7.4999999999999997E-3</v>
      </c>
      <c r="P699" s="192">
        <v>1</v>
      </c>
      <c r="Q699" s="199">
        <v>0.1203</v>
      </c>
      <c r="R699" s="210">
        <v>70000</v>
      </c>
      <c r="S699" s="256">
        <v>205000</v>
      </c>
      <c r="T699" s="221"/>
      <c r="U699" s="141"/>
      <c r="V699" s="296" t="s">
        <v>70</v>
      </c>
      <c r="W699" s="194" t="s">
        <v>191</v>
      </c>
      <c r="X699" s="326">
        <v>0.54</v>
      </c>
      <c r="Y699" s="194" t="s">
        <v>149</v>
      </c>
      <c r="Z699" s="194"/>
      <c r="AA699" s="195">
        <v>0</v>
      </c>
      <c r="AB699" s="195">
        <v>10168.39</v>
      </c>
      <c r="AC699" s="195">
        <v>0</v>
      </c>
      <c r="AD699" s="223">
        <v>38</v>
      </c>
      <c r="AE699" s="190"/>
    </row>
    <row r="700" spans="1:31" x14ac:dyDescent="0.2">
      <c r="A700" s="196" t="s">
        <v>72</v>
      </c>
      <c r="B700" s="190" t="s">
        <v>2</v>
      </c>
      <c r="C700" s="194" t="s">
        <v>66</v>
      </c>
      <c r="D700" s="233">
        <v>130020670033984</v>
      </c>
      <c r="E700" s="190" t="s">
        <v>42</v>
      </c>
      <c r="F700" s="190" t="s">
        <v>60</v>
      </c>
      <c r="G700" s="190" t="s">
        <v>44</v>
      </c>
      <c r="H700" s="190">
        <v>2025</v>
      </c>
      <c r="I700" s="253">
        <v>2</v>
      </c>
      <c r="J700" s="242">
        <v>45723</v>
      </c>
      <c r="K700" s="255">
        <v>0.3</v>
      </c>
      <c r="L700" s="199">
        <v>0.1203</v>
      </c>
      <c r="M700" s="199">
        <v>0.14530000000000001</v>
      </c>
      <c r="N700" s="199">
        <v>2.5000000000000001E-2</v>
      </c>
      <c r="O700" s="199">
        <v>7.4999999999999997E-3</v>
      </c>
      <c r="P700" s="192">
        <v>1</v>
      </c>
      <c r="Q700" s="199">
        <v>0.1203</v>
      </c>
      <c r="R700" s="210">
        <v>31501</v>
      </c>
      <c r="S700" s="256">
        <v>78087</v>
      </c>
      <c r="T700" s="221"/>
      <c r="U700" s="141"/>
      <c r="V700" s="296" t="s">
        <v>70</v>
      </c>
      <c r="W700" s="194" t="s">
        <v>181</v>
      </c>
      <c r="X700" s="326">
        <v>0.54</v>
      </c>
      <c r="Y700" s="194" t="s">
        <v>149</v>
      </c>
      <c r="Z700" s="194"/>
      <c r="AA700" s="195">
        <v>0</v>
      </c>
      <c r="AB700" s="195">
        <v>4575.92</v>
      </c>
      <c r="AC700" s="195">
        <v>0</v>
      </c>
      <c r="AD700" s="223">
        <v>17</v>
      </c>
      <c r="AE700" s="190"/>
    </row>
    <row r="701" spans="1:31" x14ac:dyDescent="0.2">
      <c r="A701" s="196" t="s">
        <v>72</v>
      </c>
      <c r="B701" s="190" t="s">
        <v>2</v>
      </c>
      <c r="C701" s="194" t="s">
        <v>66</v>
      </c>
      <c r="D701" s="233">
        <v>130020670033983</v>
      </c>
      <c r="E701" s="190" t="s">
        <v>42</v>
      </c>
      <c r="F701" s="190" t="s">
        <v>60</v>
      </c>
      <c r="G701" s="190" t="s">
        <v>44</v>
      </c>
      <c r="H701" s="190">
        <v>2025</v>
      </c>
      <c r="I701" s="253">
        <v>2</v>
      </c>
      <c r="J701" s="242">
        <v>45723</v>
      </c>
      <c r="K701" s="255">
        <v>0.3</v>
      </c>
      <c r="L701" s="199">
        <v>0.1203</v>
      </c>
      <c r="M701" s="199">
        <v>0.14530000000000001</v>
      </c>
      <c r="N701" s="199">
        <v>2.5000000000000001E-2</v>
      </c>
      <c r="O701" s="199">
        <v>7.4999999999999997E-3</v>
      </c>
      <c r="P701" s="192">
        <v>1</v>
      </c>
      <c r="Q701" s="199">
        <v>0.1203</v>
      </c>
      <c r="R701" s="210">
        <v>121200</v>
      </c>
      <c r="S701" s="256">
        <v>192330</v>
      </c>
      <c r="T701" s="221"/>
      <c r="U701" s="141"/>
      <c r="V701" s="296" t="s">
        <v>70</v>
      </c>
      <c r="W701" s="194" t="s">
        <v>179</v>
      </c>
      <c r="X701" s="326">
        <v>0.54</v>
      </c>
      <c r="Y701" s="194" t="s">
        <v>149</v>
      </c>
      <c r="Z701" s="194"/>
      <c r="AA701" s="195">
        <v>0</v>
      </c>
      <c r="AB701" s="195">
        <v>17605.849999999999</v>
      </c>
      <c r="AC701" s="195">
        <v>0</v>
      </c>
      <c r="AD701" s="223">
        <v>65</v>
      </c>
      <c r="AE701" s="190"/>
    </row>
    <row r="702" spans="1:31" x14ac:dyDescent="0.2">
      <c r="A702" s="196" t="s">
        <v>72</v>
      </c>
      <c r="B702" s="190" t="s">
        <v>2</v>
      </c>
      <c r="C702" s="194" t="s">
        <v>66</v>
      </c>
      <c r="D702" s="233">
        <v>130020670033964</v>
      </c>
      <c r="E702" s="190" t="s">
        <v>42</v>
      </c>
      <c r="F702" s="190" t="s">
        <v>60</v>
      </c>
      <c r="G702" s="190" t="s">
        <v>44</v>
      </c>
      <c r="H702" s="190">
        <v>2025</v>
      </c>
      <c r="I702" s="253">
        <v>2</v>
      </c>
      <c r="J702" s="242">
        <v>45723</v>
      </c>
      <c r="K702" s="255">
        <v>0.3</v>
      </c>
      <c r="L702" s="199">
        <v>0.1203</v>
      </c>
      <c r="M702" s="199">
        <v>0.14530000000000001</v>
      </c>
      <c r="N702" s="199">
        <v>2.5000000000000001E-2</v>
      </c>
      <c r="O702" s="199">
        <v>7.4999999999999997E-3</v>
      </c>
      <c r="P702" s="192">
        <v>1</v>
      </c>
      <c r="Q702" s="199">
        <v>0.1203</v>
      </c>
      <c r="R702" s="210">
        <v>46551</v>
      </c>
      <c r="S702" s="256">
        <v>206551</v>
      </c>
      <c r="T702" s="221"/>
      <c r="U702" s="141"/>
      <c r="V702" s="296" t="s">
        <v>70</v>
      </c>
      <c r="W702" s="194" t="s">
        <v>184</v>
      </c>
      <c r="X702" s="326">
        <v>0.54</v>
      </c>
      <c r="Y702" s="194" t="s">
        <v>149</v>
      </c>
      <c r="Z702" s="194"/>
      <c r="AA702" s="195">
        <v>0</v>
      </c>
      <c r="AB702" s="195">
        <v>6762.13</v>
      </c>
      <c r="AC702" s="195">
        <v>0</v>
      </c>
      <c r="AD702" s="223">
        <v>25</v>
      </c>
      <c r="AE702" s="190"/>
    </row>
    <row r="703" spans="1:31" x14ac:dyDescent="0.2">
      <c r="A703" s="196" t="s">
        <v>72</v>
      </c>
      <c r="B703" s="190" t="s">
        <v>2</v>
      </c>
      <c r="C703" s="194" t="s">
        <v>150</v>
      </c>
      <c r="D703" s="233">
        <v>130020670035243</v>
      </c>
      <c r="E703" s="190" t="s">
        <v>42</v>
      </c>
      <c r="F703" s="190" t="s">
        <v>60</v>
      </c>
      <c r="G703" s="190" t="s">
        <v>44</v>
      </c>
      <c r="H703" s="190">
        <v>2025</v>
      </c>
      <c r="I703" s="253">
        <v>2</v>
      </c>
      <c r="J703" s="242">
        <v>45723</v>
      </c>
      <c r="K703" s="255">
        <v>0.3</v>
      </c>
      <c r="L703" s="199">
        <v>0.1225</v>
      </c>
      <c r="M703" s="199">
        <v>0.14749999999999999</v>
      </c>
      <c r="N703" s="199">
        <v>2.5000000000000001E-2</v>
      </c>
      <c r="O703" s="199">
        <v>7.4999999999999997E-3</v>
      </c>
      <c r="P703" s="192">
        <v>1</v>
      </c>
      <c r="Q703" s="199">
        <v>0.1225</v>
      </c>
      <c r="R703" s="210">
        <v>13191</v>
      </c>
      <c r="S703" s="256">
        <v>4566375</v>
      </c>
      <c r="T703" s="221">
        <v>400000</v>
      </c>
      <c r="U703" s="141">
        <v>285895.23</v>
      </c>
      <c r="V703" s="296" t="s">
        <v>75</v>
      </c>
      <c r="W703" s="194" t="s">
        <v>192</v>
      </c>
      <c r="X703" s="326">
        <v>0.51</v>
      </c>
      <c r="Y703" s="194" t="s">
        <v>147</v>
      </c>
      <c r="Z703" s="194"/>
      <c r="AA703" s="195">
        <v>0</v>
      </c>
      <c r="AB703" s="195">
        <v>1945.51</v>
      </c>
      <c r="AC703" s="195">
        <v>0</v>
      </c>
      <c r="AD703" s="223">
        <v>7</v>
      </c>
      <c r="AE703" s="190"/>
    </row>
    <row r="704" spans="1:31" x14ac:dyDescent="0.2">
      <c r="A704" s="196" t="s">
        <v>83</v>
      </c>
      <c r="B704" s="190" t="s">
        <v>1</v>
      </c>
      <c r="C704" s="194" t="s">
        <v>84</v>
      </c>
      <c r="D704" s="233">
        <v>130010390000214</v>
      </c>
      <c r="E704" s="190" t="s">
        <v>42</v>
      </c>
      <c r="F704" s="190" t="s">
        <v>60</v>
      </c>
      <c r="G704" s="190" t="s">
        <v>44</v>
      </c>
      <c r="H704" s="190">
        <v>2025</v>
      </c>
      <c r="I704" s="253">
        <v>2</v>
      </c>
      <c r="J704" s="242">
        <v>45723</v>
      </c>
      <c r="K704" s="255">
        <v>1</v>
      </c>
      <c r="L704" s="199">
        <v>1.0541</v>
      </c>
      <c r="M704" s="199">
        <v>1.2237</v>
      </c>
      <c r="N704" s="199">
        <v>0.16950000000000001</v>
      </c>
      <c r="O704" s="199">
        <v>0.16950000000000001</v>
      </c>
      <c r="P704" s="192">
        <v>1</v>
      </c>
      <c r="Q704" s="199">
        <v>1.0541</v>
      </c>
      <c r="R704" s="210">
        <v>0</v>
      </c>
      <c r="S704" s="256">
        <v>0</v>
      </c>
      <c r="T704" s="221">
        <v>4584750.8499999996</v>
      </c>
      <c r="U704" s="141">
        <v>4584750.8499999996</v>
      </c>
      <c r="V704" s="296" t="s">
        <v>151</v>
      </c>
      <c r="W704" s="194" t="s">
        <v>176</v>
      </c>
      <c r="X704" s="326">
        <v>2.09</v>
      </c>
      <c r="Y704" s="194" t="s">
        <v>142</v>
      </c>
      <c r="Z704" s="194"/>
      <c r="AA704" s="195">
        <v>1.05</v>
      </c>
      <c r="AB704" s="195">
        <v>0</v>
      </c>
      <c r="AC704" s="195">
        <v>0</v>
      </c>
      <c r="AD704" s="223" t="s">
        <v>148</v>
      </c>
      <c r="AE704" s="190" t="s">
        <v>87</v>
      </c>
    </row>
    <row r="705" spans="1:31" x14ac:dyDescent="0.2">
      <c r="A705" s="196" t="s">
        <v>83</v>
      </c>
      <c r="B705" s="190" t="s">
        <v>1</v>
      </c>
      <c r="C705" s="194" t="s">
        <v>84</v>
      </c>
      <c r="D705" s="233">
        <v>130010390000214</v>
      </c>
      <c r="E705" s="190" t="s">
        <v>42</v>
      </c>
      <c r="F705" s="190" t="s">
        <v>60</v>
      </c>
      <c r="G705" s="190" t="s">
        <v>44</v>
      </c>
      <c r="H705" s="190">
        <v>2025</v>
      </c>
      <c r="I705" s="253">
        <v>2</v>
      </c>
      <c r="J705" s="242">
        <v>45723</v>
      </c>
      <c r="K705" s="255">
        <v>1</v>
      </c>
      <c r="L705" s="199">
        <v>1.1740999999999999</v>
      </c>
      <c r="M705" s="199">
        <v>1.3583000000000001</v>
      </c>
      <c r="N705" s="199">
        <v>0.1842</v>
      </c>
      <c r="O705" s="199">
        <v>0.1842</v>
      </c>
      <c r="P705" s="192">
        <v>1</v>
      </c>
      <c r="Q705" s="199">
        <v>1.1740999999999999</v>
      </c>
      <c r="R705" s="210">
        <v>0</v>
      </c>
      <c r="S705" s="256">
        <v>0</v>
      </c>
      <c r="T705" s="221">
        <v>3933456.36</v>
      </c>
      <c r="U705" s="141">
        <v>3933456.36</v>
      </c>
      <c r="V705" s="296" t="s">
        <v>151</v>
      </c>
      <c r="W705" s="194" t="s">
        <v>176</v>
      </c>
      <c r="X705" s="326">
        <v>2.09</v>
      </c>
      <c r="Y705" s="194" t="s">
        <v>142</v>
      </c>
      <c r="Z705" s="194"/>
      <c r="AA705" s="195">
        <v>1.17</v>
      </c>
      <c r="AB705" s="195">
        <v>0</v>
      </c>
      <c r="AC705" s="195">
        <v>0</v>
      </c>
      <c r="AD705" s="223" t="s">
        <v>148</v>
      </c>
      <c r="AE705" s="190" t="s">
        <v>88</v>
      </c>
    </row>
    <row r="706" spans="1:31" ht="28.5" x14ac:dyDescent="0.2">
      <c r="A706" s="196" t="s">
        <v>89</v>
      </c>
      <c r="B706" s="190" t="s">
        <v>4</v>
      </c>
      <c r="C706" s="194" t="s">
        <v>90</v>
      </c>
      <c r="D706" s="233" t="s">
        <v>193</v>
      </c>
      <c r="E706" s="190" t="s">
        <v>42</v>
      </c>
      <c r="F706" s="190" t="s">
        <v>91</v>
      </c>
      <c r="G706" s="190" t="s">
        <v>44</v>
      </c>
      <c r="H706" s="190">
        <v>2025</v>
      </c>
      <c r="I706" s="253">
        <v>2</v>
      </c>
      <c r="J706" s="242">
        <v>45723</v>
      </c>
      <c r="K706" s="255">
        <v>0.2</v>
      </c>
      <c r="L706" s="199">
        <v>0.32319999999999999</v>
      </c>
      <c r="M706" s="199">
        <v>0.32319999999999999</v>
      </c>
      <c r="N706" s="199">
        <v>0</v>
      </c>
      <c r="O706" s="199">
        <v>0</v>
      </c>
      <c r="P706" s="192">
        <v>1</v>
      </c>
      <c r="Q706" s="199">
        <v>2.3161999999999998</v>
      </c>
      <c r="R706" s="210">
        <v>0</v>
      </c>
      <c r="S706" s="256">
        <v>2371599</v>
      </c>
      <c r="T706" s="221">
        <v>105000</v>
      </c>
      <c r="U706" s="236">
        <v>37978.46</v>
      </c>
      <c r="V706" s="296" t="s">
        <v>92</v>
      </c>
      <c r="W706" s="194" t="s">
        <v>177</v>
      </c>
      <c r="X706" s="326">
        <v>1.56</v>
      </c>
      <c r="Y706" s="194" t="s">
        <v>145</v>
      </c>
      <c r="Z706" s="194"/>
      <c r="AA706" s="195"/>
      <c r="AB706" s="195">
        <v>0</v>
      </c>
      <c r="AC706" s="195">
        <v>0</v>
      </c>
      <c r="AD706" s="223">
        <v>295</v>
      </c>
      <c r="AE706" s="190" t="s">
        <v>247</v>
      </c>
    </row>
    <row r="707" spans="1:31" ht="28.5" x14ac:dyDescent="0.2">
      <c r="A707" s="196" t="s">
        <v>167</v>
      </c>
      <c r="B707" s="190" t="s">
        <v>4</v>
      </c>
      <c r="C707" s="194" t="s">
        <v>90</v>
      </c>
      <c r="D707" s="233" t="s">
        <v>196</v>
      </c>
      <c r="E707" s="190" t="s">
        <v>42</v>
      </c>
      <c r="F707" s="190" t="s">
        <v>91</v>
      </c>
      <c r="G707" s="190" t="s">
        <v>44</v>
      </c>
      <c r="H707" s="190">
        <v>2025</v>
      </c>
      <c r="I707" s="253">
        <v>2</v>
      </c>
      <c r="J707" s="242">
        <v>45723</v>
      </c>
      <c r="K707" s="255">
        <v>0.2</v>
      </c>
      <c r="L707" s="199">
        <v>0.32319999999999999</v>
      </c>
      <c r="M707" s="199">
        <v>0.32319999999999999</v>
      </c>
      <c r="N707" s="199">
        <v>0</v>
      </c>
      <c r="O707" s="199">
        <v>0</v>
      </c>
      <c r="P707" s="192">
        <v>1</v>
      </c>
      <c r="Q707" s="199">
        <v>2.3161999999999998</v>
      </c>
      <c r="R707" s="210">
        <v>2120</v>
      </c>
      <c r="S707" s="256">
        <v>50120</v>
      </c>
      <c r="T707" s="221"/>
      <c r="U707" s="236"/>
      <c r="V707" s="296" t="s">
        <v>92</v>
      </c>
      <c r="W707" s="194" t="s">
        <v>177</v>
      </c>
      <c r="X707" s="326">
        <v>1.56</v>
      </c>
      <c r="Y707" s="194" t="s">
        <v>145</v>
      </c>
      <c r="Z707" s="194"/>
      <c r="AA707" s="195"/>
      <c r="AB707" s="195">
        <v>685.18</v>
      </c>
      <c r="AC707" s="195">
        <v>0</v>
      </c>
      <c r="AD707" s="223">
        <v>295</v>
      </c>
      <c r="AE707" s="190" t="s">
        <v>247</v>
      </c>
    </row>
    <row r="708" spans="1:31" ht="28.5" x14ac:dyDescent="0.2">
      <c r="A708" s="196" t="s">
        <v>167</v>
      </c>
      <c r="B708" s="190" t="s">
        <v>4</v>
      </c>
      <c r="C708" s="194" t="s">
        <v>90</v>
      </c>
      <c r="D708" s="233" t="s">
        <v>197</v>
      </c>
      <c r="E708" s="190" t="s">
        <v>42</v>
      </c>
      <c r="F708" s="190" t="s">
        <v>91</v>
      </c>
      <c r="G708" s="190" t="s">
        <v>44</v>
      </c>
      <c r="H708" s="190">
        <v>2025</v>
      </c>
      <c r="I708" s="253">
        <v>2</v>
      </c>
      <c r="J708" s="242">
        <v>45723</v>
      </c>
      <c r="K708" s="255">
        <v>0.2</v>
      </c>
      <c r="L708" s="199">
        <v>0.32319999999999999</v>
      </c>
      <c r="M708" s="199">
        <v>0.32319999999999999</v>
      </c>
      <c r="N708" s="199">
        <v>0</v>
      </c>
      <c r="O708" s="199">
        <v>0</v>
      </c>
      <c r="P708" s="192">
        <v>1</v>
      </c>
      <c r="Q708" s="199">
        <v>2.3161999999999998</v>
      </c>
      <c r="R708" s="210">
        <v>13557</v>
      </c>
      <c r="S708" s="256">
        <v>28557</v>
      </c>
      <c r="T708" s="221"/>
      <c r="U708" s="236"/>
      <c r="V708" s="296" t="s">
        <v>92</v>
      </c>
      <c r="W708" s="194" t="s">
        <v>198</v>
      </c>
      <c r="X708" s="326">
        <v>1.56</v>
      </c>
      <c r="Y708" s="194" t="s">
        <v>145</v>
      </c>
      <c r="Z708" s="194"/>
      <c r="AA708" s="195"/>
      <c r="AB708" s="195">
        <v>4381.62</v>
      </c>
      <c r="AC708" s="195">
        <v>0</v>
      </c>
      <c r="AD708" s="223">
        <v>295</v>
      </c>
      <c r="AE708" s="190" t="s">
        <v>247</v>
      </c>
    </row>
    <row r="709" spans="1:31" ht="28.5" x14ac:dyDescent="0.2">
      <c r="A709" s="196" t="s">
        <v>167</v>
      </c>
      <c r="B709" s="190" t="s">
        <v>4</v>
      </c>
      <c r="C709" s="194" t="s">
        <v>90</v>
      </c>
      <c r="D709" s="233" t="s">
        <v>199</v>
      </c>
      <c r="E709" s="190" t="s">
        <v>42</v>
      </c>
      <c r="F709" s="190" t="s">
        <v>91</v>
      </c>
      <c r="G709" s="190" t="s">
        <v>44</v>
      </c>
      <c r="H709" s="190">
        <v>2025</v>
      </c>
      <c r="I709" s="253">
        <v>2</v>
      </c>
      <c r="J709" s="242">
        <v>45723</v>
      </c>
      <c r="K709" s="255">
        <v>0.2</v>
      </c>
      <c r="L709" s="199">
        <v>0.32319999999999999</v>
      </c>
      <c r="M709" s="199">
        <v>0.32319999999999999</v>
      </c>
      <c r="N709" s="199">
        <v>0</v>
      </c>
      <c r="O709" s="199">
        <v>0</v>
      </c>
      <c r="P709" s="192">
        <v>1</v>
      </c>
      <c r="Q709" s="199">
        <v>2.3161999999999998</v>
      </c>
      <c r="R709" s="210">
        <v>3000</v>
      </c>
      <c r="S709" s="256">
        <v>9000</v>
      </c>
      <c r="T709" s="221"/>
      <c r="U709" s="236"/>
      <c r="V709" s="296" t="s">
        <v>92</v>
      </c>
      <c r="W709" s="194" t="s">
        <v>187</v>
      </c>
      <c r="X709" s="326">
        <v>1.56</v>
      </c>
      <c r="Y709" s="194" t="s">
        <v>145</v>
      </c>
      <c r="Z709" s="194"/>
      <c r="AA709" s="195"/>
      <c r="AB709" s="195">
        <v>969.6</v>
      </c>
      <c r="AC709" s="195">
        <v>0</v>
      </c>
      <c r="AD709" s="223">
        <v>295</v>
      </c>
      <c r="AE709" s="190" t="s">
        <v>247</v>
      </c>
    </row>
    <row r="710" spans="1:31" ht="28.5" x14ac:dyDescent="0.2">
      <c r="A710" s="196" t="s">
        <v>167</v>
      </c>
      <c r="B710" s="190" t="s">
        <v>4</v>
      </c>
      <c r="C710" s="194" t="s">
        <v>90</v>
      </c>
      <c r="D710" s="233" t="s">
        <v>200</v>
      </c>
      <c r="E710" s="190" t="s">
        <v>42</v>
      </c>
      <c r="F710" s="190" t="s">
        <v>91</v>
      </c>
      <c r="G710" s="190" t="s">
        <v>44</v>
      </c>
      <c r="H710" s="190">
        <v>2025</v>
      </c>
      <c r="I710" s="253">
        <v>2</v>
      </c>
      <c r="J710" s="242">
        <v>45723</v>
      </c>
      <c r="K710" s="255">
        <v>0.2</v>
      </c>
      <c r="L710" s="199">
        <v>0.32319999999999999</v>
      </c>
      <c r="M710" s="199">
        <v>0.32319999999999999</v>
      </c>
      <c r="N710" s="199">
        <v>0</v>
      </c>
      <c r="O710" s="199">
        <v>0</v>
      </c>
      <c r="P710" s="192">
        <v>1</v>
      </c>
      <c r="Q710" s="199">
        <v>2.3161999999999998</v>
      </c>
      <c r="R710" s="210">
        <v>0</v>
      </c>
      <c r="S710" s="256">
        <v>9642</v>
      </c>
      <c r="T710" s="221"/>
      <c r="U710" s="236"/>
      <c r="V710" s="296" t="s">
        <v>92</v>
      </c>
      <c r="W710" s="194" t="s">
        <v>177</v>
      </c>
      <c r="X710" s="326">
        <v>1.56</v>
      </c>
      <c r="Y710" s="194" t="s">
        <v>145</v>
      </c>
      <c r="Z710" s="194"/>
      <c r="AA710" s="195"/>
      <c r="AB710" s="195">
        <v>0</v>
      </c>
      <c r="AC710" s="195">
        <v>0</v>
      </c>
      <c r="AD710" s="223">
        <v>295</v>
      </c>
      <c r="AE710" s="190" t="s">
        <v>247</v>
      </c>
    </row>
    <row r="711" spans="1:31" ht="28.5" x14ac:dyDescent="0.2">
      <c r="A711" s="196" t="s">
        <v>89</v>
      </c>
      <c r="B711" s="190" t="s">
        <v>4</v>
      </c>
      <c r="C711" s="194" t="s">
        <v>94</v>
      </c>
      <c r="D711" s="233" t="s">
        <v>202</v>
      </c>
      <c r="E711" s="190" t="s">
        <v>42</v>
      </c>
      <c r="F711" s="190" t="s">
        <v>91</v>
      </c>
      <c r="G711" s="190" t="s">
        <v>44</v>
      </c>
      <c r="H711" s="190">
        <v>2025</v>
      </c>
      <c r="I711" s="253">
        <v>2</v>
      </c>
      <c r="J711" s="242">
        <v>45723</v>
      </c>
      <c r="K711" s="255">
        <v>0.2</v>
      </c>
      <c r="L711" s="199">
        <v>0.6371</v>
      </c>
      <c r="M711" s="199">
        <v>0.6371</v>
      </c>
      <c r="N711" s="199">
        <v>0</v>
      </c>
      <c r="O711" s="199">
        <v>0</v>
      </c>
      <c r="P711" s="192">
        <v>1</v>
      </c>
      <c r="Q711" s="199">
        <v>1.5444</v>
      </c>
      <c r="R711" s="210">
        <v>0</v>
      </c>
      <c r="S711" s="256">
        <v>40202622</v>
      </c>
      <c r="T711" s="221">
        <v>376000</v>
      </c>
      <c r="U711" s="236">
        <v>259475.72</v>
      </c>
      <c r="V711" s="296" t="s">
        <v>95</v>
      </c>
      <c r="W711" s="194" t="s">
        <v>203</v>
      </c>
      <c r="X711" s="326">
        <v>1.75</v>
      </c>
      <c r="Y711" s="194" t="s">
        <v>145</v>
      </c>
      <c r="Z711" s="194"/>
      <c r="AA711" s="195"/>
      <c r="AB711" s="195">
        <v>0</v>
      </c>
      <c r="AC711" s="195">
        <v>0</v>
      </c>
      <c r="AD711" s="223">
        <v>273</v>
      </c>
      <c r="AE711" s="190" t="s">
        <v>247</v>
      </c>
    </row>
    <row r="712" spans="1:31" ht="28.5" x14ac:dyDescent="0.2">
      <c r="A712" s="196" t="s">
        <v>167</v>
      </c>
      <c r="B712" s="190" t="s">
        <v>4</v>
      </c>
      <c r="C712" s="194" t="s">
        <v>94</v>
      </c>
      <c r="D712" s="233" t="s">
        <v>204</v>
      </c>
      <c r="E712" s="190" t="s">
        <v>42</v>
      </c>
      <c r="F712" s="190" t="s">
        <v>91</v>
      </c>
      <c r="G712" s="190" t="s">
        <v>44</v>
      </c>
      <c r="H712" s="190">
        <v>2025</v>
      </c>
      <c r="I712" s="253">
        <v>2</v>
      </c>
      <c r="J712" s="242">
        <v>45723</v>
      </c>
      <c r="K712" s="255">
        <v>0.2</v>
      </c>
      <c r="L712" s="199">
        <v>0.6371</v>
      </c>
      <c r="M712" s="199">
        <v>0.6371</v>
      </c>
      <c r="N712" s="199">
        <v>0</v>
      </c>
      <c r="O712" s="199">
        <v>0</v>
      </c>
      <c r="P712" s="192">
        <v>1</v>
      </c>
      <c r="Q712" s="199">
        <v>1.5444</v>
      </c>
      <c r="R712" s="210">
        <v>0</v>
      </c>
      <c r="S712" s="256">
        <v>7820</v>
      </c>
      <c r="T712" s="221"/>
      <c r="U712" s="236"/>
      <c r="V712" s="296" t="s">
        <v>95</v>
      </c>
      <c r="W712" s="194" t="s">
        <v>177</v>
      </c>
      <c r="X712" s="326">
        <v>1.75</v>
      </c>
      <c r="Y712" s="194" t="s">
        <v>145</v>
      </c>
      <c r="Z712" s="194"/>
      <c r="AA712" s="195"/>
      <c r="AB712" s="195">
        <v>0</v>
      </c>
      <c r="AC712" s="195">
        <v>0</v>
      </c>
      <c r="AD712" s="223">
        <v>273</v>
      </c>
      <c r="AE712" s="190" t="s">
        <v>247</v>
      </c>
    </row>
    <row r="713" spans="1:31" ht="28.5" x14ac:dyDescent="0.2">
      <c r="A713" s="196" t="s">
        <v>167</v>
      </c>
      <c r="B713" s="190" t="s">
        <v>4</v>
      </c>
      <c r="C713" s="194" t="s">
        <v>94</v>
      </c>
      <c r="D713" s="233" t="s">
        <v>205</v>
      </c>
      <c r="E713" s="190" t="s">
        <v>42</v>
      </c>
      <c r="F713" s="190" t="s">
        <v>91</v>
      </c>
      <c r="G713" s="190" t="s">
        <v>44</v>
      </c>
      <c r="H713" s="190">
        <v>2025</v>
      </c>
      <c r="I713" s="253">
        <v>2</v>
      </c>
      <c r="J713" s="242">
        <v>45723</v>
      </c>
      <c r="K713" s="255">
        <v>0.2</v>
      </c>
      <c r="L713" s="199">
        <v>0.6371</v>
      </c>
      <c r="M713" s="199">
        <v>0.6371</v>
      </c>
      <c r="N713" s="199">
        <v>0</v>
      </c>
      <c r="O713" s="199">
        <v>0</v>
      </c>
      <c r="P713" s="192">
        <v>1</v>
      </c>
      <c r="Q713" s="199">
        <v>1.5444</v>
      </c>
      <c r="R713" s="210">
        <v>0</v>
      </c>
      <c r="S713" s="256">
        <v>11206</v>
      </c>
      <c r="T713" s="221"/>
      <c r="U713" s="236"/>
      <c r="V713" s="296" t="s">
        <v>95</v>
      </c>
      <c r="W713" s="194" t="s">
        <v>187</v>
      </c>
      <c r="X713" s="326">
        <v>1.75</v>
      </c>
      <c r="Y713" s="194" t="s">
        <v>145</v>
      </c>
      <c r="Z713" s="194"/>
      <c r="AA713" s="195"/>
      <c r="AB713" s="195">
        <v>0</v>
      </c>
      <c r="AC713" s="195">
        <v>0</v>
      </c>
      <c r="AD713" s="223">
        <v>273</v>
      </c>
      <c r="AE713" s="190" t="s">
        <v>247</v>
      </c>
    </row>
    <row r="714" spans="1:31" ht="28.5" x14ac:dyDescent="0.2">
      <c r="A714" s="196" t="s">
        <v>167</v>
      </c>
      <c r="B714" s="190" t="s">
        <v>4</v>
      </c>
      <c r="C714" s="194" t="s">
        <v>94</v>
      </c>
      <c r="D714" s="233" t="s">
        <v>206</v>
      </c>
      <c r="E714" s="190" t="s">
        <v>42</v>
      </c>
      <c r="F714" s="190" t="s">
        <v>91</v>
      </c>
      <c r="G714" s="190" t="s">
        <v>44</v>
      </c>
      <c r="H714" s="190">
        <v>2025</v>
      </c>
      <c r="I714" s="253">
        <v>2</v>
      </c>
      <c r="J714" s="242">
        <v>45723</v>
      </c>
      <c r="K714" s="255">
        <v>0.2</v>
      </c>
      <c r="L714" s="199">
        <v>0.6371</v>
      </c>
      <c r="M714" s="199">
        <v>0.6371</v>
      </c>
      <c r="N714" s="199">
        <v>0</v>
      </c>
      <c r="O714" s="199">
        <v>0</v>
      </c>
      <c r="P714" s="192">
        <v>1</v>
      </c>
      <c r="Q714" s="199">
        <v>1.5444</v>
      </c>
      <c r="R714" s="210">
        <v>1060</v>
      </c>
      <c r="S714" s="256">
        <v>23500</v>
      </c>
      <c r="T714" s="221"/>
      <c r="U714" s="236"/>
      <c r="V714" s="296" t="s">
        <v>95</v>
      </c>
      <c r="W714" s="194" t="s">
        <v>207</v>
      </c>
      <c r="X714" s="326">
        <v>1.75</v>
      </c>
      <c r="Y714" s="194" t="s">
        <v>145</v>
      </c>
      <c r="Z714" s="194"/>
      <c r="AA714" s="195"/>
      <c r="AB714" s="195">
        <v>675.33</v>
      </c>
      <c r="AC714" s="195">
        <v>0</v>
      </c>
      <c r="AD714" s="223">
        <v>273</v>
      </c>
      <c r="AE714" s="190" t="s">
        <v>247</v>
      </c>
    </row>
    <row r="715" spans="1:31" x14ac:dyDescent="0.2">
      <c r="A715" s="196" t="s">
        <v>89</v>
      </c>
      <c r="B715" s="190" t="s">
        <v>4</v>
      </c>
      <c r="C715" s="194" t="s">
        <v>66</v>
      </c>
      <c r="D715" s="233" t="s">
        <v>208</v>
      </c>
      <c r="E715" s="190" t="s">
        <v>42</v>
      </c>
      <c r="F715" s="190" t="s">
        <v>96</v>
      </c>
      <c r="G715" s="190" t="s">
        <v>44</v>
      </c>
      <c r="H715" s="190">
        <v>2025</v>
      </c>
      <c r="I715" s="253">
        <v>2</v>
      </c>
      <c r="J715" s="242">
        <v>45723</v>
      </c>
      <c r="K715" s="255">
        <v>0.4</v>
      </c>
      <c r="L715" s="199">
        <v>0.78</v>
      </c>
      <c r="M715" s="199">
        <v>0.78</v>
      </c>
      <c r="N715" s="199">
        <v>0</v>
      </c>
      <c r="O715" s="199">
        <v>0</v>
      </c>
      <c r="P715" s="192">
        <v>1</v>
      </c>
      <c r="Q715" s="199">
        <v>0.91620000000000001</v>
      </c>
      <c r="R715" s="210">
        <v>0</v>
      </c>
      <c r="S715" s="256">
        <v>2118113</v>
      </c>
      <c r="T715" s="221">
        <v>98350</v>
      </c>
      <c r="U715" s="236">
        <v>-261822.21</v>
      </c>
      <c r="V715" s="296" t="s">
        <v>97</v>
      </c>
      <c r="W715" s="194" t="s">
        <v>187</v>
      </c>
      <c r="X715" s="326">
        <v>0.57999999999999996</v>
      </c>
      <c r="Y715" s="194" t="s">
        <v>145</v>
      </c>
      <c r="Z715" s="194"/>
      <c r="AA715" s="195"/>
      <c r="AB715" s="195">
        <v>0</v>
      </c>
      <c r="AC715" s="195">
        <v>0</v>
      </c>
      <c r="AD715" s="223">
        <v>113</v>
      </c>
      <c r="AE715" s="190" t="s">
        <v>247</v>
      </c>
    </row>
    <row r="716" spans="1:31" x14ac:dyDescent="0.2">
      <c r="A716" s="196" t="s">
        <v>167</v>
      </c>
      <c r="B716" s="190" t="s">
        <v>4</v>
      </c>
      <c r="C716" s="194" t="s">
        <v>66</v>
      </c>
      <c r="D716" s="233" t="s">
        <v>209</v>
      </c>
      <c r="E716" s="190" t="s">
        <v>42</v>
      </c>
      <c r="F716" s="190" t="s">
        <v>96</v>
      </c>
      <c r="G716" s="190" t="s">
        <v>44</v>
      </c>
      <c r="H716" s="190">
        <v>2025</v>
      </c>
      <c r="I716" s="253">
        <v>2</v>
      </c>
      <c r="J716" s="242">
        <v>45723</v>
      </c>
      <c r="K716" s="255">
        <v>0.4</v>
      </c>
      <c r="L716" s="199">
        <v>0.78</v>
      </c>
      <c r="M716" s="199">
        <v>0.78</v>
      </c>
      <c r="N716" s="199">
        <v>0</v>
      </c>
      <c r="O716" s="199">
        <v>0</v>
      </c>
      <c r="P716" s="192">
        <v>1</v>
      </c>
      <c r="Q716" s="199">
        <v>0.91620000000000001</v>
      </c>
      <c r="R716" s="210">
        <v>0</v>
      </c>
      <c r="S716" s="256">
        <v>25704</v>
      </c>
      <c r="T716" s="221"/>
      <c r="U716" s="236"/>
      <c r="V716" s="296" t="s">
        <v>97</v>
      </c>
      <c r="W716" s="194" t="s">
        <v>210</v>
      </c>
      <c r="X716" s="326">
        <v>0.57999999999999996</v>
      </c>
      <c r="Y716" s="194" t="s">
        <v>145</v>
      </c>
      <c r="Z716" s="194"/>
      <c r="AA716" s="195"/>
      <c r="AB716" s="195">
        <v>0</v>
      </c>
      <c r="AC716" s="195">
        <v>0</v>
      </c>
      <c r="AD716" s="223">
        <v>113</v>
      </c>
      <c r="AE716" s="190" t="s">
        <v>247</v>
      </c>
    </row>
    <row r="717" spans="1:31" x14ac:dyDescent="0.2">
      <c r="A717" s="196" t="s">
        <v>89</v>
      </c>
      <c r="B717" s="190" t="s">
        <v>4</v>
      </c>
      <c r="C717" s="194" t="s">
        <v>98</v>
      </c>
      <c r="D717" s="233" t="s">
        <v>211</v>
      </c>
      <c r="E717" s="190" t="s">
        <v>42</v>
      </c>
      <c r="F717" s="190" t="s">
        <v>99</v>
      </c>
      <c r="G717" s="190" t="s">
        <v>44</v>
      </c>
      <c r="H717" s="190">
        <v>2025</v>
      </c>
      <c r="I717" s="253">
        <v>2</v>
      </c>
      <c r="J717" s="242">
        <v>45723</v>
      </c>
      <c r="K717" s="255">
        <v>0.5</v>
      </c>
      <c r="L717" s="199">
        <v>0.1278</v>
      </c>
      <c r="M717" s="199">
        <v>0.1278</v>
      </c>
      <c r="N717" s="199">
        <v>0</v>
      </c>
      <c r="O717" s="199">
        <v>0</v>
      </c>
      <c r="P717" s="192">
        <v>1</v>
      </c>
      <c r="Q717" s="199">
        <v>0.1278</v>
      </c>
      <c r="R717" s="210">
        <v>0</v>
      </c>
      <c r="S717" s="256">
        <v>1363057</v>
      </c>
      <c r="T717" s="221">
        <v>110600</v>
      </c>
      <c r="U717" s="236">
        <v>66747.600000000006</v>
      </c>
      <c r="V717" s="296" t="s">
        <v>100</v>
      </c>
      <c r="W717" s="194" t="s">
        <v>177</v>
      </c>
      <c r="X717" s="326">
        <v>0.76</v>
      </c>
      <c r="Y717" s="194" t="s">
        <v>145</v>
      </c>
      <c r="Z717" s="194"/>
      <c r="AA717" s="195"/>
      <c r="AB717" s="195">
        <v>0</v>
      </c>
      <c r="AC717" s="195">
        <v>0</v>
      </c>
      <c r="AD717" s="223">
        <v>58</v>
      </c>
      <c r="AE717" s="190" t="s">
        <v>247</v>
      </c>
    </row>
    <row r="718" spans="1:31" x14ac:dyDescent="0.2">
      <c r="A718" s="196" t="s">
        <v>89</v>
      </c>
      <c r="B718" s="190" t="s">
        <v>4</v>
      </c>
      <c r="C718" s="194" t="s">
        <v>101</v>
      </c>
      <c r="D718" s="233" t="s">
        <v>212</v>
      </c>
      <c r="E718" s="190" t="s">
        <v>42</v>
      </c>
      <c r="F718" s="190" t="s">
        <v>99</v>
      </c>
      <c r="G718" s="190" t="s">
        <v>44</v>
      </c>
      <c r="H718" s="190">
        <v>2025</v>
      </c>
      <c r="I718" s="253">
        <v>2</v>
      </c>
      <c r="J718" s="242">
        <v>45723</v>
      </c>
      <c r="K718" s="255">
        <v>0.4</v>
      </c>
      <c r="L718" s="199">
        <v>0.17249999999999999</v>
      </c>
      <c r="M718" s="199">
        <v>0.17249999999999999</v>
      </c>
      <c r="N718" s="199">
        <v>0</v>
      </c>
      <c r="O718" s="199">
        <v>0</v>
      </c>
      <c r="P718" s="192">
        <v>1</v>
      </c>
      <c r="Q718" s="199">
        <v>0.17249999999999999</v>
      </c>
      <c r="R718" s="210">
        <v>28801</v>
      </c>
      <c r="S718" s="256">
        <v>1221447</v>
      </c>
      <c r="T718" s="221">
        <v>98000</v>
      </c>
      <c r="U718" s="236">
        <v>-124812.07</v>
      </c>
      <c r="V718" s="296" t="s">
        <v>102</v>
      </c>
      <c r="W718" s="194" t="s">
        <v>176</v>
      </c>
      <c r="X718" s="326">
        <v>1.17</v>
      </c>
      <c r="Y718" s="194" t="s">
        <v>145</v>
      </c>
      <c r="Z718" s="194"/>
      <c r="AA718" s="195"/>
      <c r="AB718" s="195">
        <v>4968.17</v>
      </c>
      <c r="AC718" s="195">
        <v>0</v>
      </c>
      <c r="AD718" s="223">
        <v>34</v>
      </c>
      <c r="AE718" s="190" t="s">
        <v>247</v>
      </c>
    </row>
    <row r="719" spans="1:31" x14ac:dyDescent="0.2">
      <c r="A719" s="196" t="s">
        <v>89</v>
      </c>
      <c r="B719" s="190" t="s">
        <v>4</v>
      </c>
      <c r="C719" s="194" t="s">
        <v>103</v>
      </c>
      <c r="D719" s="233" t="s">
        <v>213</v>
      </c>
      <c r="E719" s="190" t="s">
        <v>42</v>
      </c>
      <c r="F719" s="190" t="s">
        <v>91</v>
      </c>
      <c r="G719" s="190" t="s">
        <v>44</v>
      </c>
      <c r="H719" s="190">
        <v>2025</v>
      </c>
      <c r="I719" s="253">
        <v>2</v>
      </c>
      <c r="J719" s="242">
        <v>45723</v>
      </c>
      <c r="K719" s="255">
        <v>0.5</v>
      </c>
      <c r="L719" s="199">
        <v>0.128</v>
      </c>
      <c r="M719" s="199">
        <v>0.128</v>
      </c>
      <c r="N719" s="199">
        <v>0</v>
      </c>
      <c r="O719" s="199">
        <v>0</v>
      </c>
      <c r="P719" s="192">
        <v>1</v>
      </c>
      <c r="Q719" s="199">
        <v>0.1285</v>
      </c>
      <c r="R719" s="210">
        <v>51400</v>
      </c>
      <c r="S719" s="256">
        <v>3068940</v>
      </c>
      <c r="T719" s="221">
        <v>98000</v>
      </c>
      <c r="U719" s="236">
        <v>46873.68</v>
      </c>
      <c r="V719" s="296" t="s">
        <v>152</v>
      </c>
      <c r="W719" s="194" t="s">
        <v>177</v>
      </c>
      <c r="X719" s="326">
        <v>0.69499999999999995</v>
      </c>
      <c r="Y719" s="194" t="s">
        <v>153</v>
      </c>
      <c r="Z719" s="194"/>
      <c r="AA719" s="195"/>
      <c r="AB719" s="195">
        <v>6579.2</v>
      </c>
      <c r="AC719" s="195">
        <v>0</v>
      </c>
      <c r="AD719" s="223">
        <v>185</v>
      </c>
      <c r="AE719" s="190" t="s">
        <v>247</v>
      </c>
    </row>
    <row r="720" spans="1:31" ht="28.5" x14ac:dyDescent="0.2">
      <c r="A720" s="196" t="s">
        <v>89</v>
      </c>
      <c r="B720" s="190" t="s">
        <v>4</v>
      </c>
      <c r="C720" s="194" t="s">
        <v>104</v>
      </c>
      <c r="D720" s="233" t="s">
        <v>214</v>
      </c>
      <c r="E720" s="190" t="s">
        <v>42</v>
      </c>
      <c r="F720" s="190" t="s">
        <v>91</v>
      </c>
      <c r="G720" s="190" t="s">
        <v>44</v>
      </c>
      <c r="H720" s="190">
        <v>2025</v>
      </c>
      <c r="I720" s="253">
        <v>2</v>
      </c>
      <c r="J720" s="242">
        <v>45723</v>
      </c>
      <c r="K720" s="255">
        <v>0.5</v>
      </c>
      <c r="L720" s="199">
        <v>2.4180000000000001</v>
      </c>
      <c r="M720" s="199">
        <v>2.4180000000000001</v>
      </c>
      <c r="N720" s="199">
        <v>0</v>
      </c>
      <c r="O720" s="199">
        <v>0</v>
      </c>
      <c r="P720" s="192">
        <v>1</v>
      </c>
      <c r="Q720" s="199">
        <v>2.5636999999999999</v>
      </c>
      <c r="R720" s="210">
        <v>120000</v>
      </c>
      <c r="S720" s="256">
        <v>2966979</v>
      </c>
      <c r="T720" s="221">
        <v>200100</v>
      </c>
      <c r="U720" s="236">
        <v>-447786.11</v>
      </c>
      <c r="V720" s="296" t="s">
        <v>105</v>
      </c>
      <c r="W720" s="194" t="s">
        <v>177</v>
      </c>
      <c r="X720" s="326">
        <v>3.41</v>
      </c>
      <c r="Y720" s="194" t="s">
        <v>153</v>
      </c>
      <c r="Z720" s="194" t="s">
        <v>195</v>
      </c>
      <c r="AA720" s="195">
        <v>1.76</v>
      </c>
      <c r="AB720" s="195">
        <v>290160</v>
      </c>
      <c r="AC720" s="195">
        <v>211200</v>
      </c>
      <c r="AD720" s="223">
        <v>618</v>
      </c>
      <c r="AE720" s="190" t="s">
        <v>247</v>
      </c>
    </row>
    <row r="721" spans="1:31" ht="28.5" x14ac:dyDescent="0.2">
      <c r="A721" s="196" t="s">
        <v>89</v>
      </c>
      <c r="B721" s="190" t="s">
        <v>4</v>
      </c>
      <c r="C721" s="194" t="s">
        <v>106</v>
      </c>
      <c r="D721" s="233" t="s">
        <v>215</v>
      </c>
      <c r="E721" s="190" t="s">
        <v>42</v>
      </c>
      <c r="F721" s="190" t="s">
        <v>91</v>
      </c>
      <c r="G721" s="190" t="s">
        <v>44</v>
      </c>
      <c r="H721" s="190">
        <v>2025</v>
      </c>
      <c r="I721" s="253">
        <v>2</v>
      </c>
      <c r="J721" s="242">
        <v>45723</v>
      </c>
      <c r="K721" s="255">
        <v>0.2</v>
      </c>
      <c r="L721" s="199">
        <v>0.156</v>
      </c>
      <c r="M721" s="199">
        <v>0.156</v>
      </c>
      <c r="N721" s="199">
        <v>0</v>
      </c>
      <c r="O721" s="199">
        <v>0</v>
      </c>
      <c r="P721" s="192">
        <v>1</v>
      </c>
      <c r="Q721" s="199">
        <v>0.1608</v>
      </c>
      <c r="R721" s="210">
        <v>0</v>
      </c>
      <c r="S721" s="256">
        <v>3115274</v>
      </c>
      <c r="T721" s="221">
        <v>98000</v>
      </c>
      <c r="U721" s="236">
        <v>35472.99</v>
      </c>
      <c r="V721" s="296" t="s">
        <v>107</v>
      </c>
      <c r="W721" s="194" t="s">
        <v>177</v>
      </c>
      <c r="X721" s="326">
        <v>1.1200000000000001</v>
      </c>
      <c r="Y721" s="194" t="s">
        <v>145</v>
      </c>
      <c r="Z721" s="194"/>
      <c r="AA721" s="195">
        <v>0</v>
      </c>
      <c r="AB721" s="195">
        <v>0</v>
      </c>
      <c r="AC721" s="195">
        <v>0</v>
      </c>
      <c r="AD721" s="223">
        <v>322</v>
      </c>
      <c r="AE721" s="190" t="s">
        <v>247</v>
      </c>
    </row>
    <row r="722" spans="1:31" x14ac:dyDescent="0.2">
      <c r="A722" s="196" t="s">
        <v>89</v>
      </c>
      <c r="B722" s="190" t="s">
        <v>4</v>
      </c>
      <c r="C722" s="194" t="s">
        <v>108</v>
      </c>
      <c r="D722" s="233" t="s">
        <v>216</v>
      </c>
      <c r="E722" s="190" t="s">
        <v>42</v>
      </c>
      <c r="F722" s="190" t="s">
        <v>109</v>
      </c>
      <c r="G722" s="190" t="s">
        <v>44</v>
      </c>
      <c r="H722" s="190">
        <v>2025</v>
      </c>
      <c r="I722" s="253">
        <v>2</v>
      </c>
      <c r="J722" s="242">
        <v>45723</v>
      </c>
      <c r="K722" s="255">
        <v>0.5</v>
      </c>
      <c r="L722" s="199">
        <v>0.12280000000000001</v>
      </c>
      <c r="M722" s="199">
        <v>0.12280000000000001</v>
      </c>
      <c r="N722" s="199">
        <v>0</v>
      </c>
      <c r="O722" s="199">
        <v>0</v>
      </c>
      <c r="P722" s="192">
        <v>1</v>
      </c>
      <c r="Q722" s="199">
        <v>0.12280000000000001</v>
      </c>
      <c r="R722" s="210">
        <v>0</v>
      </c>
      <c r="S722" s="256">
        <v>3603785</v>
      </c>
      <c r="T722" s="221">
        <v>130350</v>
      </c>
      <c r="U722" s="236">
        <v>41644.07</v>
      </c>
      <c r="V722" s="296" t="s">
        <v>100</v>
      </c>
      <c r="W722" s="194" t="s">
        <v>177</v>
      </c>
      <c r="X722" s="326">
        <v>0.52</v>
      </c>
      <c r="Y722" s="194" t="s">
        <v>145</v>
      </c>
      <c r="Z722" s="194"/>
      <c r="AA722" s="195"/>
      <c r="AB722" s="195">
        <v>0</v>
      </c>
      <c r="AC722" s="195">
        <v>0</v>
      </c>
      <c r="AD722" s="223">
        <v>133</v>
      </c>
      <c r="AE722" s="190" t="s">
        <v>247</v>
      </c>
    </row>
    <row r="723" spans="1:31" x14ac:dyDescent="0.2">
      <c r="A723" s="196" t="s">
        <v>110</v>
      </c>
      <c r="B723" s="190" t="s">
        <v>4</v>
      </c>
      <c r="C723" s="194" t="s">
        <v>98</v>
      </c>
      <c r="D723" s="233" t="s">
        <v>217</v>
      </c>
      <c r="E723" s="190" t="s">
        <v>42</v>
      </c>
      <c r="F723" s="190" t="s">
        <v>111</v>
      </c>
      <c r="G723" s="190" t="s">
        <v>44</v>
      </c>
      <c r="H723" s="190">
        <v>2025</v>
      </c>
      <c r="I723" s="253">
        <v>2</v>
      </c>
      <c r="J723" s="242">
        <v>45723</v>
      </c>
      <c r="K723" s="255">
        <v>0.2</v>
      </c>
      <c r="L723" s="199">
        <v>0.12</v>
      </c>
      <c r="M723" s="199">
        <v>0.12</v>
      </c>
      <c r="N723" s="199">
        <v>0</v>
      </c>
      <c r="O723" s="199">
        <v>0</v>
      </c>
      <c r="P723" s="192">
        <v>1</v>
      </c>
      <c r="Q723" s="199">
        <v>0.12559999999999999</v>
      </c>
      <c r="R723" s="210">
        <v>38000</v>
      </c>
      <c r="S723" s="256">
        <v>2339912</v>
      </c>
      <c r="T723" s="221">
        <v>98000</v>
      </c>
      <c r="U723" s="236">
        <v>58493.96</v>
      </c>
      <c r="V723" s="296" t="s">
        <v>112</v>
      </c>
      <c r="W723" s="194" t="s">
        <v>177</v>
      </c>
      <c r="X723" s="326">
        <v>0.7</v>
      </c>
      <c r="Y723" s="194" t="s">
        <v>145</v>
      </c>
      <c r="Z723" s="194"/>
      <c r="AA723" s="195"/>
      <c r="AB723" s="195">
        <v>4560</v>
      </c>
      <c r="AC723" s="195">
        <v>0</v>
      </c>
      <c r="AD723" s="223">
        <v>167</v>
      </c>
      <c r="AE723" s="190" t="s">
        <v>247</v>
      </c>
    </row>
    <row r="724" spans="1:31" ht="28.5" x14ac:dyDescent="0.2">
      <c r="A724" s="196" t="s">
        <v>110</v>
      </c>
      <c r="B724" s="190" t="s">
        <v>4</v>
      </c>
      <c r="C724" s="194" t="s">
        <v>101</v>
      </c>
      <c r="D724" s="233" t="s">
        <v>218</v>
      </c>
      <c r="E724" s="190" t="s">
        <v>42</v>
      </c>
      <c r="F724" s="190" t="s">
        <v>113</v>
      </c>
      <c r="G724" s="190" t="s">
        <v>44</v>
      </c>
      <c r="H724" s="190">
        <v>2025</v>
      </c>
      <c r="I724" s="253">
        <v>2</v>
      </c>
      <c r="J724" s="242">
        <v>45723</v>
      </c>
      <c r="K724" s="255">
        <v>0.4</v>
      </c>
      <c r="L724" s="199">
        <v>0.14399999999999999</v>
      </c>
      <c r="M724" s="199">
        <v>0.14399999999999999</v>
      </c>
      <c r="N724" s="199">
        <v>0</v>
      </c>
      <c r="O724" s="199">
        <v>0</v>
      </c>
      <c r="P724" s="192">
        <v>1</v>
      </c>
      <c r="Q724" s="199">
        <v>0.2757</v>
      </c>
      <c r="R724" s="210">
        <v>28801</v>
      </c>
      <c r="S724" s="256">
        <v>1822886</v>
      </c>
      <c r="T724" s="221">
        <v>188000</v>
      </c>
      <c r="U724" s="236">
        <v>116939.45</v>
      </c>
      <c r="V724" s="296" t="s">
        <v>219</v>
      </c>
      <c r="W724" s="194" t="s">
        <v>176</v>
      </c>
      <c r="X724" s="326">
        <v>1.72</v>
      </c>
      <c r="Y724" s="194" t="s">
        <v>145</v>
      </c>
      <c r="Z724" s="194"/>
      <c r="AA724" s="195"/>
      <c r="AB724" s="195">
        <v>4147.34</v>
      </c>
      <c r="AC724" s="195">
        <v>0</v>
      </c>
      <c r="AD724" s="223">
        <v>226</v>
      </c>
      <c r="AE724" s="190" t="s">
        <v>247</v>
      </c>
    </row>
    <row r="725" spans="1:31" x14ac:dyDescent="0.2">
      <c r="A725" s="196" t="s">
        <v>110</v>
      </c>
      <c r="B725" s="190" t="s">
        <v>4</v>
      </c>
      <c r="C725" s="194" t="s">
        <v>115</v>
      </c>
      <c r="D725" s="233" t="s">
        <v>220</v>
      </c>
      <c r="E725" s="190" t="s">
        <v>42</v>
      </c>
      <c r="F725" s="190" t="s">
        <v>116</v>
      </c>
      <c r="G725" s="190" t="s">
        <v>44</v>
      </c>
      <c r="H725" s="190">
        <v>2025</v>
      </c>
      <c r="I725" s="253">
        <v>2</v>
      </c>
      <c r="J725" s="242">
        <v>45723</v>
      </c>
      <c r="K725" s="255">
        <v>0.4</v>
      </c>
      <c r="L725" s="199">
        <v>0.80869999999999997</v>
      </c>
      <c r="M725" s="199">
        <v>1.0757000000000001</v>
      </c>
      <c r="N725" s="199">
        <v>0.26700000000000002</v>
      </c>
      <c r="O725" s="199">
        <v>0.10680000000000001</v>
      </c>
      <c r="P725" s="192">
        <v>1</v>
      </c>
      <c r="Q725" s="199">
        <v>0.80869999999999997</v>
      </c>
      <c r="R725" s="210">
        <v>11088</v>
      </c>
      <c r="S725" s="256">
        <v>904355</v>
      </c>
      <c r="T725" s="221">
        <v>640000</v>
      </c>
      <c r="U725" s="237">
        <v>398537.22</v>
      </c>
      <c r="V725" s="296" t="s">
        <v>117</v>
      </c>
      <c r="W725" s="194" t="s">
        <v>177</v>
      </c>
      <c r="X725" s="326">
        <v>5.75</v>
      </c>
      <c r="Y725" s="194" t="s">
        <v>145</v>
      </c>
      <c r="Z725" s="194"/>
      <c r="AA725" s="195"/>
      <c r="AB725" s="195">
        <v>11926.85</v>
      </c>
      <c r="AC725" s="195">
        <v>0</v>
      </c>
      <c r="AD725" s="223">
        <v>218</v>
      </c>
      <c r="AE725" s="190" t="s">
        <v>247</v>
      </c>
    </row>
    <row r="726" spans="1:31" ht="42.75" x14ac:dyDescent="0.2">
      <c r="A726" s="196" t="s">
        <v>110</v>
      </c>
      <c r="B726" s="190" t="s">
        <v>4</v>
      </c>
      <c r="C726" s="194" t="s">
        <v>118</v>
      </c>
      <c r="D726" s="233" t="s">
        <v>221</v>
      </c>
      <c r="E726" s="190" t="s">
        <v>42</v>
      </c>
      <c r="F726" s="190" t="s">
        <v>119</v>
      </c>
      <c r="G726" s="190" t="s">
        <v>44</v>
      </c>
      <c r="H726" s="190">
        <v>2025</v>
      </c>
      <c r="I726" s="253">
        <v>2</v>
      </c>
      <c r="J726" s="242">
        <v>45723</v>
      </c>
      <c r="K726" s="255">
        <v>0.2</v>
      </c>
      <c r="L726" s="199">
        <v>0.52349999999999997</v>
      </c>
      <c r="M726" s="199">
        <v>0.70150000000000001</v>
      </c>
      <c r="N726" s="199">
        <v>0.17799999999999999</v>
      </c>
      <c r="O726" s="199">
        <v>0.10680000000000001</v>
      </c>
      <c r="P726" s="192">
        <v>1</v>
      </c>
      <c r="Q726" s="199">
        <v>0.61240000000000006</v>
      </c>
      <c r="R726" s="210">
        <v>-9680</v>
      </c>
      <c r="S726" s="256">
        <v>1694267</v>
      </c>
      <c r="T726" s="221">
        <v>640000</v>
      </c>
      <c r="U726" s="237">
        <v>23158.83</v>
      </c>
      <c r="V726" s="296" t="s">
        <v>120</v>
      </c>
      <c r="W726" s="194" t="s">
        <v>177</v>
      </c>
      <c r="X726" s="326">
        <v>3.27</v>
      </c>
      <c r="Y726" s="194" t="s">
        <v>145</v>
      </c>
      <c r="Z726" s="194"/>
      <c r="AA726" s="195"/>
      <c r="AB726" s="195">
        <v>-6790.52</v>
      </c>
      <c r="AC726" s="195">
        <v>0</v>
      </c>
      <c r="AD726" s="223">
        <v>404</v>
      </c>
      <c r="AE726" s="190" t="s">
        <v>247</v>
      </c>
    </row>
    <row r="727" spans="1:31" ht="28.5" x14ac:dyDescent="0.2">
      <c r="A727" s="196" t="s">
        <v>110</v>
      </c>
      <c r="B727" s="190" t="s">
        <v>4</v>
      </c>
      <c r="C727" s="194" t="s">
        <v>121</v>
      </c>
      <c r="D727" s="233" t="s">
        <v>222</v>
      </c>
      <c r="E727" s="190" t="s">
        <v>42</v>
      </c>
      <c r="F727" s="190" t="s">
        <v>116</v>
      </c>
      <c r="G727" s="190" t="s">
        <v>44</v>
      </c>
      <c r="H727" s="190">
        <v>2025</v>
      </c>
      <c r="I727" s="253">
        <v>2</v>
      </c>
      <c r="J727" s="242">
        <v>45723</v>
      </c>
      <c r="K727" s="255">
        <v>0.5</v>
      </c>
      <c r="L727" s="199">
        <v>0.29380000000000001</v>
      </c>
      <c r="M727" s="199">
        <v>0.41710000000000003</v>
      </c>
      <c r="N727" s="199">
        <v>0.12330000000000001</v>
      </c>
      <c r="O727" s="199">
        <v>6.1699999999999998E-2</v>
      </c>
      <c r="P727" s="192">
        <v>1</v>
      </c>
      <c r="Q727" s="199">
        <v>0.29380000000000001</v>
      </c>
      <c r="R727" s="210">
        <v>49500</v>
      </c>
      <c r="S727" s="256">
        <v>1260235</v>
      </c>
      <c r="T727" s="221">
        <v>370000</v>
      </c>
      <c r="U727" s="237">
        <v>214571.02</v>
      </c>
      <c r="V727" s="296" t="s">
        <v>107</v>
      </c>
      <c r="W727" s="194" t="s">
        <v>177</v>
      </c>
      <c r="X727" s="326">
        <v>1.78</v>
      </c>
      <c r="Y727" s="194" t="s">
        <v>145</v>
      </c>
      <c r="Z727" s="194"/>
      <c r="AA727" s="195"/>
      <c r="AB727" s="195">
        <v>20647.150000000001</v>
      </c>
      <c r="AC727" s="195">
        <v>0</v>
      </c>
      <c r="AD727" s="223" t="s">
        <v>148</v>
      </c>
      <c r="AE727" s="190" t="s">
        <v>247</v>
      </c>
    </row>
    <row r="728" spans="1:31" x14ac:dyDescent="0.2">
      <c r="A728" s="196" t="s">
        <v>110</v>
      </c>
      <c r="B728" s="190" t="s">
        <v>4</v>
      </c>
      <c r="C728" s="194" t="s">
        <v>66</v>
      </c>
      <c r="D728" s="233" t="s">
        <v>223</v>
      </c>
      <c r="E728" s="190" t="s">
        <v>42</v>
      </c>
      <c r="F728" s="190" t="s">
        <v>116</v>
      </c>
      <c r="G728" s="190" t="s">
        <v>44</v>
      </c>
      <c r="H728" s="190">
        <v>2025</v>
      </c>
      <c r="I728" s="253">
        <v>2</v>
      </c>
      <c r="J728" s="242">
        <v>45723</v>
      </c>
      <c r="K728" s="255">
        <v>0.5</v>
      </c>
      <c r="L728" s="199">
        <v>1.0629</v>
      </c>
      <c r="M728" s="199">
        <v>1.1322000000000001</v>
      </c>
      <c r="N728" s="199">
        <v>6.93E-2</v>
      </c>
      <c r="O728" s="199">
        <v>3.4700000000000002E-2</v>
      </c>
      <c r="P728" s="192">
        <v>1</v>
      </c>
      <c r="Q728" s="199">
        <v>1.0629</v>
      </c>
      <c r="R728" s="210">
        <v>5555</v>
      </c>
      <c r="S728" s="256">
        <v>1153339</v>
      </c>
      <c r="T728" s="221">
        <v>484014</v>
      </c>
      <c r="U728" s="237">
        <v>136446.20000000001</v>
      </c>
      <c r="V728" s="296" t="s">
        <v>154</v>
      </c>
      <c r="W728" s="194" t="s">
        <v>224</v>
      </c>
      <c r="X728" s="326">
        <v>2.38</v>
      </c>
      <c r="Y728" s="194" t="s">
        <v>145</v>
      </c>
      <c r="Z728" s="194" t="s">
        <v>195</v>
      </c>
      <c r="AA728" s="195">
        <v>0.8</v>
      </c>
      <c r="AB728" s="195">
        <v>6289.37</v>
      </c>
      <c r="AC728" s="195">
        <v>4444</v>
      </c>
      <c r="AD728" s="223">
        <v>286</v>
      </c>
      <c r="AE728" s="190" t="s">
        <v>247</v>
      </c>
    </row>
    <row r="729" spans="1:31" x14ac:dyDescent="0.2">
      <c r="A729" s="196" t="s">
        <v>110</v>
      </c>
      <c r="B729" s="190" t="s">
        <v>4</v>
      </c>
      <c r="C729" s="194" t="s">
        <v>66</v>
      </c>
      <c r="D729" s="233" t="s">
        <v>225</v>
      </c>
      <c r="E729" s="190" t="s">
        <v>42</v>
      </c>
      <c r="F729" s="190" t="s">
        <v>116</v>
      </c>
      <c r="G729" s="190" t="s">
        <v>44</v>
      </c>
      <c r="H729" s="190">
        <v>2025</v>
      </c>
      <c r="I729" s="253">
        <v>2</v>
      </c>
      <c r="J729" s="242">
        <v>45723</v>
      </c>
      <c r="K729" s="255">
        <v>0.5</v>
      </c>
      <c r="L729" s="199">
        <v>1.0629</v>
      </c>
      <c r="M729" s="199">
        <v>1.1322000000000001</v>
      </c>
      <c r="N729" s="199">
        <v>6.93E-2</v>
      </c>
      <c r="O729" s="199">
        <v>3.4700000000000002E-2</v>
      </c>
      <c r="P729" s="192">
        <v>1</v>
      </c>
      <c r="Q729" s="199">
        <v>1.0629</v>
      </c>
      <c r="R729" s="210">
        <v>6000</v>
      </c>
      <c r="S729" s="256">
        <v>30500</v>
      </c>
      <c r="T729" s="221"/>
      <c r="U729" s="237"/>
      <c r="V729" s="296" t="s">
        <v>154</v>
      </c>
      <c r="W729" s="194" t="s">
        <v>226</v>
      </c>
      <c r="X729" s="326">
        <v>2.38</v>
      </c>
      <c r="Y729" s="194" t="s">
        <v>145</v>
      </c>
      <c r="Z729" s="194" t="s">
        <v>195</v>
      </c>
      <c r="AA729" s="195">
        <v>0.8</v>
      </c>
      <c r="AB729" s="195">
        <v>6793.2</v>
      </c>
      <c r="AC729" s="195">
        <v>4800</v>
      </c>
      <c r="AD729" s="223">
        <v>286</v>
      </c>
      <c r="AE729" s="190" t="s">
        <v>247</v>
      </c>
    </row>
    <row r="730" spans="1:31" ht="42.75" x14ac:dyDescent="0.2">
      <c r="A730" s="196" t="s">
        <v>110</v>
      </c>
      <c r="B730" s="190" t="s">
        <v>4</v>
      </c>
      <c r="C730" s="194" t="s">
        <v>150</v>
      </c>
      <c r="D730" s="233" t="s">
        <v>227</v>
      </c>
      <c r="E730" s="190" t="s">
        <v>42</v>
      </c>
      <c r="F730" s="190" t="s">
        <v>116</v>
      </c>
      <c r="G730" s="190" t="s">
        <v>44</v>
      </c>
      <c r="H730" s="190">
        <v>2025</v>
      </c>
      <c r="I730" s="253">
        <v>2</v>
      </c>
      <c r="J730" s="242">
        <v>45723</v>
      </c>
      <c r="K730" s="255">
        <v>0.2</v>
      </c>
      <c r="L730" s="199">
        <v>0.41389999999999999</v>
      </c>
      <c r="M730" s="199">
        <v>0.54320000000000002</v>
      </c>
      <c r="N730" s="199">
        <v>0.1293</v>
      </c>
      <c r="O730" s="199">
        <v>5.1700000000000003E-2</v>
      </c>
      <c r="P730" s="192">
        <v>1</v>
      </c>
      <c r="Q730" s="199">
        <v>0.41389999999999999</v>
      </c>
      <c r="R730" s="210">
        <v>26300</v>
      </c>
      <c r="S730" s="256">
        <v>55300</v>
      </c>
      <c r="T730" s="221">
        <v>452729</v>
      </c>
      <c r="U730" s="237">
        <v>310323.31</v>
      </c>
      <c r="V730" s="296" t="s">
        <v>155</v>
      </c>
      <c r="W730" s="194" t="s">
        <v>177</v>
      </c>
      <c r="X730" s="326">
        <v>3.67</v>
      </c>
      <c r="Y730" s="194" t="s">
        <v>145</v>
      </c>
      <c r="Z730" s="194"/>
      <c r="AA730" s="195"/>
      <c r="AB730" s="195">
        <v>14285.18</v>
      </c>
      <c r="AC730" s="195">
        <v>0</v>
      </c>
      <c r="AD730" s="223">
        <v>257</v>
      </c>
      <c r="AE730" s="190" t="s">
        <v>247</v>
      </c>
    </row>
    <row r="731" spans="1:31" ht="28.5" x14ac:dyDescent="0.2">
      <c r="A731" s="196" t="s">
        <v>110</v>
      </c>
      <c r="B731" s="190" t="s">
        <v>4</v>
      </c>
      <c r="C731" s="194" t="s">
        <v>98</v>
      </c>
      <c r="D731" s="233">
        <v>23590202001</v>
      </c>
      <c r="E731" s="190" t="s">
        <v>42</v>
      </c>
      <c r="F731" s="190" t="s">
        <v>116</v>
      </c>
      <c r="G731" s="190" t="s">
        <v>44</v>
      </c>
      <c r="H731" s="190">
        <v>2025</v>
      </c>
      <c r="I731" s="253">
        <v>2</v>
      </c>
      <c r="J731" s="242">
        <v>45723</v>
      </c>
      <c r="K731" s="255">
        <v>0.4</v>
      </c>
      <c r="L731" s="199"/>
      <c r="M731" s="199"/>
      <c r="N731" s="199"/>
      <c r="O731" s="199"/>
      <c r="P731" s="192"/>
      <c r="Q731" s="199"/>
      <c r="R731" s="210">
        <v>0</v>
      </c>
      <c r="S731" s="256">
        <v>0</v>
      </c>
      <c r="T731" s="221">
        <v>381308</v>
      </c>
      <c r="U731" s="237">
        <v>381309</v>
      </c>
      <c r="V731" s="296"/>
      <c r="W731" s="194"/>
      <c r="X731" s="326"/>
      <c r="Y731" s="194"/>
      <c r="Z731" s="194"/>
      <c r="AA731" s="195"/>
      <c r="AB731" s="195"/>
      <c r="AC731" s="195"/>
      <c r="AD731" s="223"/>
      <c r="AE731" s="230" t="s">
        <v>172</v>
      </c>
    </row>
    <row r="732" spans="1:31" x14ac:dyDescent="0.2">
      <c r="A732" s="196" t="s">
        <v>228</v>
      </c>
      <c r="B732" s="190" t="s">
        <v>3</v>
      </c>
      <c r="C732" s="266" t="s">
        <v>229</v>
      </c>
      <c r="D732" s="233">
        <v>120040670018926</v>
      </c>
      <c r="E732" s="190" t="s">
        <v>42</v>
      </c>
      <c r="F732" s="190" t="s">
        <v>60</v>
      </c>
      <c r="G732" s="190" t="s">
        <v>137</v>
      </c>
      <c r="H732" s="190">
        <v>2025</v>
      </c>
      <c r="I732" s="253">
        <v>2</v>
      </c>
      <c r="J732" s="242">
        <v>45723</v>
      </c>
      <c r="K732" s="255">
        <v>0.3</v>
      </c>
      <c r="L732" s="199">
        <v>0.42570000000000002</v>
      </c>
      <c r="M732" s="199">
        <v>0.42709999999999998</v>
      </c>
      <c r="N732" s="199">
        <v>1.4002579999999999E-3</v>
      </c>
      <c r="O732" s="199">
        <v>4.0000000000000002E-4</v>
      </c>
      <c r="P732" s="192">
        <v>1</v>
      </c>
      <c r="Q732" s="199">
        <v>0.42570000000000002</v>
      </c>
      <c r="R732" s="210">
        <v>0</v>
      </c>
      <c r="S732" s="261">
        <v>11211518</v>
      </c>
      <c r="T732" s="221">
        <v>14000</v>
      </c>
      <c r="U732" s="237">
        <v>-1699.0204000000001</v>
      </c>
      <c r="V732" s="296" t="s">
        <v>138</v>
      </c>
      <c r="W732" s="194" t="s">
        <v>230</v>
      </c>
      <c r="X732" s="326">
        <v>8.3000000000000007</v>
      </c>
      <c r="Y732" s="194" t="s">
        <v>161</v>
      </c>
      <c r="Z732" s="194"/>
      <c r="AA732" s="195" t="s">
        <v>134</v>
      </c>
      <c r="AB732" s="195" t="s">
        <v>134</v>
      </c>
      <c r="AC732" s="195" t="s">
        <v>134</v>
      </c>
      <c r="AD732" s="223" t="s">
        <v>148</v>
      </c>
      <c r="AE732" s="230"/>
    </row>
    <row r="733" spans="1:31" x14ac:dyDescent="0.2">
      <c r="A733" s="196" t="s">
        <v>232</v>
      </c>
      <c r="B733" s="190" t="s">
        <v>3</v>
      </c>
      <c r="C733" s="266" t="s">
        <v>229</v>
      </c>
      <c r="D733" s="233">
        <v>120040670025620</v>
      </c>
      <c r="E733" s="190" t="s">
        <v>42</v>
      </c>
      <c r="F733" s="190" t="s">
        <v>60</v>
      </c>
      <c r="G733" s="190" t="s">
        <v>137</v>
      </c>
      <c r="H733" s="190">
        <v>2025</v>
      </c>
      <c r="I733" s="253">
        <v>2</v>
      </c>
      <c r="J733" s="242">
        <v>45723</v>
      </c>
      <c r="K733" s="255">
        <v>0.3</v>
      </c>
      <c r="L733" s="199">
        <v>0.92</v>
      </c>
      <c r="M733" s="199">
        <v>0.92</v>
      </c>
      <c r="N733" s="199">
        <v>0</v>
      </c>
      <c r="O733" s="199" t="s">
        <v>134</v>
      </c>
      <c r="P733" s="192">
        <v>1</v>
      </c>
      <c r="Q733" s="199">
        <v>0.92</v>
      </c>
      <c r="R733" s="210">
        <v>0</v>
      </c>
      <c r="S733" s="261">
        <v>7056954</v>
      </c>
      <c r="T733" s="221"/>
      <c r="U733" s="237" t="s">
        <v>134</v>
      </c>
      <c r="V733" s="296" t="s">
        <v>138</v>
      </c>
      <c r="W733" s="194" t="s">
        <v>230</v>
      </c>
      <c r="X733" s="326">
        <v>12.43</v>
      </c>
      <c r="Y733" s="194" t="s">
        <v>161</v>
      </c>
      <c r="Z733" s="194"/>
      <c r="AA733" s="195" t="s">
        <v>134</v>
      </c>
      <c r="AB733" s="195" t="s">
        <v>134</v>
      </c>
      <c r="AC733" s="195" t="s">
        <v>134</v>
      </c>
      <c r="AD733" s="223" t="s">
        <v>148</v>
      </c>
      <c r="AE733" s="230"/>
    </row>
    <row r="734" spans="1:31" x14ac:dyDescent="0.2">
      <c r="A734" s="196" t="s">
        <v>233</v>
      </c>
      <c r="B734" s="190" t="s">
        <v>3</v>
      </c>
      <c r="C734" s="266" t="s">
        <v>229</v>
      </c>
      <c r="D734" s="233">
        <v>120040670017654</v>
      </c>
      <c r="E734" s="190" t="s">
        <v>42</v>
      </c>
      <c r="F734" s="190" t="s">
        <v>60</v>
      </c>
      <c r="G734" s="190" t="s">
        <v>137</v>
      </c>
      <c r="H734" s="190">
        <v>2025</v>
      </c>
      <c r="I734" s="253">
        <v>2</v>
      </c>
      <c r="J734" s="242">
        <v>45723</v>
      </c>
      <c r="K734" s="255">
        <v>0.3</v>
      </c>
      <c r="L734" s="199">
        <v>0.34649999999999997</v>
      </c>
      <c r="M734" s="199">
        <v>0.34739999999999999</v>
      </c>
      <c r="N734" s="199">
        <v>8.9999999999999998E-4</v>
      </c>
      <c r="O734" s="199">
        <v>2.9999999999999997E-4</v>
      </c>
      <c r="P734" s="192">
        <v>1</v>
      </c>
      <c r="Q734" s="199">
        <v>0.34649999999999997</v>
      </c>
      <c r="R734" s="210">
        <v>515088</v>
      </c>
      <c r="S734" s="262">
        <v>742646</v>
      </c>
      <c r="T734" s="221">
        <v>111000</v>
      </c>
      <c r="U734" s="141">
        <v>110343.87</v>
      </c>
      <c r="V734" s="296" t="s">
        <v>138</v>
      </c>
      <c r="W734" s="194" t="s">
        <v>230</v>
      </c>
      <c r="X734" s="326">
        <v>7.2</v>
      </c>
      <c r="Y734" s="194" t="s">
        <v>161</v>
      </c>
      <c r="Z734" s="194"/>
      <c r="AA734" s="195">
        <v>0</v>
      </c>
      <c r="AB734" s="195">
        <v>178941.57</v>
      </c>
      <c r="AC734" s="195">
        <v>0</v>
      </c>
      <c r="AD734" s="223">
        <v>3709</v>
      </c>
      <c r="AE734" s="190"/>
    </row>
    <row r="735" spans="1:31" x14ac:dyDescent="0.2">
      <c r="A735" s="196" t="s">
        <v>163</v>
      </c>
      <c r="B735" s="190" t="s">
        <v>2</v>
      </c>
      <c r="C735" s="194" t="s">
        <v>234</v>
      </c>
      <c r="D735" s="233">
        <v>130020390000222</v>
      </c>
      <c r="E735" s="190" t="s">
        <v>42</v>
      </c>
      <c r="F735" s="190" t="s">
        <v>60</v>
      </c>
      <c r="G735" s="190" t="s">
        <v>44</v>
      </c>
      <c r="H735" s="190">
        <v>2025</v>
      </c>
      <c r="I735" s="253">
        <v>2</v>
      </c>
      <c r="J735" s="242">
        <v>45723</v>
      </c>
      <c r="K735" s="255">
        <v>0.5</v>
      </c>
      <c r="L735" s="199">
        <v>0.42270000000000002</v>
      </c>
      <c r="M735" s="199">
        <v>0.42270000000000002</v>
      </c>
      <c r="N735" s="199">
        <v>0</v>
      </c>
      <c r="O735" s="199">
        <v>0</v>
      </c>
      <c r="P735" s="192">
        <v>1</v>
      </c>
      <c r="Q735" s="199">
        <v>0.25</v>
      </c>
      <c r="R735" s="210">
        <v>0</v>
      </c>
      <c r="S735" s="256">
        <v>14108401</v>
      </c>
      <c r="T735" s="221">
        <v>600000</v>
      </c>
      <c r="U735" s="141">
        <v>0</v>
      </c>
      <c r="V735" s="296" t="s">
        <v>151</v>
      </c>
      <c r="W735" s="194" t="s">
        <v>177</v>
      </c>
      <c r="X735" s="326">
        <v>2.09</v>
      </c>
      <c r="Y735" s="194" t="s">
        <v>71</v>
      </c>
      <c r="Z735" s="194"/>
      <c r="AA735" s="195">
        <v>0</v>
      </c>
      <c r="AB735" s="195">
        <v>0</v>
      </c>
      <c r="AC735" s="195">
        <v>0</v>
      </c>
      <c r="AD735" s="223">
        <v>0</v>
      </c>
      <c r="AE735" s="190"/>
    </row>
    <row r="736" spans="1:31" x14ac:dyDescent="0.2">
      <c r="A736" s="196" t="s">
        <v>124</v>
      </c>
      <c r="B736" s="190" t="s">
        <v>1</v>
      </c>
      <c r="C736" s="194" t="s">
        <v>84</v>
      </c>
      <c r="D736" s="233">
        <v>130010390000214</v>
      </c>
      <c r="E736" s="190" t="s">
        <v>42</v>
      </c>
      <c r="F736" s="190" t="s">
        <v>60</v>
      </c>
      <c r="G736" s="190" t="s">
        <v>44</v>
      </c>
      <c r="H736" s="190">
        <v>2025</v>
      </c>
      <c r="I736" s="253">
        <v>2</v>
      </c>
      <c r="J736" s="242">
        <v>45723</v>
      </c>
      <c r="K736" s="255">
        <v>0.5</v>
      </c>
      <c r="L736" s="199">
        <v>0.25380000000000003</v>
      </c>
      <c r="M736" s="199">
        <v>0.28599999999999998</v>
      </c>
      <c r="N736" s="199">
        <v>3.2199999999999999E-2</v>
      </c>
      <c r="O736" s="199">
        <v>1.61E-2</v>
      </c>
      <c r="P736" s="192">
        <v>1</v>
      </c>
      <c r="Q736" s="199">
        <v>0.25</v>
      </c>
      <c r="R736" s="210">
        <v>14494200</v>
      </c>
      <c r="S736" s="256">
        <v>515515354</v>
      </c>
      <c r="T736" s="221">
        <v>24767520.960000001</v>
      </c>
      <c r="U736" s="141">
        <v>-5751616.1900000004</v>
      </c>
      <c r="V736" s="296" t="s">
        <v>151</v>
      </c>
      <c r="W736" s="194" t="s">
        <v>176</v>
      </c>
      <c r="X736" s="326">
        <v>2.09</v>
      </c>
      <c r="Y736" s="194" t="s">
        <v>142</v>
      </c>
      <c r="Z736" s="194"/>
      <c r="AA736" s="195">
        <v>0</v>
      </c>
      <c r="AB736" s="195">
        <v>4145341.2</v>
      </c>
      <c r="AC736" s="195">
        <v>0</v>
      </c>
      <c r="AD736" s="223">
        <v>30293</v>
      </c>
      <c r="AE736" s="190" t="s">
        <v>125</v>
      </c>
    </row>
    <row r="737" spans="1:31" x14ac:dyDescent="0.2">
      <c r="A737" s="196" t="s">
        <v>124</v>
      </c>
      <c r="B737" s="190" t="s">
        <v>1</v>
      </c>
      <c r="C737" s="194" t="s">
        <v>126</v>
      </c>
      <c r="D737" s="233">
        <v>130010390000215</v>
      </c>
      <c r="E737" s="190" t="s">
        <v>42</v>
      </c>
      <c r="F737" s="190" t="s">
        <v>60</v>
      </c>
      <c r="G737" s="190" t="s">
        <v>44</v>
      </c>
      <c r="H737" s="190">
        <v>2025</v>
      </c>
      <c r="I737" s="253">
        <v>2</v>
      </c>
      <c r="J737" s="242">
        <v>45723</v>
      </c>
      <c r="K737" s="255">
        <v>0.5</v>
      </c>
      <c r="L737" s="199">
        <v>7.6499999999999999E-2</v>
      </c>
      <c r="M737" s="199">
        <v>8.9399999999999993E-2</v>
      </c>
      <c r="N737" s="199">
        <v>1.29E-2</v>
      </c>
      <c r="O737" s="199">
        <v>6.4000000000000003E-3</v>
      </c>
      <c r="P737" s="192">
        <v>1</v>
      </c>
      <c r="Q737" s="199">
        <v>0.08</v>
      </c>
      <c r="R737" s="210">
        <v>14640000</v>
      </c>
      <c r="S737" s="256">
        <v>527178534</v>
      </c>
      <c r="T737" s="221">
        <v>10280498.43</v>
      </c>
      <c r="U737" s="141">
        <v>-1801376.29</v>
      </c>
      <c r="V737" s="296" t="s">
        <v>151</v>
      </c>
      <c r="W737" s="194" t="s">
        <v>176</v>
      </c>
      <c r="X737" s="326">
        <v>0.31</v>
      </c>
      <c r="Y737" s="194" t="s">
        <v>142</v>
      </c>
      <c r="Z737" s="194"/>
      <c r="AA737" s="195">
        <v>0</v>
      </c>
      <c r="AB737" s="195">
        <v>1308450</v>
      </c>
      <c r="AC737" s="195">
        <v>0</v>
      </c>
      <c r="AD737" s="223">
        <v>4538</v>
      </c>
      <c r="AE737" s="190" t="s">
        <v>125</v>
      </c>
    </row>
    <row r="738" spans="1:31" x14ac:dyDescent="0.2">
      <c r="A738" s="196" t="s">
        <v>124</v>
      </c>
      <c r="B738" s="190" t="s">
        <v>1</v>
      </c>
      <c r="C738" s="268" t="s">
        <v>128</v>
      </c>
      <c r="D738" s="233" t="s">
        <v>129</v>
      </c>
      <c r="E738" s="190" t="s">
        <v>42</v>
      </c>
      <c r="F738" s="190" t="s">
        <v>60</v>
      </c>
      <c r="G738" s="190" t="s">
        <v>44</v>
      </c>
      <c r="H738" s="190">
        <v>2025</v>
      </c>
      <c r="I738" s="253">
        <v>2</v>
      </c>
      <c r="J738" s="242">
        <v>45723</v>
      </c>
      <c r="K738" s="255">
        <v>0.5</v>
      </c>
      <c r="L738" s="199">
        <v>8.5800000000000001E-2</v>
      </c>
      <c r="M738" s="199">
        <v>9.9400000000000002E-2</v>
      </c>
      <c r="N738" s="199">
        <v>1.3599999999999999E-2</v>
      </c>
      <c r="O738" s="199">
        <v>6.7999999999999996E-3</v>
      </c>
      <c r="P738" s="192">
        <v>1</v>
      </c>
      <c r="Q738" s="199">
        <v>0.09</v>
      </c>
      <c r="R738" s="210">
        <v>14688000</v>
      </c>
      <c r="S738" s="256">
        <v>535376511</v>
      </c>
      <c r="T738" s="221">
        <v>10334790.199999999</v>
      </c>
      <c r="U738" s="141">
        <v>-1928036.98</v>
      </c>
      <c r="V738" s="296" t="s">
        <v>151</v>
      </c>
      <c r="W738" s="194" t="s">
        <v>176</v>
      </c>
      <c r="X738" s="326">
        <v>0.5</v>
      </c>
      <c r="Y738" s="194" t="s">
        <v>142</v>
      </c>
      <c r="Z738" s="194"/>
      <c r="AA738" s="195">
        <v>0</v>
      </c>
      <c r="AB738" s="195">
        <v>1459766.88</v>
      </c>
      <c r="AC738" s="195">
        <v>0</v>
      </c>
      <c r="AD738" s="223">
        <v>7344</v>
      </c>
      <c r="AE738" s="190" t="s">
        <v>125</v>
      </c>
    </row>
    <row r="739" spans="1:31" x14ac:dyDescent="0.2">
      <c r="A739" s="196" t="s">
        <v>124</v>
      </c>
      <c r="B739" s="190" t="s">
        <v>1</v>
      </c>
      <c r="C739" s="194" t="s">
        <v>130</v>
      </c>
      <c r="D739" s="233">
        <v>130010390000221</v>
      </c>
      <c r="E739" s="190" t="s">
        <v>42</v>
      </c>
      <c r="F739" s="190" t="s">
        <v>60</v>
      </c>
      <c r="G739" s="190" t="s">
        <v>44</v>
      </c>
      <c r="H739" s="190">
        <v>2025</v>
      </c>
      <c r="I739" s="253">
        <v>2</v>
      </c>
      <c r="J739" s="242">
        <v>45723</v>
      </c>
      <c r="K739" s="255">
        <v>0.5</v>
      </c>
      <c r="L739" s="199">
        <v>0.113</v>
      </c>
      <c r="M739" s="199">
        <v>0.11940000000000001</v>
      </c>
      <c r="N739" s="199">
        <v>6.4000000000000003E-3</v>
      </c>
      <c r="O739" s="199">
        <v>3.2000000000000002E-3</v>
      </c>
      <c r="P739" s="192">
        <v>1</v>
      </c>
      <c r="Q739" s="199">
        <v>0.11</v>
      </c>
      <c r="R739" s="210">
        <v>14448000</v>
      </c>
      <c r="S739" s="256">
        <v>532367613</v>
      </c>
      <c r="T739" s="221">
        <v>5210924</v>
      </c>
      <c r="U739" s="141">
        <v>-1946098.71</v>
      </c>
      <c r="V739" s="296" t="s">
        <v>132</v>
      </c>
      <c r="W739" s="194" t="s">
        <v>177</v>
      </c>
      <c r="X739" s="326">
        <v>1.29</v>
      </c>
      <c r="Y739" s="194" t="s">
        <v>133</v>
      </c>
      <c r="Z739" s="194"/>
      <c r="AA739" s="195">
        <v>0</v>
      </c>
      <c r="AB739" s="195">
        <v>1725163.44</v>
      </c>
      <c r="AC739" s="195">
        <v>0</v>
      </c>
      <c r="AD739" s="223">
        <v>18638</v>
      </c>
      <c r="AE739" s="190" t="s">
        <v>125</v>
      </c>
    </row>
    <row r="740" spans="1:31" x14ac:dyDescent="0.2">
      <c r="A740" s="196" t="s">
        <v>124</v>
      </c>
      <c r="B740" s="190" t="s">
        <v>1</v>
      </c>
      <c r="C740" s="194" t="s">
        <v>84</v>
      </c>
      <c r="D740" s="233">
        <v>130010390000214</v>
      </c>
      <c r="E740" s="190" t="s">
        <v>42</v>
      </c>
      <c r="F740" s="190" t="s">
        <v>60</v>
      </c>
      <c r="G740" s="190" t="s">
        <v>44</v>
      </c>
      <c r="H740" s="190">
        <v>2025</v>
      </c>
      <c r="I740" s="253">
        <v>2</v>
      </c>
      <c r="J740" s="242">
        <v>45723</v>
      </c>
      <c r="K740" s="255">
        <v>0.5</v>
      </c>
      <c r="L740" s="199">
        <v>0.25</v>
      </c>
      <c r="M740" s="199">
        <v>0.28000000000000003</v>
      </c>
      <c r="N740" s="199">
        <v>0.03</v>
      </c>
      <c r="O740" s="199">
        <v>1.4999999999999999E-2</v>
      </c>
      <c r="P740" s="192">
        <v>1</v>
      </c>
      <c r="Q740" s="199">
        <v>0.25</v>
      </c>
      <c r="R740" s="210">
        <v>0</v>
      </c>
      <c r="S740" s="256">
        <v>0</v>
      </c>
      <c r="T740" s="221">
        <v>7349092.6100000003</v>
      </c>
      <c r="U740" s="141">
        <v>7349092.6100000003</v>
      </c>
      <c r="V740" s="296" t="s">
        <v>151</v>
      </c>
      <c r="W740" s="194" t="s">
        <v>176</v>
      </c>
      <c r="X740" s="326">
        <v>2.09</v>
      </c>
      <c r="Y740" s="194" t="s">
        <v>142</v>
      </c>
      <c r="Z740" s="194"/>
      <c r="AA740" s="195">
        <v>0</v>
      </c>
      <c r="AB740" s="195">
        <v>0</v>
      </c>
      <c r="AC740" s="195">
        <v>0</v>
      </c>
      <c r="AD740" s="223" t="s">
        <v>148</v>
      </c>
      <c r="AE740" s="190" t="s">
        <v>173</v>
      </c>
    </row>
    <row r="741" spans="1:31" x14ac:dyDescent="0.2">
      <c r="A741" s="196" t="s">
        <v>124</v>
      </c>
      <c r="B741" s="190" t="s">
        <v>1</v>
      </c>
      <c r="C741" s="194" t="s">
        <v>126</v>
      </c>
      <c r="D741" s="233">
        <v>130010390000215</v>
      </c>
      <c r="E741" s="190" t="s">
        <v>42</v>
      </c>
      <c r="F741" s="190" t="s">
        <v>60</v>
      </c>
      <c r="G741" s="190" t="s">
        <v>44</v>
      </c>
      <c r="H741" s="190">
        <v>2025</v>
      </c>
      <c r="I741" s="253">
        <v>2</v>
      </c>
      <c r="J741" s="242">
        <v>45723</v>
      </c>
      <c r="K741" s="255">
        <v>0.5</v>
      </c>
      <c r="L741" s="199">
        <v>0.08</v>
      </c>
      <c r="M741" s="199">
        <v>0.09</v>
      </c>
      <c r="N741" s="199">
        <v>0.02</v>
      </c>
      <c r="O741" s="199">
        <v>0.01</v>
      </c>
      <c r="P741" s="192">
        <v>1</v>
      </c>
      <c r="Q741" s="199">
        <v>0.08</v>
      </c>
      <c r="R741" s="210">
        <v>0</v>
      </c>
      <c r="S741" s="256">
        <v>0</v>
      </c>
      <c r="T741" s="221">
        <v>3669841.38</v>
      </c>
      <c r="U741" s="141">
        <v>3669841.38</v>
      </c>
      <c r="V741" s="296" t="s">
        <v>151</v>
      </c>
      <c r="W741" s="194" t="s">
        <v>176</v>
      </c>
      <c r="X741" s="326">
        <v>0.31</v>
      </c>
      <c r="Y741" s="194" t="s">
        <v>142</v>
      </c>
      <c r="Z741" s="194"/>
      <c r="AA741" s="195">
        <v>0</v>
      </c>
      <c r="AB741" s="195">
        <v>0</v>
      </c>
      <c r="AC741" s="195">
        <v>0</v>
      </c>
      <c r="AD741" s="223" t="s">
        <v>148</v>
      </c>
      <c r="AE741" s="190" t="s">
        <v>173</v>
      </c>
    </row>
    <row r="742" spans="1:31" x14ac:dyDescent="0.2">
      <c r="A742" s="196" t="s">
        <v>124</v>
      </c>
      <c r="B742" s="190" t="s">
        <v>1</v>
      </c>
      <c r="C742" s="268" t="s">
        <v>128</v>
      </c>
      <c r="D742" s="233">
        <v>130010390000216</v>
      </c>
      <c r="E742" s="190" t="s">
        <v>42</v>
      </c>
      <c r="F742" s="190" t="s">
        <v>60</v>
      </c>
      <c r="G742" s="190" t="s">
        <v>44</v>
      </c>
      <c r="H742" s="190">
        <v>2025</v>
      </c>
      <c r="I742" s="253">
        <v>2</v>
      </c>
      <c r="J742" s="242">
        <v>45723</v>
      </c>
      <c r="K742" s="255">
        <v>0.5</v>
      </c>
      <c r="L742" s="199">
        <v>0.09</v>
      </c>
      <c r="M742" s="199">
        <v>0.1</v>
      </c>
      <c r="N742" s="199">
        <v>0.02</v>
      </c>
      <c r="O742" s="199">
        <v>0.01</v>
      </c>
      <c r="P742" s="192">
        <v>1</v>
      </c>
      <c r="Q742" s="199">
        <v>0.09</v>
      </c>
      <c r="R742" s="210">
        <v>0</v>
      </c>
      <c r="S742" s="256">
        <v>0</v>
      </c>
      <c r="T742" s="221">
        <v>3669841.38</v>
      </c>
      <c r="U742" s="141">
        <v>3669841.38</v>
      </c>
      <c r="V742" s="296" t="s">
        <v>151</v>
      </c>
      <c r="W742" s="194" t="s">
        <v>176</v>
      </c>
      <c r="X742" s="326">
        <v>0.5</v>
      </c>
      <c r="Y742" s="194" t="s">
        <v>142</v>
      </c>
      <c r="Z742" s="194"/>
      <c r="AA742" s="195">
        <v>0</v>
      </c>
      <c r="AB742" s="195">
        <v>0</v>
      </c>
      <c r="AC742" s="195">
        <v>0</v>
      </c>
      <c r="AD742" s="223" t="s">
        <v>148</v>
      </c>
      <c r="AE742" s="190" t="s">
        <v>173</v>
      </c>
    </row>
    <row r="743" spans="1:31" x14ac:dyDescent="0.2">
      <c r="A743" s="196" t="s">
        <v>124</v>
      </c>
      <c r="B743" s="190" t="s">
        <v>1</v>
      </c>
      <c r="C743" s="194" t="s">
        <v>130</v>
      </c>
      <c r="D743" s="233">
        <v>130010390000221</v>
      </c>
      <c r="E743" s="190" t="s">
        <v>42</v>
      </c>
      <c r="F743" s="190" t="s">
        <v>60</v>
      </c>
      <c r="G743" s="190" t="s">
        <v>44</v>
      </c>
      <c r="H743" s="190">
        <v>2025</v>
      </c>
      <c r="I743" s="253">
        <v>2</v>
      </c>
      <c r="J743" s="242">
        <v>45723</v>
      </c>
      <c r="K743" s="255">
        <v>0.5</v>
      </c>
      <c r="L743" s="199">
        <v>0.11</v>
      </c>
      <c r="M743" s="199">
        <v>0.13</v>
      </c>
      <c r="N743" s="199">
        <v>0.01</v>
      </c>
      <c r="O743" s="199">
        <v>5.0000000000000001E-3</v>
      </c>
      <c r="P743" s="192">
        <v>1</v>
      </c>
      <c r="Q743" s="199">
        <v>0.11</v>
      </c>
      <c r="R743" s="210">
        <v>0</v>
      </c>
      <c r="S743" s="256">
        <v>0</v>
      </c>
      <c r="T743" s="221">
        <v>2493610.17</v>
      </c>
      <c r="U743" s="141">
        <v>2493610.17</v>
      </c>
      <c r="V743" s="296" t="s">
        <v>132</v>
      </c>
      <c r="W743" s="194" t="s">
        <v>177</v>
      </c>
      <c r="X743" s="326">
        <v>1.29</v>
      </c>
      <c r="Y743" s="194" t="s">
        <v>133</v>
      </c>
      <c r="Z743" s="194"/>
      <c r="AA743" s="195">
        <v>0</v>
      </c>
      <c r="AB743" s="195">
        <v>0</v>
      </c>
      <c r="AC743" s="195">
        <v>0</v>
      </c>
      <c r="AD743" s="223" t="s">
        <v>148</v>
      </c>
      <c r="AE743" s="190" t="s">
        <v>173</v>
      </c>
    </row>
    <row r="744" spans="1:31" s="283" customFormat="1" x14ac:dyDescent="0.2">
      <c r="A744" s="269" t="s">
        <v>235</v>
      </c>
      <c r="B744" s="270" t="s">
        <v>4</v>
      </c>
      <c r="C744" s="268" t="s">
        <v>236</v>
      </c>
      <c r="D744" s="271">
        <v>120020670059452</v>
      </c>
      <c r="E744" s="270" t="s">
        <v>42</v>
      </c>
      <c r="F744" s="270" t="s">
        <v>60</v>
      </c>
      <c r="G744" s="270" t="s">
        <v>137</v>
      </c>
      <c r="H744" s="270">
        <v>2025</v>
      </c>
      <c r="I744" s="272">
        <v>2</v>
      </c>
      <c r="J744" s="273">
        <v>45723</v>
      </c>
      <c r="K744" s="274">
        <v>0.5</v>
      </c>
      <c r="L744" s="275">
        <v>24.844000000000001</v>
      </c>
      <c r="M744" s="275">
        <v>25.105</v>
      </c>
      <c r="N744" s="275">
        <v>0.26100000000000001</v>
      </c>
      <c r="O744" s="275">
        <v>0.1305</v>
      </c>
      <c r="P744" s="276">
        <v>1</v>
      </c>
      <c r="Q744" s="275">
        <v>24.844000000000001</v>
      </c>
      <c r="R744" s="277"/>
      <c r="S744" s="278">
        <v>0</v>
      </c>
      <c r="T744" s="279">
        <v>776500</v>
      </c>
      <c r="U744" s="280">
        <v>776500</v>
      </c>
      <c r="V744" s="297" t="s">
        <v>238</v>
      </c>
      <c r="W744" s="268" t="s">
        <v>177</v>
      </c>
      <c r="X744" s="327">
        <v>19.760000000000002</v>
      </c>
      <c r="Y744" s="268" t="s">
        <v>239</v>
      </c>
      <c r="Z744" s="268"/>
      <c r="AA744" s="281">
        <v>11.66</v>
      </c>
      <c r="AB744" s="281">
        <v>0</v>
      </c>
      <c r="AC744" s="281">
        <v>0</v>
      </c>
      <c r="AD744" s="282" t="s">
        <v>148</v>
      </c>
      <c r="AE744" s="270" t="s">
        <v>248</v>
      </c>
    </row>
    <row r="745" spans="1:31" s="283" customFormat="1" x14ac:dyDescent="0.2">
      <c r="A745" s="269" t="s">
        <v>235</v>
      </c>
      <c r="B745" s="270" t="s">
        <v>4</v>
      </c>
      <c r="C745" s="268" t="s">
        <v>236</v>
      </c>
      <c r="D745" s="271">
        <v>120020670075269</v>
      </c>
      <c r="E745" s="270" t="s">
        <v>42</v>
      </c>
      <c r="F745" s="270" t="s">
        <v>60</v>
      </c>
      <c r="G745" s="270" t="s">
        <v>137</v>
      </c>
      <c r="H745" s="270">
        <v>2025</v>
      </c>
      <c r="I745" s="272">
        <v>2</v>
      </c>
      <c r="J745" s="273">
        <v>45723</v>
      </c>
      <c r="K745" s="274">
        <v>0.5</v>
      </c>
      <c r="L745" s="275">
        <v>24.844000000000001</v>
      </c>
      <c r="M745" s="275">
        <v>25.105</v>
      </c>
      <c r="N745" s="275">
        <v>0.26100000000000001</v>
      </c>
      <c r="O745" s="275">
        <v>0.1305</v>
      </c>
      <c r="P745" s="276">
        <v>1</v>
      </c>
      <c r="Q745" s="275">
        <v>24.844000000000001</v>
      </c>
      <c r="R745" s="277"/>
      <c r="S745" s="278">
        <v>0</v>
      </c>
      <c r="T745" s="279"/>
      <c r="U745" s="280"/>
      <c r="V745" s="297" t="s">
        <v>238</v>
      </c>
      <c r="W745" s="268" t="s">
        <v>249</v>
      </c>
      <c r="X745" s="327">
        <v>19.760000000000002</v>
      </c>
      <c r="Y745" s="268" t="s">
        <v>239</v>
      </c>
      <c r="Z745" s="268"/>
      <c r="AA745" s="281">
        <v>11.66</v>
      </c>
      <c r="AB745" s="281">
        <v>0</v>
      </c>
      <c r="AC745" s="281">
        <v>0</v>
      </c>
      <c r="AD745" s="282" t="s">
        <v>148</v>
      </c>
      <c r="AE745" s="270" t="s">
        <v>248</v>
      </c>
    </row>
    <row r="746" spans="1:31" s="283" customFormat="1" x14ac:dyDescent="0.2">
      <c r="A746" s="269" t="s">
        <v>235</v>
      </c>
      <c r="B746" s="270" t="s">
        <v>4</v>
      </c>
      <c r="C746" s="268" t="s">
        <v>236</v>
      </c>
      <c r="D746" s="271">
        <v>120020670100568</v>
      </c>
      <c r="E746" s="270" t="s">
        <v>42</v>
      </c>
      <c r="F746" s="270" t="s">
        <v>60</v>
      </c>
      <c r="G746" s="270" t="s">
        <v>137</v>
      </c>
      <c r="H746" s="270">
        <v>2025</v>
      </c>
      <c r="I746" s="272">
        <v>2</v>
      </c>
      <c r="J746" s="273">
        <v>45723</v>
      </c>
      <c r="K746" s="274">
        <v>0.5</v>
      </c>
      <c r="L746" s="275">
        <v>24.844000000000001</v>
      </c>
      <c r="M746" s="275">
        <v>25.105</v>
      </c>
      <c r="N746" s="275">
        <v>0.26100000000000001</v>
      </c>
      <c r="O746" s="275">
        <v>0.1305</v>
      </c>
      <c r="P746" s="276">
        <v>1</v>
      </c>
      <c r="Q746" s="275">
        <v>24.844000000000001</v>
      </c>
      <c r="R746" s="277"/>
      <c r="S746" s="278">
        <v>0</v>
      </c>
      <c r="T746" s="279"/>
      <c r="U746" s="280"/>
      <c r="V746" s="297" t="s">
        <v>238</v>
      </c>
      <c r="W746" s="268" t="s">
        <v>250</v>
      </c>
      <c r="X746" s="327">
        <v>19.760000000000002</v>
      </c>
      <c r="Y746" s="268" t="s">
        <v>239</v>
      </c>
      <c r="Z746" s="268"/>
      <c r="AA746" s="281">
        <v>11.66</v>
      </c>
      <c r="AB746" s="281">
        <v>0</v>
      </c>
      <c r="AC746" s="281">
        <v>0</v>
      </c>
      <c r="AD746" s="282" t="s">
        <v>148</v>
      </c>
      <c r="AE746" s="270" t="s">
        <v>248</v>
      </c>
    </row>
    <row r="747" spans="1:31" s="283" customFormat="1" x14ac:dyDescent="0.2">
      <c r="A747" s="269" t="s">
        <v>235</v>
      </c>
      <c r="B747" s="270" t="s">
        <v>4</v>
      </c>
      <c r="C747" s="268" t="s">
        <v>236</v>
      </c>
      <c r="D747" s="271">
        <v>120020670100562</v>
      </c>
      <c r="E747" s="270" t="s">
        <v>42</v>
      </c>
      <c r="F747" s="270" t="s">
        <v>60</v>
      </c>
      <c r="G747" s="270" t="s">
        <v>137</v>
      </c>
      <c r="H747" s="270">
        <v>2025</v>
      </c>
      <c r="I747" s="272">
        <v>2</v>
      </c>
      <c r="J747" s="273">
        <v>45723</v>
      </c>
      <c r="K747" s="274">
        <v>0.5</v>
      </c>
      <c r="L747" s="275">
        <v>24.844000000000001</v>
      </c>
      <c r="M747" s="275">
        <v>25.105</v>
      </c>
      <c r="N747" s="275">
        <v>0.26100000000000001</v>
      </c>
      <c r="O747" s="275">
        <v>0.1305</v>
      </c>
      <c r="P747" s="276">
        <v>1</v>
      </c>
      <c r="Q747" s="275">
        <v>24.844000000000001</v>
      </c>
      <c r="R747" s="277"/>
      <c r="S747" s="278">
        <v>0</v>
      </c>
      <c r="T747" s="279"/>
      <c r="U747" s="280"/>
      <c r="V747" s="297" t="s">
        <v>238</v>
      </c>
      <c r="W747" s="268" t="s">
        <v>188</v>
      </c>
      <c r="X747" s="327">
        <v>19.760000000000002</v>
      </c>
      <c r="Y747" s="268" t="s">
        <v>239</v>
      </c>
      <c r="Z747" s="268"/>
      <c r="AA747" s="281">
        <v>11.66</v>
      </c>
      <c r="AB747" s="281">
        <v>0</v>
      </c>
      <c r="AC747" s="281">
        <v>0</v>
      </c>
      <c r="AD747" s="282" t="s">
        <v>148</v>
      </c>
      <c r="AE747" s="270" t="s">
        <v>248</v>
      </c>
    </row>
    <row r="748" spans="1:31" x14ac:dyDescent="0.2">
      <c r="A748" s="196" t="s">
        <v>235</v>
      </c>
      <c r="B748" s="190" t="s">
        <v>4</v>
      </c>
      <c r="C748" s="194" t="s">
        <v>58</v>
      </c>
      <c r="D748" s="233">
        <v>120020670059451</v>
      </c>
      <c r="E748" s="190" t="s">
        <v>42</v>
      </c>
      <c r="F748" s="190" t="s">
        <v>60</v>
      </c>
      <c r="G748" s="190" t="s">
        <v>137</v>
      </c>
      <c r="H748" s="190">
        <v>2025</v>
      </c>
      <c r="I748" s="253">
        <v>2</v>
      </c>
      <c r="J748" s="242">
        <v>45723</v>
      </c>
      <c r="K748" s="255">
        <v>0.5</v>
      </c>
      <c r="L748" s="199">
        <v>20.678999999999998</v>
      </c>
      <c r="M748" s="199">
        <v>20.806999999999999</v>
      </c>
      <c r="N748" s="199">
        <v>0.128</v>
      </c>
      <c r="O748" s="199">
        <v>6.4000000000000001E-2</v>
      </c>
      <c r="P748" s="192">
        <v>1</v>
      </c>
      <c r="Q748" s="199">
        <v>20.678999999999998</v>
      </c>
      <c r="R748" s="210"/>
      <c r="S748" s="256">
        <v>0</v>
      </c>
      <c r="T748" s="221">
        <v>441700</v>
      </c>
      <c r="U748" s="141">
        <v>441700</v>
      </c>
      <c r="V748" s="296" t="s">
        <v>238</v>
      </c>
      <c r="W748" s="194" t="s">
        <v>177</v>
      </c>
      <c r="X748" s="326">
        <v>20.6</v>
      </c>
      <c r="Y748" s="194" t="s">
        <v>241</v>
      </c>
      <c r="Z748" s="194"/>
      <c r="AA748" s="195">
        <v>8.9499999999999993</v>
      </c>
      <c r="AB748" s="195">
        <v>0</v>
      </c>
      <c r="AC748" s="195">
        <v>0</v>
      </c>
      <c r="AD748" s="223" t="s">
        <v>148</v>
      </c>
      <c r="AE748" s="190" t="s">
        <v>248</v>
      </c>
    </row>
    <row r="749" spans="1:31" x14ac:dyDescent="0.2">
      <c r="A749" s="196" t="s">
        <v>235</v>
      </c>
      <c r="B749" s="190" t="s">
        <v>4</v>
      </c>
      <c r="C749" s="194" t="s">
        <v>58</v>
      </c>
      <c r="D749" s="233">
        <v>120020670074687</v>
      </c>
      <c r="E749" s="190" t="s">
        <v>42</v>
      </c>
      <c r="F749" s="190" t="s">
        <v>60</v>
      </c>
      <c r="G749" s="190" t="s">
        <v>137</v>
      </c>
      <c r="H749" s="190">
        <v>2025</v>
      </c>
      <c r="I749" s="253">
        <v>2</v>
      </c>
      <c r="J749" s="242">
        <v>45723</v>
      </c>
      <c r="K749" s="255">
        <v>0.5</v>
      </c>
      <c r="L749" s="199">
        <v>20.678999999999998</v>
      </c>
      <c r="M749" s="199">
        <v>20.806999999999999</v>
      </c>
      <c r="N749" s="199">
        <v>0.128</v>
      </c>
      <c r="O749" s="199">
        <v>6.4000000000000001E-2</v>
      </c>
      <c r="P749" s="192">
        <v>1</v>
      </c>
      <c r="Q749" s="199">
        <v>20.678999999999998</v>
      </c>
      <c r="R749" s="210"/>
      <c r="S749" s="256">
        <v>0</v>
      </c>
      <c r="T749" s="221"/>
      <c r="U749" s="141"/>
      <c r="V749" s="296" t="s">
        <v>238</v>
      </c>
      <c r="W749" s="194" t="s">
        <v>249</v>
      </c>
      <c r="X749" s="326">
        <v>20.6</v>
      </c>
      <c r="Y749" s="194" t="s">
        <v>241</v>
      </c>
      <c r="Z749" s="194"/>
      <c r="AA749" s="195">
        <v>8.9499999999999993</v>
      </c>
      <c r="AB749" s="195">
        <v>0</v>
      </c>
      <c r="AC749" s="195">
        <v>0</v>
      </c>
      <c r="AD749" s="223" t="s">
        <v>148</v>
      </c>
      <c r="AE749" s="190" t="s">
        <v>248</v>
      </c>
    </row>
    <row r="750" spans="1:31" x14ac:dyDescent="0.2">
      <c r="A750" s="196" t="s">
        <v>235</v>
      </c>
      <c r="B750" s="190" t="s">
        <v>4</v>
      </c>
      <c r="C750" s="194" t="s">
        <v>58</v>
      </c>
      <c r="D750" s="233">
        <v>120020670100487</v>
      </c>
      <c r="E750" s="190" t="s">
        <v>42</v>
      </c>
      <c r="F750" s="190" t="s">
        <v>60</v>
      </c>
      <c r="G750" s="190" t="s">
        <v>137</v>
      </c>
      <c r="H750" s="190">
        <v>2025</v>
      </c>
      <c r="I750" s="253">
        <v>2</v>
      </c>
      <c r="J750" s="242">
        <v>45723</v>
      </c>
      <c r="K750" s="255">
        <v>0.5</v>
      </c>
      <c r="L750" s="199">
        <v>20.678999999999998</v>
      </c>
      <c r="M750" s="199">
        <v>20.806999999999999</v>
      </c>
      <c r="N750" s="199">
        <v>0.128</v>
      </c>
      <c r="O750" s="199">
        <v>6.4000000000000001E-2</v>
      </c>
      <c r="P750" s="192">
        <v>1</v>
      </c>
      <c r="Q750" s="199">
        <v>20.678999999999998</v>
      </c>
      <c r="R750" s="210"/>
      <c r="S750" s="256">
        <v>0</v>
      </c>
      <c r="T750" s="221"/>
      <c r="U750" s="141"/>
      <c r="V750" s="296" t="s">
        <v>238</v>
      </c>
      <c r="W750" s="194" t="s">
        <v>250</v>
      </c>
      <c r="X750" s="326">
        <v>20.6</v>
      </c>
      <c r="Y750" s="194" t="s">
        <v>241</v>
      </c>
      <c r="Z750" s="194"/>
      <c r="AA750" s="195">
        <v>8.9499999999999993</v>
      </c>
      <c r="AB750" s="195">
        <v>0</v>
      </c>
      <c r="AC750" s="195">
        <v>0</v>
      </c>
      <c r="AD750" s="223" t="s">
        <v>148</v>
      </c>
      <c r="AE750" s="190" t="s">
        <v>248</v>
      </c>
    </row>
    <row r="751" spans="1:31" x14ac:dyDescent="0.2">
      <c r="A751" s="196" t="s">
        <v>235</v>
      </c>
      <c r="B751" s="190" t="s">
        <v>4</v>
      </c>
      <c r="C751" s="194" t="s">
        <v>58</v>
      </c>
      <c r="D751" s="233">
        <v>120020670100483</v>
      </c>
      <c r="E751" s="190" t="s">
        <v>42</v>
      </c>
      <c r="F751" s="190" t="s">
        <v>60</v>
      </c>
      <c r="G751" s="190" t="s">
        <v>137</v>
      </c>
      <c r="H751" s="190">
        <v>2025</v>
      </c>
      <c r="I751" s="253">
        <v>2</v>
      </c>
      <c r="J751" s="242">
        <v>45723</v>
      </c>
      <c r="K751" s="255">
        <v>0.5</v>
      </c>
      <c r="L751" s="199">
        <v>20.678999999999998</v>
      </c>
      <c r="M751" s="199">
        <v>20.806999999999999</v>
      </c>
      <c r="N751" s="199">
        <v>0.128</v>
      </c>
      <c r="O751" s="199">
        <v>6.4000000000000001E-2</v>
      </c>
      <c r="P751" s="192">
        <v>1</v>
      </c>
      <c r="Q751" s="199">
        <v>20.678999999999998</v>
      </c>
      <c r="R751" s="210"/>
      <c r="S751" s="256">
        <v>0</v>
      </c>
      <c r="T751" s="221"/>
      <c r="U751" s="141"/>
      <c r="V751" s="296" t="s">
        <v>238</v>
      </c>
      <c r="W751" s="194" t="s">
        <v>188</v>
      </c>
      <c r="X751" s="326">
        <v>20.6</v>
      </c>
      <c r="Y751" s="194" t="s">
        <v>241</v>
      </c>
      <c r="Z751" s="194"/>
      <c r="AA751" s="195">
        <v>8.9499999999999993</v>
      </c>
      <c r="AB751" s="195">
        <v>0</v>
      </c>
      <c r="AC751" s="195">
        <v>0</v>
      </c>
      <c r="AD751" s="223" t="s">
        <v>148</v>
      </c>
      <c r="AE751" s="190" t="s">
        <v>248</v>
      </c>
    </row>
    <row r="752" spans="1:31" x14ac:dyDescent="0.2">
      <c r="A752" s="196" t="s">
        <v>235</v>
      </c>
      <c r="B752" s="190" t="s">
        <v>4</v>
      </c>
      <c r="C752" s="194" t="s">
        <v>242</v>
      </c>
      <c r="D752" s="233">
        <v>120020670059261</v>
      </c>
      <c r="E752" s="190" t="s">
        <v>42</v>
      </c>
      <c r="F752" s="190" t="s">
        <v>60</v>
      </c>
      <c r="G752" s="190" t="s">
        <v>137</v>
      </c>
      <c r="H752" s="190">
        <v>2025</v>
      </c>
      <c r="I752" s="253">
        <v>2</v>
      </c>
      <c r="J752" s="242">
        <v>45723</v>
      </c>
      <c r="K752" s="255">
        <v>0.5</v>
      </c>
      <c r="L752" s="199">
        <v>2.44</v>
      </c>
      <c r="M752" s="199">
        <v>2.4569999999999999</v>
      </c>
      <c r="N752" s="199">
        <v>1.7000000000000001E-2</v>
      </c>
      <c r="O752" s="199">
        <v>8.5000000000000006E-3</v>
      </c>
      <c r="P752" s="192">
        <v>1</v>
      </c>
      <c r="Q752" s="199">
        <v>2.44</v>
      </c>
      <c r="R752" s="210"/>
      <c r="S752" s="256">
        <v>0</v>
      </c>
      <c r="T752" s="221">
        <v>51500</v>
      </c>
      <c r="U752" s="141">
        <v>51500</v>
      </c>
      <c r="V752" s="296" t="s">
        <v>238</v>
      </c>
      <c r="W752" s="194" t="s">
        <v>177</v>
      </c>
      <c r="X752" s="326">
        <v>4.01</v>
      </c>
      <c r="Y752" s="194" t="s">
        <v>241</v>
      </c>
      <c r="Z752" s="194"/>
      <c r="AA752" s="195">
        <v>0.11</v>
      </c>
      <c r="AB752" s="195">
        <v>0</v>
      </c>
      <c r="AC752" s="195">
        <v>0</v>
      </c>
      <c r="AD752" s="223" t="s">
        <v>148</v>
      </c>
      <c r="AE752" s="190" t="s">
        <v>248</v>
      </c>
    </row>
    <row r="753" spans="1:31" x14ac:dyDescent="0.2">
      <c r="A753" s="196" t="s">
        <v>235</v>
      </c>
      <c r="B753" s="190" t="s">
        <v>4</v>
      </c>
      <c r="C753" s="194" t="s">
        <v>242</v>
      </c>
      <c r="D753" s="233">
        <v>120020670075217</v>
      </c>
      <c r="E753" s="190" t="s">
        <v>42</v>
      </c>
      <c r="F753" s="190" t="s">
        <v>60</v>
      </c>
      <c r="G753" s="190" t="s">
        <v>137</v>
      </c>
      <c r="H753" s="190">
        <v>2025</v>
      </c>
      <c r="I753" s="253">
        <v>2</v>
      </c>
      <c r="J753" s="242">
        <v>45723</v>
      </c>
      <c r="K753" s="255">
        <v>0.5</v>
      </c>
      <c r="L753" s="199">
        <v>2.44</v>
      </c>
      <c r="M753" s="199">
        <v>2.4569999999999999</v>
      </c>
      <c r="N753" s="199">
        <v>1.7000000000000001E-2</v>
      </c>
      <c r="O753" s="199">
        <v>8.5000000000000006E-3</v>
      </c>
      <c r="P753" s="192">
        <v>1</v>
      </c>
      <c r="Q753" s="199">
        <v>2.44</v>
      </c>
      <c r="R753" s="210"/>
      <c r="S753" s="256">
        <v>0</v>
      </c>
      <c r="T753" s="221"/>
      <c r="U753" s="141"/>
      <c r="V753" s="296" t="s">
        <v>238</v>
      </c>
      <c r="W753" s="194" t="s">
        <v>249</v>
      </c>
      <c r="X753" s="326">
        <v>4.01</v>
      </c>
      <c r="Y753" s="194" t="s">
        <v>241</v>
      </c>
      <c r="Z753" s="194"/>
      <c r="AA753" s="195">
        <v>0.11</v>
      </c>
      <c r="AB753" s="195">
        <v>0</v>
      </c>
      <c r="AC753" s="195">
        <v>0</v>
      </c>
      <c r="AD753" s="223" t="s">
        <v>148</v>
      </c>
      <c r="AE753" s="190" t="s">
        <v>248</v>
      </c>
    </row>
    <row r="754" spans="1:31" x14ac:dyDescent="0.2">
      <c r="A754" s="196" t="s">
        <v>235</v>
      </c>
      <c r="B754" s="190" t="s">
        <v>4</v>
      </c>
      <c r="C754" s="194" t="s">
        <v>242</v>
      </c>
      <c r="D754" s="233">
        <v>120020670101988</v>
      </c>
      <c r="E754" s="190" t="s">
        <v>42</v>
      </c>
      <c r="F754" s="190" t="s">
        <v>60</v>
      </c>
      <c r="G754" s="190" t="s">
        <v>137</v>
      </c>
      <c r="H754" s="190">
        <v>2025</v>
      </c>
      <c r="I754" s="253">
        <v>2</v>
      </c>
      <c r="J754" s="242">
        <v>45723</v>
      </c>
      <c r="K754" s="255">
        <v>0.5</v>
      </c>
      <c r="L754" s="199">
        <v>2.44</v>
      </c>
      <c r="M754" s="199">
        <v>2.4569999999999999</v>
      </c>
      <c r="N754" s="199">
        <v>1.7000000000000001E-2</v>
      </c>
      <c r="O754" s="199">
        <v>8.5000000000000006E-3</v>
      </c>
      <c r="P754" s="192">
        <v>1</v>
      </c>
      <c r="Q754" s="199">
        <v>2.44</v>
      </c>
      <c r="R754" s="210"/>
      <c r="S754" s="256">
        <v>0</v>
      </c>
      <c r="T754" s="221"/>
      <c r="U754" s="141"/>
      <c r="V754" s="296" t="s">
        <v>238</v>
      </c>
      <c r="W754" s="194" t="s">
        <v>188</v>
      </c>
      <c r="X754" s="326">
        <v>4.01</v>
      </c>
      <c r="Y754" s="194" t="s">
        <v>241</v>
      </c>
      <c r="Z754" s="194"/>
      <c r="AA754" s="195">
        <v>0.11</v>
      </c>
      <c r="AB754" s="195">
        <v>0</v>
      </c>
      <c r="AC754" s="195">
        <v>0</v>
      </c>
      <c r="AD754" s="223" t="s">
        <v>148</v>
      </c>
      <c r="AE754" s="190" t="s">
        <v>248</v>
      </c>
    </row>
    <row r="755" spans="1:31" x14ac:dyDescent="0.2">
      <c r="A755" s="196" t="s">
        <v>235</v>
      </c>
      <c r="B755" s="190" t="s">
        <v>4</v>
      </c>
      <c r="C755" s="194" t="s">
        <v>242</v>
      </c>
      <c r="D755" s="233">
        <v>120020670101992</v>
      </c>
      <c r="E755" s="190" t="s">
        <v>42</v>
      </c>
      <c r="F755" s="190" t="s">
        <v>60</v>
      </c>
      <c r="G755" s="190" t="s">
        <v>137</v>
      </c>
      <c r="H755" s="190">
        <v>2025</v>
      </c>
      <c r="I755" s="253">
        <v>2</v>
      </c>
      <c r="J755" s="242">
        <v>45723</v>
      </c>
      <c r="K755" s="255">
        <v>0.5</v>
      </c>
      <c r="L755" s="199">
        <v>2.44</v>
      </c>
      <c r="M755" s="199">
        <v>2.4569999999999999</v>
      </c>
      <c r="N755" s="199">
        <v>1.7000000000000001E-2</v>
      </c>
      <c r="O755" s="199">
        <v>8.5000000000000006E-3</v>
      </c>
      <c r="P755" s="192">
        <v>1</v>
      </c>
      <c r="Q755" s="199">
        <v>2.44</v>
      </c>
      <c r="R755" s="210"/>
      <c r="S755" s="256">
        <v>0</v>
      </c>
      <c r="T755" s="221"/>
      <c r="U755" s="141"/>
      <c r="V755" s="296" t="s">
        <v>238</v>
      </c>
      <c r="W755" s="194" t="s">
        <v>250</v>
      </c>
      <c r="X755" s="326">
        <v>4.01</v>
      </c>
      <c r="Y755" s="194" t="s">
        <v>241</v>
      </c>
      <c r="Z755" s="194"/>
      <c r="AA755" s="195">
        <v>0.11</v>
      </c>
      <c r="AB755" s="195">
        <v>0</v>
      </c>
      <c r="AC755" s="195">
        <v>0</v>
      </c>
      <c r="AD755" s="223" t="s">
        <v>148</v>
      </c>
      <c r="AE755" s="190" t="s">
        <v>248</v>
      </c>
    </row>
    <row r="756" spans="1:31" x14ac:dyDescent="0.2">
      <c r="A756" s="196" t="s">
        <v>235</v>
      </c>
      <c r="B756" s="190" t="s">
        <v>4</v>
      </c>
      <c r="C756" s="194" t="s">
        <v>244</v>
      </c>
      <c r="D756" s="233">
        <v>240000090201002</v>
      </c>
      <c r="E756" s="190" t="s">
        <v>42</v>
      </c>
      <c r="F756" s="190" t="s">
        <v>60</v>
      </c>
      <c r="G756" s="190" t="s">
        <v>137</v>
      </c>
      <c r="H756" s="190">
        <v>2025</v>
      </c>
      <c r="I756" s="253">
        <v>2</v>
      </c>
      <c r="J756" s="242">
        <v>45723</v>
      </c>
      <c r="K756" s="255">
        <v>0.5</v>
      </c>
      <c r="L756" s="199">
        <v>2.0219999999999998</v>
      </c>
      <c r="M756" s="199">
        <v>2.0299999999999998</v>
      </c>
      <c r="N756" s="199">
        <v>8.0000000000000002E-3</v>
      </c>
      <c r="O756" s="199">
        <v>4.0000000000000001E-3</v>
      </c>
      <c r="P756" s="192">
        <v>1</v>
      </c>
      <c r="Q756" s="199">
        <v>2.0219999999999998</v>
      </c>
      <c r="R756" s="210"/>
      <c r="S756" s="256">
        <v>0</v>
      </c>
      <c r="T756" s="221">
        <v>26500</v>
      </c>
      <c r="U756" s="141">
        <v>26500</v>
      </c>
      <c r="V756" s="296" t="s">
        <v>238</v>
      </c>
      <c r="W756" s="194" t="s">
        <v>191</v>
      </c>
      <c r="X756" s="326">
        <v>2.7</v>
      </c>
      <c r="Y756" s="194" t="s">
        <v>241</v>
      </c>
      <c r="Z756" s="194"/>
      <c r="AA756" s="195">
        <v>0.17</v>
      </c>
      <c r="AB756" s="195">
        <v>0</v>
      </c>
      <c r="AC756" s="195">
        <v>0</v>
      </c>
      <c r="AD756" s="223" t="s">
        <v>148</v>
      </c>
      <c r="AE756" s="190" t="s">
        <v>248</v>
      </c>
    </row>
    <row r="757" spans="1:31" x14ac:dyDescent="0.2">
      <c r="A757" s="196"/>
      <c r="B757" s="190"/>
      <c r="C757" s="266"/>
      <c r="D757" s="233"/>
      <c r="E757" s="190"/>
      <c r="F757" s="190"/>
      <c r="G757" s="190"/>
      <c r="H757" s="190"/>
      <c r="I757" s="197"/>
      <c r="J757" s="190"/>
      <c r="K757" s="192"/>
      <c r="L757" s="191"/>
      <c r="M757" s="191"/>
      <c r="N757" s="191"/>
      <c r="O757" s="191"/>
      <c r="P757" s="192"/>
      <c r="Q757" s="199"/>
      <c r="R757" s="210"/>
      <c r="S757" s="256"/>
      <c r="T757" s="221"/>
      <c r="U757" s="141"/>
      <c r="V757" s="296"/>
      <c r="W757" s="194"/>
      <c r="X757" s="326"/>
      <c r="Y757" s="194"/>
      <c r="Z757" s="194"/>
      <c r="AA757" s="195"/>
      <c r="AB757" s="195"/>
      <c r="AC757" s="195"/>
      <c r="AD757" s="223"/>
      <c r="AE757" s="190"/>
    </row>
    <row r="758" spans="1:31" x14ac:dyDescent="0.2">
      <c r="A758" s="196"/>
      <c r="B758" s="190"/>
      <c r="C758" s="266"/>
      <c r="D758" s="232"/>
      <c r="E758" s="190"/>
      <c r="F758" s="190"/>
      <c r="G758" s="190"/>
      <c r="H758" s="190"/>
      <c r="I758" s="197"/>
      <c r="J758" s="190"/>
      <c r="K758" s="192"/>
      <c r="L758" s="191"/>
      <c r="M758" s="191"/>
      <c r="N758" s="191"/>
      <c r="O758" s="191"/>
      <c r="P758" s="192"/>
      <c r="Q758" s="199"/>
      <c r="R758" s="210"/>
      <c r="S758" s="256"/>
      <c r="T758" s="222"/>
      <c r="U758" s="191"/>
      <c r="V758" s="296"/>
      <c r="W758" s="194"/>
      <c r="X758" s="326"/>
      <c r="Y758" s="194"/>
      <c r="Z758" s="194"/>
      <c r="AA758" s="195"/>
      <c r="AB758" s="195"/>
      <c r="AC758" s="195"/>
      <c r="AD758" s="223"/>
      <c r="AE758" s="190"/>
    </row>
    <row r="759" spans="1:31" x14ac:dyDescent="0.2">
      <c r="A759" s="196"/>
      <c r="B759" s="190"/>
      <c r="C759" s="266"/>
      <c r="D759" s="232"/>
      <c r="E759" s="190"/>
      <c r="F759" s="190"/>
      <c r="G759" s="190"/>
      <c r="H759" s="190"/>
      <c r="I759" s="197"/>
      <c r="J759" s="190"/>
      <c r="K759" s="192"/>
      <c r="L759" s="191"/>
      <c r="M759" s="191"/>
      <c r="N759" s="191"/>
      <c r="O759" s="191"/>
      <c r="P759" s="192"/>
      <c r="Q759" s="199"/>
      <c r="R759" s="210"/>
      <c r="S759" s="256"/>
      <c r="T759" s="222"/>
      <c r="U759" s="191"/>
      <c r="V759" s="296"/>
      <c r="W759" s="194"/>
      <c r="X759" s="326"/>
      <c r="Y759" s="194"/>
      <c r="Z759" s="194"/>
      <c r="AA759" s="195"/>
      <c r="AB759" s="195"/>
      <c r="AC759" s="195"/>
      <c r="AD759" s="223"/>
      <c r="AE759" s="190"/>
    </row>
    <row r="760" spans="1:31" x14ac:dyDescent="0.2">
      <c r="A760" s="196"/>
      <c r="B760" s="190"/>
      <c r="C760" s="266"/>
      <c r="D760" s="232"/>
      <c r="E760" s="190"/>
      <c r="F760" s="190"/>
      <c r="G760" s="190"/>
      <c r="H760" s="190"/>
      <c r="I760" s="197"/>
      <c r="J760" s="190"/>
      <c r="K760" s="192"/>
      <c r="L760" s="191"/>
      <c r="M760" s="191"/>
      <c r="N760" s="191"/>
      <c r="O760" s="191"/>
      <c r="P760" s="192"/>
      <c r="Q760" s="199"/>
      <c r="R760" s="210"/>
      <c r="S760" s="256"/>
      <c r="T760" s="222"/>
      <c r="U760" s="191"/>
      <c r="V760" s="296"/>
      <c r="W760" s="194"/>
      <c r="X760" s="326"/>
      <c r="Y760" s="194"/>
      <c r="Z760" s="194"/>
      <c r="AA760" s="195"/>
      <c r="AB760" s="195"/>
      <c r="AC760" s="195"/>
      <c r="AD760" s="223"/>
      <c r="AE760" s="190"/>
    </row>
    <row r="761" spans="1:31" x14ac:dyDescent="0.2">
      <c r="A761" s="196"/>
      <c r="B761" s="190"/>
      <c r="C761" s="266"/>
      <c r="D761" s="190"/>
      <c r="E761" s="190"/>
      <c r="F761" s="190"/>
      <c r="G761" s="190"/>
      <c r="H761" s="190"/>
      <c r="I761" s="197"/>
      <c r="J761" s="190"/>
      <c r="K761" s="192"/>
      <c r="L761" s="191"/>
      <c r="M761" s="191"/>
      <c r="N761" s="191"/>
      <c r="O761" s="191"/>
      <c r="P761" s="192"/>
      <c r="Q761" s="199"/>
      <c r="R761" s="210"/>
      <c r="S761" s="256"/>
      <c r="T761" s="222"/>
      <c r="U761" s="191"/>
      <c r="V761" s="296"/>
      <c r="W761" s="194"/>
      <c r="X761" s="326"/>
      <c r="Y761" s="194"/>
      <c r="Z761" s="194"/>
      <c r="AA761" s="195"/>
      <c r="AB761" s="195"/>
      <c r="AC761" s="195"/>
      <c r="AD761" s="223"/>
      <c r="AE761" s="190"/>
    </row>
    <row r="762" spans="1:31" x14ac:dyDescent="0.2">
      <c r="A762" s="196"/>
      <c r="B762" s="190"/>
      <c r="C762" s="266"/>
      <c r="D762" s="190"/>
      <c r="E762" s="190"/>
      <c r="F762" s="190"/>
      <c r="G762" s="190"/>
      <c r="H762" s="190"/>
      <c r="I762" s="197"/>
      <c r="J762" s="190"/>
      <c r="K762" s="192"/>
      <c r="L762" s="191"/>
      <c r="M762" s="191"/>
      <c r="N762" s="191"/>
      <c r="O762" s="191"/>
      <c r="P762" s="192"/>
      <c r="Q762" s="199"/>
      <c r="R762" s="210"/>
      <c r="S762" s="256"/>
      <c r="T762" s="222"/>
      <c r="U762" s="191"/>
      <c r="V762" s="296"/>
      <c r="W762" s="194"/>
      <c r="X762" s="326"/>
      <c r="Y762" s="194"/>
      <c r="Z762" s="194"/>
      <c r="AA762" s="195"/>
      <c r="AB762" s="195"/>
      <c r="AC762" s="195"/>
      <c r="AD762" s="223"/>
      <c r="AE762" s="190"/>
    </row>
    <row r="763" spans="1:31" x14ac:dyDescent="0.2">
      <c r="A763" s="196"/>
      <c r="B763" s="190"/>
      <c r="C763" s="266"/>
      <c r="D763" s="190"/>
      <c r="E763" s="190"/>
      <c r="F763" s="190"/>
      <c r="G763" s="190"/>
      <c r="H763" s="190"/>
      <c r="I763" s="197"/>
      <c r="J763" s="190"/>
      <c r="K763" s="192"/>
      <c r="L763" s="191"/>
      <c r="M763" s="191"/>
      <c r="N763" s="191"/>
      <c r="O763" s="191"/>
      <c r="P763" s="192"/>
      <c r="Q763" s="199"/>
      <c r="R763" s="210"/>
      <c r="S763" s="256"/>
      <c r="T763" s="222"/>
      <c r="U763" s="191"/>
      <c r="V763" s="296"/>
      <c r="W763" s="194"/>
      <c r="X763" s="326"/>
      <c r="Y763" s="194"/>
      <c r="Z763" s="194"/>
      <c r="AA763" s="195"/>
      <c r="AB763" s="195"/>
      <c r="AC763" s="195"/>
      <c r="AD763" s="223"/>
      <c r="AE763" s="190"/>
    </row>
    <row r="764" spans="1:31" x14ac:dyDescent="0.2">
      <c r="A764" s="196"/>
      <c r="B764" s="190"/>
      <c r="C764" s="266"/>
      <c r="D764" s="190"/>
      <c r="E764" s="190"/>
      <c r="F764" s="190"/>
      <c r="G764" s="190"/>
      <c r="H764" s="190"/>
      <c r="I764" s="197"/>
      <c r="J764" s="190"/>
      <c r="K764" s="192"/>
      <c r="L764" s="191"/>
      <c r="M764" s="191"/>
      <c r="N764" s="191"/>
      <c r="O764" s="191"/>
      <c r="P764" s="192"/>
      <c r="Q764" s="199"/>
      <c r="R764" s="210"/>
      <c r="S764" s="256"/>
      <c r="T764" s="222"/>
      <c r="U764" s="191"/>
      <c r="V764" s="296"/>
      <c r="W764" s="194"/>
      <c r="X764" s="326"/>
      <c r="Y764" s="194"/>
      <c r="Z764" s="194"/>
      <c r="AA764" s="195"/>
      <c r="AB764" s="195"/>
      <c r="AC764" s="195"/>
      <c r="AD764" s="223"/>
      <c r="AE764" s="190"/>
    </row>
    <row r="765" spans="1:31" x14ac:dyDescent="0.2">
      <c r="A765" s="196"/>
      <c r="B765" s="190"/>
      <c r="C765" s="266"/>
      <c r="D765" s="190"/>
      <c r="E765" s="190"/>
      <c r="F765" s="190"/>
      <c r="G765" s="190"/>
      <c r="H765" s="190"/>
      <c r="I765" s="197"/>
      <c r="J765" s="190"/>
      <c r="K765" s="192"/>
      <c r="L765" s="191"/>
      <c r="M765" s="191"/>
      <c r="N765" s="191"/>
      <c r="O765" s="191"/>
      <c r="P765" s="192"/>
      <c r="Q765" s="199"/>
      <c r="R765" s="210"/>
      <c r="S765" s="256"/>
      <c r="T765" s="222"/>
      <c r="U765" s="191"/>
      <c r="V765" s="296"/>
      <c r="W765" s="194"/>
      <c r="X765" s="326"/>
      <c r="Y765" s="194"/>
      <c r="Z765" s="194"/>
      <c r="AA765" s="195"/>
      <c r="AB765" s="195"/>
      <c r="AC765" s="195"/>
      <c r="AD765" s="223"/>
      <c r="AE765" s="190"/>
    </row>
    <row r="766" spans="1:31" x14ac:dyDescent="0.2">
      <c r="A766" s="196"/>
      <c r="B766" s="190"/>
      <c r="C766" s="266"/>
      <c r="D766" s="190"/>
      <c r="E766" s="190"/>
      <c r="F766" s="190"/>
      <c r="G766" s="190"/>
      <c r="H766" s="190"/>
      <c r="I766" s="197"/>
      <c r="J766" s="190"/>
      <c r="K766" s="192"/>
      <c r="L766" s="191"/>
      <c r="M766" s="191"/>
      <c r="N766" s="191"/>
      <c r="O766" s="191"/>
      <c r="P766" s="192"/>
      <c r="Q766" s="199"/>
      <c r="R766" s="210"/>
      <c r="S766" s="256"/>
      <c r="T766" s="222"/>
      <c r="U766" s="191"/>
      <c r="V766" s="296"/>
      <c r="W766" s="194"/>
      <c r="X766" s="326"/>
      <c r="Y766" s="194"/>
      <c r="Z766" s="194"/>
      <c r="AA766" s="195"/>
      <c r="AB766" s="195"/>
      <c r="AC766" s="195"/>
      <c r="AD766" s="223"/>
      <c r="AE766" s="190"/>
    </row>
    <row r="767" spans="1:31" x14ac:dyDescent="0.2">
      <c r="A767" s="196"/>
      <c r="B767" s="190"/>
      <c r="C767" s="266"/>
      <c r="D767" s="190"/>
      <c r="E767" s="190"/>
      <c r="F767" s="190"/>
      <c r="G767" s="190"/>
      <c r="H767" s="190"/>
      <c r="I767" s="197"/>
      <c r="J767" s="190"/>
      <c r="K767" s="192"/>
      <c r="L767" s="191"/>
      <c r="M767" s="191"/>
      <c r="N767" s="191"/>
      <c r="O767" s="191"/>
      <c r="P767" s="192"/>
      <c r="Q767" s="199"/>
      <c r="R767" s="210"/>
      <c r="S767" s="256"/>
      <c r="T767" s="222"/>
      <c r="U767" s="191"/>
      <c r="V767" s="296"/>
      <c r="W767" s="194"/>
      <c r="X767" s="326"/>
      <c r="Y767" s="194"/>
      <c r="Z767" s="194"/>
      <c r="AA767" s="195"/>
      <c r="AB767" s="195"/>
      <c r="AC767" s="195"/>
      <c r="AD767" s="223"/>
      <c r="AE767" s="190"/>
    </row>
    <row r="768" spans="1:31" x14ac:dyDescent="0.2">
      <c r="A768" s="196"/>
      <c r="B768" s="190"/>
      <c r="C768" s="266"/>
      <c r="D768" s="190"/>
      <c r="E768" s="190"/>
      <c r="F768" s="190"/>
      <c r="G768" s="190"/>
      <c r="H768" s="190"/>
      <c r="I768" s="197"/>
      <c r="J768" s="190"/>
      <c r="K768" s="192"/>
      <c r="L768" s="191"/>
      <c r="M768" s="191"/>
      <c r="N768" s="191"/>
      <c r="O768" s="191"/>
      <c r="P768" s="192"/>
      <c r="Q768" s="199"/>
      <c r="R768" s="210"/>
      <c r="S768" s="256"/>
      <c r="T768" s="222"/>
      <c r="U768" s="191"/>
      <c r="V768" s="296"/>
      <c r="W768" s="194"/>
      <c r="X768" s="326"/>
      <c r="Y768" s="194"/>
      <c r="Z768" s="194"/>
      <c r="AA768" s="195"/>
      <c r="AB768" s="195"/>
      <c r="AC768" s="195"/>
      <c r="AD768" s="223"/>
      <c r="AE768" s="190"/>
    </row>
    <row r="769" spans="1:31" x14ac:dyDescent="0.2">
      <c r="A769" s="196"/>
      <c r="B769" s="190"/>
      <c r="C769" s="266"/>
      <c r="D769" s="190"/>
      <c r="E769" s="190"/>
      <c r="F769" s="190"/>
      <c r="G769" s="190"/>
      <c r="H769" s="190"/>
      <c r="I769" s="197"/>
      <c r="J769" s="190"/>
      <c r="K769" s="192"/>
      <c r="L769" s="191"/>
      <c r="M769" s="191"/>
      <c r="N769" s="191"/>
      <c r="O769" s="191"/>
      <c r="P769" s="192"/>
      <c r="Q769" s="199"/>
      <c r="R769" s="210"/>
      <c r="S769" s="256"/>
      <c r="T769" s="222"/>
      <c r="U769" s="191"/>
      <c r="V769" s="296"/>
      <c r="W769" s="194"/>
      <c r="X769" s="326"/>
      <c r="Y769" s="194"/>
      <c r="Z769" s="194"/>
      <c r="AA769" s="195"/>
      <c r="AB769" s="195"/>
      <c r="AC769" s="195"/>
      <c r="AD769" s="223"/>
      <c r="AE769" s="190"/>
    </row>
    <row r="770" spans="1:31" x14ac:dyDescent="0.2">
      <c r="A770" s="196"/>
      <c r="B770" s="190"/>
      <c r="C770" s="266"/>
      <c r="D770" s="190"/>
      <c r="E770" s="190"/>
      <c r="F770" s="190"/>
      <c r="G770" s="190"/>
      <c r="H770" s="190"/>
      <c r="I770" s="197"/>
      <c r="J770" s="190"/>
      <c r="K770" s="192"/>
      <c r="L770" s="191"/>
      <c r="M770" s="191"/>
      <c r="N770" s="191"/>
      <c r="O770" s="191"/>
      <c r="P770" s="192"/>
      <c r="Q770" s="199"/>
      <c r="R770" s="210"/>
      <c r="S770" s="256"/>
      <c r="T770" s="222"/>
      <c r="U770" s="191"/>
      <c r="V770" s="296"/>
      <c r="W770" s="194"/>
      <c r="X770" s="326"/>
      <c r="Y770" s="194"/>
      <c r="Z770" s="194"/>
      <c r="AA770" s="195"/>
      <c r="AB770" s="195"/>
      <c r="AC770" s="195"/>
      <c r="AD770" s="223"/>
      <c r="AE770" s="190"/>
    </row>
    <row r="771" spans="1:31" x14ac:dyDescent="0.2">
      <c r="A771" s="196"/>
      <c r="B771" s="190"/>
      <c r="C771" s="266"/>
      <c r="D771" s="190"/>
      <c r="E771" s="190"/>
      <c r="F771" s="190"/>
      <c r="G771" s="190"/>
      <c r="H771" s="190"/>
      <c r="I771" s="197"/>
      <c r="J771" s="190"/>
      <c r="K771" s="192"/>
      <c r="L771" s="191"/>
      <c r="M771" s="191"/>
      <c r="N771" s="191"/>
      <c r="O771" s="191"/>
      <c r="P771" s="192"/>
      <c r="Q771" s="199"/>
      <c r="R771" s="210"/>
      <c r="S771" s="256"/>
      <c r="T771" s="222"/>
      <c r="U771" s="191"/>
      <c r="V771" s="296"/>
      <c r="W771" s="194"/>
      <c r="X771" s="326"/>
      <c r="Y771" s="194"/>
      <c r="Z771" s="194"/>
      <c r="AA771" s="195"/>
      <c r="AB771" s="195"/>
      <c r="AC771" s="195"/>
      <c r="AD771" s="223"/>
      <c r="AE771" s="190"/>
    </row>
    <row r="772" spans="1:31" x14ac:dyDescent="0.2">
      <c r="A772" s="196"/>
      <c r="B772" s="190"/>
      <c r="C772" s="266"/>
      <c r="D772" s="190"/>
      <c r="E772" s="190"/>
      <c r="F772" s="190"/>
      <c r="G772" s="190"/>
      <c r="H772" s="190"/>
      <c r="I772" s="197"/>
      <c r="J772" s="190"/>
      <c r="K772" s="192"/>
      <c r="L772" s="191"/>
      <c r="M772" s="191"/>
      <c r="N772" s="191"/>
      <c r="O772" s="191"/>
      <c r="P772" s="192"/>
      <c r="Q772" s="199"/>
      <c r="R772" s="210"/>
      <c r="S772" s="256"/>
      <c r="T772" s="222"/>
      <c r="U772" s="191"/>
      <c r="V772" s="296"/>
      <c r="W772" s="194"/>
      <c r="X772" s="326"/>
      <c r="Y772" s="194"/>
      <c r="Z772" s="194"/>
      <c r="AA772" s="195"/>
      <c r="AB772" s="195"/>
      <c r="AC772" s="195"/>
      <c r="AD772" s="223"/>
      <c r="AE772" s="190"/>
    </row>
    <row r="773" spans="1:31" x14ac:dyDescent="0.2">
      <c r="Q773" s="199"/>
      <c r="R773" s="210"/>
      <c r="S773" s="256"/>
    </row>
    <row r="774" spans="1:31" x14ac:dyDescent="0.2">
      <c r="Q774" s="199"/>
      <c r="R774" s="210"/>
      <c r="S774" s="256"/>
    </row>
    <row r="775" spans="1:31" x14ac:dyDescent="0.2">
      <c r="Q775" s="199"/>
      <c r="R775" s="210"/>
      <c r="S775" s="256"/>
    </row>
    <row r="776" spans="1:31" x14ac:dyDescent="0.2">
      <c r="Q776" s="199"/>
      <c r="R776" s="210"/>
      <c r="S776" s="256"/>
    </row>
    <row r="777" spans="1:31" x14ac:dyDescent="0.2">
      <c r="Q777" s="199"/>
      <c r="R777" s="210"/>
      <c r="S777" s="256"/>
    </row>
    <row r="778" spans="1:31" x14ac:dyDescent="0.2">
      <c r="Q778" s="199"/>
      <c r="R778" s="210"/>
      <c r="S778" s="256"/>
    </row>
    <row r="779" spans="1:31" x14ac:dyDescent="0.2">
      <c r="Q779" s="199"/>
      <c r="R779" s="210"/>
      <c r="S779" s="256"/>
    </row>
    <row r="780" spans="1:31" x14ac:dyDescent="0.2">
      <c r="Q780" s="199"/>
      <c r="R780" s="210"/>
      <c r="S780" s="256"/>
    </row>
    <row r="781" spans="1:31" x14ac:dyDescent="0.2">
      <c r="Q781" s="199"/>
      <c r="R781" s="210"/>
      <c r="S781" s="256"/>
    </row>
    <row r="782" spans="1:31" x14ac:dyDescent="0.2">
      <c r="Q782" s="199"/>
      <c r="R782" s="210"/>
      <c r="S782" s="256"/>
    </row>
    <row r="783" spans="1:31" x14ac:dyDescent="0.2">
      <c r="Q783" s="199"/>
      <c r="R783" s="210"/>
      <c r="S783" s="256"/>
    </row>
    <row r="784" spans="1:31" x14ac:dyDescent="0.2">
      <c r="Q784" s="199"/>
      <c r="R784" s="210"/>
      <c r="S784" s="256"/>
    </row>
    <row r="785" spans="17:19" x14ac:dyDescent="0.2">
      <c r="Q785" s="199"/>
      <c r="R785" s="210"/>
      <c r="S785" s="256"/>
    </row>
    <row r="786" spans="17:19" x14ac:dyDescent="0.2">
      <c r="Q786" s="199"/>
      <c r="R786" s="210"/>
      <c r="S786" s="256"/>
    </row>
    <row r="787" spans="17:19" x14ac:dyDescent="0.2">
      <c r="Q787" s="199"/>
      <c r="R787" s="210"/>
      <c r="S787" s="256"/>
    </row>
    <row r="788" spans="17:19" x14ac:dyDescent="0.2">
      <c r="Q788" s="199"/>
      <c r="R788" s="210"/>
      <c r="S788" s="256"/>
    </row>
    <row r="789" spans="17:19" x14ac:dyDescent="0.2">
      <c r="Q789" s="199"/>
      <c r="R789" s="210"/>
      <c r="S789" s="256"/>
    </row>
    <row r="790" spans="17:19" x14ac:dyDescent="0.2">
      <c r="Q790" s="199"/>
      <c r="R790" s="210"/>
      <c r="S790" s="256"/>
    </row>
    <row r="791" spans="17:19" x14ac:dyDescent="0.2">
      <c r="Q791" s="199"/>
      <c r="R791" s="210"/>
      <c r="S791" s="256"/>
    </row>
    <row r="792" spans="17:19" x14ac:dyDescent="0.2">
      <c r="Q792" s="199"/>
      <c r="R792" s="210"/>
      <c r="S792" s="256"/>
    </row>
  </sheetData>
  <sheetProtection selectLockedCells="1"/>
  <protectedRanges>
    <protectedRange sqref="A4:A53 F128:F138 D128:D138 F144:F154 D144:D154 F160:F170 D160:D170 F176:F186 D176:D186 F192:F202 D192:D202 F208:F218 D208:D218 F224:F234 D224:D234 F240:F250 D240:D250 F256:F266 D256:D266 F272:F282 D272:D282 F389:F399 D389:D399 A437:A445 A386:A408 A119:A376" name="Range1"/>
    <protectedRange sqref="A119:A125 A386" name="Range1_1"/>
    <protectedRange sqref="A54:A118 A377:A385" name="Range1_2"/>
    <protectedRange sqref="U292:U295" name="Range1_3"/>
    <protectedRange sqref="A1" name="Range1_10"/>
    <protectedRange sqref="C638:D641 A638:A641" name="Range1_4"/>
  </protectedRanges>
  <autoFilter ref="A3:AG756"/>
  <phoneticPr fontId="33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Sheet1!#REF!</xm:f>
          </x14:formula1>
          <xm:sqref>D138 F405:F408 F386:F399 F288:F371 F272:F282 F256:F266 F240:F250 F224:F234 F208:F218 F192:F202 F176:F186 F160:F170 F144:F154 F119:F138 D154 D399 D282 D266 D250 D234 D218 D202 D186 D170 G119:G371 G386:G408 H377:H408 H54:H371 I4:I456</xm:sqref>
        </x14:dataValidation>
        <x14:dataValidation type="list" allowBlank="1" showInputMessage="1" showErrorMessage="1">
          <x14:formula1>
            <xm:f>Sheet1!$H$3:$H$6</xm:f>
          </x14:formula1>
          <xm:sqref>Z521 Z507:Z509 Z513 Z495:Z496 Z499 Z4:Z456</xm:sqref>
        </x14:dataValidation>
        <x14:dataValidation type="list" allowBlank="1" showInputMessage="1" showErrorMessage="1">
          <x14:formula1>
            <xm:f>Sheet1!$A$2:$A$64</xm:f>
          </x14:formula1>
          <xm:sqref>A4:A456 A638:A641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331"/>
  <sheetViews>
    <sheetView zoomScale="120" zoomScaleNormal="120" workbookViewId="0">
      <pane xSplit="3" ySplit="3" topLeftCell="D4" activePane="bottomRight" state="frozen"/>
      <selection pane="topRight"/>
      <selection pane="bottomLeft"/>
      <selection pane="bottomRight" activeCell="B26" sqref="B26"/>
    </sheetView>
  </sheetViews>
  <sheetFormatPr defaultColWidth="8.75" defaultRowHeight="14.25" x14ac:dyDescent="0.2"/>
  <cols>
    <col min="1" max="1" width="19.375" style="4" bestFit="1" customWidth="1"/>
    <col min="2" max="2" width="20" style="4" bestFit="1" customWidth="1"/>
    <col min="3" max="3" width="29.25" style="4" bestFit="1" customWidth="1"/>
    <col min="4" max="4" width="19.125" style="307" bestFit="1" customWidth="1"/>
    <col min="5" max="5" width="12.625" style="4" bestFit="1" customWidth="1"/>
    <col min="6" max="6" width="9.125" style="5" bestFit="1" customWidth="1"/>
    <col min="7" max="7" width="11.125" style="5" customWidth="1"/>
    <col min="8" max="8" width="9.875" style="5" bestFit="1" customWidth="1"/>
    <col min="9" max="9" width="20.25" style="6" bestFit="1" customWidth="1"/>
    <col min="10" max="10" width="10.5" style="7" bestFit="1" customWidth="1"/>
    <col min="11" max="11" width="22.5" style="6" bestFit="1" customWidth="1"/>
    <col min="12" max="12" width="20.5" style="6" bestFit="1" customWidth="1"/>
    <col min="13" max="13" width="14.5" style="6" bestFit="1" customWidth="1"/>
    <col min="14" max="14" width="13.125" style="5" bestFit="1" customWidth="1"/>
    <col min="15" max="15" width="15.875" style="4" bestFit="1" customWidth="1"/>
    <col min="16" max="16" width="17.875" style="8" bestFit="1" customWidth="1"/>
    <col min="17" max="17" width="8.875" style="9" bestFit="1" customWidth="1"/>
    <col min="18" max="18" width="18.625" style="8" bestFit="1" customWidth="1"/>
    <col min="19" max="19" width="23" style="4" bestFit="1" customWidth="1"/>
    <col min="20" max="20" width="18.75" style="4" bestFit="1" customWidth="1"/>
    <col min="21" max="21" width="18.625" style="4" bestFit="1" customWidth="1"/>
    <col min="22" max="22" width="35.875" style="4" bestFit="1" customWidth="1"/>
    <col min="23" max="16384" width="8.75" style="4"/>
  </cols>
  <sheetData>
    <row r="1" spans="1:22" ht="18" x14ac:dyDescent="0.25">
      <c r="A1" s="10" t="s">
        <v>251</v>
      </c>
      <c r="B1" s="11" t="s">
        <v>252</v>
      </c>
      <c r="C1" s="11" t="s">
        <v>253</v>
      </c>
      <c r="D1" s="298" t="s">
        <v>254</v>
      </c>
      <c r="E1" s="11" t="s">
        <v>255</v>
      </c>
      <c r="F1" s="11"/>
      <c r="G1" s="209">
        <v>45706</v>
      </c>
    </row>
    <row r="2" spans="1:22" ht="18" x14ac:dyDescent="0.25">
      <c r="A2" s="10" t="s">
        <v>0</v>
      </c>
      <c r="B2" s="11" t="s">
        <v>1</v>
      </c>
      <c r="C2" s="11" t="s">
        <v>2</v>
      </c>
      <c r="D2" s="298" t="s">
        <v>3</v>
      </c>
      <c r="E2" s="11" t="s">
        <v>4</v>
      </c>
      <c r="F2" s="11" t="s">
        <v>5</v>
      </c>
    </row>
    <row r="3" spans="1:22" ht="38.25" customHeight="1" x14ac:dyDescent="0.2">
      <c r="A3" s="12" t="s">
        <v>8</v>
      </c>
      <c r="B3" s="13" t="s">
        <v>9</v>
      </c>
      <c r="C3" s="12" t="s">
        <v>10</v>
      </c>
      <c r="D3" s="299" t="s">
        <v>11</v>
      </c>
      <c r="E3" s="12" t="s">
        <v>12</v>
      </c>
      <c r="F3" s="14" t="s">
        <v>15</v>
      </c>
      <c r="G3" s="14" t="s">
        <v>16</v>
      </c>
      <c r="H3" s="79" t="s">
        <v>256</v>
      </c>
      <c r="I3" s="25" t="s">
        <v>17</v>
      </c>
      <c r="J3" s="26" t="s">
        <v>257</v>
      </c>
      <c r="K3" s="27" t="s">
        <v>258</v>
      </c>
      <c r="L3" s="27" t="s">
        <v>259</v>
      </c>
      <c r="M3" s="27" t="s">
        <v>260</v>
      </c>
      <c r="N3" s="14" t="s">
        <v>251</v>
      </c>
      <c r="O3" s="12" t="s">
        <v>261</v>
      </c>
      <c r="P3" s="28" t="s">
        <v>262</v>
      </c>
      <c r="Q3" s="12" t="s">
        <v>263</v>
      </c>
      <c r="R3" s="28" t="s">
        <v>264</v>
      </c>
      <c r="S3" s="12" t="s">
        <v>265</v>
      </c>
      <c r="T3" s="12" t="s">
        <v>266</v>
      </c>
      <c r="U3" s="12" t="s">
        <v>267</v>
      </c>
      <c r="V3" s="12" t="s">
        <v>38</v>
      </c>
    </row>
    <row r="4" spans="1:22" s="2" customFormat="1" ht="12.75" x14ac:dyDescent="0.2">
      <c r="A4" s="15" t="s">
        <v>268</v>
      </c>
      <c r="B4" s="16" t="str">
        <f>VLOOKUP(A4,Sheet1!A:B,2,0)</f>
        <v>MODI</v>
      </c>
      <c r="C4" s="16" t="s">
        <v>40</v>
      </c>
      <c r="D4" s="300" t="s">
        <v>41</v>
      </c>
      <c r="E4" s="17" t="s">
        <v>42</v>
      </c>
      <c r="F4" s="18">
        <v>2023</v>
      </c>
      <c r="G4" s="15">
        <v>3</v>
      </c>
      <c r="H4" s="15" t="s">
        <v>269</v>
      </c>
      <c r="I4" s="29">
        <v>45590</v>
      </c>
      <c r="J4" s="30">
        <v>32</v>
      </c>
      <c r="K4" s="31">
        <v>1261807.65957447</v>
      </c>
      <c r="L4" s="31">
        <f>K4*Q4</f>
        <v>8832653.6170212906</v>
      </c>
      <c r="M4" s="31">
        <v>1000000</v>
      </c>
      <c r="N4" s="15" t="s">
        <v>254</v>
      </c>
      <c r="O4" s="32">
        <v>45012</v>
      </c>
      <c r="P4" s="33">
        <v>680000</v>
      </c>
      <c r="Q4" s="41">
        <v>7</v>
      </c>
      <c r="R4" s="42">
        <f>P4*Q4</f>
        <v>4760000</v>
      </c>
      <c r="S4" s="43" t="s">
        <v>270</v>
      </c>
      <c r="T4" s="15" t="s">
        <v>271</v>
      </c>
      <c r="U4" s="15" t="s">
        <v>272</v>
      </c>
      <c r="V4" s="15"/>
    </row>
    <row r="5" spans="1:22" s="2" customFormat="1" ht="12.75" x14ac:dyDescent="0.2">
      <c r="A5" s="15" t="s">
        <v>268</v>
      </c>
      <c r="B5" s="16" t="str">
        <f>VLOOKUP(A5,Sheet1!A:B,2,0)</f>
        <v>MODI</v>
      </c>
      <c r="C5" s="16" t="s">
        <v>47</v>
      </c>
      <c r="D5" s="300" t="s">
        <v>48</v>
      </c>
      <c r="E5" s="17" t="s">
        <v>42</v>
      </c>
      <c r="F5" s="18">
        <v>2023</v>
      </c>
      <c r="G5" s="15">
        <v>3</v>
      </c>
      <c r="H5" s="15" t="s">
        <v>269</v>
      </c>
      <c r="I5" s="29">
        <v>45590</v>
      </c>
      <c r="J5" s="30">
        <v>48</v>
      </c>
      <c r="K5" s="34">
        <v>4447872</v>
      </c>
      <c r="L5" s="31">
        <f t="shared" ref="L5:L36" si="0">K5*Q5</f>
        <v>22239360</v>
      </c>
      <c r="M5" s="31">
        <v>1000000</v>
      </c>
      <c r="N5" s="15" t="s">
        <v>254</v>
      </c>
      <c r="O5" s="32">
        <v>45012</v>
      </c>
      <c r="P5" s="33">
        <v>690000</v>
      </c>
      <c r="Q5" s="41">
        <v>5</v>
      </c>
      <c r="R5" s="42">
        <f t="shared" ref="R5:R25" si="1">P5*Q5</f>
        <v>3450000</v>
      </c>
      <c r="S5" s="43" t="s">
        <v>270</v>
      </c>
      <c r="T5" s="15" t="s">
        <v>271</v>
      </c>
      <c r="U5" s="15" t="s">
        <v>272</v>
      </c>
      <c r="V5" s="15"/>
    </row>
    <row r="6" spans="1:22" s="2" customFormat="1" ht="12.75" x14ac:dyDescent="0.2">
      <c r="A6" s="15" t="s">
        <v>268</v>
      </c>
      <c r="B6" s="16" t="str">
        <f>VLOOKUP(A6,Sheet1!A:B,2,0)</f>
        <v>MODI</v>
      </c>
      <c r="C6" s="16" t="s">
        <v>49</v>
      </c>
      <c r="D6" s="300" t="s">
        <v>50</v>
      </c>
      <c r="E6" s="17" t="s">
        <v>42</v>
      </c>
      <c r="F6" s="18">
        <v>2023</v>
      </c>
      <c r="G6" s="15">
        <v>3</v>
      </c>
      <c r="H6" s="15" t="s">
        <v>269</v>
      </c>
      <c r="I6" s="29">
        <v>45590</v>
      </c>
      <c r="J6" s="30">
        <v>48</v>
      </c>
      <c r="K6" s="31">
        <v>2703873.556231</v>
      </c>
      <c r="L6" s="31">
        <f t="shared" si="0"/>
        <v>13519367.781155</v>
      </c>
      <c r="M6" s="31">
        <v>1000000</v>
      </c>
      <c r="N6" s="15" t="s">
        <v>254</v>
      </c>
      <c r="O6" s="32">
        <v>45012</v>
      </c>
      <c r="P6" s="35">
        <v>748000</v>
      </c>
      <c r="Q6" s="41">
        <v>5</v>
      </c>
      <c r="R6" s="42">
        <f t="shared" si="1"/>
        <v>3740000</v>
      </c>
      <c r="S6" s="43" t="s">
        <v>270</v>
      </c>
      <c r="T6" s="15" t="s">
        <v>271</v>
      </c>
      <c r="U6" s="15" t="s">
        <v>272</v>
      </c>
      <c r="V6" s="15"/>
    </row>
    <row r="7" spans="1:22" s="2" customFormat="1" ht="12.75" x14ac:dyDescent="0.2">
      <c r="A7" s="15" t="s">
        <v>268</v>
      </c>
      <c r="B7" s="16" t="str">
        <f>VLOOKUP(A7,Sheet1!A:B,2,0)</f>
        <v>MODI</v>
      </c>
      <c r="C7" s="19" t="s">
        <v>51</v>
      </c>
      <c r="D7" s="300" t="s">
        <v>52</v>
      </c>
      <c r="E7" s="17" t="s">
        <v>42</v>
      </c>
      <c r="F7" s="18">
        <v>2023</v>
      </c>
      <c r="G7" s="15">
        <v>3</v>
      </c>
      <c r="H7" s="15" t="s">
        <v>269</v>
      </c>
      <c r="I7" s="29">
        <v>45590</v>
      </c>
      <c r="J7" s="30">
        <v>48</v>
      </c>
      <c r="K7" s="31">
        <v>3706560</v>
      </c>
      <c r="L7" s="31">
        <f t="shared" si="0"/>
        <v>18532800</v>
      </c>
      <c r="M7" s="31">
        <v>1000000</v>
      </c>
      <c r="N7" s="15" t="s">
        <v>254</v>
      </c>
      <c r="O7" s="32">
        <v>45012</v>
      </c>
      <c r="P7" s="33">
        <v>690000</v>
      </c>
      <c r="Q7" s="15">
        <v>5</v>
      </c>
      <c r="R7" s="42">
        <f t="shared" si="1"/>
        <v>3450000</v>
      </c>
      <c r="S7" s="43" t="s">
        <v>270</v>
      </c>
      <c r="T7" s="15" t="s">
        <v>271</v>
      </c>
      <c r="U7" s="15" t="s">
        <v>272</v>
      </c>
      <c r="V7" s="15"/>
    </row>
    <row r="8" spans="1:22" s="2" customFormat="1" ht="12.75" x14ac:dyDescent="0.2">
      <c r="A8" s="15" t="s">
        <v>268</v>
      </c>
      <c r="B8" s="16" t="str">
        <f>VLOOKUP(A8,Sheet1!A:B,2,0)</f>
        <v>MODI</v>
      </c>
      <c r="C8" s="16" t="s">
        <v>55</v>
      </c>
      <c r="D8" s="300" t="s">
        <v>56</v>
      </c>
      <c r="E8" s="17" t="s">
        <v>42</v>
      </c>
      <c r="F8" s="18">
        <v>2023</v>
      </c>
      <c r="G8" s="15">
        <v>3</v>
      </c>
      <c r="H8" s="15" t="s">
        <v>269</v>
      </c>
      <c r="I8" s="29">
        <v>45590</v>
      </c>
      <c r="J8" s="30">
        <v>48</v>
      </c>
      <c r="K8" s="31">
        <v>3801600</v>
      </c>
      <c r="L8" s="31">
        <f t="shared" si="0"/>
        <v>19008000</v>
      </c>
      <c r="M8" s="31">
        <v>1000000</v>
      </c>
      <c r="N8" s="15" t="s">
        <v>254</v>
      </c>
      <c r="O8" s="32">
        <v>45012</v>
      </c>
      <c r="P8" s="35">
        <v>680000</v>
      </c>
      <c r="Q8" s="15">
        <v>5</v>
      </c>
      <c r="R8" s="42">
        <f t="shared" si="1"/>
        <v>3400000</v>
      </c>
      <c r="S8" s="43" t="s">
        <v>270</v>
      </c>
      <c r="T8" s="15" t="s">
        <v>271</v>
      </c>
      <c r="U8" s="15" t="s">
        <v>272</v>
      </c>
      <c r="V8" s="15"/>
    </row>
    <row r="9" spans="1:22" s="2" customFormat="1" ht="12.75" x14ac:dyDescent="0.2">
      <c r="A9" s="15" t="s">
        <v>57</v>
      </c>
      <c r="B9" s="16" t="str">
        <f>VLOOKUP(A9,Sheet1!A:B,2,0)</f>
        <v>RCS DEVICE</v>
      </c>
      <c r="C9" s="20" t="s">
        <v>58</v>
      </c>
      <c r="D9" s="300" t="s">
        <v>59</v>
      </c>
      <c r="E9" s="20" t="s">
        <v>42</v>
      </c>
      <c r="F9" s="18">
        <v>2024</v>
      </c>
      <c r="G9" s="15">
        <v>1</v>
      </c>
      <c r="H9" s="15" t="s">
        <v>269</v>
      </c>
      <c r="I9" s="29">
        <v>45590</v>
      </c>
      <c r="J9" s="30">
        <v>4</v>
      </c>
      <c r="K9" s="31">
        <v>211822</v>
      </c>
      <c r="L9" s="31">
        <f t="shared" si="0"/>
        <v>211822</v>
      </c>
      <c r="M9" s="31">
        <v>300000</v>
      </c>
      <c r="N9" s="15" t="s">
        <v>252</v>
      </c>
      <c r="O9" s="32">
        <v>45231</v>
      </c>
      <c r="P9" s="35">
        <v>160000</v>
      </c>
      <c r="Q9" s="15">
        <v>1</v>
      </c>
      <c r="R9" s="42">
        <f t="shared" si="1"/>
        <v>160000</v>
      </c>
      <c r="S9" s="15" t="s">
        <v>273</v>
      </c>
      <c r="T9" s="15" t="s">
        <v>271</v>
      </c>
      <c r="U9" s="15" t="s">
        <v>272</v>
      </c>
      <c r="V9" s="15"/>
    </row>
    <row r="10" spans="1:22" s="2" customFormat="1" ht="12.75" x14ac:dyDescent="0.2">
      <c r="A10" s="15" t="s">
        <v>57</v>
      </c>
      <c r="B10" s="16" t="str">
        <f>VLOOKUP(A10,Sheet1!A:B,2,0)</f>
        <v>RCS DEVICE</v>
      </c>
      <c r="C10" s="20" t="s">
        <v>64</v>
      </c>
      <c r="D10" s="300" t="s">
        <v>65</v>
      </c>
      <c r="E10" s="20" t="s">
        <v>42</v>
      </c>
      <c r="F10" s="18">
        <v>2024</v>
      </c>
      <c r="G10" s="15">
        <v>1</v>
      </c>
      <c r="H10" s="15" t="s">
        <v>269</v>
      </c>
      <c r="I10" s="29">
        <v>45590</v>
      </c>
      <c r="J10" s="30">
        <v>4</v>
      </c>
      <c r="K10" s="31">
        <v>211822</v>
      </c>
      <c r="L10" s="31">
        <f t="shared" si="0"/>
        <v>211822</v>
      </c>
      <c r="M10" s="31">
        <v>300000</v>
      </c>
      <c r="N10" s="15" t="s">
        <v>252</v>
      </c>
      <c r="O10" s="32">
        <v>45231</v>
      </c>
      <c r="P10" s="35">
        <v>180000</v>
      </c>
      <c r="Q10" s="15">
        <v>1</v>
      </c>
      <c r="R10" s="42">
        <f t="shared" si="1"/>
        <v>180000</v>
      </c>
      <c r="S10" s="15" t="s">
        <v>273</v>
      </c>
      <c r="T10" s="15" t="s">
        <v>271</v>
      </c>
      <c r="U10" s="15" t="s">
        <v>272</v>
      </c>
      <c r="V10" s="15"/>
    </row>
    <row r="11" spans="1:22" s="2" customFormat="1" ht="12.75" x14ac:dyDescent="0.2">
      <c r="A11" s="15" t="s">
        <v>57</v>
      </c>
      <c r="B11" s="16" t="str">
        <f>VLOOKUP(A11,Sheet1!A:B,2,0)</f>
        <v>RCS DEVICE</v>
      </c>
      <c r="C11" s="20" t="s">
        <v>66</v>
      </c>
      <c r="D11" s="300" t="s">
        <v>67</v>
      </c>
      <c r="E11" s="20" t="s">
        <v>42</v>
      </c>
      <c r="F11" s="18">
        <v>2024</v>
      </c>
      <c r="G11" s="15">
        <v>1</v>
      </c>
      <c r="H11" s="15" t="s">
        <v>269</v>
      </c>
      <c r="I11" s="29">
        <v>45590</v>
      </c>
      <c r="J11" s="30">
        <v>4</v>
      </c>
      <c r="K11" s="31">
        <v>296530</v>
      </c>
      <c r="L11" s="31">
        <f t="shared" si="0"/>
        <v>296530</v>
      </c>
      <c r="M11" s="31">
        <v>300000</v>
      </c>
      <c r="N11" s="15" t="s">
        <v>252</v>
      </c>
      <c r="O11" s="32">
        <v>45231</v>
      </c>
      <c r="P11" s="35">
        <v>140000</v>
      </c>
      <c r="Q11" s="15">
        <v>1</v>
      </c>
      <c r="R11" s="42">
        <f t="shared" si="1"/>
        <v>140000</v>
      </c>
      <c r="S11" s="15" t="s">
        <v>273</v>
      </c>
      <c r="T11" s="15" t="s">
        <v>271</v>
      </c>
      <c r="U11" s="15" t="s">
        <v>272</v>
      </c>
      <c r="V11" s="15"/>
    </row>
    <row r="12" spans="1:22" s="2" customFormat="1" ht="12.75" x14ac:dyDescent="0.2">
      <c r="A12" s="15" t="s">
        <v>57</v>
      </c>
      <c r="B12" s="16" t="str">
        <f>VLOOKUP(A12,Sheet1!A:B,2,0)</f>
        <v>RCS DEVICE</v>
      </c>
      <c r="C12" s="20" t="s">
        <v>68</v>
      </c>
      <c r="D12" s="300" t="s">
        <v>69</v>
      </c>
      <c r="E12" s="20" t="s">
        <v>42</v>
      </c>
      <c r="F12" s="18">
        <v>2024</v>
      </c>
      <c r="G12" s="15">
        <v>1</v>
      </c>
      <c r="H12" s="15" t="s">
        <v>269</v>
      </c>
      <c r="I12" s="29">
        <v>45590</v>
      </c>
      <c r="J12" s="30">
        <v>4</v>
      </c>
      <c r="K12" s="31">
        <v>296530</v>
      </c>
      <c r="L12" s="31">
        <f t="shared" si="0"/>
        <v>296530</v>
      </c>
      <c r="M12" s="31">
        <v>300000</v>
      </c>
      <c r="N12" s="15" t="s">
        <v>252</v>
      </c>
      <c r="O12" s="32">
        <v>45231</v>
      </c>
      <c r="P12" s="35">
        <v>180000</v>
      </c>
      <c r="Q12" s="15">
        <v>1</v>
      </c>
      <c r="R12" s="42">
        <f t="shared" si="1"/>
        <v>180000</v>
      </c>
      <c r="S12" s="15" t="s">
        <v>273</v>
      </c>
      <c r="T12" s="15" t="s">
        <v>271</v>
      </c>
      <c r="U12" s="15" t="s">
        <v>272</v>
      </c>
      <c r="V12" s="15"/>
    </row>
    <row r="13" spans="1:22" s="2" customFormat="1" ht="12.75" x14ac:dyDescent="0.2">
      <c r="A13" s="15" t="s">
        <v>72</v>
      </c>
      <c r="B13" s="16" t="str">
        <f>VLOOKUP(A13,Sheet1!A:B,2,0)</f>
        <v>RCS DEVICE</v>
      </c>
      <c r="C13" s="20" t="s">
        <v>73</v>
      </c>
      <c r="D13" s="300" t="s">
        <v>74</v>
      </c>
      <c r="E13" s="20" t="s">
        <v>42</v>
      </c>
      <c r="F13" s="18">
        <v>2024</v>
      </c>
      <c r="G13" s="15">
        <v>6</v>
      </c>
      <c r="H13" s="15" t="s">
        <v>269</v>
      </c>
      <c r="I13" s="29">
        <v>45590</v>
      </c>
      <c r="J13" s="30">
        <v>8</v>
      </c>
      <c r="K13" s="31">
        <v>356448</v>
      </c>
      <c r="L13" s="31">
        <f t="shared" si="0"/>
        <v>356448</v>
      </c>
      <c r="M13" s="31">
        <v>1000000</v>
      </c>
      <c r="N13" s="15" t="s">
        <v>254</v>
      </c>
      <c r="O13" s="32">
        <v>45383</v>
      </c>
      <c r="P13" s="66">
        <v>280000</v>
      </c>
      <c r="Q13" s="15">
        <v>1</v>
      </c>
      <c r="R13" s="42">
        <f t="shared" si="1"/>
        <v>280000</v>
      </c>
      <c r="S13" s="15" t="s">
        <v>273</v>
      </c>
      <c r="T13" s="15" t="s">
        <v>271</v>
      </c>
      <c r="U13" s="15" t="s">
        <v>274</v>
      </c>
      <c r="V13" s="15"/>
    </row>
    <row r="14" spans="1:22" s="2" customFormat="1" ht="12.75" x14ac:dyDescent="0.2">
      <c r="A14" s="15" t="s">
        <v>72</v>
      </c>
      <c r="B14" s="16" t="str">
        <f>VLOOKUP(A14,Sheet1!A:B,2,0)</f>
        <v>RCS DEVICE</v>
      </c>
      <c r="C14" s="20" t="s">
        <v>76</v>
      </c>
      <c r="D14" s="300" t="s">
        <v>77</v>
      </c>
      <c r="E14" s="20" t="s">
        <v>42</v>
      </c>
      <c r="F14" s="18">
        <v>2024</v>
      </c>
      <c r="G14" s="15">
        <v>6</v>
      </c>
      <c r="H14" s="15" t="s">
        <v>269</v>
      </c>
      <c r="I14" s="29">
        <v>45590</v>
      </c>
      <c r="J14" s="30">
        <v>16</v>
      </c>
      <c r="K14" s="31">
        <v>750432</v>
      </c>
      <c r="L14" s="31">
        <f t="shared" si="0"/>
        <v>750432</v>
      </c>
      <c r="M14" s="31">
        <v>1000000</v>
      </c>
      <c r="N14" s="15" t="s">
        <v>254</v>
      </c>
      <c r="O14" s="32">
        <v>45383</v>
      </c>
      <c r="P14" s="66">
        <v>460000</v>
      </c>
      <c r="Q14" s="15">
        <v>1</v>
      </c>
      <c r="R14" s="42">
        <f t="shared" si="1"/>
        <v>460000</v>
      </c>
      <c r="S14" s="15" t="s">
        <v>273</v>
      </c>
      <c r="T14" s="15" t="s">
        <v>271</v>
      </c>
      <c r="U14" s="15" t="s">
        <v>274</v>
      </c>
      <c r="V14" s="15"/>
    </row>
    <row r="15" spans="1:22" s="2" customFormat="1" ht="12.75" x14ac:dyDescent="0.2">
      <c r="A15" s="15" t="s">
        <v>72</v>
      </c>
      <c r="B15" s="16" t="str">
        <f>VLOOKUP(A15,Sheet1!A:B,2,0)</f>
        <v>RCS DEVICE</v>
      </c>
      <c r="C15" s="20" t="s">
        <v>78</v>
      </c>
      <c r="D15" s="300" t="s">
        <v>79</v>
      </c>
      <c r="E15" s="20" t="s">
        <v>42</v>
      </c>
      <c r="F15" s="18">
        <v>2024</v>
      </c>
      <c r="G15" s="15">
        <v>6</v>
      </c>
      <c r="H15" s="15" t="s">
        <v>269</v>
      </c>
      <c r="I15" s="29">
        <v>45590</v>
      </c>
      <c r="J15" s="30">
        <v>16</v>
      </c>
      <c r="K15" s="31">
        <v>893952</v>
      </c>
      <c r="L15" s="31">
        <f t="shared" si="0"/>
        <v>893952</v>
      </c>
      <c r="M15" s="31">
        <v>1000000</v>
      </c>
      <c r="N15" s="15" t="s">
        <v>254</v>
      </c>
      <c r="O15" s="32">
        <v>45383</v>
      </c>
      <c r="P15" s="66">
        <v>420000</v>
      </c>
      <c r="Q15" s="15">
        <v>1</v>
      </c>
      <c r="R15" s="42">
        <f t="shared" si="1"/>
        <v>420000</v>
      </c>
      <c r="S15" s="15" t="s">
        <v>273</v>
      </c>
      <c r="T15" s="15" t="s">
        <v>271</v>
      </c>
      <c r="U15" s="15" t="s">
        <v>274</v>
      </c>
      <c r="V15" s="15"/>
    </row>
    <row r="16" spans="1:22" s="2" customFormat="1" ht="12.75" x14ac:dyDescent="0.2">
      <c r="A16" s="15" t="s">
        <v>72</v>
      </c>
      <c r="B16" s="16" t="str">
        <f>VLOOKUP(A16,Sheet1!A:B,2,0)</f>
        <v>RCS DEVICE</v>
      </c>
      <c r="C16" s="20" t="s">
        <v>66</v>
      </c>
      <c r="D16" s="300" t="s">
        <v>80</v>
      </c>
      <c r="E16" s="20" t="s">
        <v>42</v>
      </c>
      <c r="F16" s="18">
        <v>2024</v>
      </c>
      <c r="G16" s="15">
        <v>6</v>
      </c>
      <c r="H16" s="15" t="s">
        <v>269</v>
      </c>
      <c r="I16" s="29">
        <v>45590</v>
      </c>
      <c r="J16" s="30">
        <v>16</v>
      </c>
      <c r="K16" s="31">
        <v>893952</v>
      </c>
      <c r="L16" s="31">
        <f t="shared" si="0"/>
        <v>893952</v>
      </c>
      <c r="M16" s="31">
        <v>1000000</v>
      </c>
      <c r="N16" s="15" t="s">
        <v>254</v>
      </c>
      <c r="O16" s="32">
        <v>45383</v>
      </c>
      <c r="P16" s="66">
        <v>400000</v>
      </c>
      <c r="Q16" s="15">
        <v>1</v>
      </c>
      <c r="R16" s="42">
        <f t="shared" si="1"/>
        <v>400000</v>
      </c>
      <c r="S16" s="15" t="s">
        <v>273</v>
      </c>
      <c r="T16" s="15" t="s">
        <v>271</v>
      </c>
      <c r="U16" s="15" t="s">
        <v>274</v>
      </c>
      <c r="V16" s="15"/>
    </row>
    <row r="17" spans="1:22" s="2" customFormat="1" ht="12.75" x14ac:dyDescent="0.2">
      <c r="A17" s="15" t="s">
        <v>72</v>
      </c>
      <c r="B17" s="16" t="str">
        <f>VLOOKUP(A17,Sheet1!A:B,2,0)</f>
        <v>RCS DEVICE</v>
      </c>
      <c r="C17" s="20" t="s">
        <v>81</v>
      </c>
      <c r="D17" s="300" t="s">
        <v>82</v>
      </c>
      <c r="E17" s="20" t="s">
        <v>42</v>
      </c>
      <c r="F17" s="18">
        <v>2024</v>
      </c>
      <c r="G17" s="15">
        <v>6</v>
      </c>
      <c r="H17" s="15" t="s">
        <v>269</v>
      </c>
      <c r="I17" s="29">
        <v>45590</v>
      </c>
      <c r="J17" s="30">
        <v>16</v>
      </c>
      <c r="K17" s="31">
        <v>903168</v>
      </c>
      <c r="L17" s="31">
        <f t="shared" si="0"/>
        <v>903168</v>
      </c>
      <c r="M17" s="31">
        <v>1000000</v>
      </c>
      <c r="N17" s="15" t="s">
        <v>254</v>
      </c>
      <c r="O17" s="32">
        <v>45383</v>
      </c>
      <c r="P17" s="66">
        <v>400000</v>
      </c>
      <c r="Q17" s="15">
        <v>1</v>
      </c>
      <c r="R17" s="42">
        <f t="shared" si="1"/>
        <v>400000</v>
      </c>
      <c r="S17" s="15" t="s">
        <v>273</v>
      </c>
      <c r="T17" s="15" t="s">
        <v>271</v>
      </c>
      <c r="U17" s="15" t="s">
        <v>274</v>
      </c>
      <c r="V17" s="15"/>
    </row>
    <row r="18" spans="1:22" s="2" customFormat="1" ht="12.75" x14ac:dyDescent="0.2">
      <c r="A18" s="15" t="s">
        <v>124</v>
      </c>
      <c r="B18" s="16" t="str">
        <f>VLOOKUP(A18,Sheet1!A:B,2,0)</f>
        <v>RCS POD</v>
      </c>
      <c r="C18" s="21" t="s">
        <v>84</v>
      </c>
      <c r="D18" s="301" t="s">
        <v>85</v>
      </c>
      <c r="E18" s="20" t="s">
        <v>42</v>
      </c>
      <c r="F18" s="20">
        <v>2022</v>
      </c>
      <c r="G18" s="15">
        <v>6</v>
      </c>
      <c r="H18" s="15" t="s">
        <v>269</v>
      </c>
      <c r="I18" s="29">
        <v>45590</v>
      </c>
      <c r="J18" s="30">
        <v>16</v>
      </c>
      <c r="K18" s="31">
        <v>1185600</v>
      </c>
      <c r="L18" s="31">
        <f t="shared" si="0"/>
        <v>23712000</v>
      </c>
      <c r="M18" s="31">
        <v>1000000</v>
      </c>
      <c r="N18" s="15" t="s">
        <v>254</v>
      </c>
      <c r="O18" s="32">
        <v>44713</v>
      </c>
      <c r="P18" s="69">
        <f>7.15*173199.447270021</f>
        <v>1238376.0479806501</v>
      </c>
      <c r="Q18" s="15">
        <v>20</v>
      </c>
      <c r="R18" s="71">
        <f t="shared" si="1"/>
        <v>24767520.959613003</v>
      </c>
      <c r="S18" s="15" t="s">
        <v>275</v>
      </c>
      <c r="T18" s="15" t="s">
        <v>271</v>
      </c>
      <c r="U18" s="15" t="s">
        <v>272</v>
      </c>
      <c r="V18" s="15"/>
    </row>
    <row r="19" spans="1:22" s="2" customFormat="1" ht="12.75" x14ac:dyDescent="0.2">
      <c r="A19" s="15" t="s">
        <v>124</v>
      </c>
      <c r="B19" s="16" t="str">
        <f>VLOOKUP(A19,Sheet1!A:B,2,0)</f>
        <v>RCS POD</v>
      </c>
      <c r="C19" s="21" t="s">
        <v>126</v>
      </c>
      <c r="D19" s="301" t="s">
        <v>127</v>
      </c>
      <c r="E19" s="20" t="s">
        <v>42</v>
      </c>
      <c r="F19" s="20">
        <v>2022</v>
      </c>
      <c r="G19" s="15">
        <v>6</v>
      </c>
      <c r="H19" s="15" t="s">
        <v>269</v>
      </c>
      <c r="I19" s="29">
        <v>45590</v>
      </c>
      <c r="J19" s="30">
        <v>32</v>
      </c>
      <c r="K19" s="31">
        <v>2695680</v>
      </c>
      <c r="L19" s="31">
        <f t="shared" si="0"/>
        <v>21565440</v>
      </c>
      <c r="M19" s="31">
        <v>1000000</v>
      </c>
      <c r="N19" s="15" t="s">
        <v>254</v>
      </c>
      <c r="O19" s="32">
        <v>44713</v>
      </c>
      <c r="P19" s="67">
        <f>7.15*179728.993498461</f>
        <v>1285062.3035139963</v>
      </c>
      <c r="Q19" s="15">
        <v>8</v>
      </c>
      <c r="R19" s="71">
        <f t="shared" si="1"/>
        <v>10280498.42811197</v>
      </c>
      <c r="S19" s="15" t="s">
        <v>275</v>
      </c>
      <c r="T19" s="15" t="s">
        <v>271</v>
      </c>
      <c r="U19" s="15" t="s">
        <v>272</v>
      </c>
      <c r="V19" s="15"/>
    </row>
    <row r="20" spans="1:22" s="2" customFormat="1" ht="12.75" x14ac:dyDescent="0.2">
      <c r="A20" s="15" t="s">
        <v>124</v>
      </c>
      <c r="B20" s="16" t="str">
        <f>VLOOKUP(A20,Sheet1!A:B,2,0)</f>
        <v>RCS POD</v>
      </c>
      <c r="C20" s="21" t="s">
        <v>128</v>
      </c>
      <c r="D20" s="301" t="s">
        <v>129</v>
      </c>
      <c r="E20" s="20" t="s">
        <v>42</v>
      </c>
      <c r="F20" s="20">
        <v>2022</v>
      </c>
      <c r="G20" s="15">
        <v>6</v>
      </c>
      <c r="H20" s="15" t="s">
        <v>269</v>
      </c>
      <c r="I20" s="29">
        <v>45590</v>
      </c>
      <c r="J20" s="30">
        <v>32</v>
      </c>
      <c r="K20" s="31">
        <v>2695680</v>
      </c>
      <c r="L20" s="31">
        <f t="shared" si="0"/>
        <v>21565440</v>
      </c>
      <c r="M20" s="31">
        <v>1000000</v>
      </c>
      <c r="N20" s="15" t="s">
        <v>254</v>
      </c>
      <c r="O20" s="32">
        <v>44713</v>
      </c>
      <c r="P20" s="70">
        <f>7.15*180678.150274652</f>
        <v>1291848.7744637618</v>
      </c>
      <c r="Q20" s="15">
        <v>8</v>
      </c>
      <c r="R20" s="71">
        <f t="shared" si="1"/>
        <v>10334790.195710095</v>
      </c>
      <c r="S20" s="15" t="s">
        <v>275</v>
      </c>
      <c r="T20" s="15" t="s">
        <v>271</v>
      </c>
      <c r="U20" s="15" t="s">
        <v>272</v>
      </c>
      <c r="V20" s="15"/>
    </row>
    <row r="21" spans="1:22" s="2" customFormat="1" ht="12.75" x14ac:dyDescent="0.2">
      <c r="A21" s="15" t="s">
        <v>124</v>
      </c>
      <c r="B21" s="16" t="str">
        <f>VLOOKUP(A21,Sheet1!A:B,2,0)</f>
        <v>RCS POD</v>
      </c>
      <c r="C21" s="21" t="s">
        <v>130</v>
      </c>
      <c r="D21" s="301" t="s">
        <v>131</v>
      </c>
      <c r="E21" s="20" t="s">
        <v>42</v>
      </c>
      <c r="F21" s="20">
        <v>2022</v>
      </c>
      <c r="G21" s="15">
        <v>6</v>
      </c>
      <c r="H21" s="15" t="s">
        <v>269</v>
      </c>
      <c r="I21" s="29">
        <v>45590</v>
      </c>
      <c r="J21" s="30">
        <v>32</v>
      </c>
      <c r="K21" s="31">
        <v>2526368</v>
      </c>
      <c r="L21" s="31">
        <f t="shared" si="0"/>
        <v>20210944</v>
      </c>
      <c r="M21" s="31">
        <v>1000000</v>
      </c>
      <c r="N21" s="15" t="s">
        <v>254</v>
      </c>
      <c r="O21" s="32">
        <v>44713</v>
      </c>
      <c r="P21" s="70">
        <f>7.15*(585819/6.4305)</f>
        <v>651365.50034989498</v>
      </c>
      <c r="Q21" s="15">
        <v>8</v>
      </c>
      <c r="R21" s="71">
        <f t="shared" si="1"/>
        <v>5210924.0027991598</v>
      </c>
      <c r="S21" s="15" t="s">
        <v>275</v>
      </c>
      <c r="T21" s="15" t="s">
        <v>271</v>
      </c>
      <c r="U21" s="15" t="s">
        <v>272</v>
      </c>
      <c r="V21" s="15"/>
    </row>
    <row r="22" spans="1:22" s="2" customFormat="1" ht="12.75" x14ac:dyDescent="0.2">
      <c r="A22" s="15" t="s">
        <v>83</v>
      </c>
      <c r="B22" s="16" t="str">
        <f>VLOOKUP(A22,Sheet1!A:B,2,0)</f>
        <v>RCS POD</v>
      </c>
      <c r="C22" s="21" t="s">
        <v>84</v>
      </c>
      <c r="D22" s="301" t="s">
        <v>85</v>
      </c>
      <c r="E22" s="20" t="s">
        <v>42</v>
      </c>
      <c r="F22" s="18">
        <v>2023</v>
      </c>
      <c r="G22" s="15">
        <v>6</v>
      </c>
      <c r="H22" s="15" t="s">
        <v>269</v>
      </c>
      <c r="I22" s="29">
        <v>45590</v>
      </c>
      <c r="J22" s="30">
        <v>16</v>
      </c>
      <c r="K22" s="31">
        <v>1185600</v>
      </c>
      <c r="L22" s="31">
        <f t="shared" si="0"/>
        <v>1185600</v>
      </c>
      <c r="M22" s="31">
        <v>1000000</v>
      </c>
      <c r="N22" s="15" t="s">
        <v>254</v>
      </c>
      <c r="O22" s="32">
        <v>45078</v>
      </c>
      <c r="P22" s="33">
        <f>5424750.84955752-(2800000*30%)</f>
        <v>4584750.8495575199</v>
      </c>
      <c r="Q22" s="15">
        <v>1</v>
      </c>
      <c r="R22" s="71">
        <f>5424750.84955752-(2800000*30%)</f>
        <v>4584750.8495575199</v>
      </c>
      <c r="S22" s="15" t="s">
        <v>273</v>
      </c>
      <c r="T22" s="15" t="s">
        <v>271</v>
      </c>
      <c r="U22" s="15" t="s">
        <v>274</v>
      </c>
      <c r="V22" s="15" t="s">
        <v>125</v>
      </c>
    </row>
    <row r="23" spans="1:22" s="2" customFormat="1" ht="12.75" x14ac:dyDescent="0.2">
      <c r="A23" s="15" t="s">
        <v>83</v>
      </c>
      <c r="B23" s="16" t="str">
        <f>VLOOKUP(A23,Sheet1!A:B,2,0)</f>
        <v>RCS POD</v>
      </c>
      <c r="C23" s="21" t="s">
        <v>84</v>
      </c>
      <c r="D23" s="301" t="s">
        <v>85</v>
      </c>
      <c r="E23" s="20" t="s">
        <v>42</v>
      </c>
      <c r="F23" s="18">
        <v>2023</v>
      </c>
      <c r="G23" s="15">
        <v>6</v>
      </c>
      <c r="H23" s="15" t="s">
        <v>269</v>
      </c>
      <c r="I23" s="29">
        <v>45590</v>
      </c>
      <c r="J23" s="30">
        <v>16</v>
      </c>
      <c r="K23" s="31">
        <v>1185600</v>
      </c>
      <c r="L23" s="31">
        <f t="shared" si="0"/>
        <v>1185600</v>
      </c>
      <c r="M23" s="31">
        <v>1000000</v>
      </c>
      <c r="N23" s="15" t="s">
        <v>254</v>
      </c>
      <c r="O23" s="32">
        <v>45078</v>
      </c>
      <c r="P23" s="33">
        <f>5893456.35840708-(2800000*70%)</f>
        <v>3933456.3584070802</v>
      </c>
      <c r="Q23" s="15">
        <v>1</v>
      </c>
      <c r="R23" s="71">
        <f>5893456.35840708-(2800000*70%)</f>
        <v>3933456.3584070802</v>
      </c>
      <c r="S23" s="15" t="s">
        <v>273</v>
      </c>
      <c r="T23" s="15" t="s">
        <v>271</v>
      </c>
      <c r="U23" s="15" t="s">
        <v>274</v>
      </c>
      <c r="V23" s="15" t="s">
        <v>125</v>
      </c>
    </row>
    <row r="24" spans="1:22" s="2" customFormat="1" ht="12.75" x14ac:dyDescent="0.2">
      <c r="A24" s="15" t="s">
        <v>83</v>
      </c>
      <c r="B24" s="16" t="str">
        <f>VLOOKUP(A24,Sheet1!A:B,2,0)</f>
        <v>RCS POD</v>
      </c>
      <c r="C24" s="21" t="s">
        <v>84</v>
      </c>
      <c r="D24" s="301" t="s">
        <v>85</v>
      </c>
      <c r="E24" s="20" t="s">
        <v>42</v>
      </c>
      <c r="F24" s="18">
        <v>2023</v>
      </c>
      <c r="G24" s="15">
        <v>6</v>
      </c>
      <c r="H24" s="15" t="s">
        <v>269</v>
      </c>
      <c r="I24" s="29">
        <v>45590</v>
      </c>
      <c r="J24" s="30">
        <v>16</v>
      </c>
      <c r="K24" s="31">
        <v>1185600</v>
      </c>
      <c r="L24" s="31">
        <f t="shared" si="0"/>
        <v>1185600</v>
      </c>
      <c r="M24" s="31">
        <v>1000000</v>
      </c>
      <c r="N24" s="15" t="s">
        <v>252</v>
      </c>
      <c r="O24" s="32">
        <v>44927</v>
      </c>
      <c r="P24" s="33">
        <v>98000</v>
      </c>
      <c r="Q24" s="15">
        <v>1</v>
      </c>
      <c r="R24" s="42">
        <f t="shared" si="1"/>
        <v>98000</v>
      </c>
      <c r="S24" s="15" t="s">
        <v>273</v>
      </c>
      <c r="T24" s="15" t="s">
        <v>271</v>
      </c>
      <c r="U24" s="15" t="s">
        <v>274</v>
      </c>
      <c r="V24" s="15" t="s">
        <v>276</v>
      </c>
    </row>
    <row r="25" spans="1:22" s="2" customFormat="1" ht="12.75" x14ac:dyDescent="0.2">
      <c r="A25" s="15" t="s">
        <v>277</v>
      </c>
      <c r="B25" s="16" t="str">
        <f>VLOOKUP(A25,Sheet1!A:B,2,0)</f>
        <v>HP</v>
      </c>
      <c r="C25" s="18" t="s">
        <v>90</v>
      </c>
      <c r="D25" s="301">
        <v>22150202014</v>
      </c>
      <c r="E25" s="20" t="s">
        <v>42</v>
      </c>
      <c r="F25" s="18">
        <v>2023</v>
      </c>
      <c r="G25" s="15">
        <v>1</v>
      </c>
      <c r="H25" s="15" t="s">
        <v>269</v>
      </c>
      <c r="I25" s="29">
        <v>45590</v>
      </c>
      <c r="J25" s="30">
        <v>16</v>
      </c>
      <c r="K25" s="34">
        <v>860860</v>
      </c>
      <c r="L25" s="31">
        <f t="shared" si="0"/>
        <v>860860</v>
      </c>
      <c r="M25" s="34">
        <v>1000000</v>
      </c>
      <c r="N25" s="15" t="s">
        <v>254</v>
      </c>
      <c r="O25" s="32">
        <v>44927</v>
      </c>
      <c r="P25" s="33">
        <v>105000</v>
      </c>
      <c r="Q25" s="15">
        <v>1</v>
      </c>
      <c r="R25" s="212">
        <f t="shared" si="1"/>
        <v>105000</v>
      </c>
      <c r="S25" s="15" t="s">
        <v>273</v>
      </c>
      <c r="T25" s="15" t="s">
        <v>271</v>
      </c>
      <c r="U25" s="15" t="s">
        <v>272</v>
      </c>
      <c r="V25" s="15" t="s">
        <v>276</v>
      </c>
    </row>
    <row r="26" spans="1:22" s="2" customFormat="1" ht="12.75" x14ac:dyDescent="0.2">
      <c r="A26" s="15" t="s">
        <v>277</v>
      </c>
      <c r="B26" s="16" t="str">
        <f>VLOOKUP(A26,Sheet1!A:B,2,0)</f>
        <v>HP</v>
      </c>
      <c r="C26" s="21" t="s">
        <v>94</v>
      </c>
      <c r="D26" s="301">
        <v>22150202015</v>
      </c>
      <c r="E26" s="20" t="s">
        <v>42</v>
      </c>
      <c r="F26" s="18">
        <v>2023</v>
      </c>
      <c r="G26" s="15">
        <v>1</v>
      </c>
      <c r="H26" s="15" t="s">
        <v>269</v>
      </c>
      <c r="I26" s="29">
        <v>45590</v>
      </c>
      <c r="J26" s="30">
        <v>16</v>
      </c>
      <c r="K26" s="34">
        <v>531960</v>
      </c>
      <c r="L26" s="31">
        <f t="shared" si="0"/>
        <v>531960</v>
      </c>
      <c r="M26" s="34">
        <v>1000000</v>
      </c>
      <c r="N26" s="15" t="s">
        <v>254</v>
      </c>
      <c r="O26" s="32">
        <v>44927</v>
      </c>
      <c r="P26" s="33">
        <v>376000</v>
      </c>
      <c r="Q26" s="15">
        <v>1</v>
      </c>
      <c r="R26" s="212">
        <f t="shared" ref="R26:R92" si="2">P26*Q26</f>
        <v>376000</v>
      </c>
      <c r="S26" s="15" t="s">
        <v>273</v>
      </c>
      <c r="T26" s="15" t="s">
        <v>271</v>
      </c>
      <c r="U26" s="15" t="s">
        <v>272</v>
      </c>
      <c r="V26" s="15" t="s">
        <v>276</v>
      </c>
    </row>
    <row r="27" spans="1:22" s="2" customFormat="1" ht="12.75" x14ac:dyDescent="0.2">
      <c r="A27" s="15" t="s">
        <v>277</v>
      </c>
      <c r="B27" s="16" t="str">
        <f>VLOOKUP(A27,Sheet1!A:B,2,0)</f>
        <v>HP</v>
      </c>
      <c r="C27" s="21" t="s">
        <v>66</v>
      </c>
      <c r="D27" s="301">
        <v>22150202010</v>
      </c>
      <c r="E27" s="20" t="s">
        <v>42</v>
      </c>
      <c r="F27" s="18">
        <v>2023</v>
      </c>
      <c r="G27" s="15">
        <v>1</v>
      </c>
      <c r="H27" s="15" t="s">
        <v>269</v>
      </c>
      <c r="I27" s="29">
        <v>45590</v>
      </c>
      <c r="J27" s="30">
        <v>16</v>
      </c>
      <c r="K27" s="34">
        <v>994136</v>
      </c>
      <c r="L27" s="31">
        <f t="shared" si="0"/>
        <v>994136</v>
      </c>
      <c r="M27" s="34">
        <v>1000000</v>
      </c>
      <c r="N27" s="15" t="s">
        <v>254</v>
      </c>
      <c r="O27" s="32">
        <v>44927</v>
      </c>
      <c r="P27" s="33">
        <v>98350</v>
      </c>
      <c r="Q27" s="15">
        <v>1</v>
      </c>
      <c r="R27" s="212">
        <f t="shared" si="2"/>
        <v>98350</v>
      </c>
      <c r="S27" s="15" t="s">
        <v>273</v>
      </c>
      <c r="T27" s="15" t="s">
        <v>271</v>
      </c>
      <c r="U27" s="15" t="s">
        <v>272</v>
      </c>
      <c r="V27" s="15" t="s">
        <v>276</v>
      </c>
    </row>
    <row r="28" spans="1:22" s="2" customFormat="1" ht="12.75" x14ac:dyDescent="0.2">
      <c r="A28" s="15" t="s">
        <v>277</v>
      </c>
      <c r="B28" s="16" t="str">
        <f>VLOOKUP(A28,Sheet1!A:B,2,0)</f>
        <v>HP</v>
      </c>
      <c r="C28" s="21" t="s">
        <v>98</v>
      </c>
      <c r="D28" s="301">
        <v>22150202008</v>
      </c>
      <c r="E28" s="20" t="s">
        <v>42</v>
      </c>
      <c r="F28" s="18">
        <v>2023</v>
      </c>
      <c r="G28" s="15">
        <v>1</v>
      </c>
      <c r="H28" s="15" t="s">
        <v>269</v>
      </c>
      <c r="I28" s="29">
        <v>45590</v>
      </c>
      <c r="J28" s="30">
        <v>16</v>
      </c>
      <c r="K28" s="34">
        <v>1129700</v>
      </c>
      <c r="L28" s="31">
        <f t="shared" si="0"/>
        <v>1129700</v>
      </c>
      <c r="M28" s="34">
        <v>1000000</v>
      </c>
      <c r="N28" s="15" t="s">
        <v>254</v>
      </c>
      <c r="O28" s="32">
        <v>44927</v>
      </c>
      <c r="P28" s="33">
        <v>110600</v>
      </c>
      <c r="Q28" s="15">
        <v>1</v>
      </c>
      <c r="R28" s="212">
        <f t="shared" si="2"/>
        <v>110600</v>
      </c>
      <c r="S28" s="15" t="s">
        <v>273</v>
      </c>
      <c r="T28" s="15" t="s">
        <v>271</v>
      </c>
      <c r="U28" s="15" t="s">
        <v>272</v>
      </c>
      <c r="V28" s="15" t="s">
        <v>276</v>
      </c>
    </row>
    <row r="29" spans="1:22" s="2" customFormat="1" ht="12.75" x14ac:dyDescent="0.2">
      <c r="A29" s="15" t="s">
        <v>277</v>
      </c>
      <c r="B29" s="16" t="str">
        <f>VLOOKUP(A29,Sheet1!A:B,2,0)</f>
        <v>HP</v>
      </c>
      <c r="C29" s="18" t="s">
        <v>101</v>
      </c>
      <c r="D29" s="301">
        <v>22150202017</v>
      </c>
      <c r="E29" s="20" t="s">
        <v>42</v>
      </c>
      <c r="F29" s="18">
        <v>2023</v>
      </c>
      <c r="G29" s="15">
        <v>1</v>
      </c>
      <c r="H29" s="15" t="s">
        <v>269</v>
      </c>
      <c r="I29" s="29">
        <v>45590</v>
      </c>
      <c r="J29" s="30">
        <v>16</v>
      </c>
      <c r="K29" s="36">
        <v>1141140</v>
      </c>
      <c r="L29" s="31">
        <f t="shared" si="0"/>
        <v>1141140</v>
      </c>
      <c r="M29" s="34">
        <v>1000000</v>
      </c>
      <c r="N29" s="15" t="s">
        <v>254</v>
      </c>
      <c r="O29" s="32">
        <v>44927</v>
      </c>
      <c r="P29" s="33">
        <v>98000</v>
      </c>
      <c r="Q29" s="15">
        <v>1</v>
      </c>
      <c r="R29" s="212">
        <f t="shared" si="2"/>
        <v>98000</v>
      </c>
      <c r="S29" s="15" t="s">
        <v>273</v>
      </c>
      <c r="T29" s="15" t="s">
        <v>271</v>
      </c>
      <c r="U29" s="15" t="s">
        <v>272</v>
      </c>
      <c r="V29" s="15" t="s">
        <v>276</v>
      </c>
    </row>
    <row r="30" spans="1:22" s="2" customFormat="1" ht="12.75" x14ac:dyDescent="0.2">
      <c r="A30" s="15" t="s">
        <v>277</v>
      </c>
      <c r="B30" s="16" t="str">
        <f>VLOOKUP(A30,Sheet1!A:B,2,0)</f>
        <v>HP</v>
      </c>
      <c r="C30" s="21" t="s">
        <v>103</v>
      </c>
      <c r="D30" s="301">
        <v>22150202009</v>
      </c>
      <c r="E30" s="20" t="s">
        <v>42</v>
      </c>
      <c r="F30" s="18">
        <v>2023</v>
      </c>
      <c r="G30" s="15">
        <v>1</v>
      </c>
      <c r="H30" s="15" t="s">
        <v>269</v>
      </c>
      <c r="I30" s="29">
        <v>45590</v>
      </c>
      <c r="J30" s="30">
        <v>16</v>
      </c>
      <c r="K30" s="34">
        <v>988416</v>
      </c>
      <c r="L30" s="31">
        <f t="shared" si="0"/>
        <v>988416</v>
      </c>
      <c r="M30" s="34">
        <v>1000000</v>
      </c>
      <c r="N30" s="15" t="s">
        <v>254</v>
      </c>
      <c r="O30" s="32">
        <v>44927</v>
      </c>
      <c r="P30" s="33">
        <v>98000</v>
      </c>
      <c r="Q30" s="15">
        <v>1</v>
      </c>
      <c r="R30" s="212">
        <f t="shared" si="2"/>
        <v>98000</v>
      </c>
      <c r="S30" s="15" t="s">
        <v>273</v>
      </c>
      <c r="T30" s="15" t="s">
        <v>271</v>
      </c>
      <c r="U30" s="15" t="s">
        <v>272</v>
      </c>
      <c r="V30" s="15" t="s">
        <v>276</v>
      </c>
    </row>
    <row r="31" spans="1:22" s="2" customFormat="1" ht="12.75" x14ac:dyDescent="0.2">
      <c r="A31" s="15" t="s">
        <v>277</v>
      </c>
      <c r="B31" s="16" t="str">
        <f>VLOOKUP(A31,Sheet1!A:B,2,0)</f>
        <v>HP</v>
      </c>
      <c r="C31" s="21" t="s">
        <v>104</v>
      </c>
      <c r="D31" s="301">
        <v>22150202021</v>
      </c>
      <c r="E31" s="20" t="s">
        <v>42</v>
      </c>
      <c r="F31" s="18">
        <v>2023</v>
      </c>
      <c r="G31" s="15">
        <v>1</v>
      </c>
      <c r="H31" s="15" t="s">
        <v>269</v>
      </c>
      <c r="I31" s="29">
        <v>45590</v>
      </c>
      <c r="J31" s="30">
        <v>16</v>
      </c>
      <c r="K31" s="34">
        <v>1251978</v>
      </c>
      <c r="L31" s="31">
        <f t="shared" si="0"/>
        <v>1251978</v>
      </c>
      <c r="M31" s="34">
        <v>1000000</v>
      </c>
      <c r="N31" s="15" t="s">
        <v>254</v>
      </c>
      <c r="O31" s="32">
        <v>44927</v>
      </c>
      <c r="P31" s="33">
        <v>200100</v>
      </c>
      <c r="Q31" s="15">
        <v>1</v>
      </c>
      <c r="R31" s="212">
        <f t="shared" si="2"/>
        <v>200100</v>
      </c>
      <c r="S31" s="15" t="s">
        <v>273</v>
      </c>
      <c r="T31" s="15" t="s">
        <v>271</v>
      </c>
      <c r="U31" s="15" t="s">
        <v>272</v>
      </c>
      <c r="V31" s="15" t="s">
        <v>276</v>
      </c>
    </row>
    <row r="32" spans="1:22" s="2" customFormat="1" ht="12.75" x14ac:dyDescent="0.2">
      <c r="A32" s="15" t="s">
        <v>277</v>
      </c>
      <c r="B32" s="16" t="str">
        <f>VLOOKUP(A32,Sheet1!A:B,2,0)</f>
        <v>HP</v>
      </c>
      <c r="C32" s="21" t="s">
        <v>106</v>
      </c>
      <c r="D32" s="301">
        <v>22150202018</v>
      </c>
      <c r="E32" s="20" t="s">
        <v>42</v>
      </c>
      <c r="F32" s="18">
        <v>2023</v>
      </c>
      <c r="G32" s="15">
        <v>1</v>
      </c>
      <c r="H32" s="15" t="s">
        <v>269</v>
      </c>
      <c r="I32" s="29">
        <v>45590</v>
      </c>
      <c r="J32" s="30">
        <v>16</v>
      </c>
      <c r="K32" s="34">
        <v>1065064</v>
      </c>
      <c r="L32" s="31">
        <f t="shared" si="0"/>
        <v>1065064</v>
      </c>
      <c r="M32" s="34">
        <v>1000000</v>
      </c>
      <c r="N32" s="15" t="s">
        <v>254</v>
      </c>
      <c r="O32" s="32">
        <v>44927</v>
      </c>
      <c r="P32" s="33">
        <v>98000</v>
      </c>
      <c r="Q32" s="15">
        <v>1</v>
      </c>
      <c r="R32" s="212">
        <f t="shared" si="2"/>
        <v>98000</v>
      </c>
      <c r="S32" s="15" t="s">
        <v>273</v>
      </c>
      <c r="T32" s="15" t="s">
        <v>271</v>
      </c>
      <c r="U32" s="15" t="s">
        <v>272</v>
      </c>
      <c r="V32" s="15" t="s">
        <v>276</v>
      </c>
    </row>
    <row r="33" spans="1:22" s="2" customFormat="1" ht="12.75" x14ac:dyDescent="0.2">
      <c r="A33" s="15" t="s">
        <v>277</v>
      </c>
      <c r="B33" s="16" t="str">
        <f>VLOOKUP(A33,Sheet1!A:B,2,0)</f>
        <v>HP</v>
      </c>
      <c r="C33" s="21" t="s">
        <v>108</v>
      </c>
      <c r="D33" s="301">
        <v>22150202007</v>
      </c>
      <c r="E33" s="20" t="s">
        <v>42</v>
      </c>
      <c r="F33" s="18">
        <v>2023</v>
      </c>
      <c r="G33" s="15">
        <v>1</v>
      </c>
      <c r="H33" s="15" t="s">
        <v>269</v>
      </c>
      <c r="I33" s="29">
        <v>45590</v>
      </c>
      <c r="J33" s="30">
        <v>16</v>
      </c>
      <c r="K33" s="34">
        <v>1129700</v>
      </c>
      <c r="L33" s="31">
        <f t="shared" si="0"/>
        <v>1129700</v>
      </c>
      <c r="M33" s="34">
        <v>1000000</v>
      </c>
      <c r="N33" s="15" t="s">
        <v>254</v>
      </c>
      <c r="O33" s="32">
        <v>44927</v>
      </c>
      <c r="P33" s="33">
        <v>130350</v>
      </c>
      <c r="Q33" s="15">
        <v>1</v>
      </c>
      <c r="R33" s="212">
        <f t="shared" si="2"/>
        <v>130350</v>
      </c>
      <c r="S33" s="15" t="s">
        <v>273</v>
      </c>
      <c r="T33" s="15" t="s">
        <v>271</v>
      </c>
      <c r="U33" s="15" t="s">
        <v>272</v>
      </c>
      <c r="V33" s="15" t="s">
        <v>276</v>
      </c>
    </row>
    <row r="34" spans="1:22" s="2" customFormat="1" ht="12.75" x14ac:dyDescent="0.2">
      <c r="A34" s="15" t="s">
        <v>110</v>
      </c>
      <c r="B34" s="16" t="str">
        <f>VLOOKUP(A34,Sheet1!A:B,2,0)</f>
        <v>HP</v>
      </c>
      <c r="C34" s="21" t="s">
        <v>98</v>
      </c>
      <c r="D34" s="301">
        <v>23590202001</v>
      </c>
      <c r="E34" s="20" t="s">
        <v>42</v>
      </c>
      <c r="F34" s="18">
        <v>2023</v>
      </c>
      <c r="G34" s="15">
        <v>1</v>
      </c>
      <c r="H34" s="15" t="s">
        <v>269</v>
      </c>
      <c r="I34" s="29">
        <v>45590</v>
      </c>
      <c r="J34" s="30">
        <v>16</v>
      </c>
      <c r="K34" s="34">
        <v>50284</v>
      </c>
      <c r="L34" s="31">
        <f t="shared" si="0"/>
        <v>50284</v>
      </c>
      <c r="M34" s="34">
        <v>1000000</v>
      </c>
      <c r="N34" s="15" t="s">
        <v>254</v>
      </c>
      <c r="O34" s="32">
        <v>44927</v>
      </c>
      <c r="P34" s="33">
        <v>98000</v>
      </c>
      <c r="Q34" s="15">
        <v>1</v>
      </c>
      <c r="R34" s="212">
        <f t="shared" si="2"/>
        <v>98000</v>
      </c>
      <c r="S34" s="15" t="s">
        <v>273</v>
      </c>
      <c r="T34" s="15" t="s">
        <v>271</v>
      </c>
      <c r="U34" s="15" t="s">
        <v>272</v>
      </c>
      <c r="V34" s="15" t="s">
        <v>276</v>
      </c>
    </row>
    <row r="35" spans="1:22" s="2" customFormat="1" ht="12.75" x14ac:dyDescent="0.2">
      <c r="A35" s="15" t="s">
        <v>110</v>
      </c>
      <c r="B35" s="16" t="str">
        <f>VLOOKUP(A35,Sheet1!A:B,2,0)</f>
        <v>HP</v>
      </c>
      <c r="C35" s="18" t="s">
        <v>101</v>
      </c>
      <c r="D35" s="301">
        <v>23480202015</v>
      </c>
      <c r="E35" s="20" t="s">
        <v>42</v>
      </c>
      <c r="F35" s="18">
        <v>2023</v>
      </c>
      <c r="G35" s="15">
        <v>1</v>
      </c>
      <c r="H35" s="15" t="s">
        <v>269</v>
      </c>
      <c r="I35" s="29">
        <v>45590</v>
      </c>
      <c r="J35" s="30">
        <v>16</v>
      </c>
      <c r="K35" s="34">
        <v>1251978</v>
      </c>
      <c r="L35" s="31">
        <f t="shared" si="0"/>
        <v>1251978</v>
      </c>
      <c r="M35" s="34">
        <v>1000000</v>
      </c>
      <c r="N35" s="15" t="s">
        <v>254</v>
      </c>
      <c r="O35" s="32">
        <v>44927</v>
      </c>
      <c r="P35" s="33">
        <v>188000</v>
      </c>
      <c r="Q35" s="15">
        <v>1</v>
      </c>
      <c r="R35" s="212">
        <f t="shared" si="2"/>
        <v>188000</v>
      </c>
      <c r="S35" s="15" t="s">
        <v>273</v>
      </c>
      <c r="T35" s="15" t="s">
        <v>271</v>
      </c>
      <c r="U35" s="15" t="s">
        <v>272</v>
      </c>
      <c r="V35" s="15" t="s">
        <v>276</v>
      </c>
    </row>
    <row r="36" spans="1:22" s="2" customFormat="1" ht="12.75" x14ac:dyDescent="0.2">
      <c r="A36" s="15" t="s">
        <v>110</v>
      </c>
      <c r="B36" s="16" t="str">
        <f>VLOOKUP(A36,Sheet1!A:B,2,0)</f>
        <v>HP</v>
      </c>
      <c r="C36" s="211" t="s">
        <v>115</v>
      </c>
      <c r="D36" s="301">
        <v>23480202012</v>
      </c>
      <c r="E36" s="20" t="s">
        <v>42</v>
      </c>
      <c r="F36" s="18">
        <v>2023</v>
      </c>
      <c r="G36" s="15">
        <v>1</v>
      </c>
      <c r="H36" s="15" t="s">
        <v>269</v>
      </c>
      <c r="I36" s="29">
        <v>45590</v>
      </c>
      <c r="J36" s="30">
        <v>4</v>
      </c>
      <c r="K36" s="34">
        <v>260832</v>
      </c>
      <c r="L36" s="31">
        <f t="shared" si="0"/>
        <v>521664</v>
      </c>
      <c r="M36" s="34">
        <v>1000000</v>
      </c>
      <c r="N36" s="15" t="s">
        <v>254</v>
      </c>
      <c r="O36" s="32">
        <v>44927</v>
      </c>
      <c r="P36" s="33">
        <v>320000</v>
      </c>
      <c r="Q36" s="15">
        <v>2</v>
      </c>
      <c r="R36" s="212">
        <f t="shared" si="2"/>
        <v>640000</v>
      </c>
      <c r="S36" s="15" t="s">
        <v>273</v>
      </c>
      <c r="T36" s="15" t="s">
        <v>271</v>
      </c>
      <c r="U36" s="15" t="s">
        <v>274</v>
      </c>
      <c r="V36" s="15" t="s">
        <v>276</v>
      </c>
    </row>
    <row r="37" spans="1:22" s="2" customFormat="1" ht="12.75" x14ac:dyDescent="0.2">
      <c r="A37" s="15" t="s">
        <v>110</v>
      </c>
      <c r="B37" s="16" t="str">
        <f>VLOOKUP(A37,Sheet1!A:B,2,0)</f>
        <v>HP</v>
      </c>
      <c r="C37" s="211" t="s">
        <v>118</v>
      </c>
      <c r="D37" s="301">
        <v>23480202005</v>
      </c>
      <c r="E37" s="20" t="s">
        <v>42</v>
      </c>
      <c r="F37" s="18">
        <v>2023</v>
      </c>
      <c r="G37" s="15">
        <v>1</v>
      </c>
      <c r="H37" s="15" t="s">
        <v>269</v>
      </c>
      <c r="I37" s="29">
        <v>45590</v>
      </c>
      <c r="J37" s="30">
        <v>8</v>
      </c>
      <c r="K37" s="34">
        <v>387114</v>
      </c>
      <c r="L37" s="31">
        <f t="shared" ref="L37:L47" si="3">K37*Q37</f>
        <v>774228</v>
      </c>
      <c r="M37" s="34">
        <v>1000000</v>
      </c>
      <c r="N37" s="15" t="s">
        <v>254</v>
      </c>
      <c r="O37" s="32">
        <v>44927</v>
      </c>
      <c r="P37" s="33">
        <v>320000</v>
      </c>
      <c r="Q37" s="15">
        <v>2</v>
      </c>
      <c r="R37" s="212">
        <f t="shared" si="2"/>
        <v>640000</v>
      </c>
      <c r="S37" s="15" t="s">
        <v>273</v>
      </c>
      <c r="T37" s="15" t="s">
        <v>271</v>
      </c>
      <c r="U37" s="15" t="s">
        <v>274</v>
      </c>
      <c r="V37" s="15" t="s">
        <v>276</v>
      </c>
    </row>
    <row r="38" spans="1:22" s="2" customFormat="1" ht="12.75" x14ac:dyDescent="0.2">
      <c r="A38" s="22" t="s">
        <v>110</v>
      </c>
      <c r="B38" s="16" t="str">
        <f>VLOOKUP(A38,Sheet1!A:B,2,0)</f>
        <v>HP</v>
      </c>
      <c r="C38" s="211" t="s">
        <v>121</v>
      </c>
      <c r="D38" s="302">
        <v>23480202011</v>
      </c>
      <c r="E38" s="23" t="s">
        <v>42</v>
      </c>
      <c r="F38" s="24">
        <v>2023</v>
      </c>
      <c r="G38" s="15">
        <v>1</v>
      </c>
      <c r="H38" s="15" t="s">
        <v>269</v>
      </c>
      <c r="I38" s="29">
        <v>45590</v>
      </c>
      <c r="J38" s="30">
        <v>16</v>
      </c>
      <c r="K38" s="34">
        <v>1153152</v>
      </c>
      <c r="L38" s="31">
        <f t="shared" si="3"/>
        <v>1153152</v>
      </c>
      <c r="M38" s="34">
        <v>1000000</v>
      </c>
      <c r="N38" s="22" t="s">
        <v>254</v>
      </c>
      <c r="O38" s="32">
        <v>44927</v>
      </c>
      <c r="P38" s="37">
        <v>370000</v>
      </c>
      <c r="Q38" s="22">
        <v>1</v>
      </c>
      <c r="R38" s="213">
        <f t="shared" si="2"/>
        <v>370000</v>
      </c>
      <c r="S38" s="15" t="s">
        <v>273</v>
      </c>
      <c r="T38" s="22" t="s">
        <v>271</v>
      </c>
      <c r="U38" s="22" t="s">
        <v>274</v>
      </c>
      <c r="V38" s="22" t="s">
        <v>276</v>
      </c>
    </row>
    <row r="39" spans="1:22" s="2" customFormat="1" ht="12.75" x14ac:dyDescent="0.2">
      <c r="A39" s="22" t="s">
        <v>110</v>
      </c>
      <c r="B39" s="16" t="str">
        <f>VLOOKUP(A39,Sheet1!A:B,2,0)</f>
        <v>HP</v>
      </c>
      <c r="C39" s="211" t="s">
        <v>66</v>
      </c>
      <c r="D39" s="302">
        <v>23480202017</v>
      </c>
      <c r="E39" s="23" t="s">
        <v>42</v>
      </c>
      <c r="F39" s="24">
        <v>2023</v>
      </c>
      <c r="G39" s="15">
        <v>1</v>
      </c>
      <c r="H39" s="15" t="s">
        <v>269</v>
      </c>
      <c r="I39" s="29">
        <v>45590</v>
      </c>
      <c r="J39" s="30">
        <v>16</v>
      </c>
      <c r="K39" s="34">
        <v>781196</v>
      </c>
      <c r="L39" s="31">
        <f t="shared" si="3"/>
        <v>781196</v>
      </c>
      <c r="M39" s="34">
        <v>1000000</v>
      </c>
      <c r="N39" s="22" t="s">
        <v>254</v>
      </c>
      <c r="O39" s="32">
        <v>44927</v>
      </c>
      <c r="P39" s="37">
        <v>484014</v>
      </c>
      <c r="Q39" s="22">
        <v>1</v>
      </c>
      <c r="R39" s="213">
        <f t="shared" si="2"/>
        <v>484014</v>
      </c>
      <c r="S39" s="15" t="s">
        <v>273</v>
      </c>
      <c r="T39" s="22" t="s">
        <v>271</v>
      </c>
      <c r="U39" s="22" t="s">
        <v>274</v>
      </c>
      <c r="V39" s="22" t="s">
        <v>276</v>
      </c>
    </row>
    <row r="40" spans="1:22" s="2" customFormat="1" ht="12.75" x14ac:dyDescent="0.2">
      <c r="A40" s="22" t="s">
        <v>110</v>
      </c>
      <c r="B40" s="16" t="str">
        <f>VLOOKUP(A40,Sheet1!A:B,2,0)</f>
        <v>HP</v>
      </c>
      <c r="C40" s="211" t="s">
        <v>81</v>
      </c>
      <c r="D40" s="302">
        <v>23480202018</v>
      </c>
      <c r="E40" s="23" t="s">
        <v>42</v>
      </c>
      <c r="F40" s="24">
        <v>2023</v>
      </c>
      <c r="G40" s="15">
        <v>1</v>
      </c>
      <c r="H40" s="15" t="s">
        <v>269</v>
      </c>
      <c r="I40" s="29">
        <v>45590</v>
      </c>
      <c r="J40" s="30">
        <v>16</v>
      </c>
      <c r="K40" s="34">
        <v>665808</v>
      </c>
      <c r="L40" s="31">
        <f t="shared" si="3"/>
        <v>665808</v>
      </c>
      <c r="M40" s="34">
        <v>1000000</v>
      </c>
      <c r="N40" s="22" t="s">
        <v>254</v>
      </c>
      <c r="O40" s="32">
        <v>44927</v>
      </c>
      <c r="P40" s="37">
        <v>452729</v>
      </c>
      <c r="Q40" s="22">
        <v>1</v>
      </c>
      <c r="R40" s="213">
        <f t="shared" si="2"/>
        <v>452729</v>
      </c>
      <c r="S40" s="15" t="s">
        <v>273</v>
      </c>
      <c r="T40" s="22" t="s">
        <v>271</v>
      </c>
      <c r="U40" s="22" t="s">
        <v>274</v>
      </c>
      <c r="V40" s="22" t="s">
        <v>276</v>
      </c>
    </row>
    <row r="41" spans="1:22" s="3" customFormat="1" ht="13.5" customHeight="1" x14ac:dyDescent="0.25">
      <c r="A41" s="15" t="s">
        <v>277</v>
      </c>
      <c r="B41" s="16" t="str">
        <f>VLOOKUP(A41,Sheet1!A:B,2,0)</f>
        <v>HP</v>
      </c>
      <c r="C41" s="211" t="s">
        <v>98</v>
      </c>
      <c r="D41" s="302">
        <v>22150202008</v>
      </c>
      <c r="E41" s="23" t="s">
        <v>42</v>
      </c>
      <c r="F41" s="24">
        <v>2023</v>
      </c>
      <c r="G41" s="22">
        <v>10</v>
      </c>
      <c r="H41" s="15" t="s">
        <v>269</v>
      </c>
      <c r="I41" s="29">
        <v>45590</v>
      </c>
      <c r="J41" s="38"/>
      <c r="K41" s="39"/>
      <c r="L41" s="31">
        <f t="shared" si="3"/>
        <v>0</v>
      </c>
      <c r="M41" s="39"/>
      <c r="N41" s="22" t="s">
        <v>255</v>
      </c>
      <c r="O41" s="40">
        <v>45210</v>
      </c>
      <c r="P41" s="37">
        <v>12600</v>
      </c>
      <c r="Q41" s="22">
        <v>1</v>
      </c>
      <c r="R41" s="214">
        <f t="shared" si="2"/>
        <v>12600</v>
      </c>
      <c r="S41" s="15" t="s">
        <v>273</v>
      </c>
      <c r="T41" s="22" t="s">
        <v>271</v>
      </c>
      <c r="U41" s="22" t="s">
        <v>274</v>
      </c>
      <c r="V41" s="22" t="s">
        <v>276</v>
      </c>
    </row>
    <row r="42" spans="1:22" s="3" customFormat="1" ht="15" x14ac:dyDescent="0.25">
      <c r="A42" s="22" t="s">
        <v>110</v>
      </c>
      <c r="B42" s="16" t="str">
        <f>VLOOKUP(A42,Sheet1!A:B,2,0)</f>
        <v>HP</v>
      </c>
      <c r="C42" s="211" t="s">
        <v>81</v>
      </c>
      <c r="D42" s="302">
        <v>23480202018</v>
      </c>
      <c r="E42" s="23" t="s">
        <v>42</v>
      </c>
      <c r="F42" s="24">
        <v>2023</v>
      </c>
      <c r="G42" s="22">
        <v>10</v>
      </c>
      <c r="H42" s="15" t="s">
        <v>269</v>
      </c>
      <c r="I42" s="29">
        <v>45590</v>
      </c>
      <c r="J42" s="38"/>
      <c r="K42" s="39"/>
      <c r="L42" s="31">
        <f t="shared" si="3"/>
        <v>0</v>
      </c>
      <c r="M42" s="39"/>
      <c r="N42" s="22" t="s">
        <v>255</v>
      </c>
      <c r="O42" s="40">
        <v>45220</v>
      </c>
      <c r="P42" s="37">
        <v>53870</v>
      </c>
      <c r="Q42" s="22">
        <v>1</v>
      </c>
      <c r="R42" s="214">
        <f t="shared" si="2"/>
        <v>53870</v>
      </c>
      <c r="S42" s="15" t="s">
        <v>273</v>
      </c>
      <c r="T42" s="22" t="s">
        <v>271</v>
      </c>
      <c r="U42" s="22" t="s">
        <v>274</v>
      </c>
      <c r="V42" s="22" t="s">
        <v>276</v>
      </c>
    </row>
    <row r="43" spans="1:22" s="3" customFormat="1" ht="15" x14ac:dyDescent="0.25">
      <c r="A43" s="22" t="s">
        <v>110</v>
      </c>
      <c r="B43" s="16" t="str">
        <f>VLOOKUP(A43,Sheet1!A:B,2,0)</f>
        <v>HP</v>
      </c>
      <c r="C43" s="211" t="s">
        <v>118</v>
      </c>
      <c r="D43" s="302">
        <v>23480202005</v>
      </c>
      <c r="E43" s="23" t="s">
        <v>42</v>
      </c>
      <c r="F43" s="24">
        <v>2023</v>
      </c>
      <c r="G43" s="22">
        <v>10</v>
      </c>
      <c r="H43" s="15" t="s">
        <v>269</v>
      </c>
      <c r="I43" s="29">
        <v>45590</v>
      </c>
      <c r="J43" s="38"/>
      <c r="K43" s="39"/>
      <c r="L43" s="31">
        <f t="shared" si="3"/>
        <v>0</v>
      </c>
      <c r="M43" s="39"/>
      <c r="N43" s="22" t="s">
        <v>255</v>
      </c>
      <c r="O43" s="40">
        <v>45223</v>
      </c>
      <c r="P43" s="37">
        <v>35296</v>
      </c>
      <c r="Q43" s="22">
        <v>1</v>
      </c>
      <c r="R43" s="214">
        <f t="shared" si="2"/>
        <v>35296</v>
      </c>
      <c r="S43" s="15" t="s">
        <v>273</v>
      </c>
      <c r="T43" s="22" t="s">
        <v>271</v>
      </c>
      <c r="U43" s="22" t="s">
        <v>274</v>
      </c>
      <c r="V43" s="22" t="s">
        <v>276</v>
      </c>
    </row>
    <row r="44" spans="1:22" s="2" customFormat="1" ht="15" x14ac:dyDescent="0.25">
      <c r="A44" s="22" t="s">
        <v>110</v>
      </c>
      <c r="B44" s="16" t="str">
        <f>VLOOKUP(A44,Sheet1!A:B,2,0)</f>
        <v>HP</v>
      </c>
      <c r="C44" s="211" t="s">
        <v>66</v>
      </c>
      <c r="D44" s="302">
        <v>23480202017</v>
      </c>
      <c r="E44" s="23" t="s">
        <v>42</v>
      </c>
      <c r="F44" s="24">
        <v>2023</v>
      </c>
      <c r="G44" s="22">
        <v>10</v>
      </c>
      <c r="H44" s="15" t="s">
        <v>269</v>
      </c>
      <c r="I44" s="29">
        <v>45590</v>
      </c>
      <c r="J44" s="38"/>
      <c r="K44" s="39"/>
      <c r="L44" s="31">
        <f t="shared" si="3"/>
        <v>0</v>
      </c>
      <c r="M44" s="39"/>
      <c r="N44" s="22" t="s">
        <v>255</v>
      </c>
      <c r="O44" s="40">
        <v>45209</v>
      </c>
      <c r="P44" s="37">
        <v>207000</v>
      </c>
      <c r="Q44" s="22">
        <v>1</v>
      </c>
      <c r="R44" s="214">
        <f t="shared" si="2"/>
        <v>207000</v>
      </c>
      <c r="S44" s="15" t="s">
        <v>273</v>
      </c>
      <c r="T44" s="22" t="s">
        <v>271</v>
      </c>
      <c r="U44" s="22" t="s">
        <v>274</v>
      </c>
      <c r="V44" s="22" t="s">
        <v>276</v>
      </c>
    </row>
    <row r="45" spans="1:22" s="2" customFormat="1" ht="15" x14ac:dyDescent="0.25">
      <c r="A45" s="22" t="s">
        <v>110</v>
      </c>
      <c r="B45" s="16" t="str">
        <f>VLOOKUP(A45,Sheet1!A:B,2,0)</f>
        <v>HP</v>
      </c>
      <c r="C45" s="211" t="s">
        <v>66</v>
      </c>
      <c r="D45" s="302">
        <v>23480202017</v>
      </c>
      <c r="E45" s="23" t="s">
        <v>42</v>
      </c>
      <c r="F45" s="24">
        <v>2023</v>
      </c>
      <c r="G45" s="22">
        <v>10</v>
      </c>
      <c r="H45" s="15" t="s">
        <v>269</v>
      </c>
      <c r="I45" s="29">
        <v>45590</v>
      </c>
      <c r="J45" s="38"/>
      <c r="K45" s="39"/>
      <c r="L45" s="31">
        <f t="shared" si="3"/>
        <v>0</v>
      </c>
      <c r="M45" s="39"/>
      <c r="N45" s="22" t="s">
        <v>255</v>
      </c>
      <c r="O45" s="40">
        <v>45220</v>
      </c>
      <c r="P45" s="37">
        <v>35513</v>
      </c>
      <c r="Q45" s="22">
        <v>1</v>
      </c>
      <c r="R45" s="214">
        <f t="shared" si="2"/>
        <v>35513</v>
      </c>
      <c r="S45" s="15" t="s">
        <v>273</v>
      </c>
      <c r="T45" s="22" t="s">
        <v>271</v>
      </c>
      <c r="U45" s="22" t="s">
        <v>274</v>
      </c>
      <c r="V45" s="22" t="s">
        <v>276</v>
      </c>
    </row>
    <row r="46" spans="1:22" s="2" customFormat="1" ht="15" x14ac:dyDescent="0.25">
      <c r="A46" s="22" t="s">
        <v>110</v>
      </c>
      <c r="B46" s="16" t="str">
        <f>VLOOKUP(A46,Sheet1!A:B,2,0)</f>
        <v>HP</v>
      </c>
      <c r="C46" s="211" t="s">
        <v>81</v>
      </c>
      <c r="D46" s="302">
        <v>23480202018</v>
      </c>
      <c r="E46" s="23" t="s">
        <v>42</v>
      </c>
      <c r="F46" s="24">
        <v>2023</v>
      </c>
      <c r="G46" s="22">
        <v>11</v>
      </c>
      <c r="H46" s="15" t="s">
        <v>269</v>
      </c>
      <c r="I46" s="29">
        <v>45590</v>
      </c>
      <c r="J46" s="38"/>
      <c r="K46" s="39"/>
      <c r="L46" s="31">
        <f t="shared" si="3"/>
        <v>0</v>
      </c>
      <c r="M46" s="39"/>
      <c r="N46" s="22" t="s">
        <v>255</v>
      </c>
      <c r="O46" s="40">
        <v>45254</v>
      </c>
      <c r="P46" s="37">
        <v>10859</v>
      </c>
      <c r="Q46" s="22">
        <v>1</v>
      </c>
      <c r="R46" s="214">
        <f t="shared" si="2"/>
        <v>10859</v>
      </c>
      <c r="S46" s="15" t="s">
        <v>273</v>
      </c>
      <c r="T46" s="22" t="s">
        <v>271</v>
      </c>
      <c r="U46" s="22" t="s">
        <v>274</v>
      </c>
      <c r="V46" s="22" t="s">
        <v>276</v>
      </c>
    </row>
    <row r="47" spans="1:22" s="2" customFormat="1" ht="15" x14ac:dyDescent="0.25">
      <c r="A47" s="22" t="s">
        <v>110</v>
      </c>
      <c r="B47" s="16" t="str">
        <f>VLOOKUP(A47,Sheet1!A:B,2,0)</f>
        <v>HP</v>
      </c>
      <c r="C47" s="211" t="s">
        <v>66</v>
      </c>
      <c r="D47" s="302">
        <v>23480202017</v>
      </c>
      <c r="E47" s="23" t="s">
        <v>42</v>
      </c>
      <c r="F47" s="24">
        <v>2023</v>
      </c>
      <c r="G47" s="22">
        <v>11</v>
      </c>
      <c r="H47" s="15" t="s">
        <v>269</v>
      </c>
      <c r="I47" s="29">
        <v>45590</v>
      </c>
      <c r="J47" s="38"/>
      <c r="K47" s="39"/>
      <c r="L47" s="31">
        <f t="shared" si="3"/>
        <v>0</v>
      </c>
      <c r="M47" s="39"/>
      <c r="N47" s="22" t="s">
        <v>255</v>
      </c>
      <c r="O47" s="40">
        <v>45254</v>
      </c>
      <c r="P47" s="37">
        <v>26171</v>
      </c>
      <c r="Q47" s="22">
        <v>1</v>
      </c>
      <c r="R47" s="214">
        <f t="shared" si="2"/>
        <v>26171</v>
      </c>
      <c r="S47" s="15" t="s">
        <v>273</v>
      </c>
      <c r="T47" s="22" t="s">
        <v>271</v>
      </c>
      <c r="U47" s="22" t="s">
        <v>274</v>
      </c>
      <c r="V47" s="22" t="s">
        <v>276</v>
      </c>
    </row>
    <row r="48" spans="1:22" s="2" customFormat="1" ht="12.75" x14ac:dyDescent="0.2">
      <c r="A48" s="15" t="s">
        <v>167</v>
      </c>
      <c r="B48" s="16" t="s">
        <v>4</v>
      </c>
      <c r="C48" s="21" t="s">
        <v>278</v>
      </c>
      <c r="D48" s="302">
        <v>22150202017</v>
      </c>
      <c r="E48" s="23" t="s">
        <v>42</v>
      </c>
      <c r="F48" s="24">
        <v>2023</v>
      </c>
      <c r="G48" s="15">
        <v>6</v>
      </c>
      <c r="H48" s="15" t="s">
        <v>279</v>
      </c>
      <c r="I48" s="29">
        <v>45590</v>
      </c>
      <c r="J48" s="30"/>
      <c r="K48" s="34"/>
      <c r="L48" s="31"/>
      <c r="M48" s="34"/>
      <c r="N48" s="22" t="s">
        <v>253</v>
      </c>
      <c r="O48" s="32">
        <v>45078</v>
      </c>
      <c r="P48" s="37">
        <v>6415</v>
      </c>
      <c r="Q48" s="22">
        <v>1</v>
      </c>
      <c r="R48" s="170">
        <f t="shared" si="2"/>
        <v>6415</v>
      </c>
      <c r="S48" s="15" t="s">
        <v>273</v>
      </c>
      <c r="T48" s="22" t="s">
        <v>271</v>
      </c>
      <c r="U48" s="15" t="s">
        <v>272</v>
      </c>
      <c r="V48" s="22"/>
    </row>
    <row r="49" spans="1:22" s="2" customFormat="1" ht="12.75" x14ac:dyDescent="0.2">
      <c r="A49" s="15" t="s">
        <v>167</v>
      </c>
      <c r="B49" s="16" t="s">
        <v>4</v>
      </c>
      <c r="C49" s="21" t="s">
        <v>278</v>
      </c>
      <c r="D49" s="302">
        <v>22150202017</v>
      </c>
      <c r="E49" s="23" t="s">
        <v>42</v>
      </c>
      <c r="F49" s="24">
        <v>2023</v>
      </c>
      <c r="G49" s="15">
        <v>6</v>
      </c>
      <c r="H49" s="15" t="s">
        <v>279</v>
      </c>
      <c r="I49" s="29">
        <v>45590</v>
      </c>
      <c r="J49" s="30"/>
      <c r="K49" s="34"/>
      <c r="L49" s="31"/>
      <c r="M49" s="34"/>
      <c r="N49" s="22" t="s">
        <v>253</v>
      </c>
      <c r="O49" s="32">
        <v>45078</v>
      </c>
      <c r="P49" s="37">
        <v>3088</v>
      </c>
      <c r="Q49" s="22">
        <v>1</v>
      </c>
      <c r="R49" s="170">
        <f t="shared" si="2"/>
        <v>3088</v>
      </c>
      <c r="S49" s="15" t="s">
        <v>273</v>
      </c>
      <c r="T49" s="22" t="s">
        <v>271</v>
      </c>
      <c r="U49" s="15" t="s">
        <v>272</v>
      </c>
      <c r="V49" s="22"/>
    </row>
    <row r="50" spans="1:22" s="2" customFormat="1" ht="12.75" x14ac:dyDescent="0.2">
      <c r="A50" s="15" t="s">
        <v>167</v>
      </c>
      <c r="B50" s="16" t="s">
        <v>4</v>
      </c>
      <c r="C50" s="21" t="s">
        <v>278</v>
      </c>
      <c r="D50" s="302">
        <v>22150202017</v>
      </c>
      <c r="E50" s="23" t="s">
        <v>42</v>
      </c>
      <c r="F50" s="24">
        <v>2023</v>
      </c>
      <c r="G50" s="15">
        <v>6</v>
      </c>
      <c r="H50" s="15" t="s">
        <v>279</v>
      </c>
      <c r="I50" s="29">
        <v>45590</v>
      </c>
      <c r="J50" s="30"/>
      <c r="K50" s="34"/>
      <c r="L50" s="31"/>
      <c r="M50" s="34"/>
      <c r="N50" s="22" t="s">
        <v>253</v>
      </c>
      <c r="O50" s="32">
        <v>45078</v>
      </c>
      <c r="P50" s="37">
        <v>10183</v>
      </c>
      <c r="Q50" s="22">
        <v>1</v>
      </c>
      <c r="R50" s="170">
        <f t="shared" si="2"/>
        <v>10183</v>
      </c>
      <c r="S50" s="15" t="s">
        <v>273</v>
      </c>
      <c r="T50" s="22" t="s">
        <v>271</v>
      </c>
      <c r="U50" s="15" t="s">
        <v>272</v>
      </c>
      <c r="V50" s="22"/>
    </row>
    <row r="51" spans="1:22" s="2" customFormat="1" ht="12.75" x14ac:dyDescent="0.2">
      <c r="A51" s="15" t="s">
        <v>167</v>
      </c>
      <c r="B51" s="16" t="s">
        <v>4</v>
      </c>
      <c r="C51" s="21" t="s">
        <v>104</v>
      </c>
      <c r="D51" s="302">
        <v>22150202021</v>
      </c>
      <c r="E51" s="23" t="s">
        <v>42</v>
      </c>
      <c r="F51" s="24">
        <v>2023</v>
      </c>
      <c r="G51" s="15">
        <v>6</v>
      </c>
      <c r="H51" s="15" t="s">
        <v>279</v>
      </c>
      <c r="I51" s="29">
        <v>45590</v>
      </c>
      <c r="J51" s="30"/>
      <c r="K51" s="34"/>
      <c r="L51" s="31"/>
      <c r="M51" s="34"/>
      <c r="N51" s="22" t="s">
        <v>253</v>
      </c>
      <c r="O51" s="32">
        <v>45078</v>
      </c>
      <c r="P51" s="37">
        <v>9977</v>
      </c>
      <c r="Q51" s="22">
        <v>1</v>
      </c>
      <c r="R51" s="170">
        <f t="shared" si="2"/>
        <v>9977</v>
      </c>
      <c r="S51" s="15" t="s">
        <v>273</v>
      </c>
      <c r="T51" s="22" t="s">
        <v>271</v>
      </c>
      <c r="U51" s="15" t="s">
        <v>272</v>
      </c>
      <c r="V51" s="22"/>
    </row>
    <row r="52" spans="1:22" s="2" customFormat="1" ht="12.75" x14ac:dyDescent="0.2">
      <c r="A52" s="15" t="s">
        <v>167</v>
      </c>
      <c r="B52" s="16" t="s">
        <v>4</v>
      </c>
      <c r="C52" s="21" t="s">
        <v>280</v>
      </c>
      <c r="D52" s="302">
        <v>22150202009</v>
      </c>
      <c r="E52" s="23" t="s">
        <v>42</v>
      </c>
      <c r="F52" s="24">
        <v>2023</v>
      </c>
      <c r="G52" s="15">
        <v>6</v>
      </c>
      <c r="H52" s="15" t="s">
        <v>279</v>
      </c>
      <c r="I52" s="29">
        <v>45590</v>
      </c>
      <c r="J52" s="30"/>
      <c r="K52" s="34"/>
      <c r="L52" s="31"/>
      <c r="M52" s="34"/>
      <c r="N52" s="22" t="s">
        <v>253</v>
      </c>
      <c r="O52" s="32">
        <v>45078</v>
      </c>
      <c r="P52" s="37">
        <v>9245</v>
      </c>
      <c r="Q52" s="22">
        <v>1</v>
      </c>
      <c r="R52" s="170">
        <f t="shared" si="2"/>
        <v>9245</v>
      </c>
      <c r="S52" s="15" t="s">
        <v>273</v>
      </c>
      <c r="T52" s="22" t="s">
        <v>271</v>
      </c>
      <c r="U52" s="15" t="s">
        <v>272</v>
      </c>
      <c r="V52" s="22"/>
    </row>
    <row r="53" spans="1:22" s="2" customFormat="1" ht="12.75" x14ac:dyDescent="0.2">
      <c r="A53" s="15" t="s">
        <v>167</v>
      </c>
      <c r="B53" s="16" t="s">
        <v>4</v>
      </c>
      <c r="C53" s="21" t="s">
        <v>90</v>
      </c>
      <c r="D53" s="302">
        <v>22150202014</v>
      </c>
      <c r="E53" s="23" t="s">
        <v>42</v>
      </c>
      <c r="F53" s="24">
        <v>2023</v>
      </c>
      <c r="G53" s="15">
        <v>6</v>
      </c>
      <c r="H53" s="15" t="s">
        <v>279</v>
      </c>
      <c r="I53" s="29">
        <v>45590</v>
      </c>
      <c r="J53" s="30"/>
      <c r="K53" s="34"/>
      <c r="L53" s="31"/>
      <c r="M53" s="34"/>
      <c r="N53" s="22" t="s">
        <v>253</v>
      </c>
      <c r="O53" s="32">
        <v>45078</v>
      </c>
      <c r="P53" s="37">
        <v>6998</v>
      </c>
      <c r="Q53" s="22">
        <v>1</v>
      </c>
      <c r="R53" s="170">
        <f t="shared" si="2"/>
        <v>6998</v>
      </c>
      <c r="S53" s="15" t="s">
        <v>273</v>
      </c>
      <c r="T53" s="22" t="s">
        <v>271</v>
      </c>
      <c r="U53" s="15" t="s">
        <v>272</v>
      </c>
      <c r="V53" s="22"/>
    </row>
    <row r="54" spans="1:22" s="2" customFormat="1" ht="12.75" x14ac:dyDescent="0.2">
      <c r="A54" s="15" t="s">
        <v>167</v>
      </c>
      <c r="B54" s="16" t="s">
        <v>4</v>
      </c>
      <c r="C54" s="21" t="s">
        <v>94</v>
      </c>
      <c r="D54" s="302">
        <v>22150202015</v>
      </c>
      <c r="E54" s="23" t="s">
        <v>42</v>
      </c>
      <c r="F54" s="24">
        <v>2023</v>
      </c>
      <c r="G54" s="15">
        <v>6</v>
      </c>
      <c r="H54" s="15" t="s">
        <v>279</v>
      </c>
      <c r="I54" s="29">
        <v>45590</v>
      </c>
      <c r="J54" s="30"/>
      <c r="K54" s="34"/>
      <c r="L54" s="31"/>
      <c r="M54" s="34"/>
      <c r="N54" s="22" t="s">
        <v>253</v>
      </c>
      <c r="O54" s="32">
        <v>45078</v>
      </c>
      <c r="P54" s="37">
        <v>13970</v>
      </c>
      <c r="Q54" s="22">
        <v>1</v>
      </c>
      <c r="R54" s="170">
        <f t="shared" si="2"/>
        <v>13970</v>
      </c>
      <c r="S54" s="15" t="s">
        <v>273</v>
      </c>
      <c r="T54" s="22" t="s">
        <v>271</v>
      </c>
      <c r="U54" s="15" t="s">
        <v>272</v>
      </c>
      <c r="V54" s="22"/>
    </row>
    <row r="55" spans="1:22" s="2" customFormat="1" ht="12.75" x14ac:dyDescent="0.2">
      <c r="A55" s="15" t="s">
        <v>167</v>
      </c>
      <c r="B55" s="16" t="s">
        <v>4</v>
      </c>
      <c r="C55" s="21" t="s">
        <v>281</v>
      </c>
      <c r="D55" s="302">
        <v>22150202007</v>
      </c>
      <c r="E55" s="23" t="s">
        <v>42</v>
      </c>
      <c r="F55" s="24">
        <v>2023</v>
      </c>
      <c r="G55" s="15">
        <v>6</v>
      </c>
      <c r="H55" s="15" t="s">
        <v>279</v>
      </c>
      <c r="I55" s="29">
        <v>45590</v>
      </c>
      <c r="J55" s="30"/>
      <c r="K55" s="34"/>
      <c r="L55" s="31"/>
      <c r="M55" s="34"/>
      <c r="N55" s="22" t="s">
        <v>253</v>
      </c>
      <c r="O55" s="32">
        <v>45078</v>
      </c>
      <c r="P55" s="37">
        <v>11686</v>
      </c>
      <c r="Q55" s="22">
        <v>1</v>
      </c>
      <c r="R55" s="170">
        <f t="shared" si="2"/>
        <v>11686</v>
      </c>
      <c r="S55" s="15" t="s">
        <v>273</v>
      </c>
      <c r="T55" s="22" t="s">
        <v>271</v>
      </c>
      <c r="U55" s="15" t="s">
        <v>272</v>
      </c>
      <c r="V55" s="22"/>
    </row>
    <row r="56" spans="1:22" s="2" customFormat="1" ht="12.75" x14ac:dyDescent="0.2">
      <c r="A56" s="15" t="s">
        <v>110</v>
      </c>
      <c r="B56" s="16" t="s">
        <v>4</v>
      </c>
      <c r="C56" s="21" t="s">
        <v>282</v>
      </c>
      <c r="D56" s="302">
        <v>23480202011</v>
      </c>
      <c r="E56" s="23" t="s">
        <v>42</v>
      </c>
      <c r="F56" s="24">
        <v>2023</v>
      </c>
      <c r="G56" s="15">
        <v>7</v>
      </c>
      <c r="H56" s="15" t="s">
        <v>279</v>
      </c>
      <c r="I56" s="29">
        <v>45590</v>
      </c>
      <c r="J56" s="30"/>
      <c r="K56" s="34"/>
      <c r="L56" s="31"/>
      <c r="M56" s="34"/>
      <c r="N56" s="22" t="s">
        <v>253</v>
      </c>
      <c r="O56" s="32">
        <v>45108</v>
      </c>
      <c r="P56" s="37">
        <v>9201</v>
      </c>
      <c r="Q56" s="22">
        <v>1</v>
      </c>
      <c r="R56" s="170">
        <f t="shared" si="2"/>
        <v>9201</v>
      </c>
      <c r="S56" s="15" t="s">
        <v>273</v>
      </c>
      <c r="T56" s="22" t="s">
        <v>271</v>
      </c>
      <c r="U56" s="15" t="s">
        <v>272</v>
      </c>
      <c r="V56" s="22"/>
    </row>
    <row r="57" spans="1:22" s="2" customFormat="1" ht="12.75" x14ac:dyDescent="0.2">
      <c r="A57" s="15" t="s">
        <v>110</v>
      </c>
      <c r="B57" s="16" t="s">
        <v>4</v>
      </c>
      <c r="C57" s="21" t="s">
        <v>121</v>
      </c>
      <c r="D57" s="302">
        <v>23480202011</v>
      </c>
      <c r="E57" s="23" t="s">
        <v>42</v>
      </c>
      <c r="F57" s="24">
        <v>2023</v>
      </c>
      <c r="G57" s="15">
        <v>7</v>
      </c>
      <c r="H57" s="15" t="s">
        <v>279</v>
      </c>
      <c r="I57" s="29">
        <v>45590</v>
      </c>
      <c r="J57" s="30"/>
      <c r="K57" s="34"/>
      <c r="L57" s="31"/>
      <c r="M57" s="34"/>
      <c r="N57" s="22" t="s">
        <v>253</v>
      </c>
      <c r="O57" s="32">
        <v>45108</v>
      </c>
      <c r="P57" s="37">
        <v>20444</v>
      </c>
      <c r="Q57" s="22">
        <v>1</v>
      </c>
      <c r="R57" s="170">
        <f t="shared" si="2"/>
        <v>20444</v>
      </c>
      <c r="S57" s="15" t="s">
        <v>273</v>
      </c>
      <c r="T57" s="22" t="s">
        <v>271</v>
      </c>
      <c r="U57" s="15" t="s">
        <v>272</v>
      </c>
      <c r="V57" s="22"/>
    </row>
    <row r="58" spans="1:22" s="2" customFormat="1" ht="12.75" x14ac:dyDescent="0.2">
      <c r="A58" s="15" t="s">
        <v>167</v>
      </c>
      <c r="B58" s="16" t="s">
        <v>4</v>
      </c>
      <c r="C58" s="21" t="s">
        <v>66</v>
      </c>
      <c r="D58" s="302">
        <v>22150202010</v>
      </c>
      <c r="E58" s="23" t="s">
        <v>42</v>
      </c>
      <c r="F58" s="24">
        <v>2023</v>
      </c>
      <c r="G58" s="15">
        <v>7</v>
      </c>
      <c r="H58" s="15" t="s">
        <v>279</v>
      </c>
      <c r="I58" s="29">
        <v>45590</v>
      </c>
      <c r="J58" s="30"/>
      <c r="K58" s="34"/>
      <c r="L58" s="31"/>
      <c r="M58" s="34"/>
      <c r="N58" s="22" t="s">
        <v>253</v>
      </c>
      <c r="O58" s="32">
        <v>45108</v>
      </c>
      <c r="P58" s="37">
        <v>6869</v>
      </c>
      <c r="Q58" s="22">
        <v>1</v>
      </c>
      <c r="R58" s="170">
        <f t="shared" si="2"/>
        <v>6869</v>
      </c>
      <c r="S58" s="15" t="s">
        <v>273</v>
      </c>
      <c r="T58" s="22" t="s">
        <v>271</v>
      </c>
      <c r="U58" s="15" t="s">
        <v>272</v>
      </c>
      <c r="V58" s="22"/>
    </row>
    <row r="59" spans="1:22" s="2" customFormat="1" ht="12.75" x14ac:dyDescent="0.2">
      <c r="A59" s="15" t="s">
        <v>167</v>
      </c>
      <c r="B59" s="16" t="s">
        <v>4</v>
      </c>
      <c r="C59" s="21" t="s">
        <v>278</v>
      </c>
      <c r="D59" s="302">
        <v>22150202017</v>
      </c>
      <c r="E59" s="23" t="s">
        <v>42</v>
      </c>
      <c r="F59" s="24">
        <v>2023</v>
      </c>
      <c r="G59" s="15">
        <v>7</v>
      </c>
      <c r="H59" s="15" t="s">
        <v>279</v>
      </c>
      <c r="I59" s="29">
        <v>45590</v>
      </c>
      <c r="J59" s="30"/>
      <c r="K59" s="34"/>
      <c r="L59" s="31"/>
      <c r="M59" s="34"/>
      <c r="N59" s="22" t="s">
        <v>253</v>
      </c>
      <c r="O59" s="32">
        <v>45108</v>
      </c>
      <c r="P59" s="37">
        <v>32659</v>
      </c>
      <c r="Q59" s="22">
        <v>1</v>
      </c>
      <c r="R59" s="170">
        <f t="shared" si="2"/>
        <v>32659</v>
      </c>
      <c r="S59" s="15" t="s">
        <v>273</v>
      </c>
      <c r="T59" s="22" t="s">
        <v>271</v>
      </c>
      <c r="U59" s="15" t="s">
        <v>272</v>
      </c>
      <c r="V59" s="22"/>
    </row>
    <row r="60" spans="1:22" s="2" customFormat="1" ht="12.75" x14ac:dyDescent="0.2">
      <c r="A60" s="15" t="s">
        <v>167</v>
      </c>
      <c r="B60" s="16" t="s">
        <v>4</v>
      </c>
      <c r="C60" s="21" t="s">
        <v>98</v>
      </c>
      <c r="D60" s="302">
        <v>22150202008</v>
      </c>
      <c r="E60" s="23" t="s">
        <v>42</v>
      </c>
      <c r="F60" s="24">
        <v>2023</v>
      </c>
      <c r="G60" s="15">
        <v>7</v>
      </c>
      <c r="H60" s="15" t="s">
        <v>279</v>
      </c>
      <c r="I60" s="29">
        <v>45590</v>
      </c>
      <c r="J60" s="30"/>
      <c r="K60" s="34"/>
      <c r="L60" s="31"/>
      <c r="M60" s="34"/>
      <c r="N60" s="22" t="s">
        <v>253</v>
      </c>
      <c r="O60" s="32">
        <v>45108</v>
      </c>
      <c r="P60" s="37">
        <v>47920</v>
      </c>
      <c r="Q60" s="22">
        <v>1</v>
      </c>
      <c r="R60" s="170">
        <f t="shared" si="2"/>
        <v>47920</v>
      </c>
      <c r="S60" s="15" t="s">
        <v>273</v>
      </c>
      <c r="T60" s="22" t="s">
        <v>271</v>
      </c>
      <c r="U60" s="15" t="s">
        <v>272</v>
      </c>
      <c r="V60" s="22"/>
    </row>
    <row r="61" spans="1:22" s="2" customFormat="1" ht="12.75" x14ac:dyDescent="0.2">
      <c r="A61" s="15" t="s">
        <v>167</v>
      </c>
      <c r="B61" s="16" t="s">
        <v>4</v>
      </c>
      <c r="C61" s="21" t="s">
        <v>104</v>
      </c>
      <c r="D61" s="302">
        <v>22150202021</v>
      </c>
      <c r="E61" s="23" t="s">
        <v>42</v>
      </c>
      <c r="F61" s="24">
        <v>2023</v>
      </c>
      <c r="G61" s="15">
        <v>7</v>
      </c>
      <c r="H61" s="15" t="s">
        <v>279</v>
      </c>
      <c r="I61" s="29">
        <v>45590</v>
      </c>
      <c r="J61" s="30"/>
      <c r="K61" s="34"/>
      <c r="L61" s="31"/>
      <c r="M61" s="34"/>
      <c r="N61" s="22" t="s">
        <v>253</v>
      </c>
      <c r="O61" s="32">
        <v>45108</v>
      </c>
      <c r="P61" s="37">
        <v>86249</v>
      </c>
      <c r="Q61" s="22">
        <v>1</v>
      </c>
      <c r="R61" s="170">
        <f t="shared" si="2"/>
        <v>86249</v>
      </c>
      <c r="S61" s="15" t="s">
        <v>273</v>
      </c>
      <c r="T61" s="22" t="s">
        <v>271</v>
      </c>
      <c r="U61" s="15" t="s">
        <v>272</v>
      </c>
      <c r="V61" s="22"/>
    </row>
    <row r="62" spans="1:22" s="2" customFormat="1" ht="12.75" x14ac:dyDescent="0.2">
      <c r="A62" s="15" t="s">
        <v>167</v>
      </c>
      <c r="B62" s="16" t="s">
        <v>4</v>
      </c>
      <c r="C62" s="21" t="s">
        <v>283</v>
      </c>
      <c r="D62" s="302">
        <v>22150202018</v>
      </c>
      <c r="E62" s="23" t="s">
        <v>42</v>
      </c>
      <c r="F62" s="24">
        <v>2023</v>
      </c>
      <c r="G62" s="15">
        <v>7</v>
      </c>
      <c r="H62" s="15" t="s">
        <v>279</v>
      </c>
      <c r="I62" s="29">
        <v>45590</v>
      </c>
      <c r="J62" s="30"/>
      <c r="K62" s="34"/>
      <c r="L62" s="31"/>
      <c r="M62" s="34"/>
      <c r="N62" s="22" t="s">
        <v>253</v>
      </c>
      <c r="O62" s="32">
        <v>45108</v>
      </c>
      <c r="P62" s="37">
        <v>17884</v>
      </c>
      <c r="Q62" s="22">
        <v>1</v>
      </c>
      <c r="R62" s="170">
        <f t="shared" si="2"/>
        <v>17884</v>
      </c>
      <c r="S62" s="15" t="s">
        <v>273</v>
      </c>
      <c r="T62" s="22" t="s">
        <v>271</v>
      </c>
      <c r="U62" s="15" t="s">
        <v>272</v>
      </c>
      <c r="V62" s="22"/>
    </row>
    <row r="63" spans="1:22" s="2" customFormat="1" ht="12.75" x14ac:dyDescent="0.2">
      <c r="A63" s="15" t="s">
        <v>167</v>
      </c>
      <c r="B63" s="16" t="s">
        <v>4</v>
      </c>
      <c r="C63" s="21" t="s">
        <v>281</v>
      </c>
      <c r="D63" s="302">
        <v>22150202007</v>
      </c>
      <c r="E63" s="23" t="s">
        <v>42</v>
      </c>
      <c r="F63" s="24">
        <v>2023</v>
      </c>
      <c r="G63" s="15">
        <v>7</v>
      </c>
      <c r="H63" s="15" t="s">
        <v>279</v>
      </c>
      <c r="I63" s="29">
        <v>45590</v>
      </c>
      <c r="J63" s="30"/>
      <c r="K63" s="34"/>
      <c r="L63" s="31"/>
      <c r="M63" s="34"/>
      <c r="N63" s="22" t="s">
        <v>253</v>
      </c>
      <c r="O63" s="32">
        <v>45108</v>
      </c>
      <c r="P63" s="37">
        <v>44712</v>
      </c>
      <c r="Q63" s="22">
        <v>1</v>
      </c>
      <c r="R63" s="170">
        <f t="shared" si="2"/>
        <v>44712</v>
      </c>
      <c r="S63" s="15" t="s">
        <v>273</v>
      </c>
      <c r="T63" s="22" t="s">
        <v>271</v>
      </c>
      <c r="U63" s="15" t="s">
        <v>272</v>
      </c>
      <c r="V63" s="22"/>
    </row>
    <row r="64" spans="1:22" s="2" customFormat="1" ht="12.75" x14ac:dyDescent="0.2">
      <c r="A64" s="15" t="s">
        <v>167</v>
      </c>
      <c r="B64" s="16" t="s">
        <v>4</v>
      </c>
      <c r="C64" s="21" t="s">
        <v>280</v>
      </c>
      <c r="D64" s="302">
        <v>22150202009</v>
      </c>
      <c r="E64" s="23" t="s">
        <v>42</v>
      </c>
      <c r="F64" s="24">
        <v>2023</v>
      </c>
      <c r="G64" s="15">
        <v>7</v>
      </c>
      <c r="H64" s="15" t="s">
        <v>279</v>
      </c>
      <c r="I64" s="29">
        <v>45590</v>
      </c>
      <c r="J64" s="30"/>
      <c r="K64" s="34"/>
      <c r="L64" s="31"/>
      <c r="M64" s="34"/>
      <c r="N64" s="22" t="s">
        <v>253</v>
      </c>
      <c r="O64" s="32">
        <v>45108</v>
      </c>
      <c r="P64" s="37">
        <v>44732</v>
      </c>
      <c r="Q64" s="22">
        <v>1</v>
      </c>
      <c r="R64" s="170">
        <f t="shared" si="2"/>
        <v>44732</v>
      </c>
      <c r="S64" s="15" t="s">
        <v>273</v>
      </c>
      <c r="T64" s="22" t="s">
        <v>271</v>
      </c>
      <c r="U64" s="15" t="s">
        <v>272</v>
      </c>
      <c r="V64" s="22"/>
    </row>
    <row r="65" spans="1:22" s="2" customFormat="1" ht="12.75" x14ac:dyDescent="0.2">
      <c r="A65" s="15" t="s">
        <v>110</v>
      </c>
      <c r="B65" s="16" t="s">
        <v>4</v>
      </c>
      <c r="C65" s="21" t="s">
        <v>118</v>
      </c>
      <c r="D65" s="302">
        <v>23480202005</v>
      </c>
      <c r="E65" s="23" t="s">
        <v>42</v>
      </c>
      <c r="F65" s="24">
        <v>2023</v>
      </c>
      <c r="G65" s="15">
        <v>7</v>
      </c>
      <c r="H65" s="15" t="s">
        <v>279</v>
      </c>
      <c r="I65" s="29">
        <v>45590</v>
      </c>
      <c r="J65" s="30"/>
      <c r="K65" s="34"/>
      <c r="L65" s="31"/>
      <c r="M65" s="34"/>
      <c r="N65" s="22" t="s">
        <v>253</v>
      </c>
      <c r="O65" s="32">
        <v>45108</v>
      </c>
      <c r="P65" s="37">
        <v>22032</v>
      </c>
      <c r="Q65" s="22">
        <v>1</v>
      </c>
      <c r="R65" s="170">
        <f t="shared" si="2"/>
        <v>22032</v>
      </c>
      <c r="S65" s="15" t="s">
        <v>273</v>
      </c>
      <c r="T65" s="22" t="s">
        <v>271</v>
      </c>
      <c r="U65" s="15" t="s">
        <v>272</v>
      </c>
      <c r="V65" s="22"/>
    </row>
    <row r="66" spans="1:22" s="2" customFormat="1" ht="12.75" x14ac:dyDescent="0.2">
      <c r="A66" s="15" t="s">
        <v>110</v>
      </c>
      <c r="B66" s="16" t="s">
        <v>4</v>
      </c>
      <c r="C66" s="21" t="s">
        <v>58</v>
      </c>
      <c r="D66" s="302">
        <v>23480202009</v>
      </c>
      <c r="E66" s="23" t="s">
        <v>42</v>
      </c>
      <c r="F66" s="24">
        <v>2023</v>
      </c>
      <c r="G66" s="15">
        <v>7</v>
      </c>
      <c r="H66" s="15" t="s">
        <v>279</v>
      </c>
      <c r="I66" s="29">
        <v>45590</v>
      </c>
      <c r="J66" s="30"/>
      <c r="K66" s="34"/>
      <c r="L66" s="31"/>
      <c r="M66" s="34"/>
      <c r="N66" s="22" t="s">
        <v>253</v>
      </c>
      <c r="O66" s="32">
        <v>45108</v>
      </c>
      <c r="P66" s="37">
        <v>8510</v>
      </c>
      <c r="Q66" s="22">
        <v>1</v>
      </c>
      <c r="R66" s="170">
        <f t="shared" si="2"/>
        <v>8510</v>
      </c>
      <c r="S66" s="15" t="s">
        <v>273</v>
      </c>
      <c r="T66" s="22" t="s">
        <v>271</v>
      </c>
      <c r="U66" s="15" t="s">
        <v>272</v>
      </c>
      <c r="V66" s="22"/>
    </row>
    <row r="67" spans="1:22" s="2" customFormat="1" ht="12.75" x14ac:dyDescent="0.2">
      <c r="A67" s="15" t="s">
        <v>167</v>
      </c>
      <c r="B67" s="16" t="s">
        <v>4</v>
      </c>
      <c r="C67" s="21" t="s">
        <v>283</v>
      </c>
      <c r="D67" s="302">
        <v>22150202018</v>
      </c>
      <c r="E67" s="23" t="s">
        <v>42</v>
      </c>
      <c r="F67" s="24">
        <v>2023</v>
      </c>
      <c r="G67" s="15">
        <v>7</v>
      </c>
      <c r="H67" s="15" t="s">
        <v>279</v>
      </c>
      <c r="I67" s="29">
        <v>45590</v>
      </c>
      <c r="J67" s="30"/>
      <c r="K67" s="34"/>
      <c r="L67" s="31"/>
      <c r="M67" s="34"/>
      <c r="N67" s="22" t="s">
        <v>253</v>
      </c>
      <c r="O67" s="32">
        <v>45108</v>
      </c>
      <c r="P67" s="37">
        <v>14701</v>
      </c>
      <c r="Q67" s="22">
        <v>1</v>
      </c>
      <c r="R67" s="170">
        <f t="shared" si="2"/>
        <v>14701</v>
      </c>
      <c r="S67" s="15" t="s">
        <v>273</v>
      </c>
      <c r="T67" s="22" t="s">
        <v>271</v>
      </c>
      <c r="U67" s="15" t="s">
        <v>272</v>
      </c>
      <c r="V67" s="22"/>
    </row>
    <row r="68" spans="1:22" s="2" customFormat="1" ht="12.75" x14ac:dyDescent="0.2">
      <c r="A68" s="15" t="s">
        <v>167</v>
      </c>
      <c r="B68" s="16" t="s">
        <v>4</v>
      </c>
      <c r="C68" s="21" t="s">
        <v>280</v>
      </c>
      <c r="D68" s="302">
        <v>22150202009</v>
      </c>
      <c r="E68" s="23" t="s">
        <v>42</v>
      </c>
      <c r="F68" s="24">
        <v>2023</v>
      </c>
      <c r="G68" s="15">
        <v>7</v>
      </c>
      <c r="H68" s="15" t="s">
        <v>279</v>
      </c>
      <c r="I68" s="29">
        <v>45590</v>
      </c>
      <c r="J68" s="30"/>
      <c r="K68" s="34"/>
      <c r="L68" s="31"/>
      <c r="M68" s="34"/>
      <c r="N68" s="22" t="s">
        <v>253</v>
      </c>
      <c r="O68" s="32">
        <v>45108</v>
      </c>
      <c r="P68" s="37">
        <v>5966</v>
      </c>
      <c r="Q68" s="22">
        <v>1</v>
      </c>
      <c r="R68" s="170">
        <f t="shared" si="2"/>
        <v>5966</v>
      </c>
      <c r="S68" s="15" t="s">
        <v>273</v>
      </c>
      <c r="T68" s="22" t="s">
        <v>271</v>
      </c>
      <c r="U68" s="15" t="s">
        <v>272</v>
      </c>
      <c r="V68" s="22"/>
    </row>
    <row r="69" spans="1:22" s="2" customFormat="1" ht="12.75" x14ac:dyDescent="0.2">
      <c r="A69" s="15" t="s">
        <v>167</v>
      </c>
      <c r="B69" s="16" t="s">
        <v>4</v>
      </c>
      <c r="C69" s="21" t="s">
        <v>90</v>
      </c>
      <c r="D69" s="302">
        <v>22150202014</v>
      </c>
      <c r="E69" s="23" t="s">
        <v>42</v>
      </c>
      <c r="F69" s="24">
        <v>2023</v>
      </c>
      <c r="G69" s="15">
        <v>7</v>
      </c>
      <c r="H69" s="15" t="s">
        <v>279</v>
      </c>
      <c r="I69" s="29">
        <v>45590</v>
      </c>
      <c r="J69" s="30"/>
      <c r="K69" s="34"/>
      <c r="L69" s="31"/>
      <c r="M69" s="34"/>
      <c r="N69" s="22" t="s">
        <v>253</v>
      </c>
      <c r="O69" s="32">
        <v>45108</v>
      </c>
      <c r="P69" s="37">
        <v>6554</v>
      </c>
      <c r="Q69" s="22">
        <v>1</v>
      </c>
      <c r="R69" s="170">
        <f t="shared" si="2"/>
        <v>6554</v>
      </c>
      <c r="S69" s="15" t="s">
        <v>273</v>
      </c>
      <c r="T69" s="22" t="s">
        <v>271</v>
      </c>
      <c r="U69" s="15" t="s">
        <v>272</v>
      </c>
      <c r="V69" s="22"/>
    </row>
    <row r="70" spans="1:22" s="2" customFormat="1" ht="12.75" x14ac:dyDescent="0.2">
      <c r="A70" s="15" t="s">
        <v>110</v>
      </c>
      <c r="B70" s="16" t="s">
        <v>4</v>
      </c>
      <c r="C70" s="21" t="s">
        <v>118</v>
      </c>
      <c r="D70" s="302">
        <v>23480202005</v>
      </c>
      <c r="E70" s="23" t="s">
        <v>42</v>
      </c>
      <c r="F70" s="24">
        <v>2023</v>
      </c>
      <c r="G70" s="15">
        <v>8</v>
      </c>
      <c r="H70" s="15" t="s">
        <v>279</v>
      </c>
      <c r="I70" s="29">
        <v>45590</v>
      </c>
      <c r="J70" s="30"/>
      <c r="K70" s="34"/>
      <c r="L70" s="31"/>
      <c r="M70" s="34"/>
      <c r="N70" s="22" t="s">
        <v>253</v>
      </c>
      <c r="O70" s="32">
        <v>45139</v>
      </c>
      <c r="P70" s="37">
        <v>20085</v>
      </c>
      <c r="Q70" s="22">
        <v>1</v>
      </c>
      <c r="R70" s="170">
        <f t="shared" si="2"/>
        <v>20085</v>
      </c>
      <c r="S70" s="15" t="s">
        <v>273</v>
      </c>
      <c r="T70" s="22" t="s">
        <v>271</v>
      </c>
      <c r="U70" s="15" t="s">
        <v>272</v>
      </c>
      <c r="V70" s="22"/>
    </row>
    <row r="71" spans="1:22" s="2" customFormat="1" ht="12.75" x14ac:dyDescent="0.2">
      <c r="A71" s="15" t="s">
        <v>110</v>
      </c>
      <c r="B71" s="16" t="s">
        <v>4</v>
      </c>
      <c r="C71" s="21" t="s">
        <v>66</v>
      </c>
      <c r="D71" s="302">
        <v>23480202010</v>
      </c>
      <c r="E71" s="23" t="s">
        <v>42</v>
      </c>
      <c r="F71" s="24">
        <v>2023</v>
      </c>
      <c r="G71" s="15">
        <v>8</v>
      </c>
      <c r="H71" s="15" t="s">
        <v>279</v>
      </c>
      <c r="I71" s="29">
        <v>45590</v>
      </c>
      <c r="J71" s="30"/>
      <c r="K71" s="34"/>
      <c r="L71" s="31"/>
      <c r="M71" s="34"/>
      <c r="N71" s="22" t="s">
        <v>253</v>
      </c>
      <c r="O71" s="32">
        <v>45139</v>
      </c>
      <c r="P71" s="37">
        <v>31764</v>
      </c>
      <c r="Q71" s="22">
        <v>1</v>
      </c>
      <c r="R71" s="170">
        <f t="shared" si="2"/>
        <v>31764</v>
      </c>
      <c r="S71" s="15" t="s">
        <v>273</v>
      </c>
      <c r="T71" s="22" t="s">
        <v>271</v>
      </c>
      <c r="U71" s="15" t="s">
        <v>272</v>
      </c>
      <c r="V71" s="22"/>
    </row>
    <row r="72" spans="1:22" s="2" customFormat="1" ht="12.75" x14ac:dyDescent="0.2">
      <c r="A72" s="15" t="s">
        <v>167</v>
      </c>
      <c r="B72" s="16" t="s">
        <v>4</v>
      </c>
      <c r="C72" s="21" t="s">
        <v>58</v>
      </c>
      <c r="D72" s="302">
        <v>23480202009</v>
      </c>
      <c r="E72" s="23" t="s">
        <v>42</v>
      </c>
      <c r="F72" s="24">
        <v>2023</v>
      </c>
      <c r="G72" s="15">
        <v>8</v>
      </c>
      <c r="H72" s="15" t="s">
        <v>279</v>
      </c>
      <c r="I72" s="29">
        <v>45590</v>
      </c>
      <c r="J72" s="30"/>
      <c r="K72" s="34"/>
      <c r="L72" s="31"/>
      <c r="M72" s="34"/>
      <c r="N72" s="22" t="s">
        <v>253</v>
      </c>
      <c r="O72" s="32">
        <v>45139</v>
      </c>
      <c r="P72" s="37">
        <v>32073</v>
      </c>
      <c r="Q72" s="22">
        <v>1</v>
      </c>
      <c r="R72" s="170">
        <f t="shared" si="2"/>
        <v>32073</v>
      </c>
      <c r="S72" s="15" t="s">
        <v>273</v>
      </c>
      <c r="T72" s="22" t="s">
        <v>271</v>
      </c>
      <c r="U72" s="15" t="s">
        <v>272</v>
      </c>
      <c r="V72" s="22"/>
    </row>
    <row r="73" spans="1:22" s="2" customFormat="1" ht="12.75" x14ac:dyDescent="0.2">
      <c r="A73" s="15" t="s">
        <v>110</v>
      </c>
      <c r="B73" s="16" t="s">
        <v>4</v>
      </c>
      <c r="C73" s="21" t="s">
        <v>115</v>
      </c>
      <c r="D73" s="302">
        <v>23480202012</v>
      </c>
      <c r="E73" s="23" t="s">
        <v>42</v>
      </c>
      <c r="F73" s="24">
        <v>2023</v>
      </c>
      <c r="G73" s="15">
        <v>8</v>
      </c>
      <c r="H73" s="15" t="s">
        <v>279</v>
      </c>
      <c r="I73" s="29">
        <v>45590</v>
      </c>
      <c r="J73" s="30"/>
      <c r="K73" s="34"/>
      <c r="L73" s="31"/>
      <c r="M73" s="34"/>
      <c r="N73" s="22" t="s">
        <v>253</v>
      </c>
      <c r="O73" s="32">
        <v>45139</v>
      </c>
      <c r="P73" s="37">
        <v>27115</v>
      </c>
      <c r="Q73" s="22">
        <v>1</v>
      </c>
      <c r="R73" s="170">
        <f t="shared" si="2"/>
        <v>27115</v>
      </c>
      <c r="S73" s="15" t="s">
        <v>273</v>
      </c>
      <c r="T73" s="22" t="s">
        <v>271</v>
      </c>
      <c r="U73" s="15" t="s">
        <v>272</v>
      </c>
      <c r="V73" s="22"/>
    </row>
    <row r="74" spans="1:22" s="2" customFormat="1" ht="12.75" x14ac:dyDescent="0.2">
      <c r="A74" s="15" t="s">
        <v>110</v>
      </c>
      <c r="B74" s="16" t="s">
        <v>4</v>
      </c>
      <c r="C74" s="21" t="s">
        <v>121</v>
      </c>
      <c r="D74" s="302">
        <v>23480202011</v>
      </c>
      <c r="E74" s="23" t="s">
        <v>42</v>
      </c>
      <c r="F74" s="24">
        <v>2023</v>
      </c>
      <c r="G74" s="15">
        <v>8</v>
      </c>
      <c r="H74" s="15" t="s">
        <v>279</v>
      </c>
      <c r="I74" s="29">
        <v>45590</v>
      </c>
      <c r="J74" s="30"/>
      <c r="K74" s="34"/>
      <c r="L74" s="31"/>
      <c r="M74" s="34"/>
      <c r="N74" s="22" t="s">
        <v>253</v>
      </c>
      <c r="O74" s="32">
        <v>45139</v>
      </c>
      <c r="P74" s="37">
        <v>18633</v>
      </c>
      <c r="Q74" s="22">
        <v>1</v>
      </c>
      <c r="R74" s="170">
        <f t="shared" si="2"/>
        <v>18633</v>
      </c>
      <c r="S74" s="15" t="s">
        <v>273</v>
      </c>
      <c r="T74" s="22" t="s">
        <v>271</v>
      </c>
      <c r="U74" s="15" t="s">
        <v>272</v>
      </c>
      <c r="V74" s="22"/>
    </row>
    <row r="75" spans="1:22" s="2" customFormat="1" ht="12.75" x14ac:dyDescent="0.2">
      <c r="A75" s="15" t="s">
        <v>110</v>
      </c>
      <c r="B75" s="16" t="s">
        <v>4</v>
      </c>
      <c r="C75" s="21" t="s">
        <v>278</v>
      </c>
      <c r="D75" s="302">
        <v>22150202015</v>
      </c>
      <c r="E75" s="23" t="s">
        <v>42</v>
      </c>
      <c r="F75" s="24">
        <v>2023</v>
      </c>
      <c r="G75" s="15">
        <v>8</v>
      </c>
      <c r="H75" s="15" t="s">
        <v>279</v>
      </c>
      <c r="I75" s="29">
        <v>45590</v>
      </c>
      <c r="J75" s="30"/>
      <c r="K75" s="34"/>
      <c r="L75" s="31"/>
      <c r="M75" s="34"/>
      <c r="N75" s="22" t="s">
        <v>253</v>
      </c>
      <c r="O75" s="32">
        <v>45139</v>
      </c>
      <c r="P75" s="37">
        <v>5740</v>
      </c>
      <c r="Q75" s="22">
        <v>1</v>
      </c>
      <c r="R75" s="170">
        <f t="shared" si="2"/>
        <v>5740</v>
      </c>
      <c r="S75" s="15" t="s">
        <v>273</v>
      </c>
      <c r="T75" s="22" t="s">
        <v>271</v>
      </c>
      <c r="U75" s="15" t="s">
        <v>272</v>
      </c>
      <c r="V75" s="22"/>
    </row>
    <row r="76" spans="1:22" s="2" customFormat="1" ht="12.75" x14ac:dyDescent="0.2">
      <c r="A76" s="15" t="s">
        <v>167</v>
      </c>
      <c r="B76" s="16" t="s">
        <v>4</v>
      </c>
      <c r="C76" s="21" t="s">
        <v>284</v>
      </c>
      <c r="D76" s="302">
        <v>22150202008</v>
      </c>
      <c r="E76" s="23" t="s">
        <v>42</v>
      </c>
      <c r="F76" s="24">
        <v>2023</v>
      </c>
      <c r="G76" s="15">
        <v>8</v>
      </c>
      <c r="H76" s="15" t="s">
        <v>279</v>
      </c>
      <c r="I76" s="29">
        <v>45590</v>
      </c>
      <c r="J76" s="30"/>
      <c r="K76" s="34"/>
      <c r="L76" s="31"/>
      <c r="M76" s="34"/>
      <c r="N76" s="22" t="s">
        <v>253</v>
      </c>
      <c r="O76" s="32">
        <v>45139</v>
      </c>
      <c r="P76" s="37">
        <v>12359</v>
      </c>
      <c r="Q76" s="22">
        <v>1</v>
      </c>
      <c r="R76" s="170">
        <f t="shared" si="2"/>
        <v>12359</v>
      </c>
      <c r="S76" s="15" t="s">
        <v>273</v>
      </c>
      <c r="T76" s="22" t="s">
        <v>271</v>
      </c>
      <c r="U76" s="15" t="s">
        <v>272</v>
      </c>
      <c r="V76" s="22"/>
    </row>
    <row r="77" spans="1:22" s="2" customFormat="1" ht="12.75" x14ac:dyDescent="0.2">
      <c r="A77" s="15" t="s">
        <v>167</v>
      </c>
      <c r="B77" s="16" t="s">
        <v>4</v>
      </c>
      <c r="C77" s="21" t="s">
        <v>283</v>
      </c>
      <c r="D77" s="302">
        <v>22150202018</v>
      </c>
      <c r="E77" s="23" t="s">
        <v>42</v>
      </c>
      <c r="F77" s="24">
        <v>2023</v>
      </c>
      <c r="G77" s="15">
        <v>8</v>
      </c>
      <c r="H77" s="15" t="s">
        <v>279</v>
      </c>
      <c r="I77" s="29">
        <v>45590</v>
      </c>
      <c r="J77" s="30"/>
      <c r="K77" s="34"/>
      <c r="L77" s="31"/>
      <c r="M77" s="34"/>
      <c r="N77" s="22" t="s">
        <v>253</v>
      </c>
      <c r="O77" s="32">
        <v>45139</v>
      </c>
      <c r="P77" s="37">
        <v>22070</v>
      </c>
      <c r="Q77" s="22">
        <v>1</v>
      </c>
      <c r="R77" s="170">
        <f t="shared" si="2"/>
        <v>22070</v>
      </c>
      <c r="S77" s="15" t="s">
        <v>273</v>
      </c>
      <c r="T77" s="22" t="s">
        <v>271</v>
      </c>
      <c r="U77" s="15" t="s">
        <v>272</v>
      </c>
      <c r="V77" s="22"/>
    </row>
    <row r="78" spans="1:22" s="2" customFormat="1" ht="12.75" x14ac:dyDescent="0.2">
      <c r="A78" s="15" t="s">
        <v>167</v>
      </c>
      <c r="B78" s="16" t="s">
        <v>4</v>
      </c>
      <c r="C78" s="21" t="s">
        <v>94</v>
      </c>
      <c r="D78" s="302">
        <v>22150202015</v>
      </c>
      <c r="E78" s="23" t="s">
        <v>42</v>
      </c>
      <c r="F78" s="24">
        <v>2023</v>
      </c>
      <c r="G78" s="15">
        <v>8</v>
      </c>
      <c r="H78" s="15" t="s">
        <v>279</v>
      </c>
      <c r="I78" s="29">
        <v>45590</v>
      </c>
      <c r="J78" s="30"/>
      <c r="K78" s="34"/>
      <c r="L78" s="31"/>
      <c r="M78" s="34"/>
      <c r="N78" s="22" t="s">
        <v>253</v>
      </c>
      <c r="O78" s="32">
        <v>45139</v>
      </c>
      <c r="P78" s="37">
        <v>13648</v>
      </c>
      <c r="Q78" s="22">
        <v>1</v>
      </c>
      <c r="R78" s="170">
        <f t="shared" si="2"/>
        <v>13648</v>
      </c>
      <c r="S78" s="15" t="s">
        <v>273</v>
      </c>
      <c r="T78" s="22" t="s">
        <v>271</v>
      </c>
      <c r="U78" s="15" t="s">
        <v>272</v>
      </c>
      <c r="V78" s="22"/>
    </row>
    <row r="79" spans="1:22" s="2" customFormat="1" ht="12.75" x14ac:dyDescent="0.2">
      <c r="A79" s="15" t="s">
        <v>110</v>
      </c>
      <c r="B79" s="16" t="s">
        <v>4</v>
      </c>
      <c r="C79" s="21" t="s">
        <v>285</v>
      </c>
      <c r="D79" s="302">
        <v>23480202010</v>
      </c>
      <c r="E79" s="23" t="s">
        <v>42</v>
      </c>
      <c r="F79" s="24">
        <v>2023</v>
      </c>
      <c r="G79" s="15">
        <v>8</v>
      </c>
      <c r="H79" s="15" t="s">
        <v>279</v>
      </c>
      <c r="I79" s="29">
        <v>45590</v>
      </c>
      <c r="J79" s="30"/>
      <c r="K79" s="34"/>
      <c r="L79" s="31"/>
      <c r="M79" s="34"/>
      <c r="N79" s="22" t="s">
        <v>253</v>
      </c>
      <c r="O79" s="32">
        <v>45139</v>
      </c>
      <c r="P79" s="37">
        <v>10914</v>
      </c>
      <c r="Q79" s="22">
        <v>1</v>
      </c>
      <c r="R79" s="170">
        <f t="shared" si="2"/>
        <v>10914</v>
      </c>
      <c r="S79" s="15" t="s">
        <v>273</v>
      </c>
      <c r="T79" s="22" t="s">
        <v>271</v>
      </c>
      <c r="U79" s="15" t="s">
        <v>272</v>
      </c>
      <c r="V79" s="22"/>
    </row>
    <row r="80" spans="1:22" s="2" customFormat="1" ht="12.75" x14ac:dyDescent="0.2">
      <c r="A80" s="15" t="s">
        <v>167</v>
      </c>
      <c r="B80" s="16" t="s">
        <v>4</v>
      </c>
      <c r="C80" s="21" t="s">
        <v>278</v>
      </c>
      <c r="D80" s="302">
        <v>22150202017</v>
      </c>
      <c r="E80" s="23" t="s">
        <v>42</v>
      </c>
      <c r="F80" s="24">
        <v>2023</v>
      </c>
      <c r="G80" s="15">
        <v>8</v>
      </c>
      <c r="H80" s="15" t="s">
        <v>279</v>
      </c>
      <c r="I80" s="29">
        <v>45590</v>
      </c>
      <c r="J80" s="30"/>
      <c r="K80" s="34"/>
      <c r="L80" s="31"/>
      <c r="M80" s="34"/>
      <c r="N80" s="22" t="s">
        <v>253</v>
      </c>
      <c r="O80" s="32">
        <v>45139</v>
      </c>
      <c r="P80" s="37">
        <v>10120</v>
      </c>
      <c r="Q80" s="22">
        <v>1</v>
      </c>
      <c r="R80" s="170">
        <f t="shared" si="2"/>
        <v>10120</v>
      </c>
      <c r="S80" s="15" t="s">
        <v>273</v>
      </c>
      <c r="T80" s="22" t="s">
        <v>271</v>
      </c>
      <c r="U80" s="15" t="s">
        <v>272</v>
      </c>
      <c r="V80" s="22"/>
    </row>
    <row r="81" spans="1:22" s="2" customFormat="1" ht="12.75" x14ac:dyDescent="0.2">
      <c r="A81" s="15" t="s">
        <v>110</v>
      </c>
      <c r="B81" s="16" t="s">
        <v>4</v>
      </c>
      <c r="C81" s="21" t="s">
        <v>278</v>
      </c>
      <c r="D81" s="302">
        <v>22150202017</v>
      </c>
      <c r="E81" s="23" t="s">
        <v>42</v>
      </c>
      <c r="F81" s="24">
        <v>2023</v>
      </c>
      <c r="G81" s="15">
        <v>8</v>
      </c>
      <c r="H81" s="15" t="s">
        <v>279</v>
      </c>
      <c r="I81" s="29">
        <v>45590</v>
      </c>
      <c r="J81" s="30"/>
      <c r="K81" s="34"/>
      <c r="L81" s="31"/>
      <c r="M81" s="34"/>
      <c r="N81" s="22" t="s">
        <v>253</v>
      </c>
      <c r="O81" s="32">
        <v>45139</v>
      </c>
      <c r="P81" s="37">
        <v>8639</v>
      </c>
      <c r="Q81" s="22">
        <v>1</v>
      </c>
      <c r="R81" s="170">
        <f t="shared" si="2"/>
        <v>8639</v>
      </c>
      <c r="S81" s="15" t="s">
        <v>273</v>
      </c>
      <c r="T81" s="22" t="s">
        <v>271</v>
      </c>
      <c r="U81" s="15" t="s">
        <v>272</v>
      </c>
      <c r="V81" s="22"/>
    </row>
    <row r="82" spans="1:22" s="2" customFormat="1" ht="12.75" x14ac:dyDescent="0.2">
      <c r="A82" s="15" t="s">
        <v>110</v>
      </c>
      <c r="B82" s="16" t="s">
        <v>4</v>
      </c>
      <c r="C82" s="21" t="s">
        <v>115</v>
      </c>
      <c r="D82" s="302">
        <v>23480202012</v>
      </c>
      <c r="E82" s="23" t="s">
        <v>42</v>
      </c>
      <c r="F82" s="24">
        <v>2023</v>
      </c>
      <c r="G82" s="15">
        <v>8</v>
      </c>
      <c r="H82" s="15" t="s">
        <v>279</v>
      </c>
      <c r="I82" s="29">
        <v>45590</v>
      </c>
      <c r="J82" s="30"/>
      <c r="K82" s="34"/>
      <c r="L82" s="31"/>
      <c r="M82" s="34"/>
      <c r="N82" s="22" t="s">
        <v>253</v>
      </c>
      <c r="O82" s="32">
        <v>45139</v>
      </c>
      <c r="P82" s="37">
        <v>8944</v>
      </c>
      <c r="Q82" s="22">
        <v>1</v>
      </c>
      <c r="R82" s="170">
        <f t="shared" si="2"/>
        <v>8944</v>
      </c>
      <c r="S82" s="15" t="s">
        <v>273</v>
      </c>
      <c r="T82" s="22" t="s">
        <v>271</v>
      </c>
      <c r="U82" s="15" t="s">
        <v>272</v>
      </c>
      <c r="V82" s="22"/>
    </row>
    <row r="83" spans="1:22" s="2" customFormat="1" ht="12.75" x14ac:dyDescent="0.2">
      <c r="A83" s="15" t="s">
        <v>110</v>
      </c>
      <c r="B83" s="16" t="s">
        <v>4</v>
      </c>
      <c r="C83" s="21" t="s">
        <v>286</v>
      </c>
      <c r="D83" s="302">
        <v>23480202011</v>
      </c>
      <c r="E83" s="23" t="s">
        <v>42</v>
      </c>
      <c r="F83" s="24">
        <v>2023</v>
      </c>
      <c r="G83" s="15">
        <v>8</v>
      </c>
      <c r="H83" s="15" t="s">
        <v>279</v>
      </c>
      <c r="I83" s="29">
        <v>45590</v>
      </c>
      <c r="J83" s="30"/>
      <c r="K83" s="34"/>
      <c r="L83" s="31"/>
      <c r="M83" s="34"/>
      <c r="N83" s="22" t="s">
        <v>253</v>
      </c>
      <c r="O83" s="32">
        <v>45139</v>
      </c>
      <c r="P83" s="37">
        <v>18874</v>
      </c>
      <c r="Q83" s="22">
        <v>1</v>
      </c>
      <c r="R83" s="170">
        <f t="shared" si="2"/>
        <v>18874</v>
      </c>
      <c r="S83" s="15" t="s">
        <v>273</v>
      </c>
      <c r="T83" s="22" t="s">
        <v>271</v>
      </c>
      <c r="U83" s="15" t="s">
        <v>272</v>
      </c>
      <c r="V83" s="22"/>
    </row>
    <row r="84" spans="1:22" s="2" customFormat="1" ht="12.75" x14ac:dyDescent="0.2">
      <c r="A84" s="15" t="s">
        <v>110</v>
      </c>
      <c r="B84" s="16" t="s">
        <v>4</v>
      </c>
      <c r="C84" s="21" t="s">
        <v>121</v>
      </c>
      <c r="D84" s="302">
        <v>23480202011</v>
      </c>
      <c r="E84" s="23" t="s">
        <v>42</v>
      </c>
      <c r="F84" s="24">
        <v>2023</v>
      </c>
      <c r="G84" s="15">
        <v>8</v>
      </c>
      <c r="H84" s="15" t="s">
        <v>279</v>
      </c>
      <c r="I84" s="29">
        <v>45590</v>
      </c>
      <c r="J84" s="30"/>
      <c r="K84" s="34"/>
      <c r="L84" s="31"/>
      <c r="M84" s="34"/>
      <c r="N84" s="22" t="s">
        <v>253</v>
      </c>
      <c r="O84" s="32">
        <v>45139</v>
      </c>
      <c r="P84" s="37">
        <v>124820</v>
      </c>
      <c r="Q84" s="22">
        <v>1</v>
      </c>
      <c r="R84" s="170">
        <f t="shared" si="2"/>
        <v>124820</v>
      </c>
      <c r="S84" s="15" t="s">
        <v>273</v>
      </c>
      <c r="T84" s="22" t="s">
        <v>271</v>
      </c>
      <c r="U84" s="15" t="s">
        <v>272</v>
      </c>
      <c r="V84" s="22"/>
    </row>
    <row r="85" spans="1:22" s="2" customFormat="1" ht="12.75" x14ac:dyDescent="0.2">
      <c r="A85" s="15" t="s">
        <v>110</v>
      </c>
      <c r="B85" s="16" t="s">
        <v>4</v>
      </c>
      <c r="C85" s="21" t="s">
        <v>58</v>
      </c>
      <c r="D85" s="302">
        <v>23480202009</v>
      </c>
      <c r="E85" s="23" t="s">
        <v>42</v>
      </c>
      <c r="F85" s="24">
        <v>2023</v>
      </c>
      <c r="G85" s="15">
        <v>8</v>
      </c>
      <c r="H85" s="15" t="s">
        <v>279</v>
      </c>
      <c r="I85" s="29">
        <v>45590</v>
      </c>
      <c r="J85" s="30"/>
      <c r="K85" s="34"/>
      <c r="L85" s="31"/>
      <c r="M85" s="34"/>
      <c r="N85" s="22" t="s">
        <v>253</v>
      </c>
      <c r="O85" s="32">
        <v>45139</v>
      </c>
      <c r="P85" s="37">
        <v>108927</v>
      </c>
      <c r="Q85" s="22">
        <v>1</v>
      </c>
      <c r="R85" s="170">
        <f t="shared" si="2"/>
        <v>108927</v>
      </c>
      <c r="S85" s="15" t="s">
        <v>273</v>
      </c>
      <c r="T85" s="22" t="s">
        <v>271</v>
      </c>
      <c r="U85" s="15" t="s">
        <v>272</v>
      </c>
      <c r="V85" s="22"/>
    </row>
    <row r="86" spans="1:22" s="2" customFormat="1" ht="12.75" x14ac:dyDescent="0.2">
      <c r="A86" s="15" t="s">
        <v>110</v>
      </c>
      <c r="B86" s="16" t="s">
        <v>4</v>
      </c>
      <c r="C86" s="21" t="s">
        <v>118</v>
      </c>
      <c r="D86" s="302">
        <v>23480202005</v>
      </c>
      <c r="E86" s="23" t="s">
        <v>42</v>
      </c>
      <c r="F86" s="24">
        <v>2023</v>
      </c>
      <c r="G86" s="15">
        <v>8</v>
      </c>
      <c r="H86" s="15" t="s">
        <v>279</v>
      </c>
      <c r="I86" s="29">
        <v>45590</v>
      </c>
      <c r="J86" s="30"/>
      <c r="K86" s="34"/>
      <c r="L86" s="31"/>
      <c r="M86" s="34"/>
      <c r="N86" s="22" t="s">
        <v>253</v>
      </c>
      <c r="O86" s="32">
        <v>45139</v>
      </c>
      <c r="P86" s="37">
        <v>217479</v>
      </c>
      <c r="Q86" s="22">
        <v>1</v>
      </c>
      <c r="R86" s="170">
        <f t="shared" si="2"/>
        <v>217479</v>
      </c>
      <c r="S86" s="15" t="s">
        <v>273</v>
      </c>
      <c r="T86" s="22" t="s">
        <v>271</v>
      </c>
      <c r="U86" s="15" t="s">
        <v>272</v>
      </c>
      <c r="V86" s="22"/>
    </row>
    <row r="87" spans="1:22" s="2" customFormat="1" ht="12.75" x14ac:dyDescent="0.2">
      <c r="A87" s="15" t="s">
        <v>110</v>
      </c>
      <c r="B87" s="16" t="s">
        <v>4</v>
      </c>
      <c r="C87" s="21" t="s">
        <v>66</v>
      </c>
      <c r="D87" s="302">
        <v>23480202010</v>
      </c>
      <c r="E87" s="23" t="s">
        <v>42</v>
      </c>
      <c r="F87" s="24">
        <v>2023</v>
      </c>
      <c r="G87" s="15">
        <v>8</v>
      </c>
      <c r="H87" s="15" t="s">
        <v>279</v>
      </c>
      <c r="I87" s="29">
        <v>45590</v>
      </c>
      <c r="J87" s="30"/>
      <c r="K87" s="34"/>
      <c r="L87" s="31"/>
      <c r="M87" s="34"/>
      <c r="N87" s="22" t="s">
        <v>253</v>
      </c>
      <c r="O87" s="32">
        <v>45139</v>
      </c>
      <c r="P87" s="37">
        <v>117994</v>
      </c>
      <c r="Q87" s="22">
        <v>1</v>
      </c>
      <c r="R87" s="170">
        <f t="shared" si="2"/>
        <v>117994</v>
      </c>
      <c r="S87" s="15" t="s">
        <v>273</v>
      </c>
      <c r="T87" s="22" t="s">
        <v>271</v>
      </c>
      <c r="U87" s="15" t="s">
        <v>272</v>
      </c>
      <c r="V87" s="22"/>
    </row>
    <row r="88" spans="1:22" s="2" customFormat="1" ht="12.75" x14ac:dyDescent="0.2">
      <c r="A88" s="15" t="s">
        <v>110</v>
      </c>
      <c r="B88" s="16" t="s">
        <v>4</v>
      </c>
      <c r="C88" s="21" t="s">
        <v>115</v>
      </c>
      <c r="D88" s="302">
        <v>23480202012</v>
      </c>
      <c r="E88" s="23" t="s">
        <v>42</v>
      </c>
      <c r="F88" s="24">
        <v>2023</v>
      </c>
      <c r="G88" s="15">
        <v>8</v>
      </c>
      <c r="H88" s="15" t="s">
        <v>279</v>
      </c>
      <c r="I88" s="29">
        <v>45590</v>
      </c>
      <c r="J88" s="30"/>
      <c r="K88" s="34"/>
      <c r="L88" s="31"/>
      <c r="M88" s="34"/>
      <c r="N88" s="22" t="s">
        <v>253</v>
      </c>
      <c r="O88" s="32">
        <v>45139</v>
      </c>
      <c r="P88" s="37">
        <v>95483</v>
      </c>
      <c r="Q88" s="22">
        <v>1</v>
      </c>
      <c r="R88" s="170">
        <f t="shared" si="2"/>
        <v>95483</v>
      </c>
      <c r="S88" s="15" t="s">
        <v>273</v>
      </c>
      <c r="T88" s="22" t="s">
        <v>271</v>
      </c>
      <c r="U88" s="15" t="s">
        <v>272</v>
      </c>
      <c r="V88" s="22"/>
    </row>
    <row r="89" spans="1:22" s="2" customFormat="1" ht="12.75" x14ac:dyDescent="0.2">
      <c r="A89" s="15" t="s">
        <v>110</v>
      </c>
      <c r="B89" s="16" t="s">
        <v>4</v>
      </c>
      <c r="C89" s="21" t="s">
        <v>278</v>
      </c>
      <c r="D89" s="302">
        <v>23480202015</v>
      </c>
      <c r="E89" s="23" t="s">
        <v>42</v>
      </c>
      <c r="F89" s="24">
        <v>2023</v>
      </c>
      <c r="G89" s="15">
        <v>8</v>
      </c>
      <c r="H89" s="15" t="s">
        <v>279</v>
      </c>
      <c r="I89" s="29">
        <v>45590</v>
      </c>
      <c r="J89" s="30"/>
      <c r="K89" s="34"/>
      <c r="L89" s="31"/>
      <c r="M89" s="34"/>
      <c r="N89" s="22" t="s">
        <v>253</v>
      </c>
      <c r="O89" s="32">
        <v>45139</v>
      </c>
      <c r="P89" s="37">
        <v>95483</v>
      </c>
      <c r="Q89" s="22">
        <v>1</v>
      </c>
      <c r="R89" s="170">
        <f t="shared" si="2"/>
        <v>95483</v>
      </c>
      <c r="S89" s="15" t="s">
        <v>273</v>
      </c>
      <c r="T89" s="22" t="s">
        <v>271</v>
      </c>
      <c r="U89" s="15" t="s">
        <v>272</v>
      </c>
      <c r="V89" s="22"/>
    </row>
    <row r="90" spans="1:22" s="2" customFormat="1" ht="12.75" x14ac:dyDescent="0.2">
      <c r="A90" s="15" t="s">
        <v>110</v>
      </c>
      <c r="B90" s="16" t="s">
        <v>4</v>
      </c>
      <c r="C90" s="21" t="s">
        <v>58</v>
      </c>
      <c r="D90" s="302">
        <v>23480202009</v>
      </c>
      <c r="E90" s="23" t="s">
        <v>42</v>
      </c>
      <c r="F90" s="24">
        <v>2023</v>
      </c>
      <c r="G90" s="15">
        <v>8</v>
      </c>
      <c r="H90" s="15" t="s">
        <v>279</v>
      </c>
      <c r="I90" s="29">
        <v>45590</v>
      </c>
      <c r="J90" s="30"/>
      <c r="K90" s="34"/>
      <c r="L90" s="31"/>
      <c r="M90" s="34"/>
      <c r="N90" s="22" t="s">
        <v>253</v>
      </c>
      <c r="O90" s="32">
        <v>45139</v>
      </c>
      <c r="P90" s="37">
        <v>230000</v>
      </c>
      <c r="Q90" s="22">
        <v>1</v>
      </c>
      <c r="R90" s="170">
        <f t="shared" si="2"/>
        <v>230000</v>
      </c>
      <c r="S90" s="15" t="s">
        <v>273</v>
      </c>
      <c r="T90" s="22" t="s">
        <v>271</v>
      </c>
      <c r="U90" s="15" t="s">
        <v>272</v>
      </c>
      <c r="V90" s="22"/>
    </row>
    <row r="91" spans="1:22" s="2" customFormat="1" ht="12.75" x14ac:dyDescent="0.2">
      <c r="A91" s="15" t="s">
        <v>110</v>
      </c>
      <c r="B91" s="16" t="s">
        <v>4</v>
      </c>
      <c r="C91" s="21" t="s">
        <v>66</v>
      </c>
      <c r="D91" s="302">
        <v>23480202010</v>
      </c>
      <c r="E91" s="23" t="s">
        <v>42</v>
      </c>
      <c r="F91" s="24">
        <v>2023</v>
      </c>
      <c r="G91" s="15">
        <v>8</v>
      </c>
      <c r="H91" s="15" t="s">
        <v>279</v>
      </c>
      <c r="I91" s="29">
        <v>45590</v>
      </c>
      <c r="J91" s="30"/>
      <c r="K91" s="34"/>
      <c r="L91" s="31"/>
      <c r="M91" s="34"/>
      <c r="N91" s="22" t="s">
        <v>253</v>
      </c>
      <c r="O91" s="32">
        <v>45139</v>
      </c>
      <c r="P91" s="37">
        <v>315000</v>
      </c>
      <c r="Q91" s="22">
        <v>1</v>
      </c>
      <c r="R91" s="170">
        <f t="shared" si="2"/>
        <v>315000</v>
      </c>
      <c r="S91" s="15" t="s">
        <v>273</v>
      </c>
      <c r="T91" s="22" t="s">
        <v>271</v>
      </c>
      <c r="U91" s="15" t="s">
        <v>272</v>
      </c>
      <c r="V91" s="22"/>
    </row>
    <row r="92" spans="1:22" s="2" customFormat="1" ht="12.75" x14ac:dyDescent="0.2">
      <c r="A92" s="15" t="s">
        <v>110</v>
      </c>
      <c r="B92" s="16" t="s">
        <v>4</v>
      </c>
      <c r="C92" s="21" t="s">
        <v>104</v>
      </c>
      <c r="D92" s="302">
        <v>23480202010</v>
      </c>
      <c r="E92" s="23" t="s">
        <v>42</v>
      </c>
      <c r="F92" s="24">
        <v>2023</v>
      </c>
      <c r="G92" s="15">
        <v>8</v>
      </c>
      <c r="H92" s="15" t="s">
        <v>279</v>
      </c>
      <c r="I92" s="29">
        <v>45590</v>
      </c>
      <c r="J92" s="30"/>
      <c r="K92" s="34"/>
      <c r="L92" s="31"/>
      <c r="M92" s="34"/>
      <c r="N92" s="22" t="s">
        <v>253</v>
      </c>
      <c r="O92" s="32">
        <v>45139</v>
      </c>
      <c r="P92" s="37">
        <v>138000</v>
      </c>
      <c r="Q92" s="22">
        <v>1</v>
      </c>
      <c r="R92" s="170">
        <f t="shared" si="2"/>
        <v>138000</v>
      </c>
      <c r="S92" s="15" t="s">
        <v>273</v>
      </c>
      <c r="T92" s="22" t="s">
        <v>271</v>
      </c>
      <c r="U92" s="15" t="s">
        <v>272</v>
      </c>
      <c r="V92" s="22"/>
    </row>
    <row r="93" spans="1:22" s="2" customFormat="1" ht="15" x14ac:dyDescent="0.25">
      <c r="A93" s="22" t="s">
        <v>110</v>
      </c>
      <c r="B93" s="16" t="str">
        <f>VLOOKUP(A93,Sheet1!A:B,2,0)</f>
        <v>HP</v>
      </c>
      <c r="C93" s="21" t="s">
        <v>66</v>
      </c>
      <c r="D93" s="302">
        <v>23480202017</v>
      </c>
      <c r="E93" s="23" t="s">
        <v>42</v>
      </c>
      <c r="F93" s="24">
        <v>2023</v>
      </c>
      <c r="G93" s="22">
        <v>3</v>
      </c>
      <c r="H93" s="22" t="s">
        <v>279</v>
      </c>
      <c r="I93" s="29">
        <v>45590</v>
      </c>
      <c r="J93" s="38"/>
      <c r="K93" s="39"/>
      <c r="L93" s="31">
        <f t="shared" ref="L93:L113" si="4">K93*Q93</f>
        <v>0</v>
      </c>
      <c r="M93" s="39"/>
      <c r="N93" s="22" t="s">
        <v>253</v>
      </c>
      <c r="O93" s="40">
        <v>45376</v>
      </c>
      <c r="P93" s="37">
        <v>8471.1</v>
      </c>
      <c r="Q93" s="22">
        <v>1</v>
      </c>
      <c r="R93" s="44">
        <f>P93*Q93</f>
        <v>8471.1</v>
      </c>
      <c r="S93" s="15" t="s">
        <v>273</v>
      </c>
      <c r="T93" s="22" t="s">
        <v>271</v>
      </c>
      <c r="U93" s="22" t="s">
        <v>272</v>
      </c>
      <c r="V93" s="22" t="s">
        <v>276</v>
      </c>
    </row>
    <row r="94" spans="1:22" s="2" customFormat="1" ht="15" x14ac:dyDescent="0.25">
      <c r="A94" s="22" t="s">
        <v>110</v>
      </c>
      <c r="B94" s="16" t="str">
        <f>VLOOKUP(A94,Sheet1!A:B,2,0)</f>
        <v>HP</v>
      </c>
      <c r="C94" s="21" t="s">
        <v>118</v>
      </c>
      <c r="D94" s="302">
        <v>23480202005</v>
      </c>
      <c r="E94" s="23" t="s">
        <v>42</v>
      </c>
      <c r="F94" s="24">
        <v>2023</v>
      </c>
      <c r="G94" s="22">
        <v>3</v>
      </c>
      <c r="H94" s="22" t="s">
        <v>279</v>
      </c>
      <c r="I94" s="29">
        <v>45590</v>
      </c>
      <c r="J94" s="38"/>
      <c r="K94" s="39"/>
      <c r="L94" s="31">
        <f t="shared" si="4"/>
        <v>0</v>
      </c>
      <c r="M94" s="39"/>
      <c r="N94" s="22" t="s">
        <v>253</v>
      </c>
      <c r="O94" s="40">
        <v>45376</v>
      </c>
      <c r="P94" s="37">
        <v>21437</v>
      </c>
      <c r="Q94" s="22">
        <v>1</v>
      </c>
      <c r="R94" s="44">
        <f>P94*Q94</f>
        <v>21437</v>
      </c>
      <c r="S94" s="15" t="s">
        <v>273</v>
      </c>
      <c r="T94" s="22" t="s">
        <v>271</v>
      </c>
      <c r="U94" s="22" t="s">
        <v>272</v>
      </c>
      <c r="V94" s="22" t="s">
        <v>276</v>
      </c>
    </row>
    <row r="95" spans="1:22" s="2" customFormat="1" ht="15" x14ac:dyDescent="0.25">
      <c r="A95" s="22" t="s">
        <v>110</v>
      </c>
      <c r="B95" s="16" t="str">
        <f>VLOOKUP(A95,Sheet1!A:B,2,0)</f>
        <v>HP</v>
      </c>
      <c r="C95" s="21" t="s">
        <v>115</v>
      </c>
      <c r="D95" s="302">
        <v>23480202012</v>
      </c>
      <c r="E95" s="23" t="s">
        <v>42</v>
      </c>
      <c r="F95" s="24">
        <v>2023</v>
      </c>
      <c r="G95" s="22">
        <v>3</v>
      </c>
      <c r="H95" s="22" t="s">
        <v>279</v>
      </c>
      <c r="I95" s="29">
        <v>45590</v>
      </c>
      <c r="J95" s="38"/>
      <c r="K95" s="39"/>
      <c r="L95" s="31">
        <f t="shared" si="4"/>
        <v>0</v>
      </c>
      <c r="M95" s="39"/>
      <c r="N95" s="22" t="s">
        <v>253</v>
      </c>
      <c r="O95" s="40">
        <v>45376</v>
      </c>
      <c r="P95" s="37">
        <v>8396.2150000000001</v>
      </c>
      <c r="Q95" s="22">
        <v>1</v>
      </c>
      <c r="R95" s="44">
        <f t="shared" ref="R95:R98" si="5">P95*Q95</f>
        <v>8396.2150000000001</v>
      </c>
      <c r="S95" s="15" t="s">
        <v>273</v>
      </c>
      <c r="T95" s="22" t="s">
        <v>271</v>
      </c>
      <c r="U95" s="22" t="s">
        <v>272</v>
      </c>
      <c r="V95" s="22" t="s">
        <v>276</v>
      </c>
    </row>
    <row r="96" spans="1:22" s="2" customFormat="1" ht="15" x14ac:dyDescent="0.25">
      <c r="A96" s="22" t="s">
        <v>110</v>
      </c>
      <c r="B96" s="16" t="str">
        <f>VLOOKUP(A96,Sheet1!A:B,2,0)</f>
        <v>HP</v>
      </c>
      <c r="C96" s="21" t="s">
        <v>115</v>
      </c>
      <c r="D96" s="302">
        <v>23480202012</v>
      </c>
      <c r="E96" s="23" t="s">
        <v>42</v>
      </c>
      <c r="F96" s="24">
        <v>2023</v>
      </c>
      <c r="G96" s="22">
        <v>3</v>
      </c>
      <c r="H96" s="22" t="s">
        <v>279</v>
      </c>
      <c r="I96" s="29">
        <v>45590</v>
      </c>
      <c r="J96" s="38"/>
      <c r="K96" s="39"/>
      <c r="L96" s="31">
        <f t="shared" si="4"/>
        <v>0</v>
      </c>
      <c r="M96" s="39"/>
      <c r="N96" s="22" t="s">
        <v>253</v>
      </c>
      <c r="O96" s="40">
        <v>45376</v>
      </c>
      <c r="P96" s="37">
        <v>43769.9</v>
      </c>
      <c r="Q96" s="22">
        <v>1</v>
      </c>
      <c r="R96" s="44">
        <f t="shared" si="5"/>
        <v>43769.9</v>
      </c>
      <c r="S96" s="15" t="s">
        <v>273</v>
      </c>
      <c r="T96" s="22" t="s">
        <v>271</v>
      </c>
      <c r="U96" s="22" t="s">
        <v>272</v>
      </c>
      <c r="V96" s="22" t="s">
        <v>276</v>
      </c>
    </row>
    <row r="97" spans="1:22" s="2" customFormat="1" ht="15" x14ac:dyDescent="0.25">
      <c r="A97" s="22" t="s">
        <v>110</v>
      </c>
      <c r="B97" s="16" t="str">
        <f>VLOOKUP(A97,Sheet1!A:B,2,0)</f>
        <v>HP</v>
      </c>
      <c r="C97" s="21" t="s">
        <v>121</v>
      </c>
      <c r="D97" s="302">
        <v>23480202011</v>
      </c>
      <c r="E97" s="23" t="s">
        <v>42</v>
      </c>
      <c r="F97" s="24">
        <v>2023</v>
      </c>
      <c r="G97" s="22">
        <v>3</v>
      </c>
      <c r="H97" s="22" t="s">
        <v>279</v>
      </c>
      <c r="I97" s="29">
        <v>45590</v>
      </c>
      <c r="J97" s="38"/>
      <c r="K97" s="39"/>
      <c r="L97" s="31">
        <f t="shared" si="4"/>
        <v>0</v>
      </c>
      <c r="M97" s="39"/>
      <c r="N97" s="22" t="s">
        <v>253</v>
      </c>
      <c r="O97" s="40">
        <v>45376</v>
      </c>
      <c r="P97" s="37">
        <v>10892.07</v>
      </c>
      <c r="Q97" s="22">
        <v>1</v>
      </c>
      <c r="R97" s="44">
        <f t="shared" si="5"/>
        <v>10892.07</v>
      </c>
      <c r="S97" s="15" t="s">
        <v>273</v>
      </c>
      <c r="T97" s="22" t="s">
        <v>271</v>
      </c>
      <c r="U97" s="22" t="s">
        <v>272</v>
      </c>
      <c r="V97" s="22" t="s">
        <v>276</v>
      </c>
    </row>
    <row r="98" spans="1:22" s="2" customFormat="1" ht="15" x14ac:dyDescent="0.25">
      <c r="A98" s="22" t="s">
        <v>110</v>
      </c>
      <c r="B98" s="16" t="str">
        <f>VLOOKUP(A98,Sheet1!A:B,2,0)</f>
        <v>HP</v>
      </c>
      <c r="C98" s="21" t="s">
        <v>81</v>
      </c>
      <c r="D98" s="302">
        <v>23480202018</v>
      </c>
      <c r="E98" s="23" t="s">
        <v>42</v>
      </c>
      <c r="F98" s="24">
        <v>2023</v>
      </c>
      <c r="G98" s="22">
        <v>3</v>
      </c>
      <c r="H98" s="22" t="s">
        <v>279</v>
      </c>
      <c r="I98" s="29">
        <v>45590</v>
      </c>
      <c r="J98" s="38"/>
      <c r="K98" s="39"/>
      <c r="L98" s="31">
        <f t="shared" si="4"/>
        <v>0</v>
      </c>
      <c r="M98" s="39"/>
      <c r="N98" s="22" t="s">
        <v>253</v>
      </c>
      <c r="O98" s="40">
        <v>45376</v>
      </c>
      <c r="P98" s="37">
        <v>41897.01</v>
      </c>
      <c r="Q98" s="22">
        <v>1</v>
      </c>
      <c r="R98" s="44">
        <f t="shared" si="5"/>
        <v>41897.01</v>
      </c>
      <c r="S98" s="15" t="s">
        <v>273</v>
      </c>
      <c r="T98" s="22" t="s">
        <v>271</v>
      </c>
      <c r="U98" s="22" t="s">
        <v>272</v>
      </c>
      <c r="V98" s="22" t="s">
        <v>276</v>
      </c>
    </row>
    <row r="99" spans="1:22" s="2" customFormat="1" ht="18.95" customHeight="1" x14ac:dyDescent="0.2">
      <c r="A99" s="15" t="s">
        <v>287</v>
      </c>
      <c r="B99" s="16" t="str">
        <f>VLOOKUP(A99,Sheet1!A:B,2,0)</f>
        <v>HP</v>
      </c>
      <c r="C99" s="20" t="s">
        <v>236</v>
      </c>
      <c r="D99" s="303" t="s">
        <v>288</v>
      </c>
      <c r="E99" s="23" t="s">
        <v>42</v>
      </c>
      <c r="F99" s="24">
        <v>2023</v>
      </c>
      <c r="G99" s="22">
        <v>5</v>
      </c>
      <c r="H99" s="22" t="s">
        <v>289</v>
      </c>
      <c r="I99" s="29">
        <v>45590</v>
      </c>
      <c r="J99" s="30">
        <v>1</v>
      </c>
      <c r="K99" s="34">
        <v>10000</v>
      </c>
      <c r="L99" s="31">
        <f t="shared" si="4"/>
        <v>10000</v>
      </c>
      <c r="M99" s="34">
        <v>50000</v>
      </c>
      <c r="N99" s="15" t="s">
        <v>252</v>
      </c>
      <c r="O99" s="32">
        <v>45422</v>
      </c>
      <c r="P99" s="52">
        <v>672500</v>
      </c>
      <c r="Q99" s="22">
        <v>1</v>
      </c>
      <c r="R99" s="44">
        <f>P99*Q99</f>
        <v>672500</v>
      </c>
      <c r="S99" s="15" t="s">
        <v>273</v>
      </c>
      <c r="T99" s="22" t="s">
        <v>271</v>
      </c>
      <c r="U99" s="15" t="s">
        <v>274</v>
      </c>
      <c r="V99" s="15"/>
    </row>
    <row r="100" spans="1:22" s="2" customFormat="1" ht="18.95" customHeight="1" x14ac:dyDescent="0.2">
      <c r="A100" s="15" t="s">
        <v>287</v>
      </c>
      <c r="B100" s="16" t="str">
        <f>VLOOKUP(A100,Sheet1!A:B,2,0)</f>
        <v>HP</v>
      </c>
      <c r="C100" s="45" t="s">
        <v>290</v>
      </c>
      <c r="D100" s="303" t="s">
        <v>291</v>
      </c>
      <c r="E100" s="23" t="s">
        <v>42</v>
      </c>
      <c r="F100" s="24">
        <v>2023</v>
      </c>
      <c r="G100" s="22">
        <v>5</v>
      </c>
      <c r="H100" s="22" t="s">
        <v>289</v>
      </c>
      <c r="I100" s="29">
        <v>45590</v>
      </c>
      <c r="J100" s="30">
        <v>1</v>
      </c>
      <c r="K100" s="34">
        <v>580882.36631039996</v>
      </c>
      <c r="L100" s="31">
        <f t="shared" si="4"/>
        <v>580882.36631039996</v>
      </c>
      <c r="M100" s="34">
        <v>500000</v>
      </c>
      <c r="N100" s="15" t="s">
        <v>252</v>
      </c>
      <c r="O100" s="32">
        <v>45422</v>
      </c>
      <c r="P100" s="52">
        <v>302500</v>
      </c>
      <c r="Q100" s="22">
        <v>1</v>
      </c>
      <c r="R100" s="44">
        <f t="shared" ref="R100:R113" si="6">P100*Q100</f>
        <v>302500</v>
      </c>
      <c r="S100" s="15" t="s">
        <v>273</v>
      </c>
      <c r="T100" s="22" t="s">
        <v>271</v>
      </c>
      <c r="U100" s="15" t="s">
        <v>274</v>
      </c>
      <c r="V100" s="15"/>
    </row>
    <row r="101" spans="1:22" s="2" customFormat="1" ht="18.95" customHeight="1" x14ac:dyDescent="0.2">
      <c r="A101" s="15" t="s">
        <v>287</v>
      </c>
      <c r="B101" s="16" t="str">
        <f>VLOOKUP(A101,Sheet1!A:B,2,0)</f>
        <v>HP</v>
      </c>
      <c r="C101" s="46" t="s">
        <v>58</v>
      </c>
      <c r="D101" s="303" t="s">
        <v>292</v>
      </c>
      <c r="E101" s="23" t="s">
        <v>42</v>
      </c>
      <c r="F101" s="24">
        <v>2023</v>
      </c>
      <c r="G101" s="22">
        <v>5</v>
      </c>
      <c r="H101" s="22" t="s">
        <v>289</v>
      </c>
      <c r="I101" s="29">
        <v>45590</v>
      </c>
      <c r="J101" s="30">
        <v>1</v>
      </c>
      <c r="K101" s="34">
        <v>10000</v>
      </c>
      <c r="L101" s="31">
        <f t="shared" si="4"/>
        <v>10000</v>
      </c>
      <c r="M101" s="34">
        <v>500000</v>
      </c>
      <c r="N101" s="15" t="s">
        <v>252</v>
      </c>
      <c r="O101" s="32">
        <v>45422</v>
      </c>
      <c r="P101" s="52">
        <v>55400</v>
      </c>
      <c r="Q101" s="22">
        <v>1</v>
      </c>
      <c r="R101" s="44">
        <f t="shared" si="6"/>
        <v>55400</v>
      </c>
      <c r="S101" s="15" t="s">
        <v>273</v>
      </c>
      <c r="T101" s="22" t="s">
        <v>271</v>
      </c>
      <c r="U101" s="15" t="s">
        <v>274</v>
      </c>
      <c r="V101" s="15"/>
    </row>
    <row r="102" spans="1:22" s="2" customFormat="1" ht="18.95" customHeight="1" x14ac:dyDescent="0.2">
      <c r="A102" s="15" t="s">
        <v>293</v>
      </c>
      <c r="B102" s="16" t="str">
        <f>VLOOKUP(A102,Sheet1!A:B,2,0)</f>
        <v>HP</v>
      </c>
      <c r="C102" s="46" t="s">
        <v>242</v>
      </c>
      <c r="D102" s="303" t="s">
        <v>294</v>
      </c>
      <c r="E102" s="23" t="s">
        <v>42</v>
      </c>
      <c r="F102" s="24">
        <v>2023</v>
      </c>
      <c r="G102" s="22">
        <v>5</v>
      </c>
      <c r="H102" s="22" t="s">
        <v>289</v>
      </c>
      <c r="I102" s="29">
        <v>45590</v>
      </c>
      <c r="J102" s="30">
        <v>1</v>
      </c>
      <c r="K102" s="34">
        <v>10000</v>
      </c>
      <c r="L102" s="31">
        <f t="shared" si="4"/>
        <v>10000</v>
      </c>
      <c r="M102" s="34">
        <v>500000</v>
      </c>
      <c r="N102" s="15" t="s">
        <v>252</v>
      </c>
      <c r="O102" s="32">
        <v>45422</v>
      </c>
      <c r="P102" s="52">
        <v>39200</v>
      </c>
      <c r="Q102" s="22">
        <v>1</v>
      </c>
      <c r="R102" s="44">
        <f t="shared" si="6"/>
        <v>39200</v>
      </c>
      <c r="S102" s="15" t="s">
        <v>273</v>
      </c>
      <c r="T102" s="22" t="s">
        <v>271</v>
      </c>
      <c r="U102" s="15" t="s">
        <v>274</v>
      </c>
      <c r="V102" s="15"/>
    </row>
    <row r="103" spans="1:22" s="2" customFormat="1" ht="18.95" customHeight="1" x14ac:dyDescent="0.2">
      <c r="A103" s="15" t="s">
        <v>293</v>
      </c>
      <c r="B103" s="16" t="str">
        <f>VLOOKUP(A103,Sheet1!A:B,2,0)</f>
        <v>HP</v>
      </c>
      <c r="C103" s="47" t="s">
        <v>295</v>
      </c>
      <c r="D103" s="303" t="s">
        <v>296</v>
      </c>
      <c r="E103" s="23" t="s">
        <v>42</v>
      </c>
      <c r="F103" s="24">
        <v>2023</v>
      </c>
      <c r="G103" s="22">
        <v>5</v>
      </c>
      <c r="H103" s="22" t="s">
        <v>289</v>
      </c>
      <c r="I103" s="29">
        <v>45590</v>
      </c>
      <c r="J103" s="30">
        <v>1</v>
      </c>
      <c r="K103" s="34">
        <v>10000</v>
      </c>
      <c r="L103" s="31">
        <f t="shared" si="4"/>
        <v>10000</v>
      </c>
      <c r="M103" s="34">
        <v>50000</v>
      </c>
      <c r="N103" s="15" t="s">
        <v>252</v>
      </c>
      <c r="O103" s="32">
        <v>45422</v>
      </c>
      <c r="P103" s="52">
        <v>144981</v>
      </c>
      <c r="Q103" s="22">
        <v>1</v>
      </c>
      <c r="R103" s="44">
        <f t="shared" si="6"/>
        <v>144981</v>
      </c>
      <c r="S103" s="15" t="s">
        <v>273</v>
      </c>
      <c r="T103" s="22" t="s">
        <v>271</v>
      </c>
      <c r="U103" s="15" t="s">
        <v>274</v>
      </c>
      <c r="V103" s="15"/>
    </row>
    <row r="104" spans="1:22" s="2" customFormat="1" ht="18.95" customHeight="1" x14ac:dyDescent="0.2">
      <c r="A104" s="15" t="s">
        <v>293</v>
      </c>
      <c r="B104" s="16" t="str">
        <f>VLOOKUP(A104,Sheet1!A:B,2,0)</f>
        <v>HP</v>
      </c>
      <c r="C104" s="46" t="s">
        <v>242</v>
      </c>
      <c r="D104" s="303" t="s">
        <v>294</v>
      </c>
      <c r="E104" s="23" t="s">
        <v>42</v>
      </c>
      <c r="F104" s="24">
        <v>2023</v>
      </c>
      <c r="G104" s="22">
        <v>5</v>
      </c>
      <c r="H104" s="22" t="s">
        <v>289</v>
      </c>
      <c r="I104" s="29">
        <v>45590</v>
      </c>
      <c r="J104" s="30">
        <v>1</v>
      </c>
      <c r="K104" s="34">
        <v>10000</v>
      </c>
      <c r="L104" s="31">
        <f t="shared" si="4"/>
        <v>10000</v>
      </c>
      <c r="M104" s="34">
        <v>50000</v>
      </c>
      <c r="N104" s="15" t="s">
        <v>252</v>
      </c>
      <c r="O104" s="32">
        <v>45422</v>
      </c>
      <c r="P104" s="52">
        <v>12500</v>
      </c>
      <c r="Q104" s="22">
        <v>1</v>
      </c>
      <c r="R104" s="44">
        <f t="shared" si="6"/>
        <v>12500</v>
      </c>
      <c r="S104" s="15" t="s">
        <v>273</v>
      </c>
      <c r="T104" s="22" t="s">
        <v>271</v>
      </c>
      <c r="U104" s="15" t="s">
        <v>274</v>
      </c>
      <c r="V104" s="15"/>
    </row>
    <row r="105" spans="1:22" s="2" customFormat="1" ht="18.95" customHeight="1" x14ac:dyDescent="0.2">
      <c r="A105" s="15" t="s">
        <v>293</v>
      </c>
      <c r="B105" s="16" t="str">
        <f>VLOOKUP(A105,Sheet1!A:B,2,0)</f>
        <v>HP</v>
      </c>
      <c r="C105" s="47" t="s">
        <v>295</v>
      </c>
      <c r="D105" s="303" t="s">
        <v>296</v>
      </c>
      <c r="E105" s="23" t="s">
        <v>42</v>
      </c>
      <c r="F105" s="24">
        <v>2023</v>
      </c>
      <c r="G105" s="22">
        <v>5</v>
      </c>
      <c r="H105" s="22" t="s">
        <v>289</v>
      </c>
      <c r="I105" s="29">
        <v>45590</v>
      </c>
      <c r="J105" s="30">
        <v>1</v>
      </c>
      <c r="K105" s="34">
        <v>10000</v>
      </c>
      <c r="L105" s="31">
        <f t="shared" si="4"/>
        <v>10000</v>
      </c>
      <c r="M105" s="34">
        <v>50000</v>
      </c>
      <c r="N105" s="15" t="s">
        <v>252</v>
      </c>
      <c r="O105" s="32">
        <v>45422</v>
      </c>
      <c r="P105" s="52">
        <v>20500</v>
      </c>
      <c r="Q105" s="22">
        <v>1</v>
      </c>
      <c r="R105" s="44">
        <f t="shared" si="6"/>
        <v>20500</v>
      </c>
      <c r="S105" s="15" t="s">
        <v>273</v>
      </c>
      <c r="T105" s="22" t="s">
        <v>271</v>
      </c>
      <c r="U105" s="15" t="s">
        <v>274</v>
      </c>
      <c r="V105" s="15"/>
    </row>
    <row r="106" spans="1:22" s="2" customFormat="1" ht="18.95" customHeight="1" x14ac:dyDescent="0.2">
      <c r="A106" s="15" t="s">
        <v>293</v>
      </c>
      <c r="B106" s="16" t="str">
        <f>VLOOKUP(A106,Sheet1!A:B,2,0)</f>
        <v>HP</v>
      </c>
      <c r="C106" s="45" t="s">
        <v>297</v>
      </c>
      <c r="D106" s="303" t="s">
        <v>298</v>
      </c>
      <c r="E106" s="23" t="s">
        <v>42</v>
      </c>
      <c r="F106" s="24">
        <v>2023</v>
      </c>
      <c r="G106" s="22">
        <v>5</v>
      </c>
      <c r="H106" s="22" t="s">
        <v>289</v>
      </c>
      <c r="I106" s="29">
        <v>45590</v>
      </c>
      <c r="J106" s="30">
        <v>1</v>
      </c>
      <c r="K106" s="34">
        <v>10000</v>
      </c>
      <c r="L106" s="31">
        <f t="shared" si="4"/>
        <v>10000</v>
      </c>
      <c r="M106" s="34">
        <v>50000</v>
      </c>
      <c r="N106" s="15" t="s">
        <v>252</v>
      </c>
      <c r="O106" s="32">
        <v>45422</v>
      </c>
      <c r="P106" s="52">
        <v>63000</v>
      </c>
      <c r="Q106" s="22">
        <v>1</v>
      </c>
      <c r="R106" s="44">
        <f t="shared" si="6"/>
        <v>63000</v>
      </c>
      <c r="S106" s="15" t="s">
        <v>273</v>
      </c>
      <c r="T106" s="22" t="s">
        <v>271</v>
      </c>
      <c r="U106" s="15" t="s">
        <v>274</v>
      </c>
      <c r="V106" s="15"/>
    </row>
    <row r="107" spans="1:22" s="2" customFormat="1" ht="18.95" customHeight="1" x14ac:dyDescent="0.2">
      <c r="A107" s="15" t="s">
        <v>293</v>
      </c>
      <c r="B107" s="16" t="str">
        <f>VLOOKUP(A107,Sheet1!A:B,2,0)</f>
        <v>HP</v>
      </c>
      <c r="C107" s="45" t="s">
        <v>299</v>
      </c>
      <c r="D107" s="303" t="s">
        <v>300</v>
      </c>
      <c r="E107" s="23" t="s">
        <v>42</v>
      </c>
      <c r="F107" s="24">
        <v>2023</v>
      </c>
      <c r="G107" s="22">
        <v>5</v>
      </c>
      <c r="H107" s="22" t="s">
        <v>289</v>
      </c>
      <c r="I107" s="29">
        <v>45590</v>
      </c>
      <c r="J107" s="30">
        <v>1</v>
      </c>
      <c r="K107" s="34">
        <v>10000</v>
      </c>
      <c r="L107" s="31">
        <f t="shared" si="4"/>
        <v>10000</v>
      </c>
      <c r="M107" s="34">
        <v>50000</v>
      </c>
      <c r="N107" s="15" t="s">
        <v>252</v>
      </c>
      <c r="O107" s="32">
        <v>45422</v>
      </c>
      <c r="P107" s="52">
        <v>135260</v>
      </c>
      <c r="Q107" s="22">
        <v>1</v>
      </c>
      <c r="R107" s="44">
        <f t="shared" si="6"/>
        <v>135260</v>
      </c>
      <c r="S107" s="15" t="s">
        <v>273</v>
      </c>
      <c r="T107" s="22" t="s">
        <v>271</v>
      </c>
      <c r="U107" s="15" t="s">
        <v>274</v>
      </c>
      <c r="V107" s="15"/>
    </row>
    <row r="108" spans="1:22" s="2" customFormat="1" ht="18.95" customHeight="1" x14ac:dyDescent="0.25">
      <c r="A108" s="15" t="s">
        <v>287</v>
      </c>
      <c r="B108" s="16" t="str">
        <f>VLOOKUP(A108,Sheet1!A:B,2,0)</f>
        <v>HP</v>
      </c>
      <c r="C108" s="48" t="s">
        <v>301</v>
      </c>
      <c r="D108" s="303" t="s">
        <v>288</v>
      </c>
      <c r="E108" s="23" t="s">
        <v>42</v>
      </c>
      <c r="F108" s="24">
        <v>2023</v>
      </c>
      <c r="G108" s="22">
        <v>5</v>
      </c>
      <c r="H108" s="22" t="s">
        <v>289</v>
      </c>
      <c r="I108" s="29">
        <v>45590</v>
      </c>
      <c r="J108" s="38"/>
      <c r="K108" s="39"/>
      <c r="L108" s="31">
        <f t="shared" si="4"/>
        <v>0</v>
      </c>
      <c r="M108" s="39"/>
      <c r="N108" s="15" t="s">
        <v>252</v>
      </c>
      <c r="O108" s="40">
        <v>45422</v>
      </c>
      <c r="P108" s="52">
        <v>33452.212389380496</v>
      </c>
      <c r="Q108" s="22">
        <v>1</v>
      </c>
      <c r="R108" s="44">
        <f t="shared" si="6"/>
        <v>33452.212389380496</v>
      </c>
      <c r="S108" s="15" t="s">
        <v>273</v>
      </c>
      <c r="T108" s="22" t="s">
        <v>271</v>
      </c>
      <c r="U108" s="15" t="s">
        <v>274</v>
      </c>
      <c r="V108" s="15"/>
    </row>
    <row r="109" spans="1:22" s="2" customFormat="1" ht="18.95" customHeight="1" x14ac:dyDescent="0.25">
      <c r="A109" s="15" t="s">
        <v>287</v>
      </c>
      <c r="B109" s="16" t="str">
        <f>VLOOKUP(A109,Sheet1!A:B,2,0)</f>
        <v>HP</v>
      </c>
      <c r="C109" s="49" t="s">
        <v>302</v>
      </c>
      <c r="D109" s="303" t="s">
        <v>291</v>
      </c>
      <c r="E109" s="23" t="s">
        <v>42</v>
      </c>
      <c r="F109" s="24">
        <v>2023</v>
      </c>
      <c r="G109" s="22">
        <v>5</v>
      </c>
      <c r="H109" s="22" t="s">
        <v>289</v>
      </c>
      <c r="I109" s="29">
        <v>45590</v>
      </c>
      <c r="J109" s="38"/>
      <c r="K109" s="39"/>
      <c r="L109" s="31">
        <f t="shared" si="4"/>
        <v>0</v>
      </c>
      <c r="M109" s="39"/>
      <c r="N109" s="15" t="s">
        <v>252</v>
      </c>
      <c r="O109" s="40">
        <v>45422</v>
      </c>
      <c r="P109" s="52">
        <v>89692.734513274307</v>
      </c>
      <c r="Q109" s="22">
        <v>1</v>
      </c>
      <c r="R109" s="44">
        <f t="shared" si="6"/>
        <v>89692.734513274307</v>
      </c>
      <c r="S109" s="15" t="s">
        <v>273</v>
      </c>
      <c r="T109" s="22" t="s">
        <v>271</v>
      </c>
      <c r="U109" s="15" t="s">
        <v>274</v>
      </c>
      <c r="V109" s="15"/>
    </row>
    <row r="110" spans="1:22" s="2" customFormat="1" ht="18.95" customHeight="1" x14ac:dyDescent="0.25">
      <c r="A110" s="15" t="s">
        <v>287</v>
      </c>
      <c r="B110" s="16" t="str">
        <f>VLOOKUP(A110,Sheet1!A:B,2,0)</f>
        <v>HP</v>
      </c>
      <c r="C110" s="48" t="s">
        <v>303</v>
      </c>
      <c r="D110" s="303" t="s">
        <v>292</v>
      </c>
      <c r="E110" s="23" t="s">
        <v>42</v>
      </c>
      <c r="F110" s="24">
        <v>2023</v>
      </c>
      <c r="G110" s="22">
        <v>5</v>
      </c>
      <c r="H110" s="22" t="s">
        <v>289</v>
      </c>
      <c r="I110" s="29">
        <v>45590</v>
      </c>
      <c r="J110" s="38"/>
      <c r="K110" s="39"/>
      <c r="L110" s="31">
        <f t="shared" si="4"/>
        <v>0</v>
      </c>
      <c r="M110" s="39"/>
      <c r="N110" s="15" t="s">
        <v>252</v>
      </c>
      <c r="O110" s="40">
        <v>45422</v>
      </c>
      <c r="P110" s="52">
        <v>3451.3274336283198</v>
      </c>
      <c r="Q110" s="22">
        <v>1</v>
      </c>
      <c r="R110" s="44">
        <f t="shared" si="6"/>
        <v>3451.3274336283198</v>
      </c>
      <c r="S110" s="15" t="s">
        <v>273</v>
      </c>
      <c r="T110" s="22" t="s">
        <v>271</v>
      </c>
      <c r="U110" s="15" t="s">
        <v>274</v>
      </c>
      <c r="V110" s="15"/>
    </row>
    <row r="111" spans="1:22" s="2" customFormat="1" ht="18.95" customHeight="1" x14ac:dyDescent="0.25">
      <c r="A111" s="15" t="s">
        <v>287</v>
      </c>
      <c r="B111" s="16" t="str">
        <f>VLOOKUP(A111,Sheet1!A:B,2,0)</f>
        <v>HP</v>
      </c>
      <c r="C111" s="50" t="s">
        <v>304</v>
      </c>
      <c r="D111" s="303" t="s">
        <v>305</v>
      </c>
      <c r="E111" s="23" t="s">
        <v>42</v>
      </c>
      <c r="F111" s="24">
        <v>2023</v>
      </c>
      <c r="G111" s="22">
        <v>5</v>
      </c>
      <c r="H111" s="22" t="s">
        <v>289</v>
      </c>
      <c r="I111" s="29">
        <v>45590</v>
      </c>
      <c r="J111" s="38"/>
      <c r="K111" s="39"/>
      <c r="L111" s="31">
        <f t="shared" si="4"/>
        <v>0</v>
      </c>
      <c r="M111" s="39"/>
      <c r="N111" s="15" t="s">
        <v>252</v>
      </c>
      <c r="O111" s="40">
        <v>45422</v>
      </c>
      <c r="P111" s="52">
        <v>20000</v>
      </c>
      <c r="Q111" s="22">
        <v>1</v>
      </c>
      <c r="R111" s="44">
        <f t="shared" si="6"/>
        <v>20000</v>
      </c>
      <c r="S111" s="15" t="s">
        <v>273</v>
      </c>
      <c r="T111" s="22" t="s">
        <v>271</v>
      </c>
      <c r="U111" s="15" t="s">
        <v>274</v>
      </c>
      <c r="V111" s="15"/>
    </row>
    <row r="112" spans="1:22" s="2" customFormat="1" ht="18.95" customHeight="1" x14ac:dyDescent="0.25">
      <c r="A112" s="15" t="s">
        <v>287</v>
      </c>
      <c r="B112" s="16" t="str">
        <f>VLOOKUP(A112,Sheet1!A:B,2,0)</f>
        <v>HP</v>
      </c>
      <c r="C112" s="50" t="s">
        <v>304</v>
      </c>
      <c r="D112" s="303" t="s">
        <v>305</v>
      </c>
      <c r="E112" s="23" t="s">
        <v>42</v>
      </c>
      <c r="F112" s="24">
        <v>2023</v>
      </c>
      <c r="G112" s="22">
        <v>5</v>
      </c>
      <c r="H112" s="22" t="s">
        <v>289</v>
      </c>
      <c r="I112" s="29">
        <v>45590</v>
      </c>
      <c r="J112" s="38"/>
      <c r="K112" s="39"/>
      <c r="L112" s="31">
        <f t="shared" si="4"/>
        <v>0</v>
      </c>
      <c r="M112" s="39"/>
      <c r="N112" s="15" t="s">
        <v>252</v>
      </c>
      <c r="O112" s="40">
        <v>45422</v>
      </c>
      <c r="P112" s="52">
        <v>6650</v>
      </c>
      <c r="Q112" s="22">
        <v>1</v>
      </c>
      <c r="R112" s="44">
        <f t="shared" si="6"/>
        <v>6650</v>
      </c>
      <c r="S112" s="15" t="s">
        <v>273</v>
      </c>
      <c r="T112" s="22" t="s">
        <v>271</v>
      </c>
      <c r="U112" s="15" t="s">
        <v>274</v>
      </c>
      <c r="V112" s="15"/>
    </row>
    <row r="113" spans="1:22" s="2" customFormat="1" ht="18.95" customHeight="1" x14ac:dyDescent="0.25">
      <c r="A113" s="15" t="s">
        <v>287</v>
      </c>
      <c r="B113" s="16" t="str">
        <f>VLOOKUP(A113,Sheet1!A:B,2,0)</f>
        <v>HP</v>
      </c>
      <c r="C113" s="50" t="s">
        <v>304</v>
      </c>
      <c r="D113" s="303" t="s">
        <v>305</v>
      </c>
      <c r="E113" s="23" t="s">
        <v>42</v>
      </c>
      <c r="F113" s="24">
        <v>2023</v>
      </c>
      <c r="G113" s="22">
        <v>5</v>
      </c>
      <c r="H113" s="22" t="s">
        <v>289</v>
      </c>
      <c r="I113" s="29">
        <v>45590</v>
      </c>
      <c r="J113" s="38"/>
      <c r="K113" s="39"/>
      <c r="L113" s="31">
        <f t="shared" si="4"/>
        <v>0</v>
      </c>
      <c r="M113" s="39"/>
      <c r="N113" s="15" t="s">
        <v>252</v>
      </c>
      <c r="O113" s="40">
        <v>45422</v>
      </c>
      <c r="P113" s="52">
        <v>38480</v>
      </c>
      <c r="Q113" s="22">
        <v>1</v>
      </c>
      <c r="R113" s="44">
        <f t="shared" si="6"/>
        <v>38480</v>
      </c>
      <c r="S113" s="15" t="s">
        <v>273</v>
      </c>
      <c r="T113" s="22" t="s">
        <v>271</v>
      </c>
      <c r="U113" s="15" t="s">
        <v>274</v>
      </c>
      <c r="V113" s="15"/>
    </row>
    <row r="114" spans="1:22" ht="21" customHeight="1" x14ac:dyDescent="0.2">
      <c r="A114" s="83" t="s">
        <v>124</v>
      </c>
      <c r="B114" s="16" t="str">
        <f>VLOOKUP(A114,Sheet1!A:B,2,0)</f>
        <v>RCS POD</v>
      </c>
      <c r="C114" s="82" t="s">
        <v>84</v>
      </c>
      <c r="D114" s="304" t="s">
        <v>85</v>
      </c>
      <c r="E114" s="83" t="s">
        <v>42</v>
      </c>
      <c r="F114" s="83">
        <v>2024</v>
      </c>
      <c r="G114" s="83">
        <v>11</v>
      </c>
      <c r="H114" s="83" t="s">
        <v>269</v>
      </c>
      <c r="I114" s="84">
        <v>45608</v>
      </c>
      <c r="J114" s="85">
        <v>16</v>
      </c>
      <c r="K114" s="86">
        <v>1185600</v>
      </c>
      <c r="L114" s="87">
        <v>13041600</v>
      </c>
      <c r="M114" s="86">
        <v>1000000</v>
      </c>
      <c r="N114" s="15" t="s">
        <v>254</v>
      </c>
      <c r="O114" s="88">
        <v>45598</v>
      </c>
      <c r="P114" s="89">
        <f>7.15*93440.47</f>
        <v>668099.36050000007</v>
      </c>
      <c r="Q114" s="83">
        <v>11</v>
      </c>
      <c r="R114" s="72">
        <f>P114*Q114</f>
        <v>7349092.9655000009</v>
      </c>
      <c r="S114" s="83" t="s">
        <v>306</v>
      </c>
      <c r="T114" s="83" t="s">
        <v>271</v>
      </c>
      <c r="U114" s="83" t="s">
        <v>274</v>
      </c>
      <c r="V114" s="51"/>
    </row>
    <row r="115" spans="1:22" ht="21" customHeight="1" x14ac:dyDescent="0.2">
      <c r="A115" s="83" t="s">
        <v>124</v>
      </c>
      <c r="B115" s="16" t="str">
        <f>VLOOKUP(A115,Sheet1!A:B,2,0)</f>
        <v>RCS POD</v>
      </c>
      <c r="C115" s="82" t="s">
        <v>126</v>
      </c>
      <c r="D115" s="304" t="s">
        <v>85</v>
      </c>
      <c r="E115" s="83" t="s">
        <v>42</v>
      </c>
      <c r="F115" s="83">
        <v>2024</v>
      </c>
      <c r="G115" s="83">
        <v>11</v>
      </c>
      <c r="H115" s="83" t="s">
        <v>269</v>
      </c>
      <c r="I115" s="84">
        <v>45608</v>
      </c>
      <c r="J115" s="85">
        <v>32</v>
      </c>
      <c r="K115" s="86">
        <v>2695680</v>
      </c>
      <c r="L115" s="87">
        <v>13478400</v>
      </c>
      <c r="M115" s="86">
        <v>1000000</v>
      </c>
      <c r="N115" s="15" t="s">
        <v>254</v>
      </c>
      <c r="O115" s="88">
        <v>45598</v>
      </c>
      <c r="P115" s="89">
        <f>7.15*102652.91</f>
        <v>733968.30650000006</v>
      </c>
      <c r="Q115" s="83">
        <v>5</v>
      </c>
      <c r="R115" s="72">
        <f>P115*Q115</f>
        <v>3669841.5325000002</v>
      </c>
      <c r="S115" s="83" t="s">
        <v>306</v>
      </c>
      <c r="T115" s="83" t="s">
        <v>271</v>
      </c>
      <c r="U115" s="83" t="s">
        <v>274</v>
      </c>
      <c r="V115" s="51"/>
    </row>
    <row r="116" spans="1:22" ht="21" customHeight="1" x14ac:dyDescent="0.2">
      <c r="A116" s="83" t="s">
        <v>124</v>
      </c>
      <c r="B116" s="16" t="str">
        <f>VLOOKUP(A116,Sheet1!A:B,2,0)</f>
        <v>RCS POD</v>
      </c>
      <c r="C116" s="82" t="s">
        <v>128</v>
      </c>
      <c r="D116" s="304" t="s">
        <v>85</v>
      </c>
      <c r="E116" s="83" t="s">
        <v>42</v>
      </c>
      <c r="F116" s="83">
        <v>2024</v>
      </c>
      <c r="G116" s="83">
        <v>11</v>
      </c>
      <c r="H116" s="83" t="s">
        <v>269</v>
      </c>
      <c r="I116" s="84">
        <v>45608</v>
      </c>
      <c r="J116" s="85">
        <v>32</v>
      </c>
      <c r="K116" s="86">
        <v>2695680</v>
      </c>
      <c r="L116" s="87">
        <v>13478400</v>
      </c>
      <c r="M116" s="86">
        <v>1000000</v>
      </c>
      <c r="N116" s="15" t="s">
        <v>254</v>
      </c>
      <c r="O116" s="88">
        <v>45598</v>
      </c>
      <c r="P116" s="89">
        <f>7.15*102652.91</f>
        <v>733968.30650000006</v>
      </c>
      <c r="Q116" s="83">
        <v>5</v>
      </c>
      <c r="R116" s="72">
        <f>P116*Q116</f>
        <v>3669841.5325000002</v>
      </c>
      <c r="S116" s="83" t="s">
        <v>306</v>
      </c>
      <c r="T116" s="83" t="s">
        <v>271</v>
      </c>
      <c r="U116" s="83" t="s">
        <v>274</v>
      </c>
      <c r="V116" s="51"/>
    </row>
    <row r="117" spans="1:22" ht="21" customHeight="1" x14ac:dyDescent="0.2">
      <c r="A117" s="83" t="s">
        <v>124</v>
      </c>
      <c r="B117" s="16" t="str">
        <f>VLOOKUP(A117,Sheet1!A:B,2,0)</f>
        <v>RCS POD</v>
      </c>
      <c r="C117" s="82" t="s">
        <v>130</v>
      </c>
      <c r="D117" s="304" t="s">
        <v>85</v>
      </c>
      <c r="E117" s="83" t="s">
        <v>42</v>
      </c>
      <c r="F117" s="83">
        <v>2024</v>
      </c>
      <c r="G117" s="83">
        <v>11</v>
      </c>
      <c r="H117" s="83" t="s">
        <v>269</v>
      </c>
      <c r="I117" s="84">
        <v>45608</v>
      </c>
      <c r="J117" s="85">
        <v>32</v>
      </c>
      <c r="K117" s="86">
        <v>2526368</v>
      </c>
      <c r="L117" s="87">
        <v>12631840</v>
      </c>
      <c r="M117" s="86">
        <v>1000000</v>
      </c>
      <c r="N117" s="15" t="s">
        <v>254</v>
      </c>
      <c r="O117" s="88">
        <v>45598</v>
      </c>
      <c r="P117" s="89">
        <f>7.15*69751.33</f>
        <v>498722.00950000004</v>
      </c>
      <c r="Q117" s="83">
        <v>5</v>
      </c>
      <c r="R117" s="72">
        <f>P117*Q117</f>
        <v>2493610.0475000003</v>
      </c>
      <c r="S117" s="83" t="s">
        <v>306</v>
      </c>
      <c r="T117" s="83" t="s">
        <v>271</v>
      </c>
      <c r="U117" s="83" t="s">
        <v>274</v>
      </c>
      <c r="V117" s="51"/>
    </row>
    <row r="118" spans="1:22" ht="18.75" customHeight="1" x14ac:dyDescent="0.2">
      <c r="A118" s="83" t="s">
        <v>228</v>
      </c>
      <c r="B118" s="16" t="s">
        <v>3</v>
      </c>
      <c r="C118" s="82" t="s">
        <v>229</v>
      </c>
      <c r="D118" s="331">
        <v>120040670018926</v>
      </c>
      <c r="E118" s="83" t="s">
        <v>42</v>
      </c>
      <c r="F118" s="83">
        <v>2024</v>
      </c>
      <c r="G118" s="83">
        <v>1</v>
      </c>
      <c r="H118" s="83" t="s">
        <v>269</v>
      </c>
      <c r="I118" s="84">
        <v>45706</v>
      </c>
      <c r="J118" s="85">
        <v>1</v>
      </c>
      <c r="K118" s="332">
        <v>11108448</v>
      </c>
      <c r="L118" s="333">
        <v>44433792</v>
      </c>
      <c r="M118" s="332">
        <v>60000000</v>
      </c>
      <c r="N118" s="15" t="s">
        <v>254</v>
      </c>
      <c r="O118" s="88">
        <v>45294</v>
      </c>
      <c r="P118" s="89">
        <v>3500</v>
      </c>
      <c r="Q118" s="83">
        <v>4</v>
      </c>
      <c r="R118" s="42">
        <f t="shared" ref="R118:R120" si="7">P118*Q118</f>
        <v>14000</v>
      </c>
      <c r="S118" s="83" t="s">
        <v>273</v>
      </c>
      <c r="T118" s="83" t="s">
        <v>271</v>
      </c>
      <c r="U118" s="83" t="s">
        <v>274</v>
      </c>
      <c r="V118" s="51"/>
    </row>
    <row r="119" spans="1:22" ht="28.5" customHeight="1" x14ac:dyDescent="0.2">
      <c r="A119" s="83" t="s">
        <v>232</v>
      </c>
      <c r="B119" s="16" t="s">
        <v>3</v>
      </c>
      <c r="C119" s="82" t="s">
        <v>229</v>
      </c>
      <c r="D119" s="331">
        <v>120040670025620</v>
      </c>
      <c r="E119" s="83" t="s">
        <v>42</v>
      </c>
      <c r="F119" s="83">
        <v>2024</v>
      </c>
      <c r="G119" s="83">
        <v>1</v>
      </c>
      <c r="H119" s="83" t="s">
        <v>269</v>
      </c>
      <c r="I119" s="84">
        <v>45706</v>
      </c>
      <c r="J119" s="85">
        <v>1</v>
      </c>
      <c r="K119" s="332">
        <v>1834560</v>
      </c>
      <c r="L119" s="333">
        <v>3669120</v>
      </c>
      <c r="M119" s="332">
        <v>2000000</v>
      </c>
      <c r="N119" s="15" t="s">
        <v>254</v>
      </c>
      <c r="O119" s="88">
        <v>45294</v>
      </c>
      <c r="P119" s="89">
        <v>0</v>
      </c>
      <c r="Q119" s="83">
        <v>2</v>
      </c>
      <c r="R119" s="42">
        <f t="shared" si="7"/>
        <v>0</v>
      </c>
      <c r="S119" s="83" t="s">
        <v>273</v>
      </c>
      <c r="T119" s="83" t="s">
        <v>271</v>
      </c>
      <c r="U119" s="83" t="s">
        <v>274</v>
      </c>
      <c r="V119" s="51" t="s">
        <v>307</v>
      </c>
    </row>
    <row r="120" spans="1:22" ht="18.75" customHeight="1" x14ac:dyDescent="0.2">
      <c r="A120" s="83" t="s">
        <v>233</v>
      </c>
      <c r="B120" s="16" t="s">
        <v>3</v>
      </c>
      <c r="C120" s="82" t="s">
        <v>229</v>
      </c>
      <c r="D120" s="331">
        <v>120040670017654</v>
      </c>
      <c r="E120" s="83" t="s">
        <v>42</v>
      </c>
      <c r="F120" s="83">
        <v>2024</v>
      </c>
      <c r="G120" s="83">
        <v>9</v>
      </c>
      <c r="H120" s="83" t="s">
        <v>269</v>
      </c>
      <c r="I120" s="84">
        <v>45706</v>
      </c>
      <c r="J120" s="85">
        <v>1</v>
      </c>
      <c r="K120" s="332">
        <v>1851408</v>
      </c>
      <c r="L120" s="333">
        <v>11108448</v>
      </c>
      <c r="M120" s="332">
        <v>120000000</v>
      </c>
      <c r="N120" s="15" t="s">
        <v>254</v>
      </c>
      <c r="O120" s="88">
        <v>45538</v>
      </c>
      <c r="P120" s="89">
        <v>18500</v>
      </c>
      <c r="Q120" s="83">
        <v>6</v>
      </c>
      <c r="R120" s="42">
        <f t="shared" si="7"/>
        <v>111000</v>
      </c>
      <c r="S120" s="83" t="s">
        <v>273</v>
      </c>
      <c r="T120" s="83" t="s">
        <v>271</v>
      </c>
      <c r="U120" s="83" t="s">
        <v>274</v>
      </c>
      <c r="V120" s="51"/>
    </row>
    <row r="121" spans="1:22" ht="18.75" customHeight="1" x14ac:dyDescent="0.2">
      <c r="A121" s="83" t="s">
        <v>163</v>
      </c>
      <c r="B121" s="16" t="s">
        <v>2</v>
      </c>
      <c r="C121" s="82" t="s">
        <v>234</v>
      </c>
      <c r="D121" s="304" t="s">
        <v>308</v>
      </c>
      <c r="E121" s="83" t="s">
        <v>42</v>
      </c>
      <c r="F121" s="83">
        <v>2020</v>
      </c>
      <c r="G121" s="83">
        <v>1</v>
      </c>
      <c r="H121" s="83" t="s">
        <v>269</v>
      </c>
      <c r="I121" s="84">
        <v>45706</v>
      </c>
      <c r="J121" s="85">
        <v>9</v>
      </c>
      <c r="K121" s="86">
        <v>812968</v>
      </c>
      <c r="L121" s="87">
        <v>812968</v>
      </c>
      <c r="M121" s="86">
        <v>1000000</v>
      </c>
      <c r="N121" s="15" t="s">
        <v>254</v>
      </c>
      <c r="O121" s="88">
        <v>43831</v>
      </c>
      <c r="P121" s="89">
        <v>600000</v>
      </c>
      <c r="Q121" s="83">
        <v>1</v>
      </c>
      <c r="R121" s="72">
        <v>600000</v>
      </c>
      <c r="S121" s="83" t="s">
        <v>309</v>
      </c>
      <c r="T121" s="83" t="s">
        <v>271</v>
      </c>
      <c r="U121" s="83" t="s">
        <v>272</v>
      </c>
      <c r="V121" s="51"/>
    </row>
    <row r="122" spans="1:22" ht="18.75" customHeight="1" x14ac:dyDescent="0.2">
      <c r="A122" s="83" t="s">
        <v>235</v>
      </c>
      <c r="B122" s="16" t="s">
        <v>4</v>
      </c>
      <c r="C122" s="82" t="s">
        <v>236</v>
      </c>
      <c r="D122" s="304" t="s">
        <v>237</v>
      </c>
      <c r="E122" s="83" t="s">
        <v>42</v>
      </c>
      <c r="F122" s="83">
        <v>2024</v>
      </c>
      <c r="G122" s="83">
        <v>9</v>
      </c>
      <c r="H122" s="83" t="s">
        <v>269</v>
      </c>
      <c r="I122" s="84">
        <v>45706</v>
      </c>
      <c r="J122" s="85">
        <v>1</v>
      </c>
      <c r="K122" s="86">
        <v>200000</v>
      </c>
      <c r="L122" s="87">
        <v>200000</v>
      </c>
      <c r="M122" s="86">
        <v>1000000</v>
      </c>
      <c r="N122" s="15" t="s">
        <v>254</v>
      </c>
      <c r="O122" s="88">
        <v>45627</v>
      </c>
      <c r="P122" s="89">
        <v>776500</v>
      </c>
      <c r="Q122" s="83">
        <v>1</v>
      </c>
      <c r="R122" s="72">
        <v>776500</v>
      </c>
      <c r="S122" s="83" t="s">
        <v>270</v>
      </c>
      <c r="T122" s="83" t="s">
        <v>310</v>
      </c>
      <c r="U122" s="83" t="s">
        <v>274</v>
      </c>
      <c r="V122" s="51" t="s">
        <v>311</v>
      </c>
    </row>
    <row r="123" spans="1:22" ht="18.75" customHeight="1" x14ac:dyDescent="0.2">
      <c r="A123" s="83" t="s">
        <v>235</v>
      </c>
      <c r="B123" s="16" t="s">
        <v>4</v>
      </c>
      <c r="C123" s="82" t="s">
        <v>58</v>
      </c>
      <c r="D123" s="304" t="s">
        <v>240</v>
      </c>
      <c r="E123" s="83" t="s">
        <v>42</v>
      </c>
      <c r="F123" s="83">
        <v>2024</v>
      </c>
      <c r="G123" s="83">
        <v>9</v>
      </c>
      <c r="H123" s="83" t="s">
        <v>269</v>
      </c>
      <c r="I123" s="84">
        <v>45706</v>
      </c>
      <c r="J123" s="85">
        <v>1</v>
      </c>
      <c r="K123" s="86">
        <v>200000</v>
      </c>
      <c r="L123" s="87">
        <v>200000</v>
      </c>
      <c r="M123" s="86">
        <v>1000000</v>
      </c>
      <c r="N123" s="15" t="s">
        <v>254</v>
      </c>
      <c r="O123" s="88">
        <v>45627</v>
      </c>
      <c r="P123" s="89">
        <v>441700</v>
      </c>
      <c r="Q123" s="83">
        <v>1</v>
      </c>
      <c r="R123" s="72">
        <v>441700</v>
      </c>
      <c r="S123" s="83" t="s">
        <v>270</v>
      </c>
      <c r="T123" s="83" t="s">
        <v>310</v>
      </c>
      <c r="U123" s="83" t="s">
        <v>274</v>
      </c>
      <c r="V123" s="51" t="s">
        <v>311</v>
      </c>
    </row>
    <row r="124" spans="1:22" ht="18.75" customHeight="1" x14ac:dyDescent="0.2">
      <c r="A124" s="83" t="s">
        <v>235</v>
      </c>
      <c r="B124" s="16" t="s">
        <v>4</v>
      </c>
      <c r="C124" s="82" t="s">
        <v>242</v>
      </c>
      <c r="D124" s="305" t="s">
        <v>243</v>
      </c>
      <c r="E124" s="83" t="s">
        <v>42</v>
      </c>
      <c r="F124" s="83">
        <v>2024</v>
      </c>
      <c r="G124" s="83">
        <v>9</v>
      </c>
      <c r="H124" s="83" t="s">
        <v>269</v>
      </c>
      <c r="I124" s="84">
        <v>45706</v>
      </c>
      <c r="J124" s="85">
        <v>1</v>
      </c>
      <c r="K124" s="86">
        <v>200000</v>
      </c>
      <c r="L124" s="87">
        <v>200000</v>
      </c>
      <c r="M124" s="86">
        <v>1000000</v>
      </c>
      <c r="N124" s="15" t="s">
        <v>254</v>
      </c>
      <c r="O124" s="88">
        <v>45627</v>
      </c>
      <c r="P124" s="89">
        <v>51500</v>
      </c>
      <c r="Q124" s="83">
        <v>1</v>
      </c>
      <c r="R124" s="72">
        <v>51500</v>
      </c>
      <c r="S124" s="83" t="s">
        <v>270</v>
      </c>
      <c r="T124" s="83" t="s">
        <v>310</v>
      </c>
      <c r="U124" s="83" t="s">
        <v>274</v>
      </c>
      <c r="V124" s="51" t="s">
        <v>311</v>
      </c>
    </row>
    <row r="125" spans="1:22" ht="18.75" customHeight="1" x14ac:dyDescent="0.2">
      <c r="A125" s="83" t="s">
        <v>235</v>
      </c>
      <c r="B125" s="16" t="s">
        <v>4</v>
      </c>
      <c r="C125" s="82" t="s">
        <v>244</v>
      </c>
      <c r="D125" s="306">
        <v>240000090201002</v>
      </c>
      <c r="E125" s="83" t="s">
        <v>42</v>
      </c>
      <c r="F125" s="83">
        <v>2024</v>
      </c>
      <c r="G125" s="83">
        <v>9</v>
      </c>
      <c r="H125" s="83" t="s">
        <v>269</v>
      </c>
      <c r="I125" s="84">
        <v>45706</v>
      </c>
      <c r="J125" s="85">
        <v>1</v>
      </c>
      <c r="K125" s="86">
        <v>200000</v>
      </c>
      <c r="L125" s="87">
        <v>200000</v>
      </c>
      <c r="M125" s="86">
        <v>1000000</v>
      </c>
      <c r="N125" s="15" t="s">
        <v>254</v>
      </c>
      <c r="O125" s="88">
        <v>45627</v>
      </c>
      <c r="P125" s="89">
        <v>26500</v>
      </c>
      <c r="Q125" s="83">
        <v>1</v>
      </c>
      <c r="R125" s="72">
        <v>26500</v>
      </c>
      <c r="S125" s="83" t="s">
        <v>270</v>
      </c>
      <c r="T125" s="83" t="s">
        <v>310</v>
      </c>
      <c r="U125" s="83" t="s">
        <v>274</v>
      </c>
      <c r="V125" s="51" t="s">
        <v>311</v>
      </c>
    </row>
    <row r="126" spans="1:22" ht="18.75" customHeight="1" x14ac:dyDescent="0.2">
      <c r="A126" s="83" t="s">
        <v>235</v>
      </c>
      <c r="B126" s="16" t="s">
        <v>4</v>
      </c>
      <c r="C126" s="82" t="s">
        <v>236</v>
      </c>
      <c r="D126" s="306">
        <v>240000090201004</v>
      </c>
      <c r="E126" s="83" t="s">
        <v>42</v>
      </c>
      <c r="F126" s="83">
        <v>2024</v>
      </c>
      <c r="G126" s="83">
        <v>9</v>
      </c>
      <c r="H126" s="83" t="s">
        <v>279</v>
      </c>
      <c r="I126" s="84">
        <v>45706</v>
      </c>
      <c r="J126" s="85">
        <v>1</v>
      </c>
      <c r="K126" s="86">
        <v>1000</v>
      </c>
      <c r="L126" s="87">
        <v>2000</v>
      </c>
      <c r="M126" s="86">
        <v>1000000</v>
      </c>
      <c r="N126" s="15" t="s">
        <v>252</v>
      </c>
      <c r="O126" s="88">
        <v>45536</v>
      </c>
      <c r="P126" s="89">
        <v>3276</v>
      </c>
      <c r="Q126" s="83">
        <v>2</v>
      </c>
      <c r="R126" s="72">
        <v>6552</v>
      </c>
      <c r="S126" s="83" t="s">
        <v>270</v>
      </c>
      <c r="T126" s="83" t="s">
        <v>310</v>
      </c>
      <c r="U126" s="83" t="s">
        <v>274</v>
      </c>
      <c r="V126" s="51" t="s">
        <v>312</v>
      </c>
    </row>
    <row r="127" spans="1:22" ht="18.75" customHeight="1" x14ac:dyDescent="0.2">
      <c r="A127" s="83" t="s">
        <v>235</v>
      </c>
      <c r="B127" s="16" t="s">
        <v>4</v>
      </c>
      <c r="C127" s="82" t="s">
        <v>236</v>
      </c>
      <c r="D127" s="306">
        <v>240000090201004</v>
      </c>
      <c r="E127" s="83" t="s">
        <v>42</v>
      </c>
      <c r="F127" s="83">
        <v>2024</v>
      </c>
      <c r="G127" s="83">
        <v>9</v>
      </c>
      <c r="H127" s="83" t="s">
        <v>279</v>
      </c>
      <c r="I127" s="84">
        <v>45706</v>
      </c>
      <c r="J127" s="85">
        <v>1</v>
      </c>
      <c r="K127" s="86">
        <v>1000</v>
      </c>
      <c r="L127" s="87">
        <v>1000</v>
      </c>
      <c r="M127" s="86">
        <v>1000000</v>
      </c>
      <c r="N127" s="15" t="s">
        <v>252</v>
      </c>
      <c r="O127" s="88">
        <v>45536</v>
      </c>
      <c r="P127" s="89">
        <v>4914</v>
      </c>
      <c r="Q127" s="83">
        <v>1</v>
      </c>
      <c r="R127" s="72">
        <v>4914</v>
      </c>
      <c r="S127" s="83" t="s">
        <v>270</v>
      </c>
      <c r="T127" s="83" t="s">
        <v>310</v>
      </c>
      <c r="U127" s="83" t="s">
        <v>274</v>
      </c>
      <c r="V127" s="51" t="s">
        <v>312</v>
      </c>
    </row>
    <row r="128" spans="1:22" ht="18.75" customHeight="1" x14ac:dyDescent="0.2">
      <c r="A128" s="83" t="s">
        <v>235</v>
      </c>
      <c r="B128" s="16" t="s">
        <v>4</v>
      </c>
      <c r="C128" s="82" t="s">
        <v>236</v>
      </c>
      <c r="D128" s="306">
        <v>240000090201004</v>
      </c>
      <c r="E128" s="83" t="s">
        <v>42</v>
      </c>
      <c r="F128" s="83">
        <v>2024</v>
      </c>
      <c r="G128" s="83">
        <v>9</v>
      </c>
      <c r="H128" s="83" t="s">
        <v>279</v>
      </c>
      <c r="I128" s="84">
        <v>45706</v>
      </c>
      <c r="J128" s="85">
        <v>1</v>
      </c>
      <c r="K128" s="86">
        <v>1000</v>
      </c>
      <c r="L128" s="87">
        <v>1000</v>
      </c>
      <c r="M128" s="86">
        <v>1000000</v>
      </c>
      <c r="N128" s="15" t="s">
        <v>252</v>
      </c>
      <c r="O128" s="88">
        <v>45536</v>
      </c>
      <c r="P128" s="89">
        <v>13260</v>
      </c>
      <c r="Q128" s="83">
        <v>1</v>
      </c>
      <c r="R128" s="72">
        <v>13260</v>
      </c>
      <c r="S128" s="83" t="s">
        <v>270</v>
      </c>
      <c r="T128" s="83" t="s">
        <v>310</v>
      </c>
      <c r="U128" s="83" t="s">
        <v>274</v>
      </c>
      <c r="V128" s="51" t="s">
        <v>312</v>
      </c>
    </row>
    <row r="129" spans="1:22" ht="18.75" customHeight="1" x14ac:dyDescent="0.2">
      <c r="A129" s="83" t="s">
        <v>235</v>
      </c>
      <c r="B129" s="16" t="s">
        <v>4</v>
      </c>
      <c r="C129" s="82" t="s">
        <v>236</v>
      </c>
      <c r="D129" s="306">
        <v>240000090201004</v>
      </c>
      <c r="E129" s="83" t="s">
        <v>42</v>
      </c>
      <c r="F129" s="83">
        <v>2024</v>
      </c>
      <c r="G129" s="83">
        <v>9</v>
      </c>
      <c r="H129" s="83" t="s">
        <v>279</v>
      </c>
      <c r="I129" s="84">
        <v>45706</v>
      </c>
      <c r="J129" s="85">
        <v>1</v>
      </c>
      <c r="K129" s="86">
        <v>1000</v>
      </c>
      <c r="L129" s="87">
        <v>7000</v>
      </c>
      <c r="M129" s="86">
        <v>1000000</v>
      </c>
      <c r="N129" s="15" t="s">
        <v>252</v>
      </c>
      <c r="O129" s="88">
        <v>45536</v>
      </c>
      <c r="P129" s="89">
        <v>1105</v>
      </c>
      <c r="Q129" s="83">
        <v>7</v>
      </c>
      <c r="R129" s="72">
        <v>7735</v>
      </c>
      <c r="S129" s="83" t="s">
        <v>270</v>
      </c>
      <c r="T129" s="83" t="s">
        <v>310</v>
      </c>
      <c r="U129" s="83" t="s">
        <v>274</v>
      </c>
      <c r="V129" s="51" t="s">
        <v>312</v>
      </c>
    </row>
    <row r="130" spans="1:22" ht="18.75" customHeight="1" x14ac:dyDescent="0.2">
      <c r="A130" s="83" t="s">
        <v>235</v>
      </c>
      <c r="B130" s="16" t="s">
        <v>4</v>
      </c>
      <c r="C130" s="82" t="s">
        <v>236</v>
      </c>
      <c r="D130" s="306">
        <v>240000090201004</v>
      </c>
      <c r="E130" s="83" t="s">
        <v>42</v>
      </c>
      <c r="F130" s="83">
        <v>2024</v>
      </c>
      <c r="G130" s="83">
        <v>9</v>
      </c>
      <c r="H130" s="83" t="s">
        <v>279</v>
      </c>
      <c r="I130" s="84">
        <v>45706</v>
      </c>
      <c r="J130" s="187">
        <v>1</v>
      </c>
      <c r="K130" s="86">
        <v>1000</v>
      </c>
      <c r="L130" s="87">
        <v>2000</v>
      </c>
      <c r="M130" s="86">
        <v>1000000</v>
      </c>
      <c r="N130" s="15" t="s">
        <v>252</v>
      </c>
      <c r="O130" s="88">
        <v>45536</v>
      </c>
      <c r="P130" s="89">
        <v>331.5</v>
      </c>
      <c r="Q130" s="83">
        <v>2</v>
      </c>
      <c r="R130" s="72">
        <v>663</v>
      </c>
      <c r="S130" s="83" t="s">
        <v>270</v>
      </c>
      <c r="T130" s="83" t="s">
        <v>310</v>
      </c>
      <c r="U130" s="83" t="s">
        <v>274</v>
      </c>
      <c r="V130" s="51" t="s">
        <v>312</v>
      </c>
    </row>
    <row r="131" spans="1:22" ht="18.75" customHeight="1" x14ac:dyDescent="0.2">
      <c r="A131" s="83" t="s">
        <v>235</v>
      </c>
      <c r="B131" s="16" t="s">
        <v>4</v>
      </c>
      <c r="C131" s="82" t="s">
        <v>236</v>
      </c>
      <c r="D131" s="306">
        <v>240000090201004</v>
      </c>
      <c r="E131" s="83" t="s">
        <v>42</v>
      </c>
      <c r="F131" s="83">
        <v>2024</v>
      </c>
      <c r="G131" s="83">
        <v>9</v>
      </c>
      <c r="H131" s="83" t="s">
        <v>279</v>
      </c>
      <c r="I131" s="84">
        <v>45706</v>
      </c>
      <c r="J131" s="85">
        <v>1</v>
      </c>
      <c r="K131" s="86">
        <v>1000</v>
      </c>
      <c r="L131" s="87">
        <v>1000</v>
      </c>
      <c r="M131" s="86">
        <v>1000000</v>
      </c>
      <c r="N131" s="15" t="s">
        <v>252</v>
      </c>
      <c r="O131" s="88">
        <v>45536</v>
      </c>
      <c r="P131" s="89">
        <v>13000</v>
      </c>
      <c r="Q131" s="83">
        <v>1</v>
      </c>
      <c r="R131" s="72">
        <v>13000</v>
      </c>
      <c r="S131" s="83" t="s">
        <v>270</v>
      </c>
      <c r="T131" s="83" t="s">
        <v>310</v>
      </c>
      <c r="U131" s="83" t="s">
        <v>274</v>
      </c>
      <c r="V131" s="51" t="s">
        <v>312</v>
      </c>
    </row>
    <row r="132" spans="1:22" ht="18.75" customHeight="1" x14ac:dyDescent="0.2">
      <c r="A132" s="83" t="s">
        <v>235</v>
      </c>
      <c r="B132" s="16" t="s">
        <v>4</v>
      </c>
      <c r="C132" s="82" t="s">
        <v>236</v>
      </c>
      <c r="D132" s="306">
        <v>240000090201004</v>
      </c>
      <c r="E132" s="83" t="s">
        <v>42</v>
      </c>
      <c r="F132" s="83">
        <v>2024</v>
      </c>
      <c r="G132" s="83">
        <v>9</v>
      </c>
      <c r="H132" s="83" t="s">
        <v>279</v>
      </c>
      <c r="I132" s="84">
        <v>45706</v>
      </c>
      <c r="J132" s="85">
        <v>1</v>
      </c>
      <c r="K132" s="86">
        <v>1000</v>
      </c>
      <c r="L132" s="87">
        <v>2000</v>
      </c>
      <c r="M132" s="86">
        <v>1000000</v>
      </c>
      <c r="N132" s="15" t="s">
        <v>252</v>
      </c>
      <c r="O132" s="88">
        <v>45536</v>
      </c>
      <c r="P132" s="89">
        <v>2000</v>
      </c>
      <c r="Q132" s="83">
        <v>2</v>
      </c>
      <c r="R132" s="72">
        <v>4000</v>
      </c>
      <c r="S132" s="83" t="s">
        <v>270</v>
      </c>
      <c r="T132" s="83" t="s">
        <v>310</v>
      </c>
      <c r="U132" s="83" t="s">
        <v>274</v>
      </c>
      <c r="V132" s="51" t="s">
        <v>312</v>
      </c>
    </row>
    <row r="133" spans="1:22" ht="18.75" customHeight="1" x14ac:dyDescent="0.2">
      <c r="A133" s="83" t="s">
        <v>235</v>
      </c>
      <c r="B133" s="16" t="s">
        <v>4</v>
      </c>
      <c r="C133" s="82" t="s">
        <v>236</v>
      </c>
      <c r="D133" s="306">
        <v>240000090201004</v>
      </c>
      <c r="E133" s="83" t="s">
        <v>42</v>
      </c>
      <c r="F133" s="83">
        <v>2024</v>
      </c>
      <c r="G133" s="83">
        <v>9</v>
      </c>
      <c r="H133" s="83" t="s">
        <v>279</v>
      </c>
      <c r="I133" s="84">
        <v>45706</v>
      </c>
      <c r="J133" s="85">
        <v>1</v>
      </c>
      <c r="K133" s="86">
        <v>1000</v>
      </c>
      <c r="L133" s="87">
        <v>58000</v>
      </c>
      <c r="M133" s="86">
        <v>1000000</v>
      </c>
      <c r="N133" s="15" t="s">
        <v>252</v>
      </c>
      <c r="O133" s="88">
        <v>45536</v>
      </c>
      <c r="P133" s="89">
        <v>3150</v>
      </c>
      <c r="Q133" s="83">
        <v>58</v>
      </c>
      <c r="R133" s="72">
        <v>182700</v>
      </c>
      <c r="S133" s="83" t="s">
        <v>270</v>
      </c>
      <c r="T133" s="83" t="s">
        <v>310</v>
      </c>
      <c r="U133" s="83" t="s">
        <v>274</v>
      </c>
      <c r="V133" s="51" t="s">
        <v>312</v>
      </c>
    </row>
    <row r="134" spans="1:22" ht="18.75" customHeight="1" x14ac:dyDescent="0.2">
      <c r="A134" s="83" t="s">
        <v>235</v>
      </c>
      <c r="B134" s="16" t="s">
        <v>4</v>
      </c>
      <c r="C134" s="82" t="s">
        <v>236</v>
      </c>
      <c r="D134" s="306">
        <v>240000090201004</v>
      </c>
      <c r="E134" s="83" t="s">
        <v>42</v>
      </c>
      <c r="F134" s="83">
        <v>2024</v>
      </c>
      <c r="G134" s="83">
        <v>9</v>
      </c>
      <c r="H134" s="83" t="s">
        <v>279</v>
      </c>
      <c r="I134" s="84">
        <v>45706</v>
      </c>
      <c r="J134" s="85">
        <v>1</v>
      </c>
      <c r="K134" s="86">
        <v>1000</v>
      </c>
      <c r="L134" s="87">
        <v>5000</v>
      </c>
      <c r="M134" s="86">
        <v>1000000</v>
      </c>
      <c r="N134" s="15" t="s">
        <v>252</v>
      </c>
      <c r="O134" s="88">
        <v>45536</v>
      </c>
      <c r="P134" s="89">
        <v>1275</v>
      </c>
      <c r="Q134" s="83">
        <v>5</v>
      </c>
      <c r="R134" s="72">
        <v>6375</v>
      </c>
      <c r="S134" s="83" t="s">
        <v>270</v>
      </c>
      <c r="T134" s="83" t="s">
        <v>310</v>
      </c>
      <c r="U134" s="83" t="s">
        <v>274</v>
      </c>
      <c r="V134" s="51" t="s">
        <v>312</v>
      </c>
    </row>
    <row r="135" spans="1:22" ht="18.75" customHeight="1" x14ac:dyDescent="0.2">
      <c r="A135" s="83" t="s">
        <v>235</v>
      </c>
      <c r="B135" s="16" t="s">
        <v>4</v>
      </c>
      <c r="C135" s="82" t="s">
        <v>236</v>
      </c>
      <c r="D135" s="306">
        <v>240000090201004</v>
      </c>
      <c r="E135" s="83" t="s">
        <v>42</v>
      </c>
      <c r="F135" s="83">
        <v>2024</v>
      </c>
      <c r="G135" s="83">
        <v>9</v>
      </c>
      <c r="H135" s="83" t="s">
        <v>279</v>
      </c>
      <c r="I135" s="84">
        <v>45706</v>
      </c>
      <c r="J135" s="85">
        <v>1</v>
      </c>
      <c r="K135" s="86">
        <v>1000</v>
      </c>
      <c r="L135" s="87">
        <v>4000</v>
      </c>
      <c r="M135" s="86">
        <v>1000000</v>
      </c>
      <c r="N135" s="15" t="s">
        <v>252</v>
      </c>
      <c r="O135" s="88">
        <v>45536</v>
      </c>
      <c r="P135" s="89">
        <v>3150</v>
      </c>
      <c r="Q135" s="83">
        <v>4</v>
      </c>
      <c r="R135" s="72">
        <v>12600</v>
      </c>
      <c r="S135" s="83" t="s">
        <v>270</v>
      </c>
      <c r="T135" s="83" t="s">
        <v>310</v>
      </c>
      <c r="U135" s="83" t="s">
        <v>274</v>
      </c>
      <c r="V135" s="51" t="s">
        <v>312</v>
      </c>
    </row>
    <row r="136" spans="1:22" ht="18.75" customHeight="1" x14ac:dyDescent="0.2">
      <c r="A136" s="83" t="s">
        <v>235</v>
      </c>
      <c r="B136" s="16" t="s">
        <v>4</v>
      </c>
      <c r="C136" s="82" t="s">
        <v>236</v>
      </c>
      <c r="D136" s="306">
        <v>240000090201004</v>
      </c>
      <c r="E136" s="83" t="s">
        <v>42</v>
      </c>
      <c r="F136" s="83">
        <v>2024</v>
      </c>
      <c r="G136" s="83">
        <v>9</v>
      </c>
      <c r="H136" s="83" t="s">
        <v>279</v>
      </c>
      <c r="I136" s="84">
        <v>45706</v>
      </c>
      <c r="J136" s="85">
        <v>1</v>
      </c>
      <c r="K136" s="86">
        <v>1000</v>
      </c>
      <c r="L136" s="87">
        <v>1000</v>
      </c>
      <c r="M136" s="86">
        <v>1000000</v>
      </c>
      <c r="N136" s="15" t="s">
        <v>252</v>
      </c>
      <c r="O136" s="88">
        <v>45536</v>
      </c>
      <c r="P136" s="89">
        <v>1275</v>
      </c>
      <c r="Q136" s="83">
        <v>1</v>
      </c>
      <c r="R136" s="72">
        <v>1275</v>
      </c>
      <c r="S136" s="83" t="s">
        <v>270</v>
      </c>
      <c r="T136" s="83" t="s">
        <v>310</v>
      </c>
      <c r="U136" s="83" t="s">
        <v>274</v>
      </c>
      <c r="V136" s="51" t="s">
        <v>312</v>
      </c>
    </row>
    <row r="137" spans="1:22" ht="18.75" customHeight="1" x14ac:dyDescent="0.2">
      <c r="A137" s="83" t="s">
        <v>235</v>
      </c>
      <c r="B137" s="16" t="s">
        <v>4</v>
      </c>
      <c r="C137" s="82" t="s">
        <v>236</v>
      </c>
      <c r="D137" s="306">
        <v>240000090201004</v>
      </c>
      <c r="E137" s="83" t="s">
        <v>42</v>
      </c>
      <c r="F137" s="83">
        <v>2024</v>
      </c>
      <c r="G137" s="83">
        <v>9</v>
      </c>
      <c r="H137" s="83" t="s">
        <v>279</v>
      </c>
      <c r="I137" s="84">
        <v>45706</v>
      </c>
      <c r="J137" s="85">
        <v>1</v>
      </c>
      <c r="K137" s="86">
        <v>1000</v>
      </c>
      <c r="L137" s="87">
        <v>1000</v>
      </c>
      <c r="M137" s="86">
        <v>1000000</v>
      </c>
      <c r="N137" s="15" t="s">
        <v>252</v>
      </c>
      <c r="O137" s="88">
        <v>45536</v>
      </c>
      <c r="P137" s="89">
        <v>1275</v>
      </c>
      <c r="Q137" s="83">
        <v>1</v>
      </c>
      <c r="R137" s="72">
        <v>1275</v>
      </c>
      <c r="S137" s="83" t="s">
        <v>270</v>
      </c>
      <c r="T137" s="83" t="s">
        <v>310</v>
      </c>
      <c r="U137" s="83" t="s">
        <v>274</v>
      </c>
      <c r="V137" s="51" t="s">
        <v>312</v>
      </c>
    </row>
    <row r="138" spans="1:22" ht="18.75" customHeight="1" x14ac:dyDescent="0.2">
      <c r="A138" s="83" t="s">
        <v>235</v>
      </c>
      <c r="B138" s="16" t="s">
        <v>4</v>
      </c>
      <c r="C138" s="82" t="s">
        <v>236</v>
      </c>
      <c r="D138" s="306">
        <v>240000090201004</v>
      </c>
      <c r="E138" s="83" t="s">
        <v>42</v>
      </c>
      <c r="F138" s="83">
        <v>2024</v>
      </c>
      <c r="G138" s="83">
        <v>9</v>
      </c>
      <c r="H138" s="83" t="s">
        <v>279</v>
      </c>
      <c r="I138" s="84">
        <v>45706</v>
      </c>
      <c r="J138" s="85">
        <v>1</v>
      </c>
      <c r="K138" s="86">
        <v>1000</v>
      </c>
      <c r="L138" s="87">
        <v>1000</v>
      </c>
      <c r="M138" s="86">
        <v>1000000</v>
      </c>
      <c r="N138" s="15" t="s">
        <v>252</v>
      </c>
      <c r="O138" s="88">
        <v>45536</v>
      </c>
      <c r="P138" s="89">
        <v>8000</v>
      </c>
      <c r="Q138" s="83">
        <v>1</v>
      </c>
      <c r="R138" s="72">
        <v>8000</v>
      </c>
      <c r="S138" s="83" t="s">
        <v>270</v>
      </c>
      <c r="T138" s="83" t="s">
        <v>310</v>
      </c>
      <c r="U138" s="83" t="s">
        <v>274</v>
      </c>
      <c r="V138" s="51" t="s">
        <v>312</v>
      </c>
    </row>
    <row r="139" spans="1:22" ht="18.75" customHeight="1" x14ac:dyDescent="0.2">
      <c r="A139" s="83" t="s">
        <v>235</v>
      </c>
      <c r="B139" s="16" t="s">
        <v>4</v>
      </c>
      <c r="C139" s="82" t="s">
        <v>58</v>
      </c>
      <c r="D139" s="306">
        <v>240000090201003</v>
      </c>
      <c r="E139" s="83" t="s">
        <v>42</v>
      </c>
      <c r="F139" s="83">
        <v>2024</v>
      </c>
      <c r="G139" s="83">
        <v>9</v>
      </c>
      <c r="H139" s="83" t="s">
        <v>279</v>
      </c>
      <c r="I139" s="84">
        <v>45706</v>
      </c>
      <c r="J139" s="85">
        <v>1</v>
      </c>
      <c r="K139" s="86">
        <v>1000</v>
      </c>
      <c r="L139" s="87">
        <v>2000</v>
      </c>
      <c r="M139" s="86">
        <v>1000000</v>
      </c>
      <c r="N139" s="15" t="s">
        <v>252</v>
      </c>
      <c r="O139" s="88">
        <v>45536</v>
      </c>
      <c r="P139" s="89">
        <v>1000</v>
      </c>
      <c r="Q139" s="83">
        <v>2</v>
      </c>
      <c r="R139" s="72">
        <v>2000</v>
      </c>
      <c r="S139" s="83" t="s">
        <v>270</v>
      </c>
      <c r="T139" s="83" t="s">
        <v>310</v>
      </c>
      <c r="U139" s="83" t="s">
        <v>274</v>
      </c>
      <c r="V139" s="51" t="s">
        <v>312</v>
      </c>
    </row>
    <row r="140" spans="1:22" ht="18.75" customHeight="1" x14ac:dyDescent="0.2">
      <c r="A140" s="83" t="s">
        <v>235</v>
      </c>
      <c r="B140" s="16" t="s">
        <v>4</v>
      </c>
      <c r="C140" s="82" t="s">
        <v>58</v>
      </c>
      <c r="D140" s="306">
        <v>240000090201003</v>
      </c>
      <c r="E140" s="83" t="s">
        <v>42</v>
      </c>
      <c r="F140" s="83">
        <v>2024</v>
      </c>
      <c r="G140" s="83">
        <v>9</v>
      </c>
      <c r="H140" s="83" t="s">
        <v>279</v>
      </c>
      <c r="I140" s="84">
        <v>45706</v>
      </c>
      <c r="J140" s="85">
        <v>1</v>
      </c>
      <c r="K140" s="86">
        <v>1000</v>
      </c>
      <c r="L140" s="87">
        <v>47000</v>
      </c>
      <c r="M140" s="86">
        <v>1000000</v>
      </c>
      <c r="N140" s="15" t="s">
        <v>252</v>
      </c>
      <c r="O140" s="88">
        <v>45536</v>
      </c>
      <c r="P140" s="89">
        <v>1530</v>
      </c>
      <c r="Q140" s="83">
        <v>47</v>
      </c>
      <c r="R140" s="72">
        <v>71910</v>
      </c>
      <c r="S140" s="83" t="s">
        <v>270</v>
      </c>
      <c r="T140" s="83" t="s">
        <v>310</v>
      </c>
      <c r="U140" s="83" t="s">
        <v>274</v>
      </c>
      <c r="V140" s="51" t="s">
        <v>312</v>
      </c>
    </row>
    <row r="141" spans="1:22" ht="18.75" customHeight="1" x14ac:dyDescent="0.2">
      <c r="A141" s="83" t="s">
        <v>235</v>
      </c>
      <c r="B141" s="16" t="s">
        <v>4</v>
      </c>
      <c r="C141" s="82" t="s">
        <v>58</v>
      </c>
      <c r="D141" s="306">
        <v>240000090201003</v>
      </c>
      <c r="E141" s="83" t="s">
        <v>42</v>
      </c>
      <c r="F141" s="83">
        <v>2024</v>
      </c>
      <c r="G141" s="83">
        <v>9</v>
      </c>
      <c r="H141" s="83" t="s">
        <v>279</v>
      </c>
      <c r="I141" s="84">
        <v>45706</v>
      </c>
      <c r="J141" s="85">
        <v>1</v>
      </c>
      <c r="K141" s="86">
        <v>1000</v>
      </c>
      <c r="L141" s="87">
        <v>14000</v>
      </c>
      <c r="M141" s="86">
        <v>1000000</v>
      </c>
      <c r="N141" s="15" t="s">
        <v>252</v>
      </c>
      <c r="O141" s="88">
        <v>45536</v>
      </c>
      <c r="P141" s="89">
        <v>1530</v>
      </c>
      <c r="Q141" s="83">
        <v>14</v>
      </c>
      <c r="R141" s="72">
        <v>21420</v>
      </c>
      <c r="S141" s="83" t="s">
        <v>270</v>
      </c>
      <c r="T141" s="83" t="s">
        <v>310</v>
      </c>
      <c r="U141" s="83" t="s">
        <v>274</v>
      </c>
      <c r="V141" s="51" t="s">
        <v>312</v>
      </c>
    </row>
    <row r="142" spans="1:22" ht="18.75" customHeight="1" x14ac:dyDescent="0.2">
      <c r="A142" s="83" t="s">
        <v>235</v>
      </c>
      <c r="B142" s="16" t="s">
        <v>4</v>
      </c>
      <c r="C142" s="82" t="s">
        <v>58</v>
      </c>
      <c r="D142" s="306">
        <v>240000090201003</v>
      </c>
      <c r="E142" s="83" t="s">
        <v>42</v>
      </c>
      <c r="F142" s="83">
        <v>2024</v>
      </c>
      <c r="G142" s="83">
        <v>9</v>
      </c>
      <c r="H142" s="83" t="s">
        <v>279</v>
      </c>
      <c r="I142" s="84">
        <v>45706</v>
      </c>
      <c r="J142" s="85">
        <v>1</v>
      </c>
      <c r="K142" s="86">
        <v>1000</v>
      </c>
      <c r="L142" s="87">
        <v>1000</v>
      </c>
      <c r="M142" s="86">
        <v>1000000</v>
      </c>
      <c r="N142" s="15" t="s">
        <v>252</v>
      </c>
      <c r="O142" s="88">
        <v>45536</v>
      </c>
      <c r="P142" s="89">
        <v>850</v>
      </c>
      <c r="Q142" s="83">
        <v>1</v>
      </c>
      <c r="R142" s="72">
        <v>850</v>
      </c>
      <c r="S142" s="83" t="s">
        <v>270</v>
      </c>
      <c r="T142" s="83" t="s">
        <v>310</v>
      </c>
      <c r="U142" s="83" t="s">
        <v>274</v>
      </c>
      <c r="V142" s="51" t="s">
        <v>312</v>
      </c>
    </row>
    <row r="143" spans="1:22" ht="18.75" customHeight="1" x14ac:dyDescent="0.2">
      <c r="A143" s="83" t="s">
        <v>235</v>
      </c>
      <c r="B143" s="16" t="s">
        <v>4</v>
      </c>
      <c r="C143" s="82" t="s">
        <v>58</v>
      </c>
      <c r="D143" s="306">
        <v>240000090201003</v>
      </c>
      <c r="E143" s="83" t="s">
        <v>42</v>
      </c>
      <c r="F143" s="83">
        <v>2024</v>
      </c>
      <c r="G143" s="83">
        <v>9</v>
      </c>
      <c r="H143" s="83" t="s">
        <v>279</v>
      </c>
      <c r="I143" s="84">
        <v>45706</v>
      </c>
      <c r="J143" s="85">
        <v>1</v>
      </c>
      <c r="K143" s="86">
        <v>1000</v>
      </c>
      <c r="L143" s="87">
        <v>2000</v>
      </c>
      <c r="M143" s="86">
        <v>1000000</v>
      </c>
      <c r="N143" s="15" t="s">
        <v>252</v>
      </c>
      <c r="O143" s="88">
        <v>45536</v>
      </c>
      <c r="P143" s="89">
        <v>850</v>
      </c>
      <c r="Q143" s="83">
        <v>2</v>
      </c>
      <c r="R143" s="72">
        <v>1700</v>
      </c>
      <c r="S143" s="83" t="s">
        <v>270</v>
      </c>
      <c r="T143" s="83" t="s">
        <v>310</v>
      </c>
      <c r="U143" s="83" t="s">
        <v>274</v>
      </c>
      <c r="V143" s="51" t="s">
        <v>312</v>
      </c>
    </row>
    <row r="144" spans="1:22" ht="18.75" customHeight="1" x14ac:dyDescent="0.2">
      <c r="A144" s="83" t="s">
        <v>235</v>
      </c>
      <c r="B144" s="16" t="s">
        <v>4</v>
      </c>
      <c r="C144" s="82" t="s">
        <v>58</v>
      </c>
      <c r="D144" s="306">
        <v>240000090201003</v>
      </c>
      <c r="E144" s="83" t="s">
        <v>42</v>
      </c>
      <c r="F144" s="83">
        <v>2024</v>
      </c>
      <c r="G144" s="83">
        <v>9</v>
      </c>
      <c r="H144" s="83" t="s">
        <v>279</v>
      </c>
      <c r="I144" s="84">
        <v>45706</v>
      </c>
      <c r="J144" s="85">
        <v>1</v>
      </c>
      <c r="K144" s="86">
        <v>1000</v>
      </c>
      <c r="L144" s="87">
        <v>1000</v>
      </c>
      <c r="M144" s="86">
        <v>1000000</v>
      </c>
      <c r="N144" s="15" t="s">
        <v>252</v>
      </c>
      <c r="O144" s="88">
        <v>45536</v>
      </c>
      <c r="P144" s="89">
        <v>1800</v>
      </c>
      <c r="Q144" s="83">
        <v>1</v>
      </c>
      <c r="R144" s="72">
        <v>1800</v>
      </c>
      <c r="S144" s="83" t="s">
        <v>270</v>
      </c>
      <c r="T144" s="83" t="s">
        <v>310</v>
      </c>
      <c r="U144" s="83" t="s">
        <v>274</v>
      </c>
      <c r="V144" s="51" t="s">
        <v>312</v>
      </c>
    </row>
    <row r="145" spans="1:22" ht="18.75" customHeight="1" x14ac:dyDescent="0.2">
      <c r="A145" s="83" t="s">
        <v>235</v>
      </c>
      <c r="B145" s="16" t="s">
        <v>4</v>
      </c>
      <c r="C145" s="82" t="s">
        <v>58</v>
      </c>
      <c r="D145" s="306">
        <v>240000090201003</v>
      </c>
      <c r="E145" s="83" t="s">
        <v>42</v>
      </c>
      <c r="F145" s="83">
        <v>2024</v>
      </c>
      <c r="G145" s="83">
        <v>9</v>
      </c>
      <c r="H145" s="83" t="s">
        <v>279</v>
      </c>
      <c r="I145" s="84">
        <v>45706</v>
      </c>
      <c r="J145" s="85">
        <v>1</v>
      </c>
      <c r="K145" s="86">
        <v>1000</v>
      </c>
      <c r="L145" s="87">
        <v>2000</v>
      </c>
      <c r="M145" s="86">
        <v>1000000</v>
      </c>
      <c r="N145" s="15" t="s">
        <v>252</v>
      </c>
      <c r="O145" s="88">
        <v>45536</v>
      </c>
      <c r="P145" s="89">
        <v>1800</v>
      </c>
      <c r="Q145" s="83">
        <v>2</v>
      </c>
      <c r="R145" s="72">
        <v>3600</v>
      </c>
      <c r="S145" s="83" t="s">
        <v>270</v>
      </c>
      <c r="T145" s="83" t="s">
        <v>310</v>
      </c>
      <c r="U145" s="83" t="s">
        <v>274</v>
      </c>
      <c r="V145" s="51" t="s">
        <v>312</v>
      </c>
    </row>
    <row r="146" spans="1:22" ht="18.75" customHeight="1" x14ac:dyDescent="0.2">
      <c r="A146" s="83" t="s">
        <v>235</v>
      </c>
      <c r="B146" s="16" t="s">
        <v>4</v>
      </c>
      <c r="C146" s="82" t="s">
        <v>58</v>
      </c>
      <c r="D146" s="306">
        <v>240000090201003</v>
      </c>
      <c r="E146" s="83" t="s">
        <v>42</v>
      </c>
      <c r="F146" s="83">
        <v>2024</v>
      </c>
      <c r="G146" s="83">
        <v>9</v>
      </c>
      <c r="H146" s="83" t="s">
        <v>279</v>
      </c>
      <c r="I146" s="84">
        <v>45706</v>
      </c>
      <c r="J146" s="85">
        <v>1</v>
      </c>
      <c r="K146" s="86">
        <v>1000</v>
      </c>
      <c r="L146" s="87">
        <v>3000</v>
      </c>
      <c r="M146" s="86">
        <v>1000000</v>
      </c>
      <c r="N146" s="15" t="s">
        <v>252</v>
      </c>
      <c r="O146" s="88">
        <v>45536</v>
      </c>
      <c r="P146" s="89">
        <v>850</v>
      </c>
      <c r="Q146" s="83">
        <v>3</v>
      </c>
      <c r="R146" s="72">
        <v>2550</v>
      </c>
      <c r="S146" s="83" t="s">
        <v>270</v>
      </c>
      <c r="T146" s="83" t="s">
        <v>310</v>
      </c>
      <c r="U146" s="83" t="s">
        <v>274</v>
      </c>
      <c r="V146" s="51" t="s">
        <v>312</v>
      </c>
    </row>
    <row r="147" spans="1:22" ht="18.75" customHeight="1" x14ac:dyDescent="0.2">
      <c r="A147" s="83" t="s">
        <v>235</v>
      </c>
      <c r="B147" s="16" t="s">
        <v>4</v>
      </c>
      <c r="C147" s="82" t="s">
        <v>58</v>
      </c>
      <c r="D147" s="306">
        <v>240000090201003</v>
      </c>
      <c r="E147" s="83" t="s">
        <v>42</v>
      </c>
      <c r="F147" s="83">
        <v>2024</v>
      </c>
      <c r="G147" s="83">
        <v>9</v>
      </c>
      <c r="H147" s="83" t="s">
        <v>279</v>
      </c>
      <c r="I147" s="84">
        <v>45706</v>
      </c>
      <c r="J147" s="85">
        <v>1</v>
      </c>
      <c r="K147" s="86">
        <v>1000</v>
      </c>
      <c r="L147" s="87">
        <v>1000</v>
      </c>
      <c r="M147" s="86">
        <v>1000000</v>
      </c>
      <c r="N147" s="15" t="s">
        <v>252</v>
      </c>
      <c r="O147" s="88">
        <v>45536</v>
      </c>
      <c r="P147" s="89">
        <v>850</v>
      </c>
      <c r="Q147" s="83">
        <v>1</v>
      </c>
      <c r="R147" s="72">
        <v>850</v>
      </c>
      <c r="S147" s="83" t="s">
        <v>270</v>
      </c>
      <c r="T147" s="83" t="s">
        <v>310</v>
      </c>
      <c r="U147" s="83" t="s">
        <v>274</v>
      </c>
      <c r="V147" s="51" t="s">
        <v>312</v>
      </c>
    </row>
    <row r="148" spans="1:22" ht="18.75" customHeight="1" x14ac:dyDescent="0.2">
      <c r="A148" s="83" t="s">
        <v>235</v>
      </c>
      <c r="B148" s="16" t="s">
        <v>4</v>
      </c>
      <c r="C148" s="82" t="s">
        <v>58</v>
      </c>
      <c r="D148" s="306">
        <v>240000090201003</v>
      </c>
      <c r="E148" s="83" t="s">
        <v>42</v>
      </c>
      <c r="F148" s="83">
        <v>2024</v>
      </c>
      <c r="G148" s="83">
        <v>9</v>
      </c>
      <c r="H148" s="83" t="s">
        <v>279</v>
      </c>
      <c r="I148" s="84">
        <v>45706</v>
      </c>
      <c r="J148" s="85">
        <v>1</v>
      </c>
      <c r="K148" s="86">
        <v>1000</v>
      </c>
      <c r="L148" s="87">
        <v>1000</v>
      </c>
      <c r="M148" s="86">
        <v>1000000</v>
      </c>
      <c r="N148" s="15" t="s">
        <v>252</v>
      </c>
      <c r="O148" s="88">
        <v>45536</v>
      </c>
      <c r="P148" s="89">
        <v>13000</v>
      </c>
      <c r="Q148" s="83">
        <v>1</v>
      </c>
      <c r="R148" s="72">
        <v>13000</v>
      </c>
      <c r="S148" s="83" t="s">
        <v>270</v>
      </c>
      <c r="T148" s="83" t="s">
        <v>310</v>
      </c>
      <c r="U148" s="83" t="s">
        <v>274</v>
      </c>
      <c r="V148" s="51" t="s">
        <v>312</v>
      </c>
    </row>
    <row r="149" spans="1:22" ht="18.75" customHeight="1" x14ac:dyDescent="0.2">
      <c r="A149" s="83" t="s">
        <v>235</v>
      </c>
      <c r="B149" s="16" t="s">
        <v>4</v>
      </c>
      <c r="C149" s="82" t="s">
        <v>58</v>
      </c>
      <c r="D149" s="306">
        <v>240000090201003</v>
      </c>
      <c r="E149" s="83" t="s">
        <v>42</v>
      </c>
      <c r="F149" s="83">
        <v>2024</v>
      </c>
      <c r="G149" s="83">
        <v>9</v>
      </c>
      <c r="H149" s="83" t="s">
        <v>279</v>
      </c>
      <c r="I149" s="84">
        <v>45706</v>
      </c>
      <c r="J149" s="85">
        <v>1</v>
      </c>
      <c r="K149" s="86">
        <v>1000</v>
      </c>
      <c r="L149" s="87">
        <v>1000</v>
      </c>
      <c r="M149" s="86">
        <v>1000000</v>
      </c>
      <c r="N149" s="15" t="s">
        <v>252</v>
      </c>
      <c r="O149" s="88">
        <v>45536</v>
      </c>
      <c r="P149" s="89">
        <v>5000</v>
      </c>
      <c r="Q149" s="83">
        <v>1</v>
      </c>
      <c r="R149" s="72">
        <v>5000</v>
      </c>
      <c r="S149" s="83" t="s">
        <v>270</v>
      </c>
      <c r="T149" s="83" t="s">
        <v>310</v>
      </c>
      <c r="U149" s="83" t="s">
        <v>274</v>
      </c>
      <c r="V149" s="51" t="s">
        <v>312</v>
      </c>
    </row>
    <row r="150" spans="1:22" ht="18.75" customHeight="1" x14ac:dyDescent="0.2">
      <c r="A150" s="83" t="s">
        <v>235</v>
      </c>
      <c r="B150" s="16" t="s">
        <v>4</v>
      </c>
      <c r="C150" s="82" t="s">
        <v>58</v>
      </c>
      <c r="D150" s="306">
        <v>240000090201003</v>
      </c>
      <c r="E150" s="83" t="s">
        <v>42</v>
      </c>
      <c r="F150" s="83">
        <v>2024</v>
      </c>
      <c r="G150" s="83">
        <v>9</v>
      </c>
      <c r="H150" s="83" t="s">
        <v>279</v>
      </c>
      <c r="I150" s="84">
        <v>45706</v>
      </c>
      <c r="J150" s="85">
        <v>1</v>
      </c>
      <c r="K150" s="86">
        <v>1000</v>
      </c>
      <c r="L150" s="87">
        <v>1000</v>
      </c>
      <c r="M150" s="86">
        <v>1000000</v>
      </c>
      <c r="N150" s="15" t="s">
        <v>252</v>
      </c>
      <c r="O150" s="88">
        <v>45536</v>
      </c>
      <c r="P150" s="89">
        <v>3000</v>
      </c>
      <c r="Q150" s="83">
        <v>1</v>
      </c>
      <c r="R150" s="72">
        <v>3000</v>
      </c>
      <c r="S150" s="83" t="s">
        <v>270</v>
      </c>
      <c r="T150" s="83" t="s">
        <v>310</v>
      </c>
      <c r="U150" s="83" t="s">
        <v>274</v>
      </c>
      <c r="V150" s="51" t="s">
        <v>312</v>
      </c>
    </row>
    <row r="151" spans="1:22" ht="18.75" customHeight="1" x14ac:dyDescent="0.2">
      <c r="A151" s="83" t="s">
        <v>235</v>
      </c>
      <c r="B151" s="16" t="s">
        <v>4</v>
      </c>
      <c r="C151" s="82" t="s">
        <v>58</v>
      </c>
      <c r="D151" s="306">
        <v>240000090201003</v>
      </c>
      <c r="E151" s="83" t="s">
        <v>42</v>
      </c>
      <c r="F151" s="83">
        <v>2024</v>
      </c>
      <c r="G151" s="83">
        <v>9</v>
      </c>
      <c r="H151" s="83" t="s">
        <v>279</v>
      </c>
      <c r="I151" s="84">
        <v>45706</v>
      </c>
      <c r="J151" s="85">
        <v>1</v>
      </c>
      <c r="K151" s="86">
        <v>1000</v>
      </c>
      <c r="L151" s="87">
        <v>4000</v>
      </c>
      <c r="M151" s="86">
        <v>1000000</v>
      </c>
      <c r="N151" s="15" t="s">
        <v>252</v>
      </c>
      <c r="O151" s="88">
        <v>45536</v>
      </c>
      <c r="P151" s="89">
        <v>2574</v>
      </c>
      <c r="Q151" s="83">
        <v>4</v>
      </c>
      <c r="R151" s="72">
        <v>10296</v>
      </c>
      <c r="S151" s="83" t="s">
        <v>270</v>
      </c>
      <c r="T151" s="83" t="s">
        <v>310</v>
      </c>
      <c r="U151" s="83" t="s">
        <v>274</v>
      </c>
      <c r="V151" s="51" t="s">
        <v>312</v>
      </c>
    </row>
    <row r="152" spans="1:22" ht="18.75" customHeight="1" x14ac:dyDescent="0.2">
      <c r="A152" s="83" t="s">
        <v>235</v>
      </c>
      <c r="B152" s="16" t="s">
        <v>4</v>
      </c>
      <c r="C152" s="82" t="s">
        <v>58</v>
      </c>
      <c r="D152" s="306">
        <v>240000090201003</v>
      </c>
      <c r="E152" s="83" t="s">
        <v>42</v>
      </c>
      <c r="F152" s="83">
        <v>2024</v>
      </c>
      <c r="G152" s="83">
        <v>9</v>
      </c>
      <c r="H152" s="83" t="s">
        <v>279</v>
      </c>
      <c r="I152" s="84">
        <v>45706</v>
      </c>
      <c r="J152" s="85">
        <v>1</v>
      </c>
      <c r="K152" s="86">
        <v>1000</v>
      </c>
      <c r="L152" s="87">
        <v>1000</v>
      </c>
      <c r="M152" s="86">
        <v>1000000</v>
      </c>
      <c r="N152" s="15" t="s">
        <v>252</v>
      </c>
      <c r="O152" s="88">
        <v>45536</v>
      </c>
      <c r="P152" s="89">
        <v>3094</v>
      </c>
      <c r="Q152" s="83">
        <v>1</v>
      </c>
      <c r="R152" s="72">
        <v>3094</v>
      </c>
      <c r="S152" s="83" t="s">
        <v>270</v>
      </c>
      <c r="T152" s="83" t="s">
        <v>310</v>
      </c>
      <c r="U152" s="83" t="s">
        <v>274</v>
      </c>
      <c r="V152" s="51" t="s">
        <v>312</v>
      </c>
    </row>
    <row r="153" spans="1:22" ht="18.75" customHeight="1" x14ac:dyDescent="0.2">
      <c r="A153" s="83" t="s">
        <v>235</v>
      </c>
      <c r="B153" s="16" t="s">
        <v>4</v>
      </c>
      <c r="C153" s="82" t="s">
        <v>58</v>
      </c>
      <c r="D153" s="306">
        <v>240000090201003</v>
      </c>
      <c r="E153" s="83" t="s">
        <v>42</v>
      </c>
      <c r="F153" s="83">
        <v>2024</v>
      </c>
      <c r="G153" s="83">
        <v>9</v>
      </c>
      <c r="H153" s="83" t="s">
        <v>279</v>
      </c>
      <c r="I153" s="84">
        <v>45706</v>
      </c>
      <c r="J153" s="85">
        <v>1</v>
      </c>
      <c r="K153" s="86">
        <v>1000</v>
      </c>
      <c r="L153" s="87">
        <v>7000</v>
      </c>
      <c r="M153" s="86">
        <v>1000000</v>
      </c>
      <c r="N153" s="15" t="s">
        <v>252</v>
      </c>
      <c r="O153" s="88">
        <v>45536</v>
      </c>
      <c r="P153" s="89">
        <v>9945</v>
      </c>
      <c r="Q153" s="83">
        <v>7</v>
      </c>
      <c r="R153" s="72">
        <v>69615</v>
      </c>
      <c r="S153" s="83" t="s">
        <v>270</v>
      </c>
      <c r="T153" s="83" t="s">
        <v>310</v>
      </c>
      <c r="U153" s="83" t="s">
        <v>274</v>
      </c>
      <c r="V153" s="51" t="s">
        <v>312</v>
      </c>
    </row>
    <row r="154" spans="1:22" ht="18.75" customHeight="1" x14ac:dyDescent="0.2">
      <c r="A154" s="83" t="s">
        <v>235</v>
      </c>
      <c r="B154" s="16" t="s">
        <v>4</v>
      </c>
      <c r="C154" s="82" t="s">
        <v>58</v>
      </c>
      <c r="D154" s="306">
        <v>240000090201003</v>
      </c>
      <c r="E154" s="83" t="s">
        <v>42</v>
      </c>
      <c r="F154" s="83">
        <v>2024</v>
      </c>
      <c r="G154" s="83">
        <v>9</v>
      </c>
      <c r="H154" s="83" t="s">
        <v>279</v>
      </c>
      <c r="I154" s="84">
        <v>45706</v>
      </c>
      <c r="J154" s="85">
        <v>1</v>
      </c>
      <c r="K154" s="86">
        <v>1000</v>
      </c>
      <c r="L154" s="87">
        <v>2000</v>
      </c>
      <c r="M154" s="86">
        <v>1000000</v>
      </c>
      <c r="N154" s="15" t="s">
        <v>252</v>
      </c>
      <c r="O154" s="88">
        <v>45536</v>
      </c>
      <c r="P154" s="89">
        <v>1105</v>
      </c>
      <c r="Q154" s="83">
        <v>2</v>
      </c>
      <c r="R154" s="72">
        <v>2210</v>
      </c>
      <c r="S154" s="83" t="s">
        <v>270</v>
      </c>
      <c r="T154" s="83" t="s">
        <v>310</v>
      </c>
      <c r="U154" s="83" t="s">
        <v>274</v>
      </c>
      <c r="V154" s="51" t="s">
        <v>312</v>
      </c>
    </row>
    <row r="155" spans="1:22" ht="18.75" customHeight="1" x14ac:dyDescent="0.2">
      <c r="A155" s="83" t="s">
        <v>235</v>
      </c>
      <c r="B155" s="16" t="s">
        <v>4</v>
      </c>
      <c r="C155" s="82" t="s">
        <v>58</v>
      </c>
      <c r="D155" s="306">
        <v>240000090201003</v>
      </c>
      <c r="E155" s="83" t="s">
        <v>42</v>
      </c>
      <c r="F155" s="83">
        <v>2024</v>
      </c>
      <c r="G155" s="83">
        <v>9</v>
      </c>
      <c r="H155" s="83" t="s">
        <v>279</v>
      </c>
      <c r="I155" s="84">
        <v>45706</v>
      </c>
      <c r="J155" s="85">
        <v>1</v>
      </c>
      <c r="K155" s="86">
        <v>1000</v>
      </c>
      <c r="L155" s="87">
        <v>2000</v>
      </c>
      <c r="M155" s="86">
        <v>1000000</v>
      </c>
      <c r="N155" s="15" t="s">
        <v>252</v>
      </c>
      <c r="O155" s="88">
        <v>45536</v>
      </c>
      <c r="P155" s="89">
        <v>331.5</v>
      </c>
      <c r="Q155" s="83">
        <v>2</v>
      </c>
      <c r="R155" s="72">
        <v>663</v>
      </c>
      <c r="S155" s="83" t="s">
        <v>270</v>
      </c>
      <c r="T155" s="83" t="s">
        <v>310</v>
      </c>
      <c r="U155" s="83" t="s">
        <v>274</v>
      </c>
      <c r="V155" s="51" t="s">
        <v>312</v>
      </c>
    </row>
    <row r="156" spans="1:22" ht="18.75" customHeight="1" x14ac:dyDescent="0.2">
      <c r="A156" s="83" t="s">
        <v>235</v>
      </c>
      <c r="B156" s="16" t="s">
        <v>4</v>
      </c>
      <c r="C156" s="82" t="s">
        <v>58</v>
      </c>
      <c r="D156" s="306">
        <v>240000090201003</v>
      </c>
      <c r="E156" s="83" t="s">
        <v>42</v>
      </c>
      <c r="F156" s="83">
        <v>2024</v>
      </c>
      <c r="G156" s="83">
        <v>9</v>
      </c>
      <c r="H156" s="83" t="s">
        <v>279</v>
      </c>
      <c r="I156" s="84">
        <v>45706</v>
      </c>
      <c r="J156" s="85">
        <v>1</v>
      </c>
      <c r="K156" s="86">
        <v>1000</v>
      </c>
      <c r="L156" s="87">
        <v>1000</v>
      </c>
      <c r="M156" s="86">
        <v>1000000</v>
      </c>
      <c r="N156" s="15" t="s">
        <v>252</v>
      </c>
      <c r="O156" s="88">
        <v>45536</v>
      </c>
      <c r="P156" s="89">
        <v>13000</v>
      </c>
      <c r="Q156" s="83">
        <v>1</v>
      </c>
      <c r="R156" s="72">
        <v>13000</v>
      </c>
      <c r="S156" s="83" t="s">
        <v>270</v>
      </c>
      <c r="T156" s="83" t="s">
        <v>310</v>
      </c>
      <c r="U156" s="83" t="s">
        <v>274</v>
      </c>
      <c r="V156" s="51" t="s">
        <v>312</v>
      </c>
    </row>
    <row r="157" spans="1:22" ht="18.75" customHeight="1" x14ac:dyDescent="0.2">
      <c r="A157" s="83" t="s">
        <v>235</v>
      </c>
      <c r="B157" s="16" t="s">
        <v>4</v>
      </c>
      <c r="C157" s="82" t="s">
        <v>242</v>
      </c>
      <c r="D157" s="306">
        <v>240000090201001</v>
      </c>
      <c r="E157" s="83" t="s">
        <v>42</v>
      </c>
      <c r="F157" s="83">
        <v>2024</v>
      </c>
      <c r="G157" s="83">
        <v>9</v>
      </c>
      <c r="H157" s="83" t="s">
        <v>279</v>
      </c>
      <c r="I157" s="84">
        <v>45706</v>
      </c>
      <c r="J157" s="85">
        <v>1</v>
      </c>
      <c r="K157" s="86">
        <v>1000</v>
      </c>
      <c r="L157" s="87">
        <v>1000</v>
      </c>
      <c r="M157" s="86">
        <v>1000000</v>
      </c>
      <c r="N157" s="15" t="s">
        <v>252</v>
      </c>
      <c r="O157" s="88">
        <v>45536</v>
      </c>
      <c r="P157" s="89">
        <v>5000</v>
      </c>
      <c r="Q157" s="83">
        <v>1</v>
      </c>
      <c r="R157" s="72">
        <v>5000</v>
      </c>
      <c r="S157" s="83" t="s">
        <v>270</v>
      </c>
      <c r="T157" s="83" t="s">
        <v>310</v>
      </c>
      <c r="U157" s="83" t="s">
        <v>274</v>
      </c>
      <c r="V157" s="51" t="s">
        <v>312</v>
      </c>
    </row>
    <row r="158" spans="1:22" ht="18.75" customHeight="1" x14ac:dyDescent="0.2">
      <c r="A158" s="83" t="s">
        <v>235</v>
      </c>
      <c r="B158" s="16" t="s">
        <v>4</v>
      </c>
      <c r="C158" s="82" t="s">
        <v>242</v>
      </c>
      <c r="D158" s="306">
        <v>240000090201001</v>
      </c>
      <c r="E158" s="83" t="s">
        <v>42</v>
      </c>
      <c r="F158" s="83">
        <v>2024</v>
      </c>
      <c r="G158" s="83">
        <v>9</v>
      </c>
      <c r="H158" s="83" t="s">
        <v>279</v>
      </c>
      <c r="I158" s="84">
        <v>45706</v>
      </c>
      <c r="J158" s="85">
        <v>1</v>
      </c>
      <c r="K158" s="86">
        <v>1000</v>
      </c>
      <c r="L158" s="87">
        <v>1000</v>
      </c>
      <c r="M158" s="86">
        <v>1000000</v>
      </c>
      <c r="N158" s="15" t="s">
        <v>252</v>
      </c>
      <c r="O158" s="88">
        <v>45536</v>
      </c>
      <c r="P158" s="89">
        <v>1530</v>
      </c>
      <c r="Q158" s="83">
        <v>1</v>
      </c>
      <c r="R158" s="72">
        <v>1530</v>
      </c>
      <c r="S158" s="83" t="s">
        <v>270</v>
      </c>
      <c r="T158" s="83" t="s">
        <v>310</v>
      </c>
      <c r="U158" s="83" t="s">
        <v>274</v>
      </c>
      <c r="V158" s="51" t="s">
        <v>312</v>
      </c>
    </row>
    <row r="159" spans="1:22" ht="18.75" customHeight="1" x14ac:dyDescent="0.2">
      <c r="A159" s="83" t="s">
        <v>235</v>
      </c>
      <c r="B159" s="16" t="s">
        <v>4</v>
      </c>
      <c r="C159" s="82" t="s">
        <v>242</v>
      </c>
      <c r="D159" s="306">
        <v>240000090201001</v>
      </c>
      <c r="E159" s="83" t="s">
        <v>42</v>
      </c>
      <c r="F159" s="83">
        <v>2024</v>
      </c>
      <c r="G159" s="83">
        <v>9</v>
      </c>
      <c r="H159" s="83" t="s">
        <v>279</v>
      </c>
      <c r="I159" s="84">
        <v>45706</v>
      </c>
      <c r="J159" s="85">
        <v>1</v>
      </c>
      <c r="K159" s="86">
        <v>1000</v>
      </c>
      <c r="L159" s="87">
        <v>6000</v>
      </c>
      <c r="M159" s="86">
        <v>1000000</v>
      </c>
      <c r="N159" s="15" t="s">
        <v>252</v>
      </c>
      <c r="O159" s="88">
        <v>45536</v>
      </c>
      <c r="P159" s="89">
        <v>1530</v>
      </c>
      <c r="Q159" s="83">
        <v>6</v>
      </c>
      <c r="R159" s="72">
        <v>9180</v>
      </c>
      <c r="S159" s="83" t="s">
        <v>270</v>
      </c>
      <c r="T159" s="83" t="s">
        <v>310</v>
      </c>
      <c r="U159" s="83" t="s">
        <v>274</v>
      </c>
      <c r="V159" s="51" t="s">
        <v>312</v>
      </c>
    </row>
    <row r="160" spans="1:22" ht="18.75" customHeight="1" x14ac:dyDescent="0.2">
      <c r="A160" s="83" t="s">
        <v>235</v>
      </c>
      <c r="B160" s="16" t="s">
        <v>4</v>
      </c>
      <c r="C160" s="82" t="s">
        <v>242</v>
      </c>
      <c r="D160" s="306">
        <v>240000090201001</v>
      </c>
      <c r="E160" s="83" t="s">
        <v>42</v>
      </c>
      <c r="F160" s="83">
        <v>2024</v>
      </c>
      <c r="G160" s="83">
        <v>9</v>
      </c>
      <c r="H160" s="83" t="s">
        <v>279</v>
      </c>
      <c r="I160" s="84">
        <v>45706</v>
      </c>
      <c r="J160" s="85">
        <v>1</v>
      </c>
      <c r="K160" s="86">
        <v>1000</v>
      </c>
      <c r="L160" s="87">
        <v>1000</v>
      </c>
      <c r="M160" s="86">
        <v>1000000</v>
      </c>
      <c r="N160" s="15" t="s">
        <v>252</v>
      </c>
      <c r="O160" s="88">
        <v>45536</v>
      </c>
      <c r="P160" s="89">
        <v>1275</v>
      </c>
      <c r="Q160" s="83">
        <v>1</v>
      </c>
      <c r="R160" s="72">
        <v>1275</v>
      </c>
      <c r="S160" s="83" t="s">
        <v>270</v>
      </c>
      <c r="T160" s="83" t="s">
        <v>310</v>
      </c>
      <c r="U160" s="83" t="s">
        <v>274</v>
      </c>
      <c r="V160" s="51" t="s">
        <v>312</v>
      </c>
    </row>
    <row r="161" spans="1:22" ht="18.75" customHeight="1" x14ac:dyDescent="0.2">
      <c r="A161" s="83" t="s">
        <v>235</v>
      </c>
      <c r="B161" s="16" t="s">
        <v>4</v>
      </c>
      <c r="C161" s="82" t="s">
        <v>242</v>
      </c>
      <c r="D161" s="306">
        <v>240000090201001</v>
      </c>
      <c r="E161" s="83" t="s">
        <v>42</v>
      </c>
      <c r="F161" s="83">
        <v>2024</v>
      </c>
      <c r="G161" s="83">
        <v>9</v>
      </c>
      <c r="H161" s="83" t="s">
        <v>279</v>
      </c>
      <c r="I161" s="84">
        <v>45706</v>
      </c>
      <c r="J161" s="85">
        <v>1</v>
      </c>
      <c r="K161" s="86">
        <v>1000</v>
      </c>
      <c r="L161" s="87">
        <v>1000</v>
      </c>
      <c r="M161" s="86">
        <v>1000000</v>
      </c>
      <c r="N161" s="15" t="s">
        <v>252</v>
      </c>
      <c r="O161" s="88">
        <v>45536</v>
      </c>
      <c r="P161" s="89">
        <v>1275</v>
      </c>
      <c r="Q161" s="83">
        <v>1</v>
      </c>
      <c r="R161" s="72">
        <v>1275</v>
      </c>
      <c r="S161" s="83" t="s">
        <v>270</v>
      </c>
      <c r="T161" s="83" t="s">
        <v>310</v>
      </c>
      <c r="U161" s="83" t="s">
        <v>274</v>
      </c>
      <c r="V161" s="51" t="s">
        <v>312</v>
      </c>
    </row>
    <row r="162" spans="1:22" ht="18.75" customHeight="1" x14ac:dyDescent="0.2">
      <c r="A162" s="83" t="s">
        <v>235</v>
      </c>
      <c r="B162" s="16" t="s">
        <v>4</v>
      </c>
      <c r="C162" s="82" t="s">
        <v>242</v>
      </c>
      <c r="D162" s="306">
        <v>240000090201001</v>
      </c>
      <c r="E162" s="83" t="s">
        <v>42</v>
      </c>
      <c r="F162" s="83">
        <v>2024</v>
      </c>
      <c r="G162" s="83">
        <v>9</v>
      </c>
      <c r="H162" s="83" t="s">
        <v>279</v>
      </c>
      <c r="I162" s="84">
        <v>45706</v>
      </c>
      <c r="J162" s="85">
        <v>1</v>
      </c>
      <c r="K162" s="86">
        <v>1000</v>
      </c>
      <c r="L162" s="87">
        <v>4000</v>
      </c>
      <c r="M162" s="86">
        <v>1000000</v>
      </c>
      <c r="N162" s="15" t="s">
        <v>252</v>
      </c>
      <c r="O162" s="88">
        <v>45536</v>
      </c>
      <c r="P162" s="89">
        <v>1530</v>
      </c>
      <c r="Q162" s="83">
        <v>4</v>
      </c>
      <c r="R162" s="72">
        <v>6120</v>
      </c>
      <c r="S162" s="83" t="s">
        <v>270</v>
      </c>
      <c r="T162" s="83" t="s">
        <v>310</v>
      </c>
      <c r="U162" s="83" t="s">
        <v>274</v>
      </c>
      <c r="V162" s="51" t="s">
        <v>312</v>
      </c>
    </row>
    <row r="163" spans="1:22" ht="18.75" customHeight="1" x14ac:dyDescent="0.2">
      <c r="A163" s="83" t="s">
        <v>235</v>
      </c>
      <c r="B163" s="16" t="s">
        <v>4</v>
      </c>
      <c r="C163" s="82" t="s">
        <v>242</v>
      </c>
      <c r="D163" s="306">
        <v>240000090201001</v>
      </c>
      <c r="E163" s="83" t="s">
        <v>42</v>
      </c>
      <c r="F163" s="83">
        <v>2024</v>
      </c>
      <c r="G163" s="83">
        <v>9</v>
      </c>
      <c r="H163" s="83" t="s">
        <v>279</v>
      </c>
      <c r="I163" s="84">
        <v>45706</v>
      </c>
      <c r="J163" s="85">
        <v>1</v>
      </c>
      <c r="K163" s="86">
        <v>1000</v>
      </c>
      <c r="L163" s="87">
        <v>1000</v>
      </c>
      <c r="M163" s="86">
        <v>1000000</v>
      </c>
      <c r="N163" s="15" t="s">
        <v>252</v>
      </c>
      <c r="O163" s="88">
        <v>45536</v>
      </c>
      <c r="P163" s="89">
        <v>2550</v>
      </c>
      <c r="Q163" s="83">
        <v>1</v>
      </c>
      <c r="R163" s="72">
        <v>2550</v>
      </c>
      <c r="S163" s="83" t="s">
        <v>270</v>
      </c>
      <c r="T163" s="83" t="s">
        <v>310</v>
      </c>
      <c r="U163" s="83" t="s">
        <v>274</v>
      </c>
      <c r="V163" s="51" t="s">
        <v>312</v>
      </c>
    </row>
    <row r="164" spans="1:22" ht="18.75" customHeight="1" x14ac:dyDescent="0.2">
      <c r="A164" s="83" t="s">
        <v>235</v>
      </c>
      <c r="B164" s="16" t="s">
        <v>4</v>
      </c>
      <c r="C164" s="82" t="s">
        <v>244</v>
      </c>
      <c r="D164" s="306">
        <v>240000090201002</v>
      </c>
      <c r="E164" s="83" t="s">
        <v>42</v>
      </c>
      <c r="F164" s="83">
        <v>2024</v>
      </c>
      <c r="G164" s="83">
        <v>9</v>
      </c>
      <c r="H164" s="83" t="s">
        <v>279</v>
      </c>
      <c r="I164" s="84">
        <v>45706</v>
      </c>
      <c r="J164" s="85">
        <v>1</v>
      </c>
      <c r="K164" s="86">
        <v>1000</v>
      </c>
      <c r="L164" s="87">
        <v>1000</v>
      </c>
      <c r="M164" s="86">
        <v>1000000</v>
      </c>
      <c r="N164" s="15" t="s">
        <v>252</v>
      </c>
      <c r="O164" s="88">
        <v>45536</v>
      </c>
      <c r="P164" s="89">
        <v>4250</v>
      </c>
      <c r="Q164" s="83">
        <v>1</v>
      </c>
      <c r="R164" s="72">
        <v>4250</v>
      </c>
      <c r="S164" s="83" t="s">
        <v>270</v>
      </c>
      <c r="T164" s="83" t="s">
        <v>310</v>
      </c>
      <c r="U164" s="83" t="s">
        <v>274</v>
      </c>
      <c r="V164" s="51" t="s">
        <v>312</v>
      </c>
    </row>
    <row r="165" spans="1:22" ht="18.75" customHeight="1" x14ac:dyDescent="0.2">
      <c r="A165" s="83" t="s">
        <v>235</v>
      </c>
      <c r="B165" s="16" t="s">
        <v>4</v>
      </c>
      <c r="C165" s="82" t="s">
        <v>244</v>
      </c>
      <c r="D165" s="306">
        <v>240000090201002</v>
      </c>
      <c r="E165" s="83" t="s">
        <v>42</v>
      </c>
      <c r="F165" s="83">
        <v>2024</v>
      </c>
      <c r="G165" s="83">
        <v>9</v>
      </c>
      <c r="H165" s="83" t="s">
        <v>279</v>
      </c>
      <c r="I165" s="84">
        <v>45706</v>
      </c>
      <c r="J165" s="85">
        <v>1</v>
      </c>
      <c r="K165" s="86">
        <v>1000</v>
      </c>
      <c r="L165" s="87">
        <v>1000</v>
      </c>
      <c r="M165" s="86">
        <v>1000000</v>
      </c>
      <c r="N165" s="15" t="s">
        <v>252</v>
      </c>
      <c r="O165" s="88">
        <v>45536</v>
      </c>
      <c r="P165" s="89">
        <v>1350</v>
      </c>
      <c r="Q165" s="83">
        <v>1</v>
      </c>
      <c r="R165" s="72">
        <v>1350</v>
      </c>
      <c r="S165" s="83" t="s">
        <v>270</v>
      </c>
      <c r="T165" s="83" t="s">
        <v>310</v>
      </c>
      <c r="U165" s="83" t="s">
        <v>274</v>
      </c>
      <c r="V165" s="51" t="s">
        <v>312</v>
      </c>
    </row>
    <row r="166" spans="1:22" ht="18.75" customHeight="1" x14ac:dyDescent="0.2">
      <c r="A166" s="83" t="s">
        <v>235</v>
      </c>
      <c r="B166" s="16" t="s">
        <v>4</v>
      </c>
      <c r="C166" s="82" t="s">
        <v>244</v>
      </c>
      <c r="D166" s="306">
        <v>240000090201002</v>
      </c>
      <c r="E166" s="83" t="s">
        <v>42</v>
      </c>
      <c r="F166" s="83">
        <v>2024</v>
      </c>
      <c r="G166" s="83">
        <v>9</v>
      </c>
      <c r="H166" s="83" t="s">
        <v>279</v>
      </c>
      <c r="I166" s="84">
        <v>45706</v>
      </c>
      <c r="J166" s="85">
        <v>1</v>
      </c>
      <c r="K166" s="86">
        <v>1000</v>
      </c>
      <c r="L166" s="87">
        <v>1000</v>
      </c>
      <c r="M166" s="86">
        <v>1000000</v>
      </c>
      <c r="N166" s="15" t="s">
        <v>252</v>
      </c>
      <c r="O166" s="88">
        <v>45536</v>
      </c>
      <c r="P166" s="89">
        <v>1350</v>
      </c>
      <c r="Q166" s="83">
        <v>1</v>
      </c>
      <c r="R166" s="72">
        <v>1350</v>
      </c>
      <c r="S166" s="83" t="s">
        <v>270</v>
      </c>
      <c r="T166" s="83" t="s">
        <v>310</v>
      </c>
      <c r="U166" s="83" t="s">
        <v>274</v>
      </c>
      <c r="V166" s="51" t="s">
        <v>312</v>
      </c>
    </row>
    <row r="167" spans="1:22" ht="18.75" customHeight="1" x14ac:dyDescent="0.2">
      <c r="A167" s="83" t="s">
        <v>235</v>
      </c>
      <c r="B167" s="16" t="s">
        <v>4</v>
      </c>
      <c r="C167" s="82" t="s">
        <v>244</v>
      </c>
      <c r="D167" s="306">
        <v>240000090201002</v>
      </c>
      <c r="E167" s="83" t="s">
        <v>42</v>
      </c>
      <c r="F167" s="83">
        <v>2024</v>
      </c>
      <c r="G167" s="83">
        <v>9</v>
      </c>
      <c r="H167" s="83" t="s">
        <v>279</v>
      </c>
      <c r="I167" s="84">
        <v>45706</v>
      </c>
      <c r="J167" s="85">
        <v>1</v>
      </c>
      <c r="K167" s="86">
        <v>1000</v>
      </c>
      <c r="L167" s="87">
        <v>1000</v>
      </c>
      <c r="M167" s="86">
        <v>1000000</v>
      </c>
      <c r="N167" s="15" t="s">
        <v>252</v>
      </c>
      <c r="O167" s="88">
        <v>45536</v>
      </c>
      <c r="P167" s="89">
        <v>900</v>
      </c>
      <c r="Q167" s="83">
        <v>1</v>
      </c>
      <c r="R167" s="72">
        <v>900</v>
      </c>
      <c r="S167" s="83" t="s">
        <v>270</v>
      </c>
      <c r="T167" s="83" t="s">
        <v>310</v>
      </c>
      <c r="U167" s="83" t="s">
        <v>274</v>
      </c>
      <c r="V167" s="51" t="s">
        <v>312</v>
      </c>
    </row>
    <row r="168" spans="1:22" ht="18.75" customHeight="1" x14ac:dyDescent="0.2">
      <c r="A168" s="83" t="s">
        <v>235</v>
      </c>
      <c r="B168" s="16" t="s">
        <v>4</v>
      </c>
      <c r="C168" s="82" t="s">
        <v>244</v>
      </c>
      <c r="D168" s="306">
        <v>240000090201002</v>
      </c>
      <c r="E168" s="83" t="s">
        <v>42</v>
      </c>
      <c r="F168" s="83">
        <v>2024</v>
      </c>
      <c r="G168" s="83">
        <v>9</v>
      </c>
      <c r="H168" s="83" t="s">
        <v>279</v>
      </c>
      <c r="I168" s="84">
        <v>45706</v>
      </c>
      <c r="J168" s="85">
        <v>1</v>
      </c>
      <c r="K168" s="86">
        <v>1000</v>
      </c>
      <c r="L168" s="87">
        <v>1000</v>
      </c>
      <c r="M168" s="86">
        <v>1000000</v>
      </c>
      <c r="N168" s="15" t="s">
        <v>252</v>
      </c>
      <c r="O168" s="88">
        <v>45536</v>
      </c>
      <c r="P168" s="89">
        <v>1275</v>
      </c>
      <c r="Q168" s="83">
        <v>1</v>
      </c>
      <c r="R168" s="72">
        <v>1275</v>
      </c>
      <c r="S168" s="83" t="s">
        <v>270</v>
      </c>
      <c r="T168" s="83" t="s">
        <v>310</v>
      </c>
      <c r="U168" s="83" t="s">
        <v>274</v>
      </c>
      <c r="V168" s="51" t="s">
        <v>312</v>
      </c>
    </row>
    <row r="169" spans="1:22" ht="18.75" customHeight="1" x14ac:dyDescent="0.2">
      <c r="A169" s="83" t="s">
        <v>235</v>
      </c>
      <c r="B169" s="16" t="s">
        <v>4</v>
      </c>
      <c r="C169" s="82" t="s">
        <v>244</v>
      </c>
      <c r="D169" s="306">
        <v>240000090201002</v>
      </c>
      <c r="E169" s="83" t="s">
        <v>42</v>
      </c>
      <c r="F169" s="83">
        <v>2024</v>
      </c>
      <c r="G169" s="83">
        <v>9</v>
      </c>
      <c r="H169" s="83" t="s">
        <v>279</v>
      </c>
      <c r="I169" s="84">
        <v>45706</v>
      </c>
      <c r="J169" s="85">
        <v>1</v>
      </c>
      <c r="K169" s="86">
        <v>1000</v>
      </c>
      <c r="L169" s="87">
        <v>1000</v>
      </c>
      <c r="M169" s="86">
        <v>1000000</v>
      </c>
      <c r="N169" s="15" t="s">
        <v>252</v>
      </c>
      <c r="O169" s="88">
        <v>45536</v>
      </c>
      <c r="P169" s="89">
        <v>1350</v>
      </c>
      <c r="Q169" s="83">
        <v>1</v>
      </c>
      <c r="R169" s="72">
        <v>1350</v>
      </c>
      <c r="S169" s="83" t="s">
        <v>270</v>
      </c>
      <c r="T169" s="83" t="s">
        <v>310</v>
      </c>
      <c r="U169" s="83" t="s">
        <v>274</v>
      </c>
      <c r="V169" s="51" t="s">
        <v>312</v>
      </c>
    </row>
    <row r="170" spans="1:22" ht="18.75" customHeight="1" x14ac:dyDescent="0.2">
      <c r="A170" s="83" t="s">
        <v>235</v>
      </c>
      <c r="B170" s="16" t="s">
        <v>4</v>
      </c>
      <c r="C170" s="82" t="s">
        <v>313</v>
      </c>
      <c r="D170" s="306">
        <v>240000090201005</v>
      </c>
      <c r="E170" s="83" t="s">
        <v>42</v>
      </c>
      <c r="F170" s="83">
        <v>2024</v>
      </c>
      <c r="G170" s="83">
        <v>9</v>
      </c>
      <c r="H170" s="83" t="s">
        <v>279</v>
      </c>
      <c r="I170" s="84">
        <v>45706</v>
      </c>
      <c r="J170" s="85">
        <v>1</v>
      </c>
      <c r="K170" s="86">
        <v>1000</v>
      </c>
      <c r="L170" s="87">
        <v>1000</v>
      </c>
      <c r="M170" s="86">
        <v>1000000</v>
      </c>
      <c r="N170" s="15" t="s">
        <v>252</v>
      </c>
      <c r="O170" s="88">
        <v>45536</v>
      </c>
      <c r="P170" s="89">
        <v>6800</v>
      </c>
      <c r="Q170" s="83">
        <v>1</v>
      </c>
      <c r="R170" s="72">
        <v>6800</v>
      </c>
      <c r="S170" s="83" t="s">
        <v>270</v>
      </c>
      <c r="T170" s="83" t="s">
        <v>310</v>
      </c>
      <c r="U170" s="83" t="s">
        <v>274</v>
      </c>
      <c r="V170" s="51" t="s">
        <v>312</v>
      </c>
    </row>
    <row r="171" spans="1:22" ht="18.75" customHeight="1" x14ac:dyDescent="0.2">
      <c r="A171" s="83" t="s">
        <v>235</v>
      </c>
      <c r="B171" s="16" t="s">
        <v>4</v>
      </c>
      <c r="C171" s="82" t="s">
        <v>313</v>
      </c>
      <c r="D171" s="306">
        <v>240000090201005</v>
      </c>
      <c r="E171" s="83" t="s">
        <v>42</v>
      </c>
      <c r="F171" s="83">
        <v>2024</v>
      </c>
      <c r="G171" s="83">
        <v>9</v>
      </c>
      <c r="H171" s="83" t="s">
        <v>279</v>
      </c>
      <c r="I171" s="84">
        <v>45706</v>
      </c>
      <c r="J171" s="85">
        <v>1</v>
      </c>
      <c r="K171" s="86">
        <v>1000</v>
      </c>
      <c r="L171" s="87">
        <v>1000</v>
      </c>
      <c r="M171" s="86">
        <v>1000000</v>
      </c>
      <c r="N171" s="15" t="s">
        <v>252</v>
      </c>
      <c r="O171" s="88">
        <v>45536</v>
      </c>
      <c r="P171" s="89">
        <v>2250</v>
      </c>
      <c r="Q171" s="83">
        <v>1</v>
      </c>
      <c r="R171" s="72">
        <v>2250</v>
      </c>
      <c r="S171" s="83" t="s">
        <v>270</v>
      </c>
      <c r="T171" s="83" t="s">
        <v>310</v>
      </c>
      <c r="U171" s="83" t="s">
        <v>274</v>
      </c>
      <c r="V171" s="51" t="s">
        <v>312</v>
      </c>
    </row>
    <row r="172" spans="1:22" ht="18.75" customHeight="1" x14ac:dyDescent="0.2">
      <c r="A172" s="83" t="s">
        <v>235</v>
      </c>
      <c r="B172" s="16" t="s">
        <v>4</v>
      </c>
      <c r="C172" s="82" t="s">
        <v>313</v>
      </c>
      <c r="D172" s="306">
        <v>240000090201005</v>
      </c>
      <c r="E172" s="83" t="s">
        <v>42</v>
      </c>
      <c r="F172" s="83">
        <v>2024</v>
      </c>
      <c r="G172" s="83">
        <v>9</v>
      </c>
      <c r="H172" s="83" t="s">
        <v>279</v>
      </c>
      <c r="I172" s="84">
        <v>45706</v>
      </c>
      <c r="J172" s="85">
        <v>1</v>
      </c>
      <c r="K172" s="86">
        <v>1000</v>
      </c>
      <c r="L172" s="87">
        <v>4000</v>
      </c>
      <c r="M172" s="86">
        <v>1000000</v>
      </c>
      <c r="N172" s="15" t="s">
        <v>252</v>
      </c>
      <c r="O172" s="88">
        <v>45536</v>
      </c>
      <c r="P172" s="89">
        <v>2250</v>
      </c>
      <c r="Q172" s="83">
        <v>4</v>
      </c>
      <c r="R172" s="72">
        <v>9000</v>
      </c>
      <c r="S172" s="83" t="s">
        <v>270</v>
      </c>
      <c r="T172" s="83" t="s">
        <v>310</v>
      </c>
      <c r="U172" s="83" t="s">
        <v>274</v>
      </c>
      <c r="V172" s="51" t="s">
        <v>312</v>
      </c>
    </row>
    <row r="173" spans="1:22" ht="18.75" customHeight="1" x14ac:dyDescent="0.2">
      <c r="A173" s="83" t="s">
        <v>235</v>
      </c>
      <c r="B173" s="16" t="s">
        <v>4</v>
      </c>
      <c r="C173" s="82" t="s">
        <v>313</v>
      </c>
      <c r="D173" s="306">
        <v>240000090201005</v>
      </c>
      <c r="E173" s="83" t="s">
        <v>42</v>
      </c>
      <c r="F173" s="83">
        <v>2024</v>
      </c>
      <c r="G173" s="83">
        <v>9</v>
      </c>
      <c r="H173" s="83" t="s">
        <v>279</v>
      </c>
      <c r="I173" s="84">
        <v>45706</v>
      </c>
      <c r="J173" s="85">
        <v>1</v>
      </c>
      <c r="K173" s="86">
        <v>1000</v>
      </c>
      <c r="L173" s="87">
        <v>1000</v>
      </c>
      <c r="M173" s="86">
        <v>1000000</v>
      </c>
      <c r="N173" s="15" t="s">
        <v>252</v>
      </c>
      <c r="O173" s="88">
        <v>45536</v>
      </c>
      <c r="P173" s="89">
        <v>1275</v>
      </c>
      <c r="Q173" s="83">
        <v>1</v>
      </c>
      <c r="R173" s="72">
        <v>1275</v>
      </c>
      <c r="S173" s="83" t="s">
        <v>270</v>
      </c>
      <c r="T173" s="83" t="s">
        <v>310</v>
      </c>
      <c r="U173" s="83" t="s">
        <v>274</v>
      </c>
      <c r="V173" s="51" t="s">
        <v>312</v>
      </c>
    </row>
    <row r="174" spans="1:22" ht="18.75" customHeight="1" x14ac:dyDescent="0.2">
      <c r="A174" s="83" t="s">
        <v>235</v>
      </c>
      <c r="B174" s="16" t="s">
        <v>4</v>
      </c>
      <c r="C174" s="82" t="s">
        <v>313</v>
      </c>
      <c r="D174" s="306">
        <v>240000090201005</v>
      </c>
      <c r="E174" s="83" t="s">
        <v>42</v>
      </c>
      <c r="F174" s="83">
        <v>2024</v>
      </c>
      <c r="G174" s="83">
        <v>9</v>
      </c>
      <c r="H174" s="83" t="s">
        <v>279</v>
      </c>
      <c r="I174" s="84">
        <v>45706</v>
      </c>
      <c r="J174" s="85">
        <v>1</v>
      </c>
      <c r="K174" s="86">
        <v>1000</v>
      </c>
      <c r="L174" s="87">
        <v>2000</v>
      </c>
      <c r="M174" s="86">
        <v>1000000</v>
      </c>
      <c r="N174" s="15" t="s">
        <v>252</v>
      </c>
      <c r="O174" s="88">
        <v>45536</v>
      </c>
      <c r="P174" s="89">
        <v>2125</v>
      </c>
      <c r="Q174" s="83">
        <v>2</v>
      </c>
      <c r="R174" s="72">
        <v>4250</v>
      </c>
      <c r="S174" s="83" t="s">
        <v>270</v>
      </c>
      <c r="T174" s="83" t="s">
        <v>310</v>
      </c>
      <c r="U174" s="83" t="s">
        <v>274</v>
      </c>
      <c r="V174" s="51" t="s">
        <v>312</v>
      </c>
    </row>
    <row r="175" spans="1:22" ht="18.75" customHeight="1" x14ac:dyDescent="0.2">
      <c r="A175" s="83" t="s">
        <v>235</v>
      </c>
      <c r="B175" s="16" t="s">
        <v>4</v>
      </c>
      <c r="C175" s="82" t="s">
        <v>313</v>
      </c>
      <c r="D175" s="306">
        <v>240000090201005</v>
      </c>
      <c r="E175" s="83" t="s">
        <v>42</v>
      </c>
      <c r="F175" s="83">
        <v>2024</v>
      </c>
      <c r="G175" s="83">
        <v>9</v>
      </c>
      <c r="H175" s="83" t="s">
        <v>279</v>
      </c>
      <c r="I175" s="84">
        <v>45706</v>
      </c>
      <c r="J175" s="85">
        <v>1</v>
      </c>
      <c r="K175" s="86">
        <v>1000</v>
      </c>
      <c r="L175" s="87">
        <v>1000</v>
      </c>
      <c r="M175" s="86">
        <v>1000000</v>
      </c>
      <c r="N175" s="15" t="s">
        <v>252</v>
      </c>
      <c r="O175" s="88">
        <v>45536</v>
      </c>
      <c r="P175" s="89">
        <v>1275</v>
      </c>
      <c r="Q175" s="83">
        <v>1</v>
      </c>
      <c r="R175" s="72">
        <v>1275</v>
      </c>
      <c r="S175" s="83" t="s">
        <v>270</v>
      </c>
      <c r="T175" s="83" t="s">
        <v>310</v>
      </c>
      <c r="U175" s="83" t="s">
        <v>274</v>
      </c>
      <c r="V175" s="51" t="s">
        <v>312</v>
      </c>
    </row>
    <row r="176" spans="1:22" ht="18.75" customHeight="1" x14ac:dyDescent="0.2">
      <c r="A176" s="83" t="s">
        <v>235</v>
      </c>
      <c r="B176" s="16" t="s">
        <v>4</v>
      </c>
      <c r="C176" s="82" t="s">
        <v>313</v>
      </c>
      <c r="D176" s="306">
        <v>240000090201005</v>
      </c>
      <c r="E176" s="83" t="s">
        <v>42</v>
      </c>
      <c r="F176" s="83">
        <v>2024</v>
      </c>
      <c r="G176" s="83">
        <v>9</v>
      </c>
      <c r="H176" s="83" t="s">
        <v>279</v>
      </c>
      <c r="I176" s="84">
        <v>45706</v>
      </c>
      <c r="J176" s="85">
        <v>1</v>
      </c>
      <c r="K176" s="86">
        <v>1000</v>
      </c>
      <c r="L176" s="87">
        <v>1000</v>
      </c>
      <c r="M176" s="86">
        <v>1000000</v>
      </c>
      <c r="N176" s="15" t="s">
        <v>252</v>
      </c>
      <c r="O176" s="88">
        <v>45536</v>
      </c>
      <c r="P176" s="89">
        <v>8000</v>
      </c>
      <c r="Q176" s="83">
        <v>1</v>
      </c>
      <c r="R176" s="72">
        <v>8000</v>
      </c>
      <c r="S176" s="83" t="s">
        <v>270</v>
      </c>
      <c r="T176" s="83" t="s">
        <v>310</v>
      </c>
      <c r="U176" s="83" t="s">
        <v>274</v>
      </c>
      <c r="V176" s="51" t="s">
        <v>312</v>
      </c>
    </row>
    <row r="177" spans="1:22" ht="18.75" customHeight="1" x14ac:dyDescent="0.2">
      <c r="A177" s="83" t="s">
        <v>235</v>
      </c>
      <c r="B177" s="16" t="s">
        <v>4</v>
      </c>
      <c r="C177" s="82" t="s">
        <v>313</v>
      </c>
      <c r="D177" s="306">
        <v>240000090201005</v>
      </c>
      <c r="E177" s="83" t="s">
        <v>42</v>
      </c>
      <c r="F177" s="83">
        <v>2024</v>
      </c>
      <c r="G177" s="83">
        <v>9</v>
      </c>
      <c r="H177" s="83" t="s">
        <v>279</v>
      </c>
      <c r="I177" s="84">
        <v>45706</v>
      </c>
      <c r="J177" s="85">
        <v>1</v>
      </c>
      <c r="K177" s="86">
        <v>1000</v>
      </c>
      <c r="L177" s="87">
        <v>1000</v>
      </c>
      <c r="M177" s="86">
        <v>1000000</v>
      </c>
      <c r="N177" s="15" t="s">
        <v>252</v>
      </c>
      <c r="O177" s="88">
        <v>45536</v>
      </c>
      <c r="P177" s="89">
        <v>1000</v>
      </c>
      <c r="Q177" s="83">
        <v>1</v>
      </c>
      <c r="R177" s="72">
        <v>1000</v>
      </c>
      <c r="S177" s="83" t="s">
        <v>270</v>
      </c>
      <c r="T177" s="83" t="s">
        <v>310</v>
      </c>
      <c r="U177" s="83" t="s">
        <v>274</v>
      </c>
      <c r="V177" s="51" t="s">
        <v>312</v>
      </c>
    </row>
    <row r="178" spans="1:22" ht="18.75" customHeight="1" x14ac:dyDescent="0.2">
      <c r="A178" s="83" t="s">
        <v>314</v>
      </c>
      <c r="B178" s="16" t="s">
        <v>4</v>
      </c>
      <c r="C178" s="82" t="s">
        <v>315</v>
      </c>
      <c r="D178" s="306">
        <v>120020670103672</v>
      </c>
      <c r="E178" s="83" t="s">
        <v>42</v>
      </c>
      <c r="F178" s="83">
        <v>2024</v>
      </c>
      <c r="G178" s="83">
        <v>9</v>
      </c>
      <c r="H178" s="83" t="s">
        <v>279</v>
      </c>
      <c r="I178" s="84">
        <v>45706</v>
      </c>
      <c r="J178" s="85">
        <v>1</v>
      </c>
      <c r="K178" s="86">
        <v>1000</v>
      </c>
      <c r="L178" s="87">
        <v>1000</v>
      </c>
      <c r="M178" s="86">
        <v>1000000</v>
      </c>
      <c r="N178" s="15" t="s">
        <v>252</v>
      </c>
      <c r="O178" s="88">
        <v>45536</v>
      </c>
      <c r="P178" s="89">
        <v>3500</v>
      </c>
      <c r="Q178" s="83">
        <v>1</v>
      </c>
      <c r="R178" s="72">
        <v>3500</v>
      </c>
      <c r="S178" s="83" t="s">
        <v>270</v>
      </c>
      <c r="T178" s="83" t="s">
        <v>310</v>
      </c>
      <c r="U178" s="83" t="s">
        <v>274</v>
      </c>
      <c r="V178" s="51" t="s">
        <v>316</v>
      </c>
    </row>
    <row r="179" spans="1:22" ht="18.75" customHeight="1" x14ac:dyDescent="0.2">
      <c r="A179" s="83" t="s">
        <v>314</v>
      </c>
      <c r="B179" s="16" t="s">
        <v>4</v>
      </c>
      <c r="C179" s="82" t="s">
        <v>315</v>
      </c>
      <c r="D179" s="306">
        <v>120020670103672</v>
      </c>
      <c r="E179" s="83" t="s">
        <v>42</v>
      </c>
      <c r="F179" s="83">
        <v>2024</v>
      </c>
      <c r="G179" s="83">
        <v>9</v>
      </c>
      <c r="H179" s="83" t="s">
        <v>279</v>
      </c>
      <c r="I179" s="84">
        <v>45706</v>
      </c>
      <c r="J179" s="85">
        <v>1</v>
      </c>
      <c r="K179" s="86">
        <v>1000</v>
      </c>
      <c r="L179" s="87">
        <v>1000</v>
      </c>
      <c r="M179" s="86">
        <v>1000000</v>
      </c>
      <c r="N179" s="15" t="s">
        <v>252</v>
      </c>
      <c r="O179" s="88">
        <v>45536</v>
      </c>
      <c r="P179" s="89">
        <v>1000</v>
      </c>
      <c r="Q179" s="83">
        <v>1</v>
      </c>
      <c r="R179" s="72">
        <v>1000</v>
      </c>
      <c r="S179" s="83" t="s">
        <v>270</v>
      </c>
      <c r="T179" s="83" t="s">
        <v>310</v>
      </c>
      <c r="U179" s="83" t="s">
        <v>274</v>
      </c>
      <c r="V179" s="51" t="s">
        <v>316</v>
      </c>
    </row>
    <row r="180" spans="1:22" ht="18.75" customHeight="1" x14ac:dyDescent="0.2">
      <c r="A180" s="83" t="s">
        <v>314</v>
      </c>
      <c r="B180" s="16" t="s">
        <v>4</v>
      </c>
      <c r="C180" s="82" t="s">
        <v>315</v>
      </c>
      <c r="D180" s="306">
        <v>120020670103672</v>
      </c>
      <c r="E180" s="83" t="s">
        <v>42</v>
      </c>
      <c r="F180" s="83">
        <v>2024</v>
      </c>
      <c r="G180" s="83">
        <v>9</v>
      </c>
      <c r="H180" s="83" t="s">
        <v>279</v>
      </c>
      <c r="I180" s="84">
        <v>45706</v>
      </c>
      <c r="J180" s="85">
        <v>1</v>
      </c>
      <c r="K180" s="86">
        <v>1000</v>
      </c>
      <c r="L180" s="87">
        <v>1000</v>
      </c>
      <c r="M180" s="86">
        <v>1000000</v>
      </c>
      <c r="N180" s="15" t="s">
        <v>252</v>
      </c>
      <c r="O180" s="88">
        <v>45536</v>
      </c>
      <c r="P180" s="89">
        <v>1000</v>
      </c>
      <c r="Q180" s="83">
        <v>1</v>
      </c>
      <c r="R180" s="72">
        <v>1000</v>
      </c>
      <c r="S180" s="83" t="s">
        <v>270</v>
      </c>
      <c r="T180" s="83" t="s">
        <v>310</v>
      </c>
      <c r="U180" s="83" t="s">
        <v>274</v>
      </c>
      <c r="V180" s="51" t="s">
        <v>316</v>
      </c>
    </row>
    <row r="181" spans="1:22" ht="18.75" customHeight="1" x14ac:dyDescent="0.2">
      <c r="A181" s="83" t="s">
        <v>314</v>
      </c>
      <c r="B181" s="16" t="s">
        <v>4</v>
      </c>
      <c r="C181" s="82" t="s">
        <v>315</v>
      </c>
      <c r="D181" s="306">
        <v>120020670103672</v>
      </c>
      <c r="E181" s="83" t="s">
        <v>42</v>
      </c>
      <c r="F181" s="83">
        <v>2024</v>
      </c>
      <c r="G181" s="83">
        <v>9</v>
      </c>
      <c r="H181" s="83" t="s">
        <v>279</v>
      </c>
      <c r="I181" s="84">
        <v>45706</v>
      </c>
      <c r="J181" s="85">
        <v>1</v>
      </c>
      <c r="K181" s="86">
        <v>1000</v>
      </c>
      <c r="L181" s="87">
        <v>54000</v>
      </c>
      <c r="M181" s="86">
        <v>1000000</v>
      </c>
      <c r="N181" s="15" t="s">
        <v>252</v>
      </c>
      <c r="O181" s="88">
        <v>45536</v>
      </c>
      <c r="P181" s="89">
        <v>3500</v>
      </c>
      <c r="Q181" s="83">
        <v>54</v>
      </c>
      <c r="R181" s="72">
        <v>189000</v>
      </c>
      <c r="S181" s="83" t="s">
        <v>270</v>
      </c>
      <c r="T181" s="83" t="s">
        <v>310</v>
      </c>
      <c r="U181" s="83" t="s">
        <v>274</v>
      </c>
      <c r="V181" s="51" t="s">
        <v>316</v>
      </c>
    </row>
    <row r="182" spans="1:22" ht="18.75" customHeight="1" x14ac:dyDescent="0.2">
      <c r="A182" s="83" t="s">
        <v>314</v>
      </c>
      <c r="B182" s="16" t="s">
        <v>4</v>
      </c>
      <c r="C182" s="82" t="s">
        <v>315</v>
      </c>
      <c r="D182" s="306">
        <v>120020670103672</v>
      </c>
      <c r="E182" s="83" t="s">
        <v>42</v>
      </c>
      <c r="F182" s="83">
        <v>2024</v>
      </c>
      <c r="G182" s="83">
        <v>9</v>
      </c>
      <c r="H182" s="83" t="s">
        <v>279</v>
      </c>
      <c r="I182" s="84">
        <v>45706</v>
      </c>
      <c r="J182" s="85">
        <v>1</v>
      </c>
      <c r="K182" s="86">
        <v>1000</v>
      </c>
      <c r="L182" s="87">
        <v>2000</v>
      </c>
      <c r="M182" s="86">
        <v>1000000</v>
      </c>
      <c r="N182" s="15" t="s">
        <v>252</v>
      </c>
      <c r="O182" s="88">
        <v>45536</v>
      </c>
      <c r="P182" s="89">
        <v>248500</v>
      </c>
      <c r="Q182" s="83">
        <v>2</v>
      </c>
      <c r="R182" s="72">
        <v>497000</v>
      </c>
      <c r="S182" s="83" t="s">
        <v>270</v>
      </c>
      <c r="T182" s="83" t="s">
        <v>310</v>
      </c>
      <c r="U182" s="83" t="s">
        <v>274</v>
      </c>
      <c r="V182" s="51" t="s">
        <v>316</v>
      </c>
    </row>
    <row r="183" spans="1:22" ht="18.75" customHeight="1" x14ac:dyDescent="0.2">
      <c r="A183" s="83" t="s">
        <v>314</v>
      </c>
      <c r="B183" s="16" t="s">
        <v>4</v>
      </c>
      <c r="C183" s="82" t="s">
        <v>315</v>
      </c>
      <c r="D183" s="306">
        <v>120020670103672</v>
      </c>
      <c r="E183" s="83" t="s">
        <v>42</v>
      </c>
      <c r="F183" s="83">
        <v>2024</v>
      </c>
      <c r="G183" s="83">
        <v>9</v>
      </c>
      <c r="H183" s="83" t="s">
        <v>279</v>
      </c>
      <c r="I183" s="84">
        <v>45706</v>
      </c>
      <c r="J183" s="85">
        <v>1</v>
      </c>
      <c r="K183" s="86">
        <v>1000</v>
      </c>
      <c r="L183" s="87">
        <v>35000</v>
      </c>
      <c r="M183" s="86">
        <v>1000000</v>
      </c>
      <c r="N183" s="15" t="s">
        <v>252</v>
      </c>
      <c r="O183" s="88">
        <v>45536</v>
      </c>
      <c r="P183" s="89">
        <v>3500</v>
      </c>
      <c r="Q183" s="83">
        <v>35</v>
      </c>
      <c r="R183" s="72">
        <v>122500</v>
      </c>
      <c r="S183" s="83" t="s">
        <v>270</v>
      </c>
      <c r="T183" s="83" t="s">
        <v>310</v>
      </c>
      <c r="U183" s="83" t="s">
        <v>274</v>
      </c>
      <c r="V183" s="51" t="s">
        <v>316</v>
      </c>
    </row>
    <row r="184" spans="1:22" ht="18.75" customHeight="1" x14ac:dyDescent="0.2">
      <c r="A184" s="83" t="s">
        <v>314</v>
      </c>
      <c r="B184" s="16" t="s">
        <v>4</v>
      </c>
      <c r="C184" s="82" t="s">
        <v>315</v>
      </c>
      <c r="D184" s="306">
        <v>120020670103672</v>
      </c>
      <c r="E184" s="83" t="s">
        <v>42</v>
      </c>
      <c r="F184" s="83">
        <v>2024</v>
      </c>
      <c r="G184" s="83">
        <v>9</v>
      </c>
      <c r="H184" s="83" t="s">
        <v>279</v>
      </c>
      <c r="I184" s="84">
        <v>45706</v>
      </c>
      <c r="J184" s="85">
        <v>1</v>
      </c>
      <c r="K184" s="86">
        <v>1000</v>
      </c>
      <c r="L184" s="87">
        <v>3000</v>
      </c>
      <c r="M184" s="86">
        <v>1000000</v>
      </c>
      <c r="N184" s="15" t="s">
        <v>252</v>
      </c>
      <c r="O184" s="88">
        <v>45536</v>
      </c>
      <c r="P184" s="89">
        <v>3500</v>
      </c>
      <c r="Q184" s="83">
        <v>3</v>
      </c>
      <c r="R184" s="72">
        <v>10500</v>
      </c>
      <c r="S184" s="83" t="s">
        <v>270</v>
      </c>
      <c r="T184" s="83" t="s">
        <v>310</v>
      </c>
      <c r="U184" s="83" t="s">
        <v>274</v>
      </c>
      <c r="V184" s="51" t="s">
        <v>316</v>
      </c>
    </row>
    <row r="185" spans="1:22" ht="18.75" customHeight="1" x14ac:dyDescent="0.2">
      <c r="A185" s="83" t="s">
        <v>314</v>
      </c>
      <c r="B185" s="16" t="s">
        <v>4</v>
      </c>
      <c r="C185" s="82" t="s">
        <v>315</v>
      </c>
      <c r="D185" s="306">
        <v>120020670103672</v>
      </c>
      <c r="E185" s="83" t="s">
        <v>42</v>
      </c>
      <c r="F185" s="83">
        <v>2024</v>
      </c>
      <c r="G185" s="83">
        <v>9</v>
      </c>
      <c r="H185" s="83" t="s">
        <v>279</v>
      </c>
      <c r="I185" s="84">
        <v>45706</v>
      </c>
      <c r="J185" s="85">
        <v>1</v>
      </c>
      <c r="K185" s="86">
        <v>1000</v>
      </c>
      <c r="L185" s="87">
        <v>2000</v>
      </c>
      <c r="M185" s="86">
        <v>1000000</v>
      </c>
      <c r="N185" s="15" t="s">
        <v>252</v>
      </c>
      <c r="O185" s="88">
        <v>45536</v>
      </c>
      <c r="P185" s="89">
        <v>1500</v>
      </c>
      <c r="Q185" s="83">
        <v>2</v>
      </c>
      <c r="R185" s="72">
        <v>3000</v>
      </c>
      <c r="S185" s="83" t="s">
        <v>270</v>
      </c>
      <c r="T185" s="83" t="s">
        <v>310</v>
      </c>
      <c r="U185" s="83" t="s">
        <v>274</v>
      </c>
      <c r="V185" s="51" t="s">
        <v>316</v>
      </c>
    </row>
    <row r="186" spans="1:22" ht="18.75" customHeight="1" x14ac:dyDescent="0.2">
      <c r="A186" s="83" t="s">
        <v>314</v>
      </c>
      <c r="B186" s="16" t="s">
        <v>4</v>
      </c>
      <c r="C186" s="82" t="s">
        <v>315</v>
      </c>
      <c r="D186" s="306">
        <v>120020670103672</v>
      </c>
      <c r="E186" s="83" t="s">
        <v>42</v>
      </c>
      <c r="F186" s="83">
        <v>2024</v>
      </c>
      <c r="G186" s="83">
        <v>9</v>
      </c>
      <c r="H186" s="83" t="s">
        <v>279</v>
      </c>
      <c r="I186" s="84">
        <v>45706</v>
      </c>
      <c r="J186" s="85">
        <v>1</v>
      </c>
      <c r="K186" s="86">
        <v>1000</v>
      </c>
      <c r="L186" s="87">
        <v>1000</v>
      </c>
      <c r="M186" s="86">
        <v>1000000</v>
      </c>
      <c r="N186" s="15" t="s">
        <v>252</v>
      </c>
      <c r="O186" s="88">
        <v>45536</v>
      </c>
      <c r="P186" s="89">
        <v>1500</v>
      </c>
      <c r="Q186" s="83">
        <v>1</v>
      </c>
      <c r="R186" s="72">
        <v>1500</v>
      </c>
      <c r="S186" s="83" t="s">
        <v>270</v>
      </c>
      <c r="T186" s="83" t="s">
        <v>310</v>
      </c>
      <c r="U186" s="83" t="s">
        <v>274</v>
      </c>
      <c r="V186" s="51" t="s">
        <v>316</v>
      </c>
    </row>
    <row r="187" spans="1:22" ht="18.75" customHeight="1" x14ac:dyDescent="0.2">
      <c r="A187" s="83" t="s">
        <v>314</v>
      </c>
      <c r="B187" s="16" t="s">
        <v>4</v>
      </c>
      <c r="C187" s="82" t="s">
        <v>315</v>
      </c>
      <c r="D187" s="306">
        <v>120020670103672</v>
      </c>
      <c r="E187" s="83" t="s">
        <v>42</v>
      </c>
      <c r="F187" s="83">
        <v>2024</v>
      </c>
      <c r="G187" s="83">
        <v>9</v>
      </c>
      <c r="H187" s="83" t="s">
        <v>279</v>
      </c>
      <c r="I187" s="84">
        <v>45706</v>
      </c>
      <c r="J187" s="85">
        <v>1</v>
      </c>
      <c r="K187" s="86">
        <v>1000</v>
      </c>
      <c r="L187" s="87">
        <v>1000</v>
      </c>
      <c r="M187" s="86">
        <v>1000000</v>
      </c>
      <c r="N187" s="15" t="s">
        <v>252</v>
      </c>
      <c r="O187" s="88">
        <v>45536</v>
      </c>
      <c r="P187" s="89">
        <v>1500</v>
      </c>
      <c r="Q187" s="83">
        <v>1</v>
      </c>
      <c r="R187" s="72">
        <v>1500</v>
      </c>
      <c r="S187" s="83" t="s">
        <v>270</v>
      </c>
      <c r="T187" s="83" t="s">
        <v>310</v>
      </c>
      <c r="U187" s="83" t="s">
        <v>274</v>
      </c>
      <c r="V187" s="51" t="s">
        <v>316</v>
      </c>
    </row>
    <row r="188" spans="1:22" ht="18.75" customHeight="1" x14ac:dyDescent="0.2">
      <c r="A188" s="83" t="s">
        <v>314</v>
      </c>
      <c r="B188" s="16" t="s">
        <v>4</v>
      </c>
      <c r="C188" s="82" t="s">
        <v>315</v>
      </c>
      <c r="D188" s="306">
        <v>120020670103672</v>
      </c>
      <c r="E188" s="83" t="s">
        <v>42</v>
      </c>
      <c r="F188" s="83">
        <v>2024</v>
      </c>
      <c r="G188" s="83">
        <v>9</v>
      </c>
      <c r="H188" s="83" t="s">
        <v>279</v>
      </c>
      <c r="I188" s="84">
        <v>45706</v>
      </c>
      <c r="J188" s="85">
        <v>1</v>
      </c>
      <c r="K188" s="86">
        <v>1000</v>
      </c>
      <c r="L188" s="87">
        <v>1000</v>
      </c>
      <c r="M188" s="86">
        <v>1000000</v>
      </c>
      <c r="N188" s="15" t="s">
        <v>252</v>
      </c>
      <c r="O188" s="88">
        <v>45536</v>
      </c>
      <c r="P188" s="89">
        <v>1500</v>
      </c>
      <c r="Q188" s="83">
        <v>1</v>
      </c>
      <c r="R188" s="72">
        <v>1500</v>
      </c>
      <c r="S188" s="83" t="s">
        <v>270</v>
      </c>
      <c r="T188" s="83" t="s">
        <v>310</v>
      </c>
      <c r="U188" s="83" t="s">
        <v>274</v>
      </c>
      <c r="V188" s="51" t="s">
        <v>316</v>
      </c>
    </row>
    <row r="189" spans="1:22" ht="18.75" customHeight="1" x14ac:dyDescent="0.2">
      <c r="A189" s="83" t="s">
        <v>314</v>
      </c>
      <c r="B189" s="16" t="s">
        <v>4</v>
      </c>
      <c r="C189" s="82" t="s">
        <v>315</v>
      </c>
      <c r="D189" s="306">
        <v>120020670103672</v>
      </c>
      <c r="E189" s="83" t="s">
        <v>42</v>
      </c>
      <c r="F189" s="83">
        <v>2024</v>
      </c>
      <c r="G189" s="83">
        <v>9</v>
      </c>
      <c r="H189" s="83" t="s">
        <v>279</v>
      </c>
      <c r="I189" s="84">
        <v>45706</v>
      </c>
      <c r="J189" s="85">
        <v>1</v>
      </c>
      <c r="K189" s="86">
        <v>1000</v>
      </c>
      <c r="L189" s="87">
        <v>2000</v>
      </c>
      <c r="M189" s="86">
        <v>1000000</v>
      </c>
      <c r="N189" s="15" t="s">
        <v>252</v>
      </c>
      <c r="O189" s="88">
        <v>45536</v>
      </c>
      <c r="P189" s="89">
        <v>1500</v>
      </c>
      <c r="Q189" s="83">
        <v>2</v>
      </c>
      <c r="R189" s="72">
        <v>3000</v>
      </c>
      <c r="S189" s="83" t="s">
        <v>270</v>
      </c>
      <c r="T189" s="83" t="s">
        <v>310</v>
      </c>
      <c r="U189" s="83" t="s">
        <v>274</v>
      </c>
      <c r="V189" s="51" t="s">
        <v>316</v>
      </c>
    </row>
    <row r="190" spans="1:22" ht="18.75" customHeight="1" x14ac:dyDescent="0.2">
      <c r="A190" s="83" t="s">
        <v>314</v>
      </c>
      <c r="B190" s="16" t="s">
        <v>4</v>
      </c>
      <c r="C190" s="82" t="s">
        <v>315</v>
      </c>
      <c r="D190" s="306">
        <v>120020670103672</v>
      </c>
      <c r="E190" s="83" t="s">
        <v>42</v>
      </c>
      <c r="F190" s="83">
        <v>2024</v>
      </c>
      <c r="G190" s="83">
        <v>9</v>
      </c>
      <c r="H190" s="83" t="s">
        <v>279</v>
      </c>
      <c r="I190" s="84">
        <v>45706</v>
      </c>
      <c r="J190" s="85">
        <v>1</v>
      </c>
      <c r="K190" s="86">
        <v>1000</v>
      </c>
      <c r="L190" s="87">
        <v>1000</v>
      </c>
      <c r="M190" s="86">
        <v>1000000</v>
      </c>
      <c r="N190" s="15" t="s">
        <v>252</v>
      </c>
      <c r="O190" s="88">
        <v>45536</v>
      </c>
      <c r="P190" s="89">
        <v>1000</v>
      </c>
      <c r="Q190" s="83">
        <v>1</v>
      </c>
      <c r="R190" s="72">
        <v>1000</v>
      </c>
      <c r="S190" s="83" t="s">
        <v>270</v>
      </c>
      <c r="T190" s="83" t="s">
        <v>310</v>
      </c>
      <c r="U190" s="83" t="s">
        <v>274</v>
      </c>
      <c r="V190" s="51" t="s">
        <v>316</v>
      </c>
    </row>
    <row r="191" spans="1:22" ht="18.75" customHeight="1" x14ac:dyDescent="0.2">
      <c r="A191" s="83" t="s">
        <v>314</v>
      </c>
      <c r="B191" s="16" t="s">
        <v>4</v>
      </c>
      <c r="C191" s="82" t="s">
        <v>317</v>
      </c>
      <c r="D191" s="306">
        <v>240000600201044</v>
      </c>
      <c r="E191" s="83" t="s">
        <v>42</v>
      </c>
      <c r="F191" s="83">
        <v>2024</v>
      </c>
      <c r="G191" s="83">
        <v>9</v>
      </c>
      <c r="H191" s="83" t="s">
        <v>279</v>
      </c>
      <c r="I191" s="84">
        <v>45706</v>
      </c>
      <c r="J191" s="85">
        <v>1</v>
      </c>
      <c r="K191" s="86">
        <v>1000</v>
      </c>
      <c r="L191" s="87">
        <v>1000</v>
      </c>
      <c r="M191" s="86">
        <v>1000000</v>
      </c>
      <c r="N191" s="15" t="s">
        <v>252</v>
      </c>
      <c r="O191" s="88">
        <v>45536</v>
      </c>
      <c r="P191" s="89">
        <v>2500</v>
      </c>
      <c r="Q191" s="83">
        <v>1</v>
      </c>
      <c r="R191" s="72">
        <v>2500</v>
      </c>
      <c r="S191" s="83" t="s">
        <v>270</v>
      </c>
      <c r="T191" s="83" t="s">
        <v>310</v>
      </c>
      <c r="U191" s="83" t="s">
        <v>274</v>
      </c>
      <c r="V191" s="51" t="s">
        <v>316</v>
      </c>
    </row>
    <row r="192" spans="1:22" ht="18.75" customHeight="1" x14ac:dyDescent="0.2">
      <c r="A192" s="83" t="s">
        <v>314</v>
      </c>
      <c r="B192" s="16" t="s">
        <v>4</v>
      </c>
      <c r="C192" s="82" t="s">
        <v>317</v>
      </c>
      <c r="D192" s="306">
        <v>240000600201044</v>
      </c>
      <c r="E192" s="83" t="s">
        <v>42</v>
      </c>
      <c r="F192" s="83">
        <v>2024</v>
      </c>
      <c r="G192" s="83">
        <v>9</v>
      </c>
      <c r="H192" s="83" t="s">
        <v>279</v>
      </c>
      <c r="I192" s="84">
        <v>45706</v>
      </c>
      <c r="J192" s="85">
        <v>1</v>
      </c>
      <c r="K192" s="86">
        <v>1000</v>
      </c>
      <c r="L192" s="87">
        <v>4000</v>
      </c>
      <c r="M192" s="86">
        <v>1000000</v>
      </c>
      <c r="N192" s="15" t="s">
        <v>252</v>
      </c>
      <c r="O192" s="88">
        <v>45536</v>
      </c>
      <c r="P192" s="89">
        <v>2500</v>
      </c>
      <c r="Q192" s="83">
        <v>4</v>
      </c>
      <c r="R192" s="72">
        <v>10000</v>
      </c>
      <c r="S192" s="83" t="s">
        <v>270</v>
      </c>
      <c r="T192" s="83" t="s">
        <v>310</v>
      </c>
      <c r="U192" s="83" t="s">
        <v>274</v>
      </c>
      <c r="V192" s="51" t="s">
        <v>316</v>
      </c>
    </row>
    <row r="193" spans="1:22" ht="18.75" customHeight="1" x14ac:dyDescent="0.2">
      <c r="A193" s="83" t="s">
        <v>314</v>
      </c>
      <c r="B193" s="16" t="s">
        <v>4</v>
      </c>
      <c r="C193" s="82" t="s">
        <v>317</v>
      </c>
      <c r="D193" s="306">
        <v>240000600201044</v>
      </c>
      <c r="E193" s="83" t="s">
        <v>42</v>
      </c>
      <c r="F193" s="83">
        <v>2024</v>
      </c>
      <c r="G193" s="83">
        <v>9</v>
      </c>
      <c r="H193" s="83" t="s">
        <v>279</v>
      </c>
      <c r="I193" s="84">
        <v>45706</v>
      </c>
      <c r="J193" s="85">
        <v>1</v>
      </c>
      <c r="K193" s="86">
        <v>1000</v>
      </c>
      <c r="L193" s="87">
        <v>1000</v>
      </c>
      <c r="M193" s="86">
        <v>1000000</v>
      </c>
      <c r="N193" s="15" t="s">
        <v>252</v>
      </c>
      <c r="O193" s="88">
        <v>45536</v>
      </c>
      <c r="P193" s="89">
        <v>1500</v>
      </c>
      <c r="Q193" s="83">
        <v>1</v>
      </c>
      <c r="R193" s="72">
        <v>1500</v>
      </c>
      <c r="S193" s="83" t="s">
        <v>270</v>
      </c>
      <c r="T193" s="83" t="s">
        <v>310</v>
      </c>
      <c r="U193" s="83" t="s">
        <v>274</v>
      </c>
      <c r="V193" s="51" t="s">
        <v>316</v>
      </c>
    </row>
    <row r="194" spans="1:22" ht="18.75" customHeight="1" x14ac:dyDescent="0.2">
      <c r="A194" s="83" t="s">
        <v>314</v>
      </c>
      <c r="B194" s="16" t="s">
        <v>4</v>
      </c>
      <c r="C194" s="82" t="s">
        <v>317</v>
      </c>
      <c r="D194" s="306">
        <v>240000600201044</v>
      </c>
      <c r="E194" s="83" t="s">
        <v>42</v>
      </c>
      <c r="F194" s="83">
        <v>2024</v>
      </c>
      <c r="G194" s="83">
        <v>9</v>
      </c>
      <c r="H194" s="83" t="s">
        <v>279</v>
      </c>
      <c r="I194" s="84">
        <v>45706</v>
      </c>
      <c r="J194" s="85">
        <v>1</v>
      </c>
      <c r="K194" s="86">
        <v>1000</v>
      </c>
      <c r="L194" s="87">
        <v>1000</v>
      </c>
      <c r="M194" s="86">
        <v>1000000</v>
      </c>
      <c r="N194" s="15" t="s">
        <v>252</v>
      </c>
      <c r="O194" s="88">
        <v>45536</v>
      </c>
      <c r="P194" s="89">
        <v>1500</v>
      </c>
      <c r="Q194" s="83">
        <v>1</v>
      </c>
      <c r="R194" s="72">
        <v>1500</v>
      </c>
      <c r="S194" s="83" t="s">
        <v>270</v>
      </c>
      <c r="T194" s="83" t="s">
        <v>310</v>
      </c>
      <c r="U194" s="83" t="s">
        <v>274</v>
      </c>
      <c r="V194" s="51" t="s">
        <v>316</v>
      </c>
    </row>
    <row r="195" spans="1:22" ht="18.75" customHeight="1" x14ac:dyDescent="0.2">
      <c r="A195" s="83" t="s">
        <v>314</v>
      </c>
      <c r="B195" s="16" t="s">
        <v>4</v>
      </c>
      <c r="C195" s="82" t="s">
        <v>317</v>
      </c>
      <c r="D195" s="306">
        <v>240000600201044</v>
      </c>
      <c r="E195" s="83" t="s">
        <v>42</v>
      </c>
      <c r="F195" s="83">
        <v>2024</v>
      </c>
      <c r="G195" s="83">
        <v>9</v>
      </c>
      <c r="H195" s="83" t="s">
        <v>279</v>
      </c>
      <c r="I195" s="84">
        <v>45706</v>
      </c>
      <c r="J195" s="85">
        <v>1</v>
      </c>
      <c r="K195" s="86">
        <v>1000</v>
      </c>
      <c r="L195" s="87">
        <v>1000</v>
      </c>
      <c r="M195" s="86">
        <v>1000000</v>
      </c>
      <c r="N195" s="15" t="s">
        <v>252</v>
      </c>
      <c r="O195" s="88">
        <v>45536</v>
      </c>
      <c r="P195" s="89">
        <v>5000</v>
      </c>
      <c r="Q195" s="83">
        <v>1</v>
      </c>
      <c r="R195" s="72">
        <v>5000</v>
      </c>
      <c r="S195" s="83" t="s">
        <v>270</v>
      </c>
      <c r="T195" s="83" t="s">
        <v>310</v>
      </c>
      <c r="U195" s="83" t="s">
        <v>274</v>
      </c>
      <c r="V195" s="51" t="s">
        <v>316</v>
      </c>
    </row>
    <row r="196" spans="1:22" ht="18.75" customHeight="1" x14ac:dyDescent="0.2">
      <c r="A196" s="83" t="s">
        <v>314</v>
      </c>
      <c r="B196" s="16" t="s">
        <v>4</v>
      </c>
      <c r="C196" s="82" t="s">
        <v>317</v>
      </c>
      <c r="D196" s="306">
        <v>240000600201044</v>
      </c>
      <c r="E196" s="83" t="s">
        <v>42</v>
      </c>
      <c r="F196" s="83">
        <v>2024</v>
      </c>
      <c r="G196" s="83">
        <v>9</v>
      </c>
      <c r="H196" s="83" t="s">
        <v>279</v>
      </c>
      <c r="I196" s="84">
        <v>45706</v>
      </c>
      <c r="J196" s="85">
        <v>1</v>
      </c>
      <c r="K196" s="86">
        <v>1000</v>
      </c>
      <c r="L196" s="87">
        <v>10000</v>
      </c>
      <c r="M196" s="86">
        <v>1000000</v>
      </c>
      <c r="N196" s="15" t="s">
        <v>252</v>
      </c>
      <c r="O196" s="88">
        <v>45536</v>
      </c>
      <c r="P196" s="89">
        <v>2500</v>
      </c>
      <c r="Q196" s="83">
        <v>10</v>
      </c>
      <c r="R196" s="72">
        <v>25000</v>
      </c>
      <c r="S196" s="83" t="s">
        <v>270</v>
      </c>
      <c r="T196" s="83" t="s">
        <v>310</v>
      </c>
      <c r="U196" s="83" t="s">
        <v>274</v>
      </c>
      <c r="V196" s="51" t="s">
        <v>316</v>
      </c>
    </row>
    <row r="197" spans="1:22" ht="18.75" customHeight="1" x14ac:dyDescent="0.2">
      <c r="A197" s="83" t="s">
        <v>314</v>
      </c>
      <c r="B197" s="16" t="s">
        <v>4</v>
      </c>
      <c r="C197" s="82" t="s">
        <v>317</v>
      </c>
      <c r="D197" s="306">
        <v>240000600201044</v>
      </c>
      <c r="E197" s="83" t="s">
        <v>42</v>
      </c>
      <c r="F197" s="83">
        <v>2024</v>
      </c>
      <c r="G197" s="83">
        <v>9</v>
      </c>
      <c r="H197" s="83" t="s">
        <v>279</v>
      </c>
      <c r="I197" s="84">
        <v>45706</v>
      </c>
      <c r="J197" s="85">
        <v>1</v>
      </c>
      <c r="K197" s="86">
        <v>1000</v>
      </c>
      <c r="L197" s="87">
        <v>4000</v>
      </c>
      <c r="M197" s="86">
        <v>1000000</v>
      </c>
      <c r="N197" s="15" t="s">
        <v>252</v>
      </c>
      <c r="O197" s="88">
        <v>45536</v>
      </c>
      <c r="P197" s="89">
        <v>2500</v>
      </c>
      <c r="Q197" s="83">
        <v>4</v>
      </c>
      <c r="R197" s="72">
        <v>10000</v>
      </c>
      <c r="S197" s="83" t="s">
        <v>270</v>
      </c>
      <c r="T197" s="83" t="s">
        <v>310</v>
      </c>
      <c r="U197" s="83" t="s">
        <v>274</v>
      </c>
      <c r="V197" s="51" t="s">
        <v>316</v>
      </c>
    </row>
    <row r="198" spans="1:22" ht="18.75" customHeight="1" x14ac:dyDescent="0.2">
      <c r="A198" s="83" t="s">
        <v>314</v>
      </c>
      <c r="B198" s="16" t="s">
        <v>4</v>
      </c>
      <c r="C198" s="82" t="s">
        <v>317</v>
      </c>
      <c r="D198" s="306">
        <v>240000600201044</v>
      </c>
      <c r="E198" s="83" t="s">
        <v>42</v>
      </c>
      <c r="F198" s="83">
        <v>2024</v>
      </c>
      <c r="G198" s="83">
        <v>9</v>
      </c>
      <c r="H198" s="83" t="s">
        <v>279</v>
      </c>
      <c r="I198" s="84">
        <v>45706</v>
      </c>
      <c r="J198" s="85">
        <v>1</v>
      </c>
      <c r="K198" s="86">
        <v>1000</v>
      </c>
      <c r="L198" s="87">
        <v>1000</v>
      </c>
      <c r="M198" s="86">
        <v>1000000</v>
      </c>
      <c r="N198" s="15" t="s">
        <v>252</v>
      </c>
      <c r="O198" s="88">
        <v>45536</v>
      </c>
      <c r="P198" s="89">
        <v>1500</v>
      </c>
      <c r="Q198" s="83">
        <v>1</v>
      </c>
      <c r="R198" s="72">
        <v>1500</v>
      </c>
      <c r="S198" s="83" t="s">
        <v>270</v>
      </c>
      <c r="T198" s="83" t="s">
        <v>310</v>
      </c>
      <c r="U198" s="83" t="s">
        <v>274</v>
      </c>
      <c r="V198" s="51" t="s">
        <v>316</v>
      </c>
    </row>
    <row r="199" spans="1:22" ht="18.75" customHeight="1" x14ac:dyDescent="0.2">
      <c r="A199" s="83" t="s">
        <v>314</v>
      </c>
      <c r="B199" s="16" t="s">
        <v>4</v>
      </c>
      <c r="C199" s="82" t="s">
        <v>317</v>
      </c>
      <c r="D199" s="306">
        <v>240000600201044</v>
      </c>
      <c r="E199" s="83" t="s">
        <v>42</v>
      </c>
      <c r="F199" s="83">
        <v>2024</v>
      </c>
      <c r="G199" s="83">
        <v>9</v>
      </c>
      <c r="H199" s="83" t="s">
        <v>279</v>
      </c>
      <c r="I199" s="84">
        <v>45706</v>
      </c>
      <c r="J199" s="85">
        <v>1</v>
      </c>
      <c r="K199" s="86">
        <v>1000</v>
      </c>
      <c r="L199" s="87">
        <v>1000</v>
      </c>
      <c r="M199" s="86">
        <v>1000000</v>
      </c>
      <c r="N199" s="15" t="s">
        <v>252</v>
      </c>
      <c r="O199" s="88">
        <v>45536</v>
      </c>
      <c r="P199" s="89">
        <v>1500</v>
      </c>
      <c r="Q199" s="83">
        <v>1</v>
      </c>
      <c r="R199" s="72">
        <v>1500</v>
      </c>
      <c r="S199" s="83" t="s">
        <v>270</v>
      </c>
      <c r="T199" s="83" t="s">
        <v>310</v>
      </c>
      <c r="U199" s="83" t="s">
        <v>274</v>
      </c>
      <c r="V199" s="51" t="s">
        <v>316</v>
      </c>
    </row>
    <row r="200" spans="1:22" ht="18.75" customHeight="1" x14ac:dyDescent="0.2">
      <c r="A200" s="83" t="s">
        <v>314</v>
      </c>
      <c r="B200" s="16" t="s">
        <v>4</v>
      </c>
      <c r="C200" s="82" t="s">
        <v>317</v>
      </c>
      <c r="D200" s="306">
        <v>240000600201044</v>
      </c>
      <c r="E200" s="83" t="s">
        <v>42</v>
      </c>
      <c r="F200" s="83">
        <v>2024</v>
      </c>
      <c r="G200" s="83">
        <v>9</v>
      </c>
      <c r="H200" s="83" t="s">
        <v>279</v>
      </c>
      <c r="I200" s="84">
        <v>45706</v>
      </c>
      <c r="J200" s="85">
        <v>1</v>
      </c>
      <c r="K200" s="86">
        <v>1000</v>
      </c>
      <c r="L200" s="87">
        <v>1000</v>
      </c>
      <c r="M200" s="86">
        <v>1000000</v>
      </c>
      <c r="N200" s="15" t="s">
        <v>252</v>
      </c>
      <c r="O200" s="88">
        <v>45536</v>
      </c>
      <c r="P200" s="89">
        <v>1500</v>
      </c>
      <c r="Q200" s="83">
        <v>1</v>
      </c>
      <c r="R200" s="72">
        <v>1500</v>
      </c>
      <c r="S200" s="83" t="s">
        <v>270</v>
      </c>
      <c r="T200" s="83" t="s">
        <v>310</v>
      </c>
      <c r="U200" s="83" t="s">
        <v>274</v>
      </c>
      <c r="V200" s="51" t="s">
        <v>316</v>
      </c>
    </row>
    <row r="201" spans="1:22" ht="18.75" customHeight="1" x14ac:dyDescent="0.2">
      <c r="A201" s="83" t="s">
        <v>314</v>
      </c>
      <c r="B201" s="16" t="s">
        <v>4</v>
      </c>
      <c r="C201" s="82" t="s">
        <v>318</v>
      </c>
      <c r="D201" s="306">
        <v>240000600201045</v>
      </c>
      <c r="E201" s="83" t="s">
        <v>42</v>
      </c>
      <c r="F201" s="83">
        <v>2024</v>
      </c>
      <c r="G201" s="83">
        <v>9</v>
      </c>
      <c r="H201" s="83" t="s">
        <v>279</v>
      </c>
      <c r="I201" s="84">
        <v>45706</v>
      </c>
      <c r="J201" s="85">
        <v>1</v>
      </c>
      <c r="K201" s="86">
        <v>1000</v>
      </c>
      <c r="L201" s="87">
        <v>1000</v>
      </c>
      <c r="M201" s="86">
        <v>1000000</v>
      </c>
      <c r="N201" s="15" t="s">
        <v>252</v>
      </c>
      <c r="O201" s="88">
        <v>45536</v>
      </c>
      <c r="P201" s="89">
        <v>8000</v>
      </c>
      <c r="Q201" s="83">
        <v>1</v>
      </c>
      <c r="R201" s="72">
        <v>8000</v>
      </c>
      <c r="S201" s="83" t="s">
        <v>270</v>
      </c>
      <c r="T201" s="83" t="s">
        <v>310</v>
      </c>
      <c r="U201" s="83" t="s">
        <v>274</v>
      </c>
      <c r="V201" s="51" t="s">
        <v>316</v>
      </c>
    </row>
    <row r="202" spans="1:22" ht="18.75" customHeight="1" x14ac:dyDescent="0.2">
      <c r="A202" s="83" t="s">
        <v>314</v>
      </c>
      <c r="B202" s="16" t="s">
        <v>4</v>
      </c>
      <c r="C202" s="82" t="s">
        <v>318</v>
      </c>
      <c r="D202" s="306">
        <v>240000600201045</v>
      </c>
      <c r="E202" s="83" t="s">
        <v>42</v>
      </c>
      <c r="F202" s="83">
        <v>2024</v>
      </c>
      <c r="G202" s="83">
        <v>9</v>
      </c>
      <c r="H202" s="83" t="s">
        <v>279</v>
      </c>
      <c r="I202" s="84">
        <v>45706</v>
      </c>
      <c r="J202" s="85">
        <v>1</v>
      </c>
      <c r="K202" s="86">
        <v>1000</v>
      </c>
      <c r="L202" s="87">
        <v>1000</v>
      </c>
      <c r="M202" s="86">
        <v>1000000</v>
      </c>
      <c r="N202" s="15" t="s">
        <v>252</v>
      </c>
      <c r="O202" s="88">
        <v>45536</v>
      </c>
      <c r="P202" s="89">
        <v>5000</v>
      </c>
      <c r="Q202" s="83">
        <v>1</v>
      </c>
      <c r="R202" s="72">
        <v>5000</v>
      </c>
      <c r="S202" s="83" t="s">
        <v>270</v>
      </c>
      <c r="T202" s="83" t="s">
        <v>310</v>
      </c>
      <c r="U202" s="83" t="s">
        <v>274</v>
      </c>
      <c r="V202" s="51" t="s">
        <v>316</v>
      </c>
    </row>
    <row r="203" spans="1:22" ht="18.75" customHeight="1" x14ac:dyDescent="0.2">
      <c r="A203" s="83" t="s">
        <v>314</v>
      </c>
      <c r="B203" s="16" t="s">
        <v>4</v>
      </c>
      <c r="C203" s="82" t="s">
        <v>318</v>
      </c>
      <c r="D203" s="306">
        <v>240000600201045</v>
      </c>
      <c r="E203" s="83" t="s">
        <v>42</v>
      </c>
      <c r="F203" s="83">
        <v>2024</v>
      </c>
      <c r="G203" s="83">
        <v>9</v>
      </c>
      <c r="H203" s="83" t="s">
        <v>279</v>
      </c>
      <c r="I203" s="84">
        <v>45706</v>
      </c>
      <c r="J203" s="85">
        <v>1</v>
      </c>
      <c r="K203" s="86">
        <v>1000</v>
      </c>
      <c r="L203" s="87">
        <v>1000</v>
      </c>
      <c r="M203" s="86">
        <v>1000000</v>
      </c>
      <c r="N203" s="15" t="s">
        <v>252</v>
      </c>
      <c r="O203" s="88">
        <v>45536</v>
      </c>
      <c r="P203" s="89">
        <v>101500</v>
      </c>
      <c r="Q203" s="83">
        <v>1</v>
      </c>
      <c r="R203" s="72">
        <v>101500</v>
      </c>
      <c r="S203" s="83" t="s">
        <v>270</v>
      </c>
      <c r="T203" s="83" t="s">
        <v>310</v>
      </c>
      <c r="U203" s="83" t="s">
        <v>274</v>
      </c>
      <c r="V203" s="51" t="s">
        <v>316</v>
      </c>
    </row>
    <row r="204" spans="1:22" ht="18.75" customHeight="1" x14ac:dyDescent="0.2">
      <c r="A204" s="83" t="s">
        <v>314</v>
      </c>
      <c r="B204" s="16" t="s">
        <v>4</v>
      </c>
      <c r="C204" s="82" t="s">
        <v>318</v>
      </c>
      <c r="D204" s="306">
        <v>240000600201045</v>
      </c>
      <c r="E204" s="83" t="s">
        <v>42</v>
      </c>
      <c r="F204" s="83">
        <v>2024</v>
      </c>
      <c r="G204" s="83">
        <v>9</v>
      </c>
      <c r="H204" s="83" t="s">
        <v>279</v>
      </c>
      <c r="I204" s="84">
        <v>45706</v>
      </c>
      <c r="J204" s="85">
        <v>1</v>
      </c>
      <c r="K204" s="86">
        <v>1000</v>
      </c>
      <c r="L204" s="87">
        <v>4000</v>
      </c>
      <c r="M204" s="86">
        <v>1000000</v>
      </c>
      <c r="N204" s="15" t="s">
        <v>252</v>
      </c>
      <c r="O204" s="88">
        <v>45536</v>
      </c>
      <c r="P204" s="89">
        <v>35000</v>
      </c>
      <c r="Q204" s="83">
        <v>4</v>
      </c>
      <c r="R204" s="72">
        <v>140000</v>
      </c>
      <c r="S204" s="83" t="s">
        <v>270</v>
      </c>
      <c r="T204" s="83" t="s">
        <v>310</v>
      </c>
      <c r="U204" s="83" t="s">
        <v>274</v>
      </c>
      <c r="V204" s="51" t="s">
        <v>316</v>
      </c>
    </row>
    <row r="205" spans="1:22" ht="18.75" customHeight="1" x14ac:dyDescent="0.2">
      <c r="A205" s="83" t="s">
        <v>314</v>
      </c>
      <c r="B205" s="16" t="s">
        <v>4</v>
      </c>
      <c r="C205" s="82" t="s">
        <v>318</v>
      </c>
      <c r="D205" s="306">
        <v>240000600201045</v>
      </c>
      <c r="E205" s="83" t="s">
        <v>42</v>
      </c>
      <c r="F205" s="83">
        <v>2024</v>
      </c>
      <c r="G205" s="83">
        <v>9</v>
      </c>
      <c r="H205" s="83" t="s">
        <v>279</v>
      </c>
      <c r="I205" s="84">
        <v>45706</v>
      </c>
      <c r="J205" s="85">
        <v>1</v>
      </c>
      <c r="K205" s="86">
        <v>1000</v>
      </c>
      <c r="L205" s="87">
        <v>1000</v>
      </c>
      <c r="M205" s="86">
        <v>1000000</v>
      </c>
      <c r="N205" s="15" t="s">
        <v>252</v>
      </c>
      <c r="O205" s="88">
        <v>45536</v>
      </c>
      <c r="P205" s="89">
        <v>1500</v>
      </c>
      <c r="Q205" s="83">
        <v>1</v>
      </c>
      <c r="R205" s="72">
        <v>1500</v>
      </c>
      <c r="S205" s="83" t="s">
        <v>270</v>
      </c>
      <c r="T205" s="83" t="s">
        <v>310</v>
      </c>
      <c r="U205" s="83" t="s">
        <v>274</v>
      </c>
      <c r="V205" s="51" t="s">
        <v>316</v>
      </c>
    </row>
    <row r="206" spans="1:22" ht="18.75" customHeight="1" x14ac:dyDescent="0.2">
      <c r="A206" s="83" t="s">
        <v>314</v>
      </c>
      <c r="B206" s="16" t="s">
        <v>4</v>
      </c>
      <c r="C206" s="82" t="s">
        <v>318</v>
      </c>
      <c r="D206" s="306">
        <v>240000600201045</v>
      </c>
      <c r="E206" s="83" t="s">
        <v>42</v>
      </c>
      <c r="F206" s="83">
        <v>2024</v>
      </c>
      <c r="G206" s="83">
        <v>9</v>
      </c>
      <c r="H206" s="83" t="s">
        <v>279</v>
      </c>
      <c r="I206" s="84">
        <v>45706</v>
      </c>
      <c r="J206" s="85">
        <v>1</v>
      </c>
      <c r="K206" s="86">
        <v>1000</v>
      </c>
      <c r="L206" s="87">
        <v>1000</v>
      </c>
      <c r="M206" s="86">
        <v>1000000</v>
      </c>
      <c r="N206" s="15" t="s">
        <v>252</v>
      </c>
      <c r="O206" s="88">
        <v>45536</v>
      </c>
      <c r="P206" s="89">
        <v>1500</v>
      </c>
      <c r="Q206" s="83">
        <v>1</v>
      </c>
      <c r="R206" s="72">
        <v>1500</v>
      </c>
      <c r="S206" s="83" t="s">
        <v>270</v>
      </c>
      <c r="T206" s="83" t="s">
        <v>310</v>
      </c>
      <c r="U206" s="83" t="s">
        <v>274</v>
      </c>
      <c r="V206" s="51" t="s">
        <v>316</v>
      </c>
    </row>
    <row r="207" spans="1:22" ht="18.75" customHeight="1" x14ac:dyDescent="0.2">
      <c r="A207" s="83" t="s">
        <v>314</v>
      </c>
      <c r="B207" s="16" t="s">
        <v>4</v>
      </c>
      <c r="C207" s="82" t="s">
        <v>318</v>
      </c>
      <c r="D207" s="306">
        <v>240000600201045</v>
      </c>
      <c r="E207" s="83" t="s">
        <v>42</v>
      </c>
      <c r="F207" s="83">
        <v>2024</v>
      </c>
      <c r="G207" s="83">
        <v>9</v>
      </c>
      <c r="H207" s="83" t="s">
        <v>279</v>
      </c>
      <c r="I207" s="84">
        <v>45706</v>
      </c>
      <c r="J207" s="85">
        <v>1</v>
      </c>
      <c r="K207" s="86">
        <v>1000</v>
      </c>
      <c r="L207" s="87">
        <v>2000</v>
      </c>
      <c r="M207" s="86">
        <v>1000000</v>
      </c>
      <c r="N207" s="15" t="s">
        <v>252</v>
      </c>
      <c r="O207" s="88">
        <v>45536</v>
      </c>
      <c r="P207" s="89">
        <v>12500</v>
      </c>
      <c r="Q207" s="83">
        <v>2</v>
      </c>
      <c r="R207" s="72">
        <v>25000</v>
      </c>
      <c r="S207" s="83" t="s">
        <v>270</v>
      </c>
      <c r="T207" s="83" t="s">
        <v>310</v>
      </c>
      <c r="U207" s="83" t="s">
        <v>274</v>
      </c>
      <c r="V207" s="51" t="s">
        <v>316</v>
      </c>
    </row>
    <row r="208" spans="1:22" ht="18.75" customHeight="1" x14ac:dyDescent="0.2">
      <c r="A208" s="83" t="s">
        <v>314</v>
      </c>
      <c r="B208" s="16" t="s">
        <v>4</v>
      </c>
      <c r="C208" s="82" t="s">
        <v>318</v>
      </c>
      <c r="D208" s="306">
        <v>240000600201045</v>
      </c>
      <c r="E208" s="83" t="s">
        <v>42</v>
      </c>
      <c r="F208" s="83">
        <v>2024</v>
      </c>
      <c r="G208" s="83">
        <v>9</v>
      </c>
      <c r="H208" s="83" t="s">
        <v>279</v>
      </c>
      <c r="I208" s="84">
        <v>45706</v>
      </c>
      <c r="J208" s="85">
        <v>1</v>
      </c>
      <c r="K208" s="86">
        <v>1000</v>
      </c>
      <c r="L208" s="87">
        <v>1000</v>
      </c>
      <c r="M208" s="86">
        <v>1000000</v>
      </c>
      <c r="N208" s="15" t="s">
        <v>252</v>
      </c>
      <c r="O208" s="88">
        <v>45536</v>
      </c>
      <c r="P208" s="89">
        <v>3000</v>
      </c>
      <c r="Q208" s="83">
        <v>1</v>
      </c>
      <c r="R208" s="72">
        <v>3000</v>
      </c>
      <c r="S208" s="83" t="s">
        <v>270</v>
      </c>
      <c r="T208" s="83" t="s">
        <v>310</v>
      </c>
      <c r="U208" s="83" t="s">
        <v>274</v>
      </c>
      <c r="V208" s="51" t="s">
        <v>316</v>
      </c>
    </row>
    <row r="209" spans="1:22" ht="18.75" customHeight="1" x14ac:dyDescent="0.2">
      <c r="A209" s="83" t="s">
        <v>314</v>
      </c>
      <c r="B209" s="16" t="s">
        <v>4</v>
      </c>
      <c r="C209" s="82" t="s">
        <v>319</v>
      </c>
      <c r="D209" s="306">
        <v>120020670103666</v>
      </c>
      <c r="E209" s="83" t="s">
        <v>42</v>
      </c>
      <c r="F209" s="83">
        <v>2024</v>
      </c>
      <c r="G209" s="83">
        <v>9</v>
      </c>
      <c r="H209" s="83" t="s">
        <v>279</v>
      </c>
      <c r="I209" s="84">
        <v>45706</v>
      </c>
      <c r="J209" s="85">
        <v>1</v>
      </c>
      <c r="K209" s="86">
        <v>1000</v>
      </c>
      <c r="L209" s="87">
        <v>1000</v>
      </c>
      <c r="M209" s="86">
        <v>1000000</v>
      </c>
      <c r="N209" s="15" t="s">
        <v>252</v>
      </c>
      <c r="O209" s="88">
        <v>45536</v>
      </c>
      <c r="P209" s="89">
        <v>8000</v>
      </c>
      <c r="Q209" s="83">
        <v>1</v>
      </c>
      <c r="R209" s="72">
        <v>8000</v>
      </c>
      <c r="S209" s="83" t="s">
        <v>270</v>
      </c>
      <c r="T209" s="83" t="s">
        <v>310</v>
      </c>
      <c r="U209" s="83" t="s">
        <v>274</v>
      </c>
      <c r="V209" s="51" t="s">
        <v>316</v>
      </c>
    </row>
    <row r="210" spans="1:22" ht="18.75" customHeight="1" x14ac:dyDescent="0.2">
      <c r="A210" s="83" t="s">
        <v>314</v>
      </c>
      <c r="B210" s="16" t="s">
        <v>4</v>
      </c>
      <c r="C210" s="82" t="s">
        <v>319</v>
      </c>
      <c r="D210" s="306">
        <v>120020670103666</v>
      </c>
      <c r="E210" s="83" t="s">
        <v>42</v>
      </c>
      <c r="F210" s="83">
        <v>2024</v>
      </c>
      <c r="G210" s="83">
        <v>9</v>
      </c>
      <c r="H210" s="83" t="s">
        <v>279</v>
      </c>
      <c r="I210" s="84">
        <v>45706</v>
      </c>
      <c r="J210" s="85">
        <v>1</v>
      </c>
      <c r="K210" s="86">
        <v>1000</v>
      </c>
      <c r="L210" s="87">
        <v>1000</v>
      </c>
      <c r="M210" s="86">
        <v>1000000</v>
      </c>
      <c r="N210" s="15" t="s">
        <v>252</v>
      </c>
      <c r="O210" s="88">
        <v>45536</v>
      </c>
      <c r="P210" s="89">
        <v>5000</v>
      </c>
      <c r="Q210" s="83">
        <v>1</v>
      </c>
      <c r="R210" s="72">
        <v>5000</v>
      </c>
      <c r="S210" s="83" t="s">
        <v>270</v>
      </c>
      <c r="T210" s="83" t="s">
        <v>310</v>
      </c>
      <c r="U210" s="83" t="s">
        <v>274</v>
      </c>
      <c r="V210" s="51" t="s">
        <v>316</v>
      </c>
    </row>
    <row r="211" spans="1:22" ht="18.75" customHeight="1" x14ac:dyDescent="0.2">
      <c r="A211" s="83" t="s">
        <v>314</v>
      </c>
      <c r="B211" s="16" t="s">
        <v>4</v>
      </c>
      <c r="C211" s="82" t="s">
        <v>319</v>
      </c>
      <c r="D211" s="306">
        <v>120020670103666</v>
      </c>
      <c r="E211" s="83" t="s">
        <v>42</v>
      </c>
      <c r="F211" s="83">
        <v>2024</v>
      </c>
      <c r="G211" s="83">
        <v>9</v>
      </c>
      <c r="H211" s="83" t="s">
        <v>279</v>
      </c>
      <c r="I211" s="84">
        <v>45706</v>
      </c>
      <c r="J211" s="85">
        <v>1</v>
      </c>
      <c r="K211" s="86">
        <v>1000</v>
      </c>
      <c r="L211" s="87">
        <v>1000</v>
      </c>
      <c r="M211" s="86">
        <v>1000000</v>
      </c>
      <c r="N211" s="15" t="s">
        <v>252</v>
      </c>
      <c r="O211" s="88">
        <v>45536</v>
      </c>
      <c r="P211" s="89">
        <v>101500</v>
      </c>
      <c r="Q211" s="83">
        <v>1</v>
      </c>
      <c r="R211" s="72">
        <v>101500</v>
      </c>
      <c r="S211" s="83" t="s">
        <v>270</v>
      </c>
      <c r="T211" s="83" t="s">
        <v>310</v>
      </c>
      <c r="U211" s="83" t="s">
        <v>274</v>
      </c>
      <c r="V211" s="51" t="s">
        <v>316</v>
      </c>
    </row>
    <row r="212" spans="1:22" ht="18.75" customHeight="1" x14ac:dyDescent="0.2">
      <c r="A212" s="83" t="s">
        <v>314</v>
      </c>
      <c r="B212" s="16" t="s">
        <v>4</v>
      </c>
      <c r="C212" s="82" t="s">
        <v>319</v>
      </c>
      <c r="D212" s="306">
        <v>120020670103666</v>
      </c>
      <c r="E212" s="83" t="s">
        <v>42</v>
      </c>
      <c r="F212" s="83">
        <v>2024</v>
      </c>
      <c r="G212" s="83">
        <v>9</v>
      </c>
      <c r="H212" s="83" t="s">
        <v>279</v>
      </c>
      <c r="I212" s="84">
        <v>45706</v>
      </c>
      <c r="J212" s="85">
        <v>1</v>
      </c>
      <c r="K212" s="86">
        <v>1000</v>
      </c>
      <c r="L212" s="87">
        <v>4000</v>
      </c>
      <c r="M212" s="86">
        <v>1000000</v>
      </c>
      <c r="N212" s="15" t="s">
        <v>252</v>
      </c>
      <c r="O212" s="88">
        <v>45536</v>
      </c>
      <c r="P212" s="89">
        <v>35000</v>
      </c>
      <c r="Q212" s="83">
        <v>4</v>
      </c>
      <c r="R212" s="72">
        <v>140000</v>
      </c>
      <c r="S212" s="83" t="s">
        <v>270</v>
      </c>
      <c r="T212" s="83" t="s">
        <v>310</v>
      </c>
      <c r="U212" s="83" t="s">
        <v>274</v>
      </c>
      <c r="V212" s="51" t="s">
        <v>316</v>
      </c>
    </row>
    <row r="213" spans="1:22" ht="18.75" customHeight="1" x14ac:dyDescent="0.2">
      <c r="A213" s="83" t="s">
        <v>314</v>
      </c>
      <c r="B213" s="16" t="s">
        <v>4</v>
      </c>
      <c r="C213" s="82" t="s">
        <v>319</v>
      </c>
      <c r="D213" s="306">
        <v>120020670103666</v>
      </c>
      <c r="E213" s="83" t="s">
        <v>42</v>
      </c>
      <c r="F213" s="83">
        <v>2024</v>
      </c>
      <c r="G213" s="83">
        <v>9</v>
      </c>
      <c r="H213" s="83" t="s">
        <v>279</v>
      </c>
      <c r="I213" s="84">
        <v>45706</v>
      </c>
      <c r="J213" s="85">
        <v>1</v>
      </c>
      <c r="K213" s="86">
        <v>1000</v>
      </c>
      <c r="L213" s="87">
        <v>1000</v>
      </c>
      <c r="M213" s="86">
        <v>1000000</v>
      </c>
      <c r="N213" s="15" t="s">
        <v>252</v>
      </c>
      <c r="O213" s="88">
        <v>45536</v>
      </c>
      <c r="P213" s="89">
        <v>1500</v>
      </c>
      <c r="Q213" s="83">
        <v>1</v>
      </c>
      <c r="R213" s="72">
        <v>1500</v>
      </c>
      <c r="S213" s="83" t="s">
        <v>270</v>
      </c>
      <c r="T213" s="83" t="s">
        <v>310</v>
      </c>
      <c r="U213" s="83" t="s">
        <v>274</v>
      </c>
      <c r="V213" s="51" t="s">
        <v>316</v>
      </c>
    </row>
    <row r="214" spans="1:22" ht="18.75" customHeight="1" x14ac:dyDescent="0.2">
      <c r="A214" s="83" t="s">
        <v>314</v>
      </c>
      <c r="B214" s="16" t="s">
        <v>4</v>
      </c>
      <c r="C214" s="82" t="s">
        <v>319</v>
      </c>
      <c r="D214" s="306">
        <v>120020670103666</v>
      </c>
      <c r="E214" s="83" t="s">
        <v>42</v>
      </c>
      <c r="F214" s="83">
        <v>2024</v>
      </c>
      <c r="G214" s="83">
        <v>9</v>
      </c>
      <c r="H214" s="83" t="s">
        <v>279</v>
      </c>
      <c r="I214" s="84">
        <v>45706</v>
      </c>
      <c r="J214" s="85">
        <v>1</v>
      </c>
      <c r="K214" s="86">
        <v>1000</v>
      </c>
      <c r="L214" s="87">
        <v>1000</v>
      </c>
      <c r="M214" s="86">
        <v>1000000</v>
      </c>
      <c r="N214" s="15" t="s">
        <v>252</v>
      </c>
      <c r="O214" s="88">
        <v>45536</v>
      </c>
      <c r="P214" s="89">
        <v>1500</v>
      </c>
      <c r="Q214" s="83">
        <v>1</v>
      </c>
      <c r="R214" s="72">
        <v>1500</v>
      </c>
      <c r="S214" s="83" t="s">
        <v>270</v>
      </c>
      <c r="T214" s="83" t="s">
        <v>310</v>
      </c>
      <c r="U214" s="83" t="s">
        <v>274</v>
      </c>
      <c r="V214" s="51" t="s">
        <v>316</v>
      </c>
    </row>
    <row r="215" spans="1:22" ht="18.75" customHeight="1" x14ac:dyDescent="0.2">
      <c r="A215" s="83" t="s">
        <v>314</v>
      </c>
      <c r="B215" s="16" t="s">
        <v>4</v>
      </c>
      <c r="C215" s="82" t="s">
        <v>319</v>
      </c>
      <c r="D215" s="306">
        <v>120020670103666</v>
      </c>
      <c r="E215" s="83" t="s">
        <v>42</v>
      </c>
      <c r="F215" s="83">
        <v>2024</v>
      </c>
      <c r="G215" s="83">
        <v>9</v>
      </c>
      <c r="H215" s="83" t="s">
        <v>279</v>
      </c>
      <c r="I215" s="84">
        <v>45706</v>
      </c>
      <c r="J215" s="85">
        <v>1</v>
      </c>
      <c r="K215" s="86">
        <v>1000</v>
      </c>
      <c r="L215" s="87">
        <v>2000</v>
      </c>
      <c r="M215" s="86">
        <v>1000000</v>
      </c>
      <c r="N215" s="15" t="s">
        <v>252</v>
      </c>
      <c r="O215" s="88">
        <v>45536</v>
      </c>
      <c r="P215" s="89">
        <v>17500</v>
      </c>
      <c r="Q215" s="83">
        <v>2</v>
      </c>
      <c r="R215" s="72">
        <v>35000</v>
      </c>
      <c r="S215" s="83" t="s">
        <v>270</v>
      </c>
      <c r="T215" s="83" t="s">
        <v>310</v>
      </c>
      <c r="U215" s="83" t="s">
        <v>274</v>
      </c>
      <c r="V215" s="51" t="s">
        <v>316</v>
      </c>
    </row>
    <row r="216" spans="1:22" ht="18.75" customHeight="1" x14ac:dyDescent="0.2">
      <c r="A216" s="83" t="s">
        <v>314</v>
      </c>
      <c r="B216" s="16" t="s">
        <v>4</v>
      </c>
      <c r="C216" s="82" t="s">
        <v>319</v>
      </c>
      <c r="D216" s="306">
        <v>120020670103666</v>
      </c>
      <c r="E216" s="83" t="s">
        <v>42</v>
      </c>
      <c r="F216" s="83">
        <v>2024</v>
      </c>
      <c r="G216" s="83">
        <v>9</v>
      </c>
      <c r="H216" s="83" t="s">
        <v>279</v>
      </c>
      <c r="I216" s="84">
        <v>45706</v>
      </c>
      <c r="J216" s="85">
        <v>1</v>
      </c>
      <c r="K216" s="86">
        <v>1000</v>
      </c>
      <c r="L216" s="87">
        <v>1000</v>
      </c>
      <c r="M216" s="86">
        <v>1000000</v>
      </c>
      <c r="N216" s="15" t="s">
        <v>252</v>
      </c>
      <c r="O216" s="88">
        <v>45536</v>
      </c>
      <c r="P216" s="89">
        <v>3000</v>
      </c>
      <c r="Q216" s="83">
        <v>1</v>
      </c>
      <c r="R216" s="72">
        <v>3000</v>
      </c>
      <c r="S216" s="83" t="s">
        <v>270</v>
      </c>
      <c r="T216" s="83" t="s">
        <v>310</v>
      </c>
      <c r="U216" s="83" t="s">
        <v>274</v>
      </c>
      <c r="V216" s="51" t="s">
        <v>316</v>
      </c>
    </row>
    <row r="217" spans="1:22" ht="18.75" customHeight="1" x14ac:dyDescent="0.2">
      <c r="A217" s="83" t="s">
        <v>314</v>
      </c>
      <c r="B217" s="16" t="s">
        <v>4</v>
      </c>
      <c r="C217" s="82" t="s">
        <v>320</v>
      </c>
      <c r="D217" s="306">
        <v>120020670103664</v>
      </c>
      <c r="E217" s="83" t="s">
        <v>42</v>
      </c>
      <c r="F217" s="83">
        <v>2024</v>
      </c>
      <c r="G217" s="83">
        <v>9</v>
      </c>
      <c r="H217" s="83" t="s">
        <v>279</v>
      </c>
      <c r="I217" s="84">
        <v>45706</v>
      </c>
      <c r="J217" s="85">
        <v>1</v>
      </c>
      <c r="K217" s="86">
        <v>1000</v>
      </c>
      <c r="L217" s="87">
        <v>1000</v>
      </c>
      <c r="M217" s="86">
        <v>1000000</v>
      </c>
      <c r="N217" s="15" t="s">
        <v>252</v>
      </c>
      <c r="O217" s="88">
        <v>45536</v>
      </c>
      <c r="P217" s="89">
        <v>8000</v>
      </c>
      <c r="Q217" s="83">
        <v>1</v>
      </c>
      <c r="R217" s="72">
        <v>8000</v>
      </c>
      <c r="S217" s="83" t="s">
        <v>270</v>
      </c>
      <c r="T217" s="83" t="s">
        <v>310</v>
      </c>
      <c r="U217" s="83" t="s">
        <v>274</v>
      </c>
      <c r="V217" s="51" t="s">
        <v>316</v>
      </c>
    </row>
    <row r="218" spans="1:22" ht="18.75" customHeight="1" x14ac:dyDescent="0.2">
      <c r="A218" s="83" t="s">
        <v>314</v>
      </c>
      <c r="B218" s="16" t="s">
        <v>4</v>
      </c>
      <c r="C218" s="82" t="s">
        <v>320</v>
      </c>
      <c r="D218" s="306">
        <v>120020670103664</v>
      </c>
      <c r="E218" s="83" t="s">
        <v>42</v>
      </c>
      <c r="F218" s="83">
        <v>2024</v>
      </c>
      <c r="G218" s="83">
        <v>9</v>
      </c>
      <c r="H218" s="83" t="s">
        <v>279</v>
      </c>
      <c r="I218" s="84">
        <v>45706</v>
      </c>
      <c r="J218" s="85">
        <v>1</v>
      </c>
      <c r="K218" s="86">
        <v>1000</v>
      </c>
      <c r="L218" s="87">
        <v>1000</v>
      </c>
      <c r="M218" s="86">
        <v>1000000</v>
      </c>
      <c r="N218" s="15" t="s">
        <v>252</v>
      </c>
      <c r="O218" s="88">
        <v>45536</v>
      </c>
      <c r="P218" s="89">
        <v>2500</v>
      </c>
      <c r="Q218" s="83">
        <v>1</v>
      </c>
      <c r="R218" s="72">
        <v>2500</v>
      </c>
      <c r="S218" s="83" t="s">
        <v>270</v>
      </c>
      <c r="T218" s="83" t="s">
        <v>310</v>
      </c>
      <c r="U218" s="83" t="s">
        <v>274</v>
      </c>
      <c r="V218" s="51" t="s">
        <v>316</v>
      </c>
    </row>
    <row r="219" spans="1:22" ht="18.75" customHeight="1" x14ac:dyDescent="0.2">
      <c r="A219" s="83" t="s">
        <v>314</v>
      </c>
      <c r="B219" s="16" t="s">
        <v>4</v>
      </c>
      <c r="C219" s="82" t="s">
        <v>320</v>
      </c>
      <c r="D219" s="306">
        <v>120020670103664</v>
      </c>
      <c r="E219" s="83" t="s">
        <v>42</v>
      </c>
      <c r="F219" s="83">
        <v>2024</v>
      </c>
      <c r="G219" s="83">
        <v>9</v>
      </c>
      <c r="H219" s="83" t="s">
        <v>279</v>
      </c>
      <c r="I219" s="84">
        <v>45706</v>
      </c>
      <c r="J219" s="85">
        <v>1</v>
      </c>
      <c r="K219" s="86">
        <v>1000</v>
      </c>
      <c r="L219" s="87">
        <v>2000</v>
      </c>
      <c r="M219" s="86">
        <v>1000000</v>
      </c>
      <c r="N219" s="15" t="s">
        <v>252</v>
      </c>
      <c r="O219" s="88">
        <v>45536</v>
      </c>
      <c r="P219" s="89">
        <v>2500</v>
      </c>
      <c r="Q219" s="83">
        <v>2</v>
      </c>
      <c r="R219" s="72">
        <v>5000</v>
      </c>
      <c r="S219" s="83" t="s">
        <v>270</v>
      </c>
      <c r="T219" s="83" t="s">
        <v>310</v>
      </c>
      <c r="U219" s="83" t="s">
        <v>274</v>
      </c>
      <c r="V219" s="51" t="s">
        <v>316</v>
      </c>
    </row>
    <row r="220" spans="1:22" ht="18.75" customHeight="1" x14ac:dyDescent="0.2">
      <c r="A220" s="83" t="s">
        <v>314</v>
      </c>
      <c r="B220" s="16" t="s">
        <v>4</v>
      </c>
      <c r="C220" s="82" t="s">
        <v>320</v>
      </c>
      <c r="D220" s="306">
        <v>120020670103664</v>
      </c>
      <c r="E220" s="83" t="s">
        <v>42</v>
      </c>
      <c r="F220" s="83">
        <v>2024</v>
      </c>
      <c r="G220" s="83">
        <v>9</v>
      </c>
      <c r="H220" s="83" t="s">
        <v>279</v>
      </c>
      <c r="I220" s="84">
        <v>45706</v>
      </c>
      <c r="J220" s="85">
        <v>1</v>
      </c>
      <c r="K220" s="86">
        <v>1000</v>
      </c>
      <c r="L220" s="87">
        <v>2000</v>
      </c>
      <c r="M220" s="86">
        <v>1000000</v>
      </c>
      <c r="N220" s="15" t="s">
        <v>252</v>
      </c>
      <c r="O220" s="88">
        <v>45536</v>
      </c>
      <c r="P220" s="89">
        <v>2000</v>
      </c>
      <c r="Q220" s="83">
        <v>2</v>
      </c>
      <c r="R220" s="72">
        <v>4000</v>
      </c>
      <c r="S220" s="83" t="s">
        <v>270</v>
      </c>
      <c r="T220" s="83" t="s">
        <v>310</v>
      </c>
      <c r="U220" s="83" t="s">
        <v>274</v>
      </c>
      <c r="V220" s="51" t="s">
        <v>316</v>
      </c>
    </row>
    <row r="221" spans="1:22" ht="18.75" customHeight="1" x14ac:dyDescent="0.2">
      <c r="A221" s="83" t="s">
        <v>314</v>
      </c>
      <c r="B221" s="16" t="s">
        <v>4</v>
      </c>
      <c r="C221" s="82" t="s">
        <v>320</v>
      </c>
      <c r="D221" s="306">
        <v>120020670103664</v>
      </c>
      <c r="E221" s="83" t="s">
        <v>42</v>
      </c>
      <c r="F221" s="83">
        <v>2024</v>
      </c>
      <c r="G221" s="83">
        <v>9</v>
      </c>
      <c r="H221" s="83" t="s">
        <v>279</v>
      </c>
      <c r="I221" s="84">
        <v>45706</v>
      </c>
      <c r="J221" s="85">
        <v>1</v>
      </c>
      <c r="K221" s="86">
        <v>1000</v>
      </c>
      <c r="L221" s="87">
        <v>1000</v>
      </c>
      <c r="M221" s="86">
        <v>1000000</v>
      </c>
      <c r="N221" s="15" t="s">
        <v>252</v>
      </c>
      <c r="O221" s="88">
        <v>45536</v>
      </c>
      <c r="P221" s="89">
        <v>2500</v>
      </c>
      <c r="Q221" s="83">
        <v>1</v>
      </c>
      <c r="R221" s="72">
        <v>2500</v>
      </c>
      <c r="S221" s="83" t="s">
        <v>270</v>
      </c>
      <c r="T221" s="83" t="s">
        <v>310</v>
      </c>
      <c r="U221" s="83" t="s">
        <v>274</v>
      </c>
      <c r="V221" s="51" t="s">
        <v>316</v>
      </c>
    </row>
    <row r="222" spans="1:22" ht="18.75" customHeight="1" x14ac:dyDescent="0.2">
      <c r="A222" s="83" t="s">
        <v>314</v>
      </c>
      <c r="B222" s="16" t="s">
        <v>4</v>
      </c>
      <c r="C222" s="82" t="s">
        <v>320</v>
      </c>
      <c r="D222" s="306">
        <v>120020670103664</v>
      </c>
      <c r="E222" s="83" t="s">
        <v>42</v>
      </c>
      <c r="F222" s="83">
        <v>2024</v>
      </c>
      <c r="G222" s="83">
        <v>9</v>
      </c>
      <c r="H222" s="83" t="s">
        <v>279</v>
      </c>
      <c r="I222" s="84">
        <v>45706</v>
      </c>
      <c r="J222" s="85">
        <v>1</v>
      </c>
      <c r="K222" s="86">
        <v>1000</v>
      </c>
      <c r="L222" s="87">
        <v>1000</v>
      </c>
      <c r="M222" s="86">
        <v>1000000</v>
      </c>
      <c r="N222" s="15" t="s">
        <v>252</v>
      </c>
      <c r="O222" s="88">
        <v>45536</v>
      </c>
      <c r="P222" s="89">
        <v>1500</v>
      </c>
      <c r="Q222" s="83">
        <v>1</v>
      </c>
      <c r="R222" s="72">
        <v>1500</v>
      </c>
      <c r="S222" s="83" t="s">
        <v>270</v>
      </c>
      <c r="T222" s="83" t="s">
        <v>310</v>
      </c>
      <c r="U222" s="83" t="s">
        <v>274</v>
      </c>
      <c r="V222" s="51" t="s">
        <v>316</v>
      </c>
    </row>
    <row r="223" spans="1:22" ht="18.75" customHeight="1" x14ac:dyDescent="0.2">
      <c r="A223" s="83" t="s">
        <v>314</v>
      </c>
      <c r="B223" s="16" t="s">
        <v>4</v>
      </c>
      <c r="C223" s="82" t="s">
        <v>320</v>
      </c>
      <c r="D223" s="306">
        <v>120020670103664</v>
      </c>
      <c r="E223" s="83" t="s">
        <v>42</v>
      </c>
      <c r="F223" s="83">
        <v>2024</v>
      </c>
      <c r="G223" s="83">
        <v>9</v>
      </c>
      <c r="H223" s="83" t="s">
        <v>279</v>
      </c>
      <c r="I223" s="84">
        <v>45706</v>
      </c>
      <c r="J223" s="85">
        <v>1</v>
      </c>
      <c r="K223" s="86">
        <v>1000</v>
      </c>
      <c r="L223" s="87">
        <v>3000</v>
      </c>
      <c r="M223" s="86">
        <v>1000000</v>
      </c>
      <c r="N223" s="15" t="s">
        <v>252</v>
      </c>
      <c r="O223" s="88">
        <v>45536</v>
      </c>
      <c r="P223" s="89">
        <v>1500</v>
      </c>
      <c r="Q223" s="83">
        <v>3</v>
      </c>
      <c r="R223" s="72">
        <v>4500</v>
      </c>
      <c r="S223" s="83" t="s">
        <v>270</v>
      </c>
      <c r="T223" s="83" t="s">
        <v>310</v>
      </c>
      <c r="U223" s="83" t="s">
        <v>274</v>
      </c>
      <c r="V223" s="51" t="s">
        <v>316</v>
      </c>
    </row>
    <row r="224" spans="1:22" ht="18.75" customHeight="1" x14ac:dyDescent="0.2">
      <c r="A224" s="83" t="s">
        <v>314</v>
      </c>
      <c r="B224" s="16" t="s">
        <v>4</v>
      </c>
      <c r="C224" s="82" t="s">
        <v>320</v>
      </c>
      <c r="D224" s="306">
        <v>120020670103664</v>
      </c>
      <c r="E224" s="83" t="s">
        <v>42</v>
      </c>
      <c r="F224" s="83">
        <v>2024</v>
      </c>
      <c r="G224" s="83">
        <v>9</v>
      </c>
      <c r="H224" s="83" t="s">
        <v>279</v>
      </c>
      <c r="I224" s="84">
        <v>45706</v>
      </c>
      <c r="J224" s="85">
        <v>1</v>
      </c>
      <c r="K224" s="86">
        <v>1000</v>
      </c>
      <c r="L224" s="87">
        <v>1000</v>
      </c>
      <c r="M224" s="86">
        <v>1000000</v>
      </c>
      <c r="N224" s="15" t="s">
        <v>252</v>
      </c>
      <c r="O224" s="88">
        <v>45536</v>
      </c>
      <c r="P224" s="89">
        <v>1000</v>
      </c>
      <c r="Q224" s="83">
        <v>1</v>
      </c>
      <c r="R224" s="72">
        <v>1000</v>
      </c>
      <c r="S224" s="83" t="s">
        <v>270</v>
      </c>
      <c r="T224" s="83" t="s">
        <v>310</v>
      </c>
      <c r="U224" s="83" t="s">
        <v>274</v>
      </c>
      <c r="V224" s="51" t="s">
        <v>316</v>
      </c>
    </row>
    <row r="225" spans="1:22" ht="18.75" customHeight="1" x14ac:dyDescent="0.2">
      <c r="A225" s="83" t="s">
        <v>314</v>
      </c>
      <c r="B225" s="16" t="s">
        <v>4</v>
      </c>
      <c r="C225" s="82" t="s">
        <v>321</v>
      </c>
      <c r="D225" s="306">
        <v>240000600201043</v>
      </c>
      <c r="E225" s="83" t="s">
        <v>42</v>
      </c>
      <c r="F225" s="83">
        <v>2024</v>
      </c>
      <c r="G225" s="83">
        <v>9</v>
      </c>
      <c r="H225" s="83" t="s">
        <v>279</v>
      </c>
      <c r="I225" s="84">
        <v>45706</v>
      </c>
      <c r="J225" s="85">
        <v>1</v>
      </c>
      <c r="K225" s="86">
        <v>1000</v>
      </c>
      <c r="L225" s="87">
        <v>1000</v>
      </c>
      <c r="M225" s="86">
        <v>1000000</v>
      </c>
      <c r="N225" s="15" t="s">
        <v>252</v>
      </c>
      <c r="O225" s="88">
        <v>45536</v>
      </c>
      <c r="P225" s="89">
        <v>88000</v>
      </c>
      <c r="Q225" s="83">
        <v>1</v>
      </c>
      <c r="R225" s="72">
        <v>88000</v>
      </c>
      <c r="S225" s="83" t="s">
        <v>270</v>
      </c>
      <c r="T225" s="83" t="s">
        <v>310</v>
      </c>
      <c r="U225" s="83" t="s">
        <v>274</v>
      </c>
      <c r="V225" s="51" t="s">
        <v>316</v>
      </c>
    </row>
    <row r="226" spans="1:22" ht="18.75" customHeight="1" x14ac:dyDescent="0.2">
      <c r="A226" s="83" t="s">
        <v>314</v>
      </c>
      <c r="B226" s="16" t="s">
        <v>4</v>
      </c>
      <c r="C226" s="82" t="s">
        <v>321</v>
      </c>
      <c r="D226" s="306">
        <v>240000600201043</v>
      </c>
      <c r="E226" s="83" t="s">
        <v>42</v>
      </c>
      <c r="F226" s="83">
        <v>2024</v>
      </c>
      <c r="G226" s="83">
        <v>9</v>
      </c>
      <c r="H226" s="83" t="s">
        <v>279</v>
      </c>
      <c r="I226" s="84">
        <v>45706</v>
      </c>
      <c r="J226" s="85">
        <v>1</v>
      </c>
      <c r="K226" s="86">
        <v>1000</v>
      </c>
      <c r="L226" s="87">
        <v>1000</v>
      </c>
      <c r="M226" s="86">
        <v>1000000</v>
      </c>
      <c r="N226" s="15" t="s">
        <v>252</v>
      </c>
      <c r="O226" s="88">
        <v>45536</v>
      </c>
      <c r="P226" s="89">
        <v>5000</v>
      </c>
      <c r="Q226" s="83">
        <v>1</v>
      </c>
      <c r="R226" s="72">
        <v>5000</v>
      </c>
      <c r="S226" s="83" t="s">
        <v>270</v>
      </c>
      <c r="T226" s="83" t="s">
        <v>310</v>
      </c>
      <c r="U226" s="83" t="s">
        <v>274</v>
      </c>
      <c r="V226" s="51" t="s">
        <v>316</v>
      </c>
    </row>
    <row r="227" spans="1:22" ht="18.75" customHeight="1" x14ac:dyDescent="0.2">
      <c r="A227" s="83" t="s">
        <v>314</v>
      </c>
      <c r="B227" s="16" t="s">
        <v>4</v>
      </c>
      <c r="C227" s="82" t="s">
        <v>322</v>
      </c>
      <c r="D227" s="306">
        <v>120020670103677</v>
      </c>
      <c r="E227" s="83" t="s">
        <v>42</v>
      </c>
      <c r="F227" s="83">
        <v>2024</v>
      </c>
      <c r="G227" s="83">
        <v>9</v>
      </c>
      <c r="H227" s="83" t="s">
        <v>279</v>
      </c>
      <c r="I227" s="84">
        <v>45706</v>
      </c>
      <c r="J227" s="85">
        <v>1</v>
      </c>
      <c r="K227" s="86">
        <v>1000</v>
      </c>
      <c r="L227" s="87">
        <v>1000</v>
      </c>
      <c r="M227" s="86">
        <v>1000000</v>
      </c>
      <c r="N227" s="15" t="s">
        <v>252</v>
      </c>
      <c r="O227" s="88">
        <v>45536</v>
      </c>
      <c r="P227" s="89">
        <v>8000</v>
      </c>
      <c r="Q227" s="83">
        <v>1</v>
      </c>
      <c r="R227" s="72">
        <v>8000</v>
      </c>
      <c r="S227" s="83" t="s">
        <v>270</v>
      </c>
      <c r="T227" s="83" t="s">
        <v>310</v>
      </c>
      <c r="U227" s="83" t="s">
        <v>274</v>
      </c>
      <c r="V227" s="51" t="s">
        <v>316</v>
      </c>
    </row>
    <row r="228" spans="1:22" ht="18.75" customHeight="1" x14ac:dyDescent="0.2">
      <c r="A228" s="83" t="s">
        <v>314</v>
      </c>
      <c r="B228" s="16" t="s">
        <v>4</v>
      </c>
      <c r="C228" s="82" t="s">
        <v>322</v>
      </c>
      <c r="D228" s="306">
        <v>120020670103677</v>
      </c>
      <c r="E228" s="83" t="s">
        <v>42</v>
      </c>
      <c r="F228" s="83">
        <v>2024</v>
      </c>
      <c r="G228" s="83">
        <v>9</v>
      </c>
      <c r="H228" s="83" t="s">
        <v>279</v>
      </c>
      <c r="I228" s="84">
        <v>45706</v>
      </c>
      <c r="J228" s="85">
        <v>1</v>
      </c>
      <c r="K228" s="86">
        <v>1000</v>
      </c>
      <c r="L228" s="87">
        <v>1000</v>
      </c>
      <c r="M228" s="86">
        <v>1000000</v>
      </c>
      <c r="N228" s="15" t="s">
        <v>252</v>
      </c>
      <c r="O228" s="88">
        <v>45536</v>
      </c>
      <c r="P228" s="89">
        <v>5000</v>
      </c>
      <c r="Q228" s="83">
        <v>1</v>
      </c>
      <c r="R228" s="72">
        <v>5000</v>
      </c>
      <c r="S228" s="83" t="s">
        <v>270</v>
      </c>
      <c r="T228" s="83" t="s">
        <v>310</v>
      </c>
      <c r="U228" s="83" t="s">
        <v>274</v>
      </c>
      <c r="V228" s="51" t="s">
        <v>316</v>
      </c>
    </row>
    <row r="229" spans="1:22" ht="18.75" customHeight="1" x14ac:dyDescent="0.2">
      <c r="A229" s="83" t="s">
        <v>314</v>
      </c>
      <c r="B229" s="16" t="s">
        <v>4</v>
      </c>
      <c r="C229" s="82" t="s">
        <v>322</v>
      </c>
      <c r="D229" s="306">
        <v>120020670103677</v>
      </c>
      <c r="E229" s="83" t="s">
        <v>42</v>
      </c>
      <c r="F229" s="83">
        <v>2024</v>
      </c>
      <c r="G229" s="83">
        <v>9</v>
      </c>
      <c r="H229" s="83" t="s">
        <v>279</v>
      </c>
      <c r="I229" s="84">
        <v>45706</v>
      </c>
      <c r="J229" s="85">
        <v>1</v>
      </c>
      <c r="K229" s="86">
        <v>1000</v>
      </c>
      <c r="L229" s="87">
        <v>3000</v>
      </c>
      <c r="M229" s="86">
        <v>1000000</v>
      </c>
      <c r="N229" s="15" t="s">
        <v>252</v>
      </c>
      <c r="O229" s="88">
        <v>45536</v>
      </c>
      <c r="P229" s="89">
        <v>27500</v>
      </c>
      <c r="Q229" s="83">
        <v>3</v>
      </c>
      <c r="R229" s="72">
        <v>82500</v>
      </c>
      <c r="S229" s="83" t="s">
        <v>270</v>
      </c>
      <c r="T229" s="83" t="s">
        <v>310</v>
      </c>
      <c r="U229" s="83" t="s">
        <v>274</v>
      </c>
      <c r="V229" s="51" t="s">
        <v>316</v>
      </c>
    </row>
    <row r="230" spans="1:22" ht="18.75" customHeight="1" x14ac:dyDescent="0.2">
      <c r="A230" s="83" t="s">
        <v>314</v>
      </c>
      <c r="B230" s="16" t="s">
        <v>4</v>
      </c>
      <c r="C230" s="82" t="s">
        <v>322</v>
      </c>
      <c r="D230" s="306">
        <v>120020670103677</v>
      </c>
      <c r="E230" s="83" t="s">
        <v>42</v>
      </c>
      <c r="F230" s="83">
        <v>2024</v>
      </c>
      <c r="G230" s="83">
        <v>9</v>
      </c>
      <c r="H230" s="83" t="s">
        <v>279</v>
      </c>
      <c r="I230" s="84">
        <v>45706</v>
      </c>
      <c r="J230" s="85">
        <v>1</v>
      </c>
      <c r="K230" s="86">
        <v>1000</v>
      </c>
      <c r="L230" s="87">
        <v>1000</v>
      </c>
      <c r="M230" s="86">
        <v>1000000</v>
      </c>
      <c r="N230" s="15" t="s">
        <v>252</v>
      </c>
      <c r="O230" s="88">
        <v>45536</v>
      </c>
      <c r="P230" s="89">
        <v>1500</v>
      </c>
      <c r="Q230" s="83">
        <v>1</v>
      </c>
      <c r="R230" s="72">
        <v>1500</v>
      </c>
      <c r="S230" s="83" t="s">
        <v>270</v>
      </c>
      <c r="T230" s="83" t="s">
        <v>310</v>
      </c>
      <c r="U230" s="83" t="s">
        <v>274</v>
      </c>
      <c r="V230" s="51" t="s">
        <v>316</v>
      </c>
    </row>
    <row r="231" spans="1:22" ht="18.75" customHeight="1" x14ac:dyDescent="0.2">
      <c r="A231" s="83" t="s">
        <v>314</v>
      </c>
      <c r="B231" s="16" t="s">
        <v>4</v>
      </c>
      <c r="C231" s="82" t="s">
        <v>322</v>
      </c>
      <c r="D231" s="306">
        <v>120020670103677</v>
      </c>
      <c r="E231" s="83" t="s">
        <v>42</v>
      </c>
      <c r="F231" s="83">
        <v>2024</v>
      </c>
      <c r="G231" s="83">
        <v>9</v>
      </c>
      <c r="H231" s="83" t="s">
        <v>279</v>
      </c>
      <c r="I231" s="84">
        <v>45706</v>
      </c>
      <c r="J231" s="85">
        <v>1</v>
      </c>
      <c r="K231" s="86">
        <v>1000</v>
      </c>
      <c r="L231" s="87">
        <v>1000</v>
      </c>
      <c r="M231" s="86">
        <v>1000000</v>
      </c>
      <c r="N231" s="15" t="s">
        <v>252</v>
      </c>
      <c r="O231" s="88">
        <v>45536</v>
      </c>
      <c r="P231" s="89">
        <v>1500</v>
      </c>
      <c r="Q231" s="83">
        <v>1</v>
      </c>
      <c r="R231" s="72">
        <v>1500</v>
      </c>
      <c r="S231" s="83" t="s">
        <v>270</v>
      </c>
      <c r="T231" s="83" t="s">
        <v>310</v>
      </c>
      <c r="U231" s="83" t="s">
        <v>274</v>
      </c>
      <c r="V231" s="51" t="s">
        <v>316</v>
      </c>
    </row>
    <row r="232" spans="1:22" ht="18.75" customHeight="1" x14ac:dyDescent="0.2">
      <c r="A232" s="83" t="s">
        <v>314</v>
      </c>
      <c r="B232" s="16" t="s">
        <v>4</v>
      </c>
      <c r="C232" s="82" t="s">
        <v>322</v>
      </c>
      <c r="D232" s="306">
        <v>120020670103677</v>
      </c>
      <c r="E232" s="83" t="s">
        <v>42</v>
      </c>
      <c r="F232" s="83">
        <v>2024</v>
      </c>
      <c r="G232" s="83">
        <v>9</v>
      </c>
      <c r="H232" s="83" t="s">
        <v>279</v>
      </c>
      <c r="I232" s="84">
        <v>45706</v>
      </c>
      <c r="J232" s="85">
        <v>1</v>
      </c>
      <c r="K232" s="86">
        <v>1000</v>
      </c>
      <c r="L232" s="87">
        <v>2000</v>
      </c>
      <c r="M232" s="86">
        <v>1000000</v>
      </c>
      <c r="N232" s="15" t="s">
        <v>252</v>
      </c>
      <c r="O232" s="88">
        <v>45536</v>
      </c>
      <c r="P232" s="89">
        <v>20000</v>
      </c>
      <c r="Q232" s="83">
        <v>2</v>
      </c>
      <c r="R232" s="72">
        <v>40000</v>
      </c>
      <c r="S232" s="83" t="s">
        <v>270</v>
      </c>
      <c r="T232" s="83" t="s">
        <v>310</v>
      </c>
      <c r="U232" s="83" t="s">
        <v>274</v>
      </c>
      <c r="V232" s="51" t="s">
        <v>316</v>
      </c>
    </row>
    <row r="233" spans="1:22" ht="18.75" customHeight="1" x14ac:dyDescent="0.2">
      <c r="A233" s="83" t="s">
        <v>314</v>
      </c>
      <c r="B233" s="16" t="s">
        <v>4</v>
      </c>
      <c r="C233" s="82" t="s">
        <v>322</v>
      </c>
      <c r="D233" s="306">
        <v>120020670103677</v>
      </c>
      <c r="E233" s="83" t="s">
        <v>42</v>
      </c>
      <c r="F233" s="83">
        <v>2024</v>
      </c>
      <c r="G233" s="83">
        <v>9</v>
      </c>
      <c r="H233" s="83" t="s">
        <v>279</v>
      </c>
      <c r="I233" s="84">
        <v>45706</v>
      </c>
      <c r="J233" s="85">
        <v>1</v>
      </c>
      <c r="K233" s="86">
        <v>1000</v>
      </c>
      <c r="L233" s="87">
        <v>1000</v>
      </c>
      <c r="M233" s="86">
        <v>1000000</v>
      </c>
      <c r="N233" s="15" t="s">
        <v>252</v>
      </c>
      <c r="O233" s="88">
        <v>45536</v>
      </c>
      <c r="P233" s="89">
        <v>1000</v>
      </c>
      <c r="Q233" s="83">
        <v>1</v>
      </c>
      <c r="R233" s="72">
        <v>1000</v>
      </c>
      <c r="S233" s="83" t="s">
        <v>270</v>
      </c>
      <c r="T233" s="83" t="s">
        <v>310</v>
      </c>
      <c r="U233" s="83" t="s">
        <v>274</v>
      </c>
      <c r="V233" s="51" t="s">
        <v>316</v>
      </c>
    </row>
    <row r="234" spans="1:22" ht="18.75" customHeight="1" x14ac:dyDescent="0.2">
      <c r="A234" s="83" t="s">
        <v>314</v>
      </c>
      <c r="B234" s="16" t="s">
        <v>4</v>
      </c>
      <c r="C234" s="82" t="s">
        <v>323</v>
      </c>
      <c r="D234" s="306">
        <v>240000600201001</v>
      </c>
      <c r="E234" s="83" t="s">
        <v>42</v>
      </c>
      <c r="F234" s="83">
        <v>2024</v>
      </c>
      <c r="G234" s="83">
        <v>9</v>
      </c>
      <c r="H234" s="83" t="s">
        <v>279</v>
      </c>
      <c r="I234" s="84">
        <v>45706</v>
      </c>
      <c r="J234" s="85">
        <v>1</v>
      </c>
      <c r="K234" s="86">
        <v>1000</v>
      </c>
      <c r="L234" s="87">
        <v>1000</v>
      </c>
      <c r="M234" s="86">
        <v>1000000</v>
      </c>
      <c r="N234" s="15" t="s">
        <v>252</v>
      </c>
      <c r="O234" s="88">
        <v>45536</v>
      </c>
      <c r="P234" s="89">
        <v>2000</v>
      </c>
      <c r="Q234" s="83">
        <v>1</v>
      </c>
      <c r="R234" s="72">
        <v>2000</v>
      </c>
      <c r="S234" s="83" t="s">
        <v>270</v>
      </c>
      <c r="T234" s="83" t="s">
        <v>310</v>
      </c>
      <c r="U234" s="83" t="s">
        <v>274</v>
      </c>
      <c r="V234" s="51" t="s">
        <v>316</v>
      </c>
    </row>
    <row r="235" spans="1:22" ht="18.75" customHeight="1" x14ac:dyDescent="0.2">
      <c r="A235" s="83" t="s">
        <v>314</v>
      </c>
      <c r="B235" s="16" t="s">
        <v>4</v>
      </c>
      <c r="C235" s="82" t="s">
        <v>323</v>
      </c>
      <c r="D235" s="306">
        <v>240000600201001</v>
      </c>
      <c r="E235" s="83" t="s">
        <v>42</v>
      </c>
      <c r="F235" s="83">
        <v>2024</v>
      </c>
      <c r="G235" s="83">
        <v>9</v>
      </c>
      <c r="H235" s="83" t="s">
        <v>279</v>
      </c>
      <c r="I235" s="84">
        <v>45706</v>
      </c>
      <c r="J235" s="85">
        <v>1</v>
      </c>
      <c r="K235" s="86">
        <v>1000</v>
      </c>
      <c r="L235" s="87">
        <v>11000</v>
      </c>
      <c r="M235" s="86">
        <v>1000000</v>
      </c>
      <c r="N235" s="15" t="s">
        <v>252</v>
      </c>
      <c r="O235" s="88">
        <v>45536</v>
      </c>
      <c r="P235" s="89">
        <v>3500</v>
      </c>
      <c r="Q235" s="83">
        <v>11</v>
      </c>
      <c r="R235" s="72">
        <v>38500</v>
      </c>
      <c r="S235" s="83" t="s">
        <v>270</v>
      </c>
      <c r="T235" s="83" t="s">
        <v>310</v>
      </c>
      <c r="U235" s="83" t="s">
        <v>274</v>
      </c>
      <c r="V235" s="51" t="s">
        <v>316</v>
      </c>
    </row>
    <row r="236" spans="1:22" ht="18.75" customHeight="1" x14ac:dyDescent="0.2">
      <c r="A236" s="83" t="s">
        <v>314</v>
      </c>
      <c r="B236" s="16" t="s">
        <v>4</v>
      </c>
      <c r="C236" s="82" t="s">
        <v>323</v>
      </c>
      <c r="D236" s="306">
        <v>240000600201001</v>
      </c>
      <c r="E236" s="83" t="s">
        <v>42</v>
      </c>
      <c r="F236" s="83">
        <v>2024</v>
      </c>
      <c r="G236" s="83">
        <v>9</v>
      </c>
      <c r="H236" s="83" t="s">
        <v>279</v>
      </c>
      <c r="I236" s="84">
        <v>45706</v>
      </c>
      <c r="J236" s="85">
        <v>1</v>
      </c>
      <c r="K236" s="86">
        <v>1000</v>
      </c>
      <c r="L236" s="87">
        <v>1000</v>
      </c>
      <c r="M236" s="86">
        <v>1000000</v>
      </c>
      <c r="N236" s="15" t="s">
        <v>252</v>
      </c>
      <c r="O236" s="88">
        <v>45536</v>
      </c>
      <c r="P236" s="89">
        <v>1500</v>
      </c>
      <c r="Q236" s="83">
        <v>1</v>
      </c>
      <c r="R236" s="72">
        <v>1500</v>
      </c>
      <c r="S236" s="83" t="s">
        <v>270</v>
      </c>
      <c r="T236" s="83" t="s">
        <v>310</v>
      </c>
      <c r="U236" s="83" t="s">
        <v>274</v>
      </c>
      <c r="V236" s="51" t="s">
        <v>316</v>
      </c>
    </row>
    <row r="237" spans="1:22" ht="18.75" customHeight="1" x14ac:dyDescent="0.2">
      <c r="A237" s="83" t="s">
        <v>314</v>
      </c>
      <c r="B237" s="16" t="s">
        <v>4</v>
      </c>
      <c r="C237" s="82" t="s">
        <v>323</v>
      </c>
      <c r="D237" s="306">
        <v>240000600201001</v>
      </c>
      <c r="E237" s="83" t="s">
        <v>42</v>
      </c>
      <c r="F237" s="83">
        <v>2024</v>
      </c>
      <c r="G237" s="83">
        <v>9</v>
      </c>
      <c r="H237" s="83" t="s">
        <v>279</v>
      </c>
      <c r="I237" s="84">
        <v>45706</v>
      </c>
      <c r="J237" s="85">
        <v>1</v>
      </c>
      <c r="K237" s="86">
        <v>1000</v>
      </c>
      <c r="L237" s="87">
        <v>1000</v>
      </c>
      <c r="M237" s="86">
        <v>1000000</v>
      </c>
      <c r="N237" s="15" t="s">
        <v>252</v>
      </c>
      <c r="O237" s="88">
        <v>45536</v>
      </c>
      <c r="P237" s="89">
        <v>1500</v>
      </c>
      <c r="Q237" s="83">
        <v>1</v>
      </c>
      <c r="R237" s="72">
        <v>1500</v>
      </c>
      <c r="S237" s="83" t="s">
        <v>270</v>
      </c>
      <c r="T237" s="83" t="s">
        <v>310</v>
      </c>
      <c r="U237" s="83" t="s">
        <v>274</v>
      </c>
      <c r="V237" s="51" t="s">
        <v>316</v>
      </c>
    </row>
    <row r="238" spans="1:22" ht="18.75" customHeight="1" x14ac:dyDescent="0.2">
      <c r="A238" s="83" t="s">
        <v>314</v>
      </c>
      <c r="B238" s="16" t="s">
        <v>4</v>
      </c>
      <c r="C238" s="82" t="s">
        <v>323</v>
      </c>
      <c r="D238" s="306">
        <v>240000600201001</v>
      </c>
      <c r="E238" s="83" t="s">
        <v>42</v>
      </c>
      <c r="F238" s="83">
        <v>2024</v>
      </c>
      <c r="G238" s="83">
        <v>9</v>
      </c>
      <c r="H238" s="83" t="s">
        <v>279</v>
      </c>
      <c r="I238" s="84">
        <v>45706</v>
      </c>
      <c r="J238" s="85">
        <v>1</v>
      </c>
      <c r="K238" s="86">
        <v>1000</v>
      </c>
      <c r="L238" s="87">
        <v>1000</v>
      </c>
      <c r="M238" s="86">
        <v>1000000</v>
      </c>
      <c r="N238" s="15" t="s">
        <v>252</v>
      </c>
      <c r="O238" s="88">
        <v>45536</v>
      </c>
      <c r="P238" s="89">
        <v>1500</v>
      </c>
      <c r="Q238" s="83">
        <v>1</v>
      </c>
      <c r="R238" s="72">
        <v>1500</v>
      </c>
      <c r="S238" s="83" t="s">
        <v>270</v>
      </c>
      <c r="T238" s="83" t="s">
        <v>310</v>
      </c>
      <c r="U238" s="83" t="s">
        <v>274</v>
      </c>
      <c r="V238" s="51" t="s">
        <v>316</v>
      </c>
    </row>
    <row r="239" spans="1:22" ht="18.75" customHeight="1" x14ac:dyDescent="0.2">
      <c r="A239" s="83" t="s">
        <v>314</v>
      </c>
      <c r="B239" s="16" t="s">
        <v>4</v>
      </c>
      <c r="C239" s="82" t="s">
        <v>323</v>
      </c>
      <c r="D239" s="306">
        <v>240000600201001</v>
      </c>
      <c r="E239" s="83" t="s">
        <v>42</v>
      </c>
      <c r="F239" s="83">
        <v>2024</v>
      </c>
      <c r="G239" s="83">
        <v>9</v>
      </c>
      <c r="H239" s="83" t="s">
        <v>279</v>
      </c>
      <c r="I239" s="84">
        <v>45706</v>
      </c>
      <c r="J239" s="85">
        <v>1</v>
      </c>
      <c r="K239" s="86">
        <v>1000</v>
      </c>
      <c r="L239" s="87">
        <v>1000</v>
      </c>
      <c r="M239" s="86">
        <v>1000000</v>
      </c>
      <c r="N239" s="15" t="s">
        <v>252</v>
      </c>
      <c r="O239" s="88">
        <v>45536</v>
      </c>
      <c r="P239" s="89">
        <v>5000</v>
      </c>
      <c r="Q239" s="83">
        <v>1</v>
      </c>
      <c r="R239" s="72">
        <v>5000</v>
      </c>
      <c r="S239" s="83" t="s">
        <v>270</v>
      </c>
      <c r="T239" s="83" t="s">
        <v>310</v>
      </c>
      <c r="U239" s="83" t="s">
        <v>274</v>
      </c>
      <c r="V239" s="51" t="s">
        <v>316</v>
      </c>
    </row>
    <row r="240" spans="1:22" ht="18.75" customHeight="1" x14ac:dyDescent="0.2">
      <c r="A240" s="83" t="s">
        <v>314</v>
      </c>
      <c r="B240" s="16" t="s">
        <v>4</v>
      </c>
      <c r="C240" s="82" t="s">
        <v>323</v>
      </c>
      <c r="D240" s="306">
        <v>240000600201001</v>
      </c>
      <c r="E240" s="83" t="s">
        <v>42</v>
      </c>
      <c r="F240" s="83">
        <v>2024</v>
      </c>
      <c r="G240" s="83">
        <v>9</v>
      </c>
      <c r="H240" s="83" t="s">
        <v>279</v>
      </c>
      <c r="I240" s="84">
        <v>45706</v>
      </c>
      <c r="J240" s="85">
        <v>1</v>
      </c>
      <c r="K240" s="86">
        <v>1000</v>
      </c>
      <c r="L240" s="87">
        <v>4000</v>
      </c>
      <c r="M240" s="86">
        <v>1000000</v>
      </c>
      <c r="N240" s="15" t="s">
        <v>252</v>
      </c>
      <c r="O240" s="88">
        <v>45536</v>
      </c>
      <c r="P240" s="89">
        <v>3500</v>
      </c>
      <c r="Q240" s="83">
        <v>4</v>
      </c>
      <c r="R240" s="72">
        <v>14000</v>
      </c>
      <c r="S240" s="83" t="s">
        <v>270</v>
      </c>
      <c r="T240" s="83" t="s">
        <v>310</v>
      </c>
      <c r="U240" s="83" t="s">
        <v>274</v>
      </c>
      <c r="V240" s="51" t="s">
        <v>316</v>
      </c>
    </row>
    <row r="241" spans="1:22" ht="18.75" customHeight="1" x14ac:dyDescent="0.2">
      <c r="A241" s="83" t="s">
        <v>314</v>
      </c>
      <c r="B241" s="16" t="s">
        <v>4</v>
      </c>
      <c r="C241" s="82" t="s">
        <v>323</v>
      </c>
      <c r="D241" s="306">
        <v>240000600201001</v>
      </c>
      <c r="E241" s="83" t="s">
        <v>42</v>
      </c>
      <c r="F241" s="83">
        <v>2024</v>
      </c>
      <c r="G241" s="83">
        <v>9</v>
      </c>
      <c r="H241" s="83" t="s">
        <v>279</v>
      </c>
      <c r="I241" s="84">
        <v>45706</v>
      </c>
      <c r="J241" s="85">
        <v>1</v>
      </c>
      <c r="K241" s="86">
        <v>1000</v>
      </c>
      <c r="L241" s="87">
        <v>1000</v>
      </c>
      <c r="M241" s="86">
        <v>1000000</v>
      </c>
      <c r="N241" s="15" t="s">
        <v>252</v>
      </c>
      <c r="O241" s="88">
        <v>45536</v>
      </c>
      <c r="P241" s="89">
        <v>1500</v>
      </c>
      <c r="Q241" s="83">
        <v>1</v>
      </c>
      <c r="R241" s="72">
        <v>1500</v>
      </c>
      <c r="S241" s="83" t="s">
        <v>270</v>
      </c>
      <c r="T241" s="83" t="s">
        <v>310</v>
      </c>
      <c r="U241" s="83" t="s">
        <v>274</v>
      </c>
      <c r="V241" s="51" t="s">
        <v>316</v>
      </c>
    </row>
    <row r="242" spans="1:22" ht="18.75" customHeight="1" x14ac:dyDescent="0.2">
      <c r="A242" s="83" t="s">
        <v>314</v>
      </c>
      <c r="B242" s="16" t="s">
        <v>4</v>
      </c>
      <c r="C242" s="82" t="s">
        <v>323</v>
      </c>
      <c r="D242" s="306">
        <v>240000600201001</v>
      </c>
      <c r="E242" s="83" t="s">
        <v>42</v>
      </c>
      <c r="F242" s="83">
        <v>2024</v>
      </c>
      <c r="G242" s="83">
        <v>9</v>
      </c>
      <c r="H242" s="83" t="s">
        <v>279</v>
      </c>
      <c r="I242" s="84">
        <v>45706</v>
      </c>
      <c r="J242" s="85">
        <v>1</v>
      </c>
      <c r="K242" s="86">
        <v>1000</v>
      </c>
      <c r="L242" s="87">
        <v>1000</v>
      </c>
      <c r="M242" s="86">
        <v>1000000</v>
      </c>
      <c r="N242" s="15" t="s">
        <v>252</v>
      </c>
      <c r="O242" s="88">
        <v>45536</v>
      </c>
      <c r="P242" s="89">
        <v>1500</v>
      </c>
      <c r="Q242" s="83">
        <v>1</v>
      </c>
      <c r="R242" s="72">
        <v>1500</v>
      </c>
      <c r="S242" s="83" t="s">
        <v>270</v>
      </c>
      <c r="T242" s="83" t="s">
        <v>310</v>
      </c>
      <c r="U242" s="83" t="s">
        <v>274</v>
      </c>
      <c r="V242" s="51" t="s">
        <v>316</v>
      </c>
    </row>
    <row r="243" spans="1:22" ht="18.75" customHeight="1" x14ac:dyDescent="0.2">
      <c r="A243" s="83" t="s">
        <v>314</v>
      </c>
      <c r="B243" s="16" t="s">
        <v>4</v>
      </c>
      <c r="C243" s="82" t="s">
        <v>323</v>
      </c>
      <c r="D243" s="306">
        <v>240000600201001</v>
      </c>
      <c r="E243" s="83" t="s">
        <v>42</v>
      </c>
      <c r="F243" s="83">
        <v>2024</v>
      </c>
      <c r="G243" s="83">
        <v>9</v>
      </c>
      <c r="H243" s="83" t="s">
        <v>279</v>
      </c>
      <c r="I243" s="84">
        <v>45706</v>
      </c>
      <c r="J243" s="85">
        <v>1</v>
      </c>
      <c r="K243" s="86">
        <v>1000</v>
      </c>
      <c r="L243" s="87">
        <v>1000</v>
      </c>
      <c r="M243" s="86">
        <v>1000000</v>
      </c>
      <c r="N243" s="15" t="s">
        <v>252</v>
      </c>
      <c r="O243" s="88">
        <v>45536</v>
      </c>
      <c r="P243" s="89">
        <v>1500</v>
      </c>
      <c r="Q243" s="83">
        <v>1</v>
      </c>
      <c r="R243" s="72">
        <v>1500</v>
      </c>
      <c r="S243" s="83" t="s">
        <v>270</v>
      </c>
      <c r="T243" s="83" t="s">
        <v>310</v>
      </c>
      <c r="U243" s="83" t="s">
        <v>274</v>
      </c>
      <c r="V243" s="51" t="s">
        <v>316</v>
      </c>
    </row>
    <row r="244" spans="1:22" ht="18.75" customHeight="1" x14ac:dyDescent="0.2">
      <c r="A244" s="83" t="s">
        <v>314</v>
      </c>
      <c r="B244" s="16" t="s">
        <v>4</v>
      </c>
      <c r="C244" s="82" t="s">
        <v>323</v>
      </c>
      <c r="D244" s="306">
        <v>240000600201001</v>
      </c>
      <c r="E244" s="83" t="s">
        <v>42</v>
      </c>
      <c r="F244" s="83">
        <v>2024</v>
      </c>
      <c r="G244" s="83">
        <v>9</v>
      </c>
      <c r="H244" s="83" t="s">
        <v>279</v>
      </c>
      <c r="I244" s="84">
        <v>45706</v>
      </c>
      <c r="J244" s="85">
        <v>1</v>
      </c>
      <c r="K244" s="86">
        <v>1000</v>
      </c>
      <c r="L244" s="87">
        <v>2000</v>
      </c>
      <c r="M244" s="86">
        <v>1000000</v>
      </c>
      <c r="N244" s="15" t="s">
        <v>252</v>
      </c>
      <c r="O244" s="88">
        <v>45536</v>
      </c>
      <c r="P244" s="89">
        <v>2500</v>
      </c>
      <c r="Q244" s="83">
        <v>2</v>
      </c>
      <c r="R244" s="72">
        <v>5000</v>
      </c>
      <c r="S244" s="83" t="s">
        <v>270</v>
      </c>
      <c r="T244" s="83" t="s">
        <v>310</v>
      </c>
      <c r="U244" s="83" t="s">
        <v>274</v>
      </c>
      <c r="V244" s="51" t="s">
        <v>316</v>
      </c>
    </row>
    <row r="245" spans="1:22" ht="18.75" customHeight="1" x14ac:dyDescent="0.2">
      <c r="A245" s="83" t="s">
        <v>314</v>
      </c>
      <c r="B245" s="16" t="s">
        <v>4</v>
      </c>
      <c r="C245" s="82" t="s">
        <v>323</v>
      </c>
      <c r="D245" s="306">
        <v>240000600201001</v>
      </c>
      <c r="E245" s="83" t="s">
        <v>42</v>
      </c>
      <c r="F245" s="83">
        <v>2024</v>
      </c>
      <c r="G245" s="83">
        <v>9</v>
      </c>
      <c r="H245" s="83" t="s">
        <v>279</v>
      </c>
      <c r="I245" s="84">
        <v>45706</v>
      </c>
      <c r="J245" s="85">
        <v>1</v>
      </c>
      <c r="K245" s="86">
        <v>1000</v>
      </c>
      <c r="L245" s="87">
        <v>1000</v>
      </c>
      <c r="M245" s="86">
        <v>1000000</v>
      </c>
      <c r="N245" s="15" t="s">
        <v>252</v>
      </c>
      <c r="O245" s="88">
        <v>45536</v>
      </c>
      <c r="P245" s="89">
        <v>1000</v>
      </c>
      <c r="Q245" s="83">
        <v>1</v>
      </c>
      <c r="R245" s="72">
        <v>1000</v>
      </c>
      <c r="S245" s="83" t="s">
        <v>270</v>
      </c>
      <c r="T245" s="83" t="s">
        <v>310</v>
      </c>
      <c r="U245" s="83" t="s">
        <v>274</v>
      </c>
      <c r="V245" s="51" t="s">
        <v>316</v>
      </c>
    </row>
    <row r="246" spans="1:22" ht="18.75" customHeight="1" x14ac:dyDescent="0.2">
      <c r="A246" s="83" t="s">
        <v>314</v>
      </c>
      <c r="B246" s="16" t="s">
        <v>4</v>
      </c>
      <c r="C246" s="82" t="s">
        <v>323</v>
      </c>
      <c r="D246" s="306">
        <v>240000600201001</v>
      </c>
      <c r="E246" s="83" t="s">
        <v>42</v>
      </c>
      <c r="F246" s="83">
        <v>2024</v>
      </c>
      <c r="G246" s="83">
        <v>9</v>
      </c>
      <c r="H246" s="83" t="s">
        <v>279</v>
      </c>
      <c r="I246" s="84">
        <v>45706</v>
      </c>
      <c r="J246" s="85">
        <v>1</v>
      </c>
      <c r="K246" s="86">
        <v>1000</v>
      </c>
      <c r="L246" s="87">
        <v>6000</v>
      </c>
      <c r="M246" s="86">
        <v>1000000</v>
      </c>
      <c r="N246" s="15" t="s">
        <v>252</v>
      </c>
      <c r="O246" s="88">
        <v>45536</v>
      </c>
      <c r="P246" s="89">
        <v>3500</v>
      </c>
      <c r="Q246" s="83">
        <v>6</v>
      </c>
      <c r="R246" s="72">
        <v>21000</v>
      </c>
      <c r="S246" s="83" t="s">
        <v>270</v>
      </c>
      <c r="T246" s="83" t="s">
        <v>310</v>
      </c>
      <c r="U246" s="83" t="s">
        <v>274</v>
      </c>
      <c r="V246" s="51" t="s">
        <v>316</v>
      </c>
    </row>
    <row r="247" spans="1:22" ht="18.75" customHeight="1" x14ac:dyDescent="0.2">
      <c r="A247" s="83" t="s">
        <v>314</v>
      </c>
      <c r="B247" s="16" t="s">
        <v>4</v>
      </c>
      <c r="C247" s="82" t="s">
        <v>323</v>
      </c>
      <c r="D247" s="306">
        <v>240000600201001</v>
      </c>
      <c r="E247" s="83" t="s">
        <v>42</v>
      </c>
      <c r="F247" s="83">
        <v>2024</v>
      </c>
      <c r="G247" s="83">
        <v>9</v>
      </c>
      <c r="H247" s="83" t="s">
        <v>279</v>
      </c>
      <c r="I247" s="84">
        <v>45706</v>
      </c>
      <c r="J247" s="85">
        <v>1</v>
      </c>
      <c r="K247" s="86">
        <v>1000</v>
      </c>
      <c r="L247" s="87">
        <v>1000</v>
      </c>
      <c r="M247" s="86">
        <v>1000000</v>
      </c>
      <c r="N247" s="15" t="s">
        <v>252</v>
      </c>
      <c r="O247" s="88">
        <v>45536</v>
      </c>
      <c r="P247" s="89">
        <v>3000</v>
      </c>
      <c r="Q247" s="83">
        <v>1</v>
      </c>
      <c r="R247" s="72">
        <v>3000</v>
      </c>
      <c r="S247" s="83" t="s">
        <v>270</v>
      </c>
      <c r="T247" s="83" t="s">
        <v>310</v>
      </c>
      <c r="U247" s="83" t="s">
        <v>274</v>
      </c>
      <c r="V247" s="51" t="s">
        <v>316</v>
      </c>
    </row>
    <row r="248" spans="1:22" ht="18.75" customHeight="1" x14ac:dyDescent="0.2">
      <c r="A248" s="83" t="s">
        <v>314</v>
      </c>
      <c r="B248" s="16" t="s">
        <v>4</v>
      </c>
      <c r="C248" s="82" t="s">
        <v>324</v>
      </c>
      <c r="D248" s="306">
        <v>240000600201007</v>
      </c>
      <c r="E248" s="83" t="s">
        <v>42</v>
      </c>
      <c r="F248" s="83">
        <v>2024</v>
      </c>
      <c r="G248" s="83">
        <v>9</v>
      </c>
      <c r="H248" s="83" t="s">
        <v>279</v>
      </c>
      <c r="I248" s="84">
        <v>45706</v>
      </c>
      <c r="J248" s="85">
        <v>1</v>
      </c>
      <c r="K248" s="86">
        <v>1000</v>
      </c>
      <c r="L248" s="87">
        <v>1000</v>
      </c>
      <c r="M248" s="86">
        <v>1000000</v>
      </c>
      <c r="N248" s="15" t="s">
        <v>252</v>
      </c>
      <c r="O248" s="88">
        <v>45536</v>
      </c>
      <c r="P248" s="89">
        <v>8000</v>
      </c>
      <c r="Q248" s="83">
        <v>1</v>
      </c>
      <c r="R248" s="72">
        <v>8000</v>
      </c>
      <c r="S248" s="83" t="s">
        <v>270</v>
      </c>
      <c r="T248" s="83" t="s">
        <v>310</v>
      </c>
      <c r="U248" s="83" t="s">
        <v>274</v>
      </c>
      <c r="V248" s="51" t="s">
        <v>316</v>
      </c>
    </row>
    <row r="249" spans="1:22" ht="18.75" customHeight="1" x14ac:dyDescent="0.2">
      <c r="A249" s="83" t="s">
        <v>314</v>
      </c>
      <c r="B249" s="16" t="s">
        <v>4</v>
      </c>
      <c r="C249" s="82" t="s">
        <v>324</v>
      </c>
      <c r="D249" s="306">
        <v>240000600201007</v>
      </c>
      <c r="E249" s="83" t="s">
        <v>42</v>
      </c>
      <c r="F249" s="83">
        <v>2024</v>
      </c>
      <c r="G249" s="83">
        <v>9</v>
      </c>
      <c r="H249" s="83" t="s">
        <v>279</v>
      </c>
      <c r="I249" s="84">
        <v>45706</v>
      </c>
      <c r="J249" s="85">
        <v>1</v>
      </c>
      <c r="K249" s="86">
        <v>1000</v>
      </c>
      <c r="L249" s="87">
        <v>4000</v>
      </c>
      <c r="M249" s="86">
        <v>1000000</v>
      </c>
      <c r="N249" s="15" t="s">
        <v>252</v>
      </c>
      <c r="O249" s="88">
        <v>45536</v>
      </c>
      <c r="P249" s="89">
        <v>2500</v>
      </c>
      <c r="Q249" s="83">
        <v>4</v>
      </c>
      <c r="R249" s="72">
        <v>10000</v>
      </c>
      <c r="S249" s="83" t="s">
        <v>270</v>
      </c>
      <c r="T249" s="83" t="s">
        <v>310</v>
      </c>
      <c r="U249" s="83" t="s">
        <v>274</v>
      </c>
      <c r="V249" s="51" t="s">
        <v>316</v>
      </c>
    </row>
    <row r="250" spans="1:22" ht="18.75" customHeight="1" x14ac:dyDescent="0.2">
      <c r="A250" s="83" t="s">
        <v>314</v>
      </c>
      <c r="B250" s="16" t="s">
        <v>4</v>
      </c>
      <c r="C250" s="82" t="s">
        <v>324</v>
      </c>
      <c r="D250" s="306">
        <v>240000600201007</v>
      </c>
      <c r="E250" s="83" t="s">
        <v>42</v>
      </c>
      <c r="F250" s="83">
        <v>2024</v>
      </c>
      <c r="G250" s="83">
        <v>9</v>
      </c>
      <c r="H250" s="83" t="s">
        <v>279</v>
      </c>
      <c r="I250" s="84">
        <v>45706</v>
      </c>
      <c r="J250" s="85">
        <v>1</v>
      </c>
      <c r="K250" s="86">
        <v>1000</v>
      </c>
      <c r="L250" s="87">
        <v>3000</v>
      </c>
      <c r="M250" s="86">
        <v>1000000</v>
      </c>
      <c r="N250" s="15" t="s">
        <v>252</v>
      </c>
      <c r="O250" s="88">
        <v>45536</v>
      </c>
      <c r="P250" s="89">
        <v>2500</v>
      </c>
      <c r="Q250" s="83">
        <v>3</v>
      </c>
      <c r="R250" s="72">
        <v>7500</v>
      </c>
      <c r="S250" s="83" t="s">
        <v>270</v>
      </c>
      <c r="T250" s="83" t="s">
        <v>310</v>
      </c>
      <c r="U250" s="83" t="s">
        <v>274</v>
      </c>
      <c r="V250" s="51" t="s">
        <v>316</v>
      </c>
    </row>
    <row r="251" spans="1:22" ht="18.75" customHeight="1" x14ac:dyDescent="0.2">
      <c r="A251" s="83" t="s">
        <v>314</v>
      </c>
      <c r="B251" s="16" t="s">
        <v>4</v>
      </c>
      <c r="C251" s="82" t="s">
        <v>324</v>
      </c>
      <c r="D251" s="306">
        <v>240000600201007</v>
      </c>
      <c r="E251" s="83" t="s">
        <v>42</v>
      </c>
      <c r="F251" s="83">
        <v>2024</v>
      </c>
      <c r="G251" s="83">
        <v>9</v>
      </c>
      <c r="H251" s="83" t="s">
        <v>279</v>
      </c>
      <c r="I251" s="84">
        <v>45706</v>
      </c>
      <c r="J251" s="85">
        <v>1</v>
      </c>
      <c r="K251" s="86">
        <v>1000</v>
      </c>
      <c r="L251" s="87">
        <v>1000</v>
      </c>
      <c r="M251" s="86">
        <v>1000000</v>
      </c>
      <c r="N251" s="15" t="s">
        <v>252</v>
      </c>
      <c r="O251" s="88">
        <v>45536</v>
      </c>
      <c r="P251" s="89">
        <v>1500</v>
      </c>
      <c r="Q251" s="83">
        <v>1</v>
      </c>
      <c r="R251" s="72">
        <v>1500</v>
      </c>
      <c r="S251" s="83" t="s">
        <v>270</v>
      </c>
      <c r="T251" s="83" t="s">
        <v>310</v>
      </c>
      <c r="U251" s="83" t="s">
        <v>274</v>
      </c>
      <c r="V251" s="51" t="s">
        <v>316</v>
      </c>
    </row>
    <row r="252" spans="1:22" ht="18.75" customHeight="1" x14ac:dyDescent="0.2">
      <c r="A252" s="83" t="s">
        <v>314</v>
      </c>
      <c r="B252" s="16" t="s">
        <v>4</v>
      </c>
      <c r="C252" s="82" t="s">
        <v>324</v>
      </c>
      <c r="D252" s="306">
        <v>240000600201007</v>
      </c>
      <c r="E252" s="83" t="s">
        <v>42</v>
      </c>
      <c r="F252" s="83">
        <v>2024</v>
      </c>
      <c r="G252" s="83">
        <v>9</v>
      </c>
      <c r="H252" s="83" t="s">
        <v>279</v>
      </c>
      <c r="I252" s="84">
        <v>45706</v>
      </c>
      <c r="J252" s="85">
        <v>1</v>
      </c>
      <c r="K252" s="86">
        <v>1000</v>
      </c>
      <c r="L252" s="87">
        <v>1000</v>
      </c>
      <c r="M252" s="86">
        <v>1000000</v>
      </c>
      <c r="N252" s="15" t="s">
        <v>252</v>
      </c>
      <c r="O252" s="88">
        <v>45536</v>
      </c>
      <c r="P252" s="89">
        <v>2500</v>
      </c>
      <c r="Q252" s="83">
        <v>1</v>
      </c>
      <c r="R252" s="72">
        <v>2500</v>
      </c>
      <c r="S252" s="83" t="s">
        <v>270</v>
      </c>
      <c r="T252" s="83" t="s">
        <v>310</v>
      </c>
      <c r="U252" s="83" t="s">
        <v>274</v>
      </c>
      <c r="V252" s="51" t="s">
        <v>316</v>
      </c>
    </row>
    <row r="253" spans="1:22" ht="18.75" customHeight="1" x14ac:dyDescent="0.2">
      <c r="A253" s="83" t="s">
        <v>314</v>
      </c>
      <c r="B253" s="16" t="s">
        <v>4</v>
      </c>
      <c r="C253" s="82" t="s">
        <v>324</v>
      </c>
      <c r="D253" s="306">
        <v>240000600201007</v>
      </c>
      <c r="E253" s="83" t="s">
        <v>42</v>
      </c>
      <c r="F253" s="83">
        <v>2024</v>
      </c>
      <c r="G253" s="83">
        <v>9</v>
      </c>
      <c r="H253" s="83" t="s">
        <v>279</v>
      </c>
      <c r="I253" s="84">
        <v>45706</v>
      </c>
      <c r="J253" s="85">
        <v>1</v>
      </c>
      <c r="K253" s="86">
        <v>1000</v>
      </c>
      <c r="L253" s="87">
        <v>1000</v>
      </c>
      <c r="M253" s="86">
        <v>1000000</v>
      </c>
      <c r="N253" s="15" t="s">
        <v>252</v>
      </c>
      <c r="O253" s="88">
        <v>45536</v>
      </c>
      <c r="P253" s="89">
        <v>1500</v>
      </c>
      <c r="Q253" s="83">
        <v>1</v>
      </c>
      <c r="R253" s="72">
        <v>1500</v>
      </c>
      <c r="S253" s="83" t="s">
        <v>270</v>
      </c>
      <c r="T253" s="83" t="s">
        <v>310</v>
      </c>
      <c r="U253" s="83" t="s">
        <v>274</v>
      </c>
      <c r="V253" s="51" t="s">
        <v>316</v>
      </c>
    </row>
    <row r="254" spans="1:22" ht="18.75" customHeight="1" x14ac:dyDescent="0.2">
      <c r="A254" s="83" t="s">
        <v>314</v>
      </c>
      <c r="B254" s="16" t="s">
        <v>4</v>
      </c>
      <c r="C254" s="82" t="s">
        <v>324</v>
      </c>
      <c r="D254" s="306">
        <v>240000600201007</v>
      </c>
      <c r="E254" s="83" t="s">
        <v>42</v>
      </c>
      <c r="F254" s="83">
        <v>2024</v>
      </c>
      <c r="G254" s="83">
        <v>9</v>
      </c>
      <c r="H254" s="83" t="s">
        <v>279</v>
      </c>
      <c r="I254" s="84">
        <v>45706</v>
      </c>
      <c r="J254" s="85">
        <v>1</v>
      </c>
      <c r="K254" s="86">
        <v>1000</v>
      </c>
      <c r="L254" s="87">
        <v>1000</v>
      </c>
      <c r="M254" s="86">
        <v>1000000</v>
      </c>
      <c r="N254" s="15" t="s">
        <v>252</v>
      </c>
      <c r="O254" s="88">
        <v>45536</v>
      </c>
      <c r="P254" s="89">
        <v>2500</v>
      </c>
      <c r="Q254" s="83">
        <v>1</v>
      </c>
      <c r="R254" s="72">
        <v>2500</v>
      </c>
      <c r="S254" s="83" t="s">
        <v>270</v>
      </c>
      <c r="T254" s="83" t="s">
        <v>310</v>
      </c>
      <c r="U254" s="83" t="s">
        <v>274</v>
      </c>
      <c r="V254" s="51" t="s">
        <v>316</v>
      </c>
    </row>
    <row r="255" spans="1:22" ht="18.75" customHeight="1" x14ac:dyDescent="0.2">
      <c r="A255" s="83" t="s">
        <v>314</v>
      </c>
      <c r="B255" s="16" t="s">
        <v>4</v>
      </c>
      <c r="C255" s="82" t="s">
        <v>325</v>
      </c>
      <c r="D255" s="306">
        <v>120020670100299</v>
      </c>
      <c r="E255" s="83" t="s">
        <v>42</v>
      </c>
      <c r="F255" s="83">
        <v>2024</v>
      </c>
      <c r="G255" s="83">
        <v>9</v>
      </c>
      <c r="H255" s="83" t="s">
        <v>279</v>
      </c>
      <c r="I255" s="84">
        <v>45706</v>
      </c>
      <c r="J255" s="85">
        <v>1</v>
      </c>
      <c r="K255" s="86">
        <v>1000</v>
      </c>
      <c r="L255" s="87">
        <v>1000</v>
      </c>
      <c r="M255" s="86">
        <v>1000000</v>
      </c>
      <c r="N255" s="15" t="s">
        <v>252</v>
      </c>
      <c r="O255" s="88">
        <v>45536</v>
      </c>
      <c r="P255" s="89">
        <v>26000</v>
      </c>
      <c r="Q255" s="83">
        <v>1</v>
      </c>
      <c r="R255" s="72">
        <v>26000</v>
      </c>
      <c r="S255" s="83" t="s">
        <v>270</v>
      </c>
      <c r="T255" s="83" t="s">
        <v>310</v>
      </c>
      <c r="U255" s="83" t="s">
        <v>274</v>
      </c>
      <c r="V255" s="51" t="s">
        <v>316</v>
      </c>
    </row>
    <row r="256" spans="1:22" ht="18.75" customHeight="1" x14ac:dyDescent="0.2">
      <c r="A256" s="83" t="s">
        <v>314</v>
      </c>
      <c r="B256" s="16" t="s">
        <v>4</v>
      </c>
      <c r="C256" s="82" t="s">
        <v>326</v>
      </c>
      <c r="D256" s="306">
        <v>240000600201003</v>
      </c>
      <c r="E256" s="83" t="s">
        <v>42</v>
      </c>
      <c r="F256" s="83">
        <v>2024</v>
      </c>
      <c r="G256" s="83">
        <v>9</v>
      </c>
      <c r="H256" s="83" t="s">
        <v>279</v>
      </c>
      <c r="I256" s="84">
        <v>45706</v>
      </c>
      <c r="J256" s="85">
        <v>1</v>
      </c>
      <c r="K256" s="86">
        <v>1000</v>
      </c>
      <c r="L256" s="87">
        <v>1000</v>
      </c>
      <c r="M256" s="86">
        <v>1000000</v>
      </c>
      <c r="N256" s="15" t="s">
        <v>252</v>
      </c>
      <c r="O256" s="88">
        <v>45536</v>
      </c>
      <c r="P256" s="89">
        <v>2000</v>
      </c>
      <c r="Q256" s="83">
        <v>1</v>
      </c>
      <c r="R256" s="72">
        <v>2000</v>
      </c>
      <c r="S256" s="83" t="s">
        <v>270</v>
      </c>
      <c r="T256" s="83" t="s">
        <v>310</v>
      </c>
      <c r="U256" s="83" t="s">
        <v>274</v>
      </c>
      <c r="V256" s="51" t="s">
        <v>316</v>
      </c>
    </row>
    <row r="257" spans="1:22" ht="18.75" customHeight="1" x14ac:dyDescent="0.2">
      <c r="A257" s="83" t="s">
        <v>314</v>
      </c>
      <c r="B257" s="16" t="s">
        <v>4</v>
      </c>
      <c r="C257" s="82" t="s">
        <v>326</v>
      </c>
      <c r="D257" s="306">
        <v>240000600201003</v>
      </c>
      <c r="E257" s="83" t="s">
        <v>42</v>
      </c>
      <c r="F257" s="83">
        <v>2024</v>
      </c>
      <c r="G257" s="83">
        <v>9</v>
      </c>
      <c r="H257" s="83" t="s">
        <v>279</v>
      </c>
      <c r="I257" s="84">
        <v>45706</v>
      </c>
      <c r="J257" s="85">
        <v>1</v>
      </c>
      <c r="K257" s="86">
        <v>1000</v>
      </c>
      <c r="L257" s="87">
        <v>1000</v>
      </c>
      <c r="M257" s="86">
        <v>1000000</v>
      </c>
      <c r="N257" s="15" t="s">
        <v>252</v>
      </c>
      <c r="O257" s="88">
        <v>45536</v>
      </c>
      <c r="P257" s="89">
        <v>1500</v>
      </c>
      <c r="Q257" s="83">
        <v>1</v>
      </c>
      <c r="R257" s="72">
        <v>1500</v>
      </c>
      <c r="S257" s="83" t="s">
        <v>270</v>
      </c>
      <c r="T257" s="83" t="s">
        <v>310</v>
      </c>
      <c r="U257" s="83" t="s">
        <v>274</v>
      </c>
      <c r="V257" s="51" t="s">
        <v>316</v>
      </c>
    </row>
    <row r="258" spans="1:22" ht="18.75" customHeight="1" x14ac:dyDescent="0.2">
      <c r="A258" s="83" t="s">
        <v>314</v>
      </c>
      <c r="B258" s="16" t="s">
        <v>4</v>
      </c>
      <c r="C258" s="82" t="s">
        <v>326</v>
      </c>
      <c r="D258" s="306">
        <v>240000600201003</v>
      </c>
      <c r="E258" s="83" t="s">
        <v>42</v>
      </c>
      <c r="F258" s="83">
        <v>2024</v>
      </c>
      <c r="G258" s="83">
        <v>9</v>
      </c>
      <c r="H258" s="83" t="s">
        <v>279</v>
      </c>
      <c r="I258" s="84">
        <v>45706</v>
      </c>
      <c r="J258" s="85">
        <v>1</v>
      </c>
      <c r="K258" s="86">
        <v>1000</v>
      </c>
      <c r="L258" s="87">
        <v>25000</v>
      </c>
      <c r="M258" s="86">
        <v>1000000</v>
      </c>
      <c r="N258" s="15" t="s">
        <v>252</v>
      </c>
      <c r="O258" s="88">
        <v>45536</v>
      </c>
      <c r="P258" s="89">
        <v>3500</v>
      </c>
      <c r="Q258" s="83">
        <v>25</v>
      </c>
      <c r="R258" s="72">
        <v>87500</v>
      </c>
      <c r="S258" s="83" t="s">
        <v>270</v>
      </c>
      <c r="T258" s="83" t="s">
        <v>310</v>
      </c>
      <c r="U258" s="83" t="s">
        <v>274</v>
      </c>
      <c r="V258" s="51" t="s">
        <v>316</v>
      </c>
    </row>
    <row r="259" spans="1:22" ht="18.75" customHeight="1" x14ac:dyDescent="0.2">
      <c r="A259" s="83" t="s">
        <v>314</v>
      </c>
      <c r="B259" s="16" t="s">
        <v>4</v>
      </c>
      <c r="C259" s="82" t="s">
        <v>326</v>
      </c>
      <c r="D259" s="306">
        <v>240000600201003</v>
      </c>
      <c r="E259" s="83" t="s">
        <v>42</v>
      </c>
      <c r="F259" s="83">
        <v>2024</v>
      </c>
      <c r="G259" s="83">
        <v>9</v>
      </c>
      <c r="H259" s="83" t="s">
        <v>279</v>
      </c>
      <c r="I259" s="84">
        <v>45706</v>
      </c>
      <c r="J259" s="85">
        <v>1</v>
      </c>
      <c r="K259" s="86">
        <v>1000</v>
      </c>
      <c r="L259" s="87">
        <v>2000</v>
      </c>
      <c r="M259" s="86">
        <v>1000000</v>
      </c>
      <c r="N259" s="15" t="s">
        <v>252</v>
      </c>
      <c r="O259" s="88">
        <v>45536</v>
      </c>
      <c r="P259" s="89">
        <v>1500</v>
      </c>
      <c r="Q259" s="83">
        <v>2</v>
      </c>
      <c r="R259" s="72">
        <v>3000</v>
      </c>
      <c r="S259" s="83" t="s">
        <v>270</v>
      </c>
      <c r="T259" s="83" t="s">
        <v>310</v>
      </c>
      <c r="U259" s="83" t="s">
        <v>274</v>
      </c>
      <c r="V259" s="51" t="s">
        <v>316</v>
      </c>
    </row>
    <row r="260" spans="1:22" ht="18.75" customHeight="1" x14ac:dyDescent="0.2">
      <c r="A260" s="83" t="s">
        <v>314</v>
      </c>
      <c r="B260" s="16" t="s">
        <v>4</v>
      </c>
      <c r="C260" s="82" t="s">
        <v>326</v>
      </c>
      <c r="D260" s="306">
        <v>240000600201003</v>
      </c>
      <c r="E260" s="83" t="s">
        <v>42</v>
      </c>
      <c r="F260" s="83">
        <v>2024</v>
      </c>
      <c r="G260" s="83">
        <v>9</v>
      </c>
      <c r="H260" s="83" t="s">
        <v>279</v>
      </c>
      <c r="I260" s="84">
        <v>45706</v>
      </c>
      <c r="J260" s="85">
        <v>1</v>
      </c>
      <c r="K260" s="86">
        <v>1000</v>
      </c>
      <c r="L260" s="87">
        <v>1000</v>
      </c>
      <c r="M260" s="86">
        <v>1000000</v>
      </c>
      <c r="N260" s="15" t="s">
        <v>252</v>
      </c>
      <c r="O260" s="88">
        <v>45536</v>
      </c>
      <c r="P260" s="89">
        <v>1500</v>
      </c>
      <c r="Q260" s="83">
        <v>1</v>
      </c>
      <c r="R260" s="72">
        <v>1500</v>
      </c>
      <c r="S260" s="83" t="s">
        <v>270</v>
      </c>
      <c r="T260" s="83" t="s">
        <v>310</v>
      </c>
      <c r="U260" s="83" t="s">
        <v>274</v>
      </c>
      <c r="V260" s="51" t="s">
        <v>316</v>
      </c>
    </row>
    <row r="261" spans="1:22" ht="18.75" customHeight="1" x14ac:dyDescent="0.2">
      <c r="A261" s="83" t="s">
        <v>314</v>
      </c>
      <c r="B261" s="16" t="s">
        <v>4</v>
      </c>
      <c r="C261" s="82" t="s">
        <v>326</v>
      </c>
      <c r="D261" s="306">
        <v>240000600201003</v>
      </c>
      <c r="E261" s="83" t="s">
        <v>42</v>
      </c>
      <c r="F261" s="83">
        <v>2024</v>
      </c>
      <c r="G261" s="83">
        <v>9</v>
      </c>
      <c r="H261" s="83" t="s">
        <v>279</v>
      </c>
      <c r="I261" s="84">
        <v>45706</v>
      </c>
      <c r="J261" s="85">
        <v>1</v>
      </c>
      <c r="K261" s="86">
        <v>1000</v>
      </c>
      <c r="L261" s="87">
        <v>1000</v>
      </c>
      <c r="M261" s="86">
        <v>1000000</v>
      </c>
      <c r="N261" s="15" t="s">
        <v>252</v>
      </c>
      <c r="O261" s="88">
        <v>45536</v>
      </c>
      <c r="P261" s="89">
        <v>5000</v>
      </c>
      <c r="Q261" s="83">
        <v>1</v>
      </c>
      <c r="R261" s="72">
        <v>5000</v>
      </c>
      <c r="S261" s="83" t="s">
        <v>270</v>
      </c>
      <c r="T261" s="83" t="s">
        <v>310</v>
      </c>
      <c r="U261" s="83" t="s">
        <v>274</v>
      </c>
      <c r="V261" s="51" t="s">
        <v>316</v>
      </c>
    </row>
    <row r="262" spans="1:22" ht="18.75" customHeight="1" x14ac:dyDescent="0.2">
      <c r="A262" s="83" t="s">
        <v>314</v>
      </c>
      <c r="B262" s="16" t="s">
        <v>4</v>
      </c>
      <c r="C262" s="82" t="s">
        <v>326</v>
      </c>
      <c r="D262" s="306">
        <v>240000600201003</v>
      </c>
      <c r="E262" s="83" t="s">
        <v>42</v>
      </c>
      <c r="F262" s="83">
        <v>2024</v>
      </c>
      <c r="G262" s="83">
        <v>9</v>
      </c>
      <c r="H262" s="83" t="s">
        <v>279</v>
      </c>
      <c r="I262" s="84">
        <v>45706</v>
      </c>
      <c r="J262" s="85">
        <v>1</v>
      </c>
      <c r="K262" s="86">
        <v>1000</v>
      </c>
      <c r="L262" s="87">
        <v>1000</v>
      </c>
      <c r="M262" s="86">
        <v>1000000</v>
      </c>
      <c r="N262" s="15" t="s">
        <v>252</v>
      </c>
      <c r="O262" s="88">
        <v>45536</v>
      </c>
      <c r="P262" s="89">
        <v>1500</v>
      </c>
      <c r="Q262" s="83">
        <v>1</v>
      </c>
      <c r="R262" s="72">
        <v>1500</v>
      </c>
      <c r="S262" s="83" t="s">
        <v>270</v>
      </c>
      <c r="T262" s="83" t="s">
        <v>310</v>
      </c>
      <c r="U262" s="83" t="s">
        <v>274</v>
      </c>
      <c r="V262" s="51" t="s">
        <v>316</v>
      </c>
    </row>
    <row r="263" spans="1:22" ht="18.75" customHeight="1" x14ac:dyDescent="0.2">
      <c r="A263" s="83" t="s">
        <v>314</v>
      </c>
      <c r="B263" s="16" t="s">
        <v>4</v>
      </c>
      <c r="C263" s="82" t="s">
        <v>326</v>
      </c>
      <c r="D263" s="306">
        <v>240000600201003</v>
      </c>
      <c r="E263" s="83" t="s">
        <v>42</v>
      </c>
      <c r="F263" s="83">
        <v>2024</v>
      </c>
      <c r="G263" s="83">
        <v>9</v>
      </c>
      <c r="H263" s="83" t="s">
        <v>279</v>
      </c>
      <c r="I263" s="84">
        <v>45706</v>
      </c>
      <c r="J263" s="85">
        <v>1</v>
      </c>
      <c r="K263" s="86">
        <v>1000</v>
      </c>
      <c r="L263" s="87">
        <v>1000</v>
      </c>
      <c r="M263" s="86">
        <v>1000000</v>
      </c>
      <c r="N263" s="15" t="s">
        <v>252</v>
      </c>
      <c r="O263" s="88">
        <v>45536</v>
      </c>
      <c r="P263" s="89">
        <v>3500</v>
      </c>
      <c r="Q263" s="83">
        <v>1</v>
      </c>
      <c r="R263" s="72">
        <v>3500</v>
      </c>
      <c r="S263" s="83" t="s">
        <v>270</v>
      </c>
      <c r="T263" s="83" t="s">
        <v>310</v>
      </c>
      <c r="U263" s="83" t="s">
        <v>274</v>
      </c>
      <c r="V263" s="51" t="s">
        <v>316</v>
      </c>
    </row>
    <row r="264" spans="1:22" ht="18.75" customHeight="1" x14ac:dyDescent="0.2">
      <c r="A264" s="83" t="s">
        <v>314</v>
      </c>
      <c r="B264" s="16" t="s">
        <v>4</v>
      </c>
      <c r="C264" s="82" t="s">
        <v>326</v>
      </c>
      <c r="D264" s="306">
        <v>240000600201003</v>
      </c>
      <c r="E264" s="83" t="s">
        <v>42</v>
      </c>
      <c r="F264" s="83">
        <v>2024</v>
      </c>
      <c r="G264" s="83">
        <v>9</v>
      </c>
      <c r="H264" s="83" t="s">
        <v>279</v>
      </c>
      <c r="I264" s="84">
        <v>45706</v>
      </c>
      <c r="J264" s="85">
        <v>1</v>
      </c>
      <c r="K264" s="86">
        <v>1000</v>
      </c>
      <c r="L264" s="87">
        <v>1000</v>
      </c>
      <c r="M264" s="86">
        <v>1000000</v>
      </c>
      <c r="N264" s="15" t="s">
        <v>252</v>
      </c>
      <c r="O264" s="88">
        <v>45536</v>
      </c>
      <c r="P264" s="89">
        <v>1500</v>
      </c>
      <c r="Q264" s="83">
        <v>1</v>
      </c>
      <c r="R264" s="72">
        <v>1500</v>
      </c>
      <c r="S264" s="83" t="s">
        <v>270</v>
      </c>
      <c r="T264" s="83" t="s">
        <v>310</v>
      </c>
      <c r="U264" s="83" t="s">
        <v>274</v>
      </c>
      <c r="V264" s="51" t="s">
        <v>316</v>
      </c>
    </row>
    <row r="265" spans="1:22" ht="18.75" customHeight="1" x14ac:dyDescent="0.2">
      <c r="A265" s="83" t="s">
        <v>314</v>
      </c>
      <c r="B265" s="16" t="s">
        <v>4</v>
      </c>
      <c r="C265" s="82" t="s">
        <v>326</v>
      </c>
      <c r="D265" s="306">
        <v>240000600201003</v>
      </c>
      <c r="E265" s="83" t="s">
        <v>42</v>
      </c>
      <c r="F265" s="83">
        <v>2024</v>
      </c>
      <c r="G265" s="83">
        <v>9</v>
      </c>
      <c r="H265" s="83" t="s">
        <v>279</v>
      </c>
      <c r="I265" s="84">
        <v>45706</v>
      </c>
      <c r="J265" s="85">
        <v>1</v>
      </c>
      <c r="K265" s="86">
        <v>1000</v>
      </c>
      <c r="L265" s="87">
        <v>1000</v>
      </c>
      <c r="M265" s="86">
        <v>1000000</v>
      </c>
      <c r="N265" s="15" t="s">
        <v>252</v>
      </c>
      <c r="O265" s="88">
        <v>45536</v>
      </c>
      <c r="P265" s="89">
        <v>1500</v>
      </c>
      <c r="Q265" s="83">
        <v>1</v>
      </c>
      <c r="R265" s="72">
        <v>1500</v>
      </c>
      <c r="S265" s="83" t="s">
        <v>270</v>
      </c>
      <c r="T265" s="83" t="s">
        <v>310</v>
      </c>
      <c r="U265" s="83" t="s">
        <v>274</v>
      </c>
      <c r="V265" s="51" t="s">
        <v>316</v>
      </c>
    </row>
    <row r="266" spans="1:22" ht="18.75" customHeight="1" x14ac:dyDescent="0.2">
      <c r="A266" s="83" t="s">
        <v>314</v>
      </c>
      <c r="B266" s="16" t="s">
        <v>4</v>
      </c>
      <c r="C266" s="82" t="s">
        <v>326</v>
      </c>
      <c r="D266" s="306">
        <v>240000600201003</v>
      </c>
      <c r="E266" s="83" t="s">
        <v>42</v>
      </c>
      <c r="F266" s="83">
        <v>2024</v>
      </c>
      <c r="G266" s="83">
        <v>9</v>
      </c>
      <c r="H266" s="83" t="s">
        <v>279</v>
      </c>
      <c r="I266" s="84">
        <v>45706</v>
      </c>
      <c r="J266" s="85">
        <v>1</v>
      </c>
      <c r="K266" s="86">
        <v>1000</v>
      </c>
      <c r="L266" s="87">
        <v>1000</v>
      </c>
      <c r="M266" s="86">
        <v>1000000</v>
      </c>
      <c r="N266" s="15" t="s">
        <v>252</v>
      </c>
      <c r="O266" s="88">
        <v>45536</v>
      </c>
      <c r="P266" s="89">
        <v>500</v>
      </c>
      <c r="Q266" s="83">
        <v>1</v>
      </c>
      <c r="R266" s="72">
        <v>500</v>
      </c>
      <c r="S266" s="83" t="s">
        <v>270</v>
      </c>
      <c r="T266" s="83" t="s">
        <v>310</v>
      </c>
      <c r="U266" s="83" t="s">
        <v>274</v>
      </c>
      <c r="V266" s="51" t="s">
        <v>316</v>
      </c>
    </row>
    <row r="267" spans="1:22" ht="18.75" customHeight="1" x14ac:dyDescent="0.2">
      <c r="A267" s="83" t="s">
        <v>314</v>
      </c>
      <c r="B267" s="16" t="s">
        <v>4</v>
      </c>
      <c r="C267" s="82" t="s">
        <v>326</v>
      </c>
      <c r="D267" s="306">
        <v>240000600201003</v>
      </c>
      <c r="E267" s="83" t="s">
        <v>42</v>
      </c>
      <c r="F267" s="83">
        <v>2024</v>
      </c>
      <c r="G267" s="83">
        <v>9</v>
      </c>
      <c r="H267" s="83" t="s">
        <v>279</v>
      </c>
      <c r="I267" s="84">
        <v>45706</v>
      </c>
      <c r="J267" s="85">
        <v>1</v>
      </c>
      <c r="K267" s="86">
        <v>1000</v>
      </c>
      <c r="L267" s="87">
        <v>1000</v>
      </c>
      <c r="M267" s="86">
        <v>1000000</v>
      </c>
      <c r="N267" s="15" t="s">
        <v>252</v>
      </c>
      <c r="O267" s="88">
        <v>45536</v>
      </c>
      <c r="P267" s="89">
        <v>3000</v>
      </c>
      <c r="Q267" s="83">
        <v>1</v>
      </c>
      <c r="R267" s="72">
        <v>3000</v>
      </c>
      <c r="S267" s="83" t="s">
        <v>270</v>
      </c>
      <c r="T267" s="83" t="s">
        <v>310</v>
      </c>
      <c r="U267" s="83" t="s">
        <v>274</v>
      </c>
      <c r="V267" s="51" t="s">
        <v>316</v>
      </c>
    </row>
    <row r="268" spans="1:22" ht="18.75" customHeight="1" x14ac:dyDescent="0.2">
      <c r="A268" s="83" t="s">
        <v>314</v>
      </c>
      <c r="B268" s="16" t="s">
        <v>4</v>
      </c>
      <c r="C268" s="82" t="s">
        <v>327</v>
      </c>
      <c r="D268" s="306">
        <v>240000600201005</v>
      </c>
      <c r="E268" s="83" t="s">
        <v>42</v>
      </c>
      <c r="F268" s="83">
        <v>2024</v>
      </c>
      <c r="G268" s="83">
        <v>9</v>
      </c>
      <c r="H268" s="83" t="s">
        <v>279</v>
      </c>
      <c r="I268" s="84">
        <v>45706</v>
      </c>
      <c r="J268" s="85">
        <v>1</v>
      </c>
      <c r="K268" s="86">
        <v>1000</v>
      </c>
      <c r="L268" s="87">
        <v>2000</v>
      </c>
      <c r="M268" s="86">
        <v>1000000</v>
      </c>
      <c r="N268" s="15" t="s">
        <v>252</v>
      </c>
      <c r="O268" s="88">
        <v>45536</v>
      </c>
      <c r="P268" s="89">
        <v>2000</v>
      </c>
      <c r="Q268" s="83">
        <v>2</v>
      </c>
      <c r="R268" s="72">
        <v>4000</v>
      </c>
      <c r="S268" s="83" t="s">
        <v>270</v>
      </c>
      <c r="T268" s="83" t="s">
        <v>310</v>
      </c>
      <c r="U268" s="83" t="s">
        <v>274</v>
      </c>
      <c r="V268" s="51" t="s">
        <v>328</v>
      </c>
    </row>
    <row r="269" spans="1:22" ht="18.75" customHeight="1" x14ac:dyDescent="0.2">
      <c r="A269" s="83" t="s">
        <v>314</v>
      </c>
      <c r="B269" s="16" t="s">
        <v>4</v>
      </c>
      <c r="C269" s="82" t="s">
        <v>327</v>
      </c>
      <c r="D269" s="306">
        <v>240000600201005</v>
      </c>
      <c r="E269" s="83" t="s">
        <v>42</v>
      </c>
      <c r="F269" s="83">
        <v>2024</v>
      </c>
      <c r="G269" s="83">
        <v>9</v>
      </c>
      <c r="H269" s="83" t="s">
        <v>279</v>
      </c>
      <c r="I269" s="84">
        <v>45706</v>
      </c>
      <c r="J269" s="85">
        <v>1</v>
      </c>
      <c r="K269" s="86">
        <v>1000</v>
      </c>
      <c r="L269" s="87">
        <v>1000</v>
      </c>
      <c r="M269" s="86">
        <v>1000000</v>
      </c>
      <c r="N269" s="15" t="s">
        <v>252</v>
      </c>
      <c r="O269" s="88">
        <v>45536</v>
      </c>
      <c r="P269" s="89">
        <v>1500</v>
      </c>
      <c r="Q269" s="83">
        <v>1</v>
      </c>
      <c r="R269" s="72">
        <v>1500</v>
      </c>
      <c r="S269" s="83" t="s">
        <v>270</v>
      </c>
      <c r="T269" s="83" t="s">
        <v>310</v>
      </c>
      <c r="U269" s="83" t="s">
        <v>274</v>
      </c>
      <c r="V269" s="51" t="s">
        <v>328</v>
      </c>
    </row>
    <row r="270" spans="1:22" ht="18.75" customHeight="1" x14ac:dyDescent="0.2">
      <c r="A270" s="83" t="s">
        <v>314</v>
      </c>
      <c r="B270" s="16" t="s">
        <v>4</v>
      </c>
      <c r="C270" s="82" t="s">
        <v>327</v>
      </c>
      <c r="D270" s="306">
        <v>240000600201005</v>
      </c>
      <c r="E270" s="83" t="s">
        <v>42</v>
      </c>
      <c r="F270" s="83">
        <v>2024</v>
      </c>
      <c r="G270" s="83">
        <v>9</v>
      </c>
      <c r="H270" s="83" t="s">
        <v>279</v>
      </c>
      <c r="I270" s="84">
        <v>45706</v>
      </c>
      <c r="J270" s="85">
        <v>1</v>
      </c>
      <c r="K270" s="86">
        <v>1000</v>
      </c>
      <c r="L270" s="87">
        <v>10000</v>
      </c>
      <c r="M270" s="86">
        <v>1000000</v>
      </c>
      <c r="N270" s="15" t="s">
        <v>252</v>
      </c>
      <c r="O270" s="88">
        <v>45536</v>
      </c>
      <c r="P270" s="89">
        <v>3500</v>
      </c>
      <c r="Q270" s="83">
        <v>10</v>
      </c>
      <c r="R270" s="72">
        <v>35000</v>
      </c>
      <c r="S270" s="83" t="s">
        <v>270</v>
      </c>
      <c r="T270" s="83" t="s">
        <v>310</v>
      </c>
      <c r="U270" s="83" t="s">
        <v>274</v>
      </c>
      <c r="V270" s="51" t="s">
        <v>328</v>
      </c>
    </row>
    <row r="271" spans="1:22" ht="18.75" customHeight="1" x14ac:dyDescent="0.2">
      <c r="A271" s="83" t="s">
        <v>314</v>
      </c>
      <c r="B271" s="16" t="s">
        <v>4</v>
      </c>
      <c r="C271" s="82" t="s">
        <v>327</v>
      </c>
      <c r="D271" s="306">
        <v>240000600201005</v>
      </c>
      <c r="E271" s="83" t="s">
        <v>42</v>
      </c>
      <c r="F271" s="83">
        <v>2024</v>
      </c>
      <c r="G271" s="83">
        <v>9</v>
      </c>
      <c r="H271" s="83" t="s">
        <v>279</v>
      </c>
      <c r="I271" s="84">
        <v>45706</v>
      </c>
      <c r="J271" s="85">
        <v>1</v>
      </c>
      <c r="K271" s="86">
        <v>1000</v>
      </c>
      <c r="L271" s="87">
        <v>2000</v>
      </c>
      <c r="M271" s="86">
        <v>1000000</v>
      </c>
      <c r="N271" s="15" t="s">
        <v>252</v>
      </c>
      <c r="O271" s="88">
        <v>45536</v>
      </c>
      <c r="P271" s="89">
        <v>1500</v>
      </c>
      <c r="Q271" s="83">
        <v>2</v>
      </c>
      <c r="R271" s="72">
        <v>3000</v>
      </c>
      <c r="S271" s="83" t="s">
        <v>270</v>
      </c>
      <c r="T271" s="83" t="s">
        <v>310</v>
      </c>
      <c r="U271" s="83" t="s">
        <v>274</v>
      </c>
      <c r="V271" s="51" t="s">
        <v>328</v>
      </c>
    </row>
    <row r="272" spans="1:22" ht="18.75" customHeight="1" x14ac:dyDescent="0.2">
      <c r="A272" s="83" t="s">
        <v>314</v>
      </c>
      <c r="B272" s="16" t="s">
        <v>4</v>
      </c>
      <c r="C272" s="82" t="s">
        <v>327</v>
      </c>
      <c r="D272" s="306">
        <v>240000600201005</v>
      </c>
      <c r="E272" s="83" t="s">
        <v>42</v>
      </c>
      <c r="F272" s="83">
        <v>2024</v>
      </c>
      <c r="G272" s="83">
        <v>9</v>
      </c>
      <c r="H272" s="83" t="s">
        <v>279</v>
      </c>
      <c r="I272" s="84">
        <v>45706</v>
      </c>
      <c r="J272" s="85">
        <v>1</v>
      </c>
      <c r="K272" s="86">
        <v>1000</v>
      </c>
      <c r="L272" s="87">
        <v>1000</v>
      </c>
      <c r="M272" s="86">
        <v>1000000</v>
      </c>
      <c r="N272" s="15" t="s">
        <v>252</v>
      </c>
      <c r="O272" s="88">
        <v>45536</v>
      </c>
      <c r="P272" s="89">
        <v>1500</v>
      </c>
      <c r="Q272" s="83">
        <v>1</v>
      </c>
      <c r="R272" s="72">
        <v>1500</v>
      </c>
      <c r="S272" s="83" t="s">
        <v>270</v>
      </c>
      <c r="T272" s="83" t="s">
        <v>310</v>
      </c>
      <c r="U272" s="83" t="s">
        <v>274</v>
      </c>
      <c r="V272" s="51" t="s">
        <v>328</v>
      </c>
    </row>
    <row r="273" spans="1:22" ht="18.75" customHeight="1" x14ac:dyDescent="0.2">
      <c r="A273" s="83" t="s">
        <v>314</v>
      </c>
      <c r="B273" s="16" t="s">
        <v>4</v>
      </c>
      <c r="C273" s="82" t="s">
        <v>327</v>
      </c>
      <c r="D273" s="306">
        <v>240000600201005</v>
      </c>
      <c r="E273" s="83" t="s">
        <v>42</v>
      </c>
      <c r="F273" s="83">
        <v>2024</v>
      </c>
      <c r="G273" s="83">
        <v>9</v>
      </c>
      <c r="H273" s="83" t="s">
        <v>279</v>
      </c>
      <c r="I273" s="84">
        <v>45706</v>
      </c>
      <c r="J273" s="85">
        <v>1</v>
      </c>
      <c r="K273" s="86">
        <v>1000</v>
      </c>
      <c r="L273" s="87">
        <v>1000</v>
      </c>
      <c r="M273" s="86">
        <v>1000000</v>
      </c>
      <c r="N273" s="15" t="s">
        <v>252</v>
      </c>
      <c r="O273" s="88">
        <v>45536</v>
      </c>
      <c r="P273" s="89">
        <v>5000</v>
      </c>
      <c r="Q273" s="83">
        <v>1</v>
      </c>
      <c r="R273" s="72">
        <v>5000</v>
      </c>
      <c r="S273" s="83" t="s">
        <v>270</v>
      </c>
      <c r="T273" s="83" t="s">
        <v>310</v>
      </c>
      <c r="U273" s="83" t="s">
        <v>274</v>
      </c>
      <c r="V273" s="51" t="s">
        <v>328</v>
      </c>
    </row>
    <row r="274" spans="1:22" ht="18.75" customHeight="1" x14ac:dyDescent="0.2">
      <c r="A274" s="83" t="s">
        <v>314</v>
      </c>
      <c r="B274" s="16" t="s">
        <v>4</v>
      </c>
      <c r="C274" s="82" t="s">
        <v>327</v>
      </c>
      <c r="D274" s="306">
        <v>240000600201005</v>
      </c>
      <c r="E274" s="83" t="s">
        <v>42</v>
      </c>
      <c r="F274" s="83">
        <v>2024</v>
      </c>
      <c r="G274" s="83">
        <v>9</v>
      </c>
      <c r="H274" s="83" t="s">
        <v>279</v>
      </c>
      <c r="I274" s="84">
        <v>45706</v>
      </c>
      <c r="J274" s="85">
        <v>1</v>
      </c>
      <c r="K274" s="86">
        <v>1000</v>
      </c>
      <c r="L274" s="87">
        <v>1000</v>
      </c>
      <c r="M274" s="86">
        <v>1000000</v>
      </c>
      <c r="N274" s="15" t="s">
        <v>252</v>
      </c>
      <c r="O274" s="88">
        <v>45536</v>
      </c>
      <c r="P274" s="89">
        <v>1500</v>
      </c>
      <c r="Q274" s="83">
        <v>1</v>
      </c>
      <c r="R274" s="72">
        <v>1500</v>
      </c>
      <c r="S274" s="83" t="s">
        <v>270</v>
      </c>
      <c r="T274" s="83" t="s">
        <v>310</v>
      </c>
      <c r="U274" s="83" t="s">
        <v>274</v>
      </c>
      <c r="V274" s="51" t="s">
        <v>328</v>
      </c>
    </row>
    <row r="275" spans="1:22" ht="18.75" customHeight="1" x14ac:dyDescent="0.2">
      <c r="A275" s="83" t="s">
        <v>314</v>
      </c>
      <c r="B275" s="16" t="s">
        <v>4</v>
      </c>
      <c r="C275" s="82" t="s">
        <v>327</v>
      </c>
      <c r="D275" s="306">
        <v>240000600201005</v>
      </c>
      <c r="E275" s="83" t="s">
        <v>42</v>
      </c>
      <c r="F275" s="83">
        <v>2024</v>
      </c>
      <c r="G275" s="83">
        <v>9</v>
      </c>
      <c r="H275" s="83" t="s">
        <v>279</v>
      </c>
      <c r="I275" s="84">
        <v>45706</v>
      </c>
      <c r="J275" s="85">
        <v>1</v>
      </c>
      <c r="K275" s="86">
        <v>1000</v>
      </c>
      <c r="L275" s="87">
        <v>1000</v>
      </c>
      <c r="M275" s="86">
        <v>1000000</v>
      </c>
      <c r="N275" s="15" t="s">
        <v>252</v>
      </c>
      <c r="O275" s="88">
        <v>45536</v>
      </c>
      <c r="P275" s="89">
        <v>3500</v>
      </c>
      <c r="Q275" s="83">
        <v>1</v>
      </c>
      <c r="R275" s="72">
        <v>3500</v>
      </c>
      <c r="S275" s="83" t="s">
        <v>270</v>
      </c>
      <c r="T275" s="83" t="s">
        <v>310</v>
      </c>
      <c r="U275" s="83" t="s">
        <v>274</v>
      </c>
      <c r="V275" s="51" t="s">
        <v>328</v>
      </c>
    </row>
    <row r="276" spans="1:22" ht="18.75" customHeight="1" x14ac:dyDescent="0.2">
      <c r="A276" s="83" t="s">
        <v>314</v>
      </c>
      <c r="B276" s="16" t="s">
        <v>4</v>
      </c>
      <c r="C276" s="82" t="s">
        <v>327</v>
      </c>
      <c r="D276" s="306">
        <v>240000600201005</v>
      </c>
      <c r="E276" s="83" t="s">
        <v>42</v>
      </c>
      <c r="F276" s="83">
        <v>2024</v>
      </c>
      <c r="G276" s="83">
        <v>9</v>
      </c>
      <c r="H276" s="83" t="s">
        <v>279</v>
      </c>
      <c r="I276" s="84">
        <v>45706</v>
      </c>
      <c r="J276" s="85">
        <v>1</v>
      </c>
      <c r="K276" s="86">
        <v>1000</v>
      </c>
      <c r="L276" s="87">
        <v>1000</v>
      </c>
      <c r="M276" s="86">
        <v>1000000</v>
      </c>
      <c r="N276" s="15" t="s">
        <v>252</v>
      </c>
      <c r="O276" s="88">
        <v>45536</v>
      </c>
      <c r="P276" s="89">
        <v>1500</v>
      </c>
      <c r="Q276" s="83">
        <v>1</v>
      </c>
      <c r="R276" s="72">
        <v>1500</v>
      </c>
      <c r="S276" s="83" t="s">
        <v>270</v>
      </c>
      <c r="T276" s="83" t="s">
        <v>310</v>
      </c>
      <c r="U276" s="83" t="s">
        <v>274</v>
      </c>
      <c r="V276" s="51" t="s">
        <v>328</v>
      </c>
    </row>
    <row r="277" spans="1:22" ht="18.75" customHeight="1" x14ac:dyDescent="0.2">
      <c r="A277" s="83" t="s">
        <v>314</v>
      </c>
      <c r="B277" s="16" t="s">
        <v>4</v>
      </c>
      <c r="C277" s="82" t="s">
        <v>327</v>
      </c>
      <c r="D277" s="306">
        <v>240000600201005</v>
      </c>
      <c r="E277" s="83" t="s">
        <v>42</v>
      </c>
      <c r="F277" s="83">
        <v>2024</v>
      </c>
      <c r="G277" s="83">
        <v>9</v>
      </c>
      <c r="H277" s="83" t="s">
        <v>279</v>
      </c>
      <c r="I277" s="84">
        <v>45706</v>
      </c>
      <c r="J277" s="85">
        <v>1</v>
      </c>
      <c r="K277" s="86">
        <v>1000</v>
      </c>
      <c r="L277" s="87">
        <v>1000</v>
      </c>
      <c r="M277" s="86">
        <v>1000000</v>
      </c>
      <c r="N277" s="15" t="s">
        <v>252</v>
      </c>
      <c r="O277" s="88">
        <v>45536</v>
      </c>
      <c r="P277" s="89">
        <v>1500</v>
      </c>
      <c r="Q277" s="83">
        <v>1</v>
      </c>
      <c r="R277" s="72">
        <v>1500</v>
      </c>
      <c r="S277" s="83" t="s">
        <v>270</v>
      </c>
      <c r="T277" s="83" t="s">
        <v>310</v>
      </c>
      <c r="U277" s="83" t="s">
        <v>274</v>
      </c>
      <c r="V277" s="51" t="s">
        <v>328</v>
      </c>
    </row>
    <row r="278" spans="1:22" ht="18.75" customHeight="1" x14ac:dyDescent="0.2">
      <c r="A278" s="83" t="s">
        <v>314</v>
      </c>
      <c r="B278" s="16" t="s">
        <v>4</v>
      </c>
      <c r="C278" s="82" t="s">
        <v>327</v>
      </c>
      <c r="D278" s="306">
        <v>240000600201005</v>
      </c>
      <c r="E278" s="83" t="s">
        <v>42</v>
      </c>
      <c r="F278" s="83">
        <v>2024</v>
      </c>
      <c r="G278" s="83">
        <v>9</v>
      </c>
      <c r="H278" s="83" t="s">
        <v>279</v>
      </c>
      <c r="I278" s="84">
        <v>45706</v>
      </c>
      <c r="J278" s="85">
        <v>1</v>
      </c>
      <c r="K278" s="86">
        <v>1000</v>
      </c>
      <c r="L278" s="87">
        <v>1000</v>
      </c>
      <c r="M278" s="86">
        <v>1000000</v>
      </c>
      <c r="N278" s="15" t="s">
        <v>252</v>
      </c>
      <c r="O278" s="88">
        <v>45536</v>
      </c>
      <c r="P278" s="89">
        <v>500</v>
      </c>
      <c r="Q278" s="83">
        <v>1</v>
      </c>
      <c r="R278" s="72">
        <v>500</v>
      </c>
      <c r="S278" s="83" t="s">
        <v>270</v>
      </c>
      <c r="T278" s="83" t="s">
        <v>310</v>
      </c>
      <c r="U278" s="83" t="s">
        <v>274</v>
      </c>
      <c r="V278" s="51" t="s">
        <v>328</v>
      </c>
    </row>
    <row r="279" spans="1:22" ht="18.75" customHeight="1" x14ac:dyDescent="0.2">
      <c r="A279" s="83" t="s">
        <v>314</v>
      </c>
      <c r="B279" s="16" t="s">
        <v>4</v>
      </c>
      <c r="C279" s="82" t="s">
        <v>327</v>
      </c>
      <c r="D279" s="306">
        <v>240000600201005</v>
      </c>
      <c r="E279" s="83" t="s">
        <v>42</v>
      </c>
      <c r="F279" s="83">
        <v>2024</v>
      </c>
      <c r="G279" s="83">
        <v>9</v>
      </c>
      <c r="H279" s="83" t="s">
        <v>279</v>
      </c>
      <c r="I279" s="84">
        <v>45706</v>
      </c>
      <c r="J279" s="85">
        <v>1</v>
      </c>
      <c r="K279" s="86">
        <v>1000</v>
      </c>
      <c r="L279" s="87">
        <v>1000</v>
      </c>
      <c r="M279" s="86">
        <v>1000000</v>
      </c>
      <c r="N279" s="15" t="s">
        <v>252</v>
      </c>
      <c r="O279" s="88">
        <v>45536</v>
      </c>
      <c r="P279" s="89">
        <v>3000</v>
      </c>
      <c r="Q279" s="83">
        <v>1</v>
      </c>
      <c r="R279" s="72">
        <v>3000</v>
      </c>
      <c r="S279" s="83" t="s">
        <v>270</v>
      </c>
      <c r="T279" s="83" t="s">
        <v>310</v>
      </c>
      <c r="U279" s="83" t="s">
        <v>274</v>
      </c>
      <c r="V279" s="51" t="s">
        <v>328</v>
      </c>
    </row>
    <row r="280" spans="1:22" ht="18.75" customHeight="1" x14ac:dyDescent="0.2">
      <c r="A280" s="83" t="s">
        <v>314</v>
      </c>
      <c r="B280" s="16" t="s">
        <v>4</v>
      </c>
      <c r="C280" s="82" t="s">
        <v>303</v>
      </c>
      <c r="D280" s="306">
        <v>240000600201008</v>
      </c>
      <c r="E280" s="83" t="s">
        <v>42</v>
      </c>
      <c r="F280" s="83">
        <v>2024</v>
      </c>
      <c r="G280" s="83">
        <v>9</v>
      </c>
      <c r="H280" s="83" t="s">
        <v>279</v>
      </c>
      <c r="I280" s="84">
        <v>45706</v>
      </c>
      <c r="J280" s="85">
        <v>1</v>
      </c>
      <c r="K280" s="86">
        <v>1000</v>
      </c>
      <c r="L280" s="87">
        <v>1000</v>
      </c>
      <c r="M280" s="86">
        <v>1000000</v>
      </c>
      <c r="N280" s="15" t="s">
        <v>252</v>
      </c>
      <c r="O280" s="88">
        <v>45536</v>
      </c>
      <c r="P280" s="89">
        <v>2000</v>
      </c>
      <c r="Q280" s="83">
        <v>1</v>
      </c>
      <c r="R280" s="72">
        <v>2000</v>
      </c>
      <c r="S280" s="83" t="s">
        <v>270</v>
      </c>
      <c r="T280" s="83" t="s">
        <v>310</v>
      </c>
      <c r="U280" s="83" t="s">
        <v>274</v>
      </c>
      <c r="V280" s="51" t="s">
        <v>328</v>
      </c>
    </row>
    <row r="281" spans="1:22" ht="18.75" customHeight="1" x14ac:dyDescent="0.2">
      <c r="A281" s="83" t="s">
        <v>314</v>
      </c>
      <c r="B281" s="16" t="s">
        <v>4</v>
      </c>
      <c r="C281" s="82" t="s">
        <v>303</v>
      </c>
      <c r="D281" s="306">
        <v>240000600201008</v>
      </c>
      <c r="E281" s="83" t="s">
        <v>42</v>
      </c>
      <c r="F281" s="83">
        <v>2024</v>
      </c>
      <c r="G281" s="83">
        <v>9</v>
      </c>
      <c r="H281" s="83" t="s">
        <v>279</v>
      </c>
      <c r="I281" s="84">
        <v>45706</v>
      </c>
      <c r="J281" s="85">
        <v>1</v>
      </c>
      <c r="K281" s="86">
        <v>1000</v>
      </c>
      <c r="L281" s="87">
        <v>1000</v>
      </c>
      <c r="M281" s="86">
        <v>1000000</v>
      </c>
      <c r="N281" s="15" t="s">
        <v>252</v>
      </c>
      <c r="O281" s="88">
        <v>45536</v>
      </c>
      <c r="P281" s="89">
        <v>3500</v>
      </c>
      <c r="Q281" s="83">
        <v>1</v>
      </c>
      <c r="R281" s="72">
        <v>3500</v>
      </c>
      <c r="S281" s="83" t="s">
        <v>270</v>
      </c>
      <c r="T281" s="83" t="s">
        <v>310</v>
      </c>
      <c r="U281" s="83" t="s">
        <v>274</v>
      </c>
      <c r="V281" s="51" t="s">
        <v>328</v>
      </c>
    </row>
    <row r="282" spans="1:22" ht="18.75" customHeight="1" x14ac:dyDescent="0.2">
      <c r="A282" s="83" t="s">
        <v>314</v>
      </c>
      <c r="B282" s="16" t="s">
        <v>4</v>
      </c>
      <c r="C282" s="82" t="s">
        <v>303</v>
      </c>
      <c r="D282" s="306">
        <v>240000600201008</v>
      </c>
      <c r="E282" s="83" t="s">
        <v>42</v>
      </c>
      <c r="F282" s="83">
        <v>2024</v>
      </c>
      <c r="G282" s="83">
        <v>9</v>
      </c>
      <c r="H282" s="83" t="s">
        <v>279</v>
      </c>
      <c r="I282" s="84">
        <v>45706</v>
      </c>
      <c r="J282" s="85">
        <v>1</v>
      </c>
      <c r="K282" s="86">
        <v>1000</v>
      </c>
      <c r="L282" s="87">
        <v>1000</v>
      </c>
      <c r="M282" s="86">
        <v>1000000</v>
      </c>
      <c r="N282" s="15" t="s">
        <v>252</v>
      </c>
      <c r="O282" s="88">
        <v>45536</v>
      </c>
      <c r="P282" s="89">
        <v>1500</v>
      </c>
      <c r="Q282" s="83">
        <v>1</v>
      </c>
      <c r="R282" s="72">
        <v>1500</v>
      </c>
      <c r="S282" s="83" t="s">
        <v>270</v>
      </c>
      <c r="T282" s="83" t="s">
        <v>310</v>
      </c>
      <c r="U282" s="83" t="s">
        <v>274</v>
      </c>
      <c r="V282" s="51" t="s">
        <v>328</v>
      </c>
    </row>
    <row r="283" spans="1:22" ht="18.75" customHeight="1" x14ac:dyDescent="0.2">
      <c r="A283" s="83" t="s">
        <v>314</v>
      </c>
      <c r="B283" s="16" t="s">
        <v>4</v>
      </c>
      <c r="C283" s="82" t="s">
        <v>303</v>
      </c>
      <c r="D283" s="306">
        <v>240000600201008</v>
      </c>
      <c r="E283" s="83" t="s">
        <v>42</v>
      </c>
      <c r="F283" s="83">
        <v>2024</v>
      </c>
      <c r="G283" s="83">
        <v>9</v>
      </c>
      <c r="H283" s="83" t="s">
        <v>279</v>
      </c>
      <c r="I283" s="84">
        <v>45706</v>
      </c>
      <c r="J283" s="85">
        <v>1</v>
      </c>
      <c r="K283" s="86">
        <v>1000</v>
      </c>
      <c r="L283" s="87">
        <v>1000</v>
      </c>
      <c r="M283" s="86">
        <v>1000000</v>
      </c>
      <c r="N283" s="15" t="s">
        <v>252</v>
      </c>
      <c r="O283" s="88">
        <v>45536</v>
      </c>
      <c r="P283" s="89">
        <v>1500</v>
      </c>
      <c r="Q283" s="83">
        <v>1</v>
      </c>
      <c r="R283" s="72">
        <v>1500</v>
      </c>
      <c r="S283" s="83" t="s">
        <v>270</v>
      </c>
      <c r="T283" s="83" t="s">
        <v>310</v>
      </c>
      <c r="U283" s="83" t="s">
        <v>274</v>
      </c>
      <c r="V283" s="51" t="s">
        <v>328</v>
      </c>
    </row>
    <row r="284" spans="1:22" ht="18.75" customHeight="1" x14ac:dyDescent="0.2">
      <c r="A284" s="83" t="s">
        <v>314</v>
      </c>
      <c r="B284" s="16" t="s">
        <v>4</v>
      </c>
      <c r="C284" s="82" t="s">
        <v>303</v>
      </c>
      <c r="D284" s="306">
        <v>240000600201008</v>
      </c>
      <c r="E284" s="83" t="s">
        <v>42</v>
      </c>
      <c r="F284" s="83">
        <v>2024</v>
      </c>
      <c r="G284" s="83">
        <v>9</v>
      </c>
      <c r="H284" s="83" t="s">
        <v>279</v>
      </c>
      <c r="I284" s="84">
        <v>45706</v>
      </c>
      <c r="J284" s="85">
        <v>1</v>
      </c>
      <c r="K284" s="86">
        <v>1000</v>
      </c>
      <c r="L284" s="87">
        <v>1000</v>
      </c>
      <c r="M284" s="86">
        <v>1000000</v>
      </c>
      <c r="N284" s="15" t="s">
        <v>252</v>
      </c>
      <c r="O284" s="88">
        <v>45536</v>
      </c>
      <c r="P284" s="89">
        <v>1500</v>
      </c>
      <c r="Q284" s="83">
        <v>1</v>
      </c>
      <c r="R284" s="72">
        <v>1500</v>
      </c>
      <c r="S284" s="83" t="s">
        <v>270</v>
      </c>
      <c r="T284" s="83" t="s">
        <v>310</v>
      </c>
      <c r="U284" s="83" t="s">
        <v>274</v>
      </c>
      <c r="V284" s="51" t="s">
        <v>328</v>
      </c>
    </row>
    <row r="285" spans="1:22" ht="18.75" customHeight="1" x14ac:dyDescent="0.2">
      <c r="A285" s="83" t="s">
        <v>314</v>
      </c>
      <c r="B285" s="16" t="s">
        <v>4</v>
      </c>
      <c r="C285" s="82" t="s">
        <v>303</v>
      </c>
      <c r="D285" s="306">
        <v>240000600201008</v>
      </c>
      <c r="E285" s="83" t="s">
        <v>42</v>
      </c>
      <c r="F285" s="83">
        <v>2024</v>
      </c>
      <c r="G285" s="83">
        <v>9</v>
      </c>
      <c r="H285" s="83" t="s">
        <v>279</v>
      </c>
      <c r="I285" s="84">
        <v>45706</v>
      </c>
      <c r="J285" s="85">
        <v>1</v>
      </c>
      <c r="K285" s="86">
        <v>1000</v>
      </c>
      <c r="L285" s="87">
        <v>1000</v>
      </c>
      <c r="M285" s="86">
        <v>1000000</v>
      </c>
      <c r="N285" s="15" t="s">
        <v>252</v>
      </c>
      <c r="O285" s="88">
        <v>45536</v>
      </c>
      <c r="P285" s="89">
        <v>5000</v>
      </c>
      <c r="Q285" s="83">
        <v>1</v>
      </c>
      <c r="R285" s="72">
        <v>5000</v>
      </c>
      <c r="S285" s="83" t="s">
        <v>270</v>
      </c>
      <c r="T285" s="83" t="s">
        <v>310</v>
      </c>
      <c r="U285" s="83" t="s">
        <v>274</v>
      </c>
      <c r="V285" s="51" t="s">
        <v>328</v>
      </c>
    </row>
    <row r="286" spans="1:22" ht="18.75" customHeight="1" x14ac:dyDescent="0.2">
      <c r="A286" s="83" t="s">
        <v>314</v>
      </c>
      <c r="B286" s="16" t="s">
        <v>4</v>
      </c>
      <c r="C286" s="82" t="s">
        <v>303</v>
      </c>
      <c r="D286" s="306">
        <v>240000600201008</v>
      </c>
      <c r="E286" s="83" t="s">
        <v>42</v>
      </c>
      <c r="F286" s="83">
        <v>2024</v>
      </c>
      <c r="G286" s="83">
        <v>9</v>
      </c>
      <c r="H286" s="83" t="s">
        <v>279</v>
      </c>
      <c r="I286" s="84">
        <v>45706</v>
      </c>
      <c r="J286" s="85">
        <v>1</v>
      </c>
      <c r="K286" s="86">
        <v>1000</v>
      </c>
      <c r="L286" s="87">
        <v>3000</v>
      </c>
      <c r="M286" s="86">
        <v>1000000</v>
      </c>
      <c r="N286" s="15" t="s">
        <v>252</v>
      </c>
      <c r="O286" s="88">
        <v>45536</v>
      </c>
      <c r="P286" s="89">
        <v>3500</v>
      </c>
      <c r="Q286" s="83">
        <v>3</v>
      </c>
      <c r="R286" s="72">
        <v>10500</v>
      </c>
      <c r="S286" s="83" t="s">
        <v>270</v>
      </c>
      <c r="T286" s="83" t="s">
        <v>310</v>
      </c>
      <c r="U286" s="83" t="s">
        <v>274</v>
      </c>
      <c r="V286" s="51" t="s">
        <v>328</v>
      </c>
    </row>
    <row r="287" spans="1:22" ht="18.75" customHeight="1" x14ac:dyDescent="0.2">
      <c r="A287" s="83" t="s">
        <v>314</v>
      </c>
      <c r="B287" s="16" t="s">
        <v>4</v>
      </c>
      <c r="C287" s="82" t="s">
        <v>303</v>
      </c>
      <c r="D287" s="306">
        <v>240000600201008</v>
      </c>
      <c r="E287" s="83" t="s">
        <v>42</v>
      </c>
      <c r="F287" s="83">
        <v>2024</v>
      </c>
      <c r="G287" s="83">
        <v>9</v>
      </c>
      <c r="H287" s="83" t="s">
        <v>279</v>
      </c>
      <c r="I287" s="84">
        <v>45706</v>
      </c>
      <c r="J287" s="85">
        <v>1</v>
      </c>
      <c r="K287" s="86">
        <v>1000</v>
      </c>
      <c r="L287" s="87">
        <v>1000</v>
      </c>
      <c r="M287" s="86">
        <v>1000000</v>
      </c>
      <c r="N287" s="15" t="s">
        <v>252</v>
      </c>
      <c r="O287" s="88">
        <v>45536</v>
      </c>
      <c r="P287" s="89">
        <v>1500</v>
      </c>
      <c r="Q287" s="83">
        <v>1</v>
      </c>
      <c r="R287" s="72">
        <v>1500</v>
      </c>
      <c r="S287" s="83" t="s">
        <v>270</v>
      </c>
      <c r="T287" s="83" t="s">
        <v>310</v>
      </c>
      <c r="U287" s="83" t="s">
        <v>274</v>
      </c>
      <c r="V287" s="51" t="s">
        <v>328</v>
      </c>
    </row>
    <row r="288" spans="1:22" ht="18.75" customHeight="1" x14ac:dyDescent="0.2">
      <c r="A288" s="83" t="s">
        <v>314</v>
      </c>
      <c r="B288" s="16" t="s">
        <v>4</v>
      </c>
      <c r="C288" s="82" t="s">
        <v>303</v>
      </c>
      <c r="D288" s="306">
        <v>240000600201008</v>
      </c>
      <c r="E288" s="83" t="s">
        <v>42</v>
      </c>
      <c r="F288" s="83">
        <v>2024</v>
      </c>
      <c r="G288" s="83">
        <v>9</v>
      </c>
      <c r="H288" s="83" t="s">
        <v>279</v>
      </c>
      <c r="I288" s="84">
        <v>45706</v>
      </c>
      <c r="J288" s="85">
        <v>1</v>
      </c>
      <c r="K288" s="86">
        <v>1000</v>
      </c>
      <c r="L288" s="87">
        <v>1000</v>
      </c>
      <c r="M288" s="86">
        <v>1000000</v>
      </c>
      <c r="N288" s="15" t="s">
        <v>252</v>
      </c>
      <c r="O288" s="88">
        <v>45536</v>
      </c>
      <c r="P288" s="89">
        <v>1500</v>
      </c>
      <c r="Q288" s="83">
        <v>1</v>
      </c>
      <c r="R288" s="72">
        <v>1500</v>
      </c>
      <c r="S288" s="83" t="s">
        <v>270</v>
      </c>
      <c r="T288" s="83" t="s">
        <v>310</v>
      </c>
      <c r="U288" s="83" t="s">
        <v>274</v>
      </c>
      <c r="V288" s="51" t="s">
        <v>328</v>
      </c>
    </row>
    <row r="289" spans="1:22" ht="18.75" customHeight="1" x14ac:dyDescent="0.2">
      <c r="A289" s="83" t="s">
        <v>314</v>
      </c>
      <c r="B289" s="16" t="s">
        <v>4</v>
      </c>
      <c r="C289" s="82" t="s">
        <v>303</v>
      </c>
      <c r="D289" s="306">
        <v>240000600201008</v>
      </c>
      <c r="E289" s="83" t="s">
        <v>42</v>
      </c>
      <c r="F289" s="83">
        <v>2024</v>
      </c>
      <c r="G289" s="83">
        <v>9</v>
      </c>
      <c r="H289" s="83" t="s">
        <v>279</v>
      </c>
      <c r="I289" s="84">
        <v>45706</v>
      </c>
      <c r="J289" s="85">
        <v>1</v>
      </c>
      <c r="K289" s="86">
        <v>1000</v>
      </c>
      <c r="L289" s="87">
        <v>1000</v>
      </c>
      <c r="M289" s="86">
        <v>1000000</v>
      </c>
      <c r="N289" s="15" t="s">
        <v>252</v>
      </c>
      <c r="O289" s="88">
        <v>45536</v>
      </c>
      <c r="P289" s="89">
        <v>1500</v>
      </c>
      <c r="Q289" s="83">
        <v>1</v>
      </c>
      <c r="R289" s="72">
        <v>1500</v>
      </c>
      <c r="S289" s="83" t="s">
        <v>270</v>
      </c>
      <c r="T289" s="83" t="s">
        <v>310</v>
      </c>
      <c r="U289" s="83" t="s">
        <v>274</v>
      </c>
      <c r="V289" s="51" t="s">
        <v>328</v>
      </c>
    </row>
    <row r="290" spans="1:22" ht="18.75" customHeight="1" x14ac:dyDescent="0.2">
      <c r="A290" s="83" t="s">
        <v>314</v>
      </c>
      <c r="B290" s="16" t="s">
        <v>4</v>
      </c>
      <c r="C290" s="82" t="s">
        <v>303</v>
      </c>
      <c r="D290" s="306">
        <v>240000600201008</v>
      </c>
      <c r="E290" s="83" t="s">
        <v>42</v>
      </c>
      <c r="F290" s="83">
        <v>2024</v>
      </c>
      <c r="G290" s="83">
        <v>9</v>
      </c>
      <c r="H290" s="83" t="s">
        <v>279</v>
      </c>
      <c r="I290" s="84">
        <v>45706</v>
      </c>
      <c r="J290" s="85">
        <v>1</v>
      </c>
      <c r="K290" s="86">
        <v>1000</v>
      </c>
      <c r="L290" s="87">
        <v>1000</v>
      </c>
      <c r="M290" s="86">
        <v>1000000</v>
      </c>
      <c r="N290" s="15" t="s">
        <v>252</v>
      </c>
      <c r="O290" s="88">
        <v>45536</v>
      </c>
      <c r="P290" s="89">
        <v>2500</v>
      </c>
      <c r="Q290" s="83">
        <v>1</v>
      </c>
      <c r="R290" s="72">
        <v>2500</v>
      </c>
      <c r="S290" s="83" t="s">
        <v>270</v>
      </c>
      <c r="T290" s="83" t="s">
        <v>310</v>
      </c>
      <c r="U290" s="83" t="s">
        <v>274</v>
      </c>
      <c r="V290" s="51" t="s">
        <v>328</v>
      </c>
    </row>
    <row r="291" spans="1:22" ht="18.75" customHeight="1" x14ac:dyDescent="0.2">
      <c r="A291" s="83" t="s">
        <v>314</v>
      </c>
      <c r="B291" s="16" t="s">
        <v>4</v>
      </c>
      <c r="C291" s="82" t="s">
        <v>303</v>
      </c>
      <c r="D291" s="306">
        <v>240000600201008</v>
      </c>
      <c r="E291" s="83" t="s">
        <v>42</v>
      </c>
      <c r="F291" s="83">
        <v>2024</v>
      </c>
      <c r="G291" s="83">
        <v>9</v>
      </c>
      <c r="H291" s="83" t="s">
        <v>279</v>
      </c>
      <c r="I291" s="84">
        <v>45706</v>
      </c>
      <c r="J291" s="85">
        <v>1</v>
      </c>
      <c r="K291" s="86">
        <v>1000</v>
      </c>
      <c r="L291" s="87">
        <v>1000</v>
      </c>
      <c r="M291" s="86">
        <v>1000000</v>
      </c>
      <c r="N291" s="15" t="s">
        <v>252</v>
      </c>
      <c r="O291" s="88">
        <v>45536</v>
      </c>
      <c r="P291" s="89">
        <v>1000</v>
      </c>
      <c r="Q291" s="83">
        <v>1</v>
      </c>
      <c r="R291" s="72">
        <v>1000</v>
      </c>
      <c r="S291" s="83" t="s">
        <v>270</v>
      </c>
      <c r="T291" s="83" t="s">
        <v>310</v>
      </c>
      <c r="U291" s="83" t="s">
        <v>274</v>
      </c>
      <c r="V291" s="51" t="s">
        <v>328</v>
      </c>
    </row>
    <row r="292" spans="1:22" ht="18.75" customHeight="1" x14ac:dyDescent="0.2">
      <c r="A292" s="83" t="s">
        <v>314</v>
      </c>
      <c r="B292" s="16" t="s">
        <v>4</v>
      </c>
      <c r="C292" s="82" t="s">
        <v>303</v>
      </c>
      <c r="D292" s="306">
        <v>240000600201008</v>
      </c>
      <c r="E292" s="83" t="s">
        <v>42</v>
      </c>
      <c r="F292" s="83">
        <v>2024</v>
      </c>
      <c r="G292" s="83">
        <v>9</v>
      </c>
      <c r="H292" s="83" t="s">
        <v>279</v>
      </c>
      <c r="I292" s="84">
        <v>45706</v>
      </c>
      <c r="J292" s="85">
        <v>1</v>
      </c>
      <c r="K292" s="86">
        <v>1000</v>
      </c>
      <c r="L292" s="87">
        <v>5000</v>
      </c>
      <c r="M292" s="86">
        <v>1000000</v>
      </c>
      <c r="N292" s="15" t="s">
        <v>252</v>
      </c>
      <c r="O292" s="88">
        <v>45536</v>
      </c>
      <c r="P292" s="89">
        <v>3500</v>
      </c>
      <c r="Q292" s="83">
        <v>5</v>
      </c>
      <c r="R292" s="72">
        <v>17500</v>
      </c>
      <c r="S292" s="83" t="s">
        <v>270</v>
      </c>
      <c r="T292" s="83" t="s">
        <v>310</v>
      </c>
      <c r="U292" s="83" t="s">
        <v>274</v>
      </c>
      <c r="V292" s="51" t="s">
        <v>328</v>
      </c>
    </row>
    <row r="293" spans="1:22" ht="18.75" customHeight="1" x14ac:dyDescent="0.2">
      <c r="A293" s="83" t="s">
        <v>314</v>
      </c>
      <c r="B293" s="16" t="s">
        <v>4</v>
      </c>
      <c r="C293" s="82" t="s">
        <v>303</v>
      </c>
      <c r="D293" s="306">
        <v>240000600201008</v>
      </c>
      <c r="E293" s="83" t="s">
        <v>42</v>
      </c>
      <c r="F293" s="83">
        <v>2024</v>
      </c>
      <c r="G293" s="83">
        <v>9</v>
      </c>
      <c r="H293" s="83" t="s">
        <v>279</v>
      </c>
      <c r="I293" s="84">
        <v>45706</v>
      </c>
      <c r="J293" s="85">
        <v>1</v>
      </c>
      <c r="K293" s="86">
        <v>1000</v>
      </c>
      <c r="L293" s="87">
        <v>1000</v>
      </c>
      <c r="M293" s="86">
        <v>1000000</v>
      </c>
      <c r="N293" s="15" t="s">
        <v>252</v>
      </c>
      <c r="O293" s="88">
        <v>45536</v>
      </c>
      <c r="P293" s="89">
        <v>3000</v>
      </c>
      <c r="Q293" s="83">
        <v>1</v>
      </c>
      <c r="R293" s="72">
        <v>3000</v>
      </c>
      <c r="S293" s="83" t="s">
        <v>270</v>
      </c>
      <c r="T293" s="83" t="s">
        <v>310</v>
      </c>
      <c r="U293" s="83" t="s">
        <v>274</v>
      </c>
      <c r="V293" s="51" t="s">
        <v>328</v>
      </c>
    </row>
    <row r="294" spans="1:22" ht="18.75" customHeight="1" x14ac:dyDescent="0.2">
      <c r="A294" s="83" t="s">
        <v>314</v>
      </c>
      <c r="B294" s="16" t="s">
        <v>4</v>
      </c>
      <c r="C294" s="82" t="s">
        <v>324</v>
      </c>
      <c r="D294" s="306">
        <v>240000600201007</v>
      </c>
      <c r="E294" s="83" t="s">
        <v>42</v>
      </c>
      <c r="F294" s="83">
        <v>2024</v>
      </c>
      <c r="G294" s="83">
        <v>9</v>
      </c>
      <c r="H294" s="83" t="s">
        <v>279</v>
      </c>
      <c r="I294" s="84">
        <v>45706</v>
      </c>
      <c r="J294" s="85">
        <v>1</v>
      </c>
      <c r="K294" s="86">
        <v>1000</v>
      </c>
      <c r="L294" s="87">
        <v>1000</v>
      </c>
      <c r="M294" s="86">
        <v>1000000</v>
      </c>
      <c r="N294" s="15" t="s">
        <v>252</v>
      </c>
      <c r="O294" s="88">
        <v>45536</v>
      </c>
      <c r="P294" s="89">
        <v>8000</v>
      </c>
      <c r="Q294" s="83">
        <v>1</v>
      </c>
      <c r="R294" s="72">
        <v>8000</v>
      </c>
      <c r="S294" s="83" t="s">
        <v>270</v>
      </c>
      <c r="T294" s="83" t="s">
        <v>310</v>
      </c>
      <c r="U294" s="83" t="s">
        <v>274</v>
      </c>
      <c r="V294" s="51" t="s">
        <v>328</v>
      </c>
    </row>
    <row r="295" spans="1:22" ht="18.75" customHeight="1" x14ac:dyDescent="0.2">
      <c r="A295" s="83" t="s">
        <v>314</v>
      </c>
      <c r="B295" s="16" t="s">
        <v>4</v>
      </c>
      <c r="C295" s="82" t="s">
        <v>324</v>
      </c>
      <c r="D295" s="306">
        <v>240000600201007</v>
      </c>
      <c r="E295" s="83" t="s">
        <v>42</v>
      </c>
      <c r="F295" s="83">
        <v>2024</v>
      </c>
      <c r="G295" s="83">
        <v>9</v>
      </c>
      <c r="H295" s="83" t="s">
        <v>279</v>
      </c>
      <c r="I295" s="84">
        <v>45706</v>
      </c>
      <c r="J295" s="85">
        <v>1</v>
      </c>
      <c r="K295" s="86">
        <v>1000</v>
      </c>
      <c r="L295" s="87">
        <v>2000</v>
      </c>
      <c r="M295" s="86">
        <v>1000000</v>
      </c>
      <c r="N295" s="15" t="s">
        <v>252</v>
      </c>
      <c r="O295" s="88">
        <v>45536</v>
      </c>
      <c r="P295" s="89">
        <v>2500</v>
      </c>
      <c r="Q295" s="83">
        <v>2</v>
      </c>
      <c r="R295" s="72">
        <v>5000</v>
      </c>
      <c r="S295" s="83" t="s">
        <v>270</v>
      </c>
      <c r="T295" s="83" t="s">
        <v>310</v>
      </c>
      <c r="U295" s="83" t="s">
        <v>274</v>
      </c>
      <c r="V295" s="51" t="s">
        <v>328</v>
      </c>
    </row>
    <row r="296" spans="1:22" ht="18.75" customHeight="1" x14ac:dyDescent="0.2">
      <c r="A296" s="83" t="s">
        <v>314</v>
      </c>
      <c r="B296" s="16" t="s">
        <v>4</v>
      </c>
      <c r="C296" s="82" t="s">
        <v>324</v>
      </c>
      <c r="D296" s="306">
        <v>240000600201007</v>
      </c>
      <c r="E296" s="83" t="s">
        <v>42</v>
      </c>
      <c r="F296" s="83">
        <v>2024</v>
      </c>
      <c r="G296" s="83">
        <v>9</v>
      </c>
      <c r="H296" s="83" t="s">
        <v>279</v>
      </c>
      <c r="I296" s="84">
        <v>45706</v>
      </c>
      <c r="J296" s="85">
        <v>1</v>
      </c>
      <c r="K296" s="86">
        <v>1000</v>
      </c>
      <c r="L296" s="87">
        <v>1000</v>
      </c>
      <c r="M296" s="86">
        <v>1000000</v>
      </c>
      <c r="N296" s="15" t="s">
        <v>252</v>
      </c>
      <c r="O296" s="88">
        <v>45536</v>
      </c>
      <c r="P296" s="89">
        <v>2500</v>
      </c>
      <c r="Q296" s="83">
        <v>1</v>
      </c>
      <c r="R296" s="72">
        <v>2500</v>
      </c>
      <c r="S296" s="83" t="s">
        <v>270</v>
      </c>
      <c r="T296" s="83" t="s">
        <v>310</v>
      </c>
      <c r="U296" s="83" t="s">
        <v>274</v>
      </c>
      <c r="V296" s="51" t="s">
        <v>328</v>
      </c>
    </row>
    <row r="297" spans="1:22" ht="18.75" customHeight="1" x14ac:dyDescent="0.2">
      <c r="A297" s="83" t="s">
        <v>314</v>
      </c>
      <c r="B297" s="16" t="s">
        <v>4</v>
      </c>
      <c r="C297" s="82" t="s">
        <v>324</v>
      </c>
      <c r="D297" s="306">
        <v>240000600201007</v>
      </c>
      <c r="E297" s="83" t="s">
        <v>42</v>
      </c>
      <c r="F297" s="83">
        <v>2024</v>
      </c>
      <c r="G297" s="83">
        <v>9</v>
      </c>
      <c r="H297" s="83" t="s">
        <v>279</v>
      </c>
      <c r="I297" s="84">
        <v>45706</v>
      </c>
      <c r="J297" s="85">
        <v>1</v>
      </c>
      <c r="K297" s="86">
        <v>1000</v>
      </c>
      <c r="L297" s="87">
        <v>1000</v>
      </c>
      <c r="M297" s="86">
        <v>1000000</v>
      </c>
      <c r="N297" s="15" t="s">
        <v>252</v>
      </c>
      <c r="O297" s="88">
        <v>45536</v>
      </c>
      <c r="P297" s="89">
        <v>1500</v>
      </c>
      <c r="Q297" s="83">
        <v>1</v>
      </c>
      <c r="R297" s="72">
        <v>1500</v>
      </c>
      <c r="S297" s="83" t="s">
        <v>270</v>
      </c>
      <c r="T297" s="83" t="s">
        <v>310</v>
      </c>
      <c r="U297" s="83" t="s">
        <v>274</v>
      </c>
      <c r="V297" s="51" t="s">
        <v>328</v>
      </c>
    </row>
    <row r="298" spans="1:22" ht="18.75" customHeight="1" x14ac:dyDescent="0.2">
      <c r="A298" s="83" t="s">
        <v>314</v>
      </c>
      <c r="B298" s="16" t="s">
        <v>4</v>
      </c>
      <c r="C298" s="82" t="s">
        <v>324</v>
      </c>
      <c r="D298" s="306">
        <v>240000600201007</v>
      </c>
      <c r="E298" s="83" t="s">
        <v>42</v>
      </c>
      <c r="F298" s="83">
        <v>2024</v>
      </c>
      <c r="G298" s="83">
        <v>9</v>
      </c>
      <c r="H298" s="83" t="s">
        <v>279</v>
      </c>
      <c r="I298" s="84">
        <v>45706</v>
      </c>
      <c r="J298" s="85">
        <v>1</v>
      </c>
      <c r="K298" s="86">
        <v>1000</v>
      </c>
      <c r="L298" s="87">
        <v>1000</v>
      </c>
      <c r="M298" s="86">
        <v>1000000</v>
      </c>
      <c r="N298" s="15" t="s">
        <v>252</v>
      </c>
      <c r="O298" s="88">
        <v>45536</v>
      </c>
      <c r="P298" s="89">
        <v>2500</v>
      </c>
      <c r="Q298" s="83">
        <v>1</v>
      </c>
      <c r="R298" s="72">
        <v>2500</v>
      </c>
      <c r="S298" s="83" t="s">
        <v>270</v>
      </c>
      <c r="T298" s="83" t="s">
        <v>310</v>
      </c>
      <c r="U298" s="83" t="s">
        <v>274</v>
      </c>
      <c r="V298" s="51" t="s">
        <v>328</v>
      </c>
    </row>
    <row r="299" spans="1:22" ht="18.75" customHeight="1" x14ac:dyDescent="0.2">
      <c r="A299" s="83" t="s">
        <v>314</v>
      </c>
      <c r="B299" s="16" t="s">
        <v>4</v>
      </c>
      <c r="C299" s="82" t="s">
        <v>324</v>
      </c>
      <c r="D299" s="306">
        <v>240000600201007</v>
      </c>
      <c r="E299" s="83" t="s">
        <v>42</v>
      </c>
      <c r="F299" s="83">
        <v>2024</v>
      </c>
      <c r="G299" s="83">
        <v>9</v>
      </c>
      <c r="H299" s="83" t="s">
        <v>279</v>
      </c>
      <c r="I299" s="84">
        <v>45706</v>
      </c>
      <c r="J299" s="85">
        <v>1</v>
      </c>
      <c r="K299" s="86">
        <v>1000</v>
      </c>
      <c r="L299" s="87">
        <v>1000</v>
      </c>
      <c r="M299" s="86">
        <v>1000000</v>
      </c>
      <c r="N299" s="15" t="s">
        <v>252</v>
      </c>
      <c r="O299" s="88">
        <v>45536</v>
      </c>
      <c r="P299" s="89">
        <v>1500</v>
      </c>
      <c r="Q299" s="83">
        <v>1</v>
      </c>
      <c r="R299" s="72">
        <v>1500</v>
      </c>
      <c r="S299" s="83" t="s">
        <v>270</v>
      </c>
      <c r="T299" s="83" t="s">
        <v>310</v>
      </c>
      <c r="U299" s="83" t="s">
        <v>274</v>
      </c>
      <c r="V299" s="51" t="s">
        <v>328</v>
      </c>
    </row>
    <row r="300" spans="1:22" ht="18.75" customHeight="1" x14ac:dyDescent="0.2">
      <c r="A300" s="83" t="s">
        <v>314</v>
      </c>
      <c r="B300" s="16" t="s">
        <v>4</v>
      </c>
      <c r="C300" s="82" t="s">
        <v>324</v>
      </c>
      <c r="D300" s="306">
        <v>240000600201007</v>
      </c>
      <c r="E300" s="83" t="s">
        <v>42</v>
      </c>
      <c r="F300" s="83">
        <v>2024</v>
      </c>
      <c r="G300" s="83">
        <v>9</v>
      </c>
      <c r="H300" s="83" t="s">
        <v>279</v>
      </c>
      <c r="I300" s="84">
        <v>45706</v>
      </c>
      <c r="J300" s="85">
        <v>1</v>
      </c>
      <c r="K300" s="86">
        <v>1000</v>
      </c>
      <c r="L300" s="87">
        <v>1000</v>
      </c>
      <c r="M300" s="86">
        <v>1000000</v>
      </c>
      <c r="N300" s="15" t="s">
        <v>252</v>
      </c>
      <c r="O300" s="88">
        <v>45536</v>
      </c>
      <c r="P300" s="89">
        <v>2500</v>
      </c>
      <c r="Q300" s="83">
        <v>1</v>
      </c>
      <c r="R300" s="72">
        <v>2500</v>
      </c>
      <c r="S300" s="83" t="s">
        <v>270</v>
      </c>
      <c r="T300" s="83" t="s">
        <v>310</v>
      </c>
      <c r="U300" s="83" t="s">
        <v>274</v>
      </c>
      <c r="V300" s="51" t="s">
        <v>328</v>
      </c>
    </row>
    <row r="301" spans="1:22" ht="18.75" customHeight="1" x14ac:dyDescent="0.2">
      <c r="A301" s="83" t="s">
        <v>314</v>
      </c>
      <c r="B301" s="16" t="s">
        <v>4</v>
      </c>
      <c r="C301" s="82" t="s">
        <v>329</v>
      </c>
      <c r="D301" s="306">
        <v>240000600201044</v>
      </c>
      <c r="E301" s="83" t="s">
        <v>42</v>
      </c>
      <c r="F301" s="83">
        <v>2024</v>
      </c>
      <c r="G301" s="83">
        <v>9</v>
      </c>
      <c r="H301" s="83" t="s">
        <v>279</v>
      </c>
      <c r="I301" s="84">
        <v>45706</v>
      </c>
      <c r="J301" s="85">
        <v>1</v>
      </c>
      <c r="K301" s="86">
        <v>1000</v>
      </c>
      <c r="L301" s="87">
        <v>1000</v>
      </c>
      <c r="M301" s="86">
        <v>1000000</v>
      </c>
      <c r="N301" s="15" t="s">
        <v>252</v>
      </c>
      <c r="O301" s="88">
        <v>45536</v>
      </c>
      <c r="P301" s="89">
        <v>2500</v>
      </c>
      <c r="Q301" s="83">
        <v>1</v>
      </c>
      <c r="R301" s="72">
        <v>2500</v>
      </c>
      <c r="S301" s="83" t="s">
        <v>270</v>
      </c>
      <c r="T301" s="83" t="s">
        <v>310</v>
      </c>
      <c r="U301" s="83" t="s">
        <v>274</v>
      </c>
      <c r="V301" s="51" t="s">
        <v>328</v>
      </c>
    </row>
    <row r="302" spans="1:22" ht="18.75" customHeight="1" x14ac:dyDescent="0.2">
      <c r="A302" s="83" t="s">
        <v>314</v>
      </c>
      <c r="B302" s="16" t="s">
        <v>4</v>
      </c>
      <c r="C302" s="82" t="s">
        <v>329</v>
      </c>
      <c r="D302" s="306">
        <v>240000600201044</v>
      </c>
      <c r="E302" s="83" t="s">
        <v>42</v>
      </c>
      <c r="F302" s="83">
        <v>2024</v>
      </c>
      <c r="G302" s="83">
        <v>9</v>
      </c>
      <c r="H302" s="83" t="s">
        <v>279</v>
      </c>
      <c r="I302" s="84">
        <v>45706</v>
      </c>
      <c r="J302" s="85">
        <v>1</v>
      </c>
      <c r="K302" s="86">
        <v>1000</v>
      </c>
      <c r="L302" s="87">
        <v>2000</v>
      </c>
      <c r="M302" s="86">
        <v>1000000</v>
      </c>
      <c r="N302" s="15" t="s">
        <v>252</v>
      </c>
      <c r="O302" s="88">
        <v>45536</v>
      </c>
      <c r="P302" s="89">
        <v>2500</v>
      </c>
      <c r="Q302" s="83">
        <v>2</v>
      </c>
      <c r="R302" s="72">
        <v>5000</v>
      </c>
      <c r="S302" s="83" t="s">
        <v>270</v>
      </c>
      <c r="T302" s="83" t="s">
        <v>310</v>
      </c>
      <c r="U302" s="83" t="s">
        <v>274</v>
      </c>
      <c r="V302" s="51" t="s">
        <v>328</v>
      </c>
    </row>
    <row r="303" spans="1:22" ht="18.75" customHeight="1" x14ac:dyDescent="0.2">
      <c r="A303" s="83" t="s">
        <v>314</v>
      </c>
      <c r="B303" s="16" t="s">
        <v>4</v>
      </c>
      <c r="C303" s="82" t="s">
        <v>329</v>
      </c>
      <c r="D303" s="306">
        <v>240000600201044</v>
      </c>
      <c r="E303" s="83" t="s">
        <v>42</v>
      </c>
      <c r="F303" s="83">
        <v>2024</v>
      </c>
      <c r="G303" s="83">
        <v>9</v>
      </c>
      <c r="H303" s="83" t="s">
        <v>279</v>
      </c>
      <c r="I303" s="84">
        <v>45706</v>
      </c>
      <c r="J303" s="85">
        <v>1</v>
      </c>
      <c r="K303" s="86">
        <v>1000</v>
      </c>
      <c r="L303" s="87">
        <v>1000</v>
      </c>
      <c r="M303" s="86">
        <v>1000000</v>
      </c>
      <c r="N303" s="15" t="s">
        <v>252</v>
      </c>
      <c r="O303" s="88">
        <v>45536</v>
      </c>
      <c r="P303" s="89">
        <v>1500</v>
      </c>
      <c r="Q303" s="83">
        <v>1</v>
      </c>
      <c r="R303" s="72">
        <v>1500</v>
      </c>
      <c r="S303" s="83" t="s">
        <v>270</v>
      </c>
      <c r="T303" s="83" t="s">
        <v>310</v>
      </c>
      <c r="U303" s="83" t="s">
        <v>274</v>
      </c>
      <c r="V303" s="51" t="s">
        <v>328</v>
      </c>
    </row>
    <row r="304" spans="1:22" ht="18.75" customHeight="1" x14ac:dyDescent="0.2">
      <c r="A304" s="83" t="s">
        <v>314</v>
      </c>
      <c r="B304" s="16" t="s">
        <v>4</v>
      </c>
      <c r="C304" s="82" t="s">
        <v>329</v>
      </c>
      <c r="D304" s="306">
        <v>240000600201044</v>
      </c>
      <c r="E304" s="83" t="s">
        <v>42</v>
      </c>
      <c r="F304" s="83">
        <v>2024</v>
      </c>
      <c r="G304" s="83">
        <v>9</v>
      </c>
      <c r="H304" s="83" t="s">
        <v>279</v>
      </c>
      <c r="I304" s="84">
        <v>45706</v>
      </c>
      <c r="J304" s="85">
        <v>1</v>
      </c>
      <c r="K304" s="86">
        <v>1000</v>
      </c>
      <c r="L304" s="87">
        <v>1000</v>
      </c>
      <c r="M304" s="86">
        <v>1000000</v>
      </c>
      <c r="N304" s="15" t="s">
        <v>252</v>
      </c>
      <c r="O304" s="88">
        <v>45536</v>
      </c>
      <c r="P304" s="89">
        <v>1500</v>
      </c>
      <c r="Q304" s="83">
        <v>1</v>
      </c>
      <c r="R304" s="72">
        <v>1500</v>
      </c>
      <c r="S304" s="83" t="s">
        <v>270</v>
      </c>
      <c r="T304" s="83" t="s">
        <v>310</v>
      </c>
      <c r="U304" s="83" t="s">
        <v>274</v>
      </c>
      <c r="V304" s="51" t="s">
        <v>328</v>
      </c>
    </row>
    <row r="305" spans="1:22" ht="18.75" customHeight="1" x14ac:dyDescent="0.2">
      <c r="A305" s="83" t="s">
        <v>314</v>
      </c>
      <c r="B305" s="16" t="s">
        <v>4</v>
      </c>
      <c r="C305" s="82" t="s">
        <v>329</v>
      </c>
      <c r="D305" s="306">
        <v>240000600201044</v>
      </c>
      <c r="E305" s="83" t="s">
        <v>42</v>
      </c>
      <c r="F305" s="83">
        <v>2024</v>
      </c>
      <c r="G305" s="83">
        <v>9</v>
      </c>
      <c r="H305" s="83" t="s">
        <v>279</v>
      </c>
      <c r="I305" s="84">
        <v>45706</v>
      </c>
      <c r="J305" s="85">
        <v>1</v>
      </c>
      <c r="K305" s="86">
        <v>1000</v>
      </c>
      <c r="L305" s="87">
        <v>1000</v>
      </c>
      <c r="M305" s="86">
        <v>1000000</v>
      </c>
      <c r="N305" s="15" t="s">
        <v>252</v>
      </c>
      <c r="O305" s="88">
        <v>45536</v>
      </c>
      <c r="P305" s="89">
        <v>5000</v>
      </c>
      <c r="Q305" s="83">
        <v>1</v>
      </c>
      <c r="R305" s="72">
        <v>5000</v>
      </c>
      <c r="S305" s="83" t="s">
        <v>270</v>
      </c>
      <c r="T305" s="83" t="s">
        <v>310</v>
      </c>
      <c r="U305" s="83" t="s">
        <v>274</v>
      </c>
      <c r="V305" s="51" t="s">
        <v>328</v>
      </c>
    </row>
    <row r="306" spans="1:22" ht="18.75" customHeight="1" x14ac:dyDescent="0.2">
      <c r="A306" s="83" t="s">
        <v>314</v>
      </c>
      <c r="B306" s="16" t="s">
        <v>4</v>
      </c>
      <c r="C306" s="82" t="s">
        <v>329</v>
      </c>
      <c r="D306" s="306">
        <v>240000600201044</v>
      </c>
      <c r="E306" s="83" t="s">
        <v>42</v>
      </c>
      <c r="F306" s="83">
        <v>2024</v>
      </c>
      <c r="G306" s="83">
        <v>9</v>
      </c>
      <c r="H306" s="83" t="s">
        <v>279</v>
      </c>
      <c r="I306" s="84">
        <v>45706</v>
      </c>
      <c r="J306" s="85">
        <v>1</v>
      </c>
      <c r="K306" s="86">
        <v>1000</v>
      </c>
      <c r="L306" s="87">
        <v>3000</v>
      </c>
      <c r="M306" s="86">
        <v>1000000</v>
      </c>
      <c r="N306" s="15" t="s">
        <v>252</v>
      </c>
      <c r="O306" s="88">
        <v>45536</v>
      </c>
      <c r="P306" s="89">
        <v>2500</v>
      </c>
      <c r="Q306" s="83">
        <v>3</v>
      </c>
      <c r="R306" s="72">
        <v>7500</v>
      </c>
      <c r="S306" s="83" t="s">
        <v>270</v>
      </c>
      <c r="T306" s="83" t="s">
        <v>310</v>
      </c>
      <c r="U306" s="83" t="s">
        <v>274</v>
      </c>
      <c r="V306" s="51" t="s">
        <v>328</v>
      </c>
    </row>
    <row r="307" spans="1:22" ht="18.75" customHeight="1" x14ac:dyDescent="0.2">
      <c r="A307" s="83" t="s">
        <v>314</v>
      </c>
      <c r="B307" s="16" t="s">
        <v>4</v>
      </c>
      <c r="C307" s="82" t="s">
        <v>329</v>
      </c>
      <c r="D307" s="306">
        <v>240000600201044</v>
      </c>
      <c r="E307" s="83" t="s">
        <v>42</v>
      </c>
      <c r="F307" s="83">
        <v>2024</v>
      </c>
      <c r="G307" s="83">
        <v>9</v>
      </c>
      <c r="H307" s="83" t="s">
        <v>279</v>
      </c>
      <c r="I307" s="84">
        <v>45706</v>
      </c>
      <c r="J307" s="85">
        <v>1</v>
      </c>
      <c r="K307" s="86">
        <v>1000</v>
      </c>
      <c r="L307" s="87">
        <v>2000</v>
      </c>
      <c r="M307" s="86">
        <v>1000000</v>
      </c>
      <c r="N307" s="15" t="s">
        <v>252</v>
      </c>
      <c r="O307" s="88">
        <v>45536</v>
      </c>
      <c r="P307" s="89">
        <v>2500</v>
      </c>
      <c r="Q307" s="83">
        <v>2</v>
      </c>
      <c r="R307" s="72">
        <v>5000</v>
      </c>
      <c r="S307" s="83" t="s">
        <v>270</v>
      </c>
      <c r="T307" s="83" t="s">
        <v>310</v>
      </c>
      <c r="U307" s="83" t="s">
        <v>274</v>
      </c>
      <c r="V307" s="51" t="s">
        <v>328</v>
      </c>
    </row>
    <row r="308" spans="1:22" ht="18.75" customHeight="1" x14ac:dyDescent="0.2">
      <c r="A308" s="83" t="s">
        <v>314</v>
      </c>
      <c r="B308" s="16" t="s">
        <v>4</v>
      </c>
      <c r="C308" s="82" t="s">
        <v>329</v>
      </c>
      <c r="D308" s="306">
        <v>240000600201044</v>
      </c>
      <c r="E308" s="83" t="s">
        <v>42</v>
      </c>
      <c r="F308" s="83">
        <v>2024</v>
      </c>
      <c r="G308" s="83">
        <v>9</v>
      </c>
      <c r="H308" s="83" t="s">
        <v>279</v>
      </c>
      <c r="I308" s="84">
        <v>45706</v>
      </c>
      <c r="J308" s="85">
        <v>1</v>
      </c>
      <c r="K308" s="86">
        <v>1000</v>
      </c>
      <c r="L308" s="87">
        <v>1000</v>
      </c>
      <c r="M308" s="86">
        <v>1000000</v>
      </c>
      <c r="N308" s="15" t="s">
        <v>252</v>
      </c>
      <c r="O308" s="88">
        <v>45536</v>
      </c>
      <c r="P308" s="89">
        <v>1500</v>
      </c>
      <c r="Q308" s="83">
        <v>1</v>
      </c>
      <c r="R308" s="72">
        <v>1500</v>
      </c>
      <c r="S308" s="83" t="s">
        <v>270</v>
      </c>
      <c r="T308" s="83" t="s">
        <v>310</v>
      </c>
      <c r="U308" s="83" t="s">
        <v>274</v>
      </c>
      <c r="V308" s="51" t="s">
        <v>328</v>
      </c>
    </row>
    <row r="309" spans="1:22" ht="18.75" customHeight="1" x14ac:dyDescent="0.2">
      <c r="A309" s="83" t="s">
        <v>314</v>
      </c>
      <c r="B309" s="16" t="s">
        <v>4</v>
      </c>
      <c r="C309" s="82" t="s">
        <v>329</v>
      </c>
      <c r="D309" s="306">
        <v>240000600201044</v>
      </c>
      <c r="E309" s="83" t="s">
        <v>42</v>
      </c>
      <c r="F309" s="83">
        <v>2024</v>
      </c>
      <c r="G309" s="83">
        <v>9</v>
      </c>
      <c r="H309" s="83" t="s">
        <v>279</v>
      </c>
      <c r="I309" s="84">
        <v>45706</v>
      </c>
      <c r="J309" s="85">
        <v>1</v>
      </c>
      <c r="K309" s="86">
        <v>1000</v>
      </c>
      <c r="L309" s="87">
        <v>1000</v>
      </c>
      <c r="M309" s="86">
        <v>1000000</v>
      </c>
      <c r="N309" s="15" t="s">
        <v>252</v>
      </c>
      <c r="O309" s="88">
        <v>45536</v>
      </c>
      <c r="P309" s="89">
        <v>2500</v>
      </c>
      <c r="Q309" s="83">
        <v>1</v>
      </c>
      <c r="R309" s="72">
        <v>2500</v>
      </c>
      <c r="S309" s="83" t="s">
        <v>270</v>
      </c>
      <c r="T309" s="83" t="s">
        <v>310</v>
      </c>
      <c r="U309" s="83" t="s">
        <v>274</v>
      </c>
      <c r="V309" s="51" t="s">
        <v>328</v>
      </c>
    </row>
    <row r="310" spans="1:22" ht="18.75" customHeight="1" x14ac:dyDescent="0.2">
      <c r="A310" s="83" t="s">
        <v>314</v>
      </c>
      <c r="B310" s="16" t="s">
        <v>4</v>
      </c>
      <c r="C310" s="82" t="s">
        <v>329</v>
      </c>
      <c r="D310" s="306">
        <v>240000600201044</v>
      </c>
      <c r="E310" s="83" t="s">
        <v>42</v>
      </c>
      <c r="F310" s="83">
        <v>2024</v>
      </c>
      <c r="G310" s="83">
        <v>9</v>
      </c>
      <c r="H310" s="83" t="s">
        <v>279</v>
      </c>
      <c r="I310" s="84">
        <v>45706</v>
      </c>
      <c r="J310" s="85">
        <v>1</v>
      </c>
      <c r="K310" s="86">
        <v>1000</v>
      </c>
      <c r="L310" s="87">
        <v>1000</v>
      </c>
      <c r="M310" s="86">
        <v>1000000</v>
      </c>
      <c r="N310" s="15" t="s">
        <v>252</v>
      </c>
      <c r="O310" s="88">
        <v>45536</v>
      </c>
      <c r="P310" s="89">
        <v>1500</v>
      </c>
      <c r="Q310" s="83">
        <v>1</v>
      </c>
      <c r="R310" s="72">
        <v>1500</v>
      </c>
      <c r="S310" s="83" t="s">
        <v>270</v>
      </c>
      <c r="T310" s="83" t="s">
        <v>310</v>
      </c>
      <c r="U310" s="83" t="s">
        <v>274</v>
      </c>
      <c r="V310" s="51" t="s">
        <v>328</v>
      </c>
    </row>
    <row r="311" spans="1:22" ht="18.75" customHeight="1" x14ac:dyDescent="0.2">
      <c r="A311" s="83" t="s">
        <v>314</v>
      </c>
      <c r="B311" s="16" t="s">
        <v>4</v>
      </c>
      <c r="C311" s="82" t="s">
        <v>329</v>
      </c>
      <c r="D311" s="306">
        <v>240000600201044</v>
      </c>
      <c r="E311" s="83" t="s">
        <v>42</v>
      </c>
      <c r="F311" s="83">
        <v>2024</v>
      </c>
      <c r="G311" s="83">
        <v>9</v>
      </c>
      <c r="H311" s="83" t="s">
        <v>279</v>
      </c>
      <c r="I311" s="84">
        <v>45706</v>
      </c>
      <c r="J311" s="85">
        <v>1</v>
      </c>
      <c r="K311" s="86">
        <v>1000</v>
      </c>
      <c r="L311" s="87">
        <v>1000</v>
      </c>
      <c r="M311" s="86">
        <v>1000000</v>
      </c>
      <c r="N311" s="15" t="s">
        <v>252</v>
      </c>
      <c r="O311" s="88">
        <v>45536</v>
      </c>
      <c r="P311" s="89">
        <v>1500</v>
      </c>
      <c r="Q311" s="83">
        <v>1</v>
      </c>
      <c r="R311" s="72">
        <v>1500</v>
      </c>
      <c r="S311" s="83" t="s">
        <v>270</v>
      </c>
      <c r="T311" s="83" t="s">
        <v>310</v>
      </c>
      <c r="U311" s="83" t="s">
        <v>274</v>
      </c>
      <c r="V311" s="51" t="s">
        <v>328</v>
      </c>
    </row>
    <row r="312" spans="1:22" ht="18.75" customHeight="1" x14ac:dyDescent="0.2">
      <c r="A312" s="83" t="s">
        <v>314</v>
      </c>
      <c r="B312" s="16" t="s">
        <v>4</v>
      </c>
      <c r="C312" s="82" t="s">
        <v>329</v>
      </c>
      <c r="D312" s="306">
        <v>240000600201044</v>
      </c>
      <c r="E312" s="83" t="s">
        <v>42</v>
      </c>
      <c r="F312" s="83">
        <v>2024</v>
      </c>
      <c r="G312" s="83">
        <v>9</v>
      </c>
      <c r="H312" s="83" t="s">
        <v>279</v>
      </c>
      <c r="I312" s="84">
        <v>45706</v>
      </c>
      <c r="J312" s="85">
        <v>1</v>
      </c>
      <c r="K312" s="86">
        <v>1000</v>
      </c>
      <c r="L312" s="87">
        <v>1000</v>
      </c>
      <c r="M312" s="86">
        <v>1000000</v>
      </c>
      <c r="N312" s="15" t="s">
        <v>252</v>
      </c>
      <c r="O312" s="88">
        <v>45536</v>
      </c>
      <c r="P312" s="89">
        <v>2500</v>
      </c>
      <c r="Q312" s="83">
        <v>1</v>
      </c>
      <c r="R312" s="72">
        <v>2500</v>
      </c>
      <c r="S312" s="83" t="s">
        <v>270</v>
      </c>
      <c r="T312" s="83" t="s">
        <v>310</v>
      </c>
      <c r="U312" s="83" t="s">
        <v>274</v>
      </c>
      <c r="V312" s="51" t="s">
        <v>328</v>
      </c>
    </row>
    <row r="313" spans="1:22" ht="18.75" customHeight="1" x14ac:dyDescent="0.2">
      <c r="A313" s="83" t="s">
        <v>314</v>
      </c>
      <c r="B313" s="16" t="s">
        <v>4</v>
      </c>
      <c r="C313" s="82" t="s">
        <v>330</v>
      </c>
      <c r="D313" s="306">
        <v>240000600201045</v>
      </c>
      <c r="E313" s="83" t="s">
        <v>42</v>
      </c>
      <c r="F313" s="83">
        <v>2024</v>
      </c>
      <c r="G313" s="83">
        <v>9</v>
      </c>
      <c r="H313" s="83" t="s">
        <v>279</v>
      </c>
      <c r="I313" s="84">
        <v>45706</v>
      </c>
      <c r="J313" s="85">
        <v>1</v>
      </c>
      <c r="K313" s="86">
        <v>1000</v>
      </c>
      <c r="L313" s="87">
        <v>1000</v>
      </c>
      <c r="M313" s="86">
        <v>1000000</v>
      </c>
      <c r="N313" s="15" t="s">
        <v>252</v>
      </c>
      <c r="O313" s="88">
        <v>45536</v>
      </c>
      <c r="P313" s="89">
        <v>8000</v>
      </c>
      <c r="Q313" s="83">
        <v>1</v>
      </c>
      <c r="R313" s="72">
        <v>8000</v>
      </c>
      <c r="S313" s="83" t="s">
        <v>270</v>
      </c>
      <c r="T313" s="83" t="s">
        <v>310</v>
      </c>
      <c r="U313" s="83" t="s">
        <v>274</v>
      </c>
      <c r="V313" s="51" t="s">
        <v>328</v>
      </c>
    </row>
    <row r="314" spans="1:22" ht="18.75" customHeight="1" x14ac:dyDescent="0.2">
      <c r="A314" s="83" t="s">
        <v>314</v>
      </c>
      <c r="B314" s="16" t="s">
        <v>4</v>
      </c>
      <c r="C314" s="82" t="s">
        <v>330</v>
      </c>
      <c r="D314" s="306">
        <v>240000600201045</v>
      </c>
      <c r="E314" s="83" t="s">
        <v>42</v>
      </c>
      <c r="F314" s="83">
        <v>2024</v>
      </c>
      <c r="G314" s="83">
        <v>9</v>
      </c>
      <c r="H314" s="83" t="s">
        <v>279</v>
      </c>
      <c r="I314" s="84">
        <v>45706</v>
      </c>
      <c r="J314" s="85">
        <v>1</v>
      </c>
      <c r="K314" s="86">
        <v>1000</v>
      </c>
      <c r="L314" s="87">
        <v>1000</v>
      </c>
      <c r="M314" s="86">
        <v>1000000</v>
      </c>
      <c r="N314" s="15" t="s">
        <v>252</v>
      </c>
      <c r="O314" s="88">
        <v>45536</v>
      </c>
      <c r="P314" s="89">
        <v>2500</v>
      </c>
      <c r="Q314" s="83">
        <v>1</v>
      </c>
      <c r="R314" s="72">
        <v>2500</v>
      </c>
      <c r="S314" s="83" t="s">
        <v>270</v>
      </c>
      <c r="T314" s="83" t="s">
        <v>310</v>
      </c>
      <c r="U314" s="83" t="s">
        <v>274</v>
      </c>
      <c r="V314" s="51" t="s">
        <v>328</v>
      </c>
    </row>
    <row r="315" spans="1:22" ht="18.75" customHeight="1" x14ac:dyDescent="0.2">
      <c r="A315" s="83" t="s">
        <v>314</v>
      </c>
      <c r="B315" s="16" t="s">
        <v>4</v>
      </c>
      <c r="C315" s="82" t="s">
        <v>330</v>
      </c>
      <c r="D315" s="306">
        <v>240000600201045</v>
      </c>
      <c r="E315" s="83" t="s">
        <v>42</v>
      </c>
      <c r="F315" s="83">
        <v>2024</v>
      </c>
      <c r="G315" s="83">
        <v>9</v>
      </c>
      <c r="H315" s="83" t="s">
        <v>279</v>
      </c>
      <c r="I315" s="84">
        <v>45706</v>
      </c>
      <c r="J315" s="85">
        <v>1</v>
      </c>
      <c r="K315" s="86">
        <v>1000</v>
      </c>
      <c r="L315" s="87">
        <v>4000</v>
      </c>
      <c r="M315" s="86">
        <v>1000000</v>
      </c>
      <c r="N315" s="15" t="s">
        <v>252</v>
      </c>
      <c r="O315" s="88">
        <v>45536</v>
      </c>
      <c r="P315" s="89">
        <v>2500</v>
      </c>
      <c r="Q315" s="83">
        <v>4</v>
      </c>
      <c r="R315" s="72">
        <v>10000</v>
      </c>
      <c r="S315" s="83" t="s">
        <v>270</v>
      </c>
      <c r="T315" s="83" t="s">
        <v>310</v>
      </c>
      <c r="U315" s="83" t="s">
        <v>274</v>
      </c>
      <c r="V315" s="51" t="s">
        <v>328</v>
      </c>
    </row>
    <row r="316" spans="1:22" ht="18.75" customHeight="1" x14ac:dyDescent="0.2">
      <c r="A316" s="83" t="s">
        <v>314</v>
      </c>
      <c r="B316" s="16" t="s">
        <v>4</v>
      </c>
      <c r="C316" s="82" t="s">
        <v>330</v>
      </c>
      <c r="D316" s="306">
        <v>240000600201045</v>
      </c>
      <c r="E316" s="83" t="s">
        <v>42</v>
      </c>
      <c r="F316" s="83">
        <v>2024</v>
      </c>
      <c r="G316" s="83">
        <v>9</v>
      </c>
      <c r="H316" s="83" t="s">
        <v>279</v>
      </c>
      <c r="I316" s="84">
        <v>45706</v>
      </c>
      <c r="J316" s="85">
        <v>1</v>
      </c>
      <c r="K316" s="86">
        <v>1000</v>
      </c>
      <c r="L316" s="87">
        <v>1000</v>
      </c>
      <c r="M316" s="86">
        <v>1000000</v>
      </c>
      <c r="N316" s="15" t="s">
        <v>252</v>
      </c>
      <c r="O316" s="88">
        <v>45536</v>
      </c>
      <c r="P316" s="89">
        <v>1500</v>
      </c>
      <c r="Q316" s="83">
        <v>1</v>
      </c>
      <c r="R316" s="72">
        <v>1500</v>
      </c>
      <c r="S316" s="83" t="s">
        <v>270</v>
      </c>
      <c r="T316" s="83" t="s">
        <v>310</v>
      </c>
      <c r="U316" s="83" t="s">
        <v>274</v>
      </c>
      <c r="V316" s="51" t="s">
        <v>328</v>
      </c>
    </row>
    <row r="317" spans="1:22" ht="18.75" customHeight="1" x14ac:dyDescent="0.2">
      <c r="A317" s="83" t="s">
        <v>314</v>
      </c>
      <c r="B317" s="16" t="s">
        <v>4</v>
      </c>
      <c r="C317" s="82" t="s">
        <v>330</v>
      </c>
      <c r="D317" s="306">
        <v>240000600201045</v>
      </c>
      <c r="E317" s="83" t="s">
        <v>42</v>
      </c>
      <c r="F317" s="83">
        <v>2024</v>
      </c>
      <c r="G317" s="83">
        <v>9</v>
      </c>
      <c r="H317" s="83" t="s">
        <v>279</v>
      </c>
      <c r="I317" s="84">
        <v>45706</v>
      </c>
      <c r="J317" s="85">
        <v>1</v>
      </c>
      <c r="K317" s="86">
        <v>1000</v>
      </c>
      <c r="L317" s="87">
        <v>1000</v>
      </c>
      <c r="M317" s="86">
        <v>1000000</v>
      </c>
      <c r="N317" s="15" t="s">
        <v>252</v>
      </c>
      <c r="O317" s="88">
        <v>45536</v>
      </c>
      <c r="P317" s="89">
        <v>2500</v>
      </c>
      <c r="Q317" s="83">
        <v>1</v>
      </c>
      <c r="R317" s="72">
        <v>2500</v>
      </c>
      <c r="S317" s="83" t="s">
        <v>270</v>
      </c>
      <c r="T317" s="83" t="s">
        <v>310</v>
      </c>
      <c r="U317" s="83" t="s">
        <v>274</v>
      </c>
      <c r="V317" s="51" t="s">
        <v>328</v>
      </c>
    </row>
    <row r="318" spans="1:22" ht="18.75" customHeight="1" x14ac:dyDescent="0.2">
      <c r="A318" s="83" t="s">
        <v>314</v>
      </c>
      <c r="B318" s="16" t="s">
        <v>4</v>
      </c>
      <c r="C318" s="82" t="s">
        <v>330</v>
      </c>
      <c r="D318" s="306">
        <v>240000600201045</v>
      </c>
      <c r="E318" s="83" t="s">
        <v>42</v>
      </c>
      <c r="F318" s="83">
        <v>2024</v>
      </c>
      <c r="G318" s="83">
        <v>9</v>
      </c>
      <c r="H318" s="83" t="s">
        <v>279</v>
      </c>
      <c r="I318" s="84">
        <v>45706</v>
      </c>
      <c r="J318" s="85">
        <v>1</v>
      </c>
      <c r="K318" s="86">
        <v>1000</v>
      </c>
      <c r="L318" s="87">
        <v>1000</v>
      </c>
      <c r="M318" s="86">
        <v>1000000</v>
      </c>
      <c r="N318" s="15" t="s">
        <v>252</v>
      </c>
      <c r="O318" s="88">
        <v>45536</v>
      </c>
      <c r="P318" s="89">
        <v>1500</v>
      </c>
      <c r="Q318" s="83">
        <v>1</v>
      </c>
      <c r="R318" s="72">
        <v>1500</v>
      </c>
      <c r="S318" s="83" t="s">
        <v>270</v>
      </c>
      <c r="T318" s="83" t="s">
        <v>310</v>
      </c>
      <c r="U318" s="83" t="s">
        <v>274</v>
      </c>
      <c r="V318" s="51" t="s">
        <v>328</v>
      </c>
    </row>
    <row r="319" spans="1:22" ht="18.75" customHeight="1" x14ac:dyDescent="0.2">
      <c r="A319" s="83" t="s">
        <v>314</v>
      </c>
      <c r="B319" s="16" t="s">
        <v>4</v>
      </c>
      <c r="C319" s="82" t="s">
        <v>330</v>
      </c>
      <c r="D319" s="306">
        <v>240000600201045</v>
      </c>
      <c r="E319" s="83" t="s">
        <v>42</v>
      </c>
      <c r="F319" s="83">
        <v>2024</v>
      </c>
      <c r="G319" s="83">
        <v>9</v>
      </c>
      <c r="H319" s="83" t="s">
        <v>279</v>
      </c>
      <c r="I319" s="84">
        <v>45706</v>
      </c>
      <c r="J319" s="85">
        <v>1</v>
      </c>
      <c r="K319" s="86">
        <v>1000</v>
      </c>
      <c r="L319" s="87">
        <v>2000</v>
      </c>
      <c r="M319" s="86">
        <v>1000000</v>
      </c>
      <c r="N319" s="15" t="s">
        <v>252</v>
      </c>
      <c r="O319" s="88">
        <v>45536</v>
      </c>
      <c r="P319" s="89">
        <v>2500</v>
      </c>
      <c r="Q319" s="83">
        <v>2</v>
      </c>
      <c r="R319" s="72">
        <v>5000</v>
      </c>
      <c r="S319" s="83" t="s">
        <v>270</v>
      </c>
      <c r="T319" s="83" t="s">
        <v>310</v>
      </c>
      <c r="U319" s="83" t="s">
        <v>274</v>
      </c>
      <c r="V319" s="51" t="s">
        <v>328</v>
      </c>
    </row>
    <row r="320" spans="1:22" ht="18.75" customHeight="1" x14ac:dyDescent="0.2">
      <c r="A320" s="83" t="s">
        <v>314</v>
      </c>
      <c r="B320" s="16" t="s">
        <v>4</v>
      </c>
      <c r="C320" s="82" t="s">
        <v>330</v>
      </c>
      <c r="D320" s="306">
        <v>240000600201045</v>
      </c>
      <c r="E320" s="83" t="s">
        <v>42</v>
      </c>
      <c r="F320" s="83">
        <v>2024</v>
      </c>
      <c r="G320" s="83">
        <v>9</v>
      </c>
      <c r="H320" s="83" t="s">
        <v>279</v>
      </c>
      <c r="I320" s="84">
        <v>45706</v>
      </c>
      <c r="J320" s="85">
        <v>1</v>
      </c>
      <c r="K320" s="86">
        <v>1000</v>
      </c>
      <c r="L320" s="87">
        <v>1000</v>
      </c>
      <c r="M320" s="86">
        <v>1000000</v>
      </c>
      <c r="N320" s="15" t="s">
        <v>252</v>
      </c>
      <c r="O320" s="88">
        <v>45536</v>
      </c>
      <c r="P320" s="89">
        <v>1500</v>
      </c>
      <c r="Q320" s="83">
        <v>1</v>
      </c>
      <c r="R320" s="72">
        <v>1500</v>
      </c>
      <c r="S320" s="83" t="s">
        <v>270</v>
      </c>
      <c r="T320" s="83" t="s">
        <v>310</v>
      </c>
      <c r="U320" s="83" t="s">
        <v>274</v>
      </c>
      <c r="V320" s="51" t="s">
        <v>328</v>
      </c>
    </row>
    <row r="321" spans="1:22" ht="18.75" customHeight="1" x14ac:dyDescent="0.2">
      <c r="A321" s="83" t="s">
        <v>314</v>
      </c>
      <c r="B321" s="16" t="s">
        <v>4</v>
      </c>
      <c r="C321" s="82" t="s">
        <v>330</v>
      </c>
      <c r="D321" s="306">
        <v>240000600201045</v>
      </c>
      <c r="E321" s="83" t="s">
        <v>42</v>
      </c>
      <c r="F321" s="83">
        <v>2024</v>
      </c>
      <c r="G321" s="83">
        <v>9</v>
      </c>
      <c r="H321" s="83" t="s">
        <v>279</v>
      </c>
      <c r="I321" s="84">
        <v>45706</v>
      </c>
      <c r="J321" s="85">
        <v>1</v>
      </c>
      <c r="K321" s="86">
        <v>1000</v>
      </c>
      <c r="L321" s="87">
        <v>1000</v>
      </c>
      <c r="M321" s="86">
        <v>1000000</v>
      </c>
      <c r="N321" s="15" t="s">
        <v>252</v>
      </c>
      <c r="O321" s="88">
        <v>45536</v>
      </c>
      <c r="P321" s="89">
        <v>3000</v>
      </c>
      <c r="Q321" s="83">
        <v>1</v>
      </c>
      <c r="R321" s="72">
        <v>3000</v>
      </c>
      <c r="S321" s="83" t="s">
        <v>270</v>
      </c>
      <c r="T321" s="83" t="s">
        <v>310</v>
      </c>
      <c r="U321" s="83" t="s">
        <v>274</v>
      </c>
      <c r="V321" s="51" t="s">
        <v>328</v>
      </c>
    </row>
    <row r="322" spans="1:22" ht="18.75" customHeight="1" x14ac:dyDescent="0.2">
      <c r="A322" s="83" t="s">
        <v>314</v>
      </c>
      <c r="B322" s="16" t="s">
        <v>4</v>
      </c>
      <c r="C322" s="82" t="s">
        <v>331</v>
      </c>
      <c r="D322" s="306">
        <v>240000600201043</v>
      </c>
      <c r="E322" s="83" t="s">
        <v>42</v>
      </c>
      <c r="F322" s="83">
        <v>2024</v>
      </c>
      <c r="G322" s="83">
        <v>9</v>
      </c>
      <c r="H322" s="83" t="s">
        <v>279</v>
      </c>
      <c r="I322" s="84">
        <v>45706</v>
      </c>
      <c r="J322" s="85">
        <v>1</v>
      </c>
      <c r="K322" s="86">
        <v>1000</v>
      </c>
      <c r="L322" s="87">
        <v>1000</v>
      </c>
      <c r="M322" s="86">
        <v>1000000</v>
      </c>
      <c r="N322" s="15" t="s">
        <v>252</v>
      </c>
      <c r="O322" s="88">
        <v>45536</v>
      </c>
      <c r="P322" s="89">
        <v>88000</v>
      </c>
      <c r="Q322" s="83">
        <v>1</v>
      </c>
      <c r="R322" s="72">
        <v>88000</v>
      </c>
      <c r="S322" s="83" t="s">
        <v>270</v>
      </c>
      <c r="T322" s="83" t="s">
        <v>310</v>
      </c>
      <c r="U322" s="83" t="s">
        <v>274</v>
      </c>
      <c r="V322" s="51" t="s">
        <v>328</v>
      </c>
    </row>
    <row r="323" spans="1:22" ht="18.75" customHeight="1" x14ac:dyDescent="0.2">
      <c r="A323" s="83" t="s">
        <v>314</v>
      </c>
      <c r="B323" s="16" t="s">
        <v>4</v>
      </c>
      <c r="C323" s="82" t="s">
        <v>331</v>
      </c>
      <c r="D323" s="306">
        <v>240000600201043</v>
      </c>
      <c r="E323" s="83" t="s">
        <v>42</v>
      </c>
      <c r="F323" s="83">
        <v>2024</v>
      </c>
      <c r="G323" s="83">
        <v>9</v>
      </c>
      <c r="H323" s="83" t="s">
        <v>279</v>
      </c>
      <c r="I323" s="84">
        <v>45706</v>
      </c>
      <c r="J323" s="85">
        <v>1</v>
      </c>
      <c r="K323" s="86">
        <v>1000</v>
      </c>
      <c r="L323" s="87">
        <v>1000</v>
      </c>
      <c r="M323" s="86">
        <v>1000000</v>
      </c>
      <c r="N323" s="15" t="s">
        <v>252</v>
      </c>
      <c r="O323" s="88">
        <v>45536</v>
      </c>
      <c r="P323" s="89">
        <v>5000</v>
      </c>
      <c r="Q323" s="83">
        <v>1</v>
      </c>
      <c r="R323" s="72">
        <v>5000</v>
      </c>
      <c r="S323" s="83" t="s">
        <v>270</v>
      </c>
      <c r="T323" s="83" t="s">
        <v>310</v>
      </c>
      <c r="U323" s="83" t="s">
        <v>274</v>
      </c>
      <c r="V323" s="51" t="s">
        <v>328</v>
      </c>
    </row>
    <row r="324" spans="1:22" ht="18.75" customHeight="1" x14ac:dyDescent="0.2">
      <c r="A324" s="83" t="s">
        <v>314</v>
      </c>
      <c r="B324" s="16" t="s">
        <v>4</v>
      </c>
      <c r="C324" s="82" t="s">
        <v>332</v>
      </c>
      <c r="D324" s="306">
        <v>240000600201042</v>
      </c>
      <c r="E324" s="83" t="s">
        <v>42</v>
      </c>
      <c r="F324" s="83">
        <v>2024</v>
      </c>
      <c r="G324" s="83">
        <v>9</v>
      </c>
      <c r="H324" s="83" t="s">
        <v>279</v>
      </c>
      <c r="I324" s="84">
        <v>45706</v>
      </c>
      <c r="J324" s="85">
        <v>1</v>
      </c>
      <c r="K324" s="86">
        <v>1000</v>
      </c>
      <c r="L324" s="87">
        <v>1000</v>
      </c>
      <c r="M324" s="86">
        <v>1000000</v>
      </c>
      <c r="N324" s="15" t="s">
        <v>252</v>
      </c>
      <c r="O324" s="88">
        <v>45536</v>
      </c>
      <c r="P324" s="89">
        <v>33900</v>
      </c>
      <c r="Q324" s="83">
        <v>1</v>
      </c>
      <c r="R324" s="72">
        <v>33900</v>
      </c>
      <c r="S324" s="83" t="s">
        <v>270</v>
      </c>
      <c r="T324" s="83" t="s">
        <v>310</v>
      </c>
      <c r="U324" s="83" t="s">
        <v>274</v>
      </c>
      <c r="V324" s="51" t="s">
        <v>328</v>
      </c>
    </row>
    <row r="325" spans="1:22" ht="18.75" customHeight="1" x14ac:dyDescent="0.2">
      <c r="A325" s="83" t="s">
        <v>314</v>
      </c>
      <c r="B325" s="16" t="s">
        <v>4</v>
      </c>
      <c r="C325" s="82" t="s">
        <v>332</v>
      </c>
      <c r="D325" s="306">
        <v>240000600201042</v>
      </c>
      <c r="E325" s="83" t="s">
        <v>42</v>
      </c>
      <c r="F325" s="83">
        <v>2024</v>
      </c>
      <c r="G325" s="83">
        <v>9</v>
      </c>
      <c r="H325" s="83" t="s">
        <v>279</v>
      </c>
      <c r="I325" s="84">
        <v>45706</v>
      </c>
      <c r="J325" s="85">
        <v>1</v>
      </c>
      <c r="K325" s="86">
        <v>1000</v>
      </c>
      <c r="L325" s="87">
        <v>1000</v>
      </c>
      <c r="M325" s="86">
        <v>1000000</v>
      </c>
      <c r="N325" s="15" t="s">
        <v>252</v>
      </c>
      <c r="O325" s="88">
        <v>45536</v>
      </c>
      <c r="P325" s="89">
        <v>11300</v>
      </c>
      <c r="Q325" s="83">
        <v>1</v>
      </c>
      <c r="R325" s="72">
        <v>11300</v>
      </c>
      <c r="S325" s="83" t="s">
        <v>270</v>
      </c>
      <c r="T325" s="83" t="s">
        <v>310</v>
      </c>
      <c r="U325" s="83" t="s">
        <v>274</v>
      </c>
      <c r="V325" s="51" t="s">
        <v>328</v>
      </c>
    </row>
    <row r="326" spans="1:22" ht="18.75" customHeight="1" x14ac:dyDescent="0.2">
      <c r="A326" s="83" t="s">
        <v>314</v>
      </c>
      <c r="B326" s="16" t="s">
        <v>4</v>
      </c>
      <c r="C326" s="82" t="s">
        <v>333</v>
      </c>
      <c r="D326" s="306">
        <v>230000410201046</v>
      </c>
      <c r="E326" s="83" t="s">
        <v>42</v>
      </c>
      <c r="F326" s="83">
        <v>2024</v>
      </c>
      <c r="G326" s="83">
        <v>9</v>
      </c>
      <c r="H326" s="83" t="s">
        <v>279</v>
      </c>
      <c r="I326" s="84">
        <v>45706</v>
      </c>
      <c r="J326" s="85">
        <v>1</v>
      </c>
      <c r="K326" s="86">
        <v>1000</v>
      </c>
      <c r="L326" s="87">
        <v>1000</v>
      </c>
      <c r="M326" s="86">
        <v>1000000</v>
      </c>
      <c r="N326" s="15" t="s">
        <v>252</v>
      </c>
      <c r="O326" s="88">
        <v>45536</v>
      </c>
      <c r="P326" s="89">
        <v>26000</v>
      </c>
      <c r="Q326" s="83">
        <v>1</v>
      </c>
      <c r="R326" s="72">
        <v>26000</v>
      </c>
      <c r="S326" s="83" t="s">
        <v>270</v>
      </c>
      <c r="T326" s="83" t="s">
        <v>310</v>
      </c>
      <c r="U326" s="83" t="s">
        <v>274</v>
      </c>
      <c r="V326" s="51" t="s">
        <v>328</v>
      </c>
    </row>
    <row r="331" spans="1:22" x14ac:dyDescent="0.2">
      <c r="K331" s="215"/>
    </row>
  </sheetData>
  <protectedRanges>
    <protectedRange sqref="D4:D17 N22:N23 W17:W23 O13:O23 Q13:R21 V94:V98 P99:P113 R99:R113 N5:N20 Q22:Q23 C3:H3 J93:M98 K48:R92 G93:G98 K6:L8 A3:A21 K9:M12 K13:L13 L14 K15:L16 L17 K18:L25 L26:L40 L99:L107 U5:W16 G99:H113 A117:A1048576 C99:D113 J41:R47 N24:R40 N3:R4 G1:R2 T24:W93 G4:H92 I48:I92 O5:R12 T5:T21 A99:A113 B144:R1048576 T22:V23 N93:R93 N94:N107 J108:N113 V99:W113 T1:W4 U17:V20 T114:W1048576 C114:R143" name="Range1"/>
    <protectedRange sqref="A22:A24" name="Range1_2"/>
    <protectedRange sqref="D25:D35 D41 A25:A93" name="Range1_3"/>
    <protectedRange sqref="J3:L5 M4:M8 J6:J25 J26:K40 M13:M40 J99:K107 M99:M107" name="Range1_5"/>
    <protectedRange sqref="A1:F2" name="Range1_6_3"/>
    <protectedRange sqref="S1:S1048576" name="Range1_1"/>
  </protectedRanges>
  <autoFilter ref="A3:V326"/>
  <phoneticPr fontId="33" type="noConversion"/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Sheet1!#REF!</xm:f>
          </x14:formula1>
          <xm:sqref>J108:K113 M108:M113 M9:M12 K18:K25 K15:K16 K6:K13 F4:F17 D35 N4:N47 F22:F47 M41:M47 J41:K47 J93:K98 M93:M98 U18:U113 T4:T113 F93:F113 N99:N117</xm:sqref>
        </x14:dataValidation>
        <x14:dataValidation type="list" allowBlank="1" showInputMessage="1" showErrorMessage="1">
          <x14:formula1>
            <xm:f>Sheet1!$A$2:$A$64</xm:f>
          </x14:formula1>
          <xm:sqref>A4:A47 A93:A143</xm:sqref>
        </x14:dataValidation>
        <x14:dataValidation type="list" allowBlank="1" showInputMessage="1" showErrorMessage="1">
          <x14:formula1>
            <xm:f>Sheet1!$F$3:$F$6</xm:f>
          </x14:formula1>
          <xm:sqref>H118:H143</xm:sqref>
        </x14:dataValidation>
        <x14:dataValidation type="list" allowBlank="1" showInputMessage="1" showErrorMessage="1">
          <x14:formula1>
            <xm:f>Sheet1!$J$3:$J$14</xm:f>
          </x14:formula1>
          <xm:sqref>G4:G47 G93:G143</xm:sqref>
        </x14:dataValidation>
        <x14:dataValidation type="list" allowBlank="1" showInputMessage="1" showErrorMessage="1">
          <x14:formula1>
            <xm:f>Sheet1!$E$3:$E$4</xm:f>
          </x14:formula1>
          <xm:sqref>U4:U17</xm:sqref>
        </x14:dataValidation>
        <x14:dataValidation type="list" allowBlank="1" showInputMessage="1" showErrorMessage="1">
          <x14:formula1>
            <xm:f>Sheet1!$F$3:$F$7</xm:f>
          </x14:formula1>
          <xm:sqref>H4:H117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"/>
  <sheetViews>
    <sheetView workbookViewId="0">
      <selection activeCell="G10" sqref="G10"/>
    </sheetView>
  </sheetViews>
  <sheetFormatPr defaultRowHeight="14.25" x14ac:dyDescent="0.2"/>
  <cols>
    <col min="1" max="1" width="24.875" style="73" customWidth="1"/>
    <col min="2" max="2" width="17.75" style="73" customWidth="1"/>
    <col min="3" max="3" width="17.75" customWidth="1"/>
    <col min="4" max="4" width="19" customWidth="1"/>
    <col min="5" max="5" width="15.125" customWidth="1"/>
    <col min="7" max="7" width="13.625" customWidth="1"/>
    <col min="15" max="15" width="19.125" customWidth="1"/>
  </cols>
  <sheetData>
    <row r="1" spans="1:15" x14ac:dyDescent="0.2">
      <c r="A1" s="1" t="s">
        <v>8</v>
      </c>
      <c r="B1" s="1" t="s">
        <v>0</v>
      </c>
    </row>
    <row r="2" spans="1:15" x14ac:dyDescent="0.2">
      <c r="A2" s="76" t="s">
        <v>39</v>
      </c>
      <c r="B2" s="1" t="s">
        <v>3</v>
      </c>
      <c r="C2" t="s">
        <v>14</v>
      </c>
      <c r="D2" t="s">
        <v>266</v>
      </c>
      <c r="E2" t="s">
        <v>267</v>
      </c>
      <c r="F2" t="s">
        <v>256</v>
      </c>
      <c r="G2" t="s">
        <v>251</v>
      </c>
      <c r="H2" t="s">
        <v>33</v>
      </c>
      <c r="I2" t="s">
        <v>15</v>
      </c>
      <c r="J2" t="s">
        <v>16</v>
      </c>
      <c r="L2" t="s">
        <v>334</v>
      </c>
      <c r="O2" t="s">
        <v>9</v>
      </c>
    </row>
    <row r="3" spans="1:15" x14ac:dyDescent="0.2">
      <c r="A3" s="76" t="s">
        <v>335</v>
      </c>
      <c r="B3" s="1" t="s">
        <v>3</v>
      </c>
      <c r="C3" t="s">
        <v>44</v>
      </c>
      <c r="D3" t="s">
        <v>271</v>
      </c>
      <c r="E3" t="s">
        <v>272</v>
      </c>
      <c r="F3" t="s">
        <v>289</v>
      </c>
      <c r="G3" t="s">
        <v>252</v>
      </c>
      <c r="H3" t="s">
        <v>93</v>
      </c>
      <c r="I3">
        <v>2022</v>
      </c>
      <c r="J3" s="73">
        <v>1</v>
      </c>
      <c r="L3" t="s">
        <v>273</v>
      </c>
      <c r="O3" t="s">
        <v>1</v>
      </c>
    </row>
    <row r="4" spans="1:15" x14ac:dyDescent="0.2">
      <c r="A4" s="76" t="s">
        <v>336</v>
      </c>
      <c r="B4" s="1" t="s">
        <v>3</v>
      </c>
      <c r="C4" t="s">
        <v>137</v>
      </c>
      <c r="D4" t="s">
        <v>310</v>
      </c>
      <c r="E4" t="s">
        <v>274</v>
      </c>
      <c r="F4" t="s">
        <v>337</v>
      </c>
      <c r="G4" t="s">
        <v>253</v>
      </c>
      <c r="H4" t="s">
        <v>166</v>
      </c>
      <c r="I4">
        <v>2023</v>
      </c>
      <c r="J4" s="73">
        <v>2</v>
      </c>
      <c r="L4" t="s">
        <v>306</v>
      </c>
      <c r="O4" t="s">
        <v>2</v>
      </c>
    </row>
    <row r="5" spans="1:15" x14ac:dyDescent="0.2">
      <c r="A5" s="76" t="s">
        <v>338</v>
      </c>
      <c r="B5" s="1" t="s">
        <v>3</v>
      </c>
      <c r="C5" t="s">
        <v>339</v>
      </c>
      <c r="F5" t="s">
        <v>279</v>
      </c>
      <c r="G5" t="s">
        <v>254</v>
      </c>
      <c r="H5" t="s">
        <v>63</v>
      </c>
      <c r="I5">
        <v>2024</v>
      </c>
      <c r="J5" s="73">
        <v>3</v>
      </c>
      <c r="L5" t="s">
        <v>340</v>
      </c>
      <c r="O5" t="s">
        <v>3</v>
      </c>
    </row>
    <row r="6" spans="1:15" x14ac:dyDescent="0.2">
      <c r="A6" s="76" t="s">
        <v>233</v>
      </c>
      <c r="B6" s="1" t="s">
        <v>3</v>
      </c>
      <c r="C6" t="s">
        <v>341</v>
      </c>
      <c r="F6" t="s">
        <v>342</v>
      </c>
      <c r="G6" t="s">
        <v>255</v>
      </c>
      <c r="H6" t="s">
        <v>343</v>
      </c>
      <c r="I6">
        <v>2025</v>
      </c>
      <c r="J6" s="73">
        <v>4</v>
      </c>
      <c r="O6" t="s">
        <v>4</v>
      </c>
    </row>
    <row r="7" spans="1:15" x14ac:dyDescent="0.2">
      <c r="A7" s="76" t="s">
        <v>344</v>
      </c>
      <c r="B7" s="1" t="s">
        <v>3</v>
      </c>
      <c r="C7" t="s">
        <v>345</v>
      </c>
      <c r="F7" t="s">
        <v>269</v>
      </c>
      <c r="G7" t="s">
        <v>343</v>
      </c>
      <c r="I7">
        <v>2026</v>
      </c>
      <c r="J7" s="73">
        <v>5</v>
      </c>
      <c r="O7" t="s">
        <v>5</v>
      </c>
    </row>
    <row r="8" spans="1:15" x14ac:dyDescent="0.2">
      <c r="A8" s="76" t="s">
        <v>228</v>
      </c>
      <c r="B8" s="1" t="s">
        <v>3</v>
      </c>
      <c r="C8" t="s">
        <v>343</v>
      </c>
      <c r="I8">
        <v>2027</v>
      </c>
      <c r="J8" s="73">
        <v>6</v>
      </c>
    </row>
    <row r="9" spans="1:15" x14ac:dyDescent="0.2">
      <c r="A9" s="76" t="s">
        <v>346</v>
      </c>
      <c r="B9" s="1" t="s">
        <v>3</v>
      </c>
      <c r="I9">
        <v>2028</v>
      </c>
      <c r="J9" s="73">
        <v>7</v>
      </c>
    </row>
    <row r="10" spans="1:15" x14ac:dyDescent="0.2">
      <c r="A10" s="76" t="s">
        <v>232</v>
      </c>
      <c r="B10" s="1" t="s">
        <v>3</v>
      </c>
      <c r="I10">
        <v>2029</v>
      </c>
      <c r="J10" s="73">
        <v>8</v>
      </c>
    </row>
    <row r="11" spans="1:15" x14ac:dyDescent="0.2">
      <c r="A11" s="76" t="s">
        <v>347</v>
      </c>
      <c r="B11" s="1" t="s">
        <v>3</v>
      </c>
      <c r="I11">
        <v>2030</v>
      </c>
      <c r="J11" s="73">
        <v>9</v>
      </c>
    </row>
    <row r="12" spans="1:15" x14ac:dyDescent="0.2">
      <c r="A12" s="76" t="s">
        <v>348</v>
      </c>
      <c r="B12" s="1" t="s">
        <v>3</v>
      </c>
      <c r="I12">
        <v>2031</v>
      </c>
      <c r="J12" s="73">
        <v>10</v>
      </c>
    </row>
    <row r="13" spans="1:15" x14ac:dyDescent="0.2">
      <c r="A13" s="76" t="s">
        <v>124</v>
      </c>
      <c r="B13" s="1" t="s">
        <v>1</v>
      </c>
      <c r="I13">
        <v>2032</v>
      </c>
      <c r="J13" s="73">
        <v>11</v>
      </c>
    </row>
    <row r="14" spans="1:15" x14ac:dyDescent="0.2">
      <c r="A14" s="76" t="s">
        <v>349</v>
      </c>
      <c r="B14" s="1" t="s">
        <v>1</v>
      </c>
      <c r="I14">
        <v>2033</v>
      </c>
      <c r="J14" s="73">
        <v>12</v>
      </c>
    </row>
    <row r="15" spans="1:15" x14ac:dyDescent="0.2">
      <c r="A15" s="76" t="s">
        <v>83</v>
      </c>
      <c r="B15" s="1" t="s">
        <v>1</v>
      </c>
      <c r="C15" s="74" t="s">
        <v>350</v>
      </c>
      <c r="D15" s="74" t="s">
        <v>351</v>
      </c>
      <c r="I15">
        <v>2034</v>
      </c>
    </row>
    <row r="16" spans="1:15" x14ac:dyDescent="0.2">
      <c r="A16" s="76" t="s">
        <v>277</v>
      </c>
      <c r="B16" s="1" t="s">
        <v>4</v>
      </c>
      <c r="C16" s="74" t="s">
        <v>277</v>
      </c>
      <c r="D16" s="74" t="s">
        <v>352</v>
      </c>
    </row>
    <row r="17" spans="1:4" x14ac:dyDescent="0.2">
      <c r="A17" s="76" t="s">
        <v>110</v>
      </c>
      <c r="B17" s="1" t="s">
        <v>4</v>
      </c>
      <c r="C17" s="74" t="s">
        <v>110</v>
      </c>
      <c r="D17" s="74" t="s">
        <v>116</v>
      </c>
    </row>
    <row r="18" spans="1:4" x14ac:dyDescent="0.2">
      <c r="A18" s="76" t="s">
        <v>89</v>
      </c>
      <c r="B18" s="1" t="s">
        <v>4</v>
      </c>
      <c r="C18" s="74" t="s">
        <v>89</v>
      </c>
      <c r="D18" s="74" t="s">
        <v>353</v>
      </c>
    </row>
    <row r="19" spans="1:4" x14ac:dyDescent="0.2">
      <c r="A19" s="76" t="s">
        <v>287</v>
      </c>
      <c r="B19" s="1" t="s">
        <v>4</v>
      </c>
    </row>
    <row r="20" spans="1:4" x14ac:dyDescent="0.2">
      <c r="A20" s="76" t="s">
        <v>293</v>
      </c>
      <c r="B20" s="1" t="s">
        <v>4</v>
      </c>
    </row>
    <row r="21" spans="1:4" x14ac:dyDescent="0.2">
      <c r="A21" s="76" t="s">
        <v>354</v>
      </c>
      <c r="B21" s="1" t="s">
        <v>4</v>
      </c>
    </row>
    <row r="22" spans="1:4" x14ac:dyDescent="0.2">
      <c r="A22" s="76" t="s">
        <v>355</v>
      </c>
      <c r="B22" s="1" t="s">
        <v>4</v>
      </c>
    </row>
    <row r="23" spans="1:4" x14ac:dyDescent="0.2">
      <c r="A23" s="76" t="s">
        <v>356</v>
      </c>
      <c r="B23" s="1" t="s">
        <v>4</v>
      </c>
    </row>
    <row r="24" spans="1:4" x14ac:dyDescent="0.2">
      <c r="A24" s="76" t="s">
        <v>357</v>
      </c>
      <c r="B24" s="1" t="s">
        <v>4</v>
      </c>
    </row>
    <row r="25" spans="1:4" x14ac:dyDescent="0.2">
      <c r="A25" s="76" t="s">
        <v>358</v>
      </c>
      <c r="B25" s="1" t="s">
        <v>4</v>
      </c>
    </row>
    <row r="26" spans="1:4" x14ac:dyDescent="0.2">
      <c r="A26" s="76" t="s">
        <v>359</v>
      </c>
      <c r="B26" s="1" t="s">
        <v>4</v>
      </c>
    </row>
    <row r="27" spans="1:4" x14ac:dyDescent="0.2">
      <c r="A27" s="76" t="s">
        <v>235</v>
      </c>
      <c r="B27" s="1" t="s">
        <v>4</v>
      </c>
    </row>
    <row r="28" spans="1:4" x14ac:dyDescent="0.2">
      <c r="A28" s="76" t="s">
        <v>314</v>
      </c>
      <c r="B28" s="1" t="s">
        <v>4</v>
      </c>
    </row>
    <row r="29" spans="1:4" x14ac:dyDescent="0.2">
      <c r="A29" s="77" t="s">
        <v>360</v>
      </c>
      <c r="B29" s="1" t="s">
        <v>3</v>
      </c>
    </row>
    <row r="30" spans="1:4" x14ac:dyDescent="0.2">
      <c r="A30" s="76" t="s">
        <v>361</v>
      </c>
      <c r="B30" s="1" t="s">
        <v>3</v>
      </c>
    </row>
    <row r="31" spans="1:4" x14ac:dyDescent="0.2">
      <c r="A31" s="76" t="s">
        <v>362</v>
      </c>
      <c r="B31" s="1" t="s">
        <v>4</v>
      </c>
    </row>
    <row r="32" spans="1:4" x14ac:dyDescent="0.2">
      <c r="A32" s="76" t="s">
        <v>363</v>
      </c>
      <c r="B32" s="1" t="s">
        <v>4</v>
      </c>
    </row>
    <row r="33" spans="1:2" x14ac:dyDescent="0.2">
      <c r="A33" s="76" t="s">
        <v>364</v>
      </c>
      <c r="B33" s="1" t="s">
        <v>4</v>
      </c>
    </row>
    <row r="34" spans="1:2" x14ac:dyDescent="0.2">
      <c r="A34" s="76" t="s">
        <v>365</v>
      </c>
      <c r="B34" s="1" t="s">
        <v>3</v>
      </c>
    </row>
    <row r="35" spans="1:2" x14ac:dyDescent="0.2">
      <c r="A35" s="76" t="s">
        <v>366</v>
      </c>
      <c r="B35" s="1" t="s">
        <v>1</v>
      </c>
    </row>
    <row r="36" spans="1:2" x14ac:dyDescent="0.2">
      <c r="A36" s="76" t="s">
        <v>367</v>
      </c>
      <c r="B36" s="1" t="s">
        <v>1</v>
      </c>
    </row>
    <row r="37" spans="1:2" x14ac:dyDescent="0.2">
      <c r="A37" s="76" t="s">
        <v>368</v>
      </c>
      <c r="B37" s="1" t="s">
        <v>2</v>
      </c>
    </row>
    <row r="38" spans="1:2" x14ac:dyDescent="0.2">
      <c r="A38" s="78" t="s">
        <v>369</v>
      </c>
      <c r="B38" s="75" t="s">
        <v>1</v>
      </c>
    </row>
    <row r="39" spans="1:2" x14ac:dyDescent="0.2">
      <c r="A39" s="78" t="s">
        <v>370</v>
      </c>
      <c r="B39" s="75" t="s">
        <v>1</v>
      </c>
    </row>
    <row r="40" spans="1:2" x14ac:dyDescent="0.2">
      <c r="A40" s="78" t="s">
        <v>371</v>
      </c>
      <c r="B40" s="75" t="s">
        <v>1</v>
      </c>
    </row>
    <row r="41" spans="1:2" x14ac:dyDescent="0.2">
      <c r="A41" s="78" t="s">
        <v>372</v>
      </c>
      <c r="B41" s="75" t="s">
        <v>1</v>
      </c>
    </row>
    <row r="42" spans="1:2" x14ac:dyDescent="0.2">
      <c r="A42" s="78" t="s">
        <v>373</v>
      </c>
      <c r="B42" s="75" t="s">
        <v>1</v>
      </c>
    </row>
    <row r="43" spans="1:2" x14ac:dyDescent="0.2">
      <c r="A43" s="78" t="s">
        <v>374</v>
      </c>
      <c r="B43" s="75"/>
    </row>
    <row r="44" spans="1:2" x14ac:dyDescent="0.2">
      <c r="A44" s="78" t="s">
        <v>375</v>
      </c>
      <c r="B44" s="75" t="s">
        <v>2</v>
      </c>
    </row>
    <row r="45" spans="1:2" x14ac:dyDescent="0.2">
      <c r="A45" s="78" t="s">
        <v>376</v>
      </c>
      <c r="B45" s="75" t="s">
        <v>2</v>
      </c>
    </row>
    <row r="46" spans="1:2" x14ac:dyDescent="0.2">
      <c r="A46" s="78" t="s">
        <v>377</v>
      </c>
      <c r="B46" s="75" t="s">
        <v>2</v>
      </c>
    </row>
    <row r="47" spans="1:2" x14ac:dyDescent="0.2">
      <c r="A47" s="78" t="s">
        <v>378</v>
      </c>
      <c r="B47" s="75"/>
    </row>
    <row r="48" spans="1:2" x14ac:dyDescent="0.2">
      <c r="A48" s="78" t="s">
        <v>379</v>
      </c>
      <c r="B48" s="75" t="s">
        <v>2</v>
      </c>
    </row>
    <row r="49" spans="1:2" x14ac:dyDescent="0.2">
      <c r="A49" s="76" t="s">
        <v>57</v>
      </c>
      <c r="B49" s="1" t="s">
        <v>2</v>
      </c>
    </row>
    <row r="50" spans="1:2" x14ac:dyDescent="0.2">
      <c r="A50" s="76" t="s">
        <v>380</v>
      </c>
      <c r="B50" s="1" t="s">
        <v>2</v>
      </c>
    </row>
    <row r="51" spans="1:2" x14ac:dyDescent="0.2">
      <c r="A51" s="76" t="s">
        <v>72</v>
      </c>
      <c r="B51" s="1" t="s">
        <v>2</v>
      </c>
    </row>
    <row r="52" spans="1:2" x14ac:dyDescent="0.2">
      <c r="A52" s="76" t="s">
        <v>381</v>
      </c>
      <c r="B52" s="1" t="s">
        <v>2</v>
      </c>
    </row>
    <row r="53" spans="1:2" x14ac:dyDescent="0.2">
      <c r="A53" s="76" t="s">
        <v>382</v>
      </c>
      <c r="B53" s="1" t="s">
        <v>2</v>
      </c>
    </row>
    <row r="54" spans="1:2" x14ac:dyDescent="0.2">
      <c r="A54" s="76" t="s">
        <v>383</v>
      </c>
      <c r="B54" s="1" t="s">
        <v>2</v>
      </c>
    </row>
    <row r="55" spans="1:2" x14ac:dyDescent="0.2">
      <c r="A55" s="76" t="s">
        <v>384</v>
      </c>
      <c r="B55" s="1" t="s">
        <v>1</v>
      </c>
    </row>
    <row r="56" spans="1:2" x14ac:dyDescent="0.2">
      <c r="A56" s="76" t="s">
        <v>385</v>
      </c>
      <c r="B56" s="1" t="s">
        <v>1</v>
      </c>
    </row>
    <row r="57" spans="1:2" x14ac:dyDescent="0.2">
      <c r="A57" s="76" t="s">
        <v>386</v>
      </c>
      <c r="B57" s="1" t="s">
        <v>1</v>
      </c>
    </row>
    <row r="58" spans="1:2" x14ac:dyDescent="0.2">
      <c r="A58" s="76" t="s">
        <v>387</v>
      </c>
      <c r="B58" s="1" t="s">
        <v>2</v>
      </c>
    </row>
    <row r="59" spans="1:2" x14ac:dyDescent="0.2">
      <c r="A59" s="76" t="s">
        <v>388</v>
      </c>
      <c r="B59" s="1" t="s">
        <v>2</v>
      </c>
    </row>
    <row r="60" spans="1:2" x14ac:dyDescent="0.2">
      <c r="A60" s="76" t="s">
        <v>389</v>
      </c>
      <c r="B60" s="1" t="s">
        <v>2</v>
      </c>
    </row>
    <row r="61" spans="1:2" x14ac:dyDescent="0.2">
      <c r="A61" s="76" t="s">
        <v>390</v>
      </c>
      <c r="B61" s="1" t="s">
        <v>1</v>
      </c>
    </row>
    <row r="62" spans="1:2" x14ac:dyDescent="0.2">
      <c r="A62" s="76" t="s">
        <v>391</v>
      </c>
      <c r="B62" s="1" t="s">
        <v>1</v>
      </c>
    </row>
    <row r="63" spans="1:2" x14ac:dyDescent="0.2">
      <c r="A63" s="76" t="s">
        <v>392</v>
      </c>
      <c r="B63" s="1" t="s">
        <v>2</v>
      </c>
    </row>
    <row r="64" spans="1:2" x14ac:dyDescent="0.2">
      <c r="A64" s="76" t="s">
        <v>393</v>
      </c>
      <c r="B64" s="1" t="s">
        <v>2</v>
      </c>
    </row>
  </sheetData>
  <phoneticPr fontId="3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"/>
  <sheetViews>
    <sheetView workbookViewId="0">
      <selection activeCell="K32" sqref="K32"/>
    </sheetView>
  </sheetViews>
  <sheetFormatPr defaultRowHeight="14.25" x14ac:dyDescent="0.2"/>
  <cols>
    <col min="1" max="1" width="19.625" bestFit="1" customWidth="1"/>
    <col min="2" max="2" width="15.375" bestFit="1" customWidth="1"/>
    <col min="3" max="3" width="11.875" bestFit="1" customWidth="1"/>
    <col min="4" max="5" width="13.375" bestFit="1" customWidth="1"/>
    <col min="6" max="6" width="15.375" bestFit="1" customWidth="1"/>
  </cols>
  <sheetData>
    <row r="3" spans="1:6" x14ac:dyDescent="0.2">
      <c r="B3" s="176" t="s">
        <v>394</v>
      </c>
    </row>
    <row r="4" spans="1:6" x14ac:dyDescent="0.2">
      <c r="B4" s="177" t="s">
        <v>254</v>
      </c>
      <c r="C4" s="177" t="s">
        <v>255</v>
      </c>
      <c r="D4" s="177" t="s">
        <v>252</v>
      </c>
      <c r="E4" s="177" t="s">
        <v>253</v>
      </c>
      <c r="F4" s="177" t="s">
        <v>395</v>
      </c>
    </row>
    <row r="5" spans="1:6" x14ac:dyDescent="0.2">
      <c r="A5" t="s">
        <v>396</v>
      </c>
      <c r="B5" s="177">
        <v>101241469.87219882</v>
      </c>
      <c r="C5" s="177">
        <v>381309</v>
      </c>
      <c r="D5" s="177">
        <v>3479218.2743362836</v>
      </c>
      <c r="E5" s="177">
        <v>2259022.2949999995</v>
      </c>
      <c r="F5" s="177">
        <v>107361019.4415351</v>
      </c>
    </row>
  </sheetData>
  <phoneticPr fontId="3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allowEditUser xmlns="https://web.wps.cn/et/2018/main" xmlns:s="http://schemas.openxmlformats.org/spreadsheetml/2006/main" hasInvisiblePropRange="0">
  <rangeList sheetStid="4" master="">
    <arrUserId title="Range1" rangeCreator="" othersAccessPermission="edit"/>
    <arrUserId title="Range1_1" rangeCreator="" othersAccessPermission="edit"/>
    <arrUserId title="Range1_2" rangeCreator="" othersAccessPermission="edit"/>
    <arrUserId title="Range1_3" rangeCreator="" othersAccessPermission="edit"/>
    <arrUserId title="Range1_10" rangeCreator="" othersAccessPermission="edit"/>
  </rangeList>
  <rangeList sheetStid="2" master="">
    <arrUserId title="Range1" rangeCreator="" othersAccessPermission="edit"/>
    <arrUserId title="Range1_2" rangeCreator="" othersAccessPermission="edit"/>
    <arrUserId title="Range1_3" rangeCreator="" othersAccessPermission="edit"/>
    <arrUserId title="Range1_5" rangeCreator="" othersAccessPermission="edit"/>
    <arrUserId title="Range1_6_3" rangeCreator="" othersAccessPermission="edit"/>
    <arrUserId title="Range1_1" rangeCreator="" othersAccessPermission="edit"/>
  </rangeList>
  <rangeList sheetStid="3" master=""/>
</allowEditUser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5E292BDB11A4D81E8F2A181DC9AE6" ma:contentTypeVersion="4" ma:contentTypeDescription="Create a new document." ma:contentTypeScope="" ma:versionID="fd564b06f895b698202bf55c2b6f4f9c">
  <xsd:schema xmlns:xsd="http://www.w3.org/2001/XMLSchema" xmlns:xs="http://www.w3.org/2001/XMLSchema" xmlns:p="http://schemas.microsoft.com/office/2006/metadata/properties" xmlns:ns2="3de942da-d7b3-403a-9220-c7f65a29d6c4" targetNamespace="http://schemas.microsoft.com/office/2006/metadata/properties" ma:root="true" ma:fieldsID="f0e307f23ab1d46a1e914cd099edabc1" ns2:_="">
    <xsd:import namespace="3de942da-d7b3-403a-9220-c7f65a29d6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942da-d7b3-403a-9220-c7f65a29d6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omments xmlns="https://web.wps.cn/et/2018/main" xmlns:s="http://schemas.openxmlformats.org/spreadsheetml/2006/main">
  <commentList sheetStid="4">
    <comment s:ref="S387" rgbClr="4FC178"/>
  </commentList>
  <commentList sheetStid="2"/>
</comment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89B5DE3C-652C-4E1B-A4A4-F1ED5B29EE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e942da-d7b3-403a-9220-c7f65a29d6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EFDD0A-6C05-49DF-841F-782C95FFEF0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9FC954BA-85F8-4CCF-A65A-4F69B0CA3BC0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Sheet2</vt:lpstr>
      <vt:lpstr>Sheet3</vt:lpstr>
      <vt:lpstr>Spend Track (part)</vt:lpstr>
      <vt:lpstr>Capex tracker</vt:lpstr>
      <vt:lpstr>Sheet1</vt:lpstr>
      <vt:lpstr>Capex summary Dec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Fang</dc:creator>
  <cp:keywords/>
  <dc:description/>
  <cp:lastModifiedBy>九七</cp:lastModifiedBy>
  <cp:revision/>
  <dcterms:created xsi:type="dcterms:W3CDTF">2015-06-05T18:17:00Z</dcterms:created>
  <dcterms:modified xsi:type="dcterms:W3CDTF">2025-04-05T15:58:39Z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2024-08-19T01:13:59Z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6228454d-3e60-4b82-9d30-746686eb3d3e</vt:lpwstr>
  </property>
  <property fmtid="{D5CDD505-2E9C-101B-9397-08002B2CF9AE}" pid="8" name="MSIP_Label_e9fea72e-161c-48c8-8e82-3fc1e9b3162c_ContentBits">
    <vt:lpwstr>0</vt:lpwstr>
  </property>
  <property fmtid="{D5CDD505-2E9C-101B-9397-08002B2CF9AE}" pid="9" name="ICV">
    <vt:lpwstr>2B1B8028A9B24F38BE1B71063C94B685</vt:lpwstr>
  </property>
  <property fmtid="{D5CDD505-2E9C-101B-9397-08002B2CF9AE}" pid="10" name="KSOProductBuildVer">
    <vt:lpwstr>2052-11.1.0.11365</vt:lpwstr>
  </property>
  <property fmtid="{D5CDD505-2E9C-101B-9397-08002B2CF9AE}" pid="11" name="KSOReadingLayout">
    <vt:bool>true</vt:bool>
  </property>
  <property fmtid="{D5CDD505-2E9C-101B-9397-08002B2CF9AE}" pid="12" name="ContentTypeId">
    <vt:lpwstr>0x01010052F5E292BDB11A4D81E8F2A181DC9AE6</vt:lpwstr>
  </property>
</Properties>
</file>