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Power BI缓存\New folder (7)\Spend tracker\Everwin\"/>
    </mc:Choice>
  </mc:AlternateContent>
  <bookViews>
    <workbookView xWindow="-105" yWindow="-105" windowWidth="51420" windowHeight="21105" activeTab="1"/>
  </bookViews>
  <sheets>
    <sheet name="Spend Track (part)" sheetId="1" r:id="rId1"/>
    <sheet name="Capex tracker" sheetId="2" r:id="rId2"/>
    <sheet name="Capex summary Dec 20204" sheetId="4" state="hidden" r:id="rId3"/>
    <sheet name="Sheet1" sheetId="3" state="hidden" r:id="rId4"/>
  </sheets>
  <externalReferences>
    <externalReference r:id="rId5"/>
  </externalReferences>
  <definedNames>
    <definedName name="_xlnm._FilterDatabase" localSheetId="1" hidden="1">'Capex tracker'!$A$5:$V$101</definedName>
    <definedName name="_xlnm._FilterDatabase" localSheetId="0" hidden="1">'Spend Track (part)'!$A$3:$AE$128</definedName>
  </definedNames>
  <calcPr calcId="162913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" i="1" l="1"/>
  <c r="AC6" i="1"/>
  <c r="AB6" i="1"/>
  <c r="Q6" i="1"/>
  <c r="N6" i="1"/>
  <c r="B6" i="1"/>
  <c r="AD5" i="1"/>
  <c r="AC5" i="1"/>
  <c r="AB5" i="1"/>
  <c r="Q5" i="1"/>
  <c r="N5" i="1"/>
  <c r="B5" i="1"/>
  <c r="AD4" i="1"/>
  <c r="AC4" i="1"/>
  <c r="AB4" i="1"/>
  <c r="Q4" i="1"/>
  <c r="N4" i="1"/>
  <c r="B4" i="1"/>
  <c r="AB10" i="1"/>
  <c r="AD9" i="1"/>
  <c r="AC9" i="1"/>
  <c r="AB9" i="1"/>
  <c r="Q9" i="1"/>
  <c r="N9" i="1"/>
  <c r="B9" i="1"/>
  <c r="AD8" i="1"/>
  <c r="AC8" i="1"/>
  <c r="AB8" i="1"/>
  <c r="Q8" i="1"/>
  <c r="N8" i="1"/>
  <c r="B8" i="1"/>
  <c r="AD7" i="1"/>
  <c r="AC7" i="1"/>
  <c r="AB7" i="1"/>
  <c r="Q7" i="1"/>
  <c r="N7" i="1"/>
  <c r="B7" i="1"/>
  <c r="AD18" i="1"/>
  <c r="AC18" i="1"/>
  <c r="AB18" i="1"/>
  <c r="Q18" i="1"/>
  <c r="N18" i="1"/>
  <c r="B18" i="1"/>
  <c r="AD17" i="1"/>
  <c r="AC17" i="1"/>
  <c r="AB17" i="1"/>
  <c r="Q17" i="1"/>
  <c r="N17" i="1"/>
  <c r="B17" i="1"/>
  <c r="AD12" i="1"/>
  <c r="AC12" i="1"/>
  <c r="AB12" i="1"/>
  <c r="Q12" i="1"/>
  <c r="N12" i="1"/>
  <c r="B12" i="1"/>
  <c r="AD11" i="1"/>
  <c r="AC11" i="1"/>
  <c r="AB11" i="1"/>
  <c r="Q11" i="1"/>
  <c r="N11" i="1"/>
  <c r="B11" i="1"/>
  <c r="AD10" i="1"/>
  <c r="AC10" i="1"/>
  <c r="Q10" i="1"/>
  <c r="N10" i="1"/>
  <c r="B10" i="1"/>
  <c r="AB13" i="1"/>
  <c r="AD108" i="1"/>
  <c r="AC108" i="1"/>
  <c r="AB108" i="1"/>
  <c r="U108" i="1"/>
  <c r="Q108" i="1"/>
  <c r="O108" i="1"/>
  <c r="B108" i="1"/>
  <c r="AD107" i="1"/>
  <c r="AC107" i="1"/>
  <c r="AB107" i="1"/>
  <c r="U107" i="1"/>
  <c r="Q107" i="1"/>
  <c r="O107" i="1"/>
  <c r="B107" i="1"/>
  <c r="AD106" i="1"/>
  <c r="AC106" i="1"/>
  <c r="AB106" i="1"/>
  <c r="U106" i="1"/>
  <c r="Q106" i="1"/>
  <c r="O106" i="1"/>
  <c r="B106" i="1"/>
  <c r="AD57" i="1"/>
  <c r="AC57" i="1"/>
  <c r="Q57" i="1"/>
  <c r="O57" i="1"/>
  <c r="M57" i="1"/>
  <c r="AB57" i="1" s="1"/>
  <c r="B57" i="1"/>
  <c r="AD56" i="1"/>
  <c r="AC56" i="1"/>
  <c r="Q56" i="1"/>
  <c r="O56" i="1"/>
  <c r="M56" i="1"/>
  <c r="AB56" i="1" s="1"/>
  <c r="B56" i="1"/>
  <c r="AD46" i="1"/>
  <c r="AC46" i="1"/>
  <c r="Q46" i="1"/>
  <c r="O46" i="1"/>
  <c r="M46" i="1"/>
  <c r="AB46" i="1" s="1"/>
  <c r="B46" i="1"/>
  <c r="AD15" i="1"/>
  <c r="AC15" i="1"/>
  <c r="AB15" i="1"/>
  <c r="Q15" i="1"/>
  <c r="N15" i="1"/>
  <c r="B15" i="1"/>
  <c r="S40" i="1"/>
  <c r="S37" i="1" s="1"/>
  <c r="S34" i="1" s="1"/>
  <c r="AD14" i="1"/>
  <c r="AC14" i="1"/>
  <c r="AB14" i="1"/>
  <c r="Q14" i="1"/>
  <c r="N14" i="1"/>
  <c r="B14" i="1"/>
  <c r="AD13" i="1"/>
  <c r="AC13" i="1"/>
  <c r="Q13" i="1"/>
  <c r="N13" i="1"/>
  <c r="B13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7" i="1"/>
  <c r="Q48" i="1"/>
  <c r="Q49" i="1"/>
  <c r="Q50" i="1"/>
  <c r="Q51" i="1"/>
  <c r="Q52" i="1"/>
  <c r="Q53" i="1"/>
  <c r="Q54" i="1"/>
  <c r="Q55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9" i="1"/>
  <c r="Q111" i="1"/>
  <c r="Q110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L16" i="1"/>
  <c r="Q16" i="1" s="1"/>
  <c r="AD16" i="1"/>
  <c r="AC16" i="1"/>
  <c r="AB16" i="1"/>
  <c r="B16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7" i="1"/>
  <c r="AC48" i="1"/>
  <c r="AC49" i="1"/>
  <c r="AC50" i="1"/>
  <c r="AC51" i="1"/>
  <c r="AC52" i="1"/>
  <c r="AC53" i="1"/>
  <c r="AC54" i="1"/>
  <c r="AC55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9" i="1"/>
  <c r="AC111" i="1"/>
  <c r="AC110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22" i="1"/>
  <c r="AC20" i="1"/>
  <c r="AC21" i="1"/>
  <c r="AC19" i="1"/>
  <c r="AD111" i="1"/>
  <c r="AD110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B111" i="1"/>
  <c r="AB110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D21" i="1"/>
  <c r="AB21" i="1"/>
  <c r="N21" i="1"/>
  <c r="O21" i="1" s="1"/>
  <c r="B21" i="1"/>
  <c r="AD20" i="1"/>
  <c r="AB20" i="1"/>
  <c r="N20" i="1"/>
  <c r="O20" i="1" s="1"/>
  <c r="B20" i="1"/>
  <c r="AD19" i="1"/>
  <c r="AB19" i="1"/>
  <c r="N19" i="1"/>
  <c r="O19" i="1" s="1"/>
  <c r="B19" i="1"/>
  <c r="O16" i="1"/>
  <c r="O125" i="1"/>
  <c r="O126" i="1"/>
  <c r="O127" i="1"/>
  <c r="O128" i="1"/>
  <c r="O124" i="1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O123" i="1"/>
  <c r="O122" i="1"/>
  <c r="O121" i="1"/>
  <c r="O120" i="1"/>
  <c r="O119" i="1"/>
  <c r="O118" i="1"/>
  <c r="O117" i="1"/>
  <c r="O116" i="1"/>
  <c r="O115" i="1"/>
  <c r="O114" i="1"/>
  <c r="O113" i="1"/>
  <c r="O112" i="1"/>
  <c r="O110" i="1"/>
  <c r="O111" i="1"/>
  <c r="O109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5" i="1"/>
  <c r="O54" i="1"/>
  <c r="O53" i="1"/>
  <c r="O52" i="1"/>
  <c r="O51" i="1"/>
  <c r="O50" i="1"/>
  <c r="O49" i="1"/>
  <c r="O48" i="1"/>
  <c r="O47" i="1"/>
  <c r="B125" i="1"/>
  <c r="B126" i="1"/>
  <c r="B127" i="1"/>
  <c r="B128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0" i="1"/>
  <c r="B111" i="1"/>
  <c r="B109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5" i="1"/>
  <c r="B54" i="1"/>
  <c r="B53" i="1"/>
  <c r="B52" i="1"/>
  <c r="B51" i="1"/>
  <c r="B50" i="1"/>
  <c r="B49" i="1"/>
  <c r="B48" i="1"/>
  <c r="B47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S105" i="1"/>
  <c r="S103" i="1" s="1"/>
  <c r="U103" i="1" s="1"/>
  <c r="S104" i="1"/>
  <c r="S102" i="1" s="1"/>
  <c r="AD80" i="1"/>
  <c r="M80" i="1"/>
  <c r="AB80" i="1" s="1"/>
  <c r="M105" i="1"/>
  <c r="AB105" i="1" s="1"/>
  <c r="M104" i="1"/>
  <c r="AB104" i="1" s="1"/>
  <c r="M103" i="1"/>
  <c r="AB103" i="1" s="1"/>
  <c r="M102" i="1"/>
  <c r="AB102" i="1" s="1"/>
  <c r="M101" i="1"/>
  <c r="AB101" i="1" s="1"/>
  <c r="M100" i="1"/>
  <c r="AB100" i="1" s="1"/>
  <c r="M99" i="1"/>
  <c r="AB99" i="1" s="1"/>
  <c r="M98" i="1"/>
  <c r="AB98" i="1" s="1"/>
  <c r="M97" i="1"/>
  <c r="AB97" i="1" s="1"/>
  <c r="M96" i="1"/>
  <c r="AB96" i="1" s="1"/>
  <c r="M95" i="1"/>
  <c r="AB95" i="1" s="1"/>
  <c r="M94" i="1"/>
  <c r="AB94" i="1" s="1"/>
  <c r="M93" i="1"/>
  <c r="AB93" i="1" s="1"/>
  <c r="M92" i="1"/>
  <c r="AB92" i="1" s="1"/>
  <c r="M91" i="1"/>
  <c r="AB91" i="1" s="1"/>
  <c r="M90" i="1"/>
  <c r="AB90" i="1" s="1"/>
  <c r="M89" i="1"/>
  <c r="AB89" i="1" s="1"/>
  <c r="M88" i="1"/>
  <c r="AB88" i="1" s="1"/>
  <c r="M87" i="1"/>
  <c r="AB87" i="1" s="1"/>
  <c r="M86" i="1"/>
  <c r="AB86" i="1" s="1"/>
  <c r="M85" i="1"/>
  <c r="AB85" i="1" s="1"/>
  <c r="M84" i="1"/>
  <c r="AB84" i="1" s="1"/>
  <c r="M83" i="1"/>
  <c r="AB83" i="1" s="1"/>
  <c r="M82" i="1"/>
  <c r="AB82" i="1" s="1"/>
  <c r="M81" i="1"/>
  <c r="AB81" i="1" s="1"/>
  <c r="M79" i="1"/>
  <c r="AB79" i="1" s="1"/>
  <c r="M78" i="1"/>
  <c r="AB78" i="1" s="1"/>
  <c r="U128" i="1"/>
  <c r="U115" i="1"/>
  <c r="U117" i="1"/>
  <c r="U118" i="1"/>
  <c r="U119" i="1"/>
  <c r="U120" i="1"/>
  <c r="U121" i="1"/>
  <c r="U122" i="1"/>
  <c r="U123" i="1"/>
  <c r="U124" i="1"/>
  <c r="U125" i="1"/>
  <c r="U126" i="1"/>
  <c r="U127" i="1"/>
  <c r="U114" i="1"/>
  <c r="U110" i="1"/>
  <c r="U116" i="1"/>
  <c r="U113" i="1"/>
  <c r="U112" i="1"/>
  <c r="U111" i="1"/>
  <c r="AD109" i="1"/>
  <c r="AB109" i="1"/>
  <c r="U109" i="1"/>
  <c r="S76" i="1"/>
  <c r="S74" i="1" s="1"/>
  <c r="S77" i="1"/>
  <c r="U77" i="1" s="1"/>
  <c r="M77" i="1"/>
  <c r="AB77" i="1" s="1"/>
  <c r="M76" i="1"/>
  <c r="AB76" i="1" s="1"/>
  <c r="M75" i="1"/>
  <c r="AB75" i="1" s="1"/>
  <c r="M74" i="1"/>
  <c r="AB74" i="1" s="1"/>
  <c r="M73" i="1"/>
  <c r="AB73" i="1" s="1"/>
  <c r="M72" i="1"/>
  <c r="AB72" i="1" s="1"/>
  <c r="M71" i="1"/>
  <c r="AB71" i="1" s="1"/>
  <c r="M70" i="1"/>
  <c r="AB70" i="1" s="1"/>
  <c r="M69" i="1"/>
  <c r="AB69" i="1" s="1"/>
  <c r="M68" i="1"/>
  <c r="AB68" i="1" s="1"/>
  <c r="M67" i="1"/>
  <c r="AB67" i="1" s="1"/>
  <c r="M66" i="1"/>
  <c r="AB66" i="1" s="1"/>
  <c r="M65" i="1"/>
  <c r="AB65" i="1" s="1"/>
  <c r="M64" i="1"/>
  <c r="AB64" i="1" s="1"/>
  <c r="M63" i="1"/>
  <c r="AB63" i="1" s="1"/>
  <c r="M62" i="1"/>
  <c r="AB62" i="1" s="1"/>
  <c r="M61" i="1"/>
  <c r="AB61" i="1" s="1"/>
  <c r="M60" i="1"/>
  <c r="AB60" i="1" s="1"/>
  <c r="M58" i="1"/>
  <c r="AB58" i="1" s="1"/>
  <c r="M59" i="1"/>
  <c r="AB59" i="1" s="1"/>
  <c r="S55" i="1"/>
  <c r="S54" i="1" s="1"/>
  <c r="U54" i="1" s="1"/>
  <c r="M55" i="1"/>
  <c r="AB55" i="1" s="1"/>
  <c r="M54" i="1"/>
  <c r="AB54" i="1" s="1"/>
  <c r="M53" i="1"/>
  <c r="AB53" i="1" s="1"/>
  <c r="M52" i="1"/>
  <c r="AB52" i="1" s="1"/>
  <c r="M51" i="1"/>
  <c r="AB51" i="1" s="1"/>
  <c r="M50" i="1"/>
  <c r="AB50" i="1" s="1"/>
  <c r="M49" i="1"/>
  <c r="AB49" i="1" s="1"/>
  <c r="M48" i="1"/>
  <c r="AB48" i="1" s="1"/>
  <c r="M47" i="1"/>
  <c r="AB47" i="1" s="1"/>
  <c r="R10" i="2"/>
  <c r="R9" i="2"/>
  <c r="N25" i="1"/>
  <c r="O25" i="1" s="1"/>
  <c r="AD27" i="1"/>
  <c r="AB27" i="1"/>
  <c r="N27" i="1"/>
  <c r="O27" i="1" s="1"/>
  <c r="AD26" i="1"/>
  <c r="AB26" i="1"/>
  <c r="N26" i="1"/>
  <c r="O26" i="1" s="1"/>
  <c r="AD25" i="1"/>
  <c r="AB25" i="1"/>
  <c r="N23" i="1"/>
  <c r="O23" i="1" s="1"/>
  <c r="N24" i="1"/>
  <c r="O24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S45" i="1"/>
  <c r="S42" i="1" s="1"/>
  <c r="S44" i="1"/>
  <c r="S41" i="1" s="1"/>
  <c r="S43" i="1"/>
  <c r="AD45" i="1"/>
  <c r="AB45" i="1"/>
  <c r="AD44" i="1"/>
  <c r="AB44" i="1"/>
  <c r="AD43" i="1"/>
  <c r="AB43" i="1"/>
  <c r="R31" i="2"/>
  <c r="R33" i="2"/>
  <c r="R32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8" i="2"/>
  <c r="R7" i="2"/>
  <c r="R6" i="2"/>
  <c r="AD22" i="1"/>
  <c r="AB22" i="1"/>
  <c r="N22" i="1"/>
  <c r="O22" i="1" s="1"/>
  <c r="AB23" i="1"/>
  <c r="AB24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D23" i="1"/>
  <c r="AD24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7" i="1"/>
  <c r="AD48" i="1"/>
  <c r="AD49" i="1"/>
  <c r="AD50" i="1"/>
  <c r="AD51" i="1"/>
  <c r="AD52" i="1"/>
  <c r="AD53" i="1"/>
  <c r="AD54" i="1"/>
  <c r="AD55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O4" i="1" l="1"/>
  <c r="O5" i="1"/>
  <c r="O6" i="1"/>
  <c r="O7" i="1"/>
  <c r="O8" i="1"/>
  <c r="O9" i="1"/>
  <c r="O17" i="1"/>
  <c r="O18" i="1"/>
  <c r="O10" i="1"/>
  <c r="O11" i="1"/>
  <c r="O12" i="1"/>
  <c r="O15" i="1"/>
  <c r="U37" i="1"/>
  <c r="S75" i="1"/>
  <c r="S73" i="1" s="1"/>
  <c r="U73" i="1" s="1"/>
  <c r="U105" i="1"/>
  <c r="U55" i="1"/>
  <c r="U44" i="1"/>
  <c r="S101" i="1"/>
  <c r="U45" i="1"/>
  <c r="U40" i="1"/>
  <c r="O13" i="1"/>
  <c r="O14" i="1"/>
  <c r="U41" i="1"/>
  <c r="S38" i="1"/>
  <c r="S72" i="1"/>
  <c r="U74" i="1"/>
  <c r="U34" i="1"/>
  <c r="S31" i="1"/>
  <c r="U102" i="1"/>
  <c r="S100" i="1"/>
  <c r="S53" i="1"/>
  <c r="U104" i="1"/>
  <c r="S39" i="1"/>
  <c r="U42" i="1"/>
  <c r="U43" i="1"/>
  <c r="U75" i="1" l="1"/>
  <c r="S71" i="1"/>
  <c r="U71" i="1" s="1"/>
  <c r="S28" i="1"/>
  <c r="S25" i="1" s="1"/>
  <c r="S99" i="1"/>
  <c r="U101" i="1"/>
  <c r="U72" i="1"/>
  <c r="S70" i="1"/>
  <c r="U39" i="1"/>
  <c r="S36" i="1"/>
  <c r="U31" i="1"/>
  <c r="S52" i="1"/>
  <c r="U53" i="1"/>
  <c r="U38" i="1"/>
  <c r="S35" i="1"/>
  <c r="U100" i="1"/>
  <c r="S98" i="1"/>
  <c r="S69" i="1" l="1"/>
  <c r="U69" i="1" s="1"/>
  <c r="U28" i="1"/>
  <c r="S22" i="1"/>
  <c r="U25" i="1"/>
  <c r="U99" i="1"/>
  <c r="S97" i="1"/>
  <c r="S33" i="1"/>
  <c r="U36" i="1"/>
  <c r="S68" i="1"/>
  <c r="U70" i="1"/>
  <c r="S32" i="1"/>
  <c r="U35" i="1"/>
  <c r="S51" i="1"/>
  <c r="U52" i="1"/>
  <c r="U98" i="1"/>
  <c r="S96" i="1"/>
  <c r="S67" i="1" l="1"/>
  <c r="S65" i="1" s="1"/>
  <c r="U97" i="1"/>
  <c r="S95" i="1"/>
  <c r="S19" i="1"/>
  <c r="U22" i="1"/>
  <c r="U96" i="1"/>
  <c r="S94" i="1"/>
  <c r="S50" i="1"/>
  <c r="U51" i="1"/>
  <c r="S29" i="1"/>
  <c r="U32" i="1"/>
  <c r="S66" i="1"/>
  <c r="U68" i="1"/>
  <c r="U33" i="1"/>
  <c r="S30" i="1"/>
  <c r="U67" i="1" l="1"/>
  <c r="S16" i="1"/>
  <c r="U19" i="1"/>
  <c r="S93" i="1"/>
  <c r="U95" i="1"/>
  <c r="S27" i="1"/>
  <c r="S24" i="1" s="1"/>
  <c r="S21" i="1" s="1"/>
  <c r="S18" i="1" s="1"/>
  <c r="S15" i="1" s="1"/>
  <c r="U30" i="1"/>
  <c r="S63" i="1"/>
  <c r="U65" i="1"/>
  <c r="S64" i="1"/>
  <c r="U66" i="1"/>
  <c r="U29" i="1"/>
  <c r="S26" i="1"/>
  <c r="S49" i="1"/>
  <c r="U50" i="1"/>
  <c r="S92" i="1"/>
  <c r="U94" i="1"/>
  <c r="U93" i="1" l="1"/>
  <c r="S91" i="1"/>
  <c r="S48" i="1"/>
  <c r="U49" i="1"/>
  <c r="S23" i="1"/>
  <c r="U26" i="1"/>
  <c r="S62" i="1"/>
  <c r="U64" i="1"/>
  <c r="S61" i="1"/>
  <c r="U63" i="1"/>
  <c r="U92" i="1"/>
  <c r="S90" i="1"/>
  <c r="U27" i="1"/>
  <c r="S20" i="1" l="1"/>
  <c r="S12" i="1" s="1"/>
  <c r="S9" i="1" s="1"/>
  <c r="U18" i="1"/>
  <c r="S17" i="1"/>
  <c r="U17" i="1" s="1"/>
  <c r="U91" i="1"/>
  <c r="S89" i="1"/>
  <c r="S88" i="1"/>
  <c r="U90" i="1"/>
  <c r="S47" i="1"/>
  <c r="U48" i="1"/>
  <c r="S59" i="1"/>
  <c r="U61" i="1"/>
  <c r="S60" i="1"/>
  <c r="U62" i="1"/>
  <c r="U23" i="1"/>
  <c r="U24" i="1"/>
  <c r="U9" i="1" l="1"/>
  <c r="S6" i="1"/>
  <c r="U6" i="1" s="1"/>
  <c r="S14" i="1"/>
  <c r="S11" i="1" s="1"/>
  <c r="S8" i="1" s="1"/>
  <c r="U15" i="1"/>
  <c r="U12" i="1"/>
  <c r="U59" i="1"/>
  <c r="S57" i="1"/>
  <c r="U57" i="1" s="1"/>
  <c r="U47" i="1"/>
  <c r="S46" i="1"/>
  <c r="U46" i="1" s="1"/>
  <c r="U89" i="1"/>
  <c r="S87" i="1"/>
  <c r="U20" i="1"/>
  <c r="U60" i="1"/>
  <c r="S58" i="1"/>
  <c r="U21" i="1"/>
  <c r="S86" i="1"/>
  <c r="U88" i="1"/>
  <c r="U8" i="1" l="1"/>
  <c r="S5" i="1"/>
  <c r="U5" i="1" s="1"/>
  <c r="U11" i="1"/>
  <c r="U14" i="1"/>
  <c r="U58" i="1"/>
  <c r="S56" i="1"/>
  <c r="U56" i="1" s="1"/>
  <c r="S85" i="1"/>
  <c r="U87" i="1"/>
  <c r="U16" i="1"/>
  <c r="S13" i="1"/>
  <c r="U86" i="1"/>
  <c r="S84" i="1"/>
  <c r="U13" i="1" l="1"/>
  <c r="S10" i="1"/>
  <c r="U85" i="1"/>
  <c r="S83" i="1"/>
  <c r="U84" i="1"/>
  <c r="S82" i="1"/>
  <c r="U10" i="1" l="1"/>
  <c r="S7" i="1"/>
  <c r="S79" i="1"/>
  <c r="U79" i="1" s="1"/>
  <c r="U83" i="1"/>
  <c r="S81" i="1"/>
  <c r="U82" i="1"/>
  <c r="U7" i="1" l="1"/>
  <c r="S4" i="1"/>
  <c r="U4" i="1" s="1"/>
  <c r="U81" i="1"/>
  <c r="S80" i="1"/>
  <c r="U80" i="1" l="1"/>
  <c r="S78" i="1"/>
  <c r="U78" i="1" s="1"/>
</calcChain>
</file>

<file path=xl/comments1.xml><?xml version="1.0" encoding="utf-8"?>
<comments xmlns="http://schemas.openxmlformats.org/spreadsheetml/2006/main">
  <authors>
    <author>tc={43BDF6C0-0A85-4A35-B77B-7BEB61F35C9A}</author>
    <author>tc={DC669CD9-7CEA-43B8-8418-F8F07DC77E92}</author>
  </authors>
  <commentList>
    <comment ref="V3" authorId="0" shapeId="0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Follow with the description in latest 2D drawings.</t>
        </r>
      </text>
    </comment>
    <comment ref="Z3" authorId="1" shapeId="0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Painting, anodizing, printing or others</t>
        </r>
      </text>
    </comment>
  </commentList>
</comments>
</file>

<file path=xl/sharedStrings.xml><?xml version="1.0" encoding="utf-8"?>
<sst xmlns="http://schemas.openxmlformats.org/spreadsheetml/2006/main" count="1506" uniqueCount="208">
  <si>
    <t>Product category</t>
  </si>
  <si>
    <t>RCS POD</t>
  </si>
  <si>
    <t>RCS DEVICE</t>
  </si>
  <si>
    <t>MODI</t>
  </si>
  <si>
    <t>MO</t>
  </si>
  <si>
    <t>请确保和最新的2D 图纸一样，包括大小写. 字体请用Calibri， 10 号字体</t>
  </si>
  <si>
    <t>Project</t>
  </si>
  <si>
    <t>Product Category</t>
  </si>
  <si>
    <t>Part Name</t>
  </si>
  <si>
    <t>Part No.</t>
  </si>
  <si>
    <t xml:space="preserve">Supplier </t>
  </si>
  <si>
    <t>Commonality</t>
  </si>
  <si>
    <t>Commodity</t>
  </si>
  <si>
    <t>Year</t>
  </si>
  <si>
    <t>Month</t>
  </si>
  <si>
    <t>Data Submit Date</t>
  </si>
  <si>
    <t>Split</t>
  </si>
  <si>
    <t>Unit price w/o amortization</t>
  </si>
  <si>
    <t>Unit Price with Amortization</t>
  </si>
  <si>
    <t>Amortization Cost</t>
  </si>
  <si>
    <t>Blended Amortization Cost</t>
  </si>
  <si>
    <t>Usage in BOM</t>
  </si>
  <si>
    <t>BOM cost</t>
  </si>
  <si>
    <t>Shipped Volume</t>
  </si>
  <si>
    <t>Cum Shipped Volume</t>
  </si>
  <si>
    <t>Total Capex Cost</t>
  </si>
  <si>
    <t>Remaining Capex Cost</t>
  </si>
  <si>
    <t>Material Type</t>
  </si>
  <si>
    <t>Color</t>
  </si>
  <si>
    <t>Material Usage/part (g)</t>
  </si>
  <si>
    <t>Material Supplier</t>
  </si>
  <si>
    <t>CMF Type</t>
  </si>
  <si>
    <t>CMF Cost/part</t>
  </si>
  <si>
    <t>Total Spend</t>
  </si>
  <si>
    <t>Total CMF Cost</t>
  </si>
  <si>
    <t>Total Material Usage (kg)</t>
  </si>
  <si>
    <t>Remark</t>
  </si>
  <si>
    <t>Hestia 1.0</t>
  </si>
  <si>
    <t>Heater cover silicone(Automation ver)</t>
  </si>
  <si>
    <t>Everwin</t>
    <phoneticPr fontId="4" type="noConversion"/>
  </si>
  <si>
    <t>Silicone</t>
  </si>
  <si>
    <t>TY371-60A</t>
    <phoneticPr fontId="4" type="noConversion"/>
  </si>
  <si>
    <t>Natural</t>
  </si>
  <si>
    <t>XinAnTianYu</t>
    <phoneticPr fontId="4" type="noConversion"/>
  </si>
  <si>
    <t>Heater holder silicone</t>
    <phoneticPr fontId="4" type="noConversion"/>
  </si>
  <si>
    <t>Heater silicone(Automation ver)</t>
    <phoneticPr fontId="4" type="noConversion"/>
  </si>
  <si>
    <t>Heater cover silicone(Automation ver)</t>
    <phoneticPr fontId="4" type="noConversion"/>
  </si>
  <si>
    <t>HYPER BESPOKE</t>
  </si>
  <si>
    <t>ALUMINUM SLEEVE MACHINED</t>
    <phoneticPr fontId="4" type="noConversion"/>
  </si>
  <si>
    <t>09702104</t>
    <phoneticPr fontId="11" type="noConversion"/>
  </si>
  <si>
    <t>Metal</t>
  </si>
  <si>
    <t>AL6063-T6</t>
    <phoneticPr fontId="4" type="noConversion"/>
  </si>
  <si>
    <t>Yizhen</t>
    <phoneticPr fontId="4" type="noConversion"/>
  </si>
  <si>
    <t>Anodizing</t>
  </si>
  <si>
    <t>X2</t>
  </si>
  <si>
    <t>HEATER_TUBE_AL</t>
    <phoneticPr fontId="4" type="noConversion"/>
  </si>
  <si>
    <t>107-22-005</t>
    <phoneticPr fontId="4" type="noConversion"/>
  </si>
  <si>
    <t>SHUTTER DOOR COVER</t>
    <phoneticPr fontId="4" type="noConversion"/>
  </si>
  <si>
    <t>107-22-015</t>
    <phoneticPr fontId="4" type="noConversion"/>
  </si>
  <si>
    <t>X2 Air</t>
  </si>
  <si>
    <t>HOUSING</t>
    <phoneticPr fontId="4" type="noConversion"/>
  </si>
  <si>
    <t>350052141000</t>
    <phoneticPr fontId="4" type="noConversion"/>
  </si>
  <si>
    <t>SLIDER COVER</t>
    <phoneticPr fontId="4" type="noConversion"/>
  </si>
  <si>
    <t>350052142000</t>
    <phoneticPr fontId="4" type="noConversion"/>
  </si>
  <si>
    <t>ePod 3</t>
  </si>
  <si>
    <t>Silicone Seal 1</t>
    <phoneticPr fontId="4" type="noConversion"/>
  </si>
  <si>
    <t>14011044X</t>
    <phoneticPr fontId="4" type="noConversion"/>
  </si>
  <si>
    <t xml:space="preserve">No shipment </t>
  </si>
  <si>
    <t>Silicone Seal 3</t>
    <phoneticPr fontId="4" type="noConversion"/>
  </si>
  <si>
    <t>15120007X</t>
    <phoneticPr fontId="4" type="noConversion"/>
  </si>
  <si>
    <t>Silicone Seal 2</t>
    <phoneticPr fontId="4" type="noConversion"/>
  </si>
  <si>
    <t>Artemis 1.1 PRO</t>
  </si>
  <si>
    <t>HOUSING</t>
  </si>
  <si>
    <t>0660201001</t>
  </si>
  <si>
    <t>TOP_COVER</t>
  </si>
  <si>
    <t>0660201002</t>
  </si>
  <si>
    <t>MAIN_CHASSIS</t>
  </si>
  <si>
    <t>0660202005</t>
  </si>
  <si>
    <t>Plastic</t>
  </si>
  <si>
    <t>Modi Max</t>
  </si>
  <si>
    <t>Top Seal Silicone</t>
  </si>
  <si>
    <t>YJ49265-5</t>
  </si>
  <si>
    <t>Slider Cover Silicone</t>
  </si>
  <si>
    <t>YJ49265-8</t>
  </si>
  <si>
    <t>Slider Silicone</t>
  </si>
  <si>
    <t>YJ49265-10</t>
  </si>
  <si>
    <t>Mic Sensor Silicone</t>
  </si>
  <si>
    <t>YJ49265-13</t>
  </si>
  <si>
    <t>Top Block Silicone</t>
  </si>
  <si>
    <t>YJ49265-17</t>
  </si>
  <si>
    <t>Bottom Block Silicone</t>
  </si>
  <si>
    <t>YJ49265-18</t>
  </si>
  <si>
    <t>Top Silicone Cap</t>
  </si>
  <si>
    <t>YJ49265-25</t>
  </si>
  <si>
    <t>Bottom Silicone Cap</t>
  </si>
  <si>
    <t>YJ49265-26A</t>
    <phoneticPr fontId="0" type="noConversion"/>
  </si>
  <si>
    <t>YJ49265-26B</t>
    <phoneticPr fontId="0" type="noConversion"/>
  </si>
  <si>
    <t>Tool type</t>
  </si>
  <si>
    <t>Soft tool</t>
  </si>
  <si>
    <t>Soft tool EC</t>
  </si>
  <si>
    <t>Hard tool</t>
  </si>
  <si>
    <t>Hard tool EC</t>
  </si>
  <si>
    <t>HP</t>
  </si>
  <si>
    <t>Stage</t>
  </si>
  <si>
    <t>Cavity</t>
  </si>
  <si>
    <t>Tooling Capacity Per Month</t>
  </si>
  <si>
    <t>Total Capacity Per Month</t>
  </si>
  <si>
    <t>Tooling life</t>
  </si>
  <si>
    <t>Kick off date</t>
  </si>
  <si>
    <t>Tool Unit cost</t>
  </si>
  <si>
    <t>Q'ty</t>
  </si>
  <si>
    <t>Total Tool cost</t>
  </si>
  <si>
    <t>Requested by Whom</t>
  </si>
  <si>
    <t>Approval Status</t>
  </si>
  <si>
    <t>Payment Status</t>
    <phoneticPr fontId="4" type="noConversion"/>
  </si>
  <si>
    <t>Tooling Cost Reference</t>
  </si>
  <si>
    <t>Everwin</t>
    <phoneticPr fontId="11" type="noConversion"/>
  </si>
  <si>
    <t>POP</t>
  </si>
  <si>
    <t>5th Jan 2022</t>
    <phoneticPr fontId="4" type="noConversion"/>
  </si>
  <si>
    <t>Jon Hayward</t>
    <phoneticPr fontId="4" type="noConversion"/>
  </si>
  <si>
    <t>Approved</t>
  </si>
  <si>
    <t>No</t>
  </si>
  <si>
    <t>Tripartite agreement</t>
  </si>
  <si>
    <t>1st Dec 2022</t>
    <phoneticPr fontId="4" type="noConversion"/>
  </si>
  <si>
    <t>7th Nov 2022</t>
    <phoneticPr fontId="4" type="noConversion"/>
  </si>
  <si>
    <t>Yes</t>
  </si>
  <si>
    <t>24th Dec 2022</t>
    <phoneticPr fontId="4" type="noConversion"/>
  </si>
  <si>
    <t>Srikanth Naule</t>
    <phoneticPr fontId="4" type="noConversion"/>
  </si>
  <si>
    <t>Award Letter</t>
  </si>
  <si>
    <t>28th Nov 2023</t>
    <phoneticPr fontId="4" type="noConversion"/>
  </si>
  <si>
    <t>Kevin Jin</t>
    <phoneticPr fontId="4" type="noConversion"/>
  </si>
  <si>
    <t>29th Jan 2024</t>
    <phoneticPr fontId="4" type="noConversion"/>
  </si>
  <si>
    <t>Chris Fang</t>
    <phoneticPr fontId="4" type="noConversion"/>
  </si>
  <si>
    <t>18th Nov 2022</t>
    <phoneticPr fontId="4" type="noConversion"/>
  </si>
  <si>
    <t>15th Dec 2022</t>
    <phoneticPr fontId="4" type="noConversion"/>
  </si>
  <si>
    <t>Soft tool EC</t>
    <phoneticPr fontId="4" type="noConversion"/>
  </si>
  <si>
    <t>10th Jan 2023</t>
    <phoneticPr fontId="4" type="noConversion"/>
  </si>
  <si>
    <t>12th Jan 2023</t>
    <phoneticPr fontId="4" type="noConversion"/>
  </si>
  <si>
    <t>列标签</t>
  </si>
  <si>
    <t>总计</t>
  </si>
  <si>
    <t>Sum of Total Tool cost</t>
  </si>
  <si>
    <t>Vega</t>
  </si>
  <si>
    <t>Payment Status</t>
  </si>
  <si>
    <t>Requested by Who</t>
  </si>
  <si>
    <t xml:space="preserve">Box 8000 1.0 </t>
  </si>
  <si>
    <t>Painting</t>
  </si>
  <si>
    <t>Chris</t>
  </si>
  <si>
    <t>DP1500</t>
  </si>
  <si>
    <t>Not Approved</t>
  </si>
  <si>
    <t>POA</t>
  </si>
  <si>
    <t>Candy</t>
  </si>
  <si>
    <t>Pen 800 Default 2.0</t>
  </si>
  <si>
    <t>POC</t>
  </si>
  <si>
    <t>Printing</t>
  </si>
  <si>
    <t>Charlie</t>
  </si>
  <si>
    <t>Pen 800 Full 2.0</t>
  </si>
  <si>
    <t>Die-cut</t>
  </si>
  <si>
    <t>DP</t>
  </si>
  <si>
    <t>Others</t>
  </si>
  <si>
    <t>Box 800 Default 2.0</t>
  </si>
  <si>
    <t>Magnet</t>
  </si>
  <si>
    <t>Box 800 Full 2.0</t>
  </si>
  <si>
    <t>Box 3000 Full 2.0</t>
  </si>
  <si>
    <t>Box 5000 Full 2.0</t>
  </si>
  <si>
    <t>Sensa 5K</t>
  </si>
  <si>
    <t>Box 8000 Full 2.0</t>
  </si>
  <si>
    <t xml:space="preserve">Alto Pod </t>
  </si>
  <si>
    <t>ePod/epod2 cartridge</t>
  </si>
  <si>
    <t>Prismatic Pod</t>
  </si>
  <si>
    <t>X3</t>
  </si>
  <si>
    <t>before</t>
  </si>
  <si>
    <t>after</t>
  </si>
  <si>
    <t>X3 2P</t>
  </si>
  <si>
    <t>Hyper Pro 2P</t>
  </si>
  <si>
    <t>X3 Core</t>
  </si>
  <si>
    <t>Hyper Core</t>
  </si>
  <si>
    <t>X3 1P</t>
  </si>
  <si>
    <t xml:space="preserve">Hyper Pro </t>
  </si>
  <si>
    <t>Artemis 1P</t>
  </si>
  <si>
    <t>Artemis 2P</t>
  </si>
  <si>
    <t>Artemis BRUSH</t>
  </si>
  <si>
    <t>Artemis 1.1 CORE</t>
  </si>
  <si>
    <t>Clyde POD</t>
  </si>
  <si>
    <t>Clyde RCS DEVICE</t>
  </si>
  <si>
    <t>Bacchus</t>
  </si>
  <si>
    <t>Adonis 1P</t>
  </si>
  <si>
    <t>Adonis 2P</t>
  </si>
  <si>
    <t>1K BOX ESG</t>
  </si>
  <si>
    <t>1K BOX SEMI</t>
  </si>
  <si>
    <t>Alto PUK</t>
  </si>
  <si>
    <t>ePod 2</t>
  </si>
  <si>
    <t>ePod 3+</t>
  </si>
  <si>
    <t>KUMA E-Box NZ</t>
  </si>
  <si>
    <t>KUMA E-Box ROW</t>
  </si>
  <si>
    <t>KUMA E-Pen 1.0 ROW</t>
  </si>
  <si>
    <t>US Aquila</t>
  </si>
  <si>
    <t>MIMOSA 1.0</t>
  </si>
  <si>
    <t>MIMOSA 1.0 US</t>
  </si>
  <si>
    <t>HESTIA XL US (Smart) 2ml / 2.4ml</t>
  </si>
  <si>
    <t>HESTIA 1.1 (non smart)</t>
  </si>
  <si>
    <t>HESTIA 1.1 (smart)</t>
  </si>
  <si>
    <t>KUMA-E 2.0 Pen</t>
  </si>
  <si>
    <t>KUMA-E 2.0 BOX</t>
  </si>
  <si>
    <t>ePod4+ (Pre-POP Study)</t>
  </si>
  <si>
    <t>HESTIA MAX (smart)</t>
  </si>
  <si>
    <t>HESTIA MAX (non smart)</t>
  </si>
  <si>
    <t>KUMA MAX</t>
  </si>
  <si>
    <t>MIMOSA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</si>
</sst>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76" formatCode="_-* #,##0.00_-;\-* #,##0.00_-;_-* &quot;-&quot;??_-;_-@_-"/>
    <numFmt numFmtId="177" formatCode="_ [$¥-804]* #,##0_ ;_ [$¥-804]* \-#,##0_ ;_ [$¥-804]* &quot;-&quot;??_ ;_ @_ "/>
    <numFmt numFmtId="178" formatCode="_ [$¥-804]* #,##0.0000_ ;_ [$¥-804]* \-#,##0.0000_ ;_ [$¥-804]* &quot;-&quot;??_ ;_ @_ "/>
    <numFmt numFmtId="179" formatCode="_-* #,##0_-;\-* #,##0_-;_-* &quot;-&quot;??_-;_-@_-"/>
    <numFmt numFmtId="180" formatCode="[$$-409]#,##0.0000000"/>
    <numFmt numFmtId="181" formatCode="0_);[Red]\(0\)"/>
    <numFmt numFmtId="182" formatCode="_ [$¥-804]* #,##0.00_ ;_ [$¥-804]* \-#,##0.00_ ;_ [$¥-804]* &quot;-&quot;??_ ;_ @_ "/>
    <numFmt numFmtId="183" formatCode="0_ "/>
    <numFmt numFmtId="184" formatCode="_-* #,##0.000_-;\-* #,##0.000_-;_-* &quot;-&quot;??_-;_-@_-"/>
    <numFmt numFmtId="185" formatCode="_ [$¥-804]* #,##0.00000_ ;_ [$¥-804]* \-#,##0.00000_ ;_ [$¥-804]* &quot;-&quot;??_ ;_ @_ "/>
  </numFmts>
  <fonts count="1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b/>
      <sz val="14"/>
      <color theme="0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1"/>
      <color theme="1"/>
      <name val="等线"/>
      <family val="3"/>
      <charset val="134"/>
      <scheme val="minor"/>
    </font>
    <font>
      <sz val="9"/>
      <color rgb="FF000000"/>
      <name val="Calibri"/>
      <family val="2"/>
    </font>
    <font>
      <b/>
      <sz val="12"/>
      <color theme="1"/>
      <name val="Segoe UI"/>
      <family val="2"/>
    </font>
    <font>
      <b/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1"/>
      <name val="等线"/>
      <family val="2"/>
      <scheme val="minor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5">
    <xf numFmtId="0" fontId="0" fillId="0" borderId="0"/>
    <xf numFmtId="176" fontId="1" fillId="0" borderId="0" applyFont="0" applyFill="0" applyBorder="0" applyAlignment="0" applyProtection="0"/>
    <xf numFmtId="180" fontId="7" fillId="0" borderId="0"/>
    <xf numFmtId="180" fontId="7" fillId="0" borderId="0"/>
    <xf numFmtId="178" fontId="1" fillId="0" borderId="0"/>
  </cellStyleXfs>
  <cellXfs count="157">
    <xf numFmtId="0" fontId="0" fillId="0" borderId="0" xfId="0"/>
    <xf numFmtId="0" fontId="0" fillId="2" borderId="0" xfId="0" applyFill="1"/>
    <xf numFmtId="177" fontId="0" fillId="2" borderId="0" xfId="0" applyNumberFormat="1" applyFill="1"/>
    <xf numFmtId="0" fontId="0" fillId="2" borderId="0" xfId="0" applyFill="1" applyAlignment="1">
      <alignment horizontal="center" vertical="center"/>
    </xf>
    <xf numFmtId="0" fontId="3" fillId="3" borderId="0" xfId="0" applyFont="1" applyFill="1"/>
    <xf numFmtId="0" fontId="2" fillId="4" borderId="1" xfId="0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181" fontId="5" fillId="0" borderId="1" xfId="3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6" fillId="0" borderId="1" xfId="2" applyNumberFormat="1" applyFont="1" applyBorder="1" applyAlignment="1">
      <alignment horizontal="center" vertical="center"/>
    </xf>
    <xf numFmtId="180" fontId="5" fillId="2" borderId="1" xfId="0" applyNumberFormat="1" applyFont="1" applyFill="1" applyBorder="1" applyAlignment="1">
      <alignment horizontal="center" vertical="center"/>
    </xf>
    <xf numFmtId="177" fontId="6" fillId="0" borderId="1" xfId="2" applyNumberFormat="1" applyFont="1" applyBorder="1" applyAlignment="1">
      <alignment horizontal="center" vertical="center"/>
    </xf>
    <xf numFmtId="0" fontId="0" fillId="2" borderId="0" xfId="0" applyFill="1" applyProtection="1"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9" fillId="0" borderId="0" xfId="0" applyFont="1" applyProtection="1">
      <protection locked="0"/>
    </xf>
    <xf numFmtId="0" fontId="10" fillId="2" borderId="0" xfId="0" applyFont="1" applyFill="1" applyProtection="1">
      <protection locked="0"/>
    </xf>
    <xf numFmtId="178" fontId="0" fillId="2" borderId="0" xfId="0" applyNumberFormat="1" applyFill="1" applyProtection="1">
      <protection locked="0"/>
    </xf>
    <xf numFmtId="179" fontId="0" fillId="2" borderId="0" xfId="1" applyNumberFormat="1" applyFont="1" applyFill="1" applyProtection="1">
      <protection locked="0"/>
    </xf>
    <xf numFmtId="182" fontId="0" fillId="2" borderId="0" xfId="0" applyNumberFormat="1" applyFill="1" applyProtection="1">
      <protection locked="0"/>
    </xf>
    <xf numFmtId="178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179" fontId="2" fillId="4" borderId="1" xfId="1" applyNumberFormat="1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178" fontId="5" fillId="2" borderId="1" xfId="0" applyNumberFormat="1" applyFont="1" applyFill="1" applyBorder="1" applyAlignment="1" applyProtection="1">
      <alignment horizontal="center" vertical="center"/>
      <protection locked="0"/>
    </xf>
    <xf numFmtId="179" fontId="5" fillId="2" borderId="1" xfId="1" applyNumberFormat="1" applyFont="1" applyFill="1" applyBorder="1" applyAlignment="1" applyProtection="1">
      <alignment horizontal="center" vertical="center"/>
      <protection locked="0"/>
    </xf>
    <xf numFmtId="176" fontId="5" fillId="2" borderId="1" xfId="1" applyFont="1" applyFill="1" applyBorder="1" applyAlignment="1" applyProtection="1">
      <alignment horizontal="center" vertical="center"/>
      <protection locked="0"/>
    </xf>
    <xf numFmtId="182" fontId="5" fillId="2" borderId="1" xfId="1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/>
    </xf>
    <xf numFmtId="0" fontId="0" fillId="2" borderId="0" xfId="0" applyFill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/>
      <protection locked="0"/>
    </xf>
    <xf numFmtId="1" fontId="0" fillId="2" borderId="0" xfId="0" applyNumberFormat="1" applyFill="1" applyProtection="1">
      <protection locked="0"/>
    </xf>
    <xf numFmtId="1" fontId="2" fillId="4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77" fontId="0" fillId="2" borderId="0" xfId="0" applyNumberFormat="1" applyFill="1" applyProtection="1">
      <protection locked="0"/>
    </xf>
    <xf numFmtId="177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5" fillId="2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 wrapText="1"/>
    </xf>
    <xf numFmtId="183" fontId="5" fillId="2" borderId="1" xfId="0" applyNumberFormat="1" applyFont="1" applyFill="1" applyBorder="1" applyAlignment="1" applyProtection="1">
      <alignment horizontal="center" vertical="center"/>
      <protection locked="0"/>
    </xf>
    <xf numFmtId="184" fontId="5" fillId="2" borderId="1" xfId="1" applyNumberFormat="1" applyFont="1" applyFill="1" applyBorder="1"/>
    <xf numFmtId="0" fontId="5" fillId="2" borderId="1" xfId="0" applyFont="1" applyFill="1" applyBorder="1" applyAlignment="1" applyProtection="1">
      <alignment horizontal="left" vertical="center"/>
      <protection locked="0"/>
    </xf>
    <xf numFmtId="182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80" fontId="5" fillId="2" borderId="1" xfId="0" applyNumberFormat="1" applyFont="1" applyFill="1" applyBorder="1" applyAlignment="1">
      <alignment horizontal="left" vertical="center"/>
    </xf>
    <xf numFmtId="0" fontId="5" fillId="2" borderId="1" xfId="0" quotePrefix="1" applyFont="1" applyFill="1" applyBorder="1" applyAlignment="1">
      <alignment horizontal="center" vertical="center"/>
    </xf>
    <xf numFmtId="0" fontId="5" fillId="2" borderId="1" xfId="0" applyFont="1" applyFill="1" applyBorder="1"/>
    <xf numFmtId="49" fontId="5" fillId="0" borderId="1" xfId="4" applyNumberFormat="1" applyFont="1" applyBorder="1" applyAlignment="1">
      <alignment horizontal="center" vertical="center" wrapText="1"/>
    </xf>
    <xf numFmtId="185" fontId="5" fillId="2" borderId="1" xfId="0" applyNumberFormat="1" applyFont="1" applyFill="1" applyBorder="1" applyAlignment="1" applyProtection="1">
      <alignment horizontal="center"/>
      <protection locked="0"/>
    </xf>
    <xf numFmtId="185" fontId="5" fillId="2" borderId="1" xfId="0" applyNumberFormat="1" applyFont="1" applyFill="1" applyBorder="1" applyAlignment="1" applyProtection="1">
      <alignment horizontal="center" vertical="center"/>
      <protection locked="0"/>
    </xf>
    <xf numFmtId="14" fontId="6" fillId="5" borderId="1" xfId="2" applyNumberFormat="1" applyFont="1" applyFill="1" applyBorder="1" applyAlignment="1" applyProtection="1">
      <alignment horizontal="center"/>
      <protection locked="0"/>
    </xf>
    <xf numFmtId="1" fontId="6" fillId="5" borderId="1" xfId="2" applyNumberFormat="1" applyFont="1" applyFill="1" applyBorder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hidden="1"/>
    </xf>
    <xf numFmtId="0" fontId="2" fillId="6" borderId="1" xfId="0" applyFont="1" applyFill="1" applyBorder="1" applyAlignment="1" applyProtection="1">
      <alignment horizontal="center" vertical="center"/>
      <protection hidden="1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5" fillId="2" borderId="1" xfId="0" applyNumberFormat="1" applyFont="1" applyFill="1" applyBorder="1" applyAlignment="1" applyProtection="1">
      <alignment horizontal="center"/>
      <protection locked="0"/>
    </xf>
    <xf numFmtId="178" fontId="5" fillId="2" borderId="3" xfId="0" applyNumberFormat="1" applyFont="1" applyFill="1" applyBorder="1" applyAlignment="1" applyProtection="1">
      <alignment horizontal="center" vertical="center"/>
      <protection locked="0"/>
    </xf>
    <xf numFmtId="1" fontId="0" fillId="2" borderId="1" xfId="0" applyNumberFormat="1" applyFill="1" applyBorder="1" applyProtection="1">
      <protection locked="0"/>
    </xf>
    <xf numFmtId="178" fontId="0" fillId="2" borderId="0" xfId="0" applyNumberFormat="1" applyFill="1" applyAlignment="1" applyProtection="1">
      <alignment horizontal="center" vertical="center"/>
      <protection locked="0"/>
    </xf>
    <xf numFmtId="178" fontId="2" fillId="6" borderId="1" xfId="0" applyNumberFormat="1" applyFont="1" applyFill="1" applyBorder="1" applyAlignment="1" applyProtection="1">
      <alignment horizontal="center" vertical="center" wrapText="1"/>
      <protection hidden="1"/>
    </xf>
    <xf numFmtId="0" fontId="3" fillId="3" borderId="0" xfId="0" applyFont="1" applyFill="1" applyAlignment="1">
      <alignment horizontal="center" vertical="center"/>
    </xf>
    <xf numFmtId="181" fontId="0" fillId="6" borderId="0" xfId="0" applyNumberFormat="1" applyFill="1" applyAlignment="1" applyProtection="1">
      <alignment horizontal="center" vertical="center"/>
      <protection locked="0"/>
    </xf>
    <xf numFmtId="178" fontId="0" fillId="6" borderId="0" xfId="0" applyNumberFormat="1" applyFill="1" applyAlignment="1" applyProtection="1">
      <alignment horizontal="center" vertical="center"/>
      <protection locked="0"/>
    </xf>
    <xf numFmtId="0" fontId="2" fillId="6" borderId="0" xfId="0" applyFont="1" applyFill="1"/>
    <xf numFmtId="0" fontId="2" fillId="6" borderId="1" xfId="0" applyFont="1" applyFill="1" applyBorder="1" applyAlignment="1" applyProtection="1">
      <alignment horizontal="center" vertical="center"/>
      <protection locked="0"/>
    </xf>
    <xf numFmtId="14" fontId="0" fillId="2" borderId="0" xfId="0" applyNumberFormat="1" applyFill="1" applyProtection="1">
      <protection locked="0"/>
    </xf>
    <xf numFmtId="3" fontId="0" fillId="2" borderId="0" xfId="0" applyNumberFormat="1" applyFill="1" applyProtection="1">
      <protection locked="0"/>
    </xf>
    <xf numFmtId="14" fontId="0" fillId="2" borderId="0" xfId="0" applyNumberFormat="1" applyFill="1"/>
    <xf numFmtId="1" fontId="0" fillId="2" borderId="0" xfId="0" applyNumberFormat="1" applyFill="1"/>
    <xf numFmtId="3" fontId="0" fillId="2" borderId="0" xfId="0" applyNumberFormat="1" applyFill="1"/>
    <xf numFmtId="14" fontId="2" fillId="6" borderId="1" xfId="0" applyNumberFormat="1" applyFont="1" applyFill="1" applyBorder="1" applyAlignment="1" applyProtection="1">
      <alignment horizontal="center" vertical="center"/>
      <protection hidden="1"/>
    </xf>
    <xf numFmtId="3" fontId="2" fillId="6" borderId="1" xfId="0" applyNumberFormat="1" applyFont="1" applyFill="1" applyBorder="1" applyAlignment="1" applyProtection="1">
      <alignment horizontal="center" vertical="center"/>
      <protection hidden="1"/>
    </xf>
    <xf numFmtId="14" fontId="5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4" fontId="0" fillId="2" borderId="1" xfId="0" applyNumberFormat="1" applyFill="1" applyBorder="1" applyProtection="1">
      <protection locked="0"/>
    </xf>
    <xf numFmtId="182" fontId="6" fillId="0" borderId="1" xfId="0" applyNumberFormat="1" applyFont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left" vertical="center"/>
      <protection locked="0"/>
    </xf>
    <xf numFmtId="183" fontId="6" fillId="5" borderId="1" xfId="0" applyNumberFormat="1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178" fontId="6" fillId="5" borderId="1" xfId="0" applyNumberFormat="1" applyFont="1" applyFill="1" applyBorder="1" applyAlignment="1" applyProtection="1">
      <alignment horizontal="center" vertical="center"/>
      <protection locked="0"/>
    </xf>
    <xf numFmtId="179" fontId="6" fillId="5" borderId="1" xfId="1" applyNumberFormat="1" applyFont="1" applyFill="1" applyBorder="1" applyAlignment="1" applyProtection="1">
      <alignment horizontal="center" vertical="center"/>
      <protection locked="0"/>
    </xf>
    <xf numFmtId="177" fontId="6" fillId="5" borderId="1" xfId="0" applyNumberFormat="1" applyFont="1" applyFill="1" applyBorder="1" applyAlignment="1" applyProtection="1">
      <alignment horizontal="center" vertical="center"/>
      <protection locked="0"/>
    </xf>
    <xf numFmtId="184" fontId="6" fillId="5" borderId="1" xfId="1" applyNumberFormat="1" applyFont="1" applyFill="1" applyBorder="1"/>
    <xf numFmtId="176" fontId="6" fillId="5" borderId="1" xfId="1" applyFont="1" applyFill="1" applyBorder="1" applyAlignment="1" applyProtection="1">
      <alignment horizontal="center" vertical="center"/>
      <protection locked="0"/>
    </xf>
    <xf numFmtId="182" fontId="6" fillId="5" borderId="1" xfId="1" applyNumberFormat="1" applyFont="1" applyFill="1" applyBorder="1" applyAlignment="1" applyProtection="1">
      <alignment horizontal="center" vertical="center"/>
      <protection locked="0"/>
    </xf>
    <xf numFmtId="182" fontId="6" fillId="5" borderId="1" xfId="0" applyNumberFormat="1" applyFont="1" applyFill="1" applyBorder="1" applyAlignment="1" applyProtection="1">
      <alignment horizontal="center" vertical="center"/>
      <protection locked="0"/>
    </xf>
    <xf numFmtId="0" fontId="12" fillId="5" borderId="0" xfId="0" applyFont="1" applyFill="1" applyAlignment="1" applyProtection="1">
      <alignment horizontal="center" vertical="center"/>
      <protection locked="0"/>
    </xf>
    <xf numFmtId="14" fontId="12" fillId="5" borderId="1" xfId="0" applyNumberFormat="1" applyFont="1" applyFill="1" applyBorder="1" applyProtection="1">
      <protection locked="0"/>
    </xf>
    <xf numFmtId="9" fontId="6" fillId="5" borderId="1" xfId="0" applyNumberFormat="1" applyFont="1" applyFill="1" applyBorder="1" applyAlignment="1" applyProtection="1">
      <alignment horizontal="center" vertical="center"/>
      <protection locked="0"/>
    </xf>
    <xf numFmtId="179" fontId="5" fillId="2" borderId="5" xfId="1" applyNumberFormat="1" applyFont="1" applyFill="1" applyBorder="1" applyAlignment="1" applyProtection="1">
      <alignment horizontal="center" vertical="center"/>
      <protection locked="0"/>
    </xf>
    <xf numFmtId="0" fontId="5" fillId="2" borderId="6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left" vertical="center"/>
      <protection locked="0"/>
    </xf>
    <xf numFmtId="183" fontId="6" fillId="2" borderId="1" xfId="0" applyNumberFormat="1" applyFont="1" applyFill="1" applyBorder="1" applyAlignment="1" applyProtection="1">
      <alignment horizontal="center" vertical="center"/>
      <protection locked="0"/>
    </xf>
    <xf numFmtId="14" fontId="6" fillId="2" borderId="1" xfId="2" applyNumberFormat="1" applyFont="1" applyFill="1" applyBorder="1" applyAlignment="1" applyProtection="1">
      <alignment horizontal="center"/>
      <protection locked="0"/>
    </xf>
    <xf numFmtId="1" fontId="6" fillId="2" borderId="1" xfId="2" applyNumberFormat="1" applyFont="1" applyFill="1" applyBorder="1" applyAlignment="1" applyProtection="1">
      <alignment horizontal="center"/>
      <protection locked="0"/>
    </xf>
    <xf numFmtId="14" fontId="12" fillId="2" borderId="1" xfId="0" applyNumberFormat="1" applyFont="1" applyFill="1" applyBorder="1" applyProtection="1">
      <protection locked="0"/>
    </xf>
    <xf numFmtId="9" fontId="6" fillId="2" borderId="1" xfId="0" applyNumberFormat="1" applyFont="1" applyFill="1" applyBorder="1" applyAlignment="1" applyProtection="1">
      <alignment horizontal="center" vertical="center"/>
      <protection locked="0"/>
    </xf>
    <xf numFmtId="178" fontId="6" fillId="2" borderId="1" xfId="0" applyNumberFormat="1" applyFont="1" applyFill="1" applyBorder="1" applyAlignment="1" applyProtection="1">
      <alignment horizontal="center" vertical="center"/>
      <protection locked="0"/>
    </xf>
    <xf numFmtId="179" fontId="6" fillId="2" borderId="1" xfId="1" applyNumberFormat="1" applyFont="1" applyFill="1" applyBorder="1" applyAlignment="1" applyProtection="1">
      <alignment horizontal="center" vertical="center"/>
      <protection locked="0"/>
    </xf>
    <xf numFmtId="177" fontId="6" fillId="2" borderId="1" xfId="0" applyNumberFormat="1" applyFont="1" applyFill="1" applyBorder="1" applyAlignment="1" applyProtection="1">
      <alignment horizontal="center" vertical="center"/>
      <protection locked="0"/>
    </xf>
    <xf numFmtId="184" fontId="6" fillId="2" borderId="1" xfId="1" applyNumberFormat="1" applyFont="1" applyFill="1" applyBorder="1"/>
    <xf numFmtId="176" fontId="6" fillId="2" borderId="1" xfId="1" applyFont="1" applyFill="1" applyBorder="1" applyAlignment="1" applyProtection="1">
      <alignment horizontal="center" vertical="center"/>
      <protection locked="0"/>
    </xf>
    <xf numFmtId="182" fontId="6" fillId="2" borderId="1" xfId="1" applyNumberFormat="1" applyFont="1" applyFill="1" applyBorder="1" applyAlignment="1" applyProtection="1">
      <alignment horizontal="center" vertical="center"/>
      <protection locked="0"/>
    </xf>
    <xf numFmtId="182" fontId="6" fillId="2" borderId="1" xfId="0" applyNumberFormat="1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 applyProtection="1">
      <alignment horizontal="center"/>
      <protection locked="0"/>
    </xf>
    <xf numFmtId="1" fontId="6" fillId="2" borderId="1" xfId="0" applyNumberFormat="1" applyFont="1" applyFill="1" applyBorder="1" applyAlignment="1" applyProtection="1">
      <alignment horizontal="center"/>
      <protection locked="0"/>
    </xf>
    <xf numFmtId="9" fontId="6" fillId="2" borderId="1" xfId="0" applyNumberFormat="1" applyFont="1" applyFill="1" applyBorder="1" applyAlignment="1" applyProtection="1">
      <alignment horizontal="center"/>
      <protection locked="0"/>
    </xf>
    <xf numFmtId="49" fontId="5" fillId="2" borderId="2" xfId="0" applyNumberFormat="1" applyFont="1" applyFill="1" applyBorder="1" applyAlignment="1">
      <alignment horizontal="center"/>
    </xf>
    <xf numFmtId="178" fontId="2" fillId="7" borderId="1" xfId="0" applyNumberFormat="1" applyFont="1" applyFill="1" applyBorder="1" applyAlignment="1" applyProtection="1">
      <alignment horizontal="center" vertical="center" wrapText="1"/>
      <protection hidden="1"/>
    </xf>
    <xf numFmtId="37" fontId="0" fillId="2" borderId="0" xfId="0" applyNumberFormat="1" applyFill="1" applyAlignment="1" applyProtection="1">
      <alignment horizontal="center" vertical="center"/>
      <protection locked="0"/>
    </xf>
    <xf numFmtId="37" fontId="0" fillId="2" borderId="0" xfId="0" applyNumberFormat="1" applyFill="1" applyProtection="1">
      <protection locked="0"/>
    </xf>
    <xf numFmtId="37" fontId="2" fillId="7" borderId="1" xfId="0" applyNumberFormat="1" applyFont="1" applyFill="1" applyBorder="1" applyAlignment="1" applyProtection="1">
      <alignment horizontal="center" vertical="center" wrapText="1"/>
      <protection hidden="1"/>
    </xf>
    <xf numFmtId="37" fontId="6" fillId="0" borderId="1" xfId="0" applyNumberFormat="1" applyFont="1" applyBorder="1" applyAlignment="1" applyProtection="1">
      <alignment horizontal="center" vertical="center"/>
      <protection locked="0"/>
    </xf>
    <xf numFmtId="178" fontId="6" fillId="0" borderId="1" xfId="0" applyNumberFormat="1" applyFont="1" applyBorder="1" applyAlignment="1" applyProtection="1">
      <alignment horizontal="center" vertical="center"/>
      <protection locked="0"/>
    </xf>
    <xf numFmtId="3" fontId="0" fillId="2" borderId="7" xfId="0" applyNumberFormat="1" applyFill="1" applyBorder="1" applyProtection="1">
      <protection locked="0"/>
    </xf>
    <xf numFmtId="0" fontId="0" fillId="0" borderId="0" xfId="0" applyProtection="1"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49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8" borderId="0" xfId="0" applyFill="1"/>
    <xf numFmtId="0" fontId="2" fillId="9" borderId="1" xfId="0" applyFont="1" applyFill="1" applyBorder="1" applyAlignment="1" applyProtection="1">
      <alignment horizontal="center" vertical="center"/>
      <protection locked="0"/>
    </xf>
    <xf numFmtId="0" fontId="2" fillId="9" borderId="1" xfId="0" applyFont="1" applyFill="1" applyBorder="1" applyAlignment="1" applyProtection="1">
      <alignment horizontal="center" vertical="center" wrapText="1"/>
      <protection locked="0"/>
    </xf>
    <xf numFmtId="37" fontId="6" fillId="5" borderId="1" xfId="0" applyNumberFormat="1" applyFont="1" applyFill="1" applyBorder="1" applyAlignment="1" applyProtection="1">
      <alignment horizontal="center" vertical="center"/>
      <protection locked="0"/>
    </xf>
    <xf numFmtId="37" fontId="6" fillId="2" borderId="1" xfId="0" applyNumberFormat="1" applyFont="1" applyFill="1" applyBorder="1" applyAlignment="1" applyProtection="1">
      <alignment horizontal="center" vertical="center"/>
      <protection locked="0"/>
    </xf>
    <xf numFmtId="0" fontId="2" fillId="10" borderId="1" xfId="0" applyFont="1" applyFill="1" applyBorder="1" applyAlignment="1" applyProtection="1">
      <alignment horizontal="center" vertical="center" wrapText="1"/>
      <protection hidden="1"/>
    </xf>
    <xf numFmtId="176" fontId="5" fillId="2" borderId="4" xfId="1" applyFont="1" applyFill="1" applyBorder="1" applyAlignment="1" applyProtection="1">
      <alignment horizontal="center" vertical="center"/>
      <protection locked="0"/>
    </xf>
    <xf numFmtId="0" fontId="0" fillId="2" borderId="4" xfId="0" applyFill="1" applyBorder="1" applyProtection="1"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182" fontId="5" fillId="2" borderId="3" xfId="1" applyNumberFormat="1" applyFont="1" applyFill="1" applyBorder="1" applyAlignment="1" applyProtection="1">
      <alignment horizontal="center" vertical="center"/>
      <protection locked="0"/>
    </xf>
    <xf numFmtId="176" fontId="5" fillId="2" borderId="6" xfId="1" applyFont="1" applyFill="1" applyBorder="1" applyAlignment="1" applyProtection="1">
      <alignment horizontal="center" vertical="center"/>
      <protection locked="0"/>
    </xf>
    <xf numFmtId="177" fontId="5" fillId="5" borderId="1" xfId="0" applyNumberFormat="1" applyFont="1" applyFill="1" applyBorder="1" applyAlignment="1" applyProtection="1">
      <alignment horizontal="center" vertical="center"/>
      <protection locked="0"/>
    </xf>
    <xf numFmtId="177" fontId="6" fillId="2" borderId="1" xfId="2" applyNumberFormat="1" applyFont="1" applyFill="1" applyBorder="1" applyAlignment="1">
      <alignment horizontal="center" vertical="center"/>
    </xf>
    <xf numFmtId="0" fontId="0" fillId="0" borderId="0" xfId="0" pivotButton="1"/>
    <xf numFmtId="177" fontId="0" fillId="0" borderId="1" xfId="0" applyNumberFormat="1" applyBorder="1"/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</cellXfs>
  <cellStyles count="5">
    <cellStyle name="常规" xfId="0" builtinId="0"/>
    <cellStyle name="常规 2" xfId="4"/>
    <cellStyle name="常规 3" xfId="2"/>
    <cellStyle name="常规 3 2" xfId="3"/>
    <cellStyle name="千位分隔" xfId="1" builtinId="3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7" formatCode="_ [$¥-804]* #,##0_ ;_ [$¥-804]* \-#,##0_ ;_ [$¥-804]* &quot;-&quot;??_ ;_ @_ "/>
    </dxf>
    <dxf>
      <numFmt numFmtId="177" formatCode="_ [$¥-804]* #,##0_ ;_ [$¥-804]* \-#,##0_ ;_ [$¥-804]* &quot;-&quot;??_ ;_ @_ "/>
    </dxf>
    <dxf>
      <numFmt numFmtId="177" formatCode="_ [$¥-804]* #,##0_ ;_ [$¥-804]* \-#,##0_ ;_ [$¥-804]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171450</xdr:colOff>
      <xdr:row>6</xdr:row>
      <xdr:rowOff>66675</xdr:rowOff>
    </xdr:from>
    <xdr:to>
      <xdr:col>22</xdr:col>
      <xdr:colOff>1657350</xdr:colOff>
      <xdr:row>7</xdr:row>
      <xdr:rowOff>803275</xdr:rowOff>
    </xdr:to>
    <xdr:pic>
      <xdr:nvPicPr>
        <xdr:cNvPr id="11" name="图片 3">
          <a:extLst>
            <a:ext uri="{FF2B5EF4-FFF2-40B4-BE49-F238E27FC236}">
              <a16:creationId xmlns:a16="http://schemas.microsoft.com/office/drawing/2014/main" id="{923FA043-1C95-0FA6-E75C-58149ED86EA0}"/>
            </a:ext>
            <a:ext uri="{147F2762-F138-4A5C-976F-8EAC2B608ADB}">
              <a16:predDERef xmlns:a16="http://schemas.microsoft.com/office/drawing/2014/main" pred="{8E08B585-B4EE-DC1F-37A8-7BF93724C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35275" y="2314575"/>
          <a:ext cx="1485900" cy="1600200"/>
        </a:xfrm>
        <a:prstGeom prst="rect">
          <a:avLst/>
        </a:prstGeom>
      </xdr:spPr>
    </xdr:pic>
    <xdr:clientData/>
  </xdr:twoCellAnchor>
  <xdr:twoCellAnchor editAs="oneCell">
    <xdr:from>
      <xdr:col>22</xdr:col>
      <xdr:colOff>352425</xdr:colOff>
      <xdr:row>8</xdr:row>
      <xdr:rowOff>323850</xdr:rowOff>
    </xdr:from>
    <xdr:to>
      <xdr:col>22</xdr:col>
      <xdr:colOff>1647825</xdr:colOff>
      <xdr:row>9</xdr:row>
      <xdr:rowOff>342900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F5BB895-F23D-9D07-0C75-7D734658DDDC}"/>
            </a:ext>
            <a:ext uri="{147F2762-F138-4A5C-976F-8EAC2B608ADB}">
              <a16:predDERef xmlns:a16="http://schemas.microsoft.com/office/drawing/2014/main" pred="{923FA043-1C95-0FA6-E75C-58149ED86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16250" y="4305300"/>
          <a:ext cx="1295400" cy="590550"/>
        </a:xfrm>
        <a:prstGeom prst="rect">
          <a:avLst/>
        </a:prstGeom>
      </xdr:spPr>
    </xdr:pic>
    <xdr:clientData/>
  </xdr:twoCellAnchor>
  <xdr:twoCellAnchor editAs="oneCell">
    <xdr:from>
      <xdr:col>22</xdr:col>
      <xdr:colOff>1323975</xdr:colOff>
      <xdr:row>10</xdr:row>
      <xdr:rowOff>28575</xdr:rowOff>
    </xdr:from>
    <xdr:to>
      <xdr:col>24</xdr:col>
      <xdr:colOff>352425</xdr:colOff>
      <xdr:row>12</xdr:row>
      <xdr:rowOff>219075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BD7E54E-050C-E675-A174-E0E02725AF31}"/>
            </a:ext>
            <a:ext uri="{147F2762-F138-4A5C-976F-8EAC2B608ADB}">
              <a16:predDERef xmlns:a16="http://schemas.microsoft.com/office/drawing/2014/main" pred="{5F5BB895-F23D-9D07-0C75-7D734658D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7800" y="5153025"/>
          <a:ext cx="1447800" cy="838200"/>
        </a:xfrm>
        <a:prstGeom prst="rect">
          <a:avLst/>
        </a:prstGeom>
      </xdr:spPr>
    </xdr:pic>
    <xdr:clientData/>
  </xdr:twoCellAnchor>
  <xdr:twoCellAnchor editAs="oneCell">
    <xdr:from>
      <xdr:col>22</xdr:col>
      <xdr:colOff>123825</xdr:colOff>
      <xdr:row>19</xdr:row>
      <xdr:rowOff>133350</xdr:rowOff>
    </xdr:from>
    <xdr:to>
      <xdr:col>22</xdr:col>
      <xdr:colOff>1628775</xdr:colOff>
      <xdr:row>26</xdr:row>
      <xdr:rowOff>130528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765ECDCE-3322-9534-74B8-DE712494D003}"/>
            </a:ext>
            <a:ext uri="{147F2762-F138-4A5C-976F-8EAC2B608ADB}">
              <a16:predDERef xmlns:a16="http://schemas.microsoft.com/office/drawing/2014/main" pred="{CBD7E54E-050C-E675-A174-E0E02725A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487650" y="7658100"/>
          <a:ext cx="1504950" cy="1143000"/>
        </a:xfrm>
        <a:prstGeom prst="rect">
          <a:avLst/>
        </a:prstGeom>
      </xdr:spPr>
    </xdr:pic>
    <xdr:clientData/>
  </xdr:twoCellAnchor>
  <xdr:twoCellAnchor editAs="oneCell">
    <xdr:from>
      <xdr:col>22</xdr:col>
      <xdr:colOff>266700</xdr:colOff>
      <xdr:row>28</xdr:row>
      <xdr:rowOff>114300</xdr:rowOff>
    </xdr:from>
    <xdr:to>
      <xdr:col>22</xdr:col>
      <xdr:colOff>1504950</xdr:colOff>
      <xdr:row>32</xdr:row>
      <xdr:rowOff>41628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D24E85B1-0985-B270-0E25-0A129DBEEBDB}"/>
            </a:ext>
            <a:ext uri="{147F2762-F138-4A5C-976F-8EAC2B608ADB}">
              <a16:predDERef xmlns:a16="http://schemas.microsoft.com/office/drawing/2014/main" pred="{765ECDCE-3322-9534-74B8-DE712494D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630525" y="9096375"/>
          <a:ext cx="1238250" cy="581025"/>
        </a:xfrm>
        <a:prstGeom prst="rect">
          <a:avLst/>
        </a:prstGeom>
      </xdr:spPr>
    </xdr:pic>
    <xdr:clientData/>
  </xdr:twoCellAnchor>
  <xdr:twoCellAnchor editAs="oneCell">
    <xdr:from>
      <xdr:col>22</xdr:col>
      <xdr:colOff>1495425</xdr:colOff>
      <xdr:row>5</xdr:row>
      <xdr:rowOff>9525</xdr:rowOff>
    </xdr:from>
    <xdr:to>
      <xdr:col>24</xdr:col>
      <xdr:colOff>66675</xdr:colOff>
      <xdr:row>5</xdr:row>
      <xdr:rowOff>1066800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491594A9-CC9D-DACF-E4E5-BF9961748223}"/>
            </a:ext>
            <a:ext uri="{147F2762-F138-4A5C-976F-8EAC2B608ADB}">
              <a16:predDERef xmlns:a16="http://schemas.microsoft.com/office/drawing/2014/main" pred="{D24E85B1-0985-B270-0E25-0A129DBEE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859250" y="1133475"/>
          <a:ext cx="990600" cy="1057275"/>
        </a:xfrm>
        <a:prstGeom prst="rect">
          <a:avLst/>
        </a:prstGeom>
      </xdr:spPr>
    </xdr:pic>
    <xdr:clientData/>
  </xdr:twoCellAnchor>
  <xdr:twoCellAnchor editAs="oneCell">
    <xdr:from>
      <xdr:col>22</xdr:col>
      <xdr:colOff>1314450</xdr:colOff>
      <xdr:row>13</xdr:row>
      <xdr:rowOff>76200</xdr:rowOff>
    </xdr:from>
    <xdr:to>
      <xdr:col>26</xdr:col>
      <xdr:colOff>228600</xdr:colOff>
      <xdr:row>15</xdr:row>
      <xdr:rowOff>209550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3763755-5ECE-8C91-77E5-2CFA1158ED2B}"/>
            </a:ext>
            <a:ext uri="{147F2762-F138-4A5C-976F-8EAC2B608ADB}">
              <a16:predDERef xmlns:a16="http://schemas.microsoft.com/office/drawing/2014/main" pred="{491594A9-CC9D-DACF-E4E5-BF9961748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678275" y="6172200"/>
          <a:ext cx="2495550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1381125</xdr:colOff>
      <xdr:row>16</xdr:row>
      <xdr:rowOff>133350</xdr:rowOff>
    </xdr:from>
    <xdr:to>
      <xdr:col>25</xdr:col>
      <xdr:colOff>47626</xdr:colOff>
      <xdr:row>18</xdr:row>
      <xdr:rowOff>40217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6AB5FDE-2570-78FD-F3FE-88FA068B4B15}"/>
            </a:ext>
            <a:ext uri="{147F2762-F138-4A5C-976F-8EAC2B608ADB}">
              <a16:predDERef xmlns:a16="http://schemas.microsoft.com/office/drawing/2014/main" pred="{03763755-5ECE-8C91-77E5-2CFA1158E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744950" y="7172325"/>
          <a:ext cx="1666875" cy="5143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t-my.sharepoint.com/personal/85204634_bat_com/Documents/Project/Spend%20&amp;%20Capex%20tracker/Spend%20Tracker%20&amp;%20Capex%20Tracker%20template%2020241023%20V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nd Track (part)"/>
      <sheetName val="Capex tracker"/>
      <sheetName val="Sheet1"/>
    </sheetNames>
    <sheetDataSet>
      <sheetData sheetId="0" refreshError="1"/>
      <sheetData sheetId="1" refreshError="1"/>
      <sheetData sheetId="2" refreshError="1">
        <row r="1">
          <cell r="A1" t="str">
            <v>Project</v>
          </cell>
          <cell r="B1" t="str">
            <v>Product category</v>
          </cell>
        </row>
        <row r="2">
          <cell r="A2" t="str">
            <v>Vega</v>
          </cell>
          <cell r="B2" t="str">
            <v>MODI</v>
          </cell>
        </row>
        <row r="3">
          <cell r="A3" t="str">
            <v xml:space="preserve">Box 8000 1.0 </v>
          </cell>
          <cell r="B3" t="str">
            <v>MODI</v>
          </cell>
        </row>
        <row r="4">
          <cell r="A4" t="str">
            <v>DP1500</v>
          </cell>
          <cell r="B4" t="str">
            <v>MODI</v>
          </cell>
        </row>
        <row r="5">
          <cell r="A5" t="str">
            <v>Pen 800 Default 2.0</v>
          </cell>
          <cell r="B5" t="str">
            <v>MODI</v>
          </cell>
        </row>
        <row r="6">
          <cell r="A6" t="str">
            <v>Pen 800 Full 2.0</v>
          </cell>
          <cell r="B6" t="str">
            <v>MODI</v>
          </cell>
        </row>
        <row r="7">
          <cell r="A7" t="str">
            <v>Box 800 Default 2.0</v>
          </cell>
          <cell r="B7" t="str">
            <v>MODI</v>
          </cell>
        </row>
        <row r="8">
          <cell r="A8" t="str">
            <v>Box 800 Full 2.0</v>
          </cell>
          <cell r="B8" t="str">
            <v>MODI</v>
          </cell>
        </row>
        <row r="9">
          <cell r="A9" t="str">
            <v>Box 3000 Full 2.0</v>
          </cell>
          <cell r="B9" t="str">
            <v>MODI</v>
          </cell>
        </row>
        <row r="10">
          <cell r="A10" t="str">
            <v>Box 5000 Full 2.0</v>
          </cell>
          <cell r="B10" t="str">
            <v>MODI</v>
          </cell>
        </row>
        <row r="11">
          <cell r="A11" t="str">
            <v>Sensa 5K</v>
          </cell>
          <cell r="B11" t="str">
            <v>MODI</v>
          </cell>
        </row>
        <row r="12">
          <cell r="A12" t="str">
            <v>Box 8000 Full 2.0</v>
          </cell>
          <cell r="B12" t="str">
            <v>MODI</v>
          </cell>
        </row>
        <row r="13">
          <cell r="A13" t="str">
            <v xml:space="preserve">Alto Pod </v>
          </cell>
          <cell r="B13" t="str">
            <v>RCS POD</v>
          </cell>
        </row>
        <row r="14">
          <cell r="A14" t="str">
            <v>ePod/epod2 cartridge</v>
          </cell>
          <cell r="B14" t="str">
            <v>RCS POD</v>
          </cell>
        </row>
        <row r="15">
          <cell r="A15" t="str">
            <v>Prismatic Pod</v>
          </cell>
          <cell r="B15" t="str">
            <v>RCS POD</v>
          </cell>
        </row>
        <row r="16">
          <cell r="A16" t="str">
            <v>X3 2P</v>
          </cell>
          <cell r="B16" t="str">
            <v>HP</v>
          </cell>
        </row>
        <row r="17">
          <cell r="A17" t="str">
            <v>X3 Core</v>
          </cell>
          <cell r="B17" t="str">
            <v>HP</v>
          </cell>
        </row>
        <row r="18">
          <cell r="A18" t="str">
            <v>X3 Pro</v>
          </cell>
          <cell r="B18" t="str">
            <v>HP</v>
          </cell>
        </row>
        <row r="19">
          <cell r="A19" t="str">
            <v>Artemis 1P</v>
          </cell>
          <cell r="B19" t="str">
            <v>HP</v>
          </cell>
        </row>
        <row r="20">
          <cell r="A20" t="str">
            <v>Artemis 2P</v>
          </cell>
          <cell r="B20" t="str">
            <v>HP</v>
          </cell>
        </row>
        <row r="21">
          <cell r="A21" t="str">
            <v>Artemis BRUSH</v>
          </cell>
          <cell r="B21" t="str">
            <v>HP</v>
          </cell>
        </row>
        <row r="22">
          <cell r="A22" t="str">
            <v>Artemis 1.1 CORE</v>
          </cell>
          <cell r="B22" t="str">
            <v>HP</v>
          </cell>
        </row>
        <row r="23">
          <cell r="A23" t="str">
            <v>Artemis 1.1 PRO</v>
          </cell>
          <cell r="B23" t="str">
            <v>HP</v>
          </cell>
        </row>
        <row r="24">
          <cell r="A24" t="str">
            <v>Clyde POD</v>
          </cell>
          <cell r="B24" t="str">
            <v>HP</v>
          </cell>
        </row>
        <row r="25">
          <cell r="A25" t="str">
            <v>Clyde RCS DEVICE</v>
          </cell>
          <cell r="B25" t="str">
            <v>HP</v>
          </cell>
        </row>
        <row r="26">
          <cell r="A26" t="str">
            <v>Bacchus</v>
          </cell>
          <cell r="B26" t="str">
            <v>HP</v>
          </cell>
        </row>
        <row r="27">
          <cell r="A27" t="str">
            <v>Adonis 1P</v>
          </cell>
          <cell r="B27" t="str">
            <v>HP</v>
          </cell>
        </row>
        <row r="28">
          <cell r="A28" t="str">
            <v>Adonis 2P</v>
          </cell>
          <cell r="B28" t="str">
            <v>HP</v>
          </cell>
        </row>
        <row r="29">
          <cell r="A29" t="str">
            <v>1K BOX ESG</v>
          </cell>
          <cell r="B29" t="str">
            <v>MODI</v>
          </cell>
        </row>
        <row r="30">
          <cell r="A30" t="str">
            <v>1K BOX SEMI</v>
          </cell>
          <cell r="B30" t="str">
            <v>MODI</v>
          </cell>
        </row>
        <row r="31">
          <cell r="A31" t="str">
            <v>HYPER BESPOKE</v>
          </cell>
          <cell r="B31" t="str">
            <v>HP</v>
          </cell>
        </row>
        <row r="32">
          <cell r="A32" t="str">
            <v>X2</v>
          </cell>
          <cell r="B32" t="str">
            <v>HP</v>
          </cell>
        </row>
        <row r="33">
          <cell r="A33" t="str">
            <v>X2 Air</v>
          </cell>
          <cell r="B33" t="str">
            <v>HP</v>
          </cell>
        </row>
        <row r="34">
          <cell r="A34" t="str">
            <v>Modi Max</v>
          </cell>
          <cell r="B34" t="str">
            <v>MODI</v>
          </cell>
        </row>
        <row r="35">
          <cell r="A35" t="str">
            <v>Hestia 1.0</v>
          </cell>
          <cell r="B35" t="str">
            <v>RCS POD</v>
          </cell>
        </row>
        <row r="36">
          <cell r="A36" t="str">
            <v>Alto PUK</v>
          </cell>
          <cell r="B36" t="str">
            <v>RCS POD</v>
          </cell>
        </row>
        <row r="37">
          <cell r="A37" t="str">
            <v>ePod 1</v>
          </cell>
          <cell r="B37" t="str">
            <v>RCS POD</v>
          </cell>
        </row>
        <row r="38">
          <cell r="A38" t="str">
            <v>ePod 2</v>
          </cell>
          <cell r="B38" t="str">
            <v>RCS POD</v>
          </cell>
        </row>
        <row r="39">
          <cell r="A39" t="str">
            <v>ePod 2+</v>
          </cell>
          <cell r="B39" t="str">
            <v>RCS POD</v>
          </cell>
        </row>
        <row r="40">
          <cell r="A40" t="str">
            <v>ePod 3</v>
          </cell>
          <cell r="B40" t="str">
            <v>RCS POD</v>
          </cell>
        </row>
        <row r="41">
          <cell r="A41" t="str">
            <v>ePod 3+</v>
          </cell>
          <cell r="B41" t="str">
            <v>RCS POD</v>
          </cell>
        </row>
        <row r="42">
          <cell r="A42" t="str">
            <v>ePod2 Catridges</v>
          </cell>
          <cell r="B42">
            <v>0</v>
          </cell>
        </row>
        <row r="43">
          <cell r="A43" t="str">
            <v>ePod2 device(Wave1)</v>
          </cell>
          <cell r="B43" t="str">
            <v>RCS DEVICE</v>
          </cell>
        </row>
        <row r="44">
          <cell r="A44" t="str">
            <v>ePod2+ device</v>
          </cell>
          <cell r="B44" t="str">
            <v>RCS DEVICE</v>
          </cell>
        </row>
        <row r="45">
          <cell r="A45" t="str">
            <v>ePod 3 Device</v>
          </cell>
          <cell r="B45" t="str">
            <v>RCS DEVICE</v>
          </cell>
        </row>
        <row r="46">
          <cell r="A46" t="str">
            <v>ePod 3 descope</v>
          </cell>
          <cell r="B46">
            <v>0</v>
          </cell>
        </row>
        <row r="47">
          <cell r="A47" t="str">
            <v>ePod 3+ Device</v>
          </cell>
          <cell r="B47" t="str">
            <v>RCS DEVICE</v>
          </cell>
        </row>
        <row r="48">
          <cell r="A48" t="str">
            <v>KUMA E-Box NZ</v>
          </cell>
          <cell r="B48" t="str">
            <v>RCS DEVICE</v>
          </cell>
        </row>
        <row r="49">
          <cell r="A49" t="str">
            <v>KUMA E-Box ROW</v>
          </cell>
          <cell r="B49" t="str">
            <v>RCS DEVICE</v>
          </cell>
        </row>
        <row r="50">
          <cell r="A50" t="str">
            <v>KUMA E-Pen 1.0 ROW</v>
          </cell>
          <cell r="B50" t="str">
            <v>RCS DEVICE</v>
          </cell>
        </row>
        <row r="51">
          <cell r="A51" t="str">
            <v>US Aquila</v>
          </cell>
          <cell r="B51" t="str">
            <v>RCS DEVICE</v>
          </cell>
        </row>
        <row r="52">
          <cell r="A52" t="str">
            <v>MIMOSA 1.0</v>
          </cell>
          <cell r="B52" t="str">
            <v>RCS DEVICE</v>
          </cell>
        </row>
        <row r="53">
          <cell r="A53" t="str">
            <v>MIMOSA 1.0 US</v>
          </cell>
          <cell r="B53" t="str">
            <v>RCS DEVICE</v>
          </cell>
        </row>
        <row r="54">
          <cell r="A54" t="str">
            <v>HESTIA XL US (Smart) 2ml / 2.4ml</v>
          </cell>
          <cell r="B54" t="str">
            <v>RCS POD</v>
          </cell>
        </row>
        <row r="55">
          <cell r="A55" t="str">
            <v>HESTIA 1.1 (non smart)</v>
          </cell>
          <cell r="B55" t="str">
            <v>RCS POD</v>
          </cell>
        </row>
        <row r="56">
          <cell r="A56" t="str">
            <v>HESTIA 1.1 (smart)</v>
          </cell>
          <cell r="B56" t="str">
            <v>RCS POD</v>
          </cell>
        </row>
        <row r="57">
          <cell r="A57" t="str">
            <v>KUMA-E 2.0 Pen</v>
          </cell>
          <cell r="B57" t="str">
            <v>RCS DEVICE</v>
          </cell>
        </row>
        <row r="58">
          <cell r="A58" t="str">
            <v>KUMA-E 2.0 BOX</v>
          </cell>
          <cell r="B58" t="str">
            <v>RCS DEVICE</v>
          </cell>
        </row>
        <row r="59">
          <cell r="A59" t="str">
            <v>ePod4+ (Pre-POP Study)</v>
          </cell>
          <cell r="B59" t="str">
            <v>RCS DEVICE</v>
          </cell>
        </row>
        <row r="60">
          <cell r="A60" t="str">
            <v>HESTIA MAX (smart)</v>
          </cell>
          <cell r="B60" t="str">
            <v>RCS POD</v>
          </cell>
        </row>
        <row r="61">
          <cell r="A61" t="str">
            <v>HESTIA MAX (non smart)</v>
          </cell>
          <cell r="B61" t="str">
            <v>RCS POD</v>
          </cell>
        </row>
        <row r="62">
          <cell r="A62" t="str">
            <v>KUMA MAX</v>
          </cell>
          <cell r="B62" t="str">
            <v>RCS DEVICE</v>
          </cell>
        </row>
        <row r="63">
          <cell r="A63" t="str">
            <v>MIMOSA MAX</v>
          </cell>
          <cell r="B63" t="str">
            <v>RCS DEVICE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arlie Ma" id="{826622E4-A5DC-4B62-8D33-133784C28997}" userId="S::85204634@bat.com::140d471d-47e3-45da-828c-9123639bb1f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5678.350495254628" createdVersion="8" refreshedVersion="8" minRefreshableVersion="3" recordCount="28">
  <cacheSource type="worksheet">
    <worksheetSource ref="A5:V33" sheet="Capex tracker"/>
  </cacheSource>
  <cacheFields count="22">
    <cacheField name="Project" numFmtId="0">
      <sharedItems/>
    </cacheField>
    <cacheField name="Product Category" numFmtId="0">
      <sharedItems/>
    </cacheField>
    <cacheField name="Part Name" numFmtId="0">
      <sharedItems/>
    </cacheField>
    <cacheField name="Part No." numFmtId="0">
      <sharedItems containsMixedTypes="1" containsNumber="1" containsInteger="1" minValue="344002983" maxValue="140040670024857"/>
    </cacheField>
    <cacheField name="Supplier " numFmtId="0">
      <sharedItems/>
    </cacheField>
    <cacheField name="Year" numFmtId="0">
      <sharedItems containsSemiMixedTypes="0" containsString="0" containsNumber="1" containsInteger="1" minValue="2022" maxValue="2024"/>
    </cacheField>
    <cacheField name="Month" numFmtId="0">
      <sharedItems containsSemiMixedTypes="0" containsString="0" containsNumber="1" containsInteger="1" minValue="1" maxValue="12"/>
    </cacheField>
    <cacheField name="Stage" numFmtId="0">
      <sharedItems/>
    </cacheField>
    <cacheField name="Data Submit Date" numFmtId="14">
      <sharedItems containsSemiMixedTypes="0" containsNonDate="0" containsDate="1" containsString="0" minDate="2024-11-08T00:00:00" maxDate="2024-11-09T00:00:00"/>
    </cacheField>
    <cacheField name="Cavity" numFmtId="1">
      <sharedItems containsSemiMixedTypes="0" containsString="0" containsNumber="1" containsInteger="1" minValue="1" maxValue="600"/>
    </cacheField>
    <cacheField name="Tooling Capacity Per Month" numFmtId="3">
      <sharedItems containsString="0" containsBlank="1" containsNumber="1" containsInteger="1" minValue="100000" maxValue="5700000"/>
    </cacheField>
    <cacheField name="Total Capacity Per Month" numFmtId="3">
      <sharedItems containsSemiMixedTypes="0" containsString="0" containsNumber="1" containsInteger="1" minValue="0" maxValue="11400000"/>
    </cacheField>
    <cacheField name="Tooling life" numFmtId="3">
      <sharedItems containsSemiMixedTypes="0" containsString="0" containsNumber="1" containsInteger="1" minValue="10000" maxValue="10000000"/>
    </cacheField>
    <cacheField name="Tool type" numFmtId="0">
      <sharedItems count="3">
        <s v="Hard tool"/>
        <s v="Soft tool"/>
        <s v="Soft tool EC"/>
      </sharedItems>
    </cacheField>
    <cacheField name="Kick off date" numFmtId="0">
      <sharedItems/>
    </cacheField>
    <cacheField name="Tool Unit cost" numFmtId="0">
      <sharedItems containsSemiMixedTypes="0" containsString="0" containsNumber="1" containsInteger="1" minValue="2261" maxValue="1330000"/>
    </cacheField>
    <cacheField name="Q'ty" numFmtId="0">
      <sharedItems containsSemiMixedTypes="0" containsString="0" containsNumber="1" containsInteger="1" minValue="1" maxValue="3"/>
    </cacheField>
    <cacheField name="Total Tool cost" numFmtId="0">
      <sharedItems containsSemiMixedTypes="0" containsString="0" containsNumber="1" containsInteger="1" minValue="2261" maxValue="1330000"/>
    </cacheField>
    <cacheField name="Requested by Whom" numFmtId="0">
      <sharedItems/>
    </cacheField>
    <cacheField name="Approval Status" numFmtId="0">
      <sharedItems/>
    </cacheField>
    <cacheField name="Payment Status" numFmtId="0">
      <sharedItems/>
    </cacheField>
    <cacheField name="Remar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HYPER BESPOKE"/>
    <s v="HP"/>
    <s v="ALUMINUM SLEEVE MACHINED"/>
    <s v="09702104"/>
    <s v="Everwin"/>
    <n v="2022"/>
    <n v="1"/>
    <s v="POP"/>
    <d v="2024-11-08T00:00:00"/>
    <n v="1"/>
    <n v="600000"/>
    <n v="600000"/>
    <n v="10000000"/>
    <x v="0"/>
    <s v="5th Jan 2022"/>
    <n v="1330000"/>
    <n v="1"/>
    <n v="1330000"/>
    <s v="Jon Hayward"/>
    <s v="Approved"/>
    <s v="No"/>
    <m/>
  </r>
  <r>
    <s v="X2"/>
    <s v="HP"/>
    <s v="HEATER_TUBE_AL"/>
    <s v="107-22-005"/>
    <s v="Everwin"/>
    <n v="2022"/>
    <n v="12"/>
    <s v="POP"/>
    <d v="2024-11-08T00:00:00"/>
    <n v="1"/>
    <n v="600000"/>
    <n v="600000"/>
    <n v="10000000"/>
    <x v="0"/>
    <s v="1st Dec 2022"/>
    <n v="1248000"/>
    <n v="1"/>
    <n v="1248000"/>
    <s v="Jon Hayward"/>
    <s v="Approved"/>
    <s v="No"/>
    <m/>
  </r>
  <r>
    <s v="X2"/>
    <s v="HP"/>
    <s v="SHUTTER DOOR COVER"/>
    <s v="107-22-015"/>
    <s v="Everwin"/>
    <n v="2022"/>
    <n v="12"/>
    <s v="POP"/>
    <d v="2024-11-08T00:00:00"/>
    <n v="1"/>
    <n v="600000"/>
    <n v="600000"/>
    <n v="10000000"/>
    <x v="0"/>
    <s v="1st Dec 2022"/>
    <n v="480000"/>
    <n v="1"/>
    <n v="480000"/>
    <s v="Jon Hayward"/>
    <s v="Approved"/>
    <s v="No"/>
    <m/>
  </r>
  <r>
    <s v="X2 Air"/>
    <s v="HP"/>
    <s v="HOUSING"/>
    <s v="350052141000"/>
    <s v="Everwin"/>
    <n v="2022"/>
    <n v="11"/>
    <s v="POP"/>
    <d v="2024-11-08T00:00:00"/>
    <n v="1"/>
    <n v="100000"/>
    <n v="100000"/>
    <n v="10000000"/>
    <x v="0"/>
    <s v="7th Nov 2022"/>
    <n v="520200"/>
    <n v="1"/>
    <n v="520200"/>
    <s v="Jon Hayward"/>
    <s v="Approved"/>
    <s v="Yes"/>
    <m/>
  </r>
  <r>
    <s v="X2 Air"/>
    <s v="HP"/>
    <s v="SLIDER COVER"/>
    <s v="350052142000"/>
    <s v="Everwin"/>
    <n v="2022"/>
    <n v="11"/>
    <s v="POP"/>
    <d v="2024-11-08T00:00:00"/>
    <n v="1"/>
    <n v="100000"/>
    <n v="100000"/>
    <n v="10000000"/>
    <x v="0"/>
    <s v="7th Nov 2022"/>
    <n v="136500"/>
    <n v="1"/>
    <n v="136500"/>
    <s v="Jon Hayward"/>
    <s v="Approved"/>
    <s v="Yes"/>
    <m/>
  </r>
  <r>
    <s v="ePod 3"/>
    <s v="RCS POD"/>
    <s v="Silicone Seal 1"/>
    <s v="14011044X"/>
    <s v="Everwin"/>
    <n v="2022"/>
    <n v="12"/>
    <s v="POP"/>
    <d v="2024-11-08T00:00:00"/>
    <n v="600"/>
    <n v="4600000"/>
    <n v="9200000"/>
    <n v="200000"/>
    <x v="0"/>
    <s v="24th Dec 2022"/>
    <n v="75000"/>
    <n v="2"/>
    <n v="150000"/>
    <s v="Srikanth Naule"/>
    <s v="Approved"/>
    <s v="No"/>
    <m/>
  </r>
  <r>
    <s v="ePod 3"/>
    <s v="RCS POD"/>
    <s v="Silicone Seal 2"/>
    <n v="344002983"/>
    <s v="Everwin"/>
    <n v="2022"/>
    <n v="12"/>
    <s v="POP"/>
    <d v="2024-11-08T00:00:00"/>
    <n v="360"/>
    <n v="2800000"/>
    <n v="8400000"/>
    <n v="200000"/>
    <x v="0"/>
    <s v="24th Dec 2022"/>
    <n v="68000"/>
    <n v="3"/>
    <n v="204000"/>
    <s v="Srikanth Naule"/>
    <s v="Approved"/>
    <s v="No"/>
    <m/>
  </r>
  <r>
    <s v="ePod 3"/>
    <s v="RCS POD"/>
    <s v="Silicone Seal 3"/>
    <s v="15120007X"/>
    <s v="Everwin"/>
    <n v="2022"/>
    <n v="12"/>
    <s v="POP"/>
    <d v="2024-11-08T00:00:00"/>
    <n v="600"/>
    <n v="5700000"/>
    <n v="11400000"/>
    <n v="200000"/>
    <x v="0"/>
    <s v="24th Dec 2022"/>
    <n v="68000"/>
    <n v="2"/>
    <n v="136000"/>
    <s v="Srikanth Naule"/>
    <s v="Approved"/>
    <s v="No"/>
    <m/>
  </r>
  <r>
    <s v="Hestia 1.0"/>
    <s v="RCS POD"/>
    <s v="Heater cover silicone(Automation ver)"/>
    <n v="140010670059920"/>
    <s v="Everwin"/>
    <n v="2023"/>
    <n v="11"/>
    <s v="POP"/>
    <d v="2024-11-08T00:00:00"/>
    <n v="200"/>
    <n v="1820000"/>
    <n v="1820000"/>
    <n v="200000"/>
    <x v="0"/>
    <s v="28th Nov 2023"/>
    <n v="72000"/>
    <n v="1"/>
    <n v="72000"/>
    <s v="Kevin Jin"/>
    <s v="Approved"/>
    <s v="No"/>
    <m/>
  </r>
  <r>
    <s v="Hestia 1.0"/>
    <s v="RCS POD"/>
    <s v="Heater holder silicone"/>
    <n v="140040670024857"/>
    <s v="Everwin"/>
    <n v="2023"/>
    <n v="11"/>
    <s v="POP"/>
    <d v="2024-11-08T00:00:00"/>
    <n v="360"/>
    <n v="3640000"/>
    <n v="3640000"/>
    <n v="200000"/>
    <x v="0"/>
    <s v="28th Nov 2023"/>
    <n v="82000"/>
    <n v="1"/>
    <n v="82000"/>
    <s v="Kevin Jin"/>
    <s v="Approved"/>
    <s v="No"/>
    <m/>
  </r>
  <r>
    <s v="Hestia 1.0"/>
    <s v="RCS POD"/>
    <s v="Heater silicone(Automation ver)"/>
    <n v="140010670052941"/>
    <s v="Everwin"/>
    <n v="2023"/>
    <n v="11"/>
    <s v="POP"/>
    <d v="2024-11-08T00:00:00"/>
    <n v="400"/>
    <n v="3640000"/>
    <n v="3640000"/>
    <n v="200000"/>
    <x v="0"/>
    <s v="28th Nov 2023"/>
    <n v="82000"/>
    <n v="1"/>
    <n v="82000"/>
    <s v="Kevin Jin"/>
    <s v="Approved"/>
    <s v="No"/>
    <m/>
  </r>
  <r>
    <s v="Artemis 1.1 PRO"/>
    <s v="HP"/>
    <s v="HOUSING"/>
    <s v="0660201001"/>
    <s v="Everwin"/>
    <n v="2024"/>
    <n v="1"/>
    <s v="POP"/>
    <d v="2024-11-08T00:00:00"/>
    <n v="1"/>
    <m/>
    <n v="0"/>
    <n v="10000000"/>
    <x v="1"/>
    <s v="29th Jan 2024"/>
    <n v="323000"/>
    <n v="1"/>
    <n v="323000"/>
    <s v="Chris Fang"/>
    <s v="Approved"/>
    <s v="Yes"/>
    <m/>
  </r>
  <r>
    <s v="Artemis 1.1 PRO"/>
    <s v="HP"/>
    <s v="TOP_COVER"/>
    <s v="0660201002"/>
    <s v="Everwin"/>
    <n v="2024"/>
    <n v="1"/>
    <s v="POP"/>
    <d v="2024-11-08T00:00:00"/>
    <n v="1"/>
    <m/>
    <n v="0"/>
    <n v="10000000"/>
    <x v="1"/>
    <s v="29th Jan 2024"/>
    <n v="64300"/>
    <n v="1"/>
    <n v="64300"/>
    <s v="Chris Fang"/>
    <s v="Approved"/>
    <s v="Yes"/>
    <m/>
  </r>
  <r>
    <s v="Artemis 1.1 PRO"/>
    <s v="HP"/>
    <s v="MAIN_CHASSIS"/>
    <s v="0660202005"/>
    <s v="Everwin"/>
    <n v="2024"/>
    <n v="1"/>
    <s v="POP"/>
    <d v="2024-11-08T00:00:00"/>
    <n v="4"/>
    <m/>
    <n v="0"/>
    <n v="1000000"/>
    <x v="1"/>
    <s v="29th Jan 2024"/>
    <n v="225000"/>
    <n v="1"/>
    <n v="225000"/>
    <s v="Chris Fang"/>
    <s v="Approved"/>
    <s v="Yes"/>
    <m/>
  </r>
  <r>
    <s v="Modi Max"/>
    <s v="MODI"/>
    <s v="Top Seal Silicone"/>
    <s v="YJ49265-5"/>
    <s v="Everwin"/>
    <n v="2022"/>
    <n v="11"/>
    <s v="POP"/>
    <d v="2024-11-08T00:00:00"/>
    <n v="24"/>
    <m/>
    <n v="0"/>
    <n v="10000"/>
    <x v="1"/>
    <s v="18th Nov 2022"/>
    <n v="10000"/>
    <n v="1"/>
    <n v="10000"/>
    <s v="Srikanth Naule"/>
    <s v="Approved"/>
    <s v="No"/>
    <m/>
  </r>
  <r>
    <s v="Modi Max"/>
    <s v="MODI"/>
    <s v="Slider Cover Silicone"/>
    <s v="YJ49265-8"/>
    <s v="Everwin"/>
    <n v="2022"/>
    <n v="11"/>
    <s v="POP"/>
    <d v="2024-11-08T00:00:00"/>
    <n v="24"/>
    <m/>
    <n v="0"/>
    <n v="10000"/>
    <x v="1"/>
    <s v="18th Nov 2022"/>
    <n v="10000"/>
    <n v="1"/>
    <n v="10000"/>
    <s v="Srikanth Naule"/>
    <s v="Approved"/>
    <s v="No"/>
    <m/>
  </r>
  <r>
    <s v="Modi Max"/>
    <s v="MODI"/>
    <s v="Slider Silicone"/>
    <s v="YJ49265-10"/>
    <s v="Everwin"/>
    <n v="2022"/>
    <n v="11"/>
    <s v="POP"/>
    <d v="2024-11-08T00:00:00"/>
    <n v="24"/>
    <m/>
    <n v="0"/>
    <n v="10000"/>
    <x v="1"/>
    <s v="18th Nov 2022"/>
    <n v="10000"/>
    <n v="1"/>
    <n v="10000"/>
    <s v="Srikanth Naule"/>
    <s v="Approved"/>
    <s v="No"/>
    <m/>
  </r>
  <r>
    <s v="Modi Max"/>
    <s v="MODI"/>
    <s v="Mic Sensor Silicone"/>
    <s v="YJ49265-13"/>
    <s v="Everwin"/>
    <n v="2022"/>
    <n v="11"/>
    <s v="POP"/>
    <d v="2024-11-08T00:00:00"/>
    <n v="24"/>
    <m/>
    <n v="0"/>
    <n v="10000"/>
    <x v="1"/>
    <s v="18th Nov 2022"/>
    <n v="11000"/>
    <n v="1"/>
    <n v="11000"/>
    <s v="Srikanth Naule"/>
    <s v="Approved"/>
    <s v="No"/>
    <m/>
  </r>
  <r>
    <s v="Modi Max"/>
    <s v="MODI"/>
    <s v="Top Block Silicone"/>
    <s v="YJ49265-17"/>
    <s v="Everwin"/>
    <n v="2022"/>
    <n v="11"/>
    <s v="POP"/>
    <d v="2024-11-08T00:00:00"/>
    <n v="24"/>
    <m/>
    <n v="0"/>
    <n v="10000"/>
    <x v="1"/>
    <s v="18th Nov 2022"/>
    <n v="11000"/>
    <n v="1"/>
    <n v="11000"/>
    <s v="Srikanth Naule"/>
    <s v="Approved"/>
    <s v="No"/>
    <m/>
  </r>
  <r>
    <s v="Modi Max"/>
    <s v="MODI"/>
    <s v="Bottom Block Silicone"/>
    <s v="YJ49265-18"/>
    <s v="Everwin"/>
    <n v="2022"/>
    <n v="11"/>
    <s v="POP"/>
    <d v="2024-11-08T00:00:00"/>
    <n v="24"/>
    <m/>
    <n v="0"/>
    <n v="10000"/>
    <x v="1"/>
    <s v="18th Nov 2022"/>
    <n v="11000"/>
    <n v="1"/>
    <n v="11000"/>
    <s v="Srikanth Naule"/>
    <s v="Approved"/>
    <s v="No"/>
    <m/>
  </r>
  <r>
    <s v="Modi Max"/>
    <s v="MODI"/>
    <s v="Top Silicone Cap"/>
    <s v="YJ49265-25"/>
    <s v="Everwin"/>
    <n v="2022"/>
    <n v="11"/>
    <s v="POP"/>
    <d v="2024-11-08T00:00:00"/>
    <n v="24"/>
    <m/>
    <n v="0"/>
    <n v="10000"/>
    <x v="1"/>
    <s v="18th Nov 2022"/>
    <n v="11000"/>
    <n v="1"/>
    <n v="11000"/>
    <s v="Srikanth Naule"/>
    <s v="Approved"/>
    <s v="No"/>
    <m/>
  </r>
  <r>
    <s v="Modi Max"/>
    <s v="MODI"/>
    <s v="Bottom Silicone Cap"/>
    <s v="YJ49265-26A"/>
    <s v="Everwin"/>
    <n v="2022"/>
    <n v="11"/>
    <s v="POP"/>
    <d v="2024-11-08T00:00:00"/>
    <n v="24"/>
    <m/>
    <n v="0"/>
    <n v="10000"/>
    <x v="1"/>
    <s v="18th Nov 2022"/>
    <n v="10000"/>
    <n v="1"/>
    <n v="10000"/>
    <s v="Srikanth Naule"/>
    <s v="Approved"/>
    <s v="No"/>
    <m/>
  </r>
  <r>
    <s v="Modi Max"/>
    <s v="MODI"/>
    <s v="Bottom Silicone Cap"/>
    <s v="YJ49265-26B"/>
    <s v="Everwin"/>
    <n v="2022"/>
    <n v="11"/>
    <s v="POP"/>
    <d v="2024-11-08T00:00:00"/>
    <n v="24"/>
    <m/>
    <n v="0"/>
    <n v="10000"/>
    <x v="1"/>
    <s v="18th Nov 2022"/>
    <n v="10000"/>
    <n v="1"/>
    <n v="10000"/>
    <s v="Srikanth Naule"/>
    <s v="Approved"/>
    <s v="No"/>
    <m/>
  </r>
  <r>
    <s v="Modi Max"/>
    <s v="MODI"/>
    <s v="Top Block Silicone"/>
    <s v="YJ49265-17"/>
    <s v="Everwin"/>
    <n v="2022"/>
    <n v="12"/>
    <s v="POP"/>
    <d v="2024-11-08T00:00:00"/>
    <n v="24"/>
    <m/>
    <n v="0"/>
    <n v="10000"/>
    <x v="2"/>
    <s v="15th Dec 2022"/>
    <n v="4686"/>
    <n v="1"/>
    <n v="4686"/>
    <s v="Srikanth Naule"/>
    <s v="Approved"/>
    <s v="No"/>
    <m/>
  </r>
  <r>
    <s v="Modi Max"/>
    <s v="MODI"/>
    <s v="Bottom Block Silicone"/>
    <s v="YJ49265-18"/>
    <s v="Everwin"/>
    <n v="2022"/>
    <n v="12"/>
    <s v="POP"/>
    <d v="2024-11-08T00:00:00"/>
    <n v="24"/>
    <m/>
    <n v="0"/>
    <n v="10000"/>
    <x v="2"/>
    <s v="15th Dec 2022"/>
    <n v="2261"/>
    <n v="1"/>
    <n v="2261"/>
    <s v="Srikanth Naule"/>
    <s v="Approved"/>
    <s v="No"/>
    <m/>
  </r>
  <r>
    <s v="Modi Max"/>
    <s v="MODI"/>
    <s v="Slider Cover Silicone"/>
    <s v="YJ49265-8"/>
    <s v="Everwin"/>
    <n v="2023"/>
    <n v="1"/>
    <s v="POP"/>
    <d v="2024-11-08T00:00:00"/>
    <n v="24"/>
    <m/>
    <n v="0"/>
    <n v="10000"/>
    <x v="2"/>
    <s v="10th Jan 2023"/>
    <n v="5302"/>
    <n v="1"/>
    <n v="5302"/>
    <s v="Srikanth Naule"/>
    <s v="Approved"/>
    <s v="No"/>
    <m/>
  </r>
  <r>
    <s v="Modi Max"/>
    <s v="MODI"/>
    <s v="Top Block Silicone"/>
    <s v="YJ49265-17"/>
    <s v="Everwin"/>
    <n v="2023"/>
    <n v="1"/>
    <s v="POP"/>
    <d v="2024-11-08T00:00:00"/>
    <n v="24"/>
    <m/>
    <n v="0"/>
    <n v="10000"/>
    <x v="2"/>
    <s v="12th Jan 2023"/>
    <n v="4015"/>
    <n v="1"/>
    <n v="4015"/>
    <s v="Srikanth Naule"/>
    <s v="Approved"/>
    <s v="No"/>
    <m/>
  </r>
  <r>
    <s v="Modi Max"/>
    <s v="MODI"/>
    <s v="Bottom Block Silicone"/>
    <s v="YJ49265-18"/>
    <s v="Everwin"/>
    <n v="2023"/>
    <n v="1"/>
    <s v="POP"/>
    <d v="2024-11-08T00:00:00"/>
    <n v="24"/>
    <m/>
    <n v="0"/>
    <n v="10000"/>
    <x v="2"/>
    <s v="12th Jan 2023"/>
    <n v="4356"/>
    <n v="1"/>
    <n v="4356"/>
    <s v="Srikanth Naule"/>
    <s v="Approved"/>
    <s v="No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5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" showAll="0"/>
    <pivotField showAll="0"/>
    <pivotField numFmtId="3" showAll="0"/>
    <pivotField numFmtId="3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Sum of Total Tool cost" fld="17" baseField="0" baseItem="0" numFmtId="177"/>
  </dataFields>
  <formats count="6">
    <format dxfId="5">
      <pivotArea outline="0" collapsedLevelsAreSubtotals="1" fieldPosition="0"/>
    </format>
    <format dxfId="4">
      <pivotArea dataOnly="0" labelOnly="1" fieldPosition="0">
        <references count="1">
          <reference field="13" count="0"/>
        </references>
      </pivotArea>
    </format>
    <format dxfId="3">
      <pivotArea dataOnly="0" labelOnly="1" grandCol="1" outline="0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13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3" dT="2025-01-02T04:00:36.70" personId="{826622E4-A5DC-4B62-8D33-133784C28997}" id="{43BDF6C0-0A85-4A35-B77B-7BEB61F35C9A}">
    <text>Follow with the description in latest 2D drawings.</text>
  </threadedComment>
  <threadedComment ref="AA3" dT="2025-01-07T02:03:59.76" personId="{826622E4-A5DC-4B62-8D33-133784C28997}" id="{DC669CD9-7CEA-43B8-8418-F8F07DC77E92}">
    <text>Painting, anodizing, printing or others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128"/>
  <sheetViews>
    <sheetView zoomScale="110" zoomScaleNormal="110" workbookViewId="0">
      <pane ySplit="3" topLeftCell="A28" activePane="bottomLeft" state="frozen"/>
      <selection pane="bottomLeft" activeCell="A2" sqref="A2:XFD2"/>
    </sheetView>
  </sheetViews>
  <sheetFormatPr defaultColWidth="8.75" defaultRowHeight="14.25" x14ac:dyDescent="0.2"/>
  <cols>
    <col min="1" max="1" width="14.125" style="18" customWidth="1"/>
    <col min="2" max="2" width="21.125" style="15" customWidth="1"/>
    <col min="3" max="3" width="24.75" style="15" customWidth="1"/>
    <col min="4" max="4" width="15.875" style="15" bestFit="1" customWidth="1"/>
    <col min="5" max="7" width="14.125" style="15" customWidth="1"/>
    <col min="8" max="8" width="14.125" style="34" customWidth="1"/>
    <col min="9" max="9" width="14.125" style="128" customWidth="1"/>
    <col min="10" max="10" width="18.125" style="15" customWidth="1"/>
    <col min="11" max="11" width="14.125" style="34" customWidth="1"/>
    <col min="12" max="13" width="14.125" style="21" customWidth="1"/>
    <col min="14" max="14" width="13.625" style="21" customWidth="1"/>
    <col min="15" max="15" width="17.125" style="21" customWidth="1"/>
    <col min="16" max="16" width="13.875" style="123" customWidth="1"/>
    <col min="17" max="17" width="13.875" style="21" customWidth="1"/>
    <col min="18" max="19" width="14.125" style="22" customWidth="1"/>
    <col min="20" max="20" width="14.125" style="21" customWidth="1"/>
    <col min="21" max="21" width="18.625" style="38" customWidth="1"/>
    <col min="22" max="26" width="14.125" style="15" customWidth="1"/>
    <col min="27" max="27" width="14.125" style="23" customWidth="1"/>
    <col min="28" max="28" width="14.125" style="38" customWidth="1"/>
    <col min="29" max="29" width="14.125" style="23" customWidth="1"/>
    <col min="30" max="30" width="14.125" style="22" customWidth="1"/>
    <col min="31" max="31" width="14.125" style="15" customWidth="1"/>
    <col min="32" max="16384" width="8.75" style="15"/>
  </cols>
  <sheetData>
    <row r="1" spans="1:31" ht="18" x14ac:dyDescent="0.2">
      <c r="B1" s="65" t="s">
        <v>0</v>
      </c>
      <c r="C1" s="56" t="s">
        <v>1</v>
      </c>
      <c r="D1" s="56" t="s">
        <v>2</v>
      </c>
      <c r="E1" s="66" t="s">
        <v>3</v>
      </c>
      <c r="F1" s="67" t="s">
        <v>4</v>
      </c>
      <c r="J1" s="32"/>
      <c r="K1" s="32"/>
      <c r="O1" s="63"/>
      <c r="P1" s="122"/>
      <c r="Q1" s="63"/>
    </row>
    <row r="2" spans="1:31" ht="17.25" x14ac:dyDescent="0.3">
      <c r="B2" s="20"/>
      <c r="C2" s="19" t="s">
        <v>5</v>
      </c>
      <c r="D2" s="20"/>
      <c r="E2" s="20"/>
      <c r="F2" s="20"/>
      <c r="G2" s="20"/>
    </row>
    <row r="3" spans="1:31" s="32" customFormat="1" ht="34.5" customHeight="1" x14ac:dyDescent="0.2">
      <c r="A3" s="16" t="s">
        <v>6</v>
      </c>
      <c r="B3" s="57" t="s">
        <v>7</v>
      </c>
      <c r="C3" s="16" t="s">
        <v>8</v>
      </c>
      <c r="D3" s="16" t="s">
        <v>9</v>
      </c>
      <c r="E3" s="16" t="s">
        <v>10</v>
      </c>
      <c r="F3" s="16" t="s">
        <v>11</v>
      </c>
      <c r="G3" s="16" t="s">
        <v>12</v>
      </c>
      <c r="H3" s="35" t="s">
        <v>13</v>
      </c>
      <c r="I3" s="35" t="s">
        <v>14</v>
      </c>
      <c r="J3" s="58" t="s">
        <v>15</v>
      </c>
      <c r="K3" s="57" t="s">
        <v>16</v>
      </c>
      <c r="L3" s="24" t="s">
        <v>17</v>
      </c>
      <c r="M3" s="24" t="s">
        <v>18</v>
      </c>
      <c r="N3" s="24" t="s">
        <v>19</v>
      </c>
      <c r="O3" s="64" t="s">
        <v>20</v>
      </c>
      <c r="P3" s="124" t="s">
        <v>21</v>
      </c>
      <c r="Q3" s="121" t="s">
        <v>22</v>
      </c>
      <c r="R3" s="25" t="s">
        <v>23</v>
      </c>
      <c r="S3" s="25" t="s">
        <v>24</v>
      </c>
      <c r="T3" s="24" t="s">
        <v>25</v>
      </c>
      <c r="U3" s="39" t="s">
        <v>26</v>
      </c>
      <c r="V3" s="140" t="s">
        <v>27</v>
      </c>
      <c r="W3" s="140" t="s">
        <v>28</v>
      </c>
      <c r="X3" s="26" t="s">
        <v>29</v>
      </c>
      <c r="Y3" s="26" t="s">
        <v>30</v>
      </c>
      <c r="Z3" s="143" t="s">
        <v>31</v>
      </c>
      <c r="AA3" s="26" t="s">
        <v>32</v>
      </c>
      <c r="AB3" s="39" t="s">
        <v>33</v>
      </c>
      <c r="AC3" s="26" t="s">
        <v>34</v>
      </c>
      <c r="AD3" s="26" t="s">
        <v>35</v>
      </c>
      <c r="AE3" s="16" t="s">
        <v>36</v>
      </c>
    </row>
    <row r="4" spans="1:31" s="95" customFormat="1" x14ac:dyDescent="0.2">
      <c r="A4" s="84" t="s">
        <v>37</v>
      </c>
      <c r="B4" s="87" t="str">
        <f>VLOOKUP(A4,[1]Sheet1!$A:$B,2,0)</f>
        <v>RCS POD</v>
      </c>
      <c r="C4" s="85" t="s">
        <v>38</v>
      </c>
      <c r="D4" s="86">
        <v>140010670059920</v>
      </c>
      <c r="E4" s="87" t="s">
        <v>39</v>
      </c>
      <c r="F4" s="87"/>
      <c r="G4" s="54" t="s">
        <v>40</v>
      </c>
      <c r="H4" s="55">
        <v>2025</v>
      </c>
      <c r="I4" s="87">
        <v>3</v>
      </c>
      <c r="J4" s="96">
        <v>45661</v>
      </c>
      <c r="K4" s="97"/>
      <c r="L4" s="88">
        <v>5.8999999999999997E-2</v>
      </c>
      <c r="M4" s="88">
        <v>6.08E-2</v>
      </c>
      <c r="N4" s="88">
        <f>M4-L4</f>
        <v>1.800000000000003E-3</v>
      </c>
      <c r="O4" s="88">
        <f t="shared" ref="O4:O6" si="0">K4*N4</f>
        <v>0</v>
      </c>
      <c r="P4" s="141">
        <v>1</v>
      </c>
      <c r="Q4" s="88">
        <f t="shared" ref="Q4:Q6" si="1">P4*L4</f>
        <v>5.8999999999999997E-2</v>
      </c>
      <c r="R4" s="89">
        <v>1500000</v>
      </c>
      <c r="S4" s="89">
        <f t="shared" ref="S4:S6" si="2">R4+S7</f>
        <v>9371906</v>
      </c>
      <c r="T4" s="88">
        <v>72000</v>
      </c>
      <c r="U4" s="90">
        <f>T4-N4*S4</f>
        <v>55130.569199999969</v>
      </c>
      <c r="V4" s="87" t="s">
        <v>41</v>
      </c>
      <c r="W4" s="87" t="s">
        <v>42</v>
      </c>
      <c r="X4" s="91">
        <v>0.622</v>
      </c>
      <c r="Y4" s="92" t="s">
        <v>43</v>
      </c>
      <c r="Z4" s="92"/>
      <c r="AA4" s="93">
        <v>0</v>
      </c>
      <c r="AB4" s="90">
        <f>M4*R4</f>
        <v>91200</v>
      </c>
      <c r="AC4" s="94">
        <f>AA4*R4</f>
        <v>0</v>
      </c>
      <c r="AD4" s="89">
        <f>R4*X4/1000</f>
        <v>933</v>
      </c>
      <c r="AE4" s="87"/>
    </row>
    <row r="5" spans="1:31" s="115" customFormat="1" x14ac:dyDescent="0.2">
      <c r="A5" s="100" t="s">
        <v>37</v>
      </c>
      <c r="B5" s="101" t="str">
        <f>VLOOKUP(A5,[1]Sheet1!$A:$B,2,0)</f>
        <v>RCS POD</v>
      </c>
      <c r="C5" s="102" t="s">
        <v>44</v>
      </c>
      <c r="D5" s="103">
        <v>140040670024857</v>
      </c>
      <c r="E5" s="101" t="s">
        <v>39</v>
      </c>
      <c r="F5" s="101"/>
      <c r="G5" s="104" t="s">
        <v>40</v>
      </c>
      <c r="H5" s="105">
        <v>2025</v>
      </c>
      <c r="I5" s="101">
        <v>3</v>
      </c>
      <c r="J5" s="106">
        <v>45661</v>
      </c>
      <c r="K5" s="107"/>
      <c r="L5" s="108">
        <v>4.4200000000000003E-2</v>
      </c>
      <c r="M5" s="108">
        <v>4.53E-2</v>
      </c>
      <c r="N5" s="108">
        <f t="shared" ref="N5:N6" si="3">M5-L5</f>
        <v>1.0999999999999968E-3</v>
      </c>
      <c r="O5" s="108">
        <f t="shared" si="0"/>
        <v>0</v>
      </c>
      <c r="P5" s="142">
        <v>1</v>
      </c>
      <c r="Q5" s="108">
        <f t="shared" si="1"/>
        <v>4.4200000000000003E-2</v>
      </c>
      <c r="R5" s="109">
        <v>0</v>
      </c>
      <c r="S5" s="109">
        <f t="shared" si="2"/>
        <v>21498173</v>
      </c>
      <c r="T5" s="108">
        <v>82000</v>
      </c>
      <c r="U5" s="110">
        <f t="shared" ref="U5:U6" si="4">T5-N5*S5</f>
        <v>58352.009700000068</v>
      </c>
      <c r="V5" s="101" t="s">
        <v>41</v>
      </c>
      <c r="W5" s="101" t="s">
        <v>42</v>
      </c>
      <c r="X5" s="111">
        <v>0.28699999999999998</v>
      </c>
      <c r="Y5" s="112" t="s">
        <v>43</v>
      </c>
      <c r="Z5" s="112"/>
      <c r="AA5" s="113">
        <v>0</v>
      </c>
      <c r="AB5" s="110">
        <f t="shared" ref="AB5:AB6" si="5">M5*R5</f>
        <v>0</v>
      </c>
      <c r="AC5" s="114">
        <f t="shared" ref="AC5:AC6" si="6">AA5*R5</f>
        <v>0</v>
      </c>
      <c r="AD5" s="109">
        <f t="shared" ref="AD5:AD6" si="7">R5*X5/1000</f>
        <v>0</v>
      </c>
      <c r="AE5" s="101"/>
    </row>
    <row r="6" spans="1:31" s="115" customFormat="1" x14ac:dyDescent="0.2">
      <c r="A6" s="116" t="s">
        <v>37</v>
      </c>
      <c r="B6" s="101" t="str">
        <f>VLOOKUP(A6,[1]Sheet1!$A:$B,2,0)</f>
        <v>RCS POD</v>
      </c>
      <c r="C6" s="102" t="s">
        <v>45</v>
      </c>
      <c r="D6" s="103">
        <v>140010670052941</v>
      </c>
      <c r="E6" s="101" t="s">
        <v>39</v>
      </c>
      <c r="F6" s="101"/>
      <c r="G6" s="117" t="s">
        <v>40</v>
      </c>
      <c r="H6" s="118">
        <v>2025</v>
      </c>
      <c r="I6" s="101">
        <v>3</v>
      </c>
      <c r="J6" s="106">
        <v>45661</v>
      </c>
      <c r="K6" s="119"/>
      <c r="L6" s="108">
        <v>4.9000000000000002E-2</v>
      </c>
      <c r="M6" s="108">
        <v>0.05</v>
      </c>
      <c r="N6" s="108">
        <f t="shared" si="3"/>
        <v>1.0000000000000009E-3</v>
      </c>
      <c r="O6" s="108">
        <f t="shared" si="0"/>
        <v>0</v>
      </c>
      <c r="P6" s="142">
        <v>1</v>
      </c>
      <c r="Q6" s="108">
        <f t="shared" si="1"/>
        <v>4.9000000000000002E-2</v>
      </c>
      <c r="R6" s="109">
        <v>0</v>
      </c>
      <c r="S6" s="109">
        <f t="shared" si="2"/>
        <v>12212072</v>
      </c>
      <c r="T6" s="108">
        <v>82000</v>
      </c>
      <c r="U6" s="110">
        <f t="shared" si="4"/>
        <v>69787.927999999985</v>
      </c>
      <c r="V6" s="101" t="s">
        <v>41</v>
      </c>
      <c r="W6" s="101" t="s">
        <v>42</v>
      </c>
      <c r="X6" s="111">
        <v>0.505</v>
      </c>
      <c r="Y6" s="112" t="s">
        <v>43</v>
      </c>
      <c r="Z6" s="29"/>
      <c r="AA6" s="113">
        <v>0</v>
      </c>
      <c r="AB6" s="110">
        <f t="shared" si="5"/>
        <v>0</v>
      </c>
      <c r="AC6" s="114">
        <f t="shared" si="6"/>
        <v>0</v>
      </c>
      <c r="AD6" s="109">
        <f t="shared" si="7"/>
        <v>0</v>
      </c>
      <c r="AE6" s="101"/>
    </row>
    <row r="7" spans="1:31" s="115" customFormat="1" x14ac:dyDescent="0.2">
      <c r="A7" s="100" t="s">
        <v>37</v>
      </c>
      <c r="B7" s="101" t="str">
        <f>VLOOKUP(A7,[1]Sheet1!$A:$B,2,0)</f>
        <v>RCS POD</v>
      </c>
      <c r="C7" s="102" t="s">
        <v>38</v>
      </c>
      <c r="D7" s="103">
        <v>140010670059920</v>
      </c>
      <c r="E7" s="101" t="s">
        <v>39</v>
      </c>
      <c r="F7" s="101"/>
      <c r="G7" s="104" t="s">
        <v>40</v>
      </c>
      <c r="H7" s="105">
        <v>2025</v>
      </c>
      <c r="I7" s="101">
        <v>2</v>
      </c>
      <c r="J7" s="106">
        <v>45719</v>
      </c>
      <c r="K7" s="107"/>
      <c r="L7" s="108">
        <v>5.8999999999999997E-2</v>
      </c>
      <c r="M7" s="108">
        <v>6.08E-2</v>
      </c>
      <c r="N7" s="108">
        <f>M7-L7</f>
        <v>1.800000000000003E-3</v>
      </c>
      <c r="O7" s="108">
        <f t="shared" ref="O7:O9" si="8">K7*N7</f>
        <v>0</v>
      </c>
      <c r="P7" s="142">
        <v>1</v>
      </c>
      <c r="Q7" s="108">
        <f t="shared" ref="Q7:Q9" si="9">P7*L7</f>
        <v>5.8999999999999997E-2</v>
      </c>
      <c r="R7" s="109">
        <v>881906</v>
      </c>
      <c r="S7" s="109">
        <f t="shared" ref="S7:S13" si="10">R7+S10</f>
        <v>7871906</v>
      </c>
      <c r="T7" s="108">
        <v>72000</v>
      </c>
      <c r="U7" s="110">
        <f>T7-N7*S7</f>
        <v>57830.569199999976</v>
      </c>
      <c r="V7" s="101" t="s">
        <v>41</v>
      </c>
      <c r="W7" s="101" t="s">
        <v>42</v>
      </c>
      <c r="X7" s="111">
        <v>0.622</v>
      </c>
      <c r="Y7" s="112" t="s">
        <v>43</v>
      </c>
      <c r="Z7" s="112"/>
      <c r="AA7" s="113">
        <v>0</v>
      </c>
      <c r="AB7" s="110">
        <f>M7*R7</f>
        <v>53619.8848</v>
      </c>
      <c r="AC7" s="114">
        <f>AA7*R7</f>
        <v>0</v>
      </c>
      <c r="AD7" s="109">
        <f>R7*X7/1000</f>
        <v>548.54553199999998</v>
      </c>
      <c r="AE7" s="101"/>
    </row>
    <row r="8" spans="1:31" s="115" customFormat="1" x14ac:dyDescent="0.2">
      <c r="A8" s="100" t="s">
        <v>37</v>
      </c>
      <c r="B8" s="101" t="str">
        <f>VLOOKUP(A8,[1]Sheet1!$A:$B,2,0)</f>
        <v>RCS POD</v>
      </c>
      <c r="C8" s="102" t="s">
        <v>44</v>
      </c>
      <c r="D8" s="103">
        <v>140040670024857</v>
      </c>
      <c r="E8" s="101" t="s">
        <v>39</v>
      </c>
      <c r="F8" s="101"/>
      <c r="G8" s="104" t="s">
        <v>40</v>
      </c>
      <c r="H8" s="105">
        <v>2025</v>
      </c>
      <c r="I8" s="101">
        <v>2</v>
      </c>
      <c r="J8" s="106">
        <v>45719</v>
      </c>
      <c r="K8" s="107"/>
      <c r="L8" s="108">
        <v>4.4200000000000003E-2</v>
      </c>
      <c r="M8" s="108">
        <v>4.53E-2</v>
      </c>
      <c r="N8" s="108">
        <f t="shared" ref="N8:N9" si="11">M8-L8</f>
        <v>1.0999999999999968E-3</v>
      </c>
      <c r="O8" s="108">
        <f t="shared" si="8"/>
        <v>0</v>
      </c>
      <c r="P8" s="142">
        <v>1</v>
      </c>
      <c r="Q8" s="108">
        <f t="shared" si="9"/>
        <v>4.4200000000000003E-2</v>
      </c>
      <c r="R8" s="109">
        <v>0</v>
      </c>
      <c r="S8" s="109">
        <f t="shared" si="10"/>
        <v>21498173</v>
      </c>
      <c r="T8" s="108">
        <v>82000</v>
      </c>
      <c r="U8" s="110">
        <f t="shared" ref="U8:U9" si="12">T8-N8*S8</f>
        <v>58352.009700000068</v>
      </c>
      <c r="V8" s="101" t="s">
        <v>41</v>
      </c>
      <c r="W8" s="101" t="s">
        <v>42</v>
      </c>
      <c r="X8" s="111">
        <v>0.28699999999999998</v>
      </c>
      <c r="Y8" s="112" t="s">
        <v>43</v>
      </c>
      <c r="Z8" s="112"/>
      <c r="AA8" s="113">
        <v>0</v>
      </c>
      <c r="AB8" s="110">
        <f t="shared" ref="AB8:AB9" si="13">M8*R8</f>
        <v>0</v>
      </c>
      <c r="AC8" s="114">
        <f t="shared" ref="AC8:AC9" si="14">AA8*R8</f>
        <v>0</v>
      </c>
      <c r="AD8" s="109">
        <f t="shared" ref="AD8:AD9" si="15">R8*X8/1000</f>
        <v>0</v>
      </c>
      <c r="AE8" s="101"/>
    </row>
    <row r="9" spans="1:31" s="115" customFormat="1" x14ac:dyDescent="0.2">
      <c r="A9" s="116" t="s">
        <v>37</v>
      </c>
      <c r="B9" s="101" t="str">
        <f>VLOOKUP(A9,[1]Sheet1!$A:$B,2,0)</f>
        <v>RCS POD</v>
      </c>
      <c r="C9" s="102" t="s">
        <v>45</v>
      </c>
      <c r="D9" s="103">
        <v>140010670052941</v>
      </c>
      <c r="E9" s="101" t="s">
        <v>39</v>
      </c>
      <c r="F9" s="101"/>
      <c r="G9" s="117" t="s">
        <v>40</v>
      </c>
      <c r="H9" s="118">
        <v>2025</v>
      </c>
      <c r="I9" s="101">
        <v>2</v>
      </c>
      <c r="J9" s="106">
        <v>45719</v>
      </c>
      <c r="K9" s="119"/>
      <c r="L9" s="108">
        <v>4.9000000000000002E-2</v>
      </c>
      <c r="M9" s="108">
        <v>0.05</v>
      </c>
      <c r="N9" s="108">
        <f t="shared" si="11"/>
        <v>1.0000000000000009E-3</v>
      </c>
      <c r="O9" s="108">
        <f t="shared" si="8"/>
        <v>0</v>
      </c>
      <c r="P9" s="142">
        <v>1</v>
      </c>
      <c r="Q9" s="108">
        <f t="shared" si="9"/>
        <v>4.9000000000000002E-2</v>
      </c>
      <c r="R9" s="109">
        <v>0</v>
      </c>
      <c r="S9" s="109">
        <f t="shared" si="10"/>
        <v>12212072</v>
      </c>
      <c r="T9" s="108">
        <v>82000</v>
      </c>
      <c r="U9" s="110">
        <f t="shared" si="12"/>
        <v>69787.927999999985</v>
      </c>
      <c r="V9" s="101" t="s">
        <v>41</v>
      </c>
      <c r="W9" s="101" t="s">
        <v>42</v>
      </c>
      <c r="X9" s="111">
        <v>0.505</v>
      </c>
      <c r="Y9" s="112" t="s">
        <v>43</v>
      </c>
      <c r="Z9" s="29"/>
      <c r="AA9" s="113">
        <v>0</v>
      </c>
      <c r="AB9" s="110">
        <f t="shared" si="13"/>
        <v>0</v>
      </c>
      <c r="AC9" s="114">
        <f t="shared" si="14"/>
        <v>0</v>
      </c>
      <c r="AD9" s="109">
        <f t="shared" si="15"/>
        <v>0</v>
      </c>
      <c r="AE9" s="101"/>
    </row>
    <row r="10" spans="1:31" s="115" customFormat="1" x14ac:dyDescent="0.2">
      <c r="A10" s="100" t="s">
        <v>37</v>
      </c>
      <c r="B10" s="101" t="str">
        <f>VLOOKUP(A10,[1]Sheet1!$A:$B,2,0)</f>
        <v>RCS POD</v>
      </c>
      <c r="C10" s="102" t="s">
        <v>46</v>
      </c>
      <c r="D10" s="103">
        <v>140010670059920</v>
      </c>
      <c r="E10" s="101" t="s">
        <v>39</v>
      </c>
      <c r="F10" s="101"/>
      <c r="G10" s="104" t="s">
        <v>40</v>
      </c>
      <c r="H10" s="105">
        <v>2025</v>
      </c>
      <c r="I10" s="101">
        <v>1</v>
      </c>
      <c r="J10" s="106">
        <v>45700</v>
      </c>
      <c r="K10" s="107"/>
      <c r="L10" s="108">
        <v>5.8999999999999997E-2</v>
      </c>
      <c r="M10" s="108">
        <v>6.08E-2</v>
      </c>
      <c r="N10" s="108">
        <f>M10-L10</f>
        <v>1.800000000000003E-3</v>
      </c>
      <c r="O10" s="108">
        <f t="shared" ref="O10:O12" si="16">K10*N10</f>
        <v>0</v>
      </c>
      <c r="P10" s="142">
        <v>1</v>
      </c>
      <c r="Q10" s="108">
        <f t="shared" ref="Q10:Q12" si="17">P10*L10</f>
        <v>5.8999999999999997E-2</v>
      </c>
      <c r="R10" s="109">
        <v>1490000</v>
      </c>
      <c r="S10" s="109">
        <f t="shared" si="10"/>
        <v>6990000</v>
      </c>
      <c r="T10" s="108">
        <v>72000</v>
      </c>
      <c r="U10" s="110">
        <f>T10-N10*S10</f>
        <v>59417.999999999978</v>
      </c>
      <c r="V10" s="101" t="s">
        <v>41</v>
      </c>
      <c r="W10" s="101" t="s">
        <v>42</v>
      </c>
      <c r="X10" s="111">
        <v>0.622</v>
      </c>
      <c r="Y10" s="112" t="s">
        <v>43</v>
      </c>
      <c r="Z10" s="112"/>
      <c r="AA10" s="113">
        <v>0</v>
      </c>
      <c r="AB10" s="110">
        <f>M10*R10</f>
        <v>90592</v>
      </c>
      <c r="AC10" s="114">
        <f>AA10*R10</f>
        <v>0</v>
      </c>
      <c r="AD10" s="109">
        <f>R10*X10/1000</f>
        <v>926.78</v>
      </c>
      <c r="AE10" s="101"/>
    </row>
    <row r="11" spans="1:31" s="115" customFormat="1" x14ac:dyDescent="0.2">
      <c r="A11" s="100" t="s">
        <v>37</v>
      </c>
      <c r="B11" s="101" t="str">
        <f>VLOOKUP(A11,[1]Sheet1!$A:$B,2,0)</f>
        <v>RCS POD</v>
      </c>
      <c r="C11" s="102" t="s">
        <v>44</v>
      </c>
      <c r="D11" s="103">
        <v>140040670024857</v>
      </c>
      <c r="E11" s="101" t="s">
        <v>39</v>
      </c>
      <c r="F11" s="101"/>
      <c r="G11" s="104" t="s">
        <v>40</v>
      </c>
      <c r="H11" s="105">
        <v>2025</v>
      </c>
      <c r="I11" s="101">
        <v>1</v>
      </c>
      <c r="J11" s="106">
        <v>45700</v>
      </c>
      <c r="K11" s="107"/>
      <c r="L11" s="108">
        <v>4.4200000000000003E-2</v>
      </c>
      <c r="M11" s="108">
        <v>4.53E-2</v>
      </c>
      <c r="N11" s="108">
        <f t="shared" ref="N11:N12" si="18">M11-L11</f>
        <v>1.0999999999999968E-3</v>
      </c>
      <c r="O11" s="108">
        <f t="shared" si="16"/>
        <v>0</v>
      </c>
      <c r="P11" s="142">
        <v>1</v>
      </c>
      <c r="Q11" s="108">
        <f t="shared" si="17"/>
        <v>4.4200000000000003E-2</v>
      </c>
      <c r="R11" s="109">
        <v>0</v>
      </c>
      <c r="S11" s="109">
        <f t="shared" si="10"/>
        <v>21498173</v>
      </c>
      <c r="T11" s="108">
        <v>82000</v>
      </c>
      <c r="U11" s="110">
        <f t="shared" ref="U11:U12" si="19">T11-N11*S11</f>
        <v>58352.009700000068</v>
      </c>
      <c r="V11" s="101" t="s">
        <v>41</v>
      </c>
      <c r="W11" s="101" t="s">
        <v>42</v>
      </c>
      <c r="X11" s="111">
        <v>0.28699999999999998</v>
      </c>
      <c r="Y11" s="112" t="s">
        <v>43</v>
      </c>
      <c r="Z11" s="112"/>
      <c r="AA11" s="113">
        <v>0</v>
      </c>
      <c r="AB11" s="110">
        <f t="shared" ref="AB11:AB12" si="20">M11*R11</f>
        <v>0</v>
      </c>
      <c r="AC11" s="114">
        <f t="shared" ref="AC11:AC12" si="21">AA11*R11</f>
        <v>0</v>
      </c>
      <c r="AD11" s="109">
        <f t="shared" ref="AD11:AD12" si="22">R11*X11/1000</f>
        <v>0</v>
      </c>
      <c r="AE11" s="101"/>
    </row>
    <row r="12" spans="1:31" s="115" customFormat="1" x14ac:dyDescent="0.2">
      <c r="A12" s="116" t="s">
        <v>37</v>
      </c>
      <c r="B12" s="101" t="str">
        <f>VLOOKUP(A12,[1]Sheet1!$A:$B,2,0)</f>
        <v>RCS POD</v>
      </c>
      <c r="C12" s="102" t="s">
        <v>45</v>
      </c>
      <c r="D12" s="103">
        <v>140010670052941</v>
      </c>
      <c r="E12" s="101" t="s">
        <v>39</v>
      </c>
      <c r="F12" s="101"/>
      <c r="G12" s="117" t="s">
        <v>40</v>
      </c>
      <c r="H12" s="118">
        <v>2025</v>
      </c>
      <c r="I12" s="101">
        <v>1</v>
      </c>
      <c r="J12" s="106">
        <v>45700</v>
      </c>
      <c r="K12" s="119"/>
      <c r="L12" s="108">
        <v>4.9000000000000002E-2</v>
      </c>
      <c r="M12" s="108">
        <v>0.05</v>
      </c>
      <c r="N12" s="108">
        <f t="shared" si="18"/>
        <v>1.0000000000000009E-3</v>
      </c>
      <c r="O12" s="108">
        <f t="shared" si="16"/>
        <v>0</v>
      </c>
      <c r="P12" s="142">
        <v>1</v>
      </c>
      <c r="Q12" s="108">
        <f t="shared" si="17"/>
        <v>4.9000000000000002E-2</v>
      </c>
      <c r="R12" s="109">
        <v>0</v>
      </c>
      <c r="S12" s="109">
        <f t="shared" si="10"/>
        <v>12212072</v>
      </c>
      <c r="T12" s="108">
        <v>82000</v>
      </c>
      <c r="U12" s="110">
        <f t="shared" si="19"/>
        <v>69787.927999999985</v>
      </c>
      <c r="V12" s="101" t="s">
        <v>41</v>
      </c>
      <c r="W12" s="101" t="s">
        <v>42</v>
      </c>
      <c r="X12" s="111">
        <v>0.505</v>
      </c>
      <c r="Y12" s="112" t="s">
        <v>43</v>
      </c>
      <c r="Z12" s="29"/>
      <c r="AA12" s="113">
        <v>0</v>
      </c>
      <c r="AB12" s="110">
        <f t="shared" si="20"/>
        <v>0</v>
      </c>
      <c r="AC12" s="114">
        <f t="shared" si="21"/>
        <v>0</v>
      </c>
      <c r="AD12" s="109">
        <f t="shared" si="22"/>
        <v>0</v>
      </c>
      <c r="AE12" s="101"/>
    </row>
    <row r="13" spans="1:31" s="115" customFormat="1" x14ac:dyDescent="0.2">
      <c r="A13" s="100" t="s">
        <v>37</v>
      </c>
      <c r="B13" s="101" t="str">
        <f>VLOOKUP(A13,[1]Sheet1!$A:$B,2,0)</f>
        <v>RCS POD</v>
      </c>
      <c r="C13" s="102" t="s">
        <v>46</v>
      </c>
      <c r="D13" s="103">
        <v>140010670059920</v>
      </c>
      <c r="E13" s="101" t="s">
        <v>39</v>
      </c>
      <c r="F13" s="101"/>
      <c r="G13" s="104" t="s">
        <v>40</v>
      </c>
      <c r="H13" s="105">
        <v>2024</v>
      </c>
      <c r="I13" s="101">
        <v>12</v>
      </c>
      <c r="J13" s="106">
        <v>45660</v>
      </c>
      <c r="K13" s="107"/>
      <c r="L13" s="108">
        <v>5.8999999999999997E-2</v>
      </c>
      <c r="M13" s="108">
        <v>6.08E-2</v>
      </c>
      <c r="N13" s="108">
        <f>M13-L13</f>
        <v>1.800000000000003E-3</v>
      </c>
      <c r="O13" s="108">
        <f t="shared" ref="O13:O15" si="23">K13*N13</f>
        <v>0</v>
      </c>
      <c r="P13" s="142">
        <v>1</v>
      </c>
      <c r="Q13" s="108">
        <f t="shared" ref="Q13:Q15" si="24">P13*L13</f>
        <v>5.8999999999999997E-2</v>
      </c>
      <c r="R13" s="109">
        <v>1900000</v>
      </c>
      <c r="S13" s="109">
        <f t="shared" si="10"/>
        <v>5500000</v>
      </c>
      <c r="T13" s="108">
        <v>72000</v>
      </c>
      <c r="U13" s="110">
        <f>T13-N13*S13</f>
        <v>62099.999999999985</v>
      </c>
      <c r="V13" s="101" t="s">
        <v>41</v>
      </c>
      <c r="W13" s="101" t="s">
        <v>42</v>
      </c>
      <c r="X13" s="111">
        <v>0.622</v>
      </c>
      <c r="Y13" s="112" t="s">
        <v>43</v>
      </c>
      <c r="Z13" s="112"/>
      <c r="AA13" s="113">
        <v>0</v>
      </c>
      <c r="AB13" s="110">
        <f>M13*R13</f>
        <v>115520</v>
      </c>
      <c r="AC13" s="114">
        <f>AA13*R13</f>
        <v>0</v>
      </c>
      <c r="AD13" s="109">
        <f>R13*X13/1000</f>
        <v>1181.8</v>
      </c>
      <c r="AE13" s="101"/>
    </row>
    <row r="14" spans="1:31" s="115" customFormat="1" x14ac:dyDescent="0.2">
      <c r="A14" s="100" t="s">
        <v>37</v>
      </c>
      <c r="B14" s="101" t="str">
        <f>VLOOKUP(A14,[1]Sheet1!$A:$B,2,0)</f>
        <v>RCS POD</v>
      </c>
      <c r="C14" s="102" t="s">
        <v>44</v>
      </c>
      <c r="D14" s="103">
        <v>140040670024857</v>
      </c>
      <c r="E14" s="101" t="s">
        <v>39</v>
      </c>
      <c r="F14" s="101"/>
      <c r="G14" s="104" t="s">
        <v>40</v>
      </c>
      <c r="H14" s="105">
        <v>2024</v>
      </c>
      <c r="I14" s="101">
        <v>12</v>
      </c>
      <c r="J14" s="106">
        <v>45660</v>
      </c>
      <c r="K14" s="107"/>
      <c r="L14" s="108">
        <v>4.4200000000000003E-2</v>
      </c>
      <c r="M14" s="108">
        <v>4.53E-2</v>
      </c>
      <c r="N14" s="108">
        <f t="shared" ref="N14:N15" si="25">M14-L14</f>
        <v>1.0999999999999968E-3</v>
      </c>
      <c r="O14" s="108">
        <f t="shared" si="23"/>
        <v>0</v>
      </c>
      <c r="P14" s="142">
        <v>1</v>
      </c>
      <c r="Q14" s="108">
        <f t="shared" si="24"/>
        <v>4.4200000000000003E-2</v>
      </c>
      <c r="R14" s="109">
        <v>28173</v>
      </c>
      <c r="S14" s="109">
        <f>R14+S20</f>
        <v>21498173</v>
      </c>
      <c r="T14" s="108">
        <v>82000</v>
      </c>
      <c r="U14" s="110">
        <f t="shared" ref="U14:U15" si="26">T14-N14*S14</f>
        <v>58352.009700000068</v>
      </c>
      <c r="V14" s="101" t="s">
        <v>41</v>
      </c>
      <c r="W14" s="101" t="s">
        <v>42</v>
      </c>
      <c r="X14" s="111">
        <v>0.28699999999999998</v>
      </c>
      <c r="Y14" s="112" t="s">
        <v>43</v>
      </c>
      <c r="Z14" s="112"/>
      <c r="AA14" s="113">
        <v>0</v>
      </c>
      <c r="AB14" s="110">
        <f t="shared" ref="AB14:AB15" si="27">M14*R14</f>
        <v>1276.2369000000001</v>
      </c>
      <c r="AC14" s="114">
        <f t="shared" ref="AC14:AC15" si="28">AA14*R14</f>
        <v>0</v>
      </c>
      <c r="AD14" s="109">
        <f t="shared" ref="AD14:AD15" si="29">R14*X14/1000</f>
        <v>8.0856509999999986</v>
      </c>
      <c r="AE14" s="101"/>
    </row>
    <row r="15" spans="1:31" s="115" customFormat="1" x14ac:dyDescent="0.2">
      <c r="A15" s="116" t="s">
        <v>37</v>
      </c>
      <c r="B15" s="101" t="str">
        <f>VLOOKUP(A15,[1]Sheet1!$A:$B,2,0)</f>
        <v>RCS POD</v>
      </c>
      <c r="C15" s="102" t="s">
        <v>45</v>
      </c>
      <c r="D15" s="103">
        <v>140010670052941</v>
      </c>
      <c r="E15" s="101" t="s">
        <v>39</v>
      </c>
      <c r="F15" s="101"/>
      <c r="G15" s="117" t="s">
        <v>40</v>
      </c>
      <c r="H15" s="118">
        <v>2024</v>
      </c>
      <c r="I15" s="101">
        <v>12</v>
      </c>
      <c r="J15" s="106">
        <v>45660</v>
      </c>
      <c r="K15" s="119"/>
      <c r="L15" s="108">
        <v>4.9000000000000002E-2</v>
      </c>
      <c r="M15" s="108">
        <v>0.05</v>
      </c>
      <c r="N15" s="108">
        <f t="shared" si="25"/>
        <v>1.0000000000000009E-3</v>
      </c>
      <c r="O15" s="108">
        <f t="shared" si="23"/>
        <v>0</v>
      </c>
      <c r="P15" s="142">
        <v>1</v>
      </c>
      <c r="Q15" s="108">
        <f t="shared" si="24"/>
        <v>4.9000000000000002E-2</v>
      </c>
      <c r="R15" s="109">
        <v>0</v>
      </c>
      <c r="S15" s="109">
        <f>R15+S18</f>
        <v>12212072</v>
      </c>
      <c r="T15" s="108">
        <v>82000</v>
      </c>
      <c r="U15" s="110">
        <f t="shared" si="26"/>
        <v>69787.927999999985</v>
      </c>
      <c r="V15" s="101" t="s">
        <v>41</v>
      </c>
      <c r="W15" s="101" t="s">
        <v>42</v>
      </c>
      <c r="X15" s="111">
        <v>0.505</v>
      </c>
      <c r="Y15" s="112" t="s">
        <v>43</v>
      </c>
      <c r="Z15" s="29"/>
      <c r="AA15" s="113">
        <v>0</v>
      </c>
      <c r="AB15" s="110">
        <f t="shared" si="27"/>
        <v>0</v>
      </c>
      <c r="AC15" s="114">
        <f t="shared" si="28"/>
        <v>0</v>
      </c>
      <c r="AD15" s="109">
        <f t="shared" si="29"/>
        <v>0</v>
      </c>
      <c r="AE15" s="101"/>
    </row>
    <row r="16" spans="1:31" s="115" customFormat="1" x14ac:dyDescent="0.2">
      <c r="A16" s="100" t="s">
        <v>37</v>
      </c>
      <c r="B16" s="101" t="str">
        <f>VLOOKUP(A16,[1]Sheet1!$A:$B,2,0)</f>
        <v>RCS POD</v>
      </c>
      <c r="C16" s="102" t="s">
        <v>46</v>
      </c>
      <c r="D16" s="103">
        <v>140010670059920</v>
      </c>
      <c r="E16" s="101" t="s">
        <v>39</v>
      </c>
      <c r="F16" s="101"/>
      <c r="G16" s="104" t="s">
        <v>40</v>
      </c>
      <c r="H16" s="105">
        <v>2024</v>
      </c>
      <c r="I16" s="101">
        <v>11</v>
      </c>
      <c r="J16" s="106">
        <v>45632</v>
      </c>
      <c r="K16" s="107"/>
      <c r="L16" s="108">
        <f>M16-N16</f>
        <v>5.8999999999999997E-2</v>
      </c>
      <c r="M16" s="108">
        <v>6.08E-2</v>
      </c>
      <c r="N16" s="108">
        <v>1.8E-3</v>
      </c>
      <c r="O16" s="108">
        <f t="shared" ref="O16:O18" si="30">K16*N16</f>
        <v>0</v>
      </c>
      <c r="P16" s="142">
        <v>1</v>
      </c>
      <c r="Q16" s="108">
        <f>P16*L16</f>
        <v>5.8999999999999997E-2</v>
      </c>
      <c r="R16" s="109">
        <v>1290000</v>
      </c>
      <c r="S16" s="109">
        <f>R16+S19</f>
        <v>3600000</v>
      </c>
      <c r="T16" s="108">
        <v>72000</v>
      </c>
      <c r="U16" s="110">
        <f>T16-N16*S16</f>
        <v>65520</v>
      </c>
      <c r="V16" s="101" t="s">
        <v>41</v>
      </c>
      <c r="W16" s="101" t="s">
        <v>42</v>
      </c>
      <c r="X16" s="111">
        <v>0.622</v>
      </c>
      <c r="Y16" s="112" t="s">
        <v>43</v>
      </c>
      <c r="Z16" s="112"/>
      <c r="AA16" s="113">
        <v>0</v>
      </c>
      <c r="AB16" s="110">
        <f>M16*R16</f>
        <v>78432</v>
      </c>
      <c r="AC16" s="114">
        <f>AA16*R16</f>
        <v>0</v>
      </c>
      <c r="AD16" s="109">
        <f>R16*X16/1000</f>
        <v>802.38</v>
      </c>
      <c r="AE16" s="101"/>
    </row>
    <row r="17" spans="1:31" s="115" customFormat="1" x14ac:dyDescent="0.2">
      <c r="A17" s="100" t="s">
        <v>37</v>
      </c>
      <c r="B17" s="101" t="str">
        <f>VLOOKUP(A17,[1]Sheet1!$A:$B,2,0)</f>
        <v>RCS POD</v>
      </c>
      <c r="C17" s="102" t="s">
        <v>44</v>
      </c>
      <c r="D17" s="103">
        <v>140040670024857</v>
      </c>
      <c r="E17" s="101" t="s">
        <v>39</v>
      </c>
      <c r="F17" s="101"/>
      <c r="G17" s="104" t="s">
        <v>40</v>
      </c>
      <c r="H17" s="105">
        <v>2024</v>
      </c>
      <c r="I17" s="101">
        <v>11</v>
      </c>
      <c r="J17" s="106">
        <v>45632</v>
      </c>
      <c r="K17" s="107"/>
      <c r="L17" s="108">
        <v>4.4200000000000003E-2</v>
      </c>
      <c r="M17" s="108">
        <v>4.53E-2</v>
      </c>
      <c r="N17" s="108">
        <f t="shared" ref="N17:N18" si="31">M17-L17</f>
        <v>1.0999999999999968E-3</v>
      </c>
      <c r="O17" s="108">
        <f t="shared" si="30"/>
        <v>0</v>
      </c>
      <c r="P17" s="142">
        <v>1</v>
      </c>
      <c r="Q17" s="108">
        <f t="shared" ref="Q17:Q18" si="32">P17*L17</f>
        <v>4.4200000000000003E-2</v>
      </c>
      <c r="R17" s="109">
        <v>28173</v>
      </c>
      <c r="S17" s="109">
        <f>R17+S23</f>
        <v>19418173</v>
      </c>
      <c r="T17" s="108">
        <v>82000</v>
      </c>
      <c r="U17" s="110">
        <f t="shared" ref="U17:U18" si="33">T17-N17*S17</f>
        <v>60640.009700000061</v>
      </c>
      <c r="V17" s="101" t="s">
        <v>41</v>
      </c>
      <c r="W17" s="101" t="s">
        <v>42</v>
      </c>
      <c r="X17" s="111">
        <v>0.28699999999999998</v>
      </c>
      <c r="Y17" s="112" t="s">
        <v>43</v>
      </c>
      <c r="Z17" s="112"/>
      <c r="AA17" s="113">
        <v>0</v>
      </c>
      <c r="AB17" s="110">
        <f t="shared" ref="AB17:AB18" si="34">M17*R17</f>
        <v>1276.2369000000001</v>
      </c>
      <c r="AC17" s="114">
        <f t="shared" ref="AC17:AC18" si="35">AA17*R17</f>
        <v>0</v>
      </c>
      <c r="AD17" s="109">
        <f t="shared" ref="AD17:AD18" si="36">R17*X17/1000</f>
        <v>8.0856509999999986</v>
      </c>
      <c r="AE17" s="101"/>
    </row>
    <row r="18" spans="1:31" s="115" customFormat="1" x14ac:dyDescent="0.2">
      <c r="A18" s="116" t="s">
        <v>37</v>
      </c>
      <c r="B18" s="101" t="str">
        <f>VLOOKUP(A18,[1]Sheet1!$A:$B,2,0)</f>
        <v>RCS POD</v>
      </c>
      <c r="C18" s="102" t="s">
        <v>45</v>
      </c>
      <c r="D18" s="103">
        <v>140010670052941</v>
      </c>
      <c r="E18" s="101" t="s">
        <v>39</v>
      </c>
      <c r="F18" s="101"/>
      <c r="G18" s="117" t="s">
        <v>40</v>
      </c>
      <c r="H18" s="118">
        <v>2024</v>
      </c>
      <c r="I18" s="101">
        <v>11</v>
      </c>
      <c r="J18" s="106">
        <v>45632</v>
      </c>
      <c r="K18" s="119"/>
      <c r="L18" s="108">
        <v>4.9000000000000002E-2</v>
      </c>
      <c r="M18" s="108">
        <v>0.05</v>
      </c>
      <c r="N18" s="108">
        <f t="shared" si="31"/>
        <v>1.0000000000000009E-3</v>
      </c>
      <c r="O18" s="108">
        <f t="shared" si="30"/>
        <v>0</v>
      </c>
      <c r="P18" s="142">
        <v>1</v>
      </c>
      <c r="Q18" s="108">
        <f t="shared" si="32"/>
        <v>4.9000000000000002E-2</v>
      </c>
      <c r="R18" s="109">
        <v>0</v>
      </c>
      <c r="S18" s="109">
        <f>R18+S21</f>
        <v>12212072</v>
      </c>
      <c r="T18" s="108">
        <v>82000</v>
      </c>
      <c r="U18" s="110">
        <f t="shared" si="33"/>
        <v>69787.927999999985</v>
      </c>
      <c r="V18" s="101" t="s">
        <v>41</v>
      </c>
      <c r="W18" s="101" t="s">
        <v>42</v>
      </c>
      <c r="X18" s="111">
        <v>0.505</v>
      </c>
      <c r="Y18" s="112" t="s">
        <v>43</v>
      </c>
      <c r="Z18" s="29"/>
      <c r="AA18" s="113">
        <v>0</v>
      </c>
      <c r="AB18" s="110">
        <f t="shared" si="34"/>
        <v>0</v>
      </c>
      <c r="AC18" s="114">
        <f t="shared" si="35"/>
        <v>0</v>
      </c>
      <c r="AD18" s="109">
        <f t="shared" si="36"/>
        <v>0</v>
      </c>
      <c r="AE18" s="101"/>
    </row>
    <row r="19" spans="1:31" s="115" customFormat="1" x14ac:dyDescent="0.2">
      <c r="A19" s="100" t="s">
        <v>37</v>
      </c>
      <c r="B19" s="101" t="str">
        <f>VLOOKUP(A19,[1]Sheet1!$A:$B,2,0)</f>
        <v>RCS POD</v>
      </c>
      <c r="C19" s="102" t="s">
        <v>46</v>
      </c>
      <c r="D19" s="103">
        <v>140010670059920</v>
      </c>
      <c r="E19" s="101" t="s">
        <v>39</v>
      </c>
      <c r="F19" s="101"/>
      <c r="G19" s="104" t="s">
        <v>40</v>
      </c>
      <c r="H19" s="105">
        <v>2024</v>
      </c>
      <c r="I19" s="129">
        <v>10</v>
      </c>
      <c r="J19" s="106">
        <v>45604</v>
      </c>
      <c r="K19" s="107"/>
      <c r="L19" s="108">
        <v>6.8000000000000005E-2</v>
      </c>
      <c r="M19" s="108">
        <v>7.0000000000000007E-2</v>
      </c>
      <c r="N19" s="108">
        <f>M19-L19</f>
        <v>2.0000000000000018E-3</v>
      </c>
      <c r="O19" s="108">
        <f t="shared" ref="O19:O25" si="37">K19*N19</f>
        <v>0</v>
      </c>
      <c r="P19" s="125">
        <v>1</v>
      </c>
      <c r="Q19" s="126">
        <f t="shared" ref="Q19:Q85" si="38">P19*L19</f>
        <v>6.8000000000000005E-2</v>
      </c>
      <c r="R19" s="109">
        <v>680000</v>
      </c>
      <c r="S19" s="109">
        <f>R19+S22</f>
        <v>2310000</v>
      </c>
      <c r="T19" s="108">
        <v>72000</v>
      </c>
      <c r="U19" s="110">
        <f>T19-N19*S19</f>
        <v>67380</v>
      </c>
      <c r="V19" s="101" t="s">
        <v>41</v>
      </c>
      <c r="W19" s="101" t="s">
        <v>42</v>
      </c>
      <c r="X19" s="111">
        <v>0.622</v>
      </c>
      <c r="Y19" s="112" t="s">
        <v>43</v>
      </c>
      <c r="Z19" s="29"/>
      <c r="AA19" s="113">
        <v>0</v>
      </c>
      <c r="AB19" s="110">
        <f>M19*R19</f>
        <v>47600.000000000007</v>
      </c>
      <c r="AC19" s="114">
        <f>AA19*R19</f>
        <v>0</v>
      </c>
      <c r="AD19" s="109">
        <f>R19*X19/1000</f>
        <v>422.96</v>
      </c>
      <c r="AE19" s="101"/>
    </row>
    <row r="20" spans="1:31" s="115" customFormat="1" x14ac:dyDescent="0.2">
      <c r="A20" s="100" t="s">
        <v>37</v>
      </c>
      <c r="B20" s="101" t="str">
        <f>VLOOKUP(A20,[1]Sheet1!$A:$B,2,0)</f>
        <v>RCS POD</v>
      </c>
      <c r="C20" s="102" t="s">
        <v>44</v>
      </c>
      <c r="D20" s="103">
        <v>140040670024857</v>
      </c>
      <c r="E20" s="101" t="s">
        <v>39</v>
      </c>
      <c r="F20" s="101"/>
      <c r="G20" s="104" t="s">
        <v>40</v>
      </c>
      <c r="H20" s="105">
        <v>2024</v>
      </c>
      <c r="I20" s="129">
        <v>10</v>
      </c>
      <c r="J20" s="106">
        <v>45604</v>
      </c>
      <c r="K20" s="107"/>
      <c r="L20" s="108">
        <v>4.9000000000000002E-2</v>
      </c>
      <c r="M20" s="108">
        <v>0.05</v>
      </c>
      <c r="N20" s="108">
        <f t="shared" ref="N20:N21" si="39">M20-L20</f>
        <v>1.0000000000000009E-3</v>
      </c>
      <c r="O20" s="108">
        <f t="shared" si="37"/>
        <v>0</v>
      </c>
      <c r="P20" s="125">
        <v>1</v>
      </c>
      <c r="Q20" s="126">
        <f t="shared" si="38"/>
        <v>4.9000000000000002E-2</v>
      </c>
      <c r="R20" s="109">
        <v>2080000</v>
      </c>
      <c r="S20" s="109">
        <f>R20+S23</f>
        <v>21470000</v>
      </c>
      <c r="T20" s="108">
        <v>82000</v>
      </c>
      <c r="U20" s="110">
        <f t="shared" ref="U20:U21" si="40">T20-N20*S20</f>
        <v>60529.999999999985</v>
      </c>
      <c r="V20" s="101" t="s">
        <v>41</v>
      </c>
      <c r="W20" s="101" t="s">
        <v>42</v>
      </c>
      <c r="X20" s="111">
        <v>0.28699999999999998</v>
      </c>
      <c r="Y20" s="112" t="s">
        <v>43</v>
      </c>
      <c r="Z20" s="29"/>
      <c r="AA20" s="113">
        <v>0</v>
      </c>
      <c r="AB20" s="110">
        <f t="shared" ref="AB20:AB21" si="41">M20*R20</f>
        <v>104000</v>
      </c>
      <c r="AC20" s="114">
        <f t="shared" ref="AC20:AC21" si="42">AA20*R20</f>
        <v>0</v>
      </c>
      <c r="AD20" s="109">
        <f t="shared" ref="AD20:AD21" si="43">R20*X20/1000</f>
        <v>596.96</v>
      </c>
      <c r="AE20" s="101"/>
    </row>
    <row r="21" spans="1:31" s="115" customFormat="1" x14ac:dyDescent="0.2">
      <c r="A21" s="116" t="s">
        <v>37</v>
      </c>
      <c r="B21" s="101" t="str">
        <f>VLOOKUP(A21,[1]Sheet1!$A:$B,2,0)</f>
        <v>RCS POD</v>
      </c>
      <c r="C21" s="102" t="s">
        <v>45</v>
      </c>
      <c r="D21" s="103">
        <v>140010670052941</v>
      </c>
      <c r="E21" s="101" t="s">
        <v>39</v>
      </c>
      <c r="F21" s="101"/>
      <c r="G21" s="117" t="s">
        <v>40</v>
      </c>
      <c r="H21" s="118">
        <v>2024</v>
      </c>
      <c r="I21" s="129">
        <v>10</v>
      </c>
      <c r="J21" s="106">
        <v>45604</v>
      </c>
      <c r="K21" s="119"/>
      <c r="L21" s="108">
        <v>4.9000000000000002E-2</v>
      </c>
      <c r="M21" s="108">
        <v>0.05</v>
      </c>
      <c r="N21" s="108">
        <f t="shared" si="39"/>
        <v>1.0000000000000009E-3</v>
      </c>
      <c r="O21" s="108">
        <f t="shared" si="37"/>
        <v>0</v>
      </c>
      <c r="P21" s="125">
        <v>1</v>
      </c>
      <c r="Q21" s="126">
        <f t="shared" si="38"/>
        <v>4.9000000000000002E-2</v>
      </c>
      <c r="R21" s="109">
        <v>928129</v>
      </c>
      <c r="S21" s="109">
        <f>R21+S24</f>
        <v>12212072</v>
      </c>
      <c r="T21" s="108">
        <v>82000</v>
      </c>
      <c r="U21" s="110">
        <f t="shared" si="40"/>
        <v>69787.927999999985</v>
      </c>
      <c r="V21" s="101" t="s">
        <v>41</v>
      </c>
      <c r="W21" s="101" t="s">
        <v>42</v>
      </c>
      <c r="X21" s="111">
        <v>0.505</v>
      </c>
      <c r="Y21" s="112" t="s">
        <v>43</v>
      </c>
      <c r="Z21" s="29"/>
      <c r="AA21" s="113">
        <v>0</v>
      </c>
      <c r="AB21" s="110">
        <f t="shared" si="41"/>
        <v>46406.450000000004</v>
      </c>
      <c r="AC21" s="114">
        <f t="shared" si="42"/>
        <v>0</v>
      </c>
      <c r="AD21" s="109">
        <f t="shared" si="43"/>
        <v>468.70514500000002</v>
      </c>
      <c r="AE21" s="101"/>
    </row>
    <row r="22" spans="1:31" s="115" customFormat="1" x14ac:dyDescent="0.2">
      <c r="A22" s="100" t="s">
        <v>37</v>
      </c>
      <c r="B22" s="101" t="str">
        <f>VLOOKUP(A22,[1]Sheet1!$A:$B,2,0)</f>
        <v>RCS POD</v>
      </c>
      <c r="C22" s="102" t="s">
        <v>46</v>
      </c>
      <c r="D22" s="103">
        <v>140010670059920</v>
      </c>
      <c r="E22" s="101" t="s">
        <v>39</v>
      </c>
      <c r="F22" s="101"/>
      <c r="G22" s="104" t="s">
        <v>40</v>
      </c>
      <c r="H22" s="105">
        <v>2024</v>
      </c>
      <c r="I22" s="129">
        <v>9</v>
      </c>
      <c r="J22" s="106">
        <v>45604</v>
      </c>
      <c r="K22" s="107"/>
      <c r="L22" s="108">
        <v>6.8000000000000005E-2</v>
      </c>
      <c r="M22" s="108">
        <v>7.0000000000000007E-2</v>
      </c>
      <c r="N22" s="108">
        <f>M22-L22</f>
        <v>2.0000000000000018E-3</v>
      </c>
      <c r="O22" s="108">
        <f t="shared" si="37"/>
        <v>0</v>
      </c>
      <c r="P22" s="125">
        <v>1</v>
      </c>
      <c r="Q22" s="126">
        <f t="shared" si="38"/>
        <v>6.8000000000000005E-2</v>
      </c>
      <c r="R22" s="109">
        <v>420000</v>
      </c>
      <c r="S22" s="109">
        <f t="shared" ref="S22:S30" si="44">R22+S25</f>
        <v>1630000</v>
      </c>
      <c r="T22" s="108">
        <v>72000</v>
      </c>
      <c r="U22" s="110">
        <f>T22-N22*S22</f>
        <v>68740</v>
      </c>
      <c r="V22" s="101" t="s">
        <v>41</v>
      </c>
      <c r="W22" s="101" t="s">
        <v>42</v>
      </c>
      <c r="X22" s="111">
        <v>0.622</v>
      </c>
      <c r="Y22" s="112" t="s">
        <v>43</v>
      </c>
      <c r="Z22" s="29"/>
      <c r="AA22" s="113">
        <v>0</v>
      </c>
      <c r="AB22" s="110">
        <f>M22*R22</f>
        <v>29400.000000000004</v>
      </c>
      <c r="AC22" s="114">
        <f>AA22*R22</f>
        <v>0</v>
      </c>
      <c r="AD22" s="109">
        <f>R22*X22/1000</f>
        <v>261.24</v>
      </c>
      <c r="AE22" s="101"/>
    </row>
    <row r="23" spans="1:31" s="115" customFormat="1" x14ac:dyDescent="0.2">
      <c r="A23" s="100" t="s">
        <v>37</v>
      </c>
      <c r="B23" s="101" t="str">
        <f>VLOOKUP(A23,[1]Sheet1!$A:$B,2,0)</f>
        <v>RCS POD</v>
      </c>
      <c r="C23" s="102" t="s">
        <v>44</v>
      </c>
      <c r="D23" s="103">
        <v>140040670024857</v>
      </c>
      <c r="E23" s="101" t="s">
        <v>39</v>
      </c>
      <c r="F23" s="101"/>
      <c r="G23" s="104" t="s">
        <v>40</v>
      </c>
      <c r="H23" s="105">
        <v>2024</v>
      </c>
      <c r="I23" s="129">
        <v>9</v>
      </c>
      <c r="J23" s="106">
        <v>45604</v>
      </c>
      <c r="K23" s="107"/>
      <c r="L23" s="108">
        <v>4.9000000000000002E-2</v>
      </c>
      <c r="M23" s="108">
        <v>0.05</v>
      </c>
      <c r="N23" s="108">
        <f t="shared" ref="N23:N45" si="45">M23-L23</f>
        <v>1.0000000000000009E-3</v>
      </c>
      <c r="O23" s="108">
        <f t="shared" si="37"/>
        <v>0</v>
      </c>
      <c r="P23" s="125">
        <v>1</v>
      </c>
      <c r="Q23" s="126">
        <f t="shared" si="38"/>
        <v>4.9000000000000002E-2</v>
      </c>
      <c r="R23" s="109">
        <v>1349915</v>
      </c>
      <c r="S23" s="109">
        <f t="shared" si="44"/>
        <v>19390000</v>
      </c>
      <c r="T23" s="108">
        <v>82000</v>
      </c>
      <c r="U23" s="110">
        <f t="shared" ref="U23:U42" si="46">T23-N23*S23</f>
        <v>62609.999999999985</v>
      </c>
      <c r="V23" s="101" t="s">
        <v>41</v>
      </c>
      <c r="W23" s="101" t="s">
        <v>42</v>
      </c>
      <c r="X23" s="111">
        <v>0.28699999999999998</v>
      </c>
      <c r="Y23" s="112" t="s">
        <v>43</v>
      </c>
      <c r="Z23" s="29"/>
      <c r="AA23" s="113">
        <v>0</v>
      </c>
      <c r="AB23" s="110">
        <f t="shared" ref="AB23:AB75" si="47">M23*R23</f>
        <v>67495.75</v>
      </c>
      <c r="AC23" s="114">
        <f t="shared" ref="AC23:AC89" si="48">AA23*R23</f>
        <v>0</v>
      </c>
      <c r="AD23" s="109">
        <f t="shared" ref="AD23:AD42" si="49">R23*X23/1000</f>
        <v>387.42560499999996</v>
      </c>
      <c r="AE23" s="101"/>
    </row>
    <row r="24" spans="1:31" s="115" customFormat="1" x14ac:dyDescent="0.2">
      <c r="A24" s="116" t="s">
        <v>37</v>
      </c>
      <c r="B24" s="101" t="str">
        <f>VLOOKUP(A24,[1]Sheet1!$A:$B,2,0)</f>
        <v>RCS POD</v>
      </c>
      <c r="C24" s="102" t="s">
        <v>45</v>
      </c>
      <c r="D24" s="103">
        <v>140010670052941</v>
      </c>
      <c r="E24" s="101" t="s">
        <v>39</v>
      </c>
      <c r="F24" s="101"/>
      <c r="G24" s="117" t="s">
        <v>40</v>
      </c>
      <c r="H24" s="118">
        <v>2024</v>
      </c>
      <c r="I24" s="129">
        <v>9</v>
      </c>
      <c r="J24" s="106">
        <v>45604</v>
      </c>
      <c r="K24" s="119"/>
      <c r="L24" s="108">
        <v>4.9000000000000002E-2</v>
      </c>
      <c r="M24" s="108">
        <v>0.05</v>
      </c>
      <c r="N24" s="108">
        <f t="shared" si="45"/>
        <v>1.0000000000000009E-3</v>
      </c>
      <c r="O24" s="108">
        <f t="shared" si="37"/>
        <v>0</v>
      </c>
      <c r="P24" s="125">
        <v>1</v>
      </c>
      <c r="Q24" s="126">
        <f t="shared" si="38"/>
        <v>4.9000000000000002E-2</v>
      </c>
      <c r="R24" s="109">
        <v>0</v>
      </c>
      <c r="S24" s="109">
        <f>R24+S27</f>
        <v>11283943</v>
      </c>
      <c r="T24" s="108">
        <v>82000</v>
      </c>
      <c r="U24" s="110">
        <f t="shared" si="46"/>
        <v>70716.056999999986</v>
      </c>
      <c r="V24" s="101" t="s">
        <v>41</v>
      </c>
      <c r="W24" s="101" t="s">
        <v>42</v>
      </c>
      <c r="X24" s="111">
        <v>0.505</v>
      </c>
      <c r="Y24" s="112" t="s">
        <v>43</v>
      </c>
      <c r="Z24" s="29"/>
      <c r="AA24" s="113">
        <v>0</v>
      </c>
      <c r="AB24" s="110">
        <f t="shared" si="47"/>
        <v>0</v>
      </c>
      <c r="AC24" s="114">
        <f t="shared" si="48"/>
        <v>0</v>
      </c>
      <c r="AD24" s="109">
        <f t="shared" si="49"/>
        <v>0</v>
      </c>
      <c r="AE24" s="101"/>
    </row>
    <row r="25" spans="1:31" s="32" customFormat="1" x14ac:dyDescent="0.2">
      <c r="A25" s="7" t="s">
        <v>37</v>
      </c>
      <c r="B25" s="17" t="str">
        <f>VLOOKUP(A25,[1]Sheet1!$A:$B,2,0)</f>
        <v>RCS POD</v>
      </c>
      <c r="C25" s="44" t="s">
        <v>46</v>
      </c>
      <c r="D25" s="42">
        <v>140010670059920</v>
      </c>
      <c r="E25" s="17" t="s">
        <v>39</v>
      </c>
      <c r="F25" s="17"/>
      <c r="G25" s="104" t="s">
        <v>40</v>
      </c>
      <c r="H25" s="105">
        <v>2024</v>
      </c>
      <c r="I25" s="129">
        <v>9</v>
      </c>
      <c r="J25" s="82">
        <v>45604</v>
      </c>
      <c r="L25" s="52">
        <v>8.0479999999999996E-2</v>
      </c>
      <c r="M25" s="53">
        <v>8.2479999999999998E-2</v>
      </c>
      <c r="N25" s="27">
        <f>M25-L25</f>
        <v>2.0000000000000018E-3</v>
      </c>
      <c r="O25" s="27">
        <f t="shared" si="37"/>
        <v>0</v>
      </c>
      <c r="P25" s="125">
        <v>1</v>
      </c>
      <c r="Q25" s="126">
        <f t="shared" si="38"/>
        <v>8.0479999999999996E-2</v>
      </c>
      <c r="R25" s="28">
        <v>0</v>
      </c>
      <c r="S25" s="28">
        <f t="shared" si="44"/>
        <v>1210000</v>
      </c>
      <c r="T25" s="27">
        <v>72000</v>
      </c>
      <c r="U25" s="40">
        <f>T25-N25*S25</f>
        <v>69580</v>
      </c>
      <c r="V25" s="17" t="s">
        <v>41</v>
      </c>
      <c r="W25" s="101" t="s">
        <v>42</v>
      </c>
      <c r="X25" s="43">
        <v>0.622</v>
      </c>
      <c r="Y25" s="29" t="s">
        <v>43</v>
      </c>
      <c r="Z25" s="29"/>
      <c r="AA25" s="30">
        <v>0</v>
      </c>
      <c r="AB25" s="40">
        <f>M25*R25</f>
        <v>0</v>
      </c>
      <c r="AC25" s="114">
        <f t="shared" si="48"/>
        <v>0</v>
      </c>
      <c r="AD25" s="28">
        <f>R25*X25/1000</f>
        <v>0</v>
      </c>
      <c r="AE25" s="17"/>
    </row>
    <row r="26" spans="1:31" s="32" customFormat="1" x14ac:dyDescent="0.2">
      <c r="A26" s="7" t="s">
        <v>37</v>
      </c>
      <c r="B26" s="17" t="str">
        <f>VLOOKUP(A26,[1]Sheet1!$A:$B,2,0)</f>
        <v>RCS POD</v>
      </c>
      <c r="C26" s="44" t="s">
        <v>44</v>
      </c>
      <c r="D26" s="42">
        <v>140040670024857</v>
      </c>
      <c r="E26" s="17" t="s">
        <v>39</v>
      </c>
      <c r="F26" s="17"/>
      <c r="G26" s="104" t="s">
        <v>40</v>
      </c>
      <c r="H26" s="105">
        <v>2024</v>
      </c>
      <c r="I26" s="129">
        <v>9</v>
      </c>
      <c r="J26" s="82">
        <v>45604</v>
      </c>
      <c r="K26" s="60"/>
      <c r="L26" s="52">
        <v>6.0240000000000002E-2</v>
      </c>
      <c r="M26" s="53">
        <v>6.1240000000000003E-2</v>
      </c>
      <c r="N26" s="27">
        <f t="shared" ref="N26:N27" si="50">M26-L26</f>
        <v>1.0000000000000009E-3</v>
      </c>
      <c r="O26" s="27">
        <f t="shared" ref="O26:O60" si="51">K26*N26</f>
        <v>0</v>
      </c>
      <c r="P26" s="125">
        <v>1</v>
      </c>
      <c r="Q26" s="126">
        <f t="shared" si="38"/>
        <v>6.0240000000000002E-2</v>
      </c>
      <c r="R26" s="28">
        <v>2250085</v>
      </c>
      <c r="S26" s="28">
        <f t="shared" si="44"/>
        <v>18040085</v>
      </c>
      <c r="T26" s="27">
        <v>82000</v>
      </c>
      <c r="U26" s="40">
        <f t="shared" ref="U26:U27" si="52">T26-N26*S26</f>
        <v>63959.914999999979</v>
      </c>
      <c r="V26" s="17" t="s">
        <v>41</v>
      </c>
      <c r="W26" s="101" t="s">
        <v>42</v>
      </c>
      <c r="X26" s="43">
        <v>0.28699999999999998</v>
      </c>
      <c r="Y26" s="29" t="s">
        <v>43</v>
      </c>
      <c r="Z26" s="29"/>
      <c r="AA26" s="30">
        <v>0</v>
      </c>
      <c r="AB26" s="40">
        <f t="shared" ref="AB26:AB27" si="53">M26*R26</f>
        <v>137795.20540000001</v>
      </c>
      <c r="AC26" s="114">
        <f t="shared" si="48"/>
        <v>0</v>
      </c>
      <c r="AD26" s="28">
        <f t="shared" ref="AD26:AD27" si="54">R26*X26/1000</f>
        <v>645.77439499999991</v>
      </c>
      <c r="AE26" s="17"/>
    </row>
    <row r="27" spans="1:31" s="32" customFormat="1" x14ac:dyDescent="0.2">
      <c r="A27" s="31" t="s">
        <v>37</v>
      </c>
      <c r="B27" s="17" t="str">
        <f>VLOOKUP(A27,[1]Sheet1!$A:$B,2,0)</f>
        <v>RCS POD</v>
      </c>
      <c r="C27" s="44" t="s">
        <v>45</v>
      </c>
      <c r="D27" s="42">
        <v>140010670052941</v>
      </c>
      <c r="E27" s="17" t="s">
        <v>39</v>
      </c>
      <c r="F27" s="17"/>
      <c r="G27" s="33" t="s">
        <v>40</v>
      </c>
      <c r="H27" s="36">
        <v>2024</v>
      </c>
      <c r="I27" s="129">
        <v>9</v>
      </c>
      <c r="J27" s="82">
        <v>45604</v>
      </c>
      <c r="K27" s="60"/>
      <c r="L27" s="52">
        <v>6.2719999999999998E-2</v>
      </c>
      <c r="M27" s="53">
        <v>6.3719999999999999E-2</v>
      </c>
      <c r="N27" s="27">
        <f t="shared" si="50"/>
        <v>1.0000000000000009E-3</v>
      </c>
      <c r="O27" s="27">
        <f t="shared" si="51"/>
        <v>0</v>
      </c>
      <c r="P27" s="125">
        <v>1</v>
      </c>
      <c r="Q27" s="126">
        <f t="shared" si="38"/>
        <v>6.2719999999999998E-2</v>
      </c>
      <c r="R27" s="28">
        <v>2076000</v>
      </c>
      <c r="S27" s="28">
        <f t="shared" si="44"/>
        <v>11283943</v>
      </c>
      <c r="T27" s="27">
        <v>82000</v>
      </c>
      <c r="U27" s="40">
        <f t="shared" si="52"/>
        <v>70716.056999999986</v>
      </c>
      <c r="V27" s="17" t="s">
        <v>41</v>
      </c>
      <c r="W27" s="101" t="s">
        <v>42</v>
      </c>
      <c r="X27" s="43">
        <v>0.505</v>
      </c>
      <c r="Y27" s="29" t="s">
        <v>43</v>
      </c>
      <c r="Z27" s="29"/>
      <c r="AA27" s="30">
        <v>0</v>
      </c>
      <c r="AB27" s="40">
        <f t="shared" si="53"/>
        <v>132282.72</v>
      </c>
      <c r="AC27" s="114">
        <f t="shared" si="48"/>
        <v>0</v>
      </c>
      <c r="AD27" s="28">
        <f t="shared" si="54"/>
        <v>1048.3800000000001</v>
      </c>
      <c r="AE27" s="17"/>
    </row>
    <row r="28" spans="1:31" s="32" customFormat="1" x14ac:dyDescent="0.2">
      <c r="A28" s="7" t="s">
        <v>37</v>
      </c>
      <c r="B28" s="17" t="str">
        <f>VLOOKUP(A28,[1]Sheet1!$A:$B,2,0)</f>
        <v>RCS POD</v>
      </c>
      <c r="C28" s="44" t="s">
        <v>46</v>
      </c>
      <c r="D28" s="42">
        <v>140010670059920</v>
      </c>
      <c r="E28" s="17" t="s">
        <v>39</v>
      </c>
      <c r="F28" s="17"/>
      <c r="G28" s="104" t="s">
        <v>40</v>
      </c>
      <c r="H28" s="36">
        <v>2024</v>
      </c>
      <c r="I28" s="130">
        <v>8</v>
      </c>
      <c r="J28" s="82">
        <v>45604</v>
      </c>
      <c r="K28" s="60"/>
      <c r="L28" s="52">
        <v>8.0479999999999996E-2</v>
      </c>
      <c r="M28" s="53">
        <v>8.2479999999999998E-2</v>
      </c>
      <c r="N28" s="27">
        <f t="shared" si="45"/>
        <v>2.0000000000000018E-3</v>
      </c>
      <c r="O28" s="27">
        <f t="shared" si="51"/>
        <v>0</v>
      </c>
      <c r="P28" s="125">
        <v>1</v>
      </c>
      <c r="Q28" s="126">
        <f t="shared" si="38"/>
        <v>8.0479999999999996E-2</v>
      </c>
      <c r="R28" s="28">
        <v>10000</v>
      </c>
      <c r="S28" s="28">
        <f>R28+S31</f>
        <v>1210000</v>
      </c>
      <c r="T28" s="27">
        <v>72000</v>
      </c>
      <c r="U28" s="40">
        <f t="shared" si="46"/>
        <v>69580</v>
      </c>
      <c r="V28" s="17" t="s">
        <v>41</v>
      </c>
      <c r="W28" s="101" t="s">
        <v>42</v>
      </c>
      <c r="X28" s="43">
        <v>0.622</v>
      </c>
      <c r="Y28" s="29" t="s">
        <v>43</v>
      </c>
      <c r="Z28" s="29"/>
      <c r="AA28" s="30">
        <v>0</v>
      </c>
      <c r="AB28" s="40">
        <f t="shared" si="47"/>
        <v>824.8</v>
      </c>
      <c r="AC28" s="114">
        <f t="shared" si="48"/>
        <v>0</v>
      </c>
      <c r="AD28" s="28">
        <f t="shared" si="49"/>
        <v>6.22</v>
      </c>
      <c r="AE28" s="17"/>
    </row>
    <row r="29" spans="1:31" s="32" customFormat="1" x14ac:dyDescent="0.2">
      <c r="A29" s="7" t="s">
        <v>37</v>
      </c>
      <c r="B29" s="17" t="str">
        <f>VLOOKUP(A29,[1]Sheet1!$A:$B,2,0)</f>
        <v>RCS POD</v>
      </c>
      <c r="C29" s="44" t="s">
        <v>44</v>
      </c>
      <c r="D29" s="42">
        <v>140040670024857</v>
      </c>
      <c r="E29" s="17" t="s">
        <v>39</v>
      </c>
      <c r="F29" s="17"/>
      <c r="G29" s="104" t="s">
        <v>40</v>
      </c>
      <c r="H29" s="36">
        <v>2024</v>
      </c>
      <c r="I29" s="130">
        <v>8</v>
      </c>
      <c r="J29" s="82">
        <v>45604</v>
      </c>
      <c r="K29" s="60"/>
      <c r="L29" s="52">
        <v>6.0240000000000002E-2</v>
      </c>
      <c r="M29" s="53">
        <v>6.1240000000000003E-2</v>
      </c>
      <c r="N29" s="27">
        <f t="shared" si="45"/>
        <v>1.0000000000000009E-3</v>
      </c>
      <c r="O29" s="27">
        <f t="shared" si="51"/>
        <v>0</v>
      </c>
      <c r="P29" s="125">
        <v>1</v>
      </c>
      <c r="Q29" s="126">
        <f t="shared" si="38"/>
        <v>6.0240000000000002E-2</v>
      </c>
      <c r="R29" s="28">
        <v>3030000</v>
      </c>
      <c r="S29" s="28">
        <f t="shared" si="44"/>
        <v>15790000</v>
      </c>
      <c r="T29" s="27">
        <v>82000</v>
      </c>
      <c r="U29" s="40">
        <f t="shared" si="46"/>
        <v>66209.999999999985</v>
      </c>
      <c r="V29" s="17" t="s">
        <v>41</v>
      </c>
      <c r="W29" s="101" t="s">
        <v>42</v>
      </c>
      <c r="X29" s="43">
        <v>0.28699999999999998</v>
      </c>
      <c r="Y29" s="29" t="s">
        <v>43</v>
      </c>
      <c r="Z29" s="29"/>
      <c r="AA29" s="30">
        <v>0</v>
      </c>
      <c r="AB29" s="40">
        <f t="shared" si="47"/>
        <v>185557.2</v>
      </c>
      <c r="AC29" s="114">
        <f t="shared" si="48"/>
        <v>0</v>
      </c>
      <c r="AD29" s="28">
        <f t="shared" si="49"/>
        <v>869.6099999999999</v>
      </c>
      <c r="AE29" s="17"/>
    </row>
    <row r="30" spans="1:31" s="32" customFormat="1" x14ac:dyDescent="0.2">
      <c r="A30" s="31" t="s">
        <v>37</v>
      </c>
      <c r="B30" s="17" t="str">
        <f>VLOOKUP(A30,[1]Sheet1!$A:$B,2,0)</f>
        <v>RCS POD</v>
      </c>
      <c r="C30" s="44" t="s">
        <v>45</v>
      </c>
      <c r="D30" s="42">
        <v>140010670052941</v>
      </c>
      <c r="E30" s="17" t="s">
        <v>39</v>
      </c>
      <c r="F30" s="17"/>
      <c r="G30" s="33" t="s">
        <v>40</v>
      </c>
      <c r="H30" s="36">
        <v>2024</v>
      </c>
      <c r="I30" s="130">
        <v>8</v>
      </c>
      <c r="J30" s="82">
        <v>45604</v>
      </c>
      <c r="K30" s="60"/>
      <c r="L30" s="52">
        <v>6.2719999999999998E-2</v>
      </c>
      <c r="M30" s="53">
        <v>6.3719999999999999E-2</v>
      </c>
      <c r="N30" s="27">
        <f t="shared" si="45"/>
        <v>1.0000000000000009E-3</v>
      </c>
      <c r="O30" s="27">
        <f t="shared" si="51"/>
        <v>0</v>
      </c>
      <c r="P30" s="125">
        <v>1</v>
      </c>
      <c r="Q30" s="126">
        <f t="shared" si="38"/>
        <v>6.2719999999999998E-2</v>
      </c>
      <c r="R30" s="28">
        <v>989863</v>
      </c>
      <c r="S30" s="28">
        <f t="shared" si="44"/>
        <v>9207943</v>
      </c>
      <c r="T30" s="27">
        <v>82000</v>
      </c>
      <c r="U30" s="40">
        <f t="shared" si="46"/>
        <v>72792.056999999986</v>
      </c>
      <c r="V30" s="17" t="s">
        <v>41</v>
      </c>
      <c r="W30" s="101" t="s">
        <v>42</v>
      </c>
      <c r="X30" s="43">
        <v>0.505</v>
      </c>
      <c r="Y30" s="29" t="s">
        <v>43</v>
      </c>
      <c r="Z30" s="29"/>
      <c r="AA30" s="30">
        <v>0</v>
      </c>
      <c r="AB30" s="40">
        <f t="shared" si="47"/>
        <v>63074.070359999998</v>
      </c>
      <c r="AC30" s="114">
        <f t="shared" si="48"/>
        <v>0</v>
      </c>
      <c r="AD30" s="28">
        <f t="shared" si="49"/>
        <v>499.88081499999998</v>
      </c>
      <c r="AE30" s="17"/>
    </row>
    <row r="31" spans="1:31" s="32" customFormat="1" x14ac:dyDescent="0.2">
      <c r="A31" s="7" t="s">
        <v>37</v>
      </c>
      <c r="B31" s="17" t="str">
        <f>VLOOKUP(A31,[1]Sheet1!$A:$B,2,0)</f>
        <v>RCS POD</v>
      </c>
      <c r="C31" s="44" t="s">
        <v>46</v>
      </c>
      <c r="D31" s="42">
        <v>140010670059920</v>
      </c>
      <c r="E31" s="17" t="s">
        <v>39</v>
      </c>
      <c r="F31" s="17"/>
      <c r="G31" s="104" t="s">
        <v>40</v>
      </c>
      <c r="H31" s="36">
        <v>2024</v>
      </c>
      <c r="I31" s="130">
        <v>7</v>
      </c>
      <c r="J31" s="82">
        <v>45604</v>
      </c>
      <c r="K31" s="60"/>
      <c r="L31" s="52">
        <v>8.0479999999999996E-2</v>
      </c>
      <c r="M31" s="53">
        <v>8.2479999999999998E-2</v>
      </c>
      <c r="N31" s="27">
        <f t="shared" si="45"/>
        <v>2.0000000000000018E-3</v>
      </c>
      <c r="O31" s="27">
        <f t="shared" si="51"/>
        <v>0</v>
      </c>
      <c r="P31" s="125">
        <v>1</v>
      </c>
      <c r="Q31" s="126">
        <f t="shared" si="38"/>
        <v>8.0479999999999996E-2</v>
      </c>
      <c r="R31" s="28">
        <v>0</v>
      </c>
      <c r="S31" s="28">
        <f t="shared" ref="S31:S39" si="55">R31+S34</f>
        <v>1200000</v>
      </c>
      <c r="T31" s="27">
        <v>72000</v>
      </c>
      <c r="U31" s="40">
        <f t="shared" si="46"/>
        <v>69600</v>
      </c>
      <c r="V31" s="17" t="s">
        <v>41</v>
      </c>
      <c r="W31" s="101" t="s">
        <v>42</v>
      </c>
      <c r="X31" s="43">
        <v>0.622</v>
      </c>
      <c r="Y31" s="29" t="s">
        <v>43</v>
      </c>
      <c r="Z31" s="29"/>
      <c r="AA31" s="30">
        <v>0</v>
      </c>
      <c r="AB31" s="40">
        <f t="shared" si="47"/>
        <v>0</v>
      </c>
      <c r="AC31" s="114">
        <f t="shared" si="48"/>
        <v>0</v>
      </c>
      <c r="AD31" s="28">
        <f t="shared" si="49"/>
        <v>0</v>
      </c>
      <c r="AE31" s="17"/>
    </row>
    <row r="32" spans="1:31" s="32" customFormat="1" x14ac:dyDescent="0.2">
      <c r="A32" s="7" t="s">
        <v>37</v>
      </c>
      <c r="B32" s="17" t="str">
        <f>VLOOKUP(A32,[1]Sheet1!$A:$B,2,0)</f>
        <v>RCS POD</v>
      </c>
      <c r="C32" s="44" t="s">
        <v>44</v>
      </c>
      <c r="D32" s="42">
        <v>140040670024857</v>
      </c>
      <c r="E32" s="17" t="s">
        <v>39</v>
      </c>
      <c r="F32" s="17"/>
      <c r="G32" s="104" t="s">
        <v>40</v>
      </c>
      <c r="H32" s="36">
        <v>2024</v>
      </c>
      <c r="I32" s="130">
        <v>7</v>
      </c>
      <c r="J32" s="82">
        <v>45604</v>
      </c>
      <c r="K32" s="59"/>
      <c r="L32" s="52">
        <v>6.0240000000000002E-2</v>
      </c>
      <c r="M32" s="53">
        <v>6.1240000000000003E-2</v>
      </c>
      <c r="N32" s="27">
        <f t="shared" si="45"/>
        <v>1.0000000000000009E-3</v>
      </c>
      <c r="O32" s="27">
        <f t="shared" si="51"/>
        <v>0</v>
      </c>
      <c r="P32" s="125">
        <v>1</v>
      </c>
      <c r="Q32" s="126">
        <f t="shared" si="38"/>
        <v>6.0240000000000002E-2</v>
      </c>
      <c r="R32" s="28">
        <v>2910000</v>
      </c>
      <c r="S32" s="28">
        <f t="shared" si="55"/>
        <v>12760000</v>
      </c>
      <c r="T32" s="27">
        <v>82000</v>
      </c>
      <c r="U32" s="40">
        <f t="shared" si="46"/>
        <v>69239.999999999985</v>
      </c>
      <c r="V32" s="17" t="s">
        <v>41</v>
      </c>
      <c r="W32" s="101" t="s">
        <v>42</v>
      </c>
      <c r="X32" s="43">
        <v>0.28699999999999998</v>
      </c>
      <c r="Y32" s="29" t="s">
        <v>43</v>
      </c>
      <c r="Z32" s="29"/>
      <c r="AA32" s="30">
        <v>0</v>
      </c>
      <c r="AB32" s="40">
        <f t="shared" si="47"/>
        <v>178208.4</v>
      </c>
      <c r="AC32" s="114">
        <f t="shared" si="48"/>
        <v>0</v>
      </c>
      <c r="AD32" s="28">
        <f t="shared" si="49"/>
        <v>835.16999999999985</v>
      </c>
      <c r="AE32" s="17"/>
    </row>
    <row r="33" spans="1:31" s="32" customFormat="1" x14ac:dyDescent="0.2">
      <c r="A33" s="31" t="s">
        <v>37</v>
      </c>
      <c r="B33" s="17" t="str">
        <f>VLOOKUP(A33,[1]Sheet1!$A:$B,2,0)</f>
        <v>RCS POD</v>
      </c>
      <c r="C33" s="44" t="s">
        <v>45</v>
      </c>
      <c r="D33" s="42">
        <v>140010670052941</v>
      </c>
      <c r="E33" s="17" t="s">
        <v>39</v>
      </c>
      <c r="F33" s="17"/>
      <c r="G33" s="33" t="s">
        <v>40</v>
      </c>
      <c r="H33" s="36">
        <v>2024</v>
      </c>
      <c r="I33" s="130">
        <v>7</v>
      </c>
      <c r="J33" s="82">
        <v>45604</v>
      </c>
      <c r="K33" s="59"/>
      <c r="L33" s="52">
        <v>6.2719999999999998E-2</v>
      </c>
      <c r="M33" s="53">
        <v>6.3719999999999999E-2</v>
      </c>
      <c r="N33" s="27">
        <f t="shared" si="45"/>
        <v>1.0000000000000009E-3</v>
      </c>
      <c r="O33" s="27">
        <f t="shared" si="51"/>
        <v>0</v>
      </c>
      <c r="P33" s="125">
        <v>1</v>
      </c>
      <c r="Q33" s="126">
        <f t="shared" si="38"/>
        <v>6.2719999999999998E-2</v>
      </c>
      <c r="R33" s="28">
        <v>2412000</v>
      </c>
      <c r="S33" s="28">
        <f t="shared" si="55"/>
        <v>8218080</v>
      </c>
      <c r="T33" s="27">
        <v>82000</v>
      </c>
      <c r="U33" s="40">
        <f t="shared" si="46"/>
        <v>73781.919999999998</v>
      </c>
      <c r="V33" s="17" t="s">
        <v>41</v>
      </c>
      <c r="W33" s="101" t="s">
        <v>42</v>
      </c>
      <c r="X33" s="43">
        <v>0.505</v>
      </c>
      <c r="Y33" s="29" t="s">
        <v>43</v>
      </c>
      <c r="Z33" s="29"/>
      <c r="AA33" s="30">
        <v>0</v>
      </c>
      <c r="AB33" s="40">
        <f t="shared" si="47"/>
        <v>153692.63999999998</v>
      </c>
      <c r="AC33" s="114">
        <f t="shared" si="48"/>
        <v>0</v>
      </c>
      <c r="AD33" s="28">
        <f t="shared" si="49"/>
        <v>1218.06</v>
      </c>
      <c r="AE33" s="17"/>
    </row>
    <row r="34" spans="1:31" s="32" customFormat="1" x14ac:dyDescent="0.2">
      <c r="A34" s="7" t="s">
        <v>37</v>
      </c>
      <c r="B34" s="17" t="str">
        <f>VLOOKUP(A34,[1]Sheet1!$A:$B,2,0)</f>
        <v>RCS POD</v>
      </c>
      <c r="C34" s="44" t="s">
        <v>46</v>
      </c>
      <c r="D34" s="42">
        <v>140010670059920</v>
      </c>
      <c r="E34" s="17" t="s">
        <v>39</v>
      </c>
      <c r="F34" s="17"/>
      <c r="G34" s="104" t="s">
        <v>40</v>
      </c>
      <c r="H34" s="36">
        <v>2024</v>
      </c>
      <c r="I34" s="130">
        <v>6</v>
      </c>
      <c r="J34" s="82">
        <v>45604</v>
      </c>
      <c r="K34" s="59"/>
      <c r="L34" s="52">
        <v>8.0479999999999996E-2</v>
      </c>
      <c r="M34" s="53">
        <v>8.2479999999999998E-2</v>
      </c>
      <c r="N34" s="27">
        <f t="shared" si="45"/>
        <v>2.0000000000000018E-3</v>
      </c>
      <c r="O34" s="27">
        <f t="shared" si="51"/>
        <v>0</v>
      </c>
      <c r="P34" s="125">
        <v>1</v>
      </c>
      <c r="Q34" s="126">
        <f t="shared" si="38"/>
        <v>8.0479999999999996E-2</v>
      </c>
      <c r="R34" s="28">
        <v>0</v>
      </c>
      <c r="S34" s="28">
        <f t="shared" si="55"/>
        <v>1200000</v>
      </c>
      <c r="T34" s="27">
        <v>72000</v>
      </c>
      <c r="U34" s="40">
        <f t="shared" si="46"/>
        <v>69600</v>
      </c>
      <c r="V34" s="17" t="s">
        <v>41</v>
      </c>
      <c r="W34" s="101" t="s">
        <v>42</v>
      </c>
      <c r="X34" s="43">
        <v>0.622</v>
      </c>
      <c r="Y34" s="29" t="s">
        <v>43</v>
      </c>
      <c r="Z34" s="29"/>
      <c r="AA34" s="30">
        <v>0</v>
      </c>
      <c r="AB34" s="40">
        <f t="shared" si="47"/>
        <v>0</v>
      </c>
      <c r="AC34" s="114">
        <f t="shared" si="48"/>
        <v>0</v>
      </c>
      <c r="AD34" s="28">
        <f t="shared" si="49"/>
        <v>0</v>
      </c>
      <c r="AE34" s="17"/>
    </row>
    <row r="35" spans="1:31" s="32" customFormat="1" x14ac:dyDescent="0.2">
      <c r="A35" s="7" t="s">
        <v>37</v>
      </c>
      <c r="B35" s="17" t="str">
        <f>VLOOKUP(A35,[1]Sheet1!$A:$B,2,0)</f>
        <v>RCS POD</v>
      </c>
      <c r="C35" s="44" t="s">
        <v>44</v>
      </c>
      <c r="D35" s="42">
        <v>140040670024857</v>
      </c>
      <c r="E35" s="17" t="s">
        <v>39</v>
      </c>
      <c r="F35" s="17"/>
      <c r="G35" s="104" t="s">
        <v>40</v>
      </c>
      <c r="H35" s="36">
        <v>2024</v>
      </c>
      <c r="I35" s="130">
        <v>6</v>
      </c>
      <c r="J35" s="82">
        <v>45604</v>
      </c>
      <c r="K35" s="59"/>
      <c r="L35" s="52">
        <v>6.0240000000000002E-2</v>
      </c>
      <c r="M35" s="53">
        <v>6.1240000000000003E-2</v>
      </c>
      <c r="N35" s="27">
        <f t="shared" si="45"/>
        <v>1.0000000000000009E-3</v>
      </c>
      <c r="O35" s="27">
        <f t="shared" si="51"/>
        <v>0</v>
      </c>
      <c r="P35" s="125">
        <v>1</v>
      </c>
      <c r="Q35" s="126">
        <f t="shared" si="38"/>
        <v>6.0240000000000002E-2</v>
      </c>
      <c r="R35" s="28">
        <v>3240000</v>
      </c>
      <c r="S35" s="28">
        <f t="shared" si="55"/>
        <v>9850000</v>
      </c>
      <c r="T35" s="27">
        <v>82000</v>
      </c>
      <c r="U35" s="40">
        <f t="shared" si="46"/>
        <v>72149.999999999985</v>
      </c>
      <c r="V35" s="17" t="s">
        <v>41</v>
      </c>
      <c r="W35" s="101" t="s">
        <v>42</v>
      </c>
      <c r="X35" s="43">
        <v>0.28699999999999998</v>
      </c>
      <c r="Y35" s="29" t="s">
        <v>43</v>
      </c>
      <c r="Z35" s="29"/>
      <c r="AA35" s="30">
        <v>0</v>
      </c>
      <c r="AB35" s="40">
        <f t="shared" si="47"/>
        <v>198417.6</v>
      </c>
      <c r="AC35" s="114">
        <f t="shared" si="48"/>
        <v>0</v>
      </c>
      <c r="AD35" s="28">
        <f t="shared" si="49"/>
        <v>929.87999999999988</v>
      </c>
      <c r="AE35" s="17"/>
    </row>
    <row r="36" spans="1:31" s="32" customFormat="1" x14ac:dyDescent="0.2">
      <c r="A36" s="31" t="s">
        <v>37</v>
      </c>
      <c r="B36" s="17" t="str">
        <f>VLOOKUP(A36,[1]Sheet1!$A:$B,2,0)</f>
        <v>RCS POD</v>
      </c>
      <c r="C36" s="44" t="s">
        <v>45</v>
      </c>
      <c r="D36" s="42">
        <v>140010670052941</v>
      </c>
      <c r="E36" s="17" t="s">
        <v>39</v>
      </c>
      <c r="F36" s="17"/>
      <c r="G36" s="33" t="s">
        <v>40</v>
      </c>
      <c r="H36" s="36">
        <v>2024</v>
      </c>
      <c r="I36" s="130">
        <v>6</v>
      </c>
      <c r="J36" s="82">
        <v>45604</v>
      </c>
      <c r="K36" s="59"/>
      <c r="L36" s="52">
        <v>6.2719999999999998E-2</v>
      </c>
      <c r="M36" s="53">
        <v>6.3719999999999999E-2</v>
      </c>
      <c r="N36" s="27">
        <f t="shared" si="45"/>
        <v>1.0000000000000009E-3</v>
      </c>
      <c r="O36" s="27">
        <f t="shared" si="51"/>
        <v>0</v>
      </c>
      <c r="P36" s="125">
        <v>1</v>
      </c>
      <c r="Q36" s="126">
        <f t="shared" si="38"/>
        <v>6.2719999999999998E-2</v>
      </c>
      <c r="R36" s="28">
        <v>3268000</v>
      </c>
      <c r="S36" s="28">
        <f t="shared" si="55"/>
        <v>5806080</v>
      </c>
      <c r="T36" s="27">
        <v>82000</v>
      </c>
      <c r="U36" s="40">
        <f t="shared" si="46"/>
        <v>76193.919999999998</v>
      </c>
      <c r="V36" s="17" t="s">
        <v>41</v>
      </c>
      <c r="W36" s="101" t="s">
        <v>42</v>
      </c>
      <c r="X36" s="43">
        <v>0.505</v>
      </c>
      <c r="Y36" s="29" t="s">
        <v>43</v>
      </c>
      <c r="Z36" s="29"/>
      <c r="AA36" s="30">
        <v>0</v>
      </c>
      <c r="AB36" s="40">
        <f t="shared" si="47"/>
        <v>208236.96</v>
      </c>
      <c r="AC36" s="114">
        <f t="shared" si="48"/>
        <v>0</v>
      </c>
      <c r="AD36" s="28">
        <f t="shared" si="49"/>
        <v>1650.34</v>
      </c>
      <c r="AE36" s="17"/>
    </row>
    <row r="37" spans="1:31" s="32" customFormat="1" x14ac:dyDescent="0.2">
      <c r="A37" s="7" t="s">
        <v>37</v>
      </c>
      <c r="B37" s="17" t="str">
        <f>VLOOKUP(A37,[1]Sheet1!$A:$B,2,0)</f>
        <v>RCS POD</v>
      </c>
      <c r="C37" s="44" t="s">
        <v>46</v>
      </c>
      <c r="D37" s="42">
        <v>140010670059920</v>
      </c>
      <c r="E37" s="17" t="s">
        <v>39</v>
      </c>
      <c r="F37" s="17"/>
      <c r="G37" s="104" t="s">
        <v>40</v>
      </c>
      <c r="H37" s="36">
        <v>2024</v>
      </c>
      <c r="I37" s="131">
        <v>5</v>
      </c>
      <c r="J37" s="82">
        <v>45604</v>
      </c>
      <c r="K37" s="59"/>
      <c r="L37" s="52">
        <v>8.0479999999999996E-2</v>
      </c>
      <c r="M37" s="53">
        <v>8.2479999999999998E-2</v>
      </c>
      <c r="N37" s="27">
        <f t="shared" si="45"/>
        <v>2.0000000000000018E-3</v>
      </c>
      <c r="O37" s="27">
        <f t="shared" si="51"/>
        <v>0</v>
      </c>
      <c r="P37" s="125">
        <v>1</v>
      </c>
      <c r="Q37" s="126">
        <f t="shared" si="38"/>
        <v>8.0479999999999996E-2</v>
      </c>
      <c r="R37" s="28">
        <v>560000</v>
      </c>
      <c r="S37" s="28">
        <f>R37+S40</f>
        <v>1200000</v>
      </c>
      <c r="T37" s="27">
        <v>72000</v>
      </c>
      <c r="U37" s="40">
        <f t="shared" si="46"/>
        <v>69600</v>
      </c>
      <c r="V37" s="17" t="s">
        <v>41</v>
      </c>
      <c r="W37" s="101" t="s">
        <v>42</v>
      </c>
      <c r="X37" s="43">
        <v>0.622</v>
      </c>
      <c r="Y37" s="29" t="s">
        <v>43</v>
      </c>
      <c r="Z37" s="29"/>
      <c r="AA37" s="30">
        <v>0</v>
      </c>
      <c r="AB37" s="40">
        <f t="shared" si="47"/>
        <v>46188.799999999996</v>
      </c>
      <c r="AC37" s="114">
        <f t="shared" si="48"/>
        <v>0</v>
      </c>
      <c r="AD37" s="28">
        <f t="shared" si="49"/>
        <v>348.32</v>
      </c>
      <c r="AE37" s="17"/>
    </row>
    <row r="38" spans="1:31" s="32" customFormat="1" x14ac:dyDescent="0.2">
      <c r="A38" s="7" t="s">
        <v>37</v>
      </c>
      <c r="B38" s="17" t="str">
        <f>VLOOKUP(A38,[1]Sheet1!$A:$B,2,0)</f>
        <v>RCS POD</v>
      </c>
      <c r="C38" s="44" t="s">
        <v>44</v>
      </c>
      <c r="D38" s="42">
        <v>140040670024857</v>
      </c>
      <c r="E38" s="17" t="s">
        <v>39</v>
      </c>
      <c r="F38" s="17"/>
      <c r="G38" s="104" t="s">
        <v>40</v>
      </c>
      <c r="H38" s="36">
        <v>2024</v>
      </c>
      <c r="I38" s="131">
        <v>5</v>
      </c>
      <c r="J38" s="82">
        <v>45604</v>
      </c>
      <c r="K38" s="59"/>
      <c r="L38" s="52">
        <v>6.0240000000000002E-2</v>
      </c>
      <c r="M38" s="53">
        <v>6.1240000000000003E-2</v>
      </c>
      <c r="N38" s="27">
        <f t="shared" si="45"/>
        <v>1.0000000000000009E-3</v>
      </c>
      <c r="O38" s="27">
        <f t="shared" si="51"/>
        <v>0</v>
      </c>
      <c r="P38" s="125">
        <v>1</v>
      </c>
      <c r="Q38" s="126">
        <f t="shared" si="38"/>
        <v>6.0240000000000002E-2</v>
      </c>
      <c r="R38" s="28">
        <v>3120000</v>
      </c>
      <c r="S38" s="28">
        <f t="shared" si="55"/>
        <v>6610000</v>
      </c>
      <c r="T38" s="27">
        <v>82000</v>
      </c>
      <c r="U38" s="40">
        <f t="shared" si="46"/>
        <v>75390</v>
      </c>
      <c r="V38" s="17" t="s">
        <v>41</v>
      </c>
      <c r="W38" s="101" t="s">
        <v>42</v>
      </c>
      <c r="X38" s="43">
        <v>0.28699999999999998</v>
      </c>
      <c r="Y38" s="29" t="s">
        <v>43</v>
      </c>
      <c r="Z38" s="29"/>
      <c r="AA38" s="30">
        <v>0</v>
      </c>
      <c r="AB38" s="40">
        <f t="shared" si="47"/>
        <v>191068.80000000002</v>
      </c>
      <c r="AC38" s="114">
        <f t="shared" si="48"/>
        <v>0</v>
      </c>
      <c r="AD38" s="28">
        <f t="shared" si="49"/>
        <v>895.43999999999983</v>
      </c>
      <c r="AE38" s="17"/>
    </row>
    <row r="39" spans="1:31" s="32" customFormat="1" x14ac:dyDescent="0.2">
      <c r="A39" s="31" t="s">
        <v>37</v>
      </c>
      <c r="B39" s="17" t="str">
        <f>VLOOKUP(A39,[1]Sheet1!$A:$B,2,0)</f>
        <v>RCS POD</v>
      </c>
      <c r="C39" s="44" t="s">
        <v>45</v>
      </c>
      <c r="D39" s="42">
        <v>140010670052941</v>
      </c>
      <c r="E39" s="17" t="s">
        <v>39</v>
      </c>
      <c r="F39" s="17"/>
      <c r="G39" s="33" t="s">
        <v>40</v>
      </c>
      <c r="H39" s="36">
        <v>2024</v>
      </c>
      <c r="I39" s="131">
        <v>5</v>
      </c>
      <c r="J39" s="82">
        <v>45604</v>
      </c>
      <c r="K39" s="59"/>
      <c r="L39" s="52">
        <v>6.2719999999999998E-2</v>
      </c>
      <c r="M39" s="53">
        <v>6.3719999999999999E-2</v>
      </c>
      <c r="N39" s="27">
        <f t="shared" si="45"/>
        <v>1.0000000000000009E-3</v>
      </c>
      <c r="O39" s="27">
        <f t="shared" si="51"/>
        <v>0</v>
      </c>
      <c r="P39" s="125">
        <v>1</v>
      </c>
      <c r="Q39" s="126">
        <f t="shared" si="38"/>
        <v>6.2719999999999998E-2</v>
      </c>
      <c r="R39" s="28">
        <v>2340080</v>
      </c>
      <c r="S39" s="28">
        <f t="shared" si="55"/>
        <v>2538080</v>
      </c>
      <c r="T39" s="27">
        <v>82000</v>
      </c>
      <c r="U39" s="40">
        <f t="shared" si="46"/>
        <v>79461.919999999998</v>
      </c>
      <c r="V39" s="17" t="s">
        <v>41</v>
      </c>
      <c r="W39" s="101" t="s">
        <v>42</v>
      </c>
      <c r="X39" s="43">
        <v>0.505</v>
      </c>
      <c r="Y39" s="29" t="s">
        <v>43</v>
      </c>
      <c r="Z39" s="29"/>
      <c r="AA39" s="30">
        <v>0</v>
      </c>
      <c r="AB39" s="40">
        <f t="shared" si="47"/>
        <v>149109.8976</v>
      </c>
      <c r="AC39" s="114">
        <f t="shared" si="48"/>
        <v>0</v>
      </c>
      <c r="AD39" s="28">
        <f t="shared" si="49"/>
        <v>1181.7403999999999</v>
      </c>
      <c r="AE39" s="17"/>
    </row>
    <row r="40" spans="1:31" s="32" customFormat="1" x14ac:dyDescent="0.2">
      <c r="A40" s="7" t="s">
        <v>37</v>
      </c>
      <c r="B40" s="17" t="str">
        <f>VLOOKUP(A40,[1]Sheet1!$A:$B,2,0)</f>
        <v>RCS POD</v>
      </c>
      <c r="C40" s="44" t="s">
        <v>46</v>
      </c>
      <c r="D40" s="42">
        <v>140010670059920</v>
      </c>
      <c r="E40" s="17" t="s">
        <v>39</v>
      </c>
      <c r="F40" s="17"/>
      <c r="G40" s="104" t="s">
        <v>40</v>
      </c>
      <c r="H40" s="36">
        <v>2024</v>
      </c>
      <c r="I40" s="131">
        <v>4</v>
      </c>
      <c r="J40" s="82">
        <v>45604</v>
      </c>
      <c r="K40" s="59"/>
      <c r="L40" s="52">
        <v>8.0479999999999996E-2</v>
      </c>
      <c r="M40" s="53">
        <v>8.2479999999999998E-2</v>
      </c>
      <c r="N40" s="27">
        <f t="shared" si="45"/>
        <v>2.0000000000000018E-3</v>
      </c>
      <c r="O40" s="27">
        <f t="shared" si="51"/>
        <v>0</v>
      </c>
      <c r="P40" s="125">
        <v>1</v>
      </c>
      <c r="Q40" s="126">
        <f t="shared" si="38"/>
        <v>8.0479999999999996E-2</v>
      </c>
      <c r="R40" s="28">
        <v>640000</v>
      </c>
      <c r="S40" s="28">
        <f>R40+R43</f>
        <v>640000</v>
      </c>
      <c r="T40" s="27">
        <v>72000</v>
      </c>
      <c r="U40" s="40">
        <f t="shared" si="46"/>
        <v>70720</v>
      </c>
      <c r="V40" s="17" t="s">
        <v>41</v>
      </c>
      <c r="W40" s="101" t="s">
        <v>42</v>
      </c>
      <c r="X40" s="43">
        <v>0.622</v>
      </c>
      <c r="Y40" s="29" t="s">
        <v>43</v>
      </c>
      <c r="Z40" s="29"/>
      <c r="AA40" s="30">
        <v>0</v>
      </c>
      <c r="AB40" s="40">
        <f t="shared" si="47"/>
        <v>52787.199999999997</v>
      </c>
      <c r="AC40" s="114">
        <f t="shared" si="48"/>
        <v>0</v>
      </c>
      <c r="AD40" s="28">
        <f t="shared" si="49"/>
        <v>398.08</v>
      </c>
      <c r="AE40" s="17"/>
    </row>
    <row r="41" spans="1:31" s="32" customFormat="1" x14ac:dyDescent="0.2">
      <c r="A41" s="7" t="s">
        <v>37</v>
      </c>
      <c r="B41" s="17" t="str">
        <f>VLOOKUP(A41,[1]Sheet1!$A:$B,2,0)</f>
        <v>RCS POD</v>
      </c>
      <c r="C41" s="44" t="s">
        <v>44</v>
      </c>
      <c r="D41" s="42">
        <v>140040670024857</v>
      </c>
      <c r="E41" s="17" t="s">
        <v>39</v>
      </c>
      <c r="F41" s="17"/>
      <c r="G41" s="104" t="s">
        <v>40</v>
      </c>
      <c r="H41" s="36">
        <v>2024</v>
      </c>
      <c r="I41" s="131">
        <v>4</v>
      </c>
      <c r="J41" s="82">
        <v>45604</v>
      </c>
      <c r="K41" s="59"/>
      <c r="L41" s="52">
        <v>6.0240000000000002E-2</v>
      </c>
      <c r="M41" s="53">
        <v>6.1240000000000003E-2</v>
      </c>
      <c r="N41" s="27">
        <f t="shared" si="45"/>
        <v>1.0000000000000009E-3</v>
      </c>
      <c r="O41" s="27">
        <f t="shared" si="51"/>
        <v>0</v>
      </c>
      <c r="P41" s="125">
        <v>1</v>
      </c>
      <c r="Q41" s="126">
        <f t="shared" si="38"/>
        <v>6.0240000000000002E-2</v>
      </c>
      <c r="R41" s="28">
        <v>2760000</v>
      </c>
      <c r="S41" s="28">
        <f>R41+S44</f>
        <v>3490000</v>
      </c>
      <c r="T41" s="27">
        <v>82000</v>
      </c>
      <c r="U41" s="40">
        <f t="shared" si="46"/>
        <v>78510</v>
      </c>
      <c r="V41" s="17" t="s">
        <v>41</v>
      </c>
      <c r="W41" s="101" t="s">
        <v>42</v>
      </c>
      <c r="X41" s="43">
        <v>0.28699999999999998</v>
      </c>
      <c r="Y41" s="29" t="s">
        <v>43</v>
      </c>
      <c r="Z41" s="29"/>
      <c r="AA41" s="30">
        <v>0</v>
      </c>
      <c r="AB41" s="40">
        <f t="shared" si="47"/>
        <v>169022.4</v>
      </c>
      <c r="AC41" s="114">
        <f t="shared" si="48"/>
        <v>0</v>
      </c>
      <c r="AD41" s="28">
        <f t="shared" si="49"/>
        <v>792.11999999999989</v>
      </c>
      <c r="AE41" s="17"/>
    </row>
    <row r="42" spans="1:31" s="32" customFormat="1" x14ac:dyDescent="0.2">
      <c r="A42" s="31" t="s">
        <v>37</v>
      </c>
      <c r="B42" s="17" t="str">
        <f>VLOOKUP(A42,[1]Sheet1!$A:$B,2,0)</f>
        <v>RCS POD</v>
      </c>
      <c r="C42" s="44" t="s">
        <v>45</v>
      </c>
      <c r="D42" s="42">
        <v>140010670052941</v>
      </c>
      <c r="E42" s="17" t="s">
        <v>39</v>
      </c>
      <c r="F42" s="17"/>
      <c r="G42" s="33" t="s">
        <v>40</v>
      </c>
      <c r="H42" s="36">
        <v>2024</v>
      </c>
      <c r="I42" s="131">
        <v>4</v>
      </c>
      <c r="J42" s="82">
        <v>45604</v>
      </c>
      <c r="K42" s="59"/>
      <c r="L42" s="52">
        <v>6.2719999999999998E-2</v>
      </c>
      <c r="M42" s="53">
        <v>6.3719999999999999E-2</v>
      </c>
      <c r="N42" s="27">
        <f t="shared" si="45"/>
        <v>1.0000000000000009E-3</v>
      </c>
      <c r="O42" s="27">
        <f t="shared" si="51"/>
        <v>0</v>
      </c>
      <c r="P42" s="125">
        <v>1</v>
      </c>
      <c r="Q42" s="126">
        <f t="shared" si="38"/>
        <v>6.2719999999999998E-2</v>
      </c>
      <c r="R42" s="28">
        <v>198000</v>
      </c>
      <c r="S42" s="28">
        <f>R42+S45</f>
        <v>198000</v>
      </c>
      <c r="T42" s="27">
        <v>82000</v>
      </c>
      <c r="U42" s="40">
        <f t="shared" si="46"/>
        <v>81802</v>
      </c>
      <c r="V42" s="17" t="s">
        <v>41</v>
      </c>
      <c r="W42" s="101" t="s">
        <v>42</v>
      </c>
      <c r="X42" s="43">
        <v>0.505</v>
      </c>
      <c r="Y42" s="29" t="s">
        <v>43</v>
      </c>
      <c r="Z42" s="29"/>
      <c r="AA42" s="30">
        <v>0</v>
      </c>
      <c r="AB42" s="40">
        <f t="shared" si="47"/>
        <v>12616.56</v>
      </c>
      <c r="AC42" s="114">
        <f t="shared" si="48"/>
        <v>0</v>
      </c>
      <c r="AD42" s="28">
        <f t="shared" si="49"/>
        <v>99.99</v>
      </c>
      <c r="AE42" s="17"/>
    </row>
    <row r="43" spans="1:31" s="32" customFormat="1" x14ac:dyDescent="0.2">
      <c r="A43" s="7" t="s">
        <v>37</v>
      </c>
      <c r="B43" s="17" t="str">
        <f>VLOOKUP(A43,[1]Sheet1!$A:$B,2,0)</f>
        <v>RCS POD</v>
      </c>
      <c r="C43" s="44" t="s">
        <v>46</v>
      </c>
      <c r="D43" s="42">
        <v>140010670059920</v>
      </c>
      <c r="E43" s="17" t="s">
        <v>39</v>
      </c>
      <c r="F43" s="17"/>
      <c r="G43" s="104" t="s">
        <v>40</v>
      </c>
      <c r="H43" s="36">
        <v>2024</v>
      </c>
      <c r="I43" s="131">
        <v>3</v>
      </c>
      <c r="J43" s="82">
        <v>45604</v>
      </c>
      <c r="K43" s="59"/>
      <c r="L43" s="52">
        <v>8.0479999999999996E-2</v>
      </c>
      <c r="M43" s="53">
        <v>8.2479999999999998E-2</v>
      </c>
      <c r="N43" s="27">
        <f t="shared" si="45"/>
        <v>2.0000000000000018E-3</v>
      </c>
      <c r="O43" s="27">
        <f t="shared" si="51"/>
        <v>0</v>
      </c>
      <c r="P43" s="125">
        <v>1</v>
      </c>
      <c r="Q43" s="126">
        <f t="shared" si="38"/>
        <v>8.0479999999999996E-2</v>
      </c>
      <c r="R43" s="28">
        <v>0</v>
      </c>
      <c r="S43" s="28">
        <f>R43</f>
        <v>0</v>
      </c>
      <c r="T43" s="27">
        <v>72000</v>
      </c>
      <c r="U43" s="40">
        <f t="shared" ref="U43:U46" si="56">T43-N43*S43</f>
        <v>72000</v>
      </c>
      <c r="V43" s="17" t="s">
        <v>41</v>
      </c>
      <c r="W43" s="101" t="s">
        <v>42</v>
      </c>
      <c r="X43" s="43">
        <v>0.622</v>
      </c>
      <c r="Y43" s="29" t="s">
        <v>43</v>
      </c>
      <c r="Z43" s="29"/>
      <c r="AA43" s="30">
        <v>0</v>
      </c>
      <c r="AB43" s="40">
        <f t="shared" ref="AB43:AB46" si="57">M43*R43</f>
        <v>0</v>
      </c>
      <c r="AC43" s="114">
        <f t="shared" si="48"/>
        <v>0</v>
      </c>
      <c r="AD43" s="28">
        <f t="shared" ref="AD43:AD46" si="58">R43*X43/1000</f>
        <v>0</v>
      </c>
      <c r="AE43" s="17"/>
    </row>
    <row r="44" spans="1:31" s="32" customFormat="1" x14ac:dyDescent="0.2">
      <c r="A44" s="7" t="s">
        <v>37</v>
      </c>
      <c r="B44" s="17" t="str">
        <f>VLOOKUP(A44,[1]Sheet1!$A:$B,2,0)</f>
        <v>RCS POD</v>
      </c>
      <c r="C44" s="44" t="s">
        <v>44</v>
      </c>
      <c r="D44" s="42">
        <v>140040670024857</v>
      </c>
      <c r="E44" s="17" t="s">
        <v>39</v>
      </c>
      <c r="F44" s="17"/>
      <c r="G44" s="104" t="s">
        <v>40</v>
      </c>
      <c r="H44" s="36">
        <v>2024</v>
      </c>
      <c r="I44" s="131">
        <v>3</v>
      </c>
      <c r="J44" s="82">
        <v>45604</v>
      </c>
      <c r="K44" s="59"/>
      <c r="L44" s="52">
        <v>6.0240000000000002E-2</v>
      </c>
      <c r="M44" s="53">
        <v>6.1240000000000003E-2</v>
      </c>
      <c r="N44" s="27">
        <f t="shared" si="45"/>
        <v>1.0000000000000009E-3</v>
      </c>
      <c r="O44" s="27">
        <f t="shared" si="51"/>
        <v>0</v>
      </c>
      <c r="P44" s="125">
        <v>1</v>
      </c>
      <c r="Q44" s="126">
        <f t="shared" si="38"/>
        <v>6.0240000000000002E-2</v>
      </c>
      <c r="R44" s="28">
        <v>730000</v>
      </c>
      <c r="S44" s="28">
        <f>R44</f>
        <v>730000</v>
      </c>
      <c r="T44" s="27">
        <v>82000</v>
      </c>
      <c r="U44" s="40">
        <f t="shared" si="56"/>
        <v>81270</v>
      </c>
      <c r="V44" s="17" t="s">
        <v>41</v>
      </c>
      <c r="W44" s="101" t="s">
        <v>42</v>
      </c>
      <c r="X44" s="43">
        <v>0.28699999999999998</v>
      </c>
      <c r="Y44" s="29" t="s">
        <v>43</v>
      </c>
      <c r="Z44" s="29"/>
      <c r="AA44" s="30">
        <v>0</v>
      </c>
      <c r="AB44" s="40">
        <f t="shared" si="57"/>
        <v>44705.200000000004</v>
      </c>
      <c r="AC44" s="114">
        <f t="shared" si="48"/>
        <v>0</v>
      </c>
      <c r="AD44" s="28">
        <f t="shared" si="58"/>
        <v>209.50999999999996</v>
      </c>
      <c r="AE44" s="17"/>
    </row>
    <row r="45" spans="1:31" s="32" customFormat="1" x14ac:dyDescent="0.2">
      <c r="A45" s="31" t="s">
        <v>37</v>
      </c>
      <c r="B45" s="17" t="str">
        <f>VLOOKUP(A45,[1]Sheet1!$A:$B,2,0)</f>
        <v>RCS POD</v>
      </c>
      <c r="C45" s="44" t="s">
        <v>45</v>
      </c>
      <c r="D45" s="42">
        <v>140010670052941</v>
      </c>
      <c r="E45" s="17" t="s">
        <v>39</v>
      </c>
      <c r="F45" s="17"/>
      <c r="G45" s="33" t="s">
        <v>40</v>
      </c>
      <c r="H45" s="36">
        <v>2024</v>
      </c>
      <c r="I45" s="131">
        <v>3</v>
      </c>
      <c r="J45" s="82">
        <v>45604</v>
      </c>
      <c r="K45" s="59"/>
      <c r="L45" s="52">
        <v>6.2719999999999998E-2</v>
      </c>
      <c r="M45" s="53">
        <v>6.3719999999999999E-2</v>
      </c>
      <c r="N45" s="27">
        <f t="shared" si="45"/>
        <v>1.0000000000000009E-3</v>
      </c>
      <c r="O45" s="27">
        <f t="shared" si="51"/>
        <v>0</v>
      </c>
      <c r="P45" s="125">
        <v>1</v>
      </c>
      <c r="Q45" s="126">
        <f t="shared" si="38"/>
        <v>6.2719999999999998E-2</v>
      </c>
      <c r="R45" s="28">
        <v>0</v>
      </c>
      <c r="S45" s="28">
        <f>R45</f>
        <v>0</v>
      </c>
      <c r="T45" s="27">
        <v>82000</v>
      </c>
      <c r="U45" s="40">
        <f t="shared" si="56"/>
        <v>82000</v>
      </c>
      <c r="V45" s="17" t="s">
        <v>41</v>
      </c>
      <c r="W45" s="101" t="s">
        <v>42</v>
      </c>
      <c r="X45" s="43">
        <v>0.505</v>
      </c>
      <c r="Y45" s="29" t="s">
        <v>43</v>
      </c>
      <c r="Z45" s="29"/>
      <c r="AA45" s="30">
        <v>0</v>
      </c>
      <c r="AB45" s="40">
        <f t="shared" si="57"/>
        <v>0</v>
      </c>
      <c r="AC45" s="114">
        <f t="shared" si="48"/>
        <v>0</v>
      </c>
      <c r="AD45" s="28">
        <f t="shared" si="58"/>
        <v>0</v>
      </c>
      <c r="AE45" s="17"/>
    </row>
    <row r="46" spans="1:31" s="32" customFormat="1" x14ac:dyDescent="0.2">
      <c r="A46" s="7" t="s">
        <v>47</v>
      </c>
      <c r="B46" s="17" t="str">
        <f>VLOOKUP(A46,[1]Sheet1!$A:$B,2,0)</f>
        <v>HP</v>
      </c>
      <c r="C46" s="47" t="s">
        <v>48</v>
      </c>
      <c r="D46" s="120" t="s">
        <v>49</v>
      </c>
      <c r="E46" s="17" t="s">
        <v>39</v>
      </c>
      <c r="F46" s="17"/>
      <c r="G46" s="17" t="s">
        <v>50</v>
      </c>
      <c r="H46" s="118">
        <v>2025</v>
      </c>
      <c r="I46" s="101">
        <v>3</v>
      </c>
      <c r="J46" s="106">
        <v>45661</v>
      </c>
      <c r="K46" s="59"/>
      <c r="L46" s="27">
        <v>28.18</v>
      </c>
      <c r="M46" s="27">
        <f>L46+N46</f>
        <v>28.37</v>
      </c>
      <c r="N46" s="27">
        <v>0.19</v>
      </c>
      <c r="O46" s="27">
        <f t="shared" ref="O46" si="59">K46*N46</f>
        <v>0</v>
      </c>
      <c r="P46" s="125">
        <v>1</v>
      </c>
      <c r="Q46" s="126">
        <f t="shared" ref="Q46" si="60">P46*L46</f>
        <v>28.18</v>
      </c>
      <c r="R46" s="28">
        <v>0</v>
      </c>
      <c r="S46" s="28">
        <f>R46+S47</f>
        <v>698616</v>
      </c>
      <c r="T46" s="27">
        <v>1330000</v>
      </c>
      <c r="U46" s="149">
        <f t="shared" si="56"/>
        <v>1197262.96</v>
      </c>
      <c r="V46" s="17" t="s">
        <v>51</v>
      </c>
      <c r="W46" s="101" t="s">
        <v>42</v>
      </c>
      <c r="X46" s="29">
        <v>51.35</v>
      </c>
      <c r="Y46" s="29" t="s">
        <v>52</v>
      </c>
      <c r="Z46" s="29" t="s">
        <v>53</v>
      </c>
      <c r="AA46" s="30">
        <v>2.1800000000000002</v>
      </c>
      <c r="AB46" s="40">
        <f t="shared" si="57"/>
        <v>0</v>
      </c>
      <c r="AC46" s="114">
        <f t="shared" ref="AC46" si="61">AA46*R46</f>
        <v>0</v>
      </c>
      <c r="AD46" s="28">
        <f t="shared" si="58"/>
        <v>0</v>
      </c>
      <c r="AE46" s="17"/>
    </row>
    <row r="47" spans="1:31" s="32" customFormat="1" x14ac:dyDescent="0.2">
      <c r="A47" s="7" t="s">
        <v>47</v>
      </c>
      <c r="B47" s="17" t="str">
        <f>VLOOKUP(A47,[1]Sheet1!$A:$B,2,0)</f>
        <v>HP</v>
      </c>
      <c r="C47" s="47" t="s">
        <v>48</v>
      </c>
      <c r="D47" s="120" t="s">
        <v>49</v>
      </c>
      <c r="E47" s="17" t="s">
        <v>39</v>
      </c>
      <c r="F47" s="17"/>
      <c r="G47" s="17" t="s">
        <v>50</v>
      </c>
      <c r="H47" s="37">
        <v>2024</v>
      </c>
      <c r="I47" s="131">
        <v>9</v>
      </c>
      <c r="J47" s="82">
        <v>45604</v>
      </c>
      <c r="K47" s="59"/>
      <c r="L47" s="27">
        <v>28.18</v>
      </c>
      <c r="M47" s="27">
        <f>L47+N47</f>
        <v>28.37</v>
      </c>
      <c r="N47" s="27">
        <v>0.19</v>
      </c>
      <c r="O47" s="27">
        <f t="shared" si="51"/>
        <v>0</v>
      </c>
      <c r="P47" s="125">
        <v>1</v>
      </c>
      <c r="Q47" s="126">
        <f t="shared" si="38"/>
        <v>28.18</v>
      </c>
      <c r="R47" s="28">
        <v>35424</v>
      </c>
      <c r="S47" s="28">
        <f>R47+S48</f>
        <v>698616</v>
      </c>
      <c r="T47" s="27">
        <v>1330000</v>
      </c>
      <c r="U47" s="40">
        <f t="shared" ref="U47:U73" si="62">T47-N47*S47</f>
        <v>1197262.96</v>
      </c>
      <c r="V47" s="17" t="s">
        <v>51</v>
      </c>
      <c r="W47" s="101" t="s">
        <v>42</v>
      </c>
      <c r="X47" s="29">
        <v>51.35</v>
      </c>
      <c r="Y47" s="29" t="s">
        <v>52</v>
      </c>
      <c r="Z47" s="29" t="s">
        <v>53</v>
      </c>
      <c r="AA47" s="30">
        <v>2.1800000000000002</v>
      </c>
      <c r="AB47" s="40">
        <f t="shared" si="47"/>
        <v>1004978.88</v>
      </c>
      <c r="AC47" s="114">
        <f t="shared" si="48"/>
        <v>77224.320000000007</v>
      </c>
      <c r="AD47" s="28">
        <f t="shared" ref="AD47:AD74" si="63">R47*X47/1000</f>
        <v>1819.0224000000001</v>
      </c>
      <c r="AE47" s="17"/>
    </row>
    <row r="48" spans="1:31" s="32" customFormat="1" x14ac:dyDescent="0.2">
      <c r="A48" s="7" t="s">
        <v>47</v>
      </c>
      <c r="B48" s="17" t="str">
        <f>VLOOKUP(A48,[1]Sheet1!$A:$B,2,0)</f>
        <v>HP</v>
      </c>
      <c r="C48" s="47" t="s">
        <v>48</v>
      </c>
      <c r="D48" s="120" t="s">
        <v>49</v>
      </c>
      <c r="E48" s="17" t="s">
        <v>39</v>
      </c>
      <c r="F48" s="17"/>
      <c r="G48" s="17" t="s">
        <v>50</v>
      </c>
      <c r="H48" s="37">
        <v>2022</v>
      </c>
      <c r="I48" s="131">
        <v>8</v>
      </c>
      <c r="J48" s="82">
        <v>45604</v>
      </c>
      <c r="K48" s="59"/>
      <c r="L48" s="27">
        <v>28.18</v>
      </c>
      <c r="M48" s="27">
        <f t="shared" ref="M48:M76" si="64">L48+N48</f>
        <v>28.37</v>
      </c>
      <c r="N48" s="27">
        <v>0.19</v>
      </c>
      <c r="O48" s="27">
        <f t="shared" si="51"/>
        <v>0</v>
      </c>
      <c r="P48" s="125">
        <v>1</v>
      </c>
      <c r="Q48" s="126">
        <f t="shared" si="38"/>
        <v>28.18</v>
      </c>
      <c r="R48" s="28">
        <v>33792</v>
      </c>
      <c r="S48" s="28">
        <f t="shared" ref="S48:S54" si="65">S49+R48</f>
        <v>663192</v>
      </c>
      <c r="T48" s="27">
        <v>1330000</v>
      </c>
      <c r="U48" s="40">
        <f t="shared" si="62"/>
        <v>1203993.52</v>
      </c>
      <c r="V48" s="17" t="s">
        <v>51</v>
      </c>
      <c r="W48" s="101" t="s">
        <v>42</v>
      </c>
      <c r="X48" s="29">
        <v>51.35</v>
      </c>
      <c r="Y48" s="29" t="s">
        <v>52</v>
      </c>
      <c r="Z48" s="29" t="s">
        <v>53</v>
      </c>
      <c r="AA48" s="30">
        <v>2.1800000000000002</v>
      </c>
      <c r="AB48" s="40">
        <f t="shared" si="47"/>
        <v>958679.04000000004</v>
      </c>
      <c r="AC48" s="114">
        <f t="shared" si="48"/>
        <v>73666.560000000012</v>
      </c>
      <c r="AD48" s="28">
        <f t="shared" si="63"/>
        <v>1735.2192</v>
      </c>
      <c r="AE48" s="17"/>
    </row>
    <row r="49" spans="1:31" s="32" customFormat="1" x14ac:dyDescent="0.2">
      <c r="A49" s="7" t="s">
        <v>47</v>
      </c>
      <c r="B49" s="17" t="str">
        <f>VLOOKUP(A49,[1]Sheet1!$A:$B,2,0)</f>
        <v>HP</v>
      </c>
      <c r="C49" s="47" t="s">
        <v>48</v>
      </c>
      <c r="D49" s="120" t="s">
        <v>49</v>
      </c>
      <c r="E49" s="17" t="s">
        <v>39</v>
      </c>
      <c r="F49" s="17"/>
      <c r="G49" s="17" t="s">
        <v>50</v>
      </c>
      <c r="H49" s="37">
        <v>2022</v>
      </c>
      <c r="I49" s="131">
        <v>7</v>
      </c>
      <c r="J49" s="82">
        <v>45604</v>
      </c>
      <c r="K49" s="59"/>
      <c r="L49" s="27">
        <v>28.18</v>
      </c>
      <c r="M49" s="27">
        <f t="shared" si="64"/>
        <v>28.37</v>
      </c>
      <c r="N49" s="27">
        <v>0.19</v>
      </c>
      <c r="O49" s="27">
        <f t="shared" si="51"/>
        <v>0</v>
      </c>
      <c r="P49" s="125">
        <v>1</v>
      </c>
      <c r="Q49" s="126">
        <f t="shared" si="38"/>
        <v>28.18</v>
      </c>
      <c r="R49" s="28">
        <v>0</v>
      </c>
      <c r="S49" s="28">
        <f t="shared" si="65"/>
        <v>629400</v>
      </c>
      <c r="T49" s="27">
        <v>1330000</v>
      </c>
      <c r="U49" s="40">
        <f t="shared" si="62"/>
        <v>1210414</v>
      </c>
      <c r="V49" s="17" t="s">
        <v>51</v>
      </c>
      <c r="W49" s="101" t="s">
        <v>42</v>
      </c>
      <c r="X49" s="29">
        <v>51.35</v>
      </c>
      <c r="Y49" s="29" t="s">
        <v>52</v>
      </c>
      <c r="Z49" s="29" t="s">
        <v>53</v>
      </c>
      <c r="AA49" s="30">
        <v>2.1800000000000002</v>
      </c>
      <c r="AB49" s="40">
        <f t="shared" si="47"/>
        <v>0</v>
      </c>
      <c r="AC49" s="114">
        <f t="shared" si="48"/>
        <v>0</v>
      </c>
      <c r="AD49" s="28">
        <f t="shared" si="63"/>
        <v>0</v>
      </c>
      <c r="AE49" s="17"/>
    </row>
    <row r="50" spans="1:31" s="32" customFormat="1" x14ac:dyDescent="0.2">
      <c r="A50" s="7" t="s">
        <v>47</v>
      </c>
      <c r="B50" s="17" t="str">
        <f>VLOOKUP(A50,[1]Sheet1!$A:$B,2,0)</f>
        <v>HP</v>
      </c>
      <c r="C50" s="47" t="s">
        <v>48</v>
      </c>
      <c r="D50" s="120" t="s">
        <v>49</v>
      </c>
      <c r="E50" s="17" t="s">
        <v>39</v>
      </c>
      <c r="F50" s="17"/>
      <c r="G50" s="17" t="s">
        <v>50</v>
      </c>
      <c r="H50" s="37">
        <v>2022</v>
      </c>
      <c r="I50" s="131">
        <v>6</v>
      </c>
      <c r="J50" s="82">
        <v>45604</v>
      </c>
      <c r="K50" s="59"/>
      <c r="L50" s="27">
        <v>28.18</v>
      </c>
      <c r="M50" s="27">
        <f t="shared" si="64"/>
        <v>28.37</v>
      </c>
      <c r="N50" s="27">
        <v>0.19</v>
      </c>
      <c r="O50" s="27">
        <f t="shared" si="51"/>
        <v>0</v>
      </c>
      <c r="P50" s="125">
        <v>1</v>
      </c>
      <c r="Q50" s="126">
        <f t="shared" si="38"/>
        <v>28.18</v>
      </c>
      <c r="R50" s="28">
        <v>203712</v>
      </c>
      <c r="S50" s="28">
        <f t="shared" si="65"/>
        <v>629400</v>
      </c>
      <c r="T50" s="27">
        <v>1330000</v>
      </c>
      <c r="U50" s="40">
        <f t="shared" si="62"/>
        <v>1210414</v>
      </c>
      <c r="V50" s="17" t="s">
        <v>51</v>
      </c>
      <c r="W50" s="101" t="s">
        <v>42</v>
      </c>
      <c r="X50" s="29">
        <v>51.35</v>
      </c>
      <c r="Y50" s="29" t="s">
        <v>52</v>
      </c>
      <c r="Z50" s="29" t="s">
        <v>53</v>
      </c>
      <c r="AA50" s="30">
        <v>2.1800000000000002</v>
      </c>
      <c r="AB50" s="40">
        <f t="shared" si="47"/>
        <v>5779309.4400000004</v>
      </c>
      <c r="AC50" s="114">
        <f t="shared" si="48"/>
        <v>444092.16000000003</v>
      </c>
      <c r="AD50" s="28">
        <f t="shared" si="63"/>
        <v>10460.611200000001</v>
      </c>
      <c r="AE50" s="17"/>
    </row>
    <row r="51" spans="1:31" s="32" customFormat="1" x14ac:dyDescent="0.2">
      <c r="A51" s="7" t="s">
        <v>47</v>
      </c>
      <c r="B51" s="17" t="str">
        <f>VLOOKUP(A51,[1]Sheet1!$A:$B,2,0)</f>
        <v>HP</v>
      </c>
      <c r="C51" s="47" t="s">
        <v>48</v>
      </c>
      <c r="D51" s="120" t="s">
        <v>49</v>
      </c>
      <c r="E51" s="17" t="s">
        <v>39</v>
      </c>
      <c r="F51" s="17"/>
      <c r="G51" s="17" t="s">
        <v>50</v>
      </c>
      <c r="H51" s="37">
        <v>2022</v>
      </c>
      <c r="I51" s="131">
        <v>5</v>
      </c>
      <c r="J51" s="82">
        <v>45604</v>
      </c>
      <c r="K51" s="59"/>
      <c r="L51" s="27">
        <v>28.18</v>
      </c>
      <c r="M51" s="27">
        <f t="shared" si="64"/>
        <v>28.37</v>
      </c>
      <c r="N51" s="27">
        <v>0.19</v>
      </c>
      <c r="O51" s="27">
        <f t="shared" si="51"/>
        <v>0</v>
      </c>
      <c r="P51" s="125">
        <v>1</v>
      </c>
      <c r="Q51" s="126">
        <f t="shared" si="38"/>
        <v>28.18</v>
      </c>
      <c r="R51" s="28">
        <v>145340</v>
      </c>
      <c r="S51" s="28">
        <f t="shared" si="65"/>
        <v>425688</v>
      </c>
      <c r="T51" s="27">
        <v>1330000</v>
      </c>
      <c r="U51" s="40">
        <f t="shared" si="62"/>
        <v>1249119.28</v>
      </c>
      <c r="V51" s="17" t="s">
        <v>51</v>
      </c>
      <c r="W51" s="101" t="s">
        <v>42</v>
      </c>
      <c r="X51" s="29">
        <v>51.35</v>
      </c>
      <c r="Y51" s="29" t="s">
        <v>52</v>
      </c>
      <c r="Z51" s="29" t="s">
        <v>53</v>
      </c>
      <c r="AA51" s="30">
        <v>2.1800000000000002</v>
      </c>
      <c r="AB51" s="40">
        <f t="shared" si="47"/>
        <v>4123295.8000000003</v>
      </c>
      <c r="AC51" s="114">
        <f t="shared" si="48"/>
        <v>316841.2</v>
      </c>
      <c r="AD51" s="28">
        <f t="shared" si="63"/>
        <v>7463.2089999999998</v>
      </c>
      <c r="AE51" s="17"/>
    </row>
    <row r="52" spans="1:31" s="32" customFormat="1" x14ac:dyDescent="0.2">
      <c r="A52" s="7" t="s">
        <v>47</v>
      </c>
      <c r="B52" s="17" t="str">
        <f>VLOOKUP(A52,[1]Sheet1!$A:$B,2,0)</f>
        <v>HP</v>
      </c>
      <c r="C52" s="47" t="s">
        <v>48</v>
      </c>
      <c r="D52" s="120" t="s">
        <v>49</v>
      </c>
      <c r="E52" s="17" t="s">
        <v>39</v>
      </c>
      <c r="F52" s="17"/>
      <c r="G52" s="17" t="s">
        <v>50</v>
      </c>
      <c r="H52" s="37">
        <v>2022</v>
      </c>
      <c r="I52" s="131">
        <v>4</v>
      </c>
      <c r="J52" s="82">
        <v>45604</v>
      </c>
      <c r="K52" s="59"/>
      <c r="L52" s="27">
        <v>28.18</v>
      </c>
      <c r="M52" s="27">
        <f t="shared" si="64"/>
        <v>28.37</v>
      </c>
      <c r="N52" s="27">
        <v>0.19</v>
      </c>
      <c r="O52" s="27">
        <f t="shared" si="51"/>
        <v>0</v>
      </c>
      <c r="P52" s="125">
        <v>1</v>
      </c>
      <c r="Q52" s="126">
        <f t="shared" si="38"/>
        <v>28.18</v>
      </c>
      <c r="R52" s="28">
        <v>19008</v>
      </c>
      <c r="S52" s="28">
        <f t="shared" si="65"/>
        <v>280348</v>
      </c>
      <c r="T52" s="27">
        <v>1330000</v>
      </c>
      <c r="U52" s="40">
        <f t="shared" si="62"/>
        <v>1276733.8799999999</v>
      </c>
      <c r="V52" s="17" t="s">
        <v>51</v>
      </c>
      <c r="W52" s="101" t="s">
        <v>42</v>
      </c>
      <c r="X52" s="29">
        <v>51.35</v>
      </c>
      <c r="Y52" s="29" t="s">
        <v>52</v>
      </c>
      <c r="Z52" s="29" t="s">
        <v>53</v>
      </c>
      <c r="AA52" s="30">
        <v>2.1800000000000002</v>
      </c>
      <c r="AB52" s="40">
        <f t="shared" si="47"/>
        <v>539256.96</v>
      </c>
      <c r="AC52" s="114">
        <f t="shared" si="48"/>
        <v>41437.440000000002</v>
      </c>
      <c r="AD52" s="28">
        <f t="shared" si="63"/>
        <v>976.06080000000009</v>
      </c>
      <c r="AE52" s="17"/>
    </row>
    <row r="53" spans="1:31" s="32" customFormat="1" x14ac:dyDescent="0.2">
      <c r="A53" s="7" t="s">
        <v>47</v>
      </c>
      <c r="B53" s="17" t="str">
        <f>VLOOKUP(A53,[1]Sheet1!$A:$B,2,0)</f>
        <v>HP</v>
      </c>
      <c r="C53" s="47" t="s">
        <v>48</v>
      </c>
      <c r="D53" s="120" t="s">
        <v>49</v>
      </c>
      <c r="E53" s="17" t="s">
        <v>39</v>
      </c>
      <c r="F53" s="17"/>
      <c r="G53" s="17" t="s">
        <v>50</v>
      </c>
      <c r="H53" s="37">
        <v>2022</v>
      </c>
      <c r="I53" s="131">
        <v>3</v>
      </c>
      <c r="J53" s="82">
        <v>45604</v>
      </c>
      <c r="K53" s="59"/>
      <c r="L53" s="27">
        <v>28.18</v>
      </c>
      <c r="M53" s="27">
        <f t="shared" si="64"/>
        <v>28.37</v>
      </c>
      <c r="N53" s="27">
        <v>0.19</v>
      </c>
      <c r="O53" s="27">
        <f t="shared" si="51"/>
        <v>0</v>
      </c>
      <c r="P53" s="125">
        <v>1</v>
      </c>
      <c r="Q53" s="126">
        <f t="shared" si="38"/>
        <v>28.18</v>
      </c>
      <c r="R53" s="28">
        <v>139970</v>
      </c>
      <c r="S53" s="28">
        <f t="shared" si="65"/>
        <v>261340</v>
      </c>
      <c r="T53" s="27">
        <v>1330000</v>
      </c>
      <c r="U53" s="40">
        <f t="shared" si="62"/>
        <v>1280345.3999999999</v>
      </c>
      <c r="V53" s="17" t="s">
        <v>51</v>
      </c>
      <c r="W53" s="101" t="s">
        <v>42</v>
      </c>
      <c r="X53" s="29">
        <v>51.35</v>
      </c>
      <c r="Y53" s="29" t="s">
        <v>52</v>
      </c>
      <c r="Z53" s="29" t="s">
        <v>53</v>
      </c>
      <c r="AA53" s="30">
        <v>2.1800000000000002</v>
      </c>
      <c r="AB53" s="40">
        <f t="shared" si="47"/>
        <v>3970948.9</v>
      </c>
      <c r="AC53" s="114">
        <f t="shared" si="48"/>
        <v>305134.60000000003</v>
      </c>
      <c r="AD53" s="28">
        <f t="shared" si="63"/>
        <v>7187.4594999999999</v>
      </c>
      <c r="AE53" s="17"/>
    </row>
    <row r="54" spans="1:31" s="32" customFormat="1" x14ac:dyDescent="0.2">
      <c r="A54" s="7" t="s">
        <v>47</v>
      </c>
      <c r="B54" s="17" t="str">
        <f>VLOOKUP(A54,[1]Sheet1!$A:$B,2,0)</f>
        <v>HP</v>
      </c>
      <c r="C54" s="47" t="s">
        <v>48</v>
      </c>
      <c r="D54" s="120" t="s">
        <v>49</v>
      </c>
      <c r="E54" s="17" t="s">
        <v>39</v>
      </c>
      <c r="F54" s="17"/>
      <c r="G54" s="17" t="s">
        <v>50</v>
      </c>
      <c r="H54" s="37">
        <v>2022</v>
      </c>
      <c r="I54" s="131">
        <v>2</v>
      </c>
      <c r="J54" s="82">
        <v>45604</v>
      </c>
      <c r="K54" s="59"/>
      <c r="L54" s="27">
        <v>28.18</v>
      </c>
      <c r="M54" s="27">
        <f t="shared" si="64"/>
        <v>28.37</v>
      </c>
      <c r="N54" s="27">
        <v>0.19</v>
      </c>
      <c r="O54" s="27">
        <f t="shared" si="51"/>
        <v>0</v>
      </c>
      <c r="P54" s="125">
        <v>1</v>
      </c>
      <c r="Q54" s="126">
        <f t="shared" si="38"/>
        <v>28.18</v>
      </c>
      <c r="R54" s="28">
        <v>120470</v>
      </c>
      <c r="S54" s="28">
        <f t="shared" si="65"/>
        <v>121370</v>
      </c>
      <c r="T54" s="27">
        <v>1330000</v>
      </c>
      <c r="U54" s="40">
        <f t="shared" si="62"/>
        <v>1306939.7</v>
      </c>
      <c r="V54" s="17" t="s">
        <v>51</v>
      </c>
      <c r="W54" s="101" t="s">
        <v>42</v>
      </c>
      <c r="X54" s="29">
        <v>51.35</v>
      </c>
      <c r="Y54" s="29" t="s">
        <v>52</v>
      </c>
      <c r="Z54" s="29" t="s">
        <v>53</v>
      </c>
      <c r="AA54" s="30">
        <v>2.1800000000000002</v>
      </c>
      <c r="AB54" s="40">
        <f t="shared" si="47"/>
        <v>3417733.9</v>
      </c>
      <c r="AC54" s="114">
        <f t="shared" si="48"/>
        <v>262624.60000000003</v>
      </c>
      <c r="AD54" s="28">
        <f t="shared" si="63"/>
        <v>6186.1345000000001</v>
      </c>
      <c r="AE54" s="17"/>
    </row>
    <row r="55" spans="1:31" s="32" customFormat="1" x14ac:dyDescent="0.2">
      <c r="A55" s="7" t="s">
        <v>47</v>
      </c>
      <c r="B55" s="17" t="str">
        <f>VLOOKUP(A55,[1]Sheet1!$A:$B,2,0)</f>
        <v>HP</v>
      </c>
      <c r="C55" s="47" t="s">
        <v>48</v>
      </c>
      <c r="D55" s="120" t="s">
        <v>49</v>
      </c>
      <c r="E55" s="17" t="s">
        <v>39</v>
      </c>
      <c r="F55" s="17"/>
      <c r="G55" s="17" t="s">
        <v>50</v>
      </c>
      <c r="H55" s="37">
        <v>2022</v>
      </c>
      <c r="I55" s="131">
        <v>1</v>
      </c>
      <c r="J55" s="82">
        <v>45604</v>
      </c>
      <c r="K55" s="59"/>
      <c r="L55" s="27">
        <v>28.18</v>
      </c>
      <c r="M55" s="27">
        <f t="shared" si="64"/>
        <v>28.37</v>
      </c>
      <c r="N55" s="27">
        <v>0.19</v>
      </c>
      <c r="O55" s="27">
        <f t="shared" si="51"/>
        <v>0</v>
      </c>
      <c r="P55" s="125">
        <v>1</v>
      </c>
      <c r="Q55" s="126">
        <f t="shared" si="38"/>
        <v>28.18</v>
      </c>
      <c r="R55" s="28">
        <v>900</v>
      </c>
      <c r="S55" s="28">
        <f>R55</f>
        <v>900</v>
      </c>
      <c r="T55" s="27">
        <v>1330000</v>
      </c>
      <c r="U55" s="40">
        <f t="shared" si="62"/>
        <v>1329829</v>
      </c>
      <c r="V55" s="17" t="s">
        <v>51</v>
      </c>
      <c r="W55" s="101" t="s">
        <v>42</v>
      </c>
      <c r="X55" s="29">
        <v>51.35</v>
      </c>
      <c r="Y55" s="29" t="s">
        <v>52</v>
      </c>
      <c r="Z55" s="29" t="s">
        <v>53</v>
      </c>
      <c r="AA55" s="30">
        <v>2.1800000000000002</v>
      </c>
      <c r="AB55" s="40">
        <f t="shared" si="47"/>
        <v>25533</v>
      </c>
      <c r="AC55" s="114">
        <f t="shared" si="48"/>
        <v>1962.0000000000002</v>
      </c>
      <c r="AD55" s="28">
        <f t="shared" si="63"/>
        <v>46.215000000000003</v>
      </c>
      <c r="AE55" s="17"/>
    </row>
    <row r="56" spans="1:31" s="32" customFormat="1" x14ac:dyDescent="0.2">
      <c r="A56" s="7" t="s">
        <v>54</v>
      </c>
      <c r="B56" s="17" t="str">
        <f>VLOOKUP(A56,[1]Sheet1!$A:$B,2,0)</f>
        <v>HP</v>
      </c>
      <c r="C56" s="47" t="s">
        <v>55</v>
      </c>
      <c r="D56" s="7" t="s">
        <v>56</v>
      </c>
      <c r="E56" s="17" t="s">
        <v>39</v>
      </c>
      <c r="F56" s="17"/>
      <c r="G56" s="17" t="s">
        <v>50</v>
      </c>
      <c r="H56" s="118">
        <v>2025</v>
      </c>
      <c r="I56" s="101">
        <v>3</v>
      </c>
      <c r="J56" s="106">
        <v>45661</v>
      </c>
      <c r="K56" s="59"/>
      <c r="L56" s="27">
        <v>19.36</v>
      </c>
      <c r="M56" s="27">
        <f t="shared" ref="M56" si="66">L56+N56</f>
        <v>19.567999999999998</v>
      </c>
      <c r="N56" s="27">
        <v>0.20799999999999999</v>
      </c>
      <c r="O56" s="27">
        <f t="shared" ref="O56:O57" si="67">K56*N56</f>
        <v>0</v>
      </c>
      <c r="P56" s="125">
        <v>1</v>
      </c>
      <c r="Q56" s="126">
        <f t="shared" ref="Q56:Q57" si="68">P56*L56</f>
        <v>19.36</v>
      </c>
      <c r="R56" s="28">
        <v>0</v>
      </c>
      <c r="S56" s="28">
        <f>R56+S58</f>
        <v>868307</v>
      </c>
      <c r="T56" s="27">
        <v>1248000</v>
      </c>
      <c r="U56" s="149">
        <f>T56-N56*S56-84026.74</f>
        <v>983365.4040000001</v>
      </c>
      <c r="V56" s="17" t="s">
        <v>51</v>
      </c>
      <c r="W56" s="101" t="s">
        <v>42</v>
      </c>
      <c r="X56" s="29">
        <v>36</v>
      </c>
      <c r="Y56" s="29" t="s">
        <v>52</v>
      </c>
      <c r="Z56" s="29" t="s">
        <v>53</v>
      </c>
      <c r="AA56" s="30">
        <v>1.4</v>
      </c>
      <c r="AB56" s="40">
        <f t="shared" ref="AB56:AB57" si="69">M56*R56</f>
        <v>0</v>
      </c>
      <c r="AC56" s="114">
        <f t="shared" ref="AC56:AC57" si="70">AA56*R56</f>
        <v>0</v>
      </c>
      <c r="AD56" s="28">
        <f t="shared" ref="AD56:AD57" si="71">R56*X56/1000</f>
        <v>0</v>
      </c>
      <c r="AE56" s="17"/>
    </row>
    <row r="57" spans="1:31" s="32" customFormat="1" x14ac:dyDescent="0.2">
      <c r="A57" s="7" t="s">
        <v>54</v>
      </c>
      <c r="B57" s="17" t="str">
        <f>VLOOKUP(A57,[1]Sheet1!$A:$B,2,0)</f>
        <v>HP</v>
      </c>
      <c r="C57" s="47" t="s">
        <v>57</v>
      </c>
      <c r="D57" s="7" t="s">
        <v>58</v>
      </c>
      <c r="E57" s="17" t="s">
        <v>39</v>
      </c>
      <c r="F57" s="17"/>
      <c r="G57" s="17" t="s">
        <v>50</v>
      </c>
      <c r="H57" s="118">
        <v>2025</v>
      </c>
      <c r="I57" s="101">
        <v>3</v>
      </c>
      <c r="J57" s="106">
        <v>45661</v>
      </c>
      <c r="K57" s="59"/>
      <c r="L57" s="27">
        <v>6.85</v>
      </c>
      <c r="M57" s="27">
        <f>L57+N57</f>
        <v>6.93</v>
      </c>
      <c r="N57" s="27">
        <v>0.08</v>
      </c>
      <c r="O57" s="27">
        <f t="shared" si="67"/>
        <v>0</v>
      </c>
      <c r="P57" s="125">
        <v>1</v>
      </c>
      <c r="Q57" s="126">
        <f t="shared" si="68"/>
        <v>6.85</v>
      </c>
      <c r="R57" s="28">
        <v>0</v>
      </c>
      <c r="S57" s="28">
        <f>R57+S59</f>
        <v>871822</v>
      </c>
      <c r="T57" s="27">
        <v>480000</v>
      </c>
      <c r="U57" s="149">
        <f t="shared" ref="U57" si="72">T57-N57*S57</f>
        <v>410254.24</v>
      </c>
      <c r="V57" s="17" t="s">
        <v>51</v>
      </c>
      <c r="W57" s="101" t="s">
        <v>42</v>
      </c>
      <c r="X57" s="29">
        <v>12</v>
      </c>
      <c r="Y57" s="29" t="s">
        <v>52</v>
      </c>
      <c r="Z57" s="29" t="s">
        <v>53</v>
      </c>
      <c r="AA57" s="30">
        <v>0.6</v>
      </c>
      <c r="AB57" s="40">
        <f t="shared" si="69"/>
        <v>0</v>
      </c>
      <c r="AC57" s="114">
        <f t="shared" si="70"/>
        <v>0</v>
      </c>
      <c r="AD57" s="28">
        <f t="shared" si="71"/>
        <v>0</v>
      </c>
      <c r="AE57" s="17"/>
    </row>
    <row r="58" spans="1:31" s="32" customFormat="1" x14ac:dyDescent="0.2">
      <c r="A58" s="7" t="s">
        <v>54</v>
      </c>
      <c r="B58" s="17" t="str">
        <f>VLOOKUP(A58,[1]Sheet1!$A:$B,2,0)</f>
        <v>HP</v>
      </c>
      <c r="C58" s="47" t="s">
        <v>55</v>
      </c>
      <c r="D58" s="7" t="s">
        <v>56</v>
      </c>
      <c r="E58" s="17" t="s">
        <v>39</v>
      </c>
      <c r="F58" s="17"/>
      <c r="G58" s="17" t="s">
        <v>50</v>
      </c>
      <c r="H58" s="37">
        <v>2023</v>
      </c>
      <c r="I58" s="131">
        <v>6</v>
      </c>
      <c r="J58" s="82">
        <v>45604</v>
      </c>
      <c r="K58" s="59"/>
      <c r="L58" s="27">
        <v>19.36</v>
      </c>
      <c r="M58" s="27">
        <f t="shared" si="64"/>
        <v>19.567999999999998</v>
      </c>
      <c r="N58" s="27">
        <v>0.20799999999999999</v>
      </c>
      <c r="O58" s="27">
        <f t="shared" si="51"/>
        <v>0</v>
      </c>
      <c r="P58" s="125">
        <v>1</v>
      </c>
      <c r="Q58" s="126">
        <f t="shared" si="38"/>
        <v>19.36</v>
      </c>
      <c r="R58" s="28">
        <v>56305</v>
      </c>
      <c r="S58" s="28">
        <f>R58+S60</f>
        <v>868307</v>
      </c>
      <c r="T58" s="27">
        <v>1248000</v>
      </c>
      <c r="U58" s="40">
        <f>T58-N58*S58-84026.74</f>
        <v>983365.4040000001</v>
      </c>
      <c r="V58" s="17" t="s">
        <v>51</v>
      </c>
      <c r="W58" s="101" t="s">
        <v>42</v>
      </c>
      <c r="X58" s="29">
        <v>36</v>
      </c>
      <c r="Y58" s="29" t="s">
        <v>52</v>
      </c>
      <c r="Z58" s="29" t="s">
        <v>53</v>
      </c>
      <c r="AA58" s="30">
        <v>1.4</v>
      </c>
      <c r="AB58" s="40">
        <f t="shared" si="47"/>
        <v>1101776.24</v>
      </c>
      <c r="AC58" s="114">
        <f t="shared" si="48"/>
        <v>78827</v>
      </c>
      <c r="AD58" s="28">
        <f t="shared" si="63"/>
        <v>2026.98</v>
      </c>
      <c r="AE58" s="17"/>
    </row>
    <row r="59" spans="1:31" s="32" customFormat="1" x14ac:dyDescent="0.2">
      <c r="A59" s="7" t="s">
        <v>54</v>
      </c>
      <c r="B59" s="17" t="str">
        <f>VLOOKUP(A59,[1]Sheet1!$A:$B,2,0)</f>
        <v>HP</v>
      </c>
      <c r="C59" s="47" t="s">
        <v>57</v>
      </c>
      <c r="D59" s="7" t="s">
        <v>58</v>
      </c>
      <c r="E59" s="17" t="s">
        <v>39</v>
      </c>
      <c r="F59" s="17"/>
      <c r="G59" s="17" t="s">
        <v>50</v>
      </c>
      <c r="H59" s="37">
        <v>2023</v>
      </c>
      <c r="I59" s="131">
        <v>6</v>
      </c>
      <c r="J59" s="82">
        <v>45604</v>
      </c>
      <c r="K59" s="59"/>
      <c r="L59" s="27">
        <v>6.85</v>
      </c>
      <c r="M59" s="27">
        <f>L59+N59</f>
        <v>6.93</v>
      </c>
      <c r="N59" s="27">
        <v>0.08</v>
      </c>
      <c r="O59" s="27">
        <f t="shared" si="51"/>
        <v>0</v>
      </c>
      <c r="P59" s="125">
        <v>1</v>
      </c>
      <c r="Q59" s="126">
        <f t="shared" si="38"/>
        <v>6.85</v>
      </c>
      <c r="R59" s="28">
        <v>32004</v>
      </c>
      <c r="S59" s="28">
        <f>R59+S61</f>
        <v>871822</v>
      </c>
      <c r="T59" s="27">
        <v>480000</v>
      </c>
      <c r="U59" s="40">
        <f t="shared" si="62"/>
        <v>410254.24</v>
      </c>
      <c r="V59" s="17" t="s">
        <v>51</v>
      </c>
      <c r="W59" s="101" t="s">
        <v>42</v>
      </c>
      <c r="X59" s="29">
        <v>12</v>
      </c>
      <c r="Y59" s="29" t="s">
        <v>52</v>
      </c>
      <c r="Z59" s="29" t="s">
        <v>53</v>
      </c>
      <c r="AA59" s="30">
        <v>0.6</v>
      </c>
      <c r="AB59" s="40">
        <f t="shared" si="47"/>
        <v>221787.72</v>
      </c>
      <c r="AC59" s="114">
        <f t="shared" si="48"/>
        <v>19202.399999999998</v>
      </c>
      <c r="AD59" s="28">
        <f t="shared" si="63"/>
        <v>384.048</v>
      </c>
      <c r="AE59" s="17"/>
    </row>
    <row r="60" spans="1:31" s="32" customFormat="1" x14ac:dyDescent="0.2">
      <c r="A60" s="7" t="s">
        <v>54</v>
      </c>
      <c r="B60" s="17" t="str">
        <f>VLOOKUP(A60,[1]Sheet1!$A:$B,2,0)</f>
        <v>HP</v>
      </c>
      <c r="C60" s="47" t="s">
        <v>55</v>
      </c>
      <c r="D60" s="7" t="s">
        <v>56</v>
      </c>
      <c r="E60" s="17" t="s">
        <v>39</v>
      </c>
      <c r="F60" s="17"/>
      <c r="G60" s="17" t="s">
        <v>50</v>
      </c>
      <c r="H60" s="37">
        <v>2023</v>
      </c>
      <c r="I60" s="131">
        <v>6</v>
      </c>
      <c r="J60" s="82">
        <v>45604</v>
      </c>
      <c r="K60" s="59"/>
      <c r="L60" s="27">
        <v>19.36</v>
      </c>
      <c r="M60" s="27">
        <f t="shared" si="64"/>
        <v>19.567999999999998</v>
      </c>
      <c r="N60" s="27">
        <v>0.20799999999999999</v>
      </c>
      <c r="O60" s="27">
        <f t="shared" si="51"/>
        <v>0</v>
      </c>
      <c r="P60" s="125">
        <v>1</v>
      </c>
      <c r="Q60" s="126">
        <f t="shared" si="38"/>
        <v>19.36</v>
      </c>
      <c r="R60" s="28">
        <v>60802</v>
      </c>
      <c r="S60" s="28">
        <f>R60+S62</f>
        <v>812002</v>
      </c>
      <c r="T60" s="27">
        <v>1248000</v>
      </c>
      <c r="U60" s="40">
        <f t="shared" si="62"/>
        <v>1079103.584</v>
      </c>
      <c r="V60" s="17" t="s">
        <v>51</v>
      </c>
      <c r="W60" s="101" t="s">
        <v>42</v>
      </c>
      <c r="X60" s="29">
        <v>36</v>
      </c>
      <c r="Y60" s="29" t="s">
        <v>52</v>
      </c>
      <c r="Z60" s="29" t="s">
        <v>53</v>
      </c>
      <c r="AA60" s="30">
        <v>1.4</v>
      </c>
      <c r="AB60" s="40">
        <f t="shared" si="47"/>
        <v>1189773.5359999998</v>
      </c>
      <c r="AC60" s="114">
        <f t="shared" si="48"/>
        <v>85122.799999999988</v>
      </c>
      <c r="AD60" s="28">
        <f t="shared" si="63"/>
        <v>2188.8719999999998</v>
      </c>
      <c r="AE60" s="17"/>
    </row>
    <row r="61" spans="1:31" s="32" customFormat="1" x14ac:dyDescent="0.2">
      <c r="A61" s="7" t="s">
        <v>54</v>
      </c>
      <c r="B61" s="17" t="str">
        <f>VLOOKUP(A61,[1]Sheet1!$A:$B,2,0)</f>
        <v>HP</v>
      </c>
      <c r="C61" s="47" t="s">
        <v>57</v>
      </c>
      <c r="D61" s="7" t="s">
        <v>58</v>
      </c>
      <c r="E61" s="17" t="s">
        <v>39</v>
      </c>
      <c r="F61" s="17"/>
      <c r="G61" s="17" t="s">
        <v>50</v>
      </c>
      <c r="H61" s="37">
        <v>2023</v>
      </c>
      <c r="I61" s="131">
        <v>6</v>
      </c>
      <c r="J61" s="82">
        <v>45604</v>
      </c>
      <c r="K61" s="59"/>
      <c r="L61" s="27">
        <v>6.85</v>
      </c>
      <c r="M61" s="27">
        <f>L61+N61</f>
        <v>6.93</v>
      </c>
      <c r="N61" s="27">
        <v>0.08</v>
      </c>
      <c r="O61" s="27">
        <f t="shared" ref="O61:O92" si="73">K61*N61</f>
        <v>0</v>
      </c>
      <c r="P61" s="125">
        <v>1</v>
      </c>
      <c r="Q61" s="126">
        <f t="shared" si="38"/>
        <v>6.85</v>
      </c>
      <c r="R61" s="28">
        <v>83768</v>
      </c>
      <c r="S61" s="28">
        <f>S63+R61</f>
        <v>839818</v>
      </c>
      <c r="T61" s="27">
        <v>480000</v>
      </c>
      <c r="U61" s="40">
        <f t="shared" si="62"/>
        <v>412814.56</v>
      </c>
      <c r="V61" s="17" t="s">
        <v>51</v>
      </c>
      <c r="W61" s="101" t="s">
        <v>42</v>
      </c>
      <c r="X61" s="29">
        <v>12</v>
      </c>
      <c r="Y61" s="29" t="s">
        <v>52</v>
      </c>
      <c r="Z61" s="29" t="s">
        <v>53</v>
      </c>
      <c r="AA61" s="30">
        <v>0.6</v>
      </c>
      <c r="AB61" s="40">
        <f t="shared" si="47"/>
        <v>580512.24</v>
      </c>
      <c r="AC61" s="114">
        <f t="shared" si="48"/>
        <v>50260.799999999996</v>
      </c>
      <c r="AD61" s="28">
        <f t="shared" si="63"/>
        <v>1005.216</v>
      </c>
      <c r="AE61" s="17"/>
    </row>
    <row r="62" spans="1:31" s="32" customFormat="1" x14ac:dyDescent="0.2">
      <c r="A62" s="7" t="s">
        <v>54</v>
      </c>
      <c r="B62" s="17" t="str">
        <f>VLOOKUP(A62,[1]Sheet1!$A:$B,2,0)</f>
        <v>HP</v>
      </c>
      <c r="C62" s="47" t="s">
        <v>55</v>
      </c>
      <c r="D62" s="7" t="s">
        <v>56</v>
      </c>
      <c r="E62" s="17" t="s">
        <v>39</v>
      </c>
      <c r="F62" s="17"/>
      <c r="G62" s="17" t="s">
        <v>50</v>
      </c>
      <c r="H62" s="37">
        <v>2023</v>
      </c>
      <c r="I62" s="131">
        <v>5</v>
      </c>
      <c r="J62" s="82">
        <v>45604</v>
      </c>
      <c r="K62" s="59"/>
      <c r="L62" s="27">
        <v>19.36</v>
      </c>
      <c r="M62" s="27">
        <f t="shared" si="64"/>
        <v>19.567999999999998</v>
      </c>
      <c r="N62" s="27">
        <v>0.20799999999999999</v>
      </c>
      <c r="O62" s="27">
        <f t="shared" si="73"/>
        <v>0</v>
      </c>
      <c r="P62" s="125">
        <v>1</v>
      </c>
      <c r="Q62" s="126">
        <f t="shared" si="38"/>
        <v>19.36</v>
      </c>
      <c r="R62" s="28">
        <v>94480</v>
      </c>
      <c r="S62" s="28">
        <f>R62+S64</f>
        <v>751200</v>
      </c>
      <c r="T62" s="27">
        <v>1248000</v>
      </c>
      <c r="U62" s="40">
        <f t="shared" si="62"/>
        <v>1091750.3999999999</v>
      </c>
      <c r="V62" s="17" t="s">
        <v>51</v>
      </c>
      <c r="W62" s="101" t="s">
        <v>42</v>
      </c>
      <c r="X62" s="29">
        <v>36</v>
      </c>
      <c r="Y62" s="29" t="s">
        <v>52</v>
      </c>
      <c r="Z62" s="29" t="s">
        <v>53</v>
      </c>
      <c r="AA62" s="30">
        <v>1.4</v>
      </c>
      <c r="AB62" s="40">
        <f t="shared" si="47"/>
        <v>1848784.64</v>
      </c>
      <c r="AC62" s="114">
        <f t="shared" si="48"/>
        <v>132272</v>
      </c>
      <c r="AD62" s="28">
        <f t="shared" si="63"/>
        <v>3401.28</v>
      </c>
      <c r="AE62" s="17"/>
    </row>
    <row r="63" spans="1:31" s="32" customFormat="1" x14ac:dyDescent="0.2">
      <c r="A63" s="7" t="s">
        <v>54</v>
      </c>
      <c r="B63" s="17" t="str">
        <f>VLOOKUP(A63,[1]Sheet1!$A:$B,2,0)</f>
        <v>HP</v>
      </c>
      <c r="C63" s="47" t="s">
        <v>57</v>
      </c>
      <c r="D63" s="7" t="s">
        <v>58</v>
      </c>
      <c r="E63" s="17" t="s">
        <v>39</v>
      </c>
      <c r="F63" s="17"/>
      <c r="G63" s="17" t="s">
        <v>50</v>
      </c>
      <c r="H63" s="37">
        <v>2023</v>
      </c>
      <c r="I63" s="131">
        <v>5</v>
      </c>
      <c r="J63" s="82">
        <v>45604</v>
      </c>
      <c r="K63" s="59"/>
      <c r="L63" s="27">
        <v>6.85</v>
      </c>
      <c r="M63" s="27">
        <f>L63+N63</f>
        <v>6.93</v>
      </c>
      <c r="N63" s="27">
        <v>0.08</v>
      </c>
      <c r="O63" s="27">
        <f t="shared" si="73"/>
        <v>0</v>
      </c>
      <c r="P63" s="125">
        <v>1</v>
      </c>
      <c r="Q63" s="126">
        <f t="shared" si="38"/>
        <v>6.85</v>
      </c>
      <c r="R63" s="28">
        <v>93210</v>
      </c>
      <c r="S63" s="28">
        <f>R63+S65</f>
        <v>756050</v>
      </c>
      <c r="T63" s="27">
        <v>480000</v>
      </c>
      <c r="U63" s="40">
        <f t="shared" si="62"/>
        <v>419516</v>
      </c>
      <c r="V63" s="17" t="s">
        <v>51</v>
      </c>
      <c r="W63" s="101" t="s">
        <v>42</v>
      </c>
      <c r="X63" s="29">
        <v>12</v>
      </c>
      <c r="Y63" s="29" t="s">
        <v>52</v>
      </c>
      <c r="Z63" s="29" t="s">
        <v>53</v>
      </c>
      <c r="AA63" s="30">
        <v>0.6</v>
      </c>
      <c r="AB63" s="40">
        <f t="shared" si="47"/>
        <v>645945.29999999993</v>
      </c>
      <c r="AC63" s="114">
        <f t="shared" si="48"/>
        <v>55926</v>
      </c>
      <c r="AD63" s="28">
        <f t="shared" si="63"/>
        <v>1118.52</v>
      </c>
      <c r="AE63" s="17"/>
    </row>
    <row r="64" spans="1:31" s="32" customFormat="1" x14ac:dyDescent="0.2">
      <c r="A64" s="7" t="s">
        <v>54</v>
      </c>
      <c r="B64" s="17" t="str">
        <f>VLOOKUP(A64,[1]Sheet1!$A:$B,2,0)</f>
        <v>HP</v>
      </c>
      <c r="C64" s="47" t="s">
        <v>55</v>
      </c>
      <c r="D64" s="7" t="s">
        <v>56</v>
      </c>
      <c r="E64" s="17" t="s">
        <v>39</v>
      </c>
      <c r="F64" s="17"/>
      <c r="G64" s="17" t="s">
        <v>50</v>
      </c>
      <c r="H64" s="37">
        <v>2023</v>
      </c>
      <c r="I64" s="131">
        <v>4</v>
      </c>
      <c r="J64" s="82">
        <v>45604</v>
      </c>
      <c r="K64" s="59"/>
      <c r="L64" s="27">
        <v>19.36</v>
      </c>
      <c r="M64" s="27">
        <f t="shared" si="64"/>
        <v>19.567999999999998</v>
      </c>
      <c r="N64" s="27">
        <v>0.20799999999999999</v>
      </c>
      <c r="O64" s="27">
        <f t="shared" si="73"/>
        <v>0</v>
      </c>
      <c r="P64" s="125">
        <v>1</v>
      </c>
      <c r="Q64" s="126">
        <f t="shared" si="38"/>
        <v>19.36</v>
      </c>
      <c r="R64" s="28">
        <v>76560</v>
      </c>
      <c r="S64" s="28">
        <f>R64+S66</f>
        <v>656720</v>
      </c>
      <c r="T64" s="27">
        <v>1248000</v>
      </c>
      <c r="U64" s="40">
        <f t="shared" si="62"/>
        <v>1111402.24</v>
      </c>
      <c r="V64" s="17" t="s">
        <v>51</v>
      </c>
      <c r="W64" s="101" t="s">
        <v>42</v>
      </c>
      <c r="X64" s="29">
        <v>36</v>
      </c>
      <c r="Y64" s="29" t="s">
        <v>52</v>
      </c>
      <c r="Z64" s="29" t="s">
        <v>53</v>
      </c>
      <c r="AA64" s="30">
        <v>1.4</v>
      </c>
      <c r="AB64" s="40">
        <f t="shared" si="47"/>
        <v>1498126.0799999998</v>
      </c>
      <c r="AC64" s="114">
        <f t="shared" si="48"/>
        <v>107184</v>
      </c>
      <c r="AD64" s="28">
        <f t="shared" si="63"/>
        <v>2756.16</v>
      </c>
      <c r="AE64" s="17"/>
    </row>
    <row r="65" spans="1:31" s="32" customFormat="1" x14ac:dyDescent="0.2">
      <c r="A65" s="7" t="s">
        <v>54</v>
      </c>
      <c r="B65" s="17" t="str">
        <f>VLOOKUP(A65,[1]Sheet1!$A:$B,2,0)</f>
        <v>HP</v>
      </c>
      <c r="C65" s="47" t="s">
        <v>57</v>
      </c>
      <c r="D65" s="7" t="s">
        <v>58</v>
      </c>
      <c r="E65" s="17" t="s">
        <v>39</v>
      </c>
      <c r="F65" s="17"/>
      <c r="G65" s="17" t="s">
        <v>50</v>
      </c>
      <c r="H65" s="37">
        <v>2023</v>
      </c>
      <c r="I65" s="131">
        <v>4</v>
      </c>
      <c r="J65" s="82">
        <v>45604</v>
      </c>
      <c r="K65" s="59"/>
      <c r="L65" s="27">
        <v>6.85</v>
      </c>
      <c r="M65" s="27">
        <f>L65+N65</f>
        <v>6.93</v>
      </c>
      <c r="N65" s="27">
        <v>0.08</v>
      </c>
      <c r="O65" s="27">
        <f t="shared" si="73"/>
        <v>0</v>
      </c>
      <c r="P65" s="125">
        <v>1</v>
      </c>
      <c r="Q65" s="126">
        <f t="shared" si="38"/>
        <v>6.85</v>
      </c>
      <c r="R65" s="28">
        <v>55200</v>
      </c>
      <c r="S65" s="28">
        <f>R65+S67</f>
        <v>662840</v>
      </c>
      <c r="T65" s="27">
        <v>480000</v>
      </c>
      <c r="U65" s="40">
        <f t="shared" si="62"/>
        <v>426972.8</v>
      </c>
      <c r="V65" s="17" t="s">
        <v>51</v>
      </c>
      <c r="W65" s="101" t="s">
        <v>42</v>
      </c>
      <c r="X65" s="29">
        <v>12</v>
      </c>
      <c r="Y65" s="29" t="s">
        <v>52</v>
      </c>
      <c r="Z65" s="29" t="s">
        <v>53</v>
      </c>
      <c r="AA65" s="30">
        <v>0.6</v>
      </c>
      <c r="AB65" s="40">
        <f t="shared" si="47"/>
        <v>382536</v>
      </c>
      <c r="AC65" s="114">
        <f t="shared" si="48"/>
        <v>33120</v>
      </c>
      <c r="AD65" s="28">
        <f t="shared" si="63"/>
        <v>662.4</v>
      </c>
      <c r="AE65" s="17"/>
    </row>
    <row r="66" spans="1:31" s="32" customFormat="1" x14ac:dyDescent="0.2">
      <c r="A66" s="7" t="s">
        <v>54</v>
      </c>
      <c r="B66" s="17" t="str">
        <f>VLOOKUP(A66,[1]Sheet1!$A:$B,2,0)</f>
        <v>HP</v>
      </c>
      <c r="C66" s="47" t="s">
        <v>55</v>
      </c>
      <c r="D66" s="7" t="s">
        <v>56</v>
      </c>
      <c r="E66" s="17" t="s">
        <v>39</v>
      </c>
      <c r="F66" s="17"/>
      <c r="G66" s="17" t="s">
        <v>50</v>
      </c>
      <c r="H66" s="37">
        <v>2023</v>
      </c>
      <c r="I66" s="131">
        <v>3</v>
      </c>
      <c r="J66" s="82">
        <v>45604</v>
      </c>
      <c r="K66" s="59"/>
      <c r="L66" s="27">
        <v>19.36</v>
      </c>
      <c r="M66" s="27">
        <f t="shared" si="64"/>
        <v>19.567999999999998</v>
      </c>
      <c r="N66" s="27">
        <v>0.20799999999999999</v>
      </c>
      <c r="O66" s="27">
        <f t="shared" si="73"/>
        <v>0</v>
      </c>
      <c r="P66" s="125">
        <v>1</v>
      </c>
      <c r="Q66" s="126">
        <f t="shared" si="38"/>
        <v>19.36</v>
      </c>
      <c r="R66" s="28">
        <v>241926</v>
      </c>
      <c r="S66" s="28">
        <f>R66+S68</f>
        <v>580160</v>
      </c>
      <c r="T66" s="27">
        <v>1248000</v>
      </c>
      <c r="U66" s="40">
        <f t="shared" si="62"/>
        <v>1127326.72</v>
      </c>
      <c r="V66" s="17" t="s">
        <v>51</v>
      </c>
      <c r="W66" s="101" t="s">
        <v>42</v>
      </c>
      <c r="X66" s="29">
        <v>36</v>
      </c>
      <c r="Y66" s="29" t="s">
        <v>52</v>
      </c>
      <c r="Z66" s="29" t="s">
        <v>53</v>
      </c>
      <c r="AA66" s="30">
        <v>1.4</v>
      </c>
      <c r="AB66" s="40">
        <f t="shared" si="47"/>
        <v>4734007.9679999994</v>
      </c>
      <c r="AC66" s="114">
        <f t="shared" si="48"/>
        <v>338696.39999999997</v>
      </c>
      <c r="AD66" s="28">
        <f t="shared" si="63"/>
        <v>8709.3359999999993</v>
      </c>
      <c r="AE66" s="17"/>
    </row>
    <row r="67" spans="1:31" s="32" customFormat="1" x14ac:dyDescent="0.2">
      <c r="A67" s="7" t="s">
        <v>54</v>
      </c>
      <c r="B67" s="17" t="str">
        <f>VLOOKUP(A67,[1]Sheet1!$A:$B,2,0)</f>
        <v>HP</v>
      </c>
      <c r="C67" s="47" t="s">
        <v>57</v>
      </c>
      <c r="D67" s="7" t="s">
        <v>58</v>
      </c>
      <c r="E67" s="17" t="s">
        <v>39</v>
      </c>
      <c r="F67" s="17"/>
      <c r="G67" s="17" t="s">
        <v>50</v>
      </c>
      <c r="H67" s="37">
        <v>2023</v>
      </c>
      <c r="I67" s="131">
        <v>3</v>
      </c>
      <c r="J67" s="82">
        <v>45604</v>
      </c>
      <c r="K67" s="59"/>
      <c r="L67" s="27">
        <v>6.85</v>
      </c>
      <c r="M67" s="27">
        <f>L67+N67</f>
        <v>6.93</v>
      </c>
      <c r="N67" s="27">
        <v>0.08</v>
      </c>
      <c r="O67" s="27">
        <f t="shared" si="73"/>
        <v>0</v>
      </c>
      <c r="P67" s="125">
        <v>1</v>
      </c>
      <c r="Q67" s="126">
        <f t="shared" si="38"/>
        <v>6.85</v>
      </c>
      <c r="R67" s="28">
        <v>274806</v>
      </c>
      <c r="S67" s="28">
        <f>S69+R67</f>
        <v>607640</v>
      </c>
      <c r="T67" s="27">
        <v>480000</v>
      </c>
      <c r="U67" s="40">
        <f t="shared" si="62"/>
        <v>431388.8</v>
      </c>
      <c r="V67" s="17" t="s">
        <v>51</v>
      </c>
      <c r="W67" s="101" t="s">
        <v>42</v>
      </c>
      <c r="X67" s="29">
        <v>12</v>
      </c>
      <c r="Y67" s="29" t="s">
        <v>52</v>
      </c>
      <c r="Z67" s="29" t="s">
        <v>53</v>
      </c>
      <c r="AA67" s="30">
        <v>0.6</v>
      </c>
      <c r="AB67" s="40">
        <f t="shared" si="47"/>
        <v>1904405.5799999998</v>
      </c>
      <c r="AC67" s="114">
        <f t="shared" si="48"/>
        <v>164883.6</v>
      </c>
      <c r="AD67" s="28">
        <f t="shared" si="63"/>
        <v>3297.672</v>
      </c>
      <c r="AE67" s="17"/>
    </row>
    <row r="68" spans="1:31" s="32" customFormat="1" x14ac:dyDescent="0.2">
      <c r="A68" s="7" t="s">
        <v>54</v>
      </c>
      <c r="B68" s="17" t="str">
        <f>VLOOKUP(A68,[1]Sheet1!$A:$B,2,0)</f>
        <v>HP</v>
      </c>
      <c r="C68" s="47" t="s">
        <v>55</v>
      </c>
      <c r="D68" s="7" t="s">
        <v>56</v>
      </c>
      <c r="E68" s="17" t="s">
        <v>39</v>
      </c>
      <c r="F68" s="17"/>
      <c r="G68" s="17" t="s">
        <v>50</v>
      </c>
      <c r="H68" s="37">
        <v>2023</v>
      </c>
      <c r="I68" s="131">
        <v>2</v>
      </c>
      <c r="J68" s="82">
        <v>45604</v>
      </c>
      <c r="K68" s="59"/>
      <c r="L68" s="27">
        <v>19.36</v>
      </c>
      <c r="M68" s="27">
        <f t="shared" si="64"/>
        <v>19.567999999999998</v>
      </c>
      <c r="N68" s="27">
        <v>0.20799999999999999</v>
      </c>
      <c r="O68" s="27">
        <f t="shared" si="73"/>
        <v>0</v>
      </c>
      <c r="P68" s="125">
        <v>1</v>
      </c>
      <c r="Q68" s="126">
        <f t="shared" si="38"/>
        <v>19.36</v>
      </c>
      <c r="R68" s="28">
        <v>135600</v>
      </c>
      <c r="S68" s="28">
        <f>R68+S70</f>
        <v>338234</v>
      </c>
      <c r="T68" s="27">
        <v>1248000</v>
      </c>
      <c r="U68" s="40">
        <f t="shared" si="62"/>
        <v>1177647.328</v>
      </c>
      <c r="V68" s="17" t="s">
        <v>51</v>
      </c>
      <c r="W68" s="101" t="s">
        <v>42</v>
      </c>
      <c r="X68" s="29">
        <v>36</v>
      </c>
      <c r="Y68" s="29" t="s">
        <v>52</v>
      </c>
      <c r="Z68" s="29" t="s">
        <v>53</v>
      </c>
      <c r="AA68" s="30">
        <v>1.4</v>
      </c>
      <c r="AB68" s="40">
        <f t="shared" si="47"/>
        <v>2653420.7999999998</v>
      </c>
      <c r="AC68" s="114">
        <f t="shared" si="48"/>
        <v>189840</v>
      </c>
      <c r="AD68" s="28">
        <f t="shared" si="63"/>
        <v>4881.6000000000004</v>
      </c>
      <c r="AE68" s="17"/>
    </row>
    <row r="69" spans="1:31" s="32" customFormat="1" x14ac:dyDescent="0.2">
      <c r="A69" s="7" t="s">
        <v>54</v>
      </c>
      <c r="B69" s="17" t="str">
        <f>VLOOKUP(A69,[1]Sheet1!$A:$B,2,0)</f>
        <v>HP</v>
      </c>
      <c r="C69" s="47" t="s">
        <v>57</v>
      </c>
      <c r="D69" s="7" t="s">
        <v>58</v>
      </c>
      <c r="E69" s="17" t="s">
        <v>39</v>
      </c>
      <c r="F69" s="17"/>
      <c r="G69" s="17" t="s">
        <v>50</v>
      </c>
      <c r="H69" s="37">
        <v>2023</v>
      </c>
      <c r="I69" s="131">
        <v>2</v>
      </c>
      <c r="J69" s="82">
        <v>45604</v>
      </c>
      <c r="K69" s="59"/>
      <c r="L69" s="27">
        <v>6.85</v>
      </c>
      <c r="M69" s="27">
        <f>L69+N69</f>
        <v>6.93</v>
      </c>
      <c r="N69" s="27">
        <v>0.08</v>
      </c>
      <c r="O69" s="27">
        <f t="shared" si="73"/>
        <v>0</v>
      </c>
      <c r="P69" s="125">
        <v>1</v>
      </c>
      <c r="Q69" s="126">
        <f t="shared" si="38"/>
        <v>6.85</v>
      </c>
      <c r="R69" s="28">
        <v>117600</v>
      </c>
      <c r="S69" s="28">
        <f>R69+S71</f>
        <v>332834</v>
      </c>
      <c r="T69" s="27">
        <v>480000</v>
      </c>
      <c r="U69" s="40">
        <f t="shared" si="62"/>
        <v>453373.28</v>
      </c>
      <c r="V69" s="17" t="s">
        <v>51</v>
      </c>
      <c r="W69" s="101" t="s">
        <v>42</v>
      </c>
      <c r="X69" s="29">
        <v>12</v>
      </c>
      <c r="Y69" s="29" t="s">
        <v>52</v>
      </c>
      <c r="Z69" s="29" t="s">
        <v>53</v>
      </c>
      <c r="AA69" s="30">
        <v>0.6</v>
      </c>
      <c r="AB69" s="40">
        <f t="shared" si="47"/>
        <v>814968</v>
      </c>
      <c r="AC69" s="114">
        <f t="shared" si="48"/>
        <v>70560</v>
      </c>
      <c r="AD69" s="28">
        <f t="shared" si="63"/>
        <v>1411.2</v>
      </c>
      <c r="AE69" s="17"/>
    </row>
    <row r="70" spans="1:31" s="32" customFormat="1" x14ac:dyDescent="0.2">
      <c r="A70" s="7" t="s">
        <v>54</v>
      </c>
      <c r="B70" s="17" t="str">
        <f>VLOOKUP(A70,[1]Sheet1!$A:$B,2,0)</f>
        <v>HP</v>
      </c>
      <c r="C70" s="47" t="s">
        <v>55</v>
      </c>
      <c r="D70" s="7" t="s">
        <v>56</v>
      </c>
      <c r="E70" s="17" t="s">
        <v>39</v>
      </c>
      <c r="F70" s="17"/>
      <c r="G70" s="17" t="s">
        <v>50</v>
      </c>
      <c r="H70" s="37">
        <v>2023</v>
      </c>
      <c r="I70" s="131">
        <v>1</v>
      </c>
      <c r="J70" s="82">
        <v>45604</v>
      </c>
      <c r="K70" s="59"/>
      <c r="L70" s="27">
        <v>19.36</v>
      </c>
      <c r="M70" s="27">
        <f t="shared" si="64"/>
        <v>19.567999999999998</v>
      </c>
      <c r="N70" s="27">
        <v>0.20799999999999999</v>
      </c>
      <c r="O70" s="27">
        <f t="shared" si="73"/>
        <v>0</v>
      </c>
      <c r="P70" s="125">
        <v>1</v>
      </c>
      <c r="Q70" s="126">
        <f t="shared" si="38"/>
        <v>19.36</v>
      </c>
      <c r="R70" s="28">
        <v>90480</v>
      </c>
      <c r="S70" s="28">
        <f>R70+S72</f>
        <v>202634</v>
      </c>
      <c r="T70" s="27">
        <v>1248000</v>
      </c>
      <c r="U70" s="40">
        <f t="shared" si="62"/>
        <v>1205852.128</v>
      </c>
      <c r="V70" s="17" t="s">
        <v>51</v>
      </c>
      <c r="W70" s="101" t="s">
        <v>42</v>
      </c>
      <c r="X70" s="29">
        <v>36</v>
      </c>
      <c r="Y70" s="29" t="s">
        <v>52</v>
      </c>
      <c r="Z70" s="29" t="s">
        <v>53</v>
      </c>
      <c r="AA70" s="30">
        <v>1.4</v>
      </c>
      <c r="AB70" s="40">
        <f t="shared" si="47"/>
        <v>1770512.64</v>
      </c>
      <c r="AC70" s="114">
        <f t="shared" si="48"/>
        <v>126671.99999999999</v>
      </c>
      <c r="AD70" s="28">
        <f t="shared" si="63"/>
        <v>3257.28</v>
      </c>
      <c r="AE70" s="17"/>
    </row>
    <row r="71" spans="1:31" s="32" customFormat="1" x14ac:dyDescent="0.2">
      <c r="A71" s="7" t="s">
        <v>54</v>
      </c>
      <c r="B71" s="17" t="str">
        <f>VLOOKUP(A71,[1]Sheet1!$A:$B,2,0)</f>
        <v>HP</v>
      </c>
      <c r="C71" s="47" t="s">
        <v>57</v>
      </c>
      <c r="D71" s="7" t="s">
        <v>58</v>
      </c>
      <c r="E71" s="17" t="s">
        <v>39</v>
      </c>
      <c r="F71" s="17"/>
      <c r="G71" s="17" t="s">
        <v>50</v>
      </c>
      <c r="H71" s="37">
        <v>2023</v>
      </c>
      <c r="I71" s="131">
        <v>1</v>
      </c>
      <c r="J71" s="82">
        <v>45604</v>
      </c>
      <c r="K71" s="59"/>
      <c r="L71" s="27">
        <v>6.85</v>
      </c>
      <c r="M71" s="27">
        <f>L71+N71</f>
        <v>6.93</v>
      </c>
      <c r="N71" s="27">
        <v>0.08</v>
      </c>
      <c r="O71" s="27">
        <f t="shared" si="73"/>
        <v>0</v>
      </c>
      <c r="P71" s="125">
        <v>1</v>
      </c>
      <c r="Q71" s="126">
        <f t="shared" si="38"/>
        <v>6.85</v>
      </c>
      <c r="R71" s="28">
        <v>80335</v>
      </c>
      <c r="S71" s="28">
        <f>R71+S73</f>
        <v>215234</v>
      </c>
      <c r="T71" s="27">
        <v>480000</v>
      </c>
      <c r="U71" s="40">
        <f t="shared" si="62"/>
        <v>462781.28</v>
      </c>
      <c r="V71" s="17" t="s">
        <v>51</v>
      </c>
      <c r="W71" s="101" t="s">
        <v>42</v>
      </c>
      <c r="X71" s="29">
        <v>12</v>
      </c>
      <c r="Y71" s="29" t="s">
        <v>52</v>
      </c>
      <c r="Z71" s="29" t="s">
        <v>53</v>
      </c>
      <c r="AA71" s="30">
        <v>0.6</v>
      </c>
      <c r="AB71" s="40">
        <f t="shared" si="47"/>
        <v>556721.54999999993</v>
      </c>
      <c r="AC71" s="114">
        <f t="shared" si="48"/>
        <v>48201</v>
      </c>
      <c r="AD71" s="28">
        <f t="shared" si="63"/>
        <v>964.02</v>
      </c>
      <c r="AE71" s="17"/>
    </row>
    <row r="72" spans="1:31" s="32" customFormat="1" x14ac:dyDescent="0.2">
      <c r="A72" s="7" t="s">
        <v>54</v>
      </c>
      <c r="B72" s="17" t="str">
        <f>VLOOKUP(A72,[1]Sheet1!$A:$B,2,0)</f>
        <v>HP</v>
      </c>
      <c r="C72" s="47" t="s">
        <v>55</v>
      </c>
      <c r="D72" s="7" t="s">
        <v>56</v>
      </c>
      <c r="E72" s="17" t="s">
        <v>39</v>
      </c>
      <c r="F72" s="17"/>
      <c r="G72" s="17" t="s">
        <v>50</v>
      </c>
      <c r="H72" s="37">
        <v>2022</v>
      </c>
      <c r="I72" s="131">
        <v>12</v>
      </c>
      <c r="J72" s="82">
        <v>45604</v>
      </c>
      <c r="K72" s="59"/>
      <c r="L72" s="27">
        <v>19.36</v>
      </c>
      <c r="M72" s="27">
        <f t="shared" si="64"/>
        <v>19.567999999999998</v>
      </c>
      <c r="N72" s="27">
        <v>0.20799999999999999</v>
      </c>
      <c r="O72" s="27">
        <f t="shared" si="73"/>
        <v>0</v>
      </c>
      <c r="P72" s="125">
        <v>1</v>
      </c>
      <c r="Q72" s="126">
        <f t="shared" si="38"/>
        <v>19.36</v>
      </c>
      <c r="R72" s="28">
        <v>63600</v>
      </c>
      <c r="S72" s="28">
        <f>R72+S74</f>
        <v>112154</v>
      </c>
      <c r="T72" s="27">
        <v>1248000</v>
      </c>
      <c r="U72" s="40">
        <f t="shared" si="62"/>
        <v>1224671.9680000001</v>
      </c>
      <c r="V72" s="17" t="s">
        <v>51</v>
      </c>
      <c r="W72" s="101" t="s">
        <v>42</v>
      </c>
      <c r="X72" s="29">
        <v>36</v>
      </c>
      <c r="Y72" s="29" t="s">
        <v>52</v>
      </c>
      <c r="Z72" s="29" t="s">
        <v>53</v>
      </c>
      <c r="AA72" s="30">
        <v>1.4</v>
      </c>
      <c r="AB72" s="40">
        <f t="shared" si="47"/>
        <v>1244524.7999999998</v>
      </c>
      <c r="AC72" s="114">
        <f t="shared" si="48"/>
        <v>89040</v>
      </c>
      <c r="AD72" s="28">
        <f t="shared" si="63"/>
        <v>2289.6</v>
      </c>
      <c r="AE72" s="17"/>
    </row>
    <row r="73" spans="1:31" s="32" customFormat="1" x14ac:dyDescent="0.2">
      <c r="A73" s="7" t="s">
        <v>54</v>
      </c>
      <c r="B73" s="17" t="str">
        <f>VLOOKUP(A73,[1]Sheet1!$A:$B,2,0)</f>
        <v>HP</v>
      </c>
      <c r="C73" s="47" t="s">
        <v>57</v>
      </c>
      <c r="D73" s="7" t="s">
        <v>58</v>
      </c>
      <c r="E73" s="17" t="s">
        <v>39</v>
      </c>
      <c r="F73" s="17"/>
      <c r="G73" s="17" t="s">
        <v>50</v>
      </c>
      <c r="H73" s="37">
        <v>2022</v>
      </c>
      <c r="I73" s="131">
        <v>12</v>
      </c>
      <c r="J73" s="82">
        <v>45604</v>
      </c>
      <c r="K73" s="59"/>
      <c r="L73" s="27">
        <v>6.85</v>
      </c>
      <c r="M73" s="27">
        <f>L73+N73</f>
        <v>6.93</v>
      </c>
      <c r="N73" s="27">
        <v>0.08</v>
      </c>
      <c r="O73" s="27">
        <f t="shared" si="73"/>
        <v>0</v>
      </c>
      <c r="P73" s="125">
        <v>1</v>
      </c>
      <c r="Q73" s="126">
        <f t="shared" si="38"/>
        <v>6.85</v>
      </c>
      <c r="R73" s="28">
        <v>86400</v>
      </c>
      <c r="S73" s="28">
        <f>S75+R73</f>
        <v>134899</v>
      </c>
      <c r="T73" s="27">
        <v>480000</v>
      </c>
      <c r="U73" s="40">
        <f t="shared" si="62"/>
        <v>469208.08</v>
      </c>
      <c r="V73" s="17" t="s">
        <v>51</v>
      </c>
      <c r="W73" s="101" t="s">
        <v>42</v>
      </c>
      <c r="X73" s="29">
        <v>12</v>
      </c>
      <c r="Y73" s="29" t="s">
        <v>52</v>
      </c>
      <c r="Z73" s="29" t="s">
        <v>53</v>
      </c>
      <c r="AA73" s="30">
        <v>0.6</v>
      </c>
      <c r="AB73" s="40">
        <f t="shared" si="47"/>
        <v>598752</v>
      </c>
      <c r="AC73" s="114">
        <f t="shared" si="48"/>
        <v>51840</v>
      </c>
      <c r="AD73" s="28">
        <f t="shared" si="63"/>
        <v>1036.8</v>
      </c>
      <c r="AE73" s="17"/>
    </row>
    <row r="74" spans="1:31" s="32" customFormat="1" x14ac:dyDescent="0.2">
      <c r="A74" s="7" t="s">
        <v>54</v>
      </c>
      <c r="B74" s="17" t="str">
        <f>VLOOKUP(A74,[1]Sheet1!$A:$B,2,0)</f>
        <v>HP</v>
      </c>
      <c r="C74" s="47" t="s">
        <v>55</v>
      </c>
      <c r="D74" s="7" t="s">
        <v>56</v>
      </c>
      <c r="E74" s="17" t="s">
        <v>39</v>
      </c>
      <c r="F74" s="17"/>
      <c r="G74" s="17" t="s">
        <v>50</v>
      </c>
      <c r="H74" s="37">
        <v>2022</v>
      </c>
      <c r="I74" s="131">
        <v>11</v>
      </c>
      <c r="J74" s="82">
        <v>45604</v>
      </c>
      <c r="K74" s="59"/>
      <c r="L74" s="27">
        <v>19.36</v>
      </c>
      <c r="M74" s="27">
        <f t="shared" si="64"/>
        <v>19.567999999999998</v>
      </c>
      <c r="N74" s="27">
        <v>0.20799999999999999</v>
      </c>
      <c r="O74" s="27">
        <f t="shared" si="73"/>
        <v>0</v>
      </c>
      <c r="P74" s="125">
        <v>1</v>
      </c>
      <c r="Q74" s="126">
        <f t="shared" si="38"/>
        <v>19.36</v>
      </c>
      <c r="R74" s="28">
        <v>44474</v>
      </c>
      <c r="S74" s="28">
        <f>R74+S76</f>
        <v>48554</v>
      </c>
      <c r="T74" s="27">
        <v>1248000</v>
      </c>
      <c r="U74" s="40">
        <f>T74-N74*S74</f>
        <v>1237900.7679999999</v>
      </c>
      <c r="V74" s="17" t="s">
        <v>51</v>
      </c>
      <c r="W74" s="101" t="s">
        <v>42</v>
      </c>
      <c r="X74" s="29">
        <v>36</v>
      </c>
      <c r="Y74" s="29" t="s">
        <v>52</v>
      </c>
      <c r="Z74" s="29" t="s">
        <v>53</v>
      </c>
      <c r="AA74" s="30">
        <v>1.4</v>
      </c>
      <c r="AB74" s="40">
        <f t="shared" si="47"/>
        <v>870267.23199999996</v>
      </c>
      <c r="AC74" s="114">
        <f t="shared" si="48"/>
        <v>62263.6</v>
      </c>
      <c r="AD74" s="28">
        <f t="shared" si="63"/>
        <v>1601.0640000000001</v>
      </c>
      <c r="AE74" s="17"/>
    </row>
    <row r="75" spans="1:31" s="32" customFormat="1" x14ac:dyDescent="0.2">
      <c r="A75" s="7" t="s">
        <v>54</v>
      </c>
      <c r="B75" s="17" t="str">
        <f>VLOOKUP(A75,[1]Sheet1!$A:$B,2,0)</f>
        <v>HP</v>
      </c>
      <c r="C75" s="47" t="s">
        <v>57</v>
      </c>
      <c r="D75" s="7" t="s">
        <v>58</v>
      </c>
      <c r="E75" s="17" t="s">
        <v>39</v>
      </c>
      <c r="F75" s="17"/>
      <c r="G75" s="17" t="s">
        <v>50</v>
      </c>
      <c r="H75" s="37">
        <v>2022</v>
      </c>
      <c r="I75" s="131">
        <v>11</v>
      </c>
      <c r="J75" s="82">
        <v>45604</v>
      </c>
      <c r="K75" s="59"/>
      <c r="L75" s="27">
        <v>6.85</v>
      </c>
      <c r="M75" s="27">
        <f>L75+N75</f>
        <v>6.93</v>
      </c>
      <c r="N75" s="27">
        <v>0.08</v>
      </c>
      <c r="O75" s="27">
        <f t="shared" si="73"/>
        <v>0</v>
      </c>
      <c r="P75" s="125">
        <v>1</v>
      </c>
      <c r="Q75" s="126">
        <f t="shared" si="38"/>
        <v>6.85</v>
      </c>
      <c r="R75" s="28">
        <v>38899</v>
      </c>
      <c r="S75" s="28">
        <f>S77+R75</f>
        <v>48499</v>
      </c>
      <c r="T75" s="27">
        <v>480000</v>
      </c>
      <c r="U75" s="40">
        <f t="shared" ref="U75:U106" si="74">T75-N75*S75</f>
        <v>476120.08</v>
      </c>
      <c r="V75" s="17" t="s">
        <v>51</v>
      </c>
      <c r="W75" s="101" t="s">
        <v>42</v>
      </c>
      <c r="X75" s="29">
        <v>12</v>
      </c>
      <c r="Y75" s="29" t="s">
        <v>52</v>
      </c>
      <c r="Z75" s="29" t="s">
        <v>53</v>
      </c>
      <c r="AA75" s="30">
        <v>0.6</v>
      </c>
      <c r="AB75" s="40">
        <f t="shared" si="47"/>
        <v>269570.07</v>
      </c>
      <c r="AC75" s="114">
        <f t="shared" si="48"/>
        <v>23339.399999999998</v>
      </c>
      <c r="AD75" s="28">
        <f t="shared" ref="AD75:AD106" si="75">R75*X75/1000</f>
        <v>466.78800000000001</v>
      </c>
      <c r="AE75" s="17"/>
    </row>
    <row r="76" spans="1:31" s="32" customFormat="1" x14ac:dyDescent="0.2">
      <c r="A76" s="7" t="s">
        <v>54</v>
      </c>
      <c r="B76" s="17" t="str">
        <f>VLOOKUP(A76,[1]Sheet1!$A:$B,2,0)</f>
        <v>HP</v>
      </c>
      <c r="C76" s="47" t="s">
        <v>55</v>
      </c>
      <c r="D76" s="7" t="s">
        <v>56</v>
      </c>
      <c r="E76" s="17" t="s">
        <v>39</v>
      </c>
      <c r="F76" s="17"/>
      <c r="G76" s="17" t="s">
        <v>50</v>
      </c>
      <c r="H76" s="37">
        <v>2022</v>
      </c>
      <c r="I76" s="131">
        <v>10</v>
      </c>
      <c r="J76" s="82">
        <v>45604</v>
      </c>
      <c r="K76" s="59"/>
      <c r="L76" s="27">
        <v>19.36</v>
      </c>
      <c r="M76" s="27">
        <f t="shared" si="64"/>
        <v>19.567999999999998</v>
      </c>
      <c r="N76" s="27">
        <v>0.20799999999999999</v>
      </c>
      <c r="O76" s="27">
        <f t="shared" si="73"/>
        <v>0</v>
      </c>
      <c r="P76" s="125">
        <v>1</v>
      </c>
      <c r="Q76" s="126">
        <f t="shared" si="38"/>
        <v>19.36</v>
      </c>
      <c r="R76" s="28">
        <v>4080</v>
      </c>
      <c r="S76" s="28">
        <f>R76</f>
        <v>4080</v>
      </c>
      <c r="T76" s="27">
        <v>1248000</v>
      </c>
      <c r="U76" s="40">
        <v>1162800</v>
      </c>
      <c r="V76" s="17" t="s">
        <v>51</v>
      </c>
      <c r="W76" s="101" t="s">
        <v>42</v>
      </c>
      <c r="X76" s="29">
        <v>36</v>
      </c>
      <c r="Y76" s="29" t="s">
        <v>52</v>
      </c>
      <c r="Z76" s="29" t="s">
        <v>53</v>
      </c>
      <c r="AA76" s="30">
        <v>1.4</v>
      </c>
      <c r="AB76" s="40">
        <f t="shared" ref="AB76:AB106" si="76">M76*R76</f>
        <v>79837.439999999988</v>
      </c>
      <c r="AC76" s="114">
        <f t="shared" si="48"/>
        <v>5712</v>
      </c>
      <c r="AD76" s="28">
        <f t="shared" si="75"/>
        <v>146.88</v>
      </c>
      <c r="AE76" s="17"/>
    </row>
    <row r="77" spans="1:31" s="32" customFormat="1" x14ac:dyDescent="0.2">
      <c r="A77" s="7" t="s">
        <v>54</v>
      </c>
      <c r="B77" s="17" t="str">
        <f>VLOOKUP(A77,[1]Sheet1!$A:$B,2,0)</f>
        <v>HP</v>
      </c>
      <c r="C77" s="47" t="s">
        <v>57</v>
      </c>
      <c r="D77" s="7" t="s">
        <v>58</v>
      </c>
      <c r="E77" s="17" t="s">
        <v>39</v>
      </c>
      <c r="F77" s="17"/>
      <c r="G77" s="17" t="s">
        <v>50</v>
      </c>
      <c r="H77" s="37">
        <v>2022</v>
      </c>
      <c r="I77" s="131">
        <v>10</v>
      </c>
      <c r="J77" s="82">
        <v>45604</v>
      </c>
      <c r="K77" s="59"/>
      <c r="L77" s="27">
        <v>6.85</v>
      </c>
      <c r="M77" s="27">
        <f t="shared" ref="M77:M105" si="77">L77+N77</f>
        <v>6.93</v>
      </c>
      <c r="N77" s="27">
        <v>0.08</v>
      </c>
      <c r="O77" s="27">
        <f t="shared" si="73"/>
        <v>0</v>
      </c>
      <c r="P77" s="125">
        <v>1</v>
      </c>
      <c r="Q77" s="126">
        <f t="shared" si="38"/>
        <v>6.85</v>
      </c>
      <c r="R77" s="28">
        <v>9600</v>
      </c>
      <c r="S77" s="28">
        <f>R77</f>
        <v>9600</v>
      </c>
      <c r="T77" s="27">
        <v>480000</v>
      </c>
      <c r="U77" s="40">
        <f t="shared" si="74"/>
        <v>479232</v>
      </c>
      <c r="V77" s="17" t="s">
        <v>51</v>
      </c>
      <c r="W77" s="101" t="s">
        <v>42</v>
      </c>
      <c r="X77" s="29">
        <v>12</v>
      </c>
      <c r="Y77" s="29" t="s">
        <v>52</v>
      </c>
      <c r="Z77" s="29" t="s">
        <v>53</v>
      </c>
      <c r="AA77" s="30">
        <v>0.6</v>
      </c>
      <c r="AB77" s="40">
        <f t="shared" si="76"/>
        <v>66528</v>
      </c>
      <c r="AC77" s="114">
        <f t="shared" si="48"/>
        <v>5760</v>
      </c>
      <c r="AD77" s="28">
        <f t="shared" si="75"/>
        <v>115.2</v>
      </c>
      <c r="AE77" s="17"/>
    </row>
    <row r="78" spans="1:31" s="32" customFormat="1" x14ac:dyDescent="0.2">
      <c r="A78" s="7" t="s">
        <v>59</v>
      </c>
      <c r="B78" s="17" t="str">
        <f>VLOOKUP(A78,[1]Sheet1!$A:$B,2,0)</f>
        <v>HP</v>
      </c>
      <c r="C78" s="48" t="s">
        <v>60</v>
      </c>
      <c r="D78" s="49" t="s">
        <v>61</v>
      </c>
      <c r="E78" s="17" t="s">
        <v>39</v>
      </c>
      <c r="F78" s="17"/>
      <c r="G78" s="17" t="s">
        <v>50</v>
      </c>
      <c r="H78" s="37">
        <v>2024</v>
      </c>
      <c r="I78" s="101">
        <v>3</v>
      </c>
      <c r="J78" s="106">
        <v>45661</v>
      </c>
      <c r="K78" s="59"/>
      <c r="L78" s="27">
        <v>17.648</v>
      </c>
      <c r="M78" s="27">
        <f t="shared" si="77"/>
        <v>17.792999999999999</v>
      </c>
      <c r="N78" s="27">
        <v>0.14499999999999999</v>
      </c>
      <c r="O78" s="27">
        <f t="shared" si="73"/>
        <v>0</v>
      </c>
      <c r="P78" s="125">
        <v>1</v>
      </c>
      <c r="Q78" s="126">
        <f t="shared" si="38"/>
        <v>17.648</v>
      </c>
      <c r="R78" s="28">
        <v>29683</v>
      </c>
      <c r="S78" s="28">
        <f>R78+S80</f>
        <v>833040</v>
      </c>
      <c r="T78" s="27">
        <v>520200</v>
      </c>
      <c r="U78" s="40">
        <f>T78-N78*S78-39662.01</f>
        <v>359747.19</v>
      </c>
      <c r="V78" s="17" t="s">
        <v>51</v>
      </c>
      <c r="W78" s="101" t="s">
        <v>42</v>
      </c>
      <c r="X78" s="29">
        <v>47</v>
      </c>
      <c r="Y78" s="29" t="s">
        <v>52</v>
      </c>
      <c r="Z78" s="29" t="s">
        <v>53</v>
      </c>
      <c r="AA78" s="30">
        <v>1.2</v>
      </c>
      <c r="AB78" s="40">
        <f t="shared" si="76"/>
        <v>528149.61899999995</v>
      </c>
      <c r="AC78" s="114">
        <f t="shared" si="48"/>
        <v>35619.599999999999</v>
      </c>
      <c r="AD78" s="28">
        <f t="shared" si="75"/>
        <v>1395.1010000000001</v>
      </c>
      <c r="AE78" s="17"/>
    </row>
    <row r="79" spans="1:31" s="32" customFormat="1" x14ac:dyDescent="0.2">
      <c r="A79" s="7" t="s">
        <v>59</v>
      </c>
      <c r="B79" s="17" t="str">
        <f>VLOOKUP(A79,[1]Sheet1!$A:$B,2,0)</f>
        <v>HP</v>
      </c>
      <c r="C79" s="48" t="s">
        <v>62</v>
      </c>
      <c r="D79" s="49" t="s">
        <v>63</v>
      </c>
      <c r="E79" s="17" t="s">
        <v>39</v>
      </c>
      <c r="F79" s="17"/>
      <c r="G79" s="17" t="s">
        <v>50</v>
      </c>
      <c r="H79" s="37">
        <v>2024</v>
      </c>
      <c r="I79" s="131">
        <v>6</v>
      </c>
      <c r="J79" s="82">
        <v>45604</v>
      </c>
      <c r="K79" s="59"/>
      <c r="L79" s="27">
        <v>2.2480000000000002</v>
      </c>
      <c r="M79" s="27">
        <f t="shared" si="77"/>
        <v>2.286</v>
      </c>
      <c r="N79" s="27">
        <v>3.7999999999999999E-2</v>
      </c>
      <c r="O79" s="27">
        <f t="shared" si="73"/>
        <v>0</v>
      </c>
      <c r="P79" s="125">
        <v>1</v>
      </c>
      <c r="Q79" s="126">
        <f t="shared" si="38"/>
        <v>2.2480000000000002</v>
      </c>
      <c r="R79" s="28">
        <v>5355</v>
      </c>
      <c r="S79" s="28">
        <f>R79+S83</f>
        <v>899995</v>
      </c>
      <c r="T79" s="27">
        <v>136500</v>
      </c>
      <c r="U79" s="40">
        <f>T79-N79*S79-10958.99</f>
        <v>91341.2</v>
      </c>
      <c r="V79" s="17" t="s">
        <v>51</v>
      </c>
      <c r="W79" s="101" t="s">
        <v>42</v>
      </c>
      <c r="X79" s="29">
        <v>11</v>
      </c>
      <c r="Y79" s="29" t="s">
        <v>52</v>
      </c>
      <c r="Z79" s="29" t="s">
        <v>53</v>
      </c>
      <c r="AA79" s="30">
        <v>0.2</v>
      </c>
      <c r="AB79" s="40">
        <f t="shared" si="76"/>
        <v>12241.53</v>
      </c>
      <c r="AC79" s="114">
        <f t="shared" si="48"/>
        <v>1071</v>
      </c>
      <c r="AD79" s="28">
        <f t="shared" si="75"/>
        <v>58.905000000000001</v>
      </c>
      <c r="AE79" s="17"/>
    </row>
    <row r="80" spans="1:31" s="32" customFormat="1" x14ac:dyDescent="0.2">
      <c r="A80" s="7" t="s">
        <v>59</v>
      </c>
      <c r="B80" s="17" t="str">
        <f>VLOOKUP(A80,[1]Sheet1!$A:$B,2,0)</f>
        <v>HP</v>
      </c>
      <c r="C80" s="48" t="s">
        <v>60</v>
      </c>
      <c r="D80" s="49" t="s">
        <v>61</v>
      </c>
      <c r="E80" s="17" t="s">
        <v>39</v>
      </c>
      <c r="F80" s="17"/>
      <c r="G80" s="17" t="s">
        <v>50</v>
      </c>
      <c r="H80" s="37">
        <v>2024</v>
      </c>
      <c r="I80" s="131">
        <v>2</v>
      </c>
      <c r="J80" s="82">
        <v>45604</v>
      </c>
      <c r="K80" s="59"/>
      <c r="L80" s="27">
        <v>17.648</v>
      </c>
      <c r="M80" s="27">
        <f t="shared" si="77"/>
        <v>17.792999999999999</v>
      </c>
      <c r="N80" s="27">
        <v>0.14499999999999999</v>
      </c>
      <c r="O80" s="27">
        <f t="shared" si="73"/>
        <v>0</v>
      </c>
      <c r="P80" s="125">
        <v>1</v>
      </c>
      <c r="Q80" s="126">
        <f t="shared" si="38"/>
        <v>17.648</v>
      </c>
      <c r="R80" s="28">
        <v>1849</v>
      </c>
      <c r="S80" s="28">
        <f>R80+S81</f>
        <v>803357</v>
      </c>
      <c r="T80" s="27">
        <v>520200</v>
      </c>
      <c r="U80" s="40">
        <f t="shared" ref="U80" si="78">T80-N80*S80</f>
        <v>403713.23499999999</v>
      </c>
      <c r="V80" s="17" t="s">
        <v>51</v>
      </c>
      <c r="W80" s="101" t="s">
        <v>42</v>
      </c>
      <c r="X80" s="29">
        <v>47</v>
      </c>
      <c r="Y80" s="29" t="s">
        <v>52</v>
      </c>
      <c r="Z80" s="29" t="s">
        <v>53</v>
      </c>
      <c r="AA80" s="30">
        <v>1.2</v>
      </c>
      <c r="AB80" s="40">
        <f t="shared" ref="AB80" si="79">M80*R80</f>
        <v>32899.256999999998</v>
      </c>
      <c r="AC80" s="114">
        <f t="shared" si="48"/>
        <v>2218.7999999999997</v>
      </c>
      <c r="AD80" s="28">
        <f t="shared" ref="AD80" si="80">R80*X80/1000</f>
        <v>86.903000000000006</v>
      </c>
      <c r="AE80" s="17"/>
    </row>
    <row r="81" spans="1:31" s="32" customFormat="1" x14ac:dyDescent="0.2">
      <c r="A81" s="7" t="s">
        <v>59</v>
      </c>
      <c r="B81" s="17" t="str">
        <f>VLOOKUP(A81,[1]Sheet1!$A:$B,2,0)</f>
        <v>HP</v>
      </c>
      <c r="C81" s="48" t="s">
        <v>60</v>
      </c>
      <c r="D81" s="49" t="s">
        <v>61</v>
      </c>
      <c r="E81" s="17" t="s">
        <v>39</v>
      </c>
      <c r="F81" s="17"/>
      <c r="G81" s="17" t="s">
        <v>50</v>
      </c>
      <c r="H81" s="37">
        <v>2024</v>
      </c>
      <c r="I81" s="131">
        <v>1</v>
      </c>
      <c r="J81" s="82">
        <v>45604</v>
      </c>
      <c r="K81" s="59"/>
      <c r="L81" s="27">
        <v>17.648</v>
      </c>
      <c r="M81" s="27">
        <f t="shared" si="77"/>
        <v>17.792999999999999</v>
      </c>
      <c r="N81" s="27">
        <v>0.14499999999999999</v>
      </c>
      <c r="O81" s="27">
        <f t="shared" si="73"/>
        <v>0</v>
      </c>
      <c r="P81" s="125">
        <v>1</v>
      </c>
      <c r="Q81" s="126">
        <f t="shared" si="38"/>
        <v>17.648</v>
      </c>
      <c r="R81" s="28">
        <v>18880</v>
      </c>
      <c r="S81" s="28">
        <f>R81+S82</f>
        <v>801508</v>
      </c>
      <c r="T81" s="27">
        <v>520200</v>
      </c>
      <c r="U81" s="40">
        <f t="shared" si="74"/>
        <v>403981.34</v>
      </c>
      <c r="V81" s="17" t="s">
        <v>51</v>
      </c>
      <c r="W81" s="101" t="s">
        <v>42</v>
      </c>
      <c r="X81" s="29">
        <v>47</v>
      </c>
      <c r="Y81" s="29" t="s">
        <v>52</v>
      </c>
      <c r="Z81" s="29" t="s">
        <v>53</v>
      </c>
      <c r="AA81" s="30">
        <v>1.2</v>
      </c>
      <c r="AB81" s="40">
        <f t="shared" si="76"/>
        <v>335931.83999999997</v>
      </c>
      <c r="AC81" s="114">
        <f t="shared" si="48"/>
        <v>22656</v>
      </c>
      <c r="AD81" s="28">
        <f t="shared" si="75"/>
        <v>887.36</v>
      </c>
      <c r="AE81" s="17"/>
    </row>
    <row r="82" spans="1:31" s="32" customFormat="1" x14ac:dyDescent="0.2">
      <c r="A82" s="7" t="s">
        <v>59</v>
      </c>
      <c r="B82" s="17" t="str">
        <f>VLOOKUP(A82,[1]Sheet1!$A:$B,2,0)</f>
        <v>HP</v>
      </c>
      <c r="C82" s="48" t="s">
        <v>60</v>
      </c>
      <c r="D82" s="49" t="s">
        <v>61</v>
      </c>
      <c r="E82" s="17" t="s">
        <v>39</v>
      </c>
      <c r="F82" s="17"/>
      <c r="G82" s="17" t="s">
        <v>50</v>
      </c>
      <c r="H82" s="37">
        <v>2024</v>
      </c>
      <c r="I82" s="131">
        <v>11</v>
      </c>
      <c r="J82" s="82">
        <v>45660</v>
      </c>
      <c r="K82" s="59"/>
      <c r="L82" s="27">
        <v>17.648</v>
      </c>
      <c r="M82" s="27">
        <f t="shared" si="77"/>
        <v>17.792999999999999</v>
      </c>
      <c r="N82" s="27">
        <v>0.14499999999999999</v>
      </c>
      <c r="O82" s="27">
        <f t="shared" si="73"/>
        <v>0</v>
      </c>
      <c r="P82" s="125">
        <v>1</v>
      </c>
      <c r="Q82" s="126">
        <f t="shared" si="38"/>
        <v>17.648</v>
      </c>
      <c r="R82" s="28">
        <v>15360</v>
      </c>
      <c r="S82" s="28">
        <f t="shared" ref="S82:S103" si="81">R82+S84</f>
        <v>782628</v>
      </c>
      <c r="T82" s="27">
        <v>520200</v>
      </c>
      <c r="U82" s="40">
        <f t="shared" si="74"/>
        <v>406718.94</v>
      </c>
      <c r="V82" s="17" t="s">
        <v>51</v>
      </c>
      <c r="W82" s="101" t="s">
        <v>42</v>
      </c>
      <c r="X82" s="29">
        <v>47</v>
      </c>
      <c r="Y82" s="29" t="s">
        <v>52</v>
      </c>
      <c r="Z82" s="29" t="s">
        <v>53</v>
      </c>
      <c r="AA82" s="30">
        <v>1.2</v>
      </c>
      <c r="AB82" s="40">
        <f t="shared" si="76"/>
        <v>273300.47999999998</v>
      </c>
      <c r="AC82" s="114">
        <f t="shared" si="48"/>
        <v>18432</v>
      </c>
      <c r="AD82" s="28">
        <f t="shared" si="75"/>
        <v>721.92</v>
      </c>
      <c r="AE82" s="17"/>
    </row>
    <row r="83" spans="1:31" s="32" customFormat="1" x14ac:dyDescent="0.2">
      <c r="A83" s="7" t="s">
        <v>59</v>
      </c>
      <c r="B83" s="17" t="str">
        <f>VLOOKUP(A83,[1]Sheet1!$A:$B,2,0)</f>
        <v>HP</v>
      </c>
      <c r="C83" s="48" t="s">
        <v>62</v>
      </c>
      <c r="D83" s="49" t="s">
        <v>63</v>
      </c>
      <c r="E83" s="17" t="s">
        <v>39</v>
      </c>
      <c r="F83" s="17"/>
      <c r="G83" s="17" t="s">
        <v>50</v>
      </c>
      <c r="H83" s="37">
        <v>2023</v>
      </c>
      <c r="I83" s="131">
        <v>12</v>
      </c>
      <c r="J83" s="82">
        <v>45604</v>
      </c>
      <c r="K83" s="59"/>
      <c r="L83" s="27">
        <v>2.2480000000000002</v>
      </c>
      <c r="M83" s="27">
        <f t="shared" si="77"/>
        <v>2.286</v>
      </c>
      <c r="N83" s="27">
        <v>3.7999999999999999E-2</v>
      </c>
      <c r="O83" s="27">
        <f t="shared" si="73"/>
        <v>0</v>
      </c>
      <c r="P83" s="125">
        <v>1</v>
      </c>
      <c r="Q83" s="126">
        <f t="shared" si="38"/>
        <v>2.2480000000000002</v>
      </c>
      <c r="R83" s="28">
        <v>23728</v>
      </c>
      <c r="S83" s="28">
        <f t="shared" si="81"/>
        <v>894640</v>
      </c>
      <c r="T83" s="27">
        <v>136500</v>
      </c>
      <c r="U83" s="40">
        <f t="shared" si="74"/>
        <v>102503.67999999999</v>
      </c>
      <c r="V83" s="17" t="s">
        <v>51</v>
      </c>
      <c r="W83" s="101" t="s">
        <v>42</v>
      </c>
      <c r="X83" s="29">
        <v>11</v>
      </c>
      <c r="Y83" s="29" t="s">
        <v>52</v>
      </c>
      <c r="Z83" s="29" t="s">
        <v>53</v>
      </c>
      <c r="AA83" s="30">
        <v>0.2</v>
      </c>
      <c r="AB83" s="40">
        <f t="shared" si="76"/>
        <v>54242.207999999999</v>
      </c>
      <c r="AC83" s="114">
        <f t="shared" si="48"/>
        <v>4745.6000000000004</v>
      </c>
      <c r="AD83" s="28">
        <f t="shared" si="75"/>
        <v>261.00799999999998</v>
      </c>
      <c r="AE83" s="17"/>
    </row>
    <row r="84" spans="1:31" s="32" customFormat="1" x14ac:dyDescent="0.2">
      <c r="A84" s="7" t="s">
        <v>59</v>
      </c>
      <c r="B84" s="17" t="str">
        <f>VLOOKUP(A84,[1]Sheet1!$A:$B,2,0)</f>
        <v>HP</v>
      </c>
      <c r="C84" s="48" t="s">
        <v>60</v>
      </c>
      <c r="D84" s="49" t="s">
        <v>61</v>
      </c>
      <c r="E84" s="17" t="s">
        <v>39</v>
      </c>
      <c r="F84" s="17"/>
      <c r="G84" s="17" t="s">
        <v>50</v>
      </c>
      <c r="H84" s="37">
        <v>2023</v>
      </c>
      <c r="I84" s="131">
        <v>11</v>
      </c>
      <c r="J84" s="82">
        <v>45604</v>
      </c>
      <c r="K84" s="59"/>
      <c r="L84" s="27">
        <v>17.648</v>
      </c>
      <c r="M84" s="27">
        <f t="shared" si="77"/>
        <v>17.792999999999999</v>
      </c>
      <c r="N84" s="27">
        <v>0.14499999999999999</v>
      </c>
      <c r="O84" s="27">
        <f t="shared" si="73"/>
        <v>0</v>
      </c>
      <c r="P84" s="125">
        <v>1</v>
      </c>
      <c r="Q84" s="126">
        <f t="shared" si="38"/>
        <v>17.648</v>
      </c>
      <c r="R84" s="28">
        <v>0</v>
      </c>
      <c r="S84" s="28">
        <f t="shared" si="81"/>
        <v>767268</v>
      </c>
      <c r="T84" s="27">
        <v>520200</v>
      </c>
      <c r="U84" s="40">
        <f t="shared" si="74"/>
        <v>408946.14</v>
      </c>
      <c r="V84" s="17" t="s">
        <v>51</v>
      </c>
      <c r="W84" s="101" t="s">
        <v>42</v>
      </c>
      <c r="X84" s="29">
        <v>47</v>
      </c>
      <c r="Y84" s="29" t="s">
        <v>52</v>
      </c>
      <c r="Z84" s="29" t="s">
        <v>53</v>
      </c>
      <c r="AA84" s="30">
        <v>1.2</v>
      </c>
      <c r="AB84" s="40">
        <f t="shared" si="76"/>
        <v>0</v>
      </c>
      <c r="AC84" s="114">
        <f t="shared" si="48"/>
        <v>0</v>
      </c>
      <c r="AD84" s="28">
        <f t="shared" si="75"/>
        <v>0</v>
      </c>
      <c r="AE84" s="17"/>
    </row>
    <row r="85" spans="1:31" s="32" customFormat="1" x14ac:dyDescent="0.2">
      <c r="A85" s="7" t="s">
        <v>59</v>
      </c>
      <c r="B85" s="17" t="str">
        <f>VLOOKUP(A85,[1]Sheet1!$A:$B,2,0)</f>
        <v>HP</v>
      </c>
      <c r="C85" s="48" t="s">
        <v>62</v>
      </c>
      <c r="D85" s="49" t="s">
        <v>63</v>
      </c>
      <c r="E85" s="17" t="s">
        <v>39</v>
      </c>
      <c r="F85" s="17"/>
      <c r="G85" s="17" t="s">
        <v>50</v>
      </c>
      <c r="H85" s="37">
        <v>2023</v>
      </c>
      <c r="I85" s="131">
        <v>11</v>
      </c>
      <c r="J85" s="82">
        <v>45604</v>
      </c>
      <c r="K85" s="59"/>
      <c r="L85" s="27">
        <v>2.2480000000000002</v>
      </c>
      <c r="M85" s="27">
        <f t="shared" si="77"/>
        <v>2.286</v>
      </c>
      <c r="N85" s="27">
        <v>3.7999999999999999E-2</v>
      </c>
      <c r="O85" s="27">
        <f t="shared" si="73"/>
        <v>0</v>
      </c>
      <c r="P85" s="125">
        <v>1</v>
      </c>
      <c r="Q85" s="126">
        <f t="shared" si="38"/>
        <v>2.2480000000000002</v>
      </c>
      <c r="R85" s="28">
        <v>0</v>
      </c>
      <c r="S85" s="28">
        <f t="shared" si="81"/>
        <v>870912</v>
      </c>
      <c r="T85" s="27">
        <v>136500</v>
      </c>
      <c r="U85" s="40">
        <f t="shared" si="74"/>
        <v>103405.344</v>
      </c>
      <c r="V85" s="17" t="s">
        <v>51</v>
      </c>
      <c r="W85" s="101" t="s">
        <v>42</v>
      </c>
      <c r="X85" s="29">
        <v>11</v>
      </c>
      <c r="Y85" s="29" t="s">
        <v>52</v>
      </c>
      <c r="Z85" s="29" t="s">
        <v>53</v>
      </c>
      <c r="AA85" s="30">
        <v>0.2</v>
      </c>
      <c r="AB85" s="40">
        <f t="shared" si="76"/>
        <v>0</v>
      </c>
      <c r="AC85" s="114">
        <f t="shared" si="48"/>
        <v>0</v>
      </c>
      <c r="AD85" s="28">
        <f t="shared" si="75"/>
        <v>0</v>
      </c>
      <c r="AE85" s="17"/>
    </row>
    <row r="86" spans="1:31" s="32" customFormat="1" x14ac:dyDescent="0.2">
      <c r="A86" s="7" t="s">
        <v>59</v>
      </c>
      <c r="B86" s="17" t="str">
        <f>VLOOKUP(A86,[1]Sheet1!$A:$B,2,0)</f>
        <v>HP</v>
      </c>
      <c r="C86" s="48" t="s">
        <v>60</v>
      </c>
      <c r="D86" s="49" t="s">
        <v>61</v>
      </c>
      <c r="E86" s="17" t="s">
        <v>39</v>
      </c>
      <c r="F86" s="17"/>
      <c r="G86" s="17" t="s">
        <v>50</v>
      </c>
      <c r="H86" s="37">
        <v>2023</v>
      </c>
      <c r="I86" s="131">
        <v>10</v>
      </c>
      <c r="J86" s="82">
        <v>45604</v>
      </c>
      <c r="K86" s="59"/>
      <c r="L86" s="27">
        <v>17.648</v>
      </c>
      <c r="M86" s="27">
        <f t="shared" si="77"/>
        <v>17.792999999999999</v>
      </c>
      <c r="N86" s="27">
        <v>0.14499999999999999</v>
      </c>
      <c r="O86" s="27">
        <f t="shared" si="73"/>
        <v>0</v>
      </c>
      <c r="P86" s="125">
        <v>1</v>
      </c>
      <c r="Q86" s="126">
        <f t="shared" ref="Q86:Q128" si="82">P86*L86</f>
        <v>17.648</v>
      </c>
      <c r="R86" s="28">
        <v>16273</v>
      </c>
      <c r="S86" s="28">
        <f t="shared" si="81"/>
        <v>767268</v>
      </c>
      <c r="T86" s="27">
        <v>520200</v>
      </c>
      <c r="U86" s="40">
        <f t="shared" si="74"/>
        <v>408946.14</v>
      </c>
      <c r="V86" s="17" t="s">
        <v>51</v>
      </c>
      <c r="W86" s="101" t="s">
        <v>42</v>
      </c>
      <c r="X86" s="29">
        <v>47</v>
      </c>
      <c r="Y86" s="29" t="s">
        <v>52</v>
      </c>
      <c r="Z86" s="29" t="s">
        <v>53</v>
      </c>
      <c r="AA86" s="30">
        <v>1.2</v>
      </c>
      <c r="AB86" s="40">
        <f t="shared" si="76"/>
        <v>289545.489</v>
      </c>
      <c r="AC86" s="114">
        <f t="shared" si="48"/>
        <v>19527.599999999999</v>
      </c>
      <c r="AD86" s="28">
        <f t="shared" si="75"/>
        <v>764.83100000000002</v>
      </c>
      <c r="AE86" s="17"/>
    </row>
    <row r="87" spans="1:31" s="32" customFormat="1" x14ac:dyDescent="0.2">
      <c r="A87" s="7" t="s">
        <v>59</v>
      </c>
      <c r="B87" s="17" t="str">
        <f>VLOOKUP(A87,[1]Sheet1!$A:$B,2,0)</f>
        <v>HP</v>
      </c>
      <c r="C87" s="48" t="s">
        <v>62</v>
      </c>
      <c r="D87" s="49" t="s">
        <v>63</v>
      </c>
      <c r="E87" s="17" t="s">
        <v>39</v>
      </c>
      <c r="F87" s="17"/>
      <c r="G87" s="17" t="s">
        <v>50</v>
      </c>
      <c r="H87" s="37">
        <v>2023</v>
      </c>
      <c r="I87" s="131">
        <v>10</v>
      </c>
      <c r="J87" s="82">
        <v>45604</v>
      </c>
      <c r="K87" s="59"/>
      <c r="L87" s="27">
        <v>2.2480000000000002</v>
      </c>
      <c r="M87" s="27">
        <f t="shared" si="77"/>
        <v>2.286</v>
      </c>
      <c r="N87" s="27">
        <v>3.7999999999999999E-2</v>
      </c>
      <c r="O87" s="27">
        <f t="shared" si="73"/>
        <v>0</v>
      </c>
      <c r="P87" s="125">
        <v>1</v>
      </c>
      <c r="Q87" s="126">
        <f t="shared" si="82"/>
        <v>2.2480000000000002</v>
      </c>
      <c r="R87" s="28">
        <v>32400</v>
      </c>
      <c r="S87" s="28">
        <f t="shared" si="81"/>
        <v>870912</v>
      </c>
      <c r="T87" s="27">
        <v>136500</v>
      </c>
      <c r="U87" s="40">
        <f t="shared" si="74"/>
        <v>103405.344</v>
      </c>
      <c r="V87" s="17" t="s">
        <v>51</v>
      </c>
      <c r="W87" s="101" t="s">
        <v>42</v>
      </c>
      <c r="X87" s="29">
        <v>11</v>
      </c>
      <c r="Y87" s="29" t="s">
        <v>52</v>
      </c>
      <c r="Z87" s="29" t="s">
        <v>53</v>
      </c>
      <c r="AA87" s="30">
        <v>0.2</v>
      </c>
      <c r="AB87" s="40">
        <f t="shared" si="76"/>
        <v>74066.399999999994</v>
      </c>
      <c r="AC87" s="114">
        <f t="shared" si="48"/>
        <v>6480</v>
      </c>
      <c r="AD87" s="28">
        <f t="shared" si="75"/>
        <v>356.4</v>
      </c>
      <c r="AE87" s="17"/>
    </row>
    <row r="88" spans="1:31" s="32" customFormat="1" x14ac:dyDescent="0.2">
      <c r="A88" s="7" t="s">
        <v>59</v>
      </c>
      <c r="B88" s="17" t="str">
        <f>VLOOKUP(A88,[1]Sheet1!$A:$B,2,0)</f>
        <v>HP</v>
      </c>
      <c r="C88" s="48" t="s">
        <v>60</v>
      </c>
      <c r="D88" s="49" t="s">
        <v>61</v>
      </c>
      <c r="E88" s="17" t="s">
        <v>39</v>
      </c>
      <c r="F88" s="17"/>
      <c r="G88" s="17" t="s">
        <v>50</v>
      </c>
      <c r="H88" s="37">
        <v>2023</v>
      </c>
      <c r="I88" s="131">
        <v>9</v>
      </c>
      <c r="J88" s="82">
        <v>45604</v>
      </c>
      <c r="K88" s="59"/>
      <c r="L88" s="27">
        <v>17.648</v>
      </c>
      <c r="M88" s="27">
        <f t="shared" si="77"/>
        <v>17.792999999999999</v>
      </c>
      <c r="N88" s="27">
        <v>0.14499999999999999</v>
      </c>
      <c r="O88" s="27">
        <f t="shared" si="73"/>
        <v>0</v>
      </c>
      <c r="P88" s="125">
        <v>1</v>
      </c>
      <c r="Q88" s="126">
        <f t="shared" si="82"/>
        <v>17.648</v>
      </c>
      <c r="R88" s="28">
        <v>111131</v>
      </c>
      <c r="S88" s="28">
        <f t="shared" si="81"/>
        <v>750995</v>
      </c>
      <c r="T88" s="27">
        <v>520200</v>
      </c>
      <c r="U88" s="40">
        <f t="shared" si="74"/>
        <v>411305.72499999998</v>
      </c>
      <c r="V88" s="17" t="s">
        <v>51</v>
      </c>
      <c r="W88" s="101" t="s">
        <v>42</v>
      </c>
      <c r="X88" s="29">
        <v>47</v>
      </c>
      <c r="Y88" s="29" t="s">
        <v>52</v>
      </c>
      <c r="Z88" s="29" t="s">
        <v>53</v>
      </c>
      <c r="AA88" s="30">
        <v>1.2</v>
      </c>
      <c r="AB88" s="40">
        <f t="shared" si="76"/>
        <v>1977353.8829999999</v>
      </c>
      <c r="AC88" s="114">
        <f t="shared" si="48"/>
        <v>133357.19999999998</v>
      </c>
      <c r="AD88" s="28">
        <f t="shared" si="75"/>
        <v>5223.1570000000002</v>
      </c>
      <c r="AE88" s="17"/>
    </row>
    <row r="89" spans="1:31" s="32" customFormat="1" x14ac:dyDescent="0.2">
      <c r="A89" s="7" t="s">
        <v>59</v>
      </c>
      <c r="B89" s="17" t="str">
        <f>VLOOKUP(A89,[1]Sheet1!$A:$B,2,0)</f>
        <v>HP</v>
      </c>
      <c r="C89" s="48" t="s">
        <v>62</v>
      </c>
      <c r="D89" s="49" t="s">
        <v>63</v>
      </c>
      <c r="E89" s="17" t="s">
        <v>39</v>
      </c>
      <c r="F89" s="17"/>
      <c r="G89" s="17" t="s">
        <v>50</v>
      </c>
      <c r="H89" s="37">
        <v>2023</v>
      </c>
      <c r="I89" s="131">
        <v>9</v>
      </c>
      <c r="J89" s="82">
        <v>45604</v>
      </c>
      <c r="K89" s="59"/>
      <c r="L89" s="27">
        <v>2.2480000000000002</v>
      </c>
      <c r="M89" s="27">
        <f t="shared" si="77"/>
        <v>2.286</v>
      </c>
      <c r="N89" s="27">
        <v>3.7999999999999999E-2</v>
      </c>
      <c r="O89" s="27">
        <f t="shared" si="73"/>
        <v>0</v>
      </c>
      <c r="P89" s="125">
        <v>1</v>
      </c>
      <c r="Q89" s="126">
        <f t="shared" si="82"/>
        <v>2.2480000000000002</v>
      </c>
      <c r="R89" s="28">
        <v>146880</v>
      </c>
      <c r="S89" s="28">
        <f t="shared" si="81"/>
        <v>838512</v>
      </c>
      <c r="T89" s="27">
        <v>136500</v>
      </c>
      <c r="U89" s="40">
        <f t="shared" si="74"/>
        <v>104636.54399999999</v>
      </c>
      <c r="V89" s="17" t="s">
        <v>51</v>
      </c>
      <c r="W89" s="101" t="s">
        <v>42</v>
      </c>
      <c r="X89" s="29">
        <v>11</v>
      </c>
      <c r="Y89" s="29" t="s">
        <v>52</v>
      </c>
      <c r="Z89" s="29" t="s">
        <v>53</v>
      </c>
      <c r="AA89" s="30">
        <v>0.2</v>
      </c>
      <c r="AB89" s="40">
        <f t="shared" si="76"/>
        <v>335767.68</v>
      </c>
      <c r="AC89" s="114">
        <f t="shared" si="48"/>
        <v>29376</v>
      </c>
      <c r="AD89" s="28">
        <f t="shared" si="75"/>
        <v>1615.68</v>
      </c>
      <c r="AE89" s="17"/>
    </row>
    <row r="90" spans="1:31" s="32" customFormat="1" x14ac:dyDescent="0.2">
      <c r="A90" s="7" t="s">
        <v>59</v>
      </c>
      <c r="B90" s="17" t="str">
        <f>VLOOKUP(A90,[1]Sheet1!$A:$B,2,0)</f>
        <v>HP</v>
      </c>
      <c r="C90" s="48" t="s">
        <v>60</v>
      </c>
      <c r="D90" s="49" t="s">
        <v>61</v>
      </c>
      <c r="E90" s="17" t="s">
        <v>39</v>
      </c>
      <c r="F90" s="17"/>
      <c r="G90" s="17" t="s">
        <v>50</v>
      </c>
      <c r="H90" s="37">
        <v>2023</v>
      </c>
      <c r="I90" s="131">
        <v>8</v>
      </c>
      <c r="J90" s="82">
        <v>45604</v>
      </c>
      <c r="K90" s="59"/>
      <c r="L90" s="27">
        <v>17.648</v>
      </c>
      <c r="M90" s="27">
        <f t="shared" si="77"/>
        <v>17.792999999999999</v>
      </c>
      <c r="N90" s="27">
        <v>0.14499999999999999</v>
      </c>
      <c r="O90" s="27">
        <f t="shared" si="73"/>
        <v>0</v>
      </c>
      <c r="P90" s="125">
        <v>1</v>
      </c>
      <c r="Q90" s="126">
        <f t="shared" si="82"/>
        <v>17.648</v>
      </c>
      <c r="R90" s="28">
        <v>124863</v>
      </c>
      <c r="S90" s="28">
        <f t="shared" si="81"/>
        <v>639864</v>
      </c>
      <c r="T90" s="27">
        <v>520200</v>
      </c>
      <c r="U90" s="40">
        <f t="shared" si="74"/>
        <v>427419.72</v>
      </c>
      <c r="V90" s="17" t="s">
        <v>51</v>
      </c>
      <c r="W90" s="101" t="s">
        <v>42</v>
      </c>
      <c r="X90" s="29">
        <v>47</v>
      </c>
      <c r="Y90" s="29" t="s">
        <v>52</v>
      </c>
      <c r="Z90" s="29" t="s">
        <v>53</v>
      </c>
      <c r="AA90" s="30">
        <v>1.2</v>
      </c>
      <c r="AB90" s="40">
        <f t="shared" si="76"/>
        <v>2221687.3589999997</v>
      </c>
      <c r="AC90" s="114">
        <f t="shared" ref="AC90:AC128" si="83">AA90*R90</f>
        <v>149835.6</v>
      </c>
      <c r="AD90" s="28">
        <f t="shared" si="75"/>
        <v>5868.5609999999997</v>
      </c>
      <c r="AE90" s="17"/>
    </row>
    <row r="91" spans="1:31" s="32" customFormat="1" x14ac:dyDescent="0.2">
      <c r="A91" s="7" t="s">
        <v>59</v>
      </c>
      <c r="B91" s="17" t="str">
        <f>VLOOKUP(A91,[1]Sheet1!$A:$B,2,0)</f>
        <v>HP</v>
      </c>
      <c r="C91" s="48" t="s">
        <v>62</v>
      </c>
      <c r="D91" s="49" t="s">
        <v>63</v>
      </c>
      <c r="E91" s="17" t="s">
        <v>39</v>
      </c>
      <c r="F91" s="17"/>
      <c r="G91" s="17" t="s">
        <v>50</v>
      </c>
      <c r="H91" s="37">
        <v>2023</v>
      </c>
      <c r="I91" s="131">
        <v>8</v>
      </c>
      <c r="J91" s="82">
        <v>45604</v>
      </c>
      <c r="K91" s="59"/>
      <c r="L91" s="27">
        <v>2.2480000000000002</v>
      </c>
      <c r="M91" s="27">
        <f t="shared" si="77"/>
        <v>2.286</v>
      </c>
      <c r="N91" s="27">
        <v>3.7999999999999999E-2</v>
      </c>
      <c r="O91" s="27">
        <f t="shared" si="73"/>
        <v>0</v>
      </c>
      <c r="P91" s="125">
        <v>1</v>
      </c>
      <c r="Q91" s="126">
        <f t="shared" si="82"/>
        <v>2.2480000000000002</v>
      </c>
      <c r="R91" s="28">
        <v>138240</v>
      </c>
      <c r="S91" s="28">
        <f t="shared" si="81"/>
        <v>691632</v>
      </c>
      <c r="T91" s="27">
        <v>136500</v>
      </c>
      <c r="U91" s="40">
        <f t="shared" si="74"/>
        <v>110217.984</v>
      </c>
      <c r="V91" s="17" t="s">
        <v>51</v>
      </c>
      <c r="W91" s="101" t="s">
        <v>42</v>
      </c>
      <c r="X91" s="29">
        <v>11</v>
      </c>
      <c r="Y91" s="29" t="s">
        <v>52</v>
      </c>
      <c r="Z91" s="29" t="s">
        <v>53</v>
      </c>
      <c r="AA91" s="30">
        <v>0.2</v>
      </c>
      <c r="AB91" s="40">
        <f t="shared" si="76"/>
        <v>316016.64000000001</v>
      </c>
      <c r="AC91" s="114">
        <f t="shared" si="83"/>
        <v>27648</v>
      </c>
      <c r="AD91" s="28">
        <f t="shared" si="75"/>
        <v>1520.64</v>
      </c>
      <c r="AE91" s="17"/>
    </row>
    <row r="92" spans="1:31" s="32" customFormat="1" x14ac:dyDescent="0.2">
      <c r="A92" s="7" t="s">
        <v>59</v>
      </c>
      <c r="B92" s="17" t="str">
        <f>VLOOKUP(A92,[1]Sheet1!$A:$B,2,0)</f>
        <v>HP</v>
      </c>
      <c r="C92" s="48" t="s">
        <v>60</v>
      </c>
      <c r="D92" s="49" t="s">
        <v>61</v>
      </c>
      <c r="E92" s="17" t="s">
        <v>39</v>
      </c>
      <c r="F92" s="17"/>
      <c r="G92" s="17" t="s">
        <v>50</v>
      </c>
      <c r="H92" s="37">
        <v>2023</v>
      </c>
      <c r="I92" s="131">
        <v>7</v>
      </c>
      <c r="J92" s="82">
        <v>45604</v>
      </c>
      <c r="K92" s="59"/>
      <c r="L92" s="27">
        <v>17.648</v>
      </c>
      <c r="M92" s="27">
        <f t="shared" si="77"/>
        <v>17.792999999999999</v>
      </c>
      <c r="N92" s="27">
        <v>0.14499999999999999</v>
      </c>
      <c r="O92" s="27">
        <f t="shared" si="73"/>
        <v>0</v>
      </c>
      <c r="P92" s="125">
        <v>1</v>
      </c>
      <c r="Q92" s="126">
        <f t="shared" si="82"/>
        <v>17.648</v>
      </c>
      <c r="R92" s="28">
        <v>110367</v>
      </c>
      <c r="S92" s="28">
        <f t="shared" si="81"/>
        <v>515001</v>
      </c>
      <c r="T92" s="27">
        <v>520200</v>
      </c>
      <c r="U92" s="40">
        <f t="shared" si="74"/>
        <v>445524.85499999998</v>
      </c>
      <c r="V92" s="17" t="s">
        <v>51</v>
      </c>
      <c r="W92" s="101" t="s">
        <v>42</v>
      </c>
      <c r="X92" s="29">
        <v>47</v>
      </c>
      <c r="Y92" s="29" t="s">
        <v>52</v>
      </c>
      <c r="Z92" s="29" t="s">
        <v>53</v>
      </c>
      <c r="AA92" s="30">
        <v>1.2</v>
      </c>
      <c r="AB92" s="40">
        <f t="shared" si="76"/>
        <v>1963760.031</v>
      </c>
      <c r="AC92" s="114">
        <f t="shared" si="83"/>
        <v>132440.4</v>
      </c>
      <c r="AD92" s="28">
        <f t="shared" si="75"/>
        <v>5187.2489999999998</v>
      </c>
      <c r="AE92" s="17"/>
    </row>
    <row r="93" spans="1:31" s="32" customFormat="1" x14ac:dyDescent="0.2">
      <c r="A93" s="7" t="s">
        <v>59</v>
      </c>
      <c r="B93" s="17" t="str">
        <f>VLOOKUP(A93,[1]Sheet1!$A:$B,2,0)</f>
        <v>HP</v>
      </c>
      <c r="C93" s="48" t="s">
        <v>62</v>
      </c>
      <c r="D93" s="49" t="s">
        <v>63</v>
      </c>
      <c r="E93" s="17" t="s">
        <v>39</v>
      </c>
      <c r="F93" s="17"/>
      <c r="G93" s="17" t="s">
        <v>50</v>
      </c>
      <c r="H93" s="37">
        <v>2023</v>
      </c>
      <c r="I93" s="131">
        <v>7</v>
      </c>
      <c r="J93" s="82">
        <v>45604</v>
      </c>
      <c r="K93" s="59"/>
      <c r="L93" s="27">
        <v>2.2480000000000002</v>
      </c>
      <c r="M93" s="27">
        <f t="shared" si="77"/>
        <v>2.286</v>
      </c>
      <c r="N93" s="27">
        <v>3.7999999999999999E-2</v>
      </c>
      <c r="O93" s="27">
        <f t="shared" ref="O93:O123" si="84">K93*N93</f>
        <v>0</v>
      </c>
      <c r="P93" s="125">
        <v>1</v>
      </c>
      <c r="Q93" s="126">
        <f t="shared" si="82"/>
        <v>2.2480000000000002</v>
      </c>
      <c r="R93" s="28">
        <v>111843</v>
      </c>
      <c r="S93" s="28">
        <f t="shared" si="81"/>
        <v>553392</v>
      </c>
      <c r="T93" s="27">
        <v>136500</v>
      </c>
      <c r="U93" s="40">
        <f t="shared" si="74"/>
        <v>115471.10399999999</v>
      </c>
      <c r="V93" s="17" t="s">
        <v>51</v>
      </c>
      <c r="W93" s="101" t="s">
        <v>42</v>
      </c>
      <c r="X93" s="29">
        <v>11</v>
      </c>
      <c r="Y93" s="29" t="s">
        <v>52</v>
      </c>
      <c r="Z93" s="29" t="s">
        <v>53</v>
      </c>
      <c r="AA93" s="30">
        <v>0.2</v>
      </c>
      <c r="AB93" s="40">
        <f t="shared" si="76"/>
        <v>255673.098</v>
      </c>
      <c r="AC93" s="114">
        <f t="shared" si="83"/>
        <v>22368.600000000002</v>
      </c>
      <c r="AD93" s="28">
        <f t="shared" si="75"/>
        <v>1230.2729999999999</v>
      </c>
      <c r="AE93" s="17"/>
    </row>
    <row r="94" spans="1:31" s="32" customFormat="1" x14ac:dyDescent="0.2">
      <c r="A94" s="7" t="s">
        <v>59</v>
      </c>
      <c r="B94" s="17" t="str">
        <f>VLOOKUP(A94,[1]Sheet1!$A:$B,2,0)</f>
        <v>HP</v>
      </c>
      <c r="C94" s="48" t="s">
        <v>60</v>
      </c>
      <c r="D94" s="49" t="s">
        <v>61</v>
      </c>
      <c r="E94" s="17" t="s">
        <v>39</v>
      </c>
      <c r="F94" s="17"/>
      <c r="G94" s="17" t="s">
        <v>50</v>
      </c>
      <c r="H94" s="37">
        <v>2023</v>
      </c>
      <c r="I94" s="131">
        <v>6</v>
      </c>
      <c r="J94" s="82">
        <v>45604</v>
      </c>
      <c r="K94" s="59"/>
      <c r="L94" s="27">
        <v>17.648</v>
      </c>
      <c r="M94" s="27">
        <f t="shared" si="77"/>
        <v>17.792999999999999</v>
      </c>
      <c r="N94" s="27">
        <v>0.14499999999999999</v>
      </c>
      <c r="O94" s="27">
        <f t="shared" si="84"/>
        <v>0</v>
      </c>
      <c r="P94" s="125">
        <v>1</v>
      </c>
      <c r="Q94" s="126">
        <f t="shared" si="82"/>
        <v>17.648</v>
      </c>
      <c r="R94" s="28">
        <v>69327</v>
      </c>
      <c r="S94" s="28">
        <f t="shared" si="81"/>
        <v>404634</v>
      </c>
      <c r="T94" s="27">
        <v>520200</v>
      </c>
      <c r="U94" s="40">
        <f t="shared" si="74"/>
        <v>461528.07</v>
      </c>
      <c r="V94" s="17" t="s">
        <v>51</v>
      </c>
      <c r="W94" s="101" t="s">
        <v>42</v>
      </c>
      <c r="X94" s="29">
        <v>47</v>
      </c>
      <c r="Y94" s="29" t="s">
        <v>52</v>
      </c>
      <c r="Z94" s="29" t="s">
        <v>53</v>
      </c>
      <c r="AA94" s="30">
        <v>1.2</v>
      </c>
      <c r="AB94" s="40">
        <f t="shared" si="76"/>
        <v>1233535.311</v>
      </c>
      <c r="AC94" s="114">
        <f t="shared" si="83"/>
        <v>83192.399999999994</v>
      </c>
      <c r="AD94" s="28">
        <f t="shared" si="75"/>
        <v>3258.3690000000001</v>
      </c>
      <c r="AE94" s="17"/>
    </row>
    <row r="95" spans="1:31" s="32" customFormat="1" x14ac:dyDescent="0.2">
      <c r="A95" s="7" t="s">
        <v>59</v>
      </c>
      <c r="B95" s="17" t="str">
        <f>VLOOKUP(A95,[1]Sheet1!$A:$B,2,0)</f>
        <v>HP</v>
      </c>
      <c r="C95" s="48" t="s">
        <v>62</v>
      </c>
      <c r="D95" s="49" t="s">
        <v>63</v>
      </c>
      <c r="E95" s="17" t="s">
        <v>39</v>
      </c>
      <c r="F95" s="17"/>
      <c r="G95" s="17" t="s">
        <v>50</v>
      </c>
      <c r="H95" s="37">
        <v>2023</v>
      </c>
      <c r="I95" s="131">
        <v>6</v>
      </c>
      <c r="J95" s="82">
        <v>45604</v>
      </c>
      <c r="K95" s="59"/>
      <c r="L95" s="27">
        <v>2.2480000000000002</v>
      </c>
      <c r="M95" s="27">
        <f t="shared" si="77"/>
        <v>2.286</v>
      </c>
      <c r="N95" s="27">
        <v>3.7999999999999999E-2</v>
      </c>
      <c r="O95" s="27">
        <f t="shared" si="84"/>
        <v>0</v>
      </c>
      <c r="P95" s="125">
        <v>1</v>
      </c>
      <c r="Q95" s="126">
        <f t="shared" si="82"/>
        <v>2.2480000000000002</v>
      </c>
      <c r="R95" s="28">
        <v>87182</v>
      </c>
      <c r="S95" s="28">
        <f t="shared" si="81"/>
        <v>441549</v>
      </c>
      <c r="T95" s="27">
        <v>136500</v>
      </c>
      <c r="U95" s="40">
        <f t="shared" si="74"/>
        <v>119721.13800000001</v>
      </c>
      <c r="V95" s="17" t="s">
        <v>51</v>
      </c>
      <c r="W95" s="101" t="s">
        <v>42</v>
      </c>
      <c r="X95" s="29">
        <v>11</v>
      </c>
      <c r="Y95" s="29" t="s">
        <v>52</v>
      </c>
      <c r="Z95" s="29" t="s">
        <v>53</v>
      </c>
      <c r="AA95" s="30">
        <v>0.2</v>
      </c>
      <c r="AB95" s="40">
        <f t="shared" si="76"/>
        <v>199298.052</v>
      </c>
      <c r="AC95" s="114">
        <f t="shared" si="83"/>
        <v>17436.400000000001</v>
      </c>
      <c r="AD95" s="28">
        <f t="shared" si="75"/>
        <v>959.00199999999995</v>
      </c>
      <c r="AE95" s="17"/>
    </row>
    <row r="96" spans="1:31" s="32" customFormat="1" x14ac:dyDescent="0.2">
      <c r="A96" s="7" t="s">
        <v>59</v>
      </c>
      <c r="B96" s="17" t="str">
        <f>VLOOKUP(A96,[1]Sheet1!$A:$B,2,0)</f>
        <v>HP</v>
      </c>
      <c r="C96" s="48" t="s">
        <v>60</v>
      </c>
      <c r="D96" s="49" t="s">
        <v>61</v>
      </c>
      <c r="E96" s="17" t="s">
        <v>39</v>
      </c>
      <c r="F96" s="17"/>
      <c r="G96" s="17" t="s">
        <v>50</v>
      </c>
      <c r="H96" s="37">
        <v>2023</v>
      </c>
      <c r="I96" s="131">
        <v>5</v>
      </c>
      <c r="J96" s="82">
        <v>45604</v>
      </c>
      <c r="K96" s="59"/>
      <c r="L96" s="27">
        <v>17.648</v>
      </c>
      <c r="M96" s="27">
        <f t="shared" si="77"/>
        <v>17.792999999999999</v>
      </c>
      <c r="N96" s="27">
        <v>0.14499999999999999</v>
      </c>
      <c r="O96" s="27">
        <f t="shared" si="84"/>
        <v>0</v>
      </c>
      <c r="P96" s="125">
        <v>1</v>
      </c>
      <c r="Q96" s="126">
        <f t="shared" si="82"/>
        <v>17.648</v>
      </c>
      <c r="R96" s="28">
        <v>88604</v>
      </c>
      <c r="S96" s="28">
        <f t="shared" si="81"/>
        <v>335307</v>
      </c>
      <c r="T96" s="27">
        <v>520200</v>
      </c>
      <c r="U96" s="40">
        <f t="shared" si="74"/>
        <v>471580.48499999999</v>
      </c>
      <c r="V96" s="17" t="s">
        <v>51</v>
      </c>
      <c r="W96" s="101" t="s">
        <v>42</v>
      </c>
      <c r="X96" s="29">
        <v>47</v>
      </c>
      <c r="Y96" s="29" t="s">
        <v>52</v>
      </c>
      <c r="Z96" s="29" t="s">
        <v>53</v>
      </c>
      <c r="AA96" s="30">
        <v>1.2</v>
      </c>
      <c r="AB96" s="40">
        <f t="shared" si="76"/>
        <v>1576530.9719999998</v>
      </c>
      <c r="AC96" s="114">
        <f t="shared" si="83"/>
        <v>106324.8</v>
      </c>
      <c r="AD96" s="28">
        <f t="shared" si="75"/>
        <v>4164.3879999999999</v>
      </c>
      <c r="AE96" s="17"/>
    </row>
    <row r="97" spans="1:31" s="32" customFormat="1" x14ac:dyDescent="0.2">
      <c r="A97" s="7" t="s">
        <v>59</v>
      </c>
      <c r="B97" s="17" t="str">
        <f>VLOOKUP(A97,[1]Sheet1!$A:$B,2,0)</f>
        <v>HP</v>
      </c>
      <c r="C97" s="48" t="s">
        <v>62</v>
      </c>
      <c r="D97" s="49" t="s">
        <v>63</v>
      </c>
      <c r="E97" s="17" t="s">
        <v>39</v>
      </c>
      <c r="F97" s="17"/>
      <c r="G97" s="17" t="s">
        <v>50</v>
      </c>
      <c r="H97" s="37">
        <v>2023</v>
      </c>
      <c r="I97" s="131">
        <v>5</v>
      </c>
      <c r="J97" s="82">
        <v>45604</v>
      </c>
      <c r="K97" s="59"/>
      <c r="L97" s="27">
        <v>2.2480000000000002</v>
      </c>
      <c r="M97" s="27">
        <f t="shared" si="77"/>
        <v>2.286</v>
      </c>
      <c r="N97" s="27">
        <v>3.7999999999999999E-2</v>
      </c>
      <c r="O97" s="27">
        <f t="shared" si="84"/>
        <v>0</v>
      </c>
      <c r="P97" s="125">
        <v>1</v>
      </c>
      <c r="Q97" s="126">
        <f t="shared" si="82"/>
        <v>2.2480000000000002</v>
      </c>
      <c r="R97" s="28">
        <v>97092</v>
      </c>
      <c r="S97" s="28">
        <f t="shared" si="81"/>
        <v>354367</v>
      </c>
      <c r="T97" s="27">
        <v>136500</v>
      </c>
      <c r="U97" s="40">
        <f t="shared" si="74"/>
        <v>123034.054</v>
      </c>
      <c r="V97" s="17" t="s">
        <v>51</v>
      </c>
      <c r="W97" s="101" t="s">
        <v>42</v>
      </c>
      <c r="X97" s="29">
        <v>11</v>
      </c>
      <c r="Y97" s="29" t="s">
        <v>52</v>
      </c>
      <c r="Z97" s="29" t="s">
        <v>53</v>
      </c>
      <c r="AA97" s="30">
        <v>0.2</v>
      </c>
      <c r="AB97" s="40">
        <f t="shared" si="76"/>
        <v>221952.31200000001</v>
      </c>
      <c r="AC97" s="114">
        <f t="shared" si="83"/>
        <v>19418.400000000001</v>
      </c>
      <c r="AD97" s="28">
        <f t="shared" si="75"/>
        <v>1068.0119999999999</v>
      </c>
      <c r="AE97" s="17"/>
    </row>
    <row r="98" spans="1:31" s="32" customFormat="1" x14ac:dyDescent="0.2">
      <c r="A98" s="7" t="s">
        <v>59</v>
      </c>
      <c r="B98" s="17" t="str">
        <f>VLOOKUP(A98,[1]Sheet1!$A:$B,2,0)</f>
        <v>HP</v>
      </c>
      <c r="C98" s="48" t="s">
        <v>60</v>
      </c>
      <c r="D98" s="49" t="s">
        <v>61</v>
      </c>
      <c r="E98" s="17" t="s">
        <v>39</v>
      </c>
      <c r="F98" s="17"/>
      <c r="G98" s="17" t="s">
        <v>50</v>
      </c>
      <c r="H98" s="37">
        <v>2023</v>
      </c>
      <c r="I98" s="131">
        <v>4</v>
      </c>
      <c r="J98" s="82">
        <v>45604</v>
      </c>
      <c r="K98" s="59"/>
      <c r="L98" s="27">
        <v>17.648</v>
      </c>
      <c r="M98" s="27">
        <f t="shared" si="77"/>
        <v>17.792999999999999</v>
      </c>
      <c r="N98" s="27">
        <v>0.14499999999999999</v>
      </c>
      <c r="O98" s="27">
        <f t="shared" si="84"/>
        <v>0</v>
      </c>
      <c r="P98" s="125">
        <v>1</v>
      </c>
      <c r="Q98" s="126">
        <f t="shared" si="82"/>
        <v>17.648</v>
      </c>
      <c r="R98" s="28">
        <v>77092</v>
      </c>
      <c r="S98" s="28">
        <f t="shared" si="81"/>
        <v>246703</v>
      </c>
      <c r="T98" s="27">
        <v>520200</v>
      </c>
      <c r="U98" s="40">
        <f t="shared" si="74"/>
        <v>484428.065</v>
      </c>
      <c r="V98" s="17" t="s">
        <v>51</v>
      </c>
      <c r="W98" s="101" t="s">
        <v>42</v>
      </c>
      <c r="X98" s="29">
        <v>47</v>
      </c>
      <c r="Y98" s="29" t="s">
        <v>52</v>
      </c>
      <c r="Z98" s="29" t="s">
        <v>53</v>
      </c>
      <c r="AA98" s="30">
        <v>1.2</v>
      </c>
      <c r="AB98" s="40">
        <f t="shared" si="76"/>
        <v>1371697.956</v>
      </c>
      <c r="AC98" s="114">
        <f t="shared" si="83"/>
        <v>92510.399999999994</v>
      </c>
      <c r="AD98" s="28">
        <f t="shared" si="75"/>
        <v>3623.3240000000001</v>
      </c>
      <c r="AE98" s="17"/>
    </row>
    <row r="99" spans="1:31" s="32" customFormat="1" x14ac:dyDescent="0.2">
      <c r="A99" s="7" t="s">
        <v>59</v>
      </c>
      <c r="B99" s="17" t="str">
        <f>VLOOKUP(A99,[1]Sheet1!$A:$B,2,0)</f>
        <v>HP</v>
      </c>
      <c r="C99" s="48" t="s">
        <v>62</v>
      </c>
      <c r="D99" s="49" t="s">
        <v>63</v>
      </c>
      <c r="E99" s="17" t="s">
        <v>39</v>
      </c>
      <c r="F99" s="17"/>
      <c r="G99" s="17" t="s">
        <v>50</v>
      </c>
      <c r="H99" s="37">
        <v>2023</v>
      </c>
      <c r="I99" s="131">
        <v>4</v>
      </c>
      <c r="J99" s="82">
        <v>45604</v>
      </c>
      <c r="K99" s="59"/>
      <c r="L99" s="27">
        <v>2.2480000000000002</v>
      </c>
      <c r="M99" s="27">
        <f t="shared" si="77"/>
        <v>2.286</v>
      </c>
      <c r="N99" s="27">
        <v>3.7999999999999999E-2</v>
      </c>
      <c r="O99" s="27">
        <f t="shared" si="84"/>
        <v>0</v>
      </c>
      <c r="P99" s="125">
        <v>1</v>
      </c>
      <c r="Q99" s="126">
        <f t="shared" si="82"/>
        <v>2.2480000000000002</v>
      </c>
      <c r="R99" s="28">
        <v>66960</v>
      </c>
      <c r="S99" s="28">
        <f t="shared" si="81"/>
        <v>257275</v>
      </c>
      <c r="T99" s="27">
        <v>136500</v>
      </c>
      <c r="U99" s="40">
        <f t="shared" si="74"/>
        <v>126723.55</v>
      </c>
      <c r="V99" s="17" t="s">
        <v>51</v>
      </c>
      <c r="W99" s="101" t="s">
        <v>42</v>
      </c>
      <c r="X99" s="29">
        <v>11</v>
      </c>
      <c r="Y99" s="29" t="s">
        <v>52</v>
      </c>
      <c r="Z99" s="29" t="s">
        <v>53</v>
      </c>
      <c r="AA99" s="30">
        <v>0.2</v>
      </c>
      <c r="AB99" s="40">
        <f t="shared" si="76"/>
        <v>153070.56</v>
      </c>
      <c r="AC99" s="114">
        <f t="shared" si="83"/>
        <v>13392</v>
      </c>
      <c r="AD99" s="28">
        <f t="shared" si="75"/>
        <v>736.56</v>
      </c>
      <c r="AE99" s="17"/>
    </row>
    <row r="100" spans="1:31" s="32" customFormat="1" x14ac:dyDescent="0.2">
      <c r="A100" s="7" t="s">
        <v>59</v>
      </c>
      <c r="B100" s="17" t="str">
        <f>VLOOKUP(A100,[1]Sheet1!$A:$B,2,0)</f>
        <v>HP</v>
      </c>
      <c r="C100" s="48" t="s">
        <v>60</v>
      </c>
      <c r="D100" s="49" t="s">
        <v>61</v>
      </c>
      <c r="E100" s="17" t="s">
        <v>39</v>
      </c>
      <c r="F100" s="17"/>
      <c r="G100" s="17" t="s">
        <v>50</v>
      </c>
      <c r="H100" s="37">
        <v>2023</v>
      </c>
      <c r="I100" s="131">
        <v>3</v>
      </c>
      <c r="J100" s="82">
        <v>45604</v>
      </c>
      <c r="K100" s="59"/>
      <c r="L100" s="27">
        <v>17.648</v>
      </c>
      <c r="M100" s="27">
        <f t="shared" si="77"/>
        <v>17.792999999999999</v>
      </c>
      <c r="N100" s="27">
        <v>0.14499999999999999</v>
      </c>
      <c r="O100" s="27">
        <f t="shared" si="84"/>
        <v>0</v>
      </c>
      <c r="P100" s="125">
        <v>1</v>
      </c>
      <c r="Q100" s="126">
        <f t="shared" si="82"/>
        <v>17.648</v>
      </c>
      <c r="R100" s="28">
        <v>57831</v>
      </c>
      <c r="S100" s="28">
        <f t="shared" si="81"/>
        <v>169611</v>
      </c>
      <c r="T100" s="27">
        <v>520200</v>
      </c>
      <c r="U100" s="40">
        <f t="shared" si="74"/>
        <v>495606.40500000003</v>
      </c>
      <c r="V100" s="17" t="s">
        <v>51</v>
      </c>
      <c r="W100" s="101" t="s">
        <v>42</v>
      </c>
      <c r="X100" s="29">
        <v>47</v>
      </c>
      <c r="Y100" s="29" t="s">
        <v>52</v>
      </c>
      <c r="Z100" s="29" t="s">
        <v>53</v>
      </c>
      <c r="AA100" s="30">
        <v>1.2</v>
      </c>
      <c r="AB100" s="40">
        <f t="shared" si="76"/>
        <v>1028986.983</v>
      </c>
      <c r="AC100" s="114">
        <f t="shared" si="83"/>
        <v>69397.2</v>
      </c>
      <c r="AD100" s="28">
        <f t="shared" si="75"/>
        <v>2718.0569999999998</v>
      </c>
      <c r="AE100" s="17"/>
    </row>
    <row r="101" spans="1:31" s="32" customFormat="1" x14ac:dyDescent="0.2">
      <c r="A101" s="7" t="s">
        <v>59</v>
      </c>
      <c r="B101" s="17" t="str">
        <f>VLOOKUP(A101,[1]Sheet1!$A:$B,2,0)</f>
        <v>HP</v>
      </c>
      <c r="C101" s="48" t="s">
        <v>62</v>
      </c>
      <c r="D101" s="49" t="s">
        <v>63</v>
      </c>
      <c r="E101" s="17" t="s">
        <v>39</v>
      </c>
      <c r="F101" s="17"/>
      <c r="G101" s="17" t="s">
        <v>50</v>
      </c>
      <c r="H101" s="37">
        <v>2023</v>
      </c>
      <c r="I101" s="131">
        <v>3</v>
      </c>
      <c r="J101" s="82">
        <v>45604</v>
      </c>
      <c r="K101" s="59"/>
      <c r="L101" s="27">
        <v>2.2480000000000002</v>
      </c>
      <c r="M101" s="27">
        <f t="shared" si="77"/>
        <v>2.286</v>
      </c>
      <c r="N101" s="27">
        <v>3.7999999999999999E-2</v>
      </c>
      <c r="O101" s="27">
        <f t="shared" si="84"/>
        <v>0</v>
      </c>
      <c r="P101" s="125">
        <v>1</v>
      </c>
      <c r="Q101" s="126">
        <f t="shared" si="82"/>
        <v>2.2480000000000002</v>
      </c>
      <c r="R101" s="28">
        <v>153914</v>
      </c>
      <c r="S101" s="28">
        <f t="shared" si="81"/>
        <v>190315</v>
      </c>
      <c r="T101" s="27">
        <v>136500</v>
      </c>
      <c r="U101" s="40">
        <f t="shared" si="74"/>
        <v>129268.03</v>
      </c>
      <c r="V101" s="17" t="s">
        <v>51</v>
      </c>
      <c r="W101" s="101" t="s">
        <v>42</v>
      </c>
      <c r="X101" s="29">
        <v>11</v>
      </c>
      <c r="Y101" s="29" t="s">
        <v>52</v>
      </c>
      <c r="Z101" s="29" t="s">
        <v>53</v>
      </c>
      <c r="AA101" s="30">
        <v>0.2</v>
      </c>
      <c r="AB101" s="40">
        <f t="shared" si="76"/>
        <v>351847.40399999998</v>
      </c>
      <c r="AC101" s="114">
        <f t="shared" si="83"/>
        <v>30782.800000000003</v>
      </c>
      <c r="AD101" s="28">
        <f t="shared" si="75"/>
        <v>1693.0540000000001</v>
      </c>
      <c r="AE101" s="17"/>
    </row>
    <row r="102" spans="1:31" s="32" customFormat="1" x14ac:dyDescent="0.2">
      <c r="A102" s="7" t="s">
        <v>59</v>
      </c>
      <c r="B102" s="17" t="str">
        <f>VLOOKUP(A102,[1]Sheet1!$A:$B,2,0)</f>
        <v>HP</v>
      </c>
      <c r="C102" s="48" t="s">
        <v>60</v>
      </c>
      <c r="D102" s="49" t="s">
        <v>61</v>
      </c>
      <c r="E102" s="17" t="s">
        <v>39</v>
      </c>
      <c r="F102" s="17"/>
      <c r="G102" s="17" t="s">
        <v>50</v>
      </c>
      <c r="H102" s="37">
        <v>2023</v>
      </c>
      <c r="I102" s="131">
        <v>2</v>
      </c>
      <c r="J102" s="82">
        <v>45604</v>
      </c>
      <c r="K102" s="59"/>
      <c r="L102" s="27">
        <v>17.648</v>
      </c>
      <c r="M102" s="27">
        <f t="shared" si="77"/>
        <v>17.792999999999999</v>
      </c>
      <c r="N102" s="27">
        <v>0.14499999999999999</v>
      </c>
      <c r="O102" s="27">
        <f t="shared" si="84"/>
        <v>0</v>
      </c>
      <c r="P102" s="125">
        <v>1</v>
      </c>
      <c r="Q102" s="126">
        <f t="shared" si="82"/>
        <v>17.648</v>
      </c>
      <c r="R102" s="28">
        <v>79690</v>
      </c>
      <c r="S102" s="28">
        <f t="shared" si="81"/>
        <v>111780</v>
      </c>
      <c r="T102" s="27">
        <v>520200</v>
      </c>
      <c r="U102" s="40">
        <f t="shared" si="74"/>
        <v>503991.9</v>
      </c>
      <c r="V102" s="17" t="s">
        <v>51</v>
      </c>
      <c r="W102" s="101" t="s">
        <v>42</v>
      </c>
      <c r="X102" s="29">
        <v>47</v>
      </c>
      <c r="Y102" s="29" t="s">
        <v>52</v>
      </c>
      <c r="Z102" s="29" t="s">
        <v>53</v>
      </c>
      <c r="AA102" s="30">
        <v>1.2</v>
      </c>
      <c r="AB102" s="40">
        <f t="shared" si="76"/>
        <v>1417924.17</v>
      </c>
      <c r="AC102" s="83">
        <f t="shared" si="83"/>
        <v>95628</v>
      </c>
      <c r="AD102" s="28">
        <f t="shared" si="75"/>
        <v>3745.43</v>
      </c>
      <c r="AE102" s="17"/>
    </row>
    <row r="103" spans="1:31" s="32" customFormat="1" x14ac:dyDescent="0.2">
      <c r="A103" s="7" t="s">
        <v>59</v>
      </c>
      <c r="B103" s="17" t="str">
        <f>VLOOKUP(A103,[1]Sheet1!$A:$B,2,0)</f>
        <v>HP</v>
      </c>
      <c r="C103" s="48" t="s">
        <v>62</v>
      </c>
      <c r="D103" s="49" t="s">
        <v>63</v>
      </c>
      <c r="E103" s="17" t="s">
        <v>39</v>
      </c>
      <c r="F103" s="17"/>
      <c r="G103" s="17" t="s">
        <v>50</v>
      </c>
      <c r="H103" s="37">
        <v>2023</v>
      </c>
      <c r="I103" s="131">
        <v>2</v>
      </c>
      <c r="J103" s="82">
        <v>45604</v>
      </c>
      <c r="K103" s="59"/>
      <c r="L103" s="27">
        <v>2.2480000000000002</v>
      </c>
      <c r="M103" s="27">
        <f t="shared" si="77"/>
        <v>2.286</v>
      </c>
      <c r="N103" s="27">
        <v>3.7999999999999999E-2</v>
      </c>
      <c r="O103" s="27">
        <f t="shared" si="84"/>
        <v>0</v>
      </c>
      <c r="P103" s="125">
        <v>1</v>
      </c>
      <c r="Q103" s="126">
        <f t="shared" si="82"/>
        <v>2.2480000000000002</v>
      </c>
      <c r="R103" s="28">
        <v>17972</v>
      </c>
      <c r="S103" s="28">
        <f t="shared" si="81"/>
        <v>36401</v>
      </c>
      <c r="T103" s="27">
        <v>136500</v>
      </c>
      <c r="U103" s="40">
        <f t="shared" si="74"/>
        <v>135116.76199999999</v>
      </c>
      <c r="V103" s="17" t="s">
        <v>51</v>
      </c>
      <c r="W103" s="101" t="s">
        <v>42</v>
      </c>
      <c r="X103" s="29">
        <v>11</v>
      </c>
      <c r="Y103" s="29" t="s">
        <v>52</v>
      </c>
      <c r="Z103" s="29" t="s">
        <v>53</v>
      </c>
      <c r="AA103" s="30">
        <v>0.2</v>
      </c>
      <c r="AB103" s="40">
        <f t="shared" si="76"/>
        <v>41083.991999999998</v>
      </c>
      <c r="AC103" s="83">
        <f t="shared" si="83"/>
        <v>3594.4</v>
      </c>
      <c r="AD103" s="28">
        <f t="shared" si="75"/>
        <v>197.69200000000001</v>
      </c>
      <c r="AE103" s="17"/>
    </row>
    <row r="104" spans="1:31" s="32" customFormat="1" x14ac:dyDescent="0.2">
      <c r="A104" s="7" t="s">
        <v>59</v>
      </c>
      <c r="B104" s="17" t="str">
        <f>VLOOKUP(A104,[1]Sheet1!$A:$B,2,0)</f>
        <v>HP</v>
      </c>
      <c r="C104" s="48" t="s">
        <v>60</v>
      </c>
      <c r="D104" s="49" t="s">
        <v>61</v>
      </c>
      <c r="E104" s="17" t="s">
        <v>39</v>
      </c>
      <c r="F104" s="17"/>
      <c r="G104" s="17" t="s">
        <v>50</v>
      </c>
      <c r="H104" s="37">
        <v>2023</v>
      </c>
      <c r="I104" s="131">
        <v>1</v>
      </c>
      <c r="J104" s="82">
        <v>45604</v>
      </c>
      <c r="K104" s="59"/>
      <c r="L104" s="27">
        <v>17.648</v>
      </c>
      <c r="M104" s="27">
        <f t="shared" si="77"/>
        <v>17.792999999999999</v>
      </c>
      <c r="N104" s="27">
        <v>0.14499999999999999</v>
      </c>
      <c r="O104" s="27">
        <f t="shared" si="84"/>
        <v>0</v>
      </c>
      <c r="P104" s="125">
        <v>1</v>
      </c>
      <c r="Q104" s="126">
        <f t="shared" si="82"/>
        <v>17.648</v>
      </c>
      <c r="R104" s="28">
        <v>32090</v>
      </c>
      <c r="S104" s="28">
        <f>R104</f>
        <v>32090</v>
      </c>
      <c r="T104" s="27">
        <v>520200</v>
      </c>
      <c r="U104" s="40">
        <f t="shared" si="74"/>
        <v>515546.95</v>
      </c>
      <c r="V104" s="17" t="s">
        <v>51</v>
      </c>
      <c r="W104" s="101" t="s">
        <v>42</v>
      </c>
      <c r="X104" s="29">
        <v>47</v>
      </c>
      <c r="Y104" s="29" t="s">
        <v>52</v>
      </c>
      <c r="Z104" s="29" t="s">
        <v>53</v>
      </c>
      <c r="AA104" s="30">
        <v>1.2</v>
      </c>
      <c r="AB104" s="40">
        <f t="shared" si="76"/>
        <v>570977.37</v>
      </c>
      <c r="AC104" s="83">
        <f t="shared" si="83"/>
        <v>38508</v>
      </c>
      <c r="AD104" s="28">
        <f t="shared" si="75"/>
        <v>1508.23</v>
      </c>
      <c r="AE104" s="17"/>
    </row>
    <row r="105" spans="1:31" s="32" customFormat="1" x14ac:dyDescent="0.2">
      <c r="A105" s="7" t="s">
        <v>59</v>
      </c>
      <c r="B105" s="17" t="str">
        <f>VLOOKUP(A105,[1]Sheet1!$A:$B,2,0)</f>
        <v>HP</v>
      </c>
      <c r="C105" s="48" t="s">
        <v>62</v>
      </c>
      <c r="D105" s="49" t="s">
        <v>63</v>
      </c>
      <c r="E105" s="17" t="s">
        <v>39</v>
      </c>
      <c r="F105" s="17"/>
      <c r="G105" s="17" t="s">
        <v>50</v>
      </c>
      <c r="H105" s="37">
        <v>2023</v>
      </c>
      <c r="I105" s="131">
        <v>1</v>
      </c>
      <c r="J105" s="82">
        <v>45604</v>
      </c>
      <c r="K105" s="59"/>
      <c r="L105" s="27">
        <v>2.2480000000000002</v>
      </c>
      <c r="M105" s="27">
        <f t="shared" si="77"/>
        <v>2.286</v>
      </c>
      <c r="N105" s="27">
        <v>3.7999999999999999E-2</v>
      </c>
      <c r="O105" s="27">
        <f t="shared" si="84"/>
        <v>0</v>
      </c>
      <c r="P105" s="125">
        <v>1</v>
      </c>
      <c r="Q105" s="126">
        <f t="shared" si="82"/>
        <v>2.2480000000000002</v>
      </c>
      <c r="R105" s="28">
        <v>18429</v>
      </c>
      <c r="S105" s="28">
        <f>R105</f>
        <v>18429</v>
      </c>
      <c r="T105" s="27">
        <v>136500</v>
      </c>
      <c r="U105" s="40">
        <f t="shared" si="74"/>
        <v>135799.698</v>
      </c>
      <c r="V105" s="17" t="s">
        <v>51</v>
      </c>
      <c r="W105" s="101" t="s">
        <v>42</v>
      </c>
      <c r="X105" s="148">
        <v>11</v>
      </c>
      <c r="Y105" s="148" t="s">
        <v>52</v>
      </c>
      <c r="Z105" s="148" t="s">
        <v>53</v>
      </c>
      <c r="AA105" s="30">
        <v>0.2</v>
      </c>
      <c r="AB105" s="40">
        <f t="shared" si="76"/>
        <v>42128.694000000003</v>
      </c>
      <c r="AC105" s="83">
        <f t="shared" si="83"/>
        <v>3685.8</v>
      </c>
      <c r="AD105" s="28">
        <f t="shared" si="75"/>
        <v>202.71899999999999</v>
      </c>
      <c r="AE105" s="17"/>
    </row>
    <row r="106" spans="1:31" s="32" customFormat="1" x14ac:dyDescent="0.2">
      <c r="A106" s="7" t="s">
        <v>64</v>
      </c>
      <c r="B106" s="17" t="str">
        <f>VLOOKUP(A106,[1]Sheet1!$A:$B,2,0)</f>
        <v>RCS POD</v>
      </c>
      <c r="C106" s="48" t="s">
        <v>65</v>
      </c>
      <c r="D106" s="7" t="s">
        <v>66</v>
      </c>
      <c r="E106" s="17" t="s">
        <v>39</v>
      </c>
      <c r="F106" s="17"/>
      <c r="G106" s="17" t="s">
        <v>40</v>
      </c>
      <c r="H106" s="118">
        <v>2025</v>
      </c>
      <c r="I106" s="101">
        <v>3</v>
      </c>
      <c r="J106" s="106">
        <v>45661</v>
      </c>
      <c r="K106" s="59"/>
      <c r="L106" s="27"/>
      <c r="M106" s="27"/>
      <c r="N106" s="27"/>
      <c r="O106" s="27">
        <f t="shared" ref="O106" si="85">K106*N106</f>
        <v>0</v>
      </c>
      <c r="P106" s="125">
        <v>1</v>
      </c>
      <c r="Q106" s="126">
        <f t="shared" ref="Q106" si="86">P106*L106</f>
        <v>0</v>
      </c>
      <c r="R106" s="28">
        <v>0</v>
      </c>
      <c r="S106" s="28">
        <v>0</v>
      </c>
      <c r="T106" s="27">
        <v>150000</v>
      </c>
      <c r="U106" s="149">
        <f t="shared" si="74"/>
        <v>150000</v>
      </c>
      <c r="V106" s="17"/>
      <c r="W106" s="146" t="s">
        <v>42</v>
      </c>
      <c r="X106" s="144"/>
      <c r="Y106" s="144"/>
      <c r="Z106" s="144"/>
      <c r="AA106" s="147"/>
      <c r="AB106" s="40">
        <f t="shared" si="76"/>
        <v>0</v>
      </c>
      <c r="AC106" s="83">
        <f t="shared" ref="AC106" si="87">AA106*R106</f>
        <v>0</v>
      </c>
      <c r="AD106" s="28">
        <f t="shared" si="75"/>
        <v>0</v>
      </c>
      <c r="AE106" s="99" t="s">
        <v>67</v>
      </c>
    </row>
    <row r="107" spans="1:31" x14ac:dyDescent="0.2">
      <c r="A107" s="7" t="s">
        <v>64</v>
      </c>
      <c r="B107" s="17" t="str">
        <f>VLOOKUP(A107,[1]Sheet1!$A:$B,2,0)</f>
        <v>RCS POD</v>
      </c>
      <c r="C107" s="48" t="s">
        <v>68</v>
      </c>
      <c r="D107" s="7" t="s">
        <v>69</v>
      </c>
      <c r="E107" s="17" t="s">
        <v>39</v>
      </c>
      <c r="G107" s="17" t="s">
        <v>40</v>
      </c>
      <c r="H107" s="118">
        <v>2025</v>
      </c>
      <c r="I107" s="101">
        <v>3</v>
      </c>
      <c r="J107" s="106">
        <v>45661</v>
      </c>
      <c r="K107" s="59"/>
      <c r="L107" s="27"/>
      <c r="M107" s="27"/>
      <c r="N107" s="27"/>
      <c r="O107" s="27">
        <f>K107*N107</f>
        <v>0</v>
      </c>
      <c r="P107" s="125">
        <v>1</v>
      </c>
      <c r="Q107" s="126">
        <f>P107*L107</f>
        <v>0</v>
      </c>
      <c r="R107" s="28">
        <v>0</v>
      </c>
      <c r="S107" s="28">
        <v>0</v>
      </c>
      <c r="T107" s="27">
        <v>136000</v>
      </c>
      <c r="U107" s="149">
        <f>T107-N107*S107</f>
        <v>136000</v>
      </c>
      <c r="V107" s="17"/>
      <c r="W107" s="146" t="s">
        <v>42</v>
      </c>
      <c r="X107" s="145"/>
      <c r="Y107" s="144"/>
      <c r="Z107" s="144"/>
      <c r="AB107" s="40">
        <f>M107*R107</f>
        <v>0</v>
      </c>
      <c r="AC107" s="83">
        <f>AA107*R107</f>
        <v>0</v>
      </c>
      <c r="AD107" s="98">
        <f>R107*X107/1000</f>
        <v>0</v>
      </c>
      <c r="AE107" s="99" t="s">
        <v>67</v>
      </c>
    </row>
    <row r="108" spans="1:31" s="32" customFormat="1" x14ac:dyDescent="0.2">
      <c r="A108" s="7" t="s">
        <v>64</v>
      </c>
      <c r="B108" s="17" t="str">
        <f>VLOOKUP(A108,[1]Sheet1!$A:$B,2,0)</f>
        <v>RCS POD</v>
      </c>
      <c r="C108" s="48" t="s">
        <v>70</v>
      </c>
      <c r="D108" s="7">
        <v>344002983</v>
      </c>
      <c r="E108" s="17" t="s">
        <v>39</v>
      </c>
      <c r="F108" s="17"/>
      <c r="G108" s="17" t="s">
        <v>40</v>
      </c>
      <c r="H108" s="118">
        <v>2025</v>
      </c>
      <c r="I108" s="101">
        <v>3</v>
      </c>
      <c r="J108" s="106">
        <v>45661</v>
      </c>
      <c r="K108" s="59"/>
      <c r="L108" s="27"/>
      <c r="M108" s="27"/>
      <c r="N108" s="27"/>
      <c r="O108" s="27">
        <f t="shared" ref="O108" si="88">K108*N108</f>
        <v>0</v>
      </c>
      <c r="P108" s="125">
        <v>1</v>
      </c>
      <c r="Q108" s="126">
        <f t="shared" ref="Q108" si="89">P108*L108</f>
        <v>0</v>
      </c>
      <c r="R108" s="28">
        <v>0</v>
      </c>
      <c r="S108" s="28">
        <v>0</v>
      </c>
      <c r="T108" s="27">
        <v>204000</v>
      </c>
      <c r="U108" s="149">
        <f t="shared" ref="U108" si="90">T108-N108*S108</f>
        <v>204000</v>
      </c>
      <c r="V108" s="17"/>
      <c r="W108" s="146" t="s">
        <v>42</v>
      </c>
      <c r="X108" s="144"/>
      <c r="Y108" s="144"/>
      <c r="Z108" s="144"/>
      <c r="AA108" s="147"/>
      <c r="AB108" s="40">
        <f t="shared" ref="AB108" si="91">M108*R108</f>
        <v>0</v>
      </c>
      <c r="AC108" s="83">
        <f t="shared" ref="AC108" si="92">AA108*R108</f>
        <v>0</v>
      </c>
      <c r="AD108" s="98">
        <f t="shared" ref="AD108" si="93">R108*X108/1000</f>
        <v>0</v>
      </c>
      <c r="AE108" s="99" t="s">
        <v>67</v>
      </c>
    </row>
    <row r="109" spans="1:31" s="32" customFormat="1" x14ac:dyDescent="0.2">
      <c r="A109" s="7" t="s">
        <v>64</v>
      </c>
      <c r="B109" s="17" t="str">
        <f>VLOOKUP(A109,[1]Sheet1!$A:$B,2,0)</f>
        <v>RCS POD</v>
      </c>
      <c r="C109" s="48" t="s">
        <v>65</v>
      </c>
      <c r="D109" s="7" t="s">
        <v>66</v>
      </c>
      <c r="E109" s="17" t="s">
        <v>39</v>
      </c>
      <c r="F109" s="17"/>
      <c r="G109" s="17" t="s">
        <v>40</v>
      </c>
      <c r="H109" s="37">
        <v>2022</v>
      </c>
      <c r="I109" s="131">
        <v>12</v>
      </c>
      <c r="J109" s="82">
        <v>45604</v>
      </c>
      <c r="K109" s="59"/>
      <c r="L109" s="27"/>
      <c r="M109" s="27"/>
      <c r="N109" s="27"/>
      <c r="O109" s="27">
        <f t="shared" si="84"/>
        <v>0</v>
      </c>
      <c r="P109" s="125">
        <v>1</v>
      </c>
      <c r="Q109" s="126">
        <f t="shared" si="82"/>
        <v>0</v>
      </c>
      <c r="R109" s="28">
        <v>0</v>
      </c>
      <c r="S109" s="28">
        <v>0</v>
      </c>
      <c r="T109" s="27">
        <v>150000</v>
      </c>
      <c r="U109" s="40">
        <f t="shared" ref="U109:U111" si="94">T109-N109*S109</f>
        <v>150000</v>
      </c>
      <c r="V109" s="17"/>
      <c r="W109" s="146" t="s">
        <v>42</v>
      </c>
      <c r="X109" s="144"/>
      <c r="Y109" s="144"/>
      <c r="Z109" s="144"/>
      <c r="AA109" s="147"/>
      <c r="AB109" s="40">
        <f t="shared" ref="AB109:AB128" si="95">M109*R109</f>
        <v>0</v>
      </c>
      <c r="AC109" s="83">
        <f t="shared" si="83"/>
        <v>0</v>
      </c>
      <c r="AD109" s="28">
        <f t="shared" ref="AD109:AD128" si="96">R109*X109/1000</f>
        <v>0</v>
      </c>
      <c r="AE109" s="99" t="s">
        <v>67</v>
      </c>
    </row>
    <row r="110" spans="1:31" x14ac:dyDescent="0.2">
      <c r="A110" s="7" t="s">
        <v>64</v>
      </c>
      <c r="B110" s="17" t="str">
        <f>VLOOKUP(A110,[1]Sheet1!$A:$B,2,0)</f>
        <v>RCS POD</v>
      </c>
      <c r="C110" s="48" t="s">
        <v>68</v>
      </c>
      <c r="D110" s="7" t="s">
        <v>69</v>
      </c>
      <c r="E110" s="17" t="s">
        <v>39</v>
      </c>
      <c r="G110" s="17" t="s">
        <v>40</v>
      </c>
      <c r="H110" s="37">
        <v>2022</v>
      </c>
      <c r="I110" s="131">
        <v>12</v>
      </c>
      <c r="J110" s="82">
        <v>45604</v>
      </c>
      <c r="K110" s="59"/>
      <c r="L110" s="27"/>
      <c r="M110" s="27"/>
      <c r="N110" s="27"/>
      <c r="O110" s="27">
        <f>K110*N110</f>
        <v>0</v>
      </c>
      <c r="P110" s="125">
        <v>1</v>
      </c>
      <c r="Q110" s="126">
        <f>P110*L110</f>
        <v>0</v>
      </c>
      <c r="R110" s="28">
        <v>0</v>
      </c>
      <c r="S110" s="28">
        <v>0</v>
      </c>
      <c r="T110" s="27">
        <v>136000</v>
      </c>
      <c r="U110" s="40">
        <f>T110-N110*S110</f>
        <v>136000</v>
      </c>
      <c r="V110" s="17"/>
      <c r="W110" s="146" t="s">
        <v>42</v>
      </c>
      <c r="X110" s="145"/>
      <c r="Y110" s="144"/>
      <c r="Z110" s="144"/>
      <c r="AB110" s="40">
        <f>M110*R110</f>
        <v>0</v>
      </c>
      <c r="AC110" s="83">
        <f>AA110*R110</f>
        <v>0</v>
      </c>
      <c r="AD110" s="98">
        <f>R110*X110/1000</f>
        <v>0</v>
      </c>
      <c r="AE110" s="99" t="s">
        <v>67</v>
      </c>
    </row>
    <row r="111" spans="1:31" s="32" customFormat="1" x14ac:dyDescent="0.2">
      <c r="A111" s="7" t="s">
        <v>64</v>
      </c>
      <c r="B111" s="17" t="str">
        <f>VLOOKUP(A111,[1]Sheet1!$A:$B,2,0)</f>
        <v>RCS POD</v>
      </c>
      <c r="C111" s="48" t="s">
        <v>70</v>
      </c>
      <c r="D111" s="7">
        <v>344002983</v>
      </c>
      <c r="E111" s="17" t="s">
        <v>39</v>
      </c>
      <c r="F111" s="17"/>
      <c r="G111" s="17" t="s">
        <v>40</v>
      </c>
      <c r="H111" s="37">
        <v>2022</v>
      </c>
      <c r="I111" s="131">
        <v>12</v>
      </c>
      <c r="J111" s="82">
        <v>45604</v>
      </c>
      <c r="K111" s="59"/>
      <c r="L111" s="27"/>
      <c r="M111" s="27"/>
      <c r="N111" s="27"/>
      <c r="O111" s="27">
        <f t="shared" si="84"/>
        <v>0</v>
      </c>
      <c r="P111" s="125">
        <v>1</v>
      </c>
      <c r="Q111" s="126">
        <f t="shared" si="82"/>
        <v>0</v>
      </c>
      <c r="R111" s="28">
        <v>0</v>
      </c>
      <c r="S111" s="28">
        <v>0</v>
      </c>
      <c r="T111" s="27">
        <v>204000</v>
      </c>
      <c r="U111" s="40">
        <f t="shared" si="94"/>
        <v>204000</v>
      </c>
      <c r="V111" s="17"/>
      <c r="W111" s="146" t="s">
        <v>42</v>
      </c>
      <c r="X111" s="144"/>
      <c r="Y111" s="144"/>
      <c r="Z111" s="144"/>
      <c r="AA111" s="147"/>
      <c r="AB111" s="40">
        <f t="shared" si="95"/>
        <v>0</v>
      </c>
      <c r="AC111" s="83">
        <f t="shared" si="83"/>
        <v>0</v>
      </c>
      <c r="AD111" s="98">
        <f t="shared" si="96"/>
        <v>0</v>
      </c>
      <c r="AE111" s="99" t="s">
        <v>67</v>
      </c>
    </row>
    <row r="112" spans="1:31" s="32" customFormat="1" x14ac:dyDescent="0.2">
      <c r="A112" s="13" t="s">
        <v>71</v>
      </c>
      <c r="B112" s="17" t="str">
        <f>VLOOKUP(A112,[1]Sheet1!$A:$B,2,0)</f>
        <v>HP</v>
      </c>
      <c r="C112" s="50" t="s">
        <v>72</v>
      </c>
      <c r="D112" s="49" t="s">
        <v>73</v>
      </c>
      <c r="E112" s="17" t="s">
        <v>39</v>
      </c>
      <c r="F112" s="17"/>
      <c r="G112" s="17" t="s">
        <v>50</v>
      </c>
      <c r="H112" s="37">
        <v>2024</v>
      </c>
      <c r="I112" s="131">
        <v>1</v>
      </c>
      <c r="J112" s="82">
        <v>45604</v>
      </c>
      <c r="K112" s="59"/>
      <c r="L112" s="27"/>
      <c r="M112" s="27"/>
      <c r="N112" s="27"/>
      <c r="O112" s="27">
        <f t="shared" si="84"/>
        <v>0</v>
      </c>
      <c r="P112" s="125">
        <v>1</v>
      </c>
      <c r="Q112" s="126">
        <f t="shared" si="82"/>
        <v>0</v>
      </c>
      <c r="R112" s="28">
        <v>0</v>
      </c>
      <c r="S112" s="28">
        <v>0</v>
      </c>
      <c r="T112" s="150">
        <v>323000</v>
      </c>
      <c r="U112" s="40">
        <f t="shared" ref="U112:U114" si="97">T112-N112*S112</f>
        <v>323000</v>
      </c>
      <c r="V112" s="17"/>
      <c r="W112" s="146" t="s">
        <v>42</v>
      </c>
      <c r="X112" s="144"/>
      <c r="Y112" s="144"/>
      <c r="Z112" s="144" t="s">
        <v>53</v>
      </c>
      <c r="AA112" s="147"/>
      <c r="AB112" s="40">
        <f t="shared" si="95"/>
        <v>0</v>
      </c>
      <c r="AC112" s="83">
        <f t="shared" si="83"/>
        <v>0</v>
      </c>
      <c r="AD112" s="98">
        <f t="shared" si="96"/>
        <v>0</v>
      </c>
      <c r="AE112" s="99" t="s">
        <v>67</v>
      </c>
    </row>
    <row r="113" spans="1:31" s="32" customFormat="1" x14ac:dyDescent="0.2">
      <c r="A113" s="13" t="s">
        <v>71</v>
      </c>
      <c r="B113" s="17" t="str">
        <f>VLOOKUP(A113,[1]Sheet1!$A:$B,2,0)</f>
        <v>HP</v>
      </c>
      <c r="C113" s="50" t="s">
        <v>74</v>
      </c>
      <c r="D113" s="49" t="s">
        <v>75</v>
      </c>
      <c r="E113" s="17" t="s">
        <v>39</v>
      </c>
      <c r="F113" s="17"/>
      <c r="G113" s="17" t="s">
        <v>50</v>
      </c>
      <c r="H113" s="37">
        <v>2024</v>
      </c>
      <c r="I113" s="131">
        <v>1</v>
      </c>
      <c r="J113" s="82">
        <v>45604</v>
      </c>
      <c r="K113" s="59"/>
      <c r="L113" s="27"/>
      <c r="M113" s="27"/>
      <c r="N113" s="27"/>
      <c r="O113" s="27">
        <f t="shared" si="84"/>
        <v>0</v>
      </c>
      <c r="P113" s="125">
        <v>1</v>
      </c>
      <c r="Q113" s="126">
        <f t="shared" si="82"/>
        <v>0</v>
      </c>
      <c r="R113" s="28">
        <v>0</v>
      </c>
      <c r="S113" s="28">
        <v>0</v>
      </c>
      <c r="T113" s="150">
        <v>64300</v>
      </c>
      <c r="U113" s="40">
        <f t="shared" si="97"/>
        <v>64300</v>
      </c>
      <c r="V113" s="17"/>
      <c r="W113" s="146" t="s">
        <v>42</v>
      </c>
      <c r="X113" s="144"/>
      <c r="Y113" s="144"/>
      <c r="Z113" s="144" t="s">
        <v>53</v>
      </c>
      <c r="AA113" s="147"/>
      <c r="AB113" s="40">
        <f t="shared" si="95"/>
        <v>0</v>
      </c>
      <c r="AC113" s="83">
        <f t="shared" si="83"/>
        <v>0</v>
      </c>
      <c r="AD113" s="98">
        <f t="shared" si="96"/>
        <v>0</v>
      </c>
      <c r="AE113" s="99" t="s">
        <v>67</v>
      </c>
    </row>
    <row r="114" spans="1:31" x14ac:dyDescent="0.2">
      <c r="A114" s="13" t="s">
        <v>71</v>
      </c>
      <c r="B114" s="17" t="str">
        <f>VLOOKUP(A114,[1]Sheet1!$A:$B,2,0)</f>
        <v>HP</v>
      </c>
      <c r="C114" s="50" t="s">
        <v>76</v>
      </c>
      <c r="D114" s="49" t="s">
        <v>77</v>
      </c>
      <c r="E114" s="17" t="s">
        <v>39</v>
      </c>
      <c r="G114" s="17" t="s">
        <v>78</v>
      </c>
      <c r="H114" s="37">
        <v>2024</v>
      </c>
      <c r="I114" s="131">
        <v>1</v>
      </c>
      <c r="J114" s="82">
        <v>45604</v>
      </c>
      <c r="K114" s="59"/>
      <c r="O114" s="27">
        <f t="shared" si="84"/>
        <v>0</v>
      </c>
      <c r="P114" s="125">
        <v>1</v>
      </c>
      <c r="Q114" s="126">
        <f t="shared" si="82"/>
        <v>0</v>
      </c>
      <c r="R114" s="28">
        <v>0</v>
      </c>
      <c r="S114" s="28">
        <v>0</v>
      </c>
      <c r="T114" s="150">
        <v>225000</v>
      </c>
      <c r="U114" s="40">
        <f t="shared" si="97"/>
        <v>225000</v>
      </c>
      <c r="W114" s="146" t="s">
        <v>42</v>
      </c>
      <c r="X114" s="145"/>
      <c r="Y114" s="145"/>
      <c r="Z114" s="144"/>
      <c r="AB114" s="40">
        <f t="shared" si="95"/>
        <v>0</v>
      </c>
      <c r="AC114" s="83">
        <f t="shared" si="83"/>
        <v>0</v>
      </c>
      <c r="AD114" s="98">
        <f t="shared" si="96"/>
        <v>0</v>
      </c>
      <c r="AE114" s="99" t="s">
        <v>67</v>
      </c>
    </row>
    <row r="115" spans="1:31" s="32" customFormat="1" x14ac:dyDescent="0.2">
      <c r="A115" s="13" t="s">
        <v>79</v>
      </c>
      <c r="B115" s="17" t="str">
        <f>VLOOKUP(A115,[1]Sheet1!$A:$B,2,0)</f>
        <v>MODI</v>
      </c>
      <c r="C115" s="47" t="s">
        <v>80</v>
      </c>
      <c r="D115" s="51" t="s">
        <v>81</v>
      </c>
      <c r="E115" s="17" t="s">
        <v>39</v>
      </c>
      <c r="F115" s="17"/>
      <c r="G115" s="17" t="s">
        <v>40</v>
      </c>
      <c r="H115" s="37">
        <v>2022</v>
      </c>
      <c r="I115" s="131">
        <v>11</v>
      </c>
      <c r="J115" s="82">
        <v>45604</v>
      </c>
      <c r="K115" s="59"/>
      <c r="L115" s="27"/>
      <c r="M115" s="27"/>
      <c r="N115" s="27"/>
      <c r="O115" s="27">
        <f t="shared" si="84"/>
        <v>0</v>
      </c>
      <c r="P115" s="125">
        <v>1</v>
      </c>
      <c r="Q115" s="126">
        <f t="shared" si="82"/>
        <v>0</v>
      </c>
      <c r="R115" s="28">
        <v>0</v>
      </c>
      <c r="S115" s="28">
        <v>0</v>
      </c>
      <c r="T115" s="45">
        <v>10000</v>
      </c>
      <c r="U115" s="149">
        <f>T115-N115*S115</f>
        <v>10000</v>
      </c>
      <c r="V115" s="17"/>
      <c r="W115" s="146" t="s">
        <v>42</v>
      </c>
      <c r="X115" s="144"/>
      <c r="Y115" s="144"/>
      <c r="Z115" s="144"/>
      <c r="AA115" s="147"/>
      <c r="AB115" s="40">
        <f t="shared" si="95"/>
        <v>0</v>
      </c>
      <c r="AC115" s="83">
        <f t="shared" si="83"/>
        <v>0</v>
      </c>
      <c r="AD115" s="98">
        <f t="shared" si="96"/>
        <v>0</v>
      </c>
      <c r="AE115" s="99" t="s">
        <v>67</v>
      </c>
    </row>
    <row r="116" spans="1:31" s="32" customFormat="1" x14ac:dyDescent="0.2">
      <c r="A116" s="13" t="s">
        <v>79</v>
      </c>
      <c r="B116" s="17" t="str">
        <f>VLOOKUP(A116,[1]Sheet1!$A:$B,2,0)</f>
        <v>MODI</v>
      </c>
      <c r="C116" s="47" t="s">
        <v>82</v>
      </c>
      <c r="D116" s="51" t="s">
        <v>83</v>
      </c>
      <c r="E116" s="17" t="s">
        <v>39</v>
      </c>
      <c r="F116" s="17"/>
      <c r="G116" s="17" t="s">
        <v>40</v>
      </c>
      <c r="H116" s="37">
        <v>2022</v>
      </c>
      <c r="I116" s="131">
        <v>11</v>
      </c>
      <c r="J116" s="82">
        <v>45604</v>
      </c>
      <c r="K116" s="59"/>
      <c r="L116" s="27"/>
      <c r="M116" s="27"/>
      <c r="N116" s="27"/>
      <c r="O116" s="27">
        <f t="shared" si="84"/>
        <v>0</v>
      </c>
      <c r="P116" s="125">
        <v>1</v>
      </c>
      <c r="Q116" s="126">
        <f t="shared" si="82"/>
        <v>0</v>
      </c>
      <c r="R116" s="28">
        <v>0</v>
      </c>
      <c r="S116" s="28">
        <v>0</v>
      </c>
      <c r="T116" s="45">
        <v>10000</v>
      </c>
      <c r="U116" s="149">
        <f t="shared" ref="U116:U127" si="98">T116-N116*S116</f>
        <v>10000</v>
      </c>
      <c r="V116" s="17"/>
      <c r="W116" s="146" t="s">
        <v>42</v>
      </c>
      <c r="X116" s="144"/>
      <c r="Y116" s="144"/>
      <c r="Z116" s="144"/>
      <c r="AA116" s="147"/>
      <c r="AB116" s="40">
        <f t="shared" si="95"/>
        <v>0</v>
      </c>
      <c r="AC116" s="83">
        <f t="shared" si="83"/>
        <v>0</v>
      </c>
      <c r="AD116" s="98">
        <f t="shared" si="96"/>
        <v>0</v>
      </c>
      <c r="AE116" s="99" t="s">
        <v>67</v>
      </c>
    </row>
    <row r="117" spans="1:31" x14ac:dyDescent="0.2">
      <c r="A117" s="7" t="s">
        <v>79</v>
      </c>
      <c r="B117" s="17" t="str">
        <f>VLOOKUP(A117,[1]Sheet1!$A:$B,2,0)</f>
        <v>MODI</v>
      </c>
      <c r="C117" s="47" t="s">
        <v>84</v>
      </c>
      <c r="D117" s="51" t="s">
        <v>85</v>
      </c>
      <c r="E117" s="17" t="s">
        <v>39</v>
      </c>
      <c r="G117" s="17" t="s">
        <v>40</v>
      </c>
      <c r="H117" s="37">
        <v>2022</v>
      </c>
      <c r="I117" s="131">
        <v>11</v>
      </c>
      <c r="J117" s="82">
        <v>45604</v>
      </c>
      <c r="K117" s="59"/>
      <c r="O117" s="27">
        <f t="shared" si="84"/>
        <v>0</v>
      </c>
      <c r="P117" s="125">
        <v>1</v>
      </c>
      <c r="Q117" s="126">
        <f t="shared" si="82"/>
        <v>0</v>
      </c>
      <c r="R117" s="28">
        <v>0</v>
      </c>
      <c r="S117" s="28">
        <v>0</v>
      </c>
      <c r="T117" s="45">
        <v>10000</v>
      </c>
      <c r="U117" s="149">
        <f t="shared" si="98"/>
        <v>10000</v>
      </c>
      <c r="W117" s="146" t="s">
        <v>42</v>
      </c>
      <c r="X117" s="145"/>
      <c r="Y117" s="145"/>
      <c r="Z117" s="144"/>
      <c r="AB117" s="40">
        <f t="shared" si="95"/>
        <v>0</v>
      </c>
      <c r="AC117" s="83">
        <f t="shared" si="83"/>
        <v>0</v>
      </c>
      <c r="AD117" s="98">
        <f t="shared" si="96"/>
        <v>0</v>
      </c>
      <c r="AE117" s="99" t="s">
        <v>67</v>
      </c>
    </row>
    <row r="118" spans="1:31" s="32" customFormat="1" x14ac:dyDescent="0.2">
      <c r="A118" s="7" t="s">
        <v>79</v>
      </c>
      <c r="B118" s="17" t="str">
        <f>VLOOKUP(A118,[1]Sheet1!$A:$B,2,0)</f>
        <v>MODI</v>
      </c>
      <c r="C118" s="47" t="s">
        <v>86</v>
      </c>
      <c r="D118" s="51" t="s">
        <v>87</v>
      </c>
      <c r="E118" s="17" t="s">
        <v>39</v>
      </c>
      <c r="F118" s="17"/>
      <c r="G118" s="17" t="s">
        <v>40</v>
      </c>
      <c r="H118" s="37">
        <v>2022</v>
      </c>
      <c r="I118" s="131">
        <v>11</v>
      </c>
      <c r="J118" s="82">
        <v>45604</v>
      </c>
      <c r="K118" s="59"/>
      <c r="L118" s="27"/>
      <c r="M118" s="27"/>
      <c r="N118" s="27"/>
      <c r="O118" s="27">
        <f t="shared" si="84"/>
        <v>0</v>
      </c>
      <c r="P118" s="125">
        <v>1</v>
      </c>
      <c r="Q118" s="126">
        <f t="shared" si="82"/>
        <v>0</v>
      </c>
      <c r="R118" s="28">
        <v>0</v>
      </c>
      <c r="S118" s="28">
        <v>0</v>
      </c>
      <c r="T118" s="45">
        <v>11000</v>
      </c>
      <c r="U118" s="149">
        <f t="shared" si="98"/>
        <v>11000</v>
      </c>
      <c r="V118" s="17"/>
      <c r="W118" s="146" t="s">
        <v>42</v>
      </c>
      <c r="X118" s="144"/>
      <c r="Y118" s="144"/>
      <c r="Z118" s="144"/>
      <c r="AA118" s="147"/>
      <c r="AB118" s="40">
        <f t="shared" si="95"/>
        <v>0</v>
      </c>
      <c r="AC118" s="83">
        <f t="shared" si="83"/>
        <v>0</v>
      </c>
      <c r="AD118" s="98">
        <f t="shared" si="96"/>
        <v>0</v>
      </c>
      <c r="AE118" s="99" t="s">
        <v>67</v>
      </c>
    </row>
    <row r="119" spans="1:31" s="32" customFormat="1" x14ac:dyDescent="0.2">
      <c r="A119" s="7" t="s">
        <v>79</v>
      </c>
      <c r="B119" s="17" t="str">
        <f>VLOOKUP(A119,[1]Sheet1!$A:$B,2,0)</f>
        <v>MODI</v>
      </c>
      <c r="C119" s="47" t="s">
        <v>88</v>
      </c>
      <c r="D119" s="51" t="s">
        <v>89</v>
      </c>
      <c r="E119" s="17" t="s">
        <v>39</v>
      </c>
      <c r="F119" s="17"/>
      <c r="G119" s="17" t="s">
        <v>40</v>
      </c>
      <c r="H119" s="37">
        <v>2022</v>
      </c>
      <c r="I119" s="131">
        <v>11</v>
      </c>
      <c r="J119" s="82">
        <v>45604</v>
      </c>
      <c r="K119" s="59"/>
      <c r="L119" s="27"/>
      <c r="M119" s="27"/>
      <c r="N119" s="27"/>
      <c r="O119" s="27">
        <f t="shared" si="84"/>
        <v>0</v>
      </c>
      <c r="P119" s="125">
        <v>1</v>
      </c>
      <c r="Q119" s="126">
        <f t="shared" si="82"/>
        <v>0</v>
      </c>
      <c r="R119" s="28">
        <v>0</v>
      </c>
      <c r="S119" s="28">
        <v>0</v>
      </c>
      <c r="T119" s="45">
        <v>11000</v>
      </c>
      <c r="U119" s="149">
        <f t="shared" si="98"/>
        <v>11000</v>
      </c>
      <c r="V119" s="17"/>
      <c r="W119" s="146" t="s">
        <v>42</v>
      </c>
      <c r="X119" s="144"/>
      <c r="Y119" s="144"/>
      <c r="Z119" s="144"/>
      <c r="AA119" s="147"/>
      <c r="AB119" s="40">
        <f t="shared" si="95"/>
        <v>0</v>
      </c>
      <c r="AC119" s="83">
        <f t="shared" si="83"/>
        <v>0</v>
      </c>
      <c r="AD119" s="98">
        <f t="shared" si="96"/>
        <v>0</v>
      </c>
      <c r="AE119" s="99" t="s">
        <v>67</v>
      </c>
    </row>
    <row r="120" spans="1:31" x14ac:dyDescent="0.2">
      <c r="A120" s="7" t="s">
        <v>79</v>
      </c>
      <c r="B120" s="17" t="str">
        <f>VLOOKUP(A120,[1]Sheet1!$A:$B,2,0)</f>
        <v>MODI</v>
      </c>
      <c r="C120" s="47" t="s">
        <v>90</v>
      </c>
      <c r="D120" s="51" t="s">
        <v>91</v>
      </c>
      <c r="E120" s="17" t="s">
        <v>39</v>
      </c>
      <c r="G120" s="17" t="s">
        <v>40</v>
      </c>
      <c r="H120" s="37">
        <v>2022</v>
      </c>
      <c r="I120" s="131">
        <v>11</v>
      </c>
      <c r="J120" s="82">
        <v>45604</v>
      </c>
      <c r="K120" s="59"/>
      <c r="O120" s="27">
        <f t="shared" si="84"/>
        <v>0</v>
      </c>
      <c r="P120" s="125">
        <v>1</v>
      </c>
      <c r="Q120" s="126">
        <f t="shared" si="82"/>
        <v>0</v>
      </c>
      <c r="R120" s="28">
        <v>0</v>
      </c>
      <c r="S120" s="28">
        <v>0</v>
      </c>
      <c r="T120" s="45">
        <v>11000</v>
      </c>
      <c r="U120" s="149">
        <f t="shared" si="98"/>
        <v>11000</v>
      </c>
      <c r="W120" s="146" t="s">
        <v>42</v>
      </c>
      <c r="X120" s="145"/>
      <c r="Y120" s="145"/>
      <c r="Z120" s="144"/>
      <c r="AB120" s="40">
        <f t="shared" si="95"/>
        <v>0</v>
      </c>
      <c r="AC120" s="83">
        <f t="shared" si="83"/>
        <v>0</v>
      </c>
      <c r="AD120" s="98">
        <f t="shared" si="96"/>
        <v>0</v>
      </c>
      <c r="AE120" s="99" t="s">
        <v>67</v>
      </c>
    </row>
    <row r="121" spans="1:31" s="32" customFormat="1" x14ac:dyDescent="0.2">
      <c r="A121" s="7" t="s">
        <v>79</v>
      </c>
      <c r="B121" s="17" t="str">
        <f>VLOOKUP(A121,[1]Sheet1!$A:$B,2,0)</f>
        <v>MODI</v>
      </c>
      <c r="C121" s="47" t="s">
        <v>92</v>
      </c>
      <c r="D121" s="51" t="s">
        <v>93</v>
      </c>
      <c r="E121" s="17" t="s">
        <v>39</v>
      </c>
      <c r="F121" s="17"/>
      <c r="G121" s="17" t="s">
        <v>40</v>
      </c>
      <c r="H121" s="37">
        <v>2022</v>
      </c>
      <c r="I121" s="131">
        <v>11</v>
      </c>
      <c r="J121" s="82">
        <v>45604</v>
      </c>
      <c r="K121" s="59"/>
      <c r="L121" s="27"/>
      <c r="M121" s="27"/>
      <c r="N121" s="27"/>
      <c r="O121" s="27">
        <f t="shared" si="84"/>
        <v>0</v>
      </c>
      <c r="P121" s="125">
        <v>1</v>
      </c>
      <c r="Q121" s="126">
        <f t="shared" si="82"/>
        <v>0</v>
      </c>
      <c r="R121" s="28">
        <v>0</v>
      </c>
      <c r="S121" s="28">
        <v>0</v>
      </c>
      <c r="T121" s="45">
        <v>11000</v>
      </c>
      <c r="U121" s="149">
        <f t="shared" si="98"/>
        <v>11000</v>
      </c>
      <c r="V121" s="17"/>
      <c r="W121" s="146" t="s">
        <v>42</v>
      </c>
      <c r="X121" s="144"/>
      <c r="Y121" s="144"/>
      <c r="Z121" s="144"/>
      <c r="AA121" s="147"/>
      <c r="AB121" s="40">
        <f t="shared" si="95"/>
        <v>0</v>
      </c>
      <c r="AC121" s="83">
        <f t="shared" si="83"/>
        <v>0</v>
      </c>
      <c r="AD121" s="98">
        <f t="shared" si="96"/>
        <v>0</v>
      </c>
      <c r="AE121" s="99" t="s">
        <v>67</v>
      </c>
    </row>
    <row r="122" spans="1:31" s="32" customFormat="1" x14ac:dyDescent="0.2">
      <c r="A122" s="7" t="s">
        <v>79</v>
      </c>
      <c r="B122" s="17" t="str">
        <f>VLOOKUP(A122,[1]Sheet1!$A:$B,2,0)</f>
        <v>MODI</v>
      </c>
      <c r="C122" s="47" t="s">
        <v>94</v>
      </c>
      <c r="D122" s="51" t="s">
        <v>95</v>
      </c>
      <c r="E122" s="17" t="s">
        <v>39</v>
      </c>
      <c r="F122" s="17"/>
      <c r="G122" s="17" t="s">
        <v>40</v>
      </c>
      <c r="H122" s="37">
        <v>2022</v>
      </c>
      <c r="I122" s="131">
        <v>11</v>
      </c>
      <c r="J122" s="82">
        <v>45604</v>
      </c>
      <c r="K122" s="59"/>
      <c r="L122" s="27"/>
      <c r="M122" s="27"/>
      <c r="N122" s="27"/>
      <c r="O122" s="27">
        <f t="shared" si="84"/>
        <v>0</v>
      </c>
      <c r="P122" s="125">
        <v>1</v>
      </c>
      <c r="Q122" s="126">
        <f t="shared" si="82"/>
        <v>0</v>
      </c>
      <c r="R122" s="28">
        <v>0</v>
      </c>
      <c r="S122" s="28">
        <v>0</v>
      </c>
      <c r="T122" s="45">
        <v>10000</v>
      </c>
      <c r="U122" s="149">
        <f t="shared" si="98"/>
        <v>10000</v>
      </c>
      <c r="V122" s="17"/>
      <c r="W122" s="146" t="s">
        <v>42</v>
      </c>
      <c r="X122" s="144"/>
      <c r="Y122" s="144"/>
      <c r="Z122" s="144"/>
      <c r="AA122" s="147"/>
      <c r="AB122" s="40">
        <f t="shared" si="95"/>
        <v>0</v>
      </c>
      <c r="AC122" s="83">
        <f t="shared" si="83"/>
        <v>0</v>
      </c>
      <c r="AD122" s="98">
        <f t="shared" si="96"/>
        <v>0</v>
      </c>
      <c r="AE122" s="99" t="s">
        <v>67</v>
      </c>
    </row>
    <row r="123" spans="1:31" x14ac:dyDescent="0.2">
      <c r="A123" s="7" t="s">
        <v>79</v>
      </c>
      <c r="B123" s="17" t="str">
        <f>VLOOKUP(A123,[1]Sheet1!$A:$B,2,0)</f>
        <v>MODI</v>
      </c>
      <c r="C123" s="47" t="s">
        <v>94</v>
      </c>
      <c r="D123" s="51" t="s">
        <v>96</v>
      </c>
      <c r="E123" s="17" t="s">
        <v>39</v>
      </c>
      <c r="G123" s="17" t="s">
        <v>40</v>
      </c>
      <c r="H123" s="37">
        <v>2022</v>
      </c>
      <c r="I123" s="131">
        <v>11</v>
      </c>
      <c r="J123" s="82">
        <v>45604</v>
      </c>
      <c r="K123" s="59"/>
      <c r="O123" s="27">
        <f t="shared" si="84"/>
        <v>0</v>
      </c>
      <c r="P123" s="125">
        <v>1</v>
      </c>
      <c r="Q123" s="126">
        <f t="shared" si="82"/>
        <v>0</v>
      </c>
      <c r="R123" s="28">
        <v>0</v>
      </c>
      <c r="S123" s="28">
        <v>0</v>
      </c>
      <c r="T123" s="45">
        <v>10000</v>
      </c>
      <c r="U123" s="149">
        <f t="shared" si="98"/>
        <v>10000</v>
      </c>
      <c r="W123" s="146" t="s">
        <v>42</v>
      </c>
      <c r="X123" s="145"/>
      <c r="Y123" s="145"/>
      <c r="Z123" s="144"/>
      <c r="AB123" s="40">
        <f t="shared" si="95"/>
        <v>0</v>
      </c>
      <c r="AC123" s="83">
        <f t="shared" si="83"/>
        <v>0</v>
      </c>
      <c r="AD123" s="98">
        <f t="shared" si="96"/>
        <v>0</v>
      </c>
      <c r="AE123" s="99" t="s">
        <v>67</v>
      </c>
    </row>
    <row r="124" spans="1:31" s="32" customFormat="1" x14ac:dyDescent="0.2">
      <c r="A124" s="7" t="s">
        <v>79</v>
      </c>
      <c r="B124" s="17" t="str">
        <f>VLOOKUP(A124,[1]Sheet1!$A:$B,2,0)</f>
        <v>MODI</v>
      </c>
      <c r="C124" s="47" t="s">
        <v>88</v>
      </c>
      <c r="D124" s="51" t="s">
        <v>89</v>
      </c>
      <c r="E124" s="17" t="s">
        <v>39</v>
      </c>
      <c r="F124" s="17"/>
      <c r="G124" s="17" t="s">
        <v>40</v>
      </c>
      <c r="H124" s="37">
        <v>2022</v>
      </c>
      <c r="I124" s="131">
        <v>12</v>
      </c>
      <c r="J124" s="82">
        <v>45604</v>
      </c>
      <c r="K124" s="59"/>
      <c r="L124" s="27"/>
      <c r="M124" s="27"/>
      <c r="N124" s="27"/>
      <c r="O124" s="27">
        <f>K124*N124</f>
        <v>0</v>
      </c>
      <c r="P124" s="125">
        <v>1</v>
      </c>
      <c r="Q124" s="126">
        <f t="shared" si="82"/>
        <v>0</v>
      </c>
      <c r="R124" s="28">
        <v>0</v>
      </c>
      <c r="S124" s="28">
        <v>0</v>
      </c>
      <c r="T124" s="8">
        <v>4686</v>
      </c>
      <c r="U124" s="149">
        <f t="shared" si="98"/>
        <v>4686</v>
      </c>
      <c r="V124" s="17"/>
      <c r="W124" s="146" t="s">
        <v>42</v>
      </c>
      <c r="X124" s="144"/>
      <c r="Y124" s="144"/>
      <c r="Z124" s="144"/>
      <c r="AA124" s="147"/>
      <c r="AB124" s="40">
        <f t="shared" si="95"/>
        <v>0</v>
      </c>
      <c r="AC124" s="83">
        <f t="shared" si="83"/>
        <v>0</v>
      </c>
      <c r="AD124" s="98">
        <f t="shared" si="96"/>
        <v>0</v>
      </c>
      <c r="AE124" s="99" t="s">
        <v>67</v>
      </c>
    </row>
    <row r="125" spans="1:31" s="32" customFormat="1" x14ac:dyDescent="0.2">
      <c r="A125" s="7" t="s">
        <v>79</v>
      </c>
      <c r="B125" s="17" t="str">
        <f>VLOOKUP(A125,[1]Sheet1!$A:$B,2,0)</f>
        <v>MODI</v>
      </c>
      <c r="C125" s="47" t="s">
        <v>90</v>
      </c>
      <c r="D125" s="51" t="s">
        <v>91</v>
      </c>
      <c r="E125" s="17" t="s">
        <v>39</v>
      </c>
      <c r="F125" s="17"/>
      <c r="G125" s="17" t="s">
        <v>40</v>
      </c>
      <c r="H125" s="37">
        <v>2022</v>
      </c>
      <c r="I125" s="131">
        <v>12</v>
      </c>
      <c r="J125" s="82">
        <v>45604</v>
      </c>
      <c r="K125" s="62"/>
      <c r="L125" s="61"/>
      <c r="M125" s="27"/>
      <c r="N125" s="27"/>
      <c r="O125" s="27">
        <f t="shared" ref="O125:O128" si="99">K125*N125</f>
        <v>0</v>
      </c>
      <c r="P125" s="125">
        <v>1</v>
      </c>
      <c r="Q125" s="126">
        <f t="shared" si="82"/>
        <v>0</v>
      </c>
      <c r="R125" s="28">
        <v>0</v>
      </c>
      <c r="S125" s="28">
        <v>0</v>
      </c>
      <c r="T125" s="8">
        <v>2261</v>
      </c>
      <c r="U125" s="149">
        <f t="shared" si="98"/>
        <v>2261</v>
      </c>
      <c r="V125" s="17"/>
      <c r="W125" s="146" t="s">
        <v>42</v>
      </c>
      <c r="X125" s="144"/>
      <c r="Y125" s="144"/>
      <c r="Z125" s="144"/>
      <c r="AA125" s="147"/>
      <c r="AB125" s="40">
        <f t="shared" si="95"/>
        <v>0</v>
      </c>
      <c r="AC125" s="83">
        <f t="shared" si="83"/>
        <v>0</v>
      </c>
      <c r="AD125" s="98">
        <f t="shared" si="96"/>
        <v>0</v>
      </c>
      <c r="AE125" s="99" t="s">
        <v>67</v>
      </c>
    </row>
    <row r="126" spans="1:31" x14ac:dyDescent="0.2">
      <c r="A126" s="13" t="s">
        <v>79</v>
      </c>
      <c r="B126" s="17" t="str">
        <f>VLOOKUP(A126,[1]Sheet1!$A:$B,2,0)</f>
        <v>MODI</v>
      </c>
      <c r="C126" s="47" t="s">
        <v>82</v>
      </c>
      <c r="D126" s="51" t="s">
        <v>83</v>
      </c>
      <c r="E126" s="17" t="s">
        <v>39</v>
      </c>
      <c r="G126" s="17" t="s">
        <v>40</v>
      </c>
      <c r="H126" s="37">
        <v>2023</v>
      </c>
      <c r="I126" s="131">
        <v>1</v>
      </c>
      <c r="J126" s="82">
        <v>45604</v>
      </c>
      <c r="K126" s="62"/>
      <c r="O126" s="27">
        <f t="shared" si="99"/>
        <v>0</v>
      </c>
      <c r="P126" s="125">
        <v>1</v>
      </c>
      <c r="Q126" s="126">
        <f t="shared" si="82"/>
        <v>0</v>
      </c>
      <c r="R126" s="28">
        <v>0</v>
      </c>
      <c r="S126" s="28">
        <v>0</v>
      </c>
      <c r="T126" s="8">
        <v>5302</v>
      </c>
      <c r="U126" s="149">
        <f t="shared" si="98"/>
        <v>5302</v>
      </c>
      <c r="W126" s="146" t="s">
        <v>42</v>
      </c>
      <c r="X126" s="145"/>
      <c r="Y126" s="145"/>
      <c r="Z126" s="144"/>
      <c r="AB126" s="40">
        <f t="shared" si="95"/>
        <v>0</v>
      </c>
      <c r="AC126" s="83">
        <f t="shared" si="83"/>
        <v>0</v>
      </c>
      <c r="AD126" s="98">
        <f t="shared" si="96"/>
        <v>0</v>
      </c>
      <c r="AE126" s="99" t="s">
        <v>67</v>
      </c>
    </row>
    <row r="127" spans="1:31" s="32" customFormat="1" x14ac:dyDescent="0.2">
      <c r="A127" s="7" t="s">
        <v>79</v>
      </c>
      <c r="B127" s="17" t="str">
        <f>VLOOKUP(A127,[1]Sheet1!$A:$B,2,0)</f>
        <v>MODI</v>
      </c>
      <c r="C127" s="47" t="s">
        <v>88</v>
      </c>
      <c r="D127" s="51" t="s">
        <v>89</v>
      </c>
      <c r="E127" s="17" t="s">
        <v>39</v>
      </c>
      <c r="F127" s="17"/>
      <c r="G127" s="17" t="s">
        <v>40</v>
      </c>
      <c r="H127" s="37">
        <v>2023</v>
      </c>
      <c r="I127" s="131">
        <v>1</v>
      </c>
      <c r="J127" s="82">
        <v>45604</v>
      </c>
      <c r="K127" s="62"/>
      <c r="L127" s="61"/>
      <c r="M127" s="27"/>
      <c r="N127" s="27"/>
      <c r="O127" s="27">
        <f t="shared" si="99"/>
        <v>0</v>
      </c>
      <c r="P127" s="125">
        <v>1</v>
      </c>
      <c r="Q127" s="126">
        <f t="shared" si="82"/>
        <v>0</v>
      </c>
      <c r="R127" s="28">
        <v>0</v>
      </c>
      <c r="S127" s="28">
        <v>0</v>
      </c>
      <c r="T127" s="8">
        <v>4015</v>
      </c>
      <c r="U127" s="149">
        <f t="shared" si="98"/>
        <v>4015</v>
      </c>
      <c r="V127" s="17"/>
      <c r="W127" s="146" t="s">
        <v>42</v>
      </c>
      <c r="X127" s="144"/>
      <c r="Y127" s="144"/>
      <c r="Z127" s="144"/>
      <c r="AA127" s="147"/>
      <c r="AB127" s="40">
        <f t="shared" si="95"/>
        <v>0</v>
      </c>
      <c r="AC127" s="83">
        <f t="shared" si="83"/>
        <v>0</v>
      </c>
      <c r="AD127" s="98">
        <f t="shared" si="96"/>
        <v>0</v>
      </c>
      <c r="AE127" s="99" t="s">
        <v>67</v>
      </c>
    </row>
    <row r="128" spans="1:31" s="32" customFormat="1" x14ac:dyDescent="0.2">
      <c r="A128" s="7" t="s">
        <v>79</v>
      </c>
      <c r="B128" s="17" t="str">
        <f>VLOOKUP(A128,[1]Sheet1!$A:$B,2,0)</f>
        <v>MODI</v>
      </c>
      <c r="C128" s="47" t="s">
        <v>90</v>
      </c>
      <c r="D128" s="51" t="s">
        <v>91</v>
      </c>
      <c r="E128" s="17" t="s">
        <v>39</v>
      </c>
      <c r="F128" s="17"/>
      <c r="G128" s="17" t="s">
        <v>40</v>
      </c>
      <c r="H128" s="37">
        <v>2023</v>
      </c>
      <c r="I128" s="131">
        <v>1</v>
      </c>
      <c r="J128" s="82">
        <v>45604</v>
      </c>
      <c r="K128" s="62"/>
      <c r="L128" s="61"/>
      <c r="M128" s="27"/>
      <c r="N128" s="27"/>
      <c r="O128" s="27">
        <f t="shared" si="99"/>
        <v>0</v>
      </c>
      <c r="P128" s="125">
        <v>1</v>
      </c>
      <c r="Q128" s="126">
        <f t="shared" si="82"/>
        <v>0</v>
      </c>
      <c r="R128" s="28">
        <v>0</v>
      </c>
      <c r="S128" s="28">
        <v>0</v>
      </c>
      <c r="T128" s="8">
        <v>4356</v>
      </c>
      <c r="U128" s="149">
        <f>T128-N128*S128</f>
        <v>4356</v>
      </c>
      <c r="V128" s="17"/>
      <c r="W128" s="146" t="s">
        <v>42</v>
      </c>
      <c r="X128" s="144"/>
      <c r="Y128" s="144"/>
      <c r="Z128" s="144"/>
      <c r="AA128" s="147"/>
      <c r="AB128" s="40">
        <f t="shared" si="95"/>
        <v>0</v>
      </c>
      <c r="AC128" s="83">
        <f t="shared" si="83"/>
        <v>0</v>
      </c>
      <c r="AD128" s="98">
        <f t="shared" si="96"/>
        <v>0</v>
      </c>
      <c r="AE128" s="99" t="s">
        <v>67</v>
      </c>
    </row>
  </sheetData>
  <sheetProtection selectLockedCells="1"/>
  <protectedRanges>
    <protectedRange sqref="A4:A105" name="Range1"/>
    <protectedRange sqref="C46:C55" name="Range1_1"/>
    <protectedRange sqref="D46:D55" name="Range1_2"/>
    <protectedRange sqref="C58:D58 C60:D60 C62:D62 C64:D64 C66:D66 C68:D68 C70:D70 C72:D72 C74:D74 C76:D76 C56:D56" name="Range1_3"/>
    <protectedRange sqref="C59:D59 C61:D61 C63:D63 C65:D65 C67:D67 C69:D69 C71:D71 C73:D73 C75:D75 C77:D77 C57:D57" name="Range1_4"/>
    <protectedRange sqref="C78:D105" name="Range1_5"/>
    <protectedRange sqref="C106:D111 A106:A111" name="Range1_6"/>
    <protectedRange sqref="A112:A114 C112:D114" name="Range1_7"/>
    <protectedRange sqref="A115:A128 C115:D128" name="Range1_8"/>
    <protectedRange sqref="T112:T114" name="Range1_9"/>
    <protectedRange sqref="T115:T128" name="Range1_10"/>
    <protectedRange sqref="B1" name="Range1_10_1"/>
  </protectedRanges>
  <autoFilter ref="A3:AE128"/>
  <phoneticPr fontId="4" type="noConversion"/>
  <dataValidations count="1">
    <dataValidation type="list" allowBlank="1" showInputMessage="1" showErrorMessage="1" sqref="I4:I128">
      <formula1>$I$16:$I$128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Sheet1!$A$2:$A$55</xm:f>
          </x14:formula1>
          <xm:sqref>A4:A128</xm:sqref>
        </x14:dataValidation>
        <x14:dataValidation type="list" allowBlank="1" showInputMessage="1" showErrorMessage="1">
          <x14:formula1>
            <xm:f>Sheet1!$I$3:$I$15</xm:f>
          </x14:formula1>
          <xm:sqref>H4:H128</xm:sqref>
        </x14:dataValidation>
        <x14:dataValidation type="list" allowBlank="1" showInputMessage="1" showErrorMessage="1">
          <x14:formula1>
            <xm:f>Sheet1!$C$3:$C$8</xm:f>
          </x14:formula1>
          <xm:sqref>G1:G1048576</xm:sqref>
        </x14:dataValidation>
        <x14:dataValidation type="list" allowBlank="1" showInputMessage="1" showErrorMessage="1">
          <x14:formula1>
            <xm:f>Sheet1!$H$3:$H$6</xm:f>
          </x14:formula1>
          <xm:sqref>Z4:Z128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11"/>
  <sheetViews>
    <sheetView tabSelected="1" zoomScale="90" zoomScaleNormal="90" workbookViewId="0">
      <selection activeCell="A4" sqref="A4:XFD4"/>
    </sheetView>
  </sheetViews>
  <sheetFormatPr defaultColWidth="8.75" defaultRowHeight="14.25" x14ac:dyDescent="0.2"/>
  <cols>
    <col min="1" max="1" width="17.375" style="1" customWidth="1"/>
    <col min="2" max="2" width="16.375" style="1" customWidth="1"/>
    <col min="3" max="3" width="21.625" style="1" customWidth="1"/>
    <col min="4" max="5" width="16.375" style="1" customWidth="1"/>
    <col min="6" max="8" width="16.375" style="15" customWidth="1"/>
    <col min="9" max="9" width="16.375" style="70" customWidth="1"/>
    <col min="10" max="10" width="13.375" style="34" customWidth="1"/>
    <col min="11" max="11" width="25.875" style="71" customWidth="1"/>
    <col min="12" max="12" width="23.75" style="71" customWidth="1"/>
    <col min="13" max="13" width="18.625" style="71" customWidth="1"/>
    <col min="14" max="14" width="16.375" style="15" customWidth="1"/>
    <col min="15" max="15" width="16.375" style="1" customWidth="1"/>
    <col min="16" max="16" width="16.375" style="2" customWidth="1"/>
    <col min="17" max="17" width="16.375" style="3" customWidth="1"/>
    <col min="18" max="18" width="16.375" style="2" customWidth="1"/>
    <col min="19" max="19" width="18.375" style="1" customWidth="1"/>
    <col min="20" max="22" width="16.375" style="1" customWidth="1"/>
    <col min="23" max="23" width="27.625" style="3" customWidth="1"/>
    <col min="24" max="16384" width="8.75" style="1"/>
  </cols>
  <sheetData>
    <row r="2" spans="1:23" ht="18" x14ac:dyDescent="0.25">
      <c r="A2" s="4" t="s">
        <v>97</v>
      </c>
      <c r="B2" s="68" t="s">
        <v>98</v>
      </c>
      <c r="C2" s="68" t="s">
        <v>99</v>
      </c>
      <c r="D2" s="68" t="s">
        <v>100</v>
      </c>
      <c r="E2" s="68" t="s">
        <v>101</v>
      </c>
      <c r="F2" s="68"/>
    </row>
    <row r="3" spans="1:23" ht="18" x14ac:dyDescent="0.25">
      <c r="A3" s="4" t="s">
        <v>0</v>
      </c>
      <c r="B3" s="68" t="s">
        <v>1</v>
      </c>
      <c r="C3" s="68" t="s">
        <v>2</v>
      </c>
      <c r="D3" s="68" t="s">
        <v>3</v>
      </c>
      <c r="E3" s="68" t="s">
        <v>102</v>
      </c>
      <c r="F3" s="68" t="s">
        <v>4</v>
      </c>
    </row>
    <row r="4" spans="1:23" x14ac:dyDescent="0.2">
      <c r="I4" s="72"/>
      <c r="J4" s="73"/>
      <c r="K4" s="74"/>
      <c r="L4" s="74"/>
      <c r="M4" s="74"/>
    </row>
    <row r="5" spans="1:23" ht="21" customHeight="1" x14ac:dyDescent="0.2">
      <c r="A5" s="5" t="s">
        <v>6</v>
      </c>
      <c r="B5" s="69" t="s">
        <v>7</v>
      </c>
      <c r="C5" s="5" t="s">
        <v>8</v>
      </c>
      <c r="D5" s="5" t="s">
        <v>9</v>
      </c>
      <c r="E5" s="5" t="s">
        <v>10</v>
      </c>
      <c r="F5" s="16" t="s">
        <v>13</v>
      </c>
      <c r="G5" s="16" t="s">
        <v>14</v>
      </c>
      <c r="H5" s="139" t="s">
        <v>103</v>
      </c>
      <c r="I5" s="75" t="s">
        <v>15</v>
      </c>
      <c r="J5" s="57" t="s">
        <v>104</v>
      </c>
      <c r="K5" s="76" t="s">
        <v>105</v>
      </c>
      <c r="L5" s="76" t="s">
        <v>106</v>
      </c>
      <c r="M5" s="76" t="s">
        <v>107</v>
      </c>
      <c r="N5" s="16" t="s">
        <v>97</v>
      </c>
      <c r="O5" s="5" t="s">
        <v>108</v>
      </c>
      <c r="P5" s="6" t="s">
        <v>109</v>
      </c>
      <c r="Q5" s="5" t="s">
        <v>110</v>
      </c>
      <c r="R5" s="6" t="s">
        <v>111</v>
      </c>
      <c r="S5" s="5" t="s">
        <v>112</v>
      </c>
      <c r="T5" s="5" t="s">
        <v>113</v>
      </c>
      <c r="U5" s="5" t="s">
        <v>114</v>
      </c>
      <c r="V5" s="5" t="s">
        <v>36</v>
      </c>
      <c r="W5" s="137" t="s">
        <v>115</v>
      </c>
    </row>
    <row r="6" spans="1:23" s="134" customFormat="1" ht="88.5" customHeight="1" x14ac:dyDescent="0.2">
      <c r="A6" s="7" t="s">
        <v>47</v>
      </c>
      <c r="B6" s="7" t="str">
        <f>VLOOKUP(A6,[1]Sheet1!$A:$B,2,0)</f>
        <v>HP</v>
      </c>
      <c r="C6" s="46" t="s">
        <v>48</v>
      </c>
      <c r="D6" s="132" t="s">
        <v>49</v>
      </c>
      <c r="E6" s="133" t="s">
        <v>116</v>
      </c>
      <c r="F6" s="7">
        <v>2022</v>
      </c>
      <c r="G6" s="7">
        <v>1</v>
      </c>
      <c r="H6" s="7" t="s">
        <v>117</v>
      </c>
      <c r="I6" s="77">
        <v>45604</v>
      </c>
      <c r="J6" s="78">
        <v>1</v>
      </c>
      <c r="K6" s="79">
        <v>600000</v>
      </c>
      <c r="L6" s="79">
        <f>K6*Q6</f>
        <v>600000</v>
      </c>
      <c r="M6" s="79">
        <v>10000000</v>
      </c>
      <c r="N6" s="7" t="s">
        <v>100</v>
      </c>
      <c r="O6" s="7" t="s">
        <v>118</v>
      </c>
      <c r="P6" s="45">
        <v>1330000</v>
      </c>
      <c r="Q6" s="10">
        <v>1</v>
      </c>
      <c r="R6" s="45">
        <f>P6*Q6</f>
        <v>1330000</v>
      </c>
      <c r="S6" s="7" t="s">
        <v>119</v>
      </c>
      <c r="T6" s="7" t="s">
        <v>120</v>
      </c>
      <c r="U6" s="7" t="s">
        <v>121</v>
      </c>
      <c r="V6" s="136"/>
      <c r="W6" s="135" t="s">
        <v>122</v>
      </c>
    </row>
    <row r="7" spans="1:23" s="9" customFormat="1" ht="68.25" customHeight="1" x14ac:dyDescent="0.2">
      <c r="A7" s="7" t="s">
        <v>54</v>
      </c>
      <c r="B7" s="7" t="str">
        <f>VLOOKUP(A7,[1]Sheet1!$A:$B,2,0)</f>
        <v>HP</v>
      </c>
      <c r="C7" s="47" t="s">
        <v>55</v>
      </c>
      <c r="D7" s="7" t="s">
        <v>56</v>
      </c>
      <c r="E7" s="7" t="s">
        <v>116</v>
      </c>
      <c r="F7" s="7">
        <v>2022</v>
      </c>
      <c r="G7" s="7">
        <v>12</v>
      </c>
      <c r="H7" s="7" t="s">
        <v>117</v>
      </c>
      <c r="I7" s="77">
        <v>45604</v>
      </c>
      <c r="J7" s="78">
        <v>1</v>
      </c>
      <c r="K7" s="79">
        <v>600000</v>
      </c>
      <c r="L7" s="79">
        <f t="shared" ref="L7:L33" si="0">K7*Q7</f>
        <v>600000</v>
      </c>
      <c r="M7" s="79">
        <v>10000000</v>
      </c>
      <c r="N7" s="7" t="s">
        <v>100</v>
      </c>
      <c r="O7" s="7" t="s">
        <v>123</v>
      </c>
      <c r="P7" s="45">
        <v>1248000</v>
      </c>
      <c r="Q7" s="10">
        <v>1</v>
      </c>
      <c r="R7" s="45">
        <f t="shared" ref="R7:R8" si="1">P7*Q7</f>
        <v>1248000</v>
      </c>
      <c r="S7" s="7" t="s">
        <v>119</v>
      </c>
      <c r="T7" s="7" t="s">
        <v>120</v>
      </c>
      <c r="U7" s="7" t="s">
        <v>121</v>
      </c>
      <c r="V7" s="136"/>
      <c r="W7" s="153"/>
    </row>
    <row r="8" spans="1:23" s="9" customFormat="1" ht="68.25" customHeight="1" x14ac:dyDescent="0.2">
      <c r="A8" s="7" t="s">
        <v>54</v>
      </c>
      <c r="B8" s="7" t="str">
        <f>VLOOKUP(A8,[1]Sheet1!$A:$B,2,0)</f>
        <v>HP</v>
      </c>
      <c r="C8" s="47" t="s">
        <v>57</v>
      </c>
      <c r="D8" s="7" t="s">
        <v>58</v>
      </c>
      <c r="E8" s="7" t="s">
        <v>116</v>
      </c>
      <c r="F8" s="7">
        <v>2022</v>
      </c>
      <c r="G8" s="7">
        <v>12</v>
      </c>
      <c r="H8" s="7" t="s">
        <v>117</v>
      </c>
      <c r="I8" s="77">
        <v>45604</v>
      </c>
      <c r="J8" s="78">
        <v>1</v>
      </c>
      <c r="K8" s="79">
        <v>600000</v>
      </c>
      <c r="L8" s="79">
        <f t="shared" si="0"/>
        <v>600000</v>
      </c>
      <c r="M8" s="79">
        <v>10000000</v>
      </c>
      <c r="N8" s="7" t="s">
        <v>100</v>
      </c>
      <c r="O8" s="7" t="s">
        <v>123</v>
      </c>
      <c r="P8" s="45">
        <v>480000</v>
      </c>
      <c r="Q8" s="10">
        <v>1</v>
      </c>
      <c r="R8" s="45">
        <f t="shared" si="1"/>
        <v>480000</v>
      </c>
      <c r="S8" s="7" t="s">
        <v>119</v>
      </c>
      <c r="T8" s="7" t="s">
        <v>120</v>
      </c>
      <c r="U8" s="7" t="s">
        <v>121</v>
      </c>
      <c r="V8" s="136"/>
      <c r="W8" s="155"/>
    </row>
    <row r="9" spans="1:23" s="9" customFormat="1" ht="45" customHeight="1" x14ac:dyDescent="0.2">
      <c r="A9" s="7" t="s">
        <v>59</v>
      </c>
      <c r="B9" s="7" t="str">
        <f>VLOOKUP(A9,[1]Sheet1!$A:$B,2,0)</f>
        <v>HP</v>
      </c>
      <c r="C9" s="48" t="s">
        <v>60</v>
      </c>
      <c r="D9" s="49" t="s">
        <v>61</v>
      </c>
      <c r="E9" s="7" t="s">
        <v>116</v>
      </c>
      <c r="F9" s="7">
        <v>2022</v>
      </c>
      <c r="G9" s="7">
        <v>11</v>
      </c>
      <c r="H9" s="7" t="s">
        <v>117</v>
      </c>
      <c r="I9" s="77">
        <v>45604</v>
      </c>
      <c r="J9" s="78">
        <v>1</v>
      </c>
      <c r="K9" s="79">
        <v>100000</v>
      </c>
      <c r="L9" s="79">
        <f t="shared" si="0"/>
        <v>100000</v>
      </c>
      <c r="M9" s="79">
        <v>10000000</v>
      </c>
      <c r="N9" s="7" t="s">
        <v>100</v>
      </c>
      <c r="O9" s="12" t="s">
        <v>124</v>
      </c>
      <c r="P9" s="45">
        <v>520200</v>
      </c>
      <c r="Q9" s="7">
        <v>1</v>
      </c>
      <c r="R9" s="45">
        <f>P9</f>
        <v>520200</v>
      </c>
      <c r="S9" s="7" t="s">
        <v>119</v>
      </c>
      <c r="T9" s="7" t="s">
        <v>120</v>
      </c>
      <c r="U9" s="7" t="s">
        <v>125</v>
      </c>
      <c r="V9" s="136"/>
      <c r="W9" s="153"/>
    </row>
    <row r="10" spans="1:23" s="9" customFormat="1" ht="45" customHeight="1" x14ac:dyDescent="0.2">
      <c r="A10" s="7" t="s">
        <v>59</v>
      </c>
      <c r="B10" s="7" t="str">
        <f>VLOOKUP(A10,[1]Sheet1!$A:$B,2,0)</f>
        <v>HP</v>
      </c>
      <c r="C10" s="48" t="s">
        <v>62</v>
      </c>
      <c r="D10" s="49" t="s">
        <v>63</v>
      </c>
      <c r="E10" s="7" t="s">
        <v>116</v>
      </c>
      <c r="F10" s="7">
        <v>2022</v>
      </c>
      <c r="G10" s="7">
        <v>11</v>
      </c>
      <c r="H10" s="7" t="s">
        <v>117</v>
      </c>
      <c r="I10" s="77">
        <v>45604</v>
      </c>
      <c r="J10" s="78">
        <v>1</v>
      </c>
      <c r="K10" s="79">
        <v>100000</v>
      </c>
      <c r="L10" s="79">
        <f t="shared" si="0"/>
        <v>100000</v>
      </c>
      <c r="M10" s="79">
        <v>10000000</v>
      </c>
      <c r="N10" s="7" t="s">
        <v>100</v>
      </c>
      <c r="O10" s="12" t="s">
        <v>124</v>
      </c>
      <c r="P10" s="45">
        <v>136500</v>
      </c>
      <c r="Q10" s="7">
        <v>1</v>
      </c>
      <c r="R10" s="45">
        <f>P10</f>
        <v>136500</v>
      </c>
      <c r="S10" s="7" t="s">
        <v>119</v>
      </c>
      <c r="T10" s="7" t="s">
        <v>120</v>
      </c>
      <c r="U10" s="7" t="s">
        <v>125</v>
      </c>
      <c r="V10" s="136"/>
      <c r="W10" s="155"/>
    </row>
    <row r="11" spans="1:23" s="9" customFormat="1" ht="25.5" customHeight="1" x14ac:dyDescent="0.2">
      <c r="A11" s="7" t="s">
        <v>64</v>
      </c>
      <c r="B11" s="7" t="str">
        <f>VLOOKUP(A11,[1]Sheet1!$A:$B,2,0)</f>
        <v>RCS POD</v>
      </c>
      <c r="C11" s="48" t="s">
        <v>65</v>
      </c>
      <c r="D11" s="7" t="s">
        <v>66</v>
      </c>
      <c r="E11" s="7" t="s">
        <v>116</v>
      </c>
      <c r="F11" s="7">
        <v>2022</v>
      </c>
      <c r="G11" s="7">
        <v>12</v>
      </c>
      <c r="H11" s="7" t="s">
        <v>117</v>
      </c>
      <c r="I11" s="77">
        <v>45604</v>
      </c>
      <c r="J11" s="78">
        <v>600</v>
      </c>
      <c r="K11" s="79">
        <v>4600000</v>
      </c>
      <c r="L11" s="79">
        <f t="shared" si="0"/>
        <v>9200000</v>
      </c>
      <c r="M11" s="79">
        <v>200000</v>
      </c>
      <c r="N11" s="7" t="s">
        <v>100</v>
      </c>
      <c r="O11" s="12" t="s">
        <v>126</v>
      </c>
      <c r="P11" s="14">
        <v>75000</v>
      </c>
      <c r="Q11" s="7">
        <v>2</v>
      </c>
      <c r="R11" s="45">
        <f t="shared" ref="R11:R30" si="2">P11*Q11</f>
        <v>150000</v>
      </c>
      <c r="S11" s="7" t="s">
        <v>127</v>
      </c>
      <c r="T11" s="7" t="s">
        <v>120</v>
      </c>
      <c r="U11" s="7" t="s">
        <v>121</v>
      </c>
      <c r="V11" s="136"/>
      <c r="W11" s="153" t="s">
        <v>128</v>
      </c>
    </row>
    <row r="12" spans="1:23" s="9" customFormat="1" ht="25.5" customHeight="1" x14ac:dyDescent="0.2">
      <c r="A12" s="7" t="s">
        <v>64</v>
      </c>
      <c r="B12" s="7" t="str">
        <f>VLOOKUP(A12,[1]Sheet1!$A:$B,2,0)</f>
        <v>RCS POD</v>
      </c>
      <c r="C12" s="48" t="s">
        <v>70</v>
      </c>
      <c r="D12" s="7">
        <v>344002983</v>
      </c>
      <c r="E12" s="7" t="s">
        <v>116</v>
      </c>
      <c r="F12" s="7">
        <v>2022</v>
      </c>
      <c r="G12" s="7">
        <v>12</v>
      </c>
      <c r="H12" s="7" t="s">
        <v>117</v>
      </c>
      <c r="I12" s="77">
        <v>45604</v>
      </c>
      <c r="J12" s="78">
        <v>360</v>
      </c>
      <c r="K12" s="79">
        <v>2800000</v>
      </c>
      <c r="L12" s="79">
        <f t="shared" si="0"/>
        <v>8400000</v>
      </c>
      <c r="M12" s="79">
        <v>200000</v>
      </c>
      <c r="N12" s="7" t="s">
        <v>100</v>
      </c>
      <c r="O12" s="12" t="s">
        <v>126</v>
      </c>
      <c r="P12" s="14">
        <v>68000</v>
      </c>
      <c r="Q12" s="7">
        <v>3</v>
      </c>
      <c r="R12" s="45">
        <f t="shared" si="2"/>
        <v>204000</v>
      </c>
      <c r="S12" s="7" t="s">
        <v>127</v>
      </c>
      <c r="T12" s="7" t="s">
        <v>120</v>
      </c>
      <c r="U12" s="7" t="s">
        <v>121</v>
      </c>
      <c r="V12" s="136"/>
      <c r="W12" s="154"/>
    </row>
    <row r="13" spans="1:23" s="9" customFormat="1" ht="25.5" customHeight="1" x14ac:dyDescent="0.2">
      <c r="A13" s="7" t="s">
        <v>64</v>
      </c>
      <c r="B13" s="7" t="str">
        <f>VLOOKUP(A13,[1]Sheet1!$A:$B,2,0)</f>
        <v>RCS POD</v>
      </c>
      <c r="C13" s="48" t="s">
        <v>68</v>
      </c>
      <c r="D13" s="7" t="s">
        <v>69</v>
      </c>
      <c r="E13" s="7" t="s">
        <v>116</v>
      </c>
      <c r="F13" s="7">
        <v>2022</v>
      </c>
      <c r="G13" s="7">
        <v>12</v>
      </c>
      <c r="H13" s="7" t="s">
        <v>117</v>
      </c>
      <c r="I13" s="77">
        <v>45604</v>
      </c>
      <c r="J13" s="78">
        <v>600</v>
      </c>
      <c r="K13" s="79">
        <v>5700000</v>
      </c>
      <c r="L13" s="79">
        <f t="shared" si="0"/>
        <v>11400000</v>
      </c>
      <c r="M13" s="79">
        <v>200000</v>
      </c>
      <c r="N13" s="7" t="s">
        <v>100</v>
      </c>
      <c r="O13" s="12" t="s">
        <v>126</v>
      </c>
      <c r="P13" s="14">
        <v>68000</v>
      </c>
      <c r="Q13" s="7">
        <v>2</v>
      </c>
      <c r="R13" s="45">
        <f t="shared" si="2"/>
        <v>136000</v>
      </c>
      <c r="S13" s="7" t="s">
        <v>127</v>
      </c>
      <c r="T13" s="7" t="s">
        <v>120</v>
      </c>
      <c r="U13" s="7" t="s">
        <v>121</v>
      </c>
      <c r="V13" s="136"/>
      <c r="W13" s="155"/>
    </row>
    <row r="14" spans="1:23" s="9" customFormat="1" ht="24.75" customHeight="1" x14ac:dyDescent="0.2">
      <c r="A14" s="7" t="s">
        <v>37</v>
      </c>
      <c r="B14" s="7" t="str">
        <f>VLOOKUP(A14,[1]Sheet1!$A:$B,2,0)</f>
        <v>RCS POD</v>
      </c>
      <c r="C14" s="44" t="s">
        <v>46</v>
      </c>
      <c r="D14" s="42">
        <v>140010670059920</v>
      </c>
      <c r="E14" s="7" t="s">
        <v>116</v>
      </c>
      <c r="F14" s="7">
        <v>2023</v>
      </c>
      <c r="G14" s="7">
        <v>11</v>
      </c>
      <c r="H14" s="7" t="s">
        <v>117</v>
      </c>
      <c r="I14" s="77">
        <v>45604</v>
      </c>
      <c r="J14" s="78">
        <v>200</v>
      </c>
      <c r="K14" s="79">
        <v>1820000</v>
      </c>
      <c r="L14" s="79">
        <f t="shared" si="0"/>
        <v>1820000</v>
      </c>
      <c r="M14" s="79">
        <v>200000</v>
      </c>
      <c r="N14" s="7" t="s">
        <v>100</v>
      </c>
      <c r="O14" s="12" t="s">
        <v>129</v>
      </c>
      <c r="P14" s="14">
        <v>72000</v>
      </c>
      <c r="Q14" s="7">
        <v>1</v>
      </c>
      <c r="R14" s="45">
        <f t="shared" si="2"/>
        <v>72000</v>
      </c>
      <c r="S14" s="7" t="s">
        <v>130</v>
      </c>
      <c r="T14" s="7" t="s">
        <v>120</v>
      </c>
      <c r="U14" s="7" t="s">
        <v>121</v>
      </c>
      <c r="V14" s="136"/>
      <c r="W14" s="156" t="s">
        <v>128</v>
      </c>
    </row>
    <row r="15" spans="1:23" s="9" customFormat="1" ht="24.75" customHeight="1" x14ac:dyDescent="0.2">
      <c r="A15" s="13" t="s">
        <v>37</v>
      </c>
      <c r="B15" s="7" t="str">
        <f>VLOOKUP(A15,[1]Sheet1!$A:$B,2,0)</f>
        <v>RCS POD</v>
      </c>
      <c r="C15" s="44" t="s">
        <v>44</v>
      </c>
      <c r="D15" s="42">
        <v>140040670024857</v>
      </c>
      <c r="E15" s="7" t="s">
        <v>116</v>
      </c>
      <c r="F15" s="7">
        <v>2023</v>
      </c>
      <c r="G15" s="7">
        <v>11</v>
      </c>
      <c r="H15" s="7" t="s">
        <v>117</v>
      </c>
      <c r="I15" s="77">
        <v>45604</v>
      </c>
      <c r="J15" s="78">
        <v>360</v>
      </c>
      <c r="K15" s="79">
        <v>3640000</v>
      </c>
      <c r="L15" s="79">
        <f t="shared" si="0"/>
        <v>3640000</v>
      </c>
      <c r="M15" s="79">
        <v>200000</v>
      </c>
      <c r="N15" s="7" t="s">
        <v>100</v>
      </c>
      <c r="O15" s="12" t="s">
        <v>129</v>
      </c>
      <c r="P15" s="14">
        <v>82000</v>
      </c>
      <c r="Q15" s="7">
        <v>1</v>
      </c>
      <c r="R15" s="45">
        <f t="shared" si="2"/>
        <v>82000</v>
      </c>
      <c r="S15" s="7" t="s">
        <v>130</v>
      </c>
      <c r="T15" s="7" t="s">
        <v>120</v>
      </c>
      <c r="U15" s="7" t="s">
        <v>121</v>
      </c>
      <c r="V15" s="136"/>
      <c r="W15" s="154"/>
    </row>
    <row r="16" spans="1:23" s="9" customFormat="1" ht="24.75" customHeight="1" x14ac:dyDescent="0.2">
      <c r="A16" s="13" t="s">
        <v>37</v>
      </c>
      <c r="B16" s="7" t="str">
        <f>VLOOKUP(A16,[1]Sheet1!$A:$B,2,0)</f>
        <v>RCS POD</v>
      </c>
      <c r="C16" s="44" t="s">
        <v>45</v>
      </c>
      <c r="D16" s="42">
        <v>140010670052941</v>
      </c>
      <c r="E16" s="7" t="s">
        <v>116</v>
      </c>
      <c r="F16" s="7">
        <v>2023</v>
      </c>
      <c r="G16" s="7">
        <v>11</v>
      </c>
      <c r="H16" s="7" t="s">
        <v>117</v>
      </c>
      <c r="I16" s="77">
        <v>45604</v>
      </c>
      <c r="J16" s="78">
        <v>400</v>
      </c>
      <c r="K16" s="79">
        <v>3640000</v>
      </c>
      <c r="L16" s="79">
        <f t="shared" si="0"/>
        <v>3640000</v>
      </c>
      <c r="M16" s="79">
        <v>200000</v>
      </c>
      <c r="N16" s="7" t="s">
        <v>100</v>
      </c>
      <c r="O16" s="12" t="s">
        <v>129</v>
      </c>
      <c r="P16" s="14">
        <v>82000</v>
      </c>
      <c r="Q16" s="7">
        <v>1</v>
      </c>
      <c r="R16" s="45">
        <f t="shared" si="2"/>
        <v>82000</v>
      </c>
      <c r="S16" s="7" t="s">
        <v>130</v>
      </c>
      <c r="T16" s="7" t="s">
        <v>120</v>
      </c>
      <c r="U16" s="7" t="s">
        <v>121</v>
      </c>
      <c r="V16" s="136"/>
      <c r="W16" s="155"/>
    </row>
    <row r="17" spans="1:23" s="9" customFormat="1" ht="23.25" customHeight="1" x14ac:dyDescent="0.2">
      <c r="A17" s="13" t="s">
        <v>71</v>
      </c>
      <c r="B17" s="7" t="str">
        <f>VLOOKUP(A17,[1]Sheet1!$A:$B,2,0)</f>
        <v>HP</v>
      </c>
      <c r="C17" s="50" t="s">
        <v>72</v>
      </c>
      <c r="D17" s="49" t="s">
        <v>73</v>
      </c>
      <c r="E17" s="7" t="s">
        <v>116</v>
      </c>
      <c r="F17" s="7">
        <v>2024</v>
      </c>
      <c r="G17" s="7">
        <v>1</v>
      </c>
      <c r="H17" s="7" t="s">
        <v>117</v>
      </c>
      <c r="I17" s="77">
        <v>45604</v>
      </c>
      <c r="J17" s="78">
        <v>1</v>
      </c>
      <c r="K17" s="80"/>
      <c r="L17" s="79">
        <f t="shared" si="0"/>
        <v>0</v>
      </c>
      <c r="M17" s="79">
        <v>10000000</v>
      </c>
      <c r="N17" s="7" t="s">
        <v>98</v>
      </c>
      <c r="O17" s="12" t="s">
        <v>131</v>
      </c>
      <c r="P17" s="14">
        <v>323000</v>
      </c>
      <c r="Q17" s="7">
        <v>1</v>
      </c>
      <c r="R17" s="45">
        <f t="shared" si="2"/>
        <v>323000</v>
      </c>
      <c r="S17" s="7" t="s">
        <v>132</v>
      </c>
      <c r="T17" s="7" t="s">
        <v>120</v>
      </c>
      <c r="U17" s="7" t="s">
        <v>125</v>
      </c>
      <c r="V17" s="136"/>
      <c r="W17" s="156" t="s">
        <v>128</v>
      </c>
    </row>
    <row r="18" spans="1:23" s="9" customFormat="1" ht="23.25" customHeight="1" x14ac:dyDescent="0.2">
      <c r="A18" s="13" t="s">
        <v>71</v>
      </c>
      <c r="B18" s="7" t="str">
        <f>VLOOKUP(A18,[1]Sheet1!$A:$B,2,0)</f>
        <v>HP</v>
      </c>
      <c r="C18" s="50" t="s">
        <v>74</v>
      </c>
      <c r="D18" s="49" t="s">
        <v>75</v>
      </c>
      <c r="E18" s="7" t="s">
        <v>116</v>
      </c>
      <c r="F18" s="7">
        <v>2024</v>
      </c>
      <c r="G18" s="7">
        <v>1</v>
      </c>
      <c r="H18" s="7" t="s">
        <v>117</v>
      </c>
      <c r="I18" s="77">
        <v>45604</v>
      </c>
      <c r="J18" s="78">
        <v>1</v>
      </c>
      <c r="K18" s="79"/>
      <c r="L18" s="79">
        <f t="shared" si="0"/>
        <v>0</v>
      </c>
      <c r="M18" s="79">
        <v>10000000</v>
      </c>
      <c r="N18" s="7" t="s">
        <v>98</v>
      </c>
      <c r="O18" s="12" t="s">
        <v>131</v>
      </c>
      <c r="P18" s="14">
        <v>64300</v>
      </c>
      <c r="Q18" s="7">
        <v>1</v>
      </c>
      <c r="R18" s="45">
        <f t="shared" si="2"/>
        <v>64300</v>
      </c>
      <c r="S18" s="7" t="s">
        <v>132</v>
      </c>
      <c r="T18" s="7" t="s">
        <v>120</v>
      </c>
      <c r="U18" s="7" t="s">
        <v>125</v>
      </c>
      <c r="V18" s="136"/>
      <c r="W18" s="154"/>
    </row>
    <row r="19" spans="1:23" s="9" customFormat="1" ht="23.25" customHeight="1" x14ac:dyDescent="0.2">
      <c r="A19" s="13" t="s">
        <v>71</v>
      </c>
      <c r="B19" s="7" t="str">
        <f>VLOOKUP(A19,[1]Sheet1!$A:$B,2,0)</f>
        <v>HP</v>
      </c>
      <c r="C19" s="50" t="s">
        <v>76</v>
      </c>
      <c r="D19" s="49" t="s">
        <v>77</v>
      </c>
      <c r="E19" s="7" t="s">
        <v>116</v>
      </c>
      <c r="F19" s="7">
        <v>2024</v>
      </c>
      <c r="G19" s="7">
        <v>1</v>
      </c>
      <c r="H19" s="7" t="s">
        <v>117</v>
      </c>
      <c r="I19" s="77">
        <v>45604</v>
      </c>
      <c r="J19" s="78">
        <v>4</v>
      </c>
      <c r="K19" s="79"/>
      <c r="L19" s="79">
        <f t="shared" si="0"/>
        <v>0</v>
      </c>
      <c r="M19" s="79">
        <v>1000000</v>
      </c>
      <c r="N19" s="7" t="s">
        <v>98</v>
      </c>
      <c r="O19" s="12" t="s">
        <v>131</v>
      </c>
      <c r="P19" s="14">
        <v>225000</v>
      </c>
      <c r="Q19" s="7">
        <v>1</v>
      </c>
      <c r="R19" s="45">
        <f t="shared" si="2"/>
        <v>225000</v>
      </c>
      <c r="S19" s="7" t="s">
        <v>132</v>
      </c>
      <c r="T19" s="7" t="s">
        <v>120</v>
      </c>
      <c r="U19" s="7" t="s">
        <v>125</v>
      </c>
      <c r="V19" s="136"/>
      <c r="W19" s="155"/>
    </row>
    <row r="20" spans="1:23" s="9" customFormat="1" ht="12.95" customHeight="1" x14ac:dyDescent="0.2">
      <c r="A20" s="13" t="s">
        <v>79</v>
      </c>
      <c r="B20" s="7" t="str">
        <f>VLOOKUP(A20,[1]Sheet1!$A:$B,2,0)</f>
        <v>MODI</v>
      </c>
      <c r="C20" s="47" t="s">
        <v>80</v>
      </c>
      <c r="D20" s="51" t="s">
        <v>81</v>
      </c>
      <c r="E20" s="7" t="s">
        <v>116</v>
      </c>
      <c r="F20" s="7">
        <v>2022</v>
      </c>
      <c r="G20" s="7">
        <v>11</v>
      </c>
      <c r="H20" s="7" t="s">
        <v>117</v>
      </c>
      <c r="I20" s="77">
        <v>45604</v>
      </c>
      <c r="J20" s="78">
        <v>24</v>
      </c>
      <c r="K20" s="79"/>
      <c r="L20" s="79">
        <f t="shared" si="0"/>
        <v>0</v>
      </c>
      <c r="M20" s="79">
        <v>10000</v>
      </c>
      <c r="N20" s="7" t="s">
        <v>98</v>
      </c>
      <c r="O20" s="12" t="s">
        <v>133</v>
      </c>
      <c r="P20" s="14">
        <v>10000</v>
      </c>
      <c r="Q20" s="7">
        <v>1</v>
      </c>
      <c r="R20" s="45">
        <f t="shared" si="2"/>
        <v>10000</v>
      </c>
      <c r="S20" s="7" t="s">
        <v>127</v>
      </c>
      <c r="T20" s="7" t="s">
        <v>120</v>
      </c>
      <c r="U20" s="7" t="s">
        <v>121</v>
      </c>
      <c r="V20" s="136"/>
      <c r="W20" s="153"/>
    </row>
    <row r="21" spans="1:23" s="9" customFormat="1" ht="12.95" customHeight="1" x14ac:dyDescent="0.2">
      <c r="A21" s="13" t="s">
        <v>79</v>
      </c>
      <c r="B21" s="7" t="str">
        <f>VLOOKUP(A21,[1]Sheet1!$A:$B,2,0)</f>
        <v>MODI</v>
      </c>
      <c r="C21" s="47" t="s">
        <v>82</v>
      </c>
      <c r="D21" s="51" t="s">
        <v>83</v>
      </c>
      <c r="E21" s="7" t="s">
        <v>116</v>
      </c>
      <c r="F21" s="7">
        <v>2022</v>
      </c>
      <c r="G21" s="7">
        <v>11</v>
      </c>
      <c r="H21" s="7" t="s">
        <v>117</v>
      </c>
      <c r="I21" s="77">
        <v>45604</v>
      </c>
      <c r="J21" s="78">
        <v>24</v>
      </c>
      <c r="K21" s="79"/>
      <c r="L21" s="79">
        <f t="shared" si="0"/>
        <v>0</v>
      </c>
      <c r="M21" s="79">
        <v>10000</v>
      </c>
      <c r="N21" s="7" t="s">
        <v>98</v>
      </c>
      <c r="O21" s="12" t="s">
        <v>133</v>
      </c>
      <c r="P21" s="14">
        <v>10000</v>
      </c>
      <c r="Q21" s="7">
        <v>1</v>
      </c>
      <c r="R21" s="45">
        <f t="shared" si="2"/>
        <v>10000</v>
      </c>
      <c r="S21" s="7" t="s">
        <v>127</v>
      </c>
      <c r="T21" s="7" t="s">
        <v>120</v>
      </c>
      <c r="U21" s="7" t="s">
        <v>121</v>
      </c>
      <c r="V21" s="136"/>
      <c r="W21" s="154"/>
    </row>
    <row r="22" spans="1:23" s="9" customFormat="1" ht="12.95" customHeight="1" x14ac:dyDescent="0.2">
      <c r="A22" s="7" t="s">
        <v>79</v>
      </c>
      <c r="B22" s="7" t="str">
        <f>VLOOKUP(A22,[1]Sheet1!$A:$B,2,0)</f>
        <v>MODI</v>
      </c>
      <c r="C22" s="47" t="s">
        <v>84</v>
      </c>
      <c r="D22" s="51" t="s">
        <v>85</v>
      </c>
      <c r="E22" s="7" t="s">
        <v>116</v>
      </c>
      <c r="F22" s="7">
        <v>2022</v>
      </c>
      <c r="G22" s="7">
        <v>11</v>
      </c>
      <c r="H22" s="7" t="s">
        <v>117</v>
      </c>
      <c r="I22" s="77">
        <v>45604</v>
      </c>
      <c r="J22" s="78">
        <v>24</v>
      </c>
      <c r="K22" s="79"/>
      <c r="L22" s="79">
        <f t="shared" si="0"/>
        <v>0</v>
      </c>
      <c r="M22" s="79">
        <v>10000</v>
      </c>
      <c r="N22" s="7" t="s">
        <v>98</v>
      </c>
      <c r="O22" s="12" t="s">
        <v>133</v>
      </c>
      <c r="P22" s="14">
        <v>10000</v>
      </c>
      <c r="Q22" s="7">
        <v>1</v>
      </c>
      <c r="R22" s="45">
        <f t="shared" si="2"/>
        <v>10000</v>
      </c>
      <c r="S22" s="7" t="s">
        <v>127</v>
      </c>
      <c r="T22" s="7" t="s">
        <v>120</v>
      </c>
      <c r="U22" s="7" t="s">
        <v>121</v>
      </c>
      <c r="V22" s="136"/>
      <c r="W22" s="154"/>
    </row>
    <row r="23" spans="1:23" s="9" customFormat="1" ht="12.95" customHeight="1" x14ac:dyDescent="0.2">
      <c r="A23" s="7" t="s">
        <v>79</v>
      </c>
      <c r="B23" s="7" t="str">
        <f>VLOOKUP(A23,[1]Sheet1!$A:$B,2,0)</f>
        <v>MODI</v>
      </c>
      <c r="C23" s="47" t="s">
        <v>86</v>
      </c>
      <c r="D23" s="51" t="s">
        <v>87</v>
      </c>
      <c r="E23" s="7" t="s">
        <v>116</v>
      </c>
      <c r="F23" s="7">
        <v>2022</v>
      </c>
      <c r="G23" s="7">
        <v>11</v>
      </c>
      <c r="H23" s="7" t="s">
        <v>117</v>
      </c>
      <c r="I23" s="77">
        <v>45604</v>
      </c>
      <c r="J23" s="78">
        <v>24</v>
      </c>
      <c r="K23" s="79"/>
      <c r="L23" s="79">
        <f t="shared" si="0"/>
        <v>0</v>
      </c>
      <c r="M23" s="79">
        <v>10000</v>
      </c>
      <c r="N23" s="7" t="s">
        <v>98</v>
      </c>
      <c r="O23" s="12" t="s">
        <v>133</v>
      </c>
      <c r="P23" s="14">
        <v>11000</v>
      </c>
      <c r="Q23" s="7">
        <v>1</v>
      </c>
      <c r="R23" s="45">
        <f t="shared" si="2"/>
        <v>11000</v>
      </c>
      <c r="S23" s="7" t="s">
        <v>127</v>
      </c>
      <c r="T23" s="7" t="s">
        <v>120</v>
      </c>
      <c r="U23" s="7" t="s">
        <v>121</v>
      </c>
      <c r="V23" s="136"/>
      <c r="W23" s="154"/>
    </row>
    <row r="24" spans="1:23" s="9" customFormat="1" ht="12.95" customHeight="1" x14ac:dyDescent="0.2">
      <c r="A24" s="7" t="s">
        <v>79</v>
      </c>
      <c r="B24" s="7" t="str">
        <f>VLOOKUP(A24,[1]Sheet1!$A:$B,2,0)</f>
        <v>MODI</v>
      </c>
      <c r="C24" s="47" t="s">
        <v>88</v>
      </c>
      <c r="D24" s="51" t="s">
        <v>89</v>
      </c>
      <c r="E24" s="7" t="s">
        <v>116</v>
      </c>
      <c r="F24" s="7">
        <v>2022</v>
      </c>
      <c r="G24" s="7">
        <v>11</v>
      </c>
      <c r="H24" s="7" t="s">
        <v>117</v>
      </c>
      <c r="I24" s="77">
        <v>45604</v>
      </c>
      <c r="J24" s="78">
        <v>24</v>
      </c>
      <c r="K24" s="79"/>
      <c r="L24" s="79">
        <f t="shared" si="0"/>
        <v>0</v>
      </c>
      <c r="M24" s="79">
        <v>10000</v>
      </c>
      <c r="N24" s="7" t="s">
        <v>98</v>
      </c>
      <c r="O24" s="12" t="s">
        <v>133</v>
      </c>
      <c r="P24" s="14">
        <v>11000</v>
      </c>
      <c r="Q24" s="7">
        <v>1</v>
      </c>
      <c r="R24" s="45">
        <f t="shared" si="2"/>
        <v>11000</v>
      </c>
      <c r="S24" s="7" t="s">
        <v>127</v>
      </c>
      <c r="T24" s="7" t="s">
        <v>120</v>
      </c>
      <c r="U24" s="7" t="s">
        <v>121</v>
      </c>
      <c r="V24" s="136"/>
      <c r="W24" s="154"/>
    </row>
    <row r="25" spans="1:23" s="9" customFormat="1" ht="12.95" customHeight="1" x14ac:dyDescent="0.2">
      <c r="A25" s="7" t="s">
        <v>79</v>
      </c>
      <c r="B25" s="7" t="str">
        <f>VLOOKUP(A25,[1]Sheet1!$A:$B,2,0)</f>
        <v>MODI</v>
      </c>
      <c r="C25" s="47" t="s">
        <v>90</v>
      </c>
      <c r="D25" s="51" t="s">
        <v>91</v>
      </c>
      <c r="E25" s="7" t="s">
        <v>116</v>
      </c>
      <c r="F25" s="7">
        <v>2022</v>
      </c>
      <c r="G25" s="7">
        <v>11</v>
      </c>
      <c r="H25" s="7" t="s">
        <v>117</v>
      </c>
      <c r="I25" s="77">
        <v>45604</v>
      </c>
      <c r="J25" s="78">
        <v>24</v>
      </c>
      <c r="K25" s="79"/>
      <c r="L25" s="79">
        <f t="shared" si="0"/>
        <v>0</v>
      </c>
      <c r="M25" s="79">
        <v>10000</v>
      </c>
      <c r="N25" s="7" t="s">
        <v>98</v>
      </c>
      <c r="O25" s="12" t="s">
        <v>133</v>
      </c>
      <c r="P25" s="14">
        <v>11000</v>
      </c>
      <c r="Q25" s="7">
        <v>1</v>
      </c>
      <c r="R25" s="45">
        <f t="shared" si="2"/>
        <v>11000</v>
      </c>
      <c r="S25" s="7" t="s">
        <v>127</v>
      </c>
      <c r="T25" s="7" t="s">
        <v>120</v>
      </c>
      <c r="U25" s="7" t="s">
        <v>121</v>
      </c>
      <c r="V25" s="136"/>
      <c r="W25" s="154"/>
    </row>
    <row r="26" spans="1:23" s="9" customFormat="1" ht="12.95" customHeight="1" x14ac:dyDescent="0.2">
      <c r="A26" s="7" t="s">
        <v>79</v>
      </c>
      <c r="B26" s="7" t="str">
        <f>VLOOKUP(A26,[1]Sheet1!$A:$B,2,0)</f>
        <v>MODI</v>
      </c>
      <c r="C26" s="47" t="s">
        <v>92</v>
      </c>
      <c r="D26" s="51" t="s">
        <v>93</v>
      </c>
      <c r="E26" s="7" t="s">
        <v>116</v>
      </c>
      <c r="F26" s="7">
        <v>2022</v>
      </c>
      <c r="G26" s="7">
        <v>11</v>
      </c>
      <c r="H26" s="7" t="s">
        <v>117</v>
      </c>
      <c r="I26" s="77">
        <v>45604</v>
      </c>
      <c r="J26" s="78">
        <v>24</v>
      </c>
      <c r="K26" s="79"/>
      <c r="L26" s="79">
        <f t="shared" si="0"/>
        <v>0</v>
      </c>
      <c r="M26" s="79">
        <v>10000</v>
      </c>
      <c r="N26" s="7" t="s">
        <v>98</v>
      </c>
      <c r="O26" s="12" t="s">
        <v>133</v>
      </c>
      <c r="P26" s="14">
        <v>11000</v>
      </c>
      <c r="Q26" s="7">
        <v>1</v>
      </c>
      <c r="R26" s="45">
        <f t="shared" si="2"/>
        <v>11000</v>
      </c>
      <c r="S26" s="7" t="s">
        <v>127</v>
      </c>
      <c r="T26" s="7" t="s">
        <v>120</v>
      </c>
      <c r="U26" s="7" t="s">
        <v>121</v>
      </c>
      <c r="V26" s="136"/>
      <c r="W26" s="154"/>
    </row>
    <row r="27" spans="1:23" s="9" customFormat="1" ht="12.95" customHeight="1" x14ac:dyDescent="0.2">
      <c r="A27" s="7" t="s">
        <v>79</v>
      </c>
      <c r="B27" s="7" t="str">
        <f>VLOOKUP(A27,[1]Sheet1!$A:$B,2,0)</f>
        <v>MODI</v>
      </c>
      <c r="C27" s="47" t="s">
        <v>94</v>
      </c>
      <c r="D27" s="51" t="s">
        <v>95</v>
      </c>
      <c r="E27" s="7" t="s">
        <v>116</v>
      </c>
      <c r="F27" s="7">
        <v>2022</v>
      </c>
      <c r="G27" s="7">
        <v>11</v>
      </c>
      <c r="H27" s="7" t="s">
        <v>117</v>
      </c>
      <c r="I27" s="77">
        <v>45604</v>
      </c>
      <c r="J27" s="78">
        <v>24</v>
      </c>
      <c r="K27" s="79"/>
      <c r="L27" s="79">
        <f t="shared" si="0"/>
        <v>0</v>
      </c>
      <c r="M27" s="79">
        <v>10000</v>
      </c>
      <c r="N27" s="7" t="s">
        <v>98</v>
      </c>
      <c r="O27" s="12" t="s">
        <v>133</v>
      </c>
      <c r="P27" s="14">
        <v>10000</v>
      </c>
      <c r="Q27" s="7">
        <v>1</v>
      </c>
      <c r="R27" s="45">
        <f t="shared" si="2"/>
        <v>10000</v>
      </c>
      <c r="S27" s="7" t="s">
        <v>127</v>
      </c>
      <c r="T27" s="7" t="s">
        <v>120</v>
      </c>
      <c r="U27" s="7" t="s">
        <v>121</v>
      </c>
      <c r="V27" s="136"/>
      <c r="W27" s="154"/>
    </row>
    <row r="28" spans="1:23" s="9" customFormat="1" ht="12.95" customHeight="1" x14ac:dyDescent="0.2">
      <c r="A28" s="7" t="s">
        <v>79</v>
      </c>
      <c r="B28" s="7" t="str">
        <f>VLOOKUP(A28,[1]Sheet1!$A:$B,2,0)</f>
        <v>MODI</v>
      </c>
      <c r="C28" s="47" t="s">
        <v>94</v>
      </c>
      <c r="D28" s="51" t="s">
        <v>96</v>
      </c>
      <c r="E28" s="7" t="s">
        <v>116</v>
      </c>
      <c r="F28" s="7">
        <v>2022</v>
      </c>
      <c r="G28" s="7">
        <v>11</v>
      </c>
      <c r="H28" s="7" t="s">
        <v>117</v>
      </c>
      <c r="I28" s="77">
        <v>45604</v>
      </c>
      <c r="J28" s="78">
        <v>24</v>
      </c>
      <c r="K28" s="79"/>
      <c r="L28" s="79">
        <f t="shared" si="0"/>
        <v>0</v>
      </c>
      <c r="M28" s="79">
        <v>10000</v>
      </c>
      <c r="N28" s="7" t="s">
        <v>98</v>
      </c>
      <c r="O28" s="12" t="s">
        <v>133</v>
      </c>
      <c r="P28" s="14">
        <v>10000</v>
      </c>
      <c r="Q28" s="7">
        <v>1</v>
      </c>
      <c r="R28" s="45">
        <f t="shared" si="2"/>
        <v>10000</v>
      </c>
      <c r="S28" s="7" t="s">
        <v>127</v>
      </c>
      <c r="T28" s="7" t="s">
        <v>120</v>
      </c>
      <c r="U28" s="7" t="s">
        <v>121</v>
      </c>
      <c r="V28" s="136"/>
      <c r="W28" s="155"/>
    </row>
    <row r="29" spans="1:23" s="9" customFormat="1" ht="12.95" customHeight="1" x14ac:dyDescent="0.2">
      <c r="A29" s="7" t="s">
        <v>79</v>
      </c>
      <c r="B29" s="7" t="str">
        <f>VLOOKUP(A29,[1]Sheet1!$A:$B,2,0)</f>
        <v>MODI</v>
      </c>
      <c r="C29" s="47" t="s">
        <v>88</v>
      </c>
      <c r="D29" s="51" t="s">
        <v>89</v>
      </c>
      <c r="E29" s="7" t="s">
        <v>116</v>
      </c>
      <c r="F29" s="7">
        <v>2022</v>
      </c>
      <c r="G29" s="7">
        <v>12</v>
      </c>
      <c r="H29" s="7" t="s">
        <v>117</v>
      </c>
      <c r="I29" s="77">
        <v>45604</v>
      </c>
      <c r="J29" s="78">
        <v>24</v>
      </c>
      <c r="K29" s="79"/>
      <c r="L29" s="79">
        <f t="shared" si="0"/>
        <v>0</v>
      </c>
      <c r="M29" s="79">
        <v>10000</v>
      </c>
      <c r="N29" s="7" t="s">
        <v>99</v>
      </c>
      <c r="O29" s="12" t="s">
        <v>134</v>
      </c>
      <c r="P29" s="14">
        <v>4686</v>
      </c>
      <c r="Q29" s="7">
        <v>1</v>
      </c>
      <c r="R29" s="8">
        <f t="shared" si="2"/>
        <v>4686</v>
      </c>
      <c r="S29" s="7" t="s">
        <v>127</v>
      </c>
      <c r="T29" s="7" t="s">
        <v>120</v>
      </c>
      <c r="U29" s="7" t="s">
        <v>121</v>
      </c>
      <c r="V29" s="136"/>
      <c r="W29" s="153"/>
    </row>
    <row r="30" spans="1:23" s="9" customFormat="1" ht="12.95" customHeight="1" x14ac:dyDescent="0.2">
      <c r="A30" s="7" t="s">
        <v>79</v>
      </c>
      <c r="B30" s="7" t="str">
        <f>VLOOKUP(A30,[1]Sheet1!$A:$B,2,0)</f>
        <v>MODI</v>
      </c>
      <c r="C30" s="47" t="s">
        <v>90</v>
      </c>
      <c r="D30" s="51" t="s">
        <v>91</v>
      </c>
      <c r="E30" s="7" t="s">
        <v>116</v>
      </c>
      <c r="F30" s="7">
        <v>2022</v>
      </c>
      <c r="G30" s="7">
        <v>12</v>
      </c>
      <c r="H30" s="7" t="s">
        <v>117</v>
      </c>
      <c r="I30" s="77">
        <v>45604</v>
      </c>
      <c r="J30" s="78">
        <v>24</v>
      </c>
      <c r="K30" s="79"/>
      <c r="L30" s="79">
        <f t="shared" si="0"/>
        <v>0</v>
      </c>
      <c r="M30" s="79">
        <v>10000</v>
      </c>
      <c r="N30" s="7" t="s">
        <v>99</v>
      </c>
      <c r="O30" s="12" t="s">
        <v>134</v>
      </c>
      <c r="P30" s="14">
        <v>2261</v>
      </c>
      <c r="Q30" s="7">
        <v>1</v>
      </c>
      <c r="R30" s="8">
        <f t="shared" si="2"/>
        <v>2261</v>
      </c>
      <c r="S30" s="7" t="s">
        <v>127</v>
      </c>
      <c r="T30" s="7" t="s">
        <v>120</v>
      </c>
      <c r="U30" s="7" t="s">
        <v>121</v>
      </c>
      <c r="V30" s="136"/>
      <c r="W30" s="154"/>
    </row>
    <row r="31" spans="1:23" s="9" customFormat="1" ht="12.95" customHeight="1" x14ac:dyDescent="0.2">
      <c r="A31" s="13" t="s">
        <v>79</v>
      </c>
      <c r="B31" s="7" t="str">
        <f>VLOOKUP(A31,[1]Sheet1!$A:$B,2,0)</f>
        <v>MODI</v>
      </c>
      <c r="C31" s="47" t="s">
        <v>82</v>
      </c>
      <c r="D31" s="51" t="s">
        <v>83</v>
      </c>
      <c r="E31" s="7" t="s">
        <v>116</v>
      </c>
      <c r="F31" s="7">
        <v>2023</v>
      </c>
      <c r="G31" s="7">
        <v>1</v>
      </c>
      <c r="H31" s="7" t="s">
        <v>117</v>
      </c>
      <c r="I31" s="77">
        <v>45604</v>
      </c>
      <c r="J31" s="78">
        <v>24</v>
      </c>
      <c r="K31" s="79"/>
      <c r="L31" s="79">
        <f t="shared" si="0"/>
        <v>0</v>
      </c>
      <c r="M31" s="79">
        <v>10000</v>
      </c>
      <c r="N31" s="7" t="s">
        <v>135</v>
      </c>
      <c r="O31" s="12" t="s">
        <v>136</v>
      </c>
      <c r="P31" s="14">
        <v>5302</v>
      </c>
      <c r="Q31" s="7">
        <v>1</v>
      </c>
      <c r="R31" s="8">
        <f t="shared" ref="R31" si="3">P31*Q31</f>
        <v>5302</v>
      </c>
      <c r="S31" s="7" t="s">
        <v>127</v>
      </c>
      <c r="T31" s="7" t="s">
        <v>120</v>
      </c>
      <c r="U31" s="7" t="s">
        <v>121</v>
      </c>
      <c r="V31" s="136"/>
      <c r="W31" s="154"/>
    </row>
    <row r="32" spans="1:23" s="9" customFormat="1" ht="12.95" customHeight="1" x14ac:dyDescent="0.2">
      <c r="A32" s="7" t="s">
        <v>79</v>
      </c>
      <c r="B32" s="7" t="str">
        <f>VLOOKUP(A32,[1]Sheet1!$A:$B,2,0)</f>
        <v>MODI</v>
      </c>
      <c r="C32" s="47" t="s">
        <v>88</v>
      </c>
      <c r="D32" s="51" t="s">
        <v>89</v>
      </c>
      <c r="E32" s="7" t="s">
        <v>116</v>
      </c>
      <c r="F32" s="7">
        <v>2023</v>
      </c>
      <c r="G32" s="7">
        <v>1</v>
      </c>
      <c r="H32" s="7" t="s">
        <v>117</v>
      </c>
      <c r="I32" s="77">
        <v>45604</v>
      </c>
      <c r="J32" s="78">
        <v>24</v>
      </c>
      <c r="K32" s="79"/>
      <c r="L32" s="79">
        <f t="shared" si="0"/>
        <v>0</v>
      </c>
      <c r="M32" s="79">
        <v>10000</v>
      </c>
      <c r="N32" s="7" t="s">
        <v>99</v>
      </c>
      <c r="O32" s="12" t="s">
        <v>137</v>
      </c>
      <c r="P32" s="14">
        <v>4015</v>
      </c>
      <c r="Q32" s="7">
        <v>1</v>
      </c>
      <c r="R32" s="8">
        <f t="shared" ref="R32:R33" si="4">P32*Q32</f>
        <v>4015</v>
      </c>
      <c r="S32" s="7" t="s">
        <v>127</v>
      </c>
      <c r="T32" s="7" t="s">
        <v>120</v>
      </c>
      <c r="U32" s="7" t="s">
        <v>121</v>
      </c>
      <c r="V32" s="136"/>
      <c r="W32" s="154"/>
    </row>
    <row r="33" spans="1:23" s="9" customFormat="1" ht="12.95" customHeight="1" x14ac:dyDescent="0.2">
      <c r="A33" s="7" t="s">
        <v>79</v>
      </c>
      <c r="B33" s="7" t="str">
        <f>VLOOKUP(A33,[1]Sheet1!$A:$B,2,0)</f>
        <v>MODI</v>
      </c>
      <c r="C33" s="47" t="s">
        <v>90</v>
      </c>
      <c r="D33" s="51" t="s">
        <v>91</v>
      </c>
      <c r="E33" s="7" t="s">
        <v>116</v>
      </c>
      <c r="F33" s="7">
        <v>2023</v>
      </c>
      <c r="G33" s="7">
        <v>1</v>
      </c>
      <c r="H33" s="7" t="s">
        <v>117</v>
      </c>
      <c r="I33" s="77">
        <v>45604</v>
      </c>
      <c r="J33" s="78">
        <v>24</v>
      </c>
      <c r="K33" s="79"/>
      <c r="L33" s="79">
        <f t="shared" si="0"/>
        <v>0</v>
      </c>
      <c r="M33" s="79">
        <v>10000</v>
      </c>
      <c r="N33" s="7" t="s">
        <v>99</v>
      </c>
      <c r="O33" s="12" t="s">
        <v>137</v>
      </c>
      <c r="P33" s="14">
        <v>4356</v>
      </c>
      <c r="Q33" s="7">
        <v>1</v>
      </c>
      <c r="R33" s="8">
        <f t="shared" si="4"/>
        <v>4356</v>
      </c>
      <c r="S33" s="7" t="s">
        <v>127</v>
      </c>
      <c r="T33" s="7" t="s">
        <v>120</v>
      </c>
      <c r="U33" s="7" t="s">
        <v>121</v>
      </c>
      <c r="V33" s="136"/>
      <c r="W33" s="155"/>
    </row>
    <row r="34" spans="1:23" s="9" customFormat="1" ht="12.75" x14ac:dyDescent="0.2">
      <c r="A34" s="7"/>
      <c r="B34" s="7"/>
      <c r="C34" s="7"/>
      <c r="D34" s="7"/>
      <c r="E34" s="7"/>
      <c r="F34" s="7"/>
      <c r="G34" s="7"/>
      <c r="H34" s="7"/>
      <c r="I34" s="77"/>
      <c r="J34" s="78"/>
      <c r="K34" s="79"/>
      <c r="L34" s="79"/>
      <c r="M34" s="79"/>
      <c r="N34" s="7"/>
      <c r="O34" s="7"/>
      <c r="P34" s="8"/>
      <c r="Q34" s="7"/>
      <c r="R34" s="8"/>
      <c r="S34" s="7"/>
      <c r="T34" s="7"/>
      <c r="U34" s="7"/>
      <c r="V34" s="136"/>
      <c r="W34" s="135"/>
    </row>
    <row r="35" spans="1:23" s="9" customFormat="1" ht="12.75" x14ac:dyDescent="0.2">
      <c r="A35" s="7"/>
      <c r="B35" s="7"/>
      <c r="C35" s="7"/>
      <c r="D35" s="7"/>
      <c r="E35" s="7"/>
      <c r="F35" s="7"/>
      <c r="G35" s="7"/>
      <c r="H35" s="7"/>
      <c r="I35" s="77"/>
      <c r="J35" s="78"/>
      <c r="K35" s="79"/>
      <c r="L35" s="79"/>
      <c r="M35" s="79"/>
      <c r="N35" s="7"/>
      <c r="O35" s="7"/>
      <c r="P35" s="8"/>
      <c r="Q35" s="7"/>
      <c r="R35" s="8"/>
      <c r="S35" s="7"/>
      <c r="T35" s="7"/>
      <c r="U35" s="7"/>
      <c r="V35" s="136"/>
      <c r="W35" s="135"/>
    </row>
    <row r="36" spans="1:23" s="9" customFormat="1" ht="12.75" x14ac:dyDescent="0.2">
      <c r="A36" s="7"/>
      <c r="B36" s="7"/>
      <c r="C36" s="7"/>
      <c r="D36" s="7"/>
      <c r="E36" s="7"/>
      <c r="F36" s="7"/>
      <c r="G36" s="7"/>
      <c r="H36" s="7"/>
      <c r="I36" s="77"/>
      <c r="J36" s="78"/>
      <c r="K36" s="79"/>
      <c r="L36" s="79"/>
      <c r="M36" s="79"/>
      <c r="N36" s="7"/>
      <c r="O36" s="7"/>
      <c r="P36" s="8"/>
      <c r="Q36" s="7"/>
      <c r="R36" s="8"/>
      <c r="S36" s="7"/>
      <c r="T36" s="7"/>
      <c r="U36" s="7"/>
      <c r="V36" s="136"/>
      <c r="W36" s="135"/>
    </row>
    <row r="37" spans="1:23" s="9" customFormat="1" ht="12.75" x14ac:dyDescent="0.2">
      <c r="A37" s="7"/>
      <c r="B37" s="7"/>
      <c r="C37" s="7"/>
      <c r="D37" s="7"/>
      <c r="E37" s="7"/>
      <c r="F37" s="7"/>
      <c r="G37" s="7"/>
      <c r="H37" s="7"/>
      <c r="I37" s="77"/>
      <c r="J37" s="78"/>
      <c r="K37" s="79"/>
      <c r="L37" s="79"/>
      <c r="M37" s="79"/>
      <c r="N37" s="7"/>
      <c r="O37" s="7"/>
      <c r="P37" s="8"/>
      <c r="Q37" s="7"/>
      <c r="R37" s="8"/>
      <c r="S37" s="7"/>
      <c r="T37" s="7"/>
      <c r="U37" s="7"/>
      <c r="V37" s="136"/>
      <c r="W37" s="135"/>
    </row>
    <row r="38" spans="1:23" s="9" customFormat="1" ht="12.75" x14ac:dyDescent="0.2">
      <c r="A38" s="7"/>
      <c r="B38" s="7"/>
      <c r="C38" s="7"/>
      <c r="D38" s="7"/>
      <c r="E38" s="7"/>
      <c r="F38" s="7"/>
      <c r="G38" s="7"/>
      <c r="H38" s="7"/>
      <c r="I38" s="77"/>
      <c r="J38" s="78"/>
      <c r="K38" s="79"/>
      <c r="L38" s="79"/>
      <c r="M38" s="79"/>
      <c r="N38" s="7"/>
      <c r="O38" s="7"/>
      <c r="P38" s="8"/>
      <c r="Q38" s="7"/>
      <c r="R38" s="8"/>
      <c r="S38" s="7"/>
      <c r="T38" s="7"/>
      <c r="U38" s="7"/>
      <c r="V38" s="136"/>
      <c r="W38" s="135"/>
    </row>
    <row r="39" spans="1:23" s="9" customFormat="1" ht="12.75" x14ac:dyDescent="0.2">
      <c r="A39" s="7"/>
      <c r="B39" s="7"/>
      <c r="C39" s="7"/>
      <c r="D39" s="7"/>
      <c r="E39" s="7"/>
      <c r="F39" s="7"/>
      <c r="G39" s="7"/>
      <c r="H39" s="7"/>
      <c r="I39" s="77"/>
      <c r="J39" s="78"/>
      <c r="K39" s="79"/>
      <c r="L39" s="79"/>
      <c r="M39" s="79"/>
      <c r="N39" s="7"/>
      <c r="O39" s="7"/>
      <c r="P39" s="8"/>
      <c r="Q39" s="7"/>
      <c r="R39" s="8"/>
      <c r="S39" s="7"/>
      <c r="T39" s="7"/>
      <c r="U39" s="7"/>
      <c r="V39" s="136"/>
      <c r="W39" s="135"/>
    </row>
    <row r="40" spans="1:23" s="9" customFormat="1" ht="12.75" x14ac:dyDescent="0.2">
      <c r="A40" s="7"/>
      <c r="B40" s="7"/>
      <c r="C40" s="7"/>
      <c r="D40" s="7"/>
      <c r="E40" s="7"/>
      <c r="F40" s="7"/>
      <c r="G40" s="7"/>
      <c r="H40" s="7"/>
      <c r="I40" s="77"/>
      <c r="J40" s="78"/>
      <c r="K40" s="79"/>
      <c r="L40" s="79"/>
      <c r="M40" s="79"/>
      <c r="N40" s="7"/>
      <c r="O40" s="7"/>
      <c r="P40" s="8"/>
      <c r="Q40" s="7"/>
      <c r="R40" s="8"/>
      <c r="S40" s="7"/>
      <c r="T40" s="7"/>
      <c r="U40" s="7"/>
      <c r="V40" s="136"/>
      <c r="W40" s="135"/>
    </row>
    <row r="41" spans="1:23" s="9" customFormat="1" ht="12.75" x14ac:dyDescent="0.2">
      <c r="A41" s="7"/>
      <c r="B41" s="7"/>
      <c r="C41" s="7"/>
      <c r="D41" s="7"/>
      <c r="E41" s="7"/>
      <c r="F41" s="7"/>
      <c r="G41" s="7"/>
      <c r="H41" s="7"/>
      <c r="I41" s="77"/>
      <c r="J41" s="78"/>
      <c r="K41" s="79"/>
      <c r="L41" s="79"/>
      <c r="M41" s="79"/>
      <c r="N41" s="7"/>
      <c r="O41" s="7"/>
      <c r="P41" s="8"/>
      <c r="Q41" s="7"/>
      <c r="R41" s="8"/>
      <c r="S41" s="7"/>
      <c r="T41" s="7"/>
      <c r="U41" s="7"/>
      <c r="V41" s="136"/>
      <c r="W41" s="135"/>
    </row>
    <row r="42" spans="1:23" s="9" customFormat="1" ht="12.75" x14ac:dyDescent="0.2">
      <c r="A42" s="7"/>
      <c r="B42" s="7"/>
      <c r="C42" s="7"/>
      <c r="D42" s="7"/>
      <c r="E42" s="7"/>
      <c r="F42" s="7"/>
      <c r="G42" s="7"/>
      <c r="H42" s="7"/>
      <c r="I42" s="77"/>
      <c r="J42" s="78"/>
      <c r="K42" s="79"/>
      <c r="L42" s="79"/>
      <c r="M42" s="79"/>
      <c r="N42" s="7"/>
      <c r="O42" s="7"/>
      <c r="P42" s="8"/>
      <c r="Q42" s="7"/>
      <c r="R42" s="8"/>
      <c r="S42" s="7"/>
      <c r="T42" s="7"/>
      <c r="U42" s="7"/>
      <c r="V42" s="136"/>
      <c r="W42" s="135"/>
    </row>
    <row r="43" spans="1:23" s="9" customFormat="1" ht="12.75" x14ac:dyDescent="0.2">
      <c r="A43" s="7"/>
      <c r="B43" s="7"/>
      <c r="C43" s="7"/>
      <c r="D43" s="7"/>
      <c r="E43" s="7"/>
      <c r="F43" s="7"/>
      <c r="G43" s="7"/>
      <c r="H43" s="7"/>
      <c r="I43" s="77"/>
      <c r="J43" s="78"/>
      <c r="K43" s="79"/>
      <c r="L43" s="79"/>
      <c r="M43" s="79"/>
      <c r="N43" s="7"/>
      <c r="O43" s="7"/>
      <c r="P43" s="8"/>
      <c r="Q43" s="7"/>
      <c r="R43" s="8"/>
      <c r="S43" s="7"/>
      <c r="T43" s="7"/>
      <c r="U43" s="7"/>
      <c r="V43" s="136"/>
      <c r="W43" s="135"/>
    </row>
    <row r="44" spans="1:23" s="9" customFormat="1" ht="12.75" x14ac:dyDescent="0.2">
      <c r="A44" s="7"/>
      <c r="B44" s="7"/>
      <c r="C44" s="7"/>
      <c r="D44" s="7"/>
      <c r="E44" s="7"/>
      <c r="F44" s="7"/>
      <c r="G44" s="7"/>
      <c r="H44" s="7"/>
      <c r="I44" s="77"/>
      <c r="J44" s="78"/>
      <c r="K44" s="79"/>
      <c r="L44" s="79"/>
      <c r="M44" s="79"/>
      <c r="N44" s="7"/>
      <c r="O44" s="7"/>
      <c r="P44" s="8"/>
      <c r="Q44" s="7"/>
      <c r="R44" s="8"/>
      <c r="S44" s="7"/>
      <c r="T44" s="7"/>
      <c r="U44" s="7"/>
      <c r="V44" s="136"/>
      <c r="W44" s="135"/>
    </row>
    <row r="45" spans="1:23" s="9" customFormat="1" ht="12.75" x14ac:dyDescent="0.2">
      <c r="A45" s="7"/>
      <c r="B45" s="7"/>
      <c r="C45" s="7"/>
      <c r="D45" s="7"/>
      <c r="E45" s="7"/>
      <c r="F45" s="7"/>
      <c r="G45" s="7"/>
      <c r="H45" s="7"/>
      <c r="I45" s="77"/>
      <c r="J45" s="78"/>
      <c r="K45" s="79"/>
      <c r="L45" s="79"/>
      <c r="M45" s="79"/>
      <c r="N45" s="7"/>
      <c r="O45" s="7"/>
      <c r="P45" s="8"/>
      <c r="Q45" s="7"/>
      <c r="R45" s="8"/>
      <c r="S45" s="7"/>
      <c r="T45" s="7"/>
      <c r="U45" s="7"/>
      <c r="V45" s="136"/>
      <c r="W45" s="135"/>
    </row>
    <row r="46" spans="1:23" s="9" customFormat="1" ht="12.75" x14ac:dyDescent="0.2">
      <c r="A46" s="7"/>
      <c r="B46" s="7"/>
      <c r="C46" s="7"/>
      <c r="D46" s="7"/>
      <c r="E46" s="7"/>
      <c r="F46" s="7"/>
      <c r="G46" s="7"/>
      <c r="H46" s="7"/>
      <c r="I46" s="77"/>
      <c r="J46" s="78"/>
      <c r="K46" s="79"/>
      <c r="L46" s="79"/>
      <c r="M46" s="79"/>
      <c r="N46" s="7"/>
      <c r="O46" s="7"/>
      <c r="P46" s="8"/>
      <c r="Q46" s="7"/>
      <c r="R46" s="8"/>
      <c r="S46" s="7"/>
      <c r="T46" s="7"/>
      <c r="U46" s="7"/>
      <c r="V46" s="136"/>
      <c r="W46" s="135"/>
    </row>
    <row r="47" spans="1:23" s="9" customFormat="1" ht="12.75" x14ac:dyDescent="0.2">
      <c r="A47" s="7"/>
      <c r="B47" s="7"/>
      <c r="C47" s="7"/>
      <c r="D47" s="7"/>
      <c r="E47" s="7"/>
      <c r="F47" s="7"/>
      <c r="G47" s="7"/>
      <c r="H47" s="7"/>
      <c r="I47" s="77"/>
      <c r="J47" s="78"/>
      <c r="K47" s="79"/>
      <c r="L47" s="79"/>
      <c r="M47" s="79"/>
      <c r="N47" s="7"/>
      <c r="O47" s="7"/>
      <c r="P47" s="8"/>
      <c r="Q47" s="7"/>
      <c r="R47" s="8"/>
      <c r="S47" s="7"/>
      <c r="T47" s="7"/>
      <c r="U47" s="7"/>
      <c r="V47" s="136"/>
      <c r="W47" s="135"/>
    </row>
    <row r="48" spans="1:23" s="9" customFormat="1" ht="12.75" x14ac:dyDescent="0.2">
      <c r="A48" s="7"/>
      <c r="B48" s="7"/>
      <c r="C48" s="7"/>
      <c r="D48" s="7"/>
      <c r="E48" s="7"/>
      <c r="F48" s="7"/>
      <c r="G48" s="7"/>
      <c r="H48" s="7"/>
      <c r="I48" s="77"/>
      <c r="J48" s="78"/>
      <c r="K48" s="79"/>
      <c r="L48" s="79"/>
      <c r="M48" s="79"/>
      <c r="N48" s="7"/>
      <c r="O48" s="7"/>
      <c r="P48" s="8"/>
      <c r="Q48" s="7"/>
      <c r="R48" s="8"/>
      <c r="S48" s="7"/>
      <c r="T48" s="7"/>
      <c r="U48" s="7"/>
      <c r="V48" s="136"/>
      <c r="W48" s="135"/>
    </row>
    <row r="49" spans="1:23" s="9" customFormat="1" ht="12.75" x14ac:dyDescent="0.2">
      <c r="A49" s="7"/>
      <c r="B49" s="7"/>
      <c r="C49" s="7"/>
      <c r="D49" s="7"/>
      <c r="E49" s="7"/>
      <c r="F49" s="7"/>
      <c r="G49" s="7"/>
      <c r="H49" s="7"/>
      <c r="I49" s="77"/>
      <c r="J49" s="78"/>
      <c r="K49" s="79"/>
      <c r="L49" s="79"/>
      <c r="M49" s="79"/>
      <c r="N49" s="7"/>
      <c r="O49" s="7"/>
      <c r="P49" s="8"/>
      <c r="Q49" s="7"/>
      <c r="R49" s="8"/>
      <c r="S49" s="7"/>
      <c r="T49" s="7"/>
      <c r="U49" s="7"/>
      <c r="V49" s="136"/>
      <c r="W49" s="135"/>
    </row>
    <row r="50" spans="1:23" s="9" customFormat="1" ht="12.75" x14ac:dyDescent="0.2">
      <c r="A50" s="7"/>
      <c r="B50" s="7"/>
      <c r="C50" s="7"/>
      <c r="D50" s="7"/>
      <c r="E50" s="7"/>
      <c r="F50" s="7"/>
      <c r="G50" s="7"/>
      <c r="H50" s="7"/>
      <c r="I50" s="77"/>
      <c r="J50" s="78"/>
      <c r="K50" s="79"/>
      <c r="L50" s="79"/>
      <c r="M50" s="79"/>
      <c r="N50" s="7"/>
      <c r="O50" s="7"/>
      <c r="P50" s="8"/>
      <c r="Q50" s="7"/>
      <c r="R50" s="8"/>
      <c r="S50" s="7"/>
      <c r="T50" s="7"/>
      <c r="U50" s="7"/>
      <c r="V50" s="136"/>
      <c r="W50" s="135"/>
    </row>
    <row r="51" spans="1:23" s="9" customFormat="1" ht="12.75" x14ac:dyDescent="0.2">
      <c r="A51" s="7"/>
      <c r="B51" s="7"/>
      <c r="C51" s="7"/>
      <c r="D51" s="7"/>
      <c r="E51" s="7"/>
      <c r="F51" s="7"/>
      <c r="G51" s="7"/>
      <c r="H51" s="7"/>
      <c r="I51" s="77"/>
      <c r="J51" s="78"/>
      <c r="K51" s="79"/>
      <c r="L51" s="79"/>
      <c r="M51" s="79"/>
      <c r="N51" s="7"/>
      <c r="O51" s="7"/>
      <c r="P51" s="8"/>
      <c r="Q51" s="7"/>
      <c r="R51" s="8"/>
      <c r="S51" s="7"/>
      <c r="T51" s="7"/>
      <c r="U51" s="7"/>
      <c r="V51" s="136"/>
      <c r="W51" s="135"/>
    </row>
    <row r="52" spans="1:23" s="9" customFormat="1" ht="12.75" x14ac:dyDescent="0.2">
      <c r="A52" s="7"/>
      <c r="B52" s="7"/>
      <c r="C52" s="7"/>
      <c r="D52" s="7"/>
      <c r="E52" s="7"/>
      <c r="F52" s="7"/>
      <c r="G52" s="7"/>
      <c r="H52" s="7"/>
      <c r="I52" s="77"/>
      <c r="J52" s="78"/>
      <c r="K52" s="79"/>
      <c r="L52" s="79"/>
      <c r="M52" s="79"/>
      <c r="N52" s="7"/>
      <c r="O52" s="7"/>
      <c r="P52" s="8"/>
      <c r="Q52" s="7"/>
      <c r="R52" s="8"/>
      <c r="S52" s="7"/>
      <c r="T52" s="7"/>
      <c r="U52" s="7"/>
      <c r="V52" s="136"/>
      <c r="W52" s="135"/>
    </row>
    <row r="53" spans="1:23" s="9" customFormat="1" ht="12.75" x14ac:dyDescent="0.2">
      <c r="A53" s="7"/>
      <c r="B53" s="7"/>
      <c r="C53" s="7"/>
      <c r="D53" s="7"/>
      <c r="E53" s="7"/>
      <c r="F53" s="7"/>
      <c r="G53" s="7"/>
      <c r="H53" s="7"/>
      <c r="I53" s="77"/>
      <c r="J53" s="78"/>
      <c r="K53" s="79"/>
      <c r="L53" s="79"/>
      <c r="M53" s="79"/>
      <c r="N53" s="7"/>
      <c r="O53" s="7"/>
      <c r="P53" s="8"/>
      <c r="Q53" s="7"/>
      <c r="R53" s="8"/>
      <c r="S53" s="7"/>
      <c r="T53" s="7"/>
      <c r="U53" s="7"/>
      <c r="V53" s="136"/>
      <c r="W53" s="135"/>
    </row>
    <row r="54" spans="1:23" s="9" customFormat="1" ht="12.75" x14ac:dyDescent="0.2">
      <c r="A54" s="7"/>
      <c r="B54" s="7"/>
      <c r="C54" s="7"/>
      <c r="D54" s="7"/>
      <c r="E54" s="7"/>
      <c r="F54" s="7"/>
      <c r="G54" s="7"/>
      <c r="H54" s="7"/>
      <c r="I54" s="77"/>
      <c r="J54" s="78"/>
      <c r="K54" s="79"/>
      <c r="L54" s="79"/>
      <c r="M54" s="79"/>
      <c r="N54" s="7"/>
      <c r="O54" s="7"/>
      <c r="P54" s="8"/>
      <c r="Q54" s="7"/>
      <c r="R54" s="8"/>
      <c r="S54" s="7"/>
      <c r="T54" s="7"/>
      <c r="U54" s="7"/>
      <c r="V54" s="136"/>
      <c r="W54" s="135"/>
    </row>
    <row r="55" spans="1:23" s="9" customFormat="1" ht="12.75" x14ac:dyDescent="0.2">
      <c r="A55" s="7"/>
      <c r="B55" s="7"/>
      <c r="C55" s="7"/>
      <c r="D55" s="7"/>
      <c r="E55" s="7"/>
      <c r="F55" s="7"/>
      <c r="G55" s="7"/>
      <c r="H55" s="7"/>
      <c r="I55" s="77"/>
      <c r="J55" s="78"/>
      <c r="K55" s="79"/>
      <c r="L55" s="79"/>
      <c r="M55" s="79"/>
      <c r="N55" s="7"/>
      <c r="O55" s="7"/>
      <c r="P55" s="8"/>
      <c r="Q55" s="7"/>
      <c r="R55" s="8"/>
      <c r="S55" s="7"/>
      <c r="T55" s="7"/>
      <c r="U55" s="7"/>
      <c r="V55" s="136"/>
      <c r="W55" s="135"/>
    </row>
    <row r="56" spans="1:23" s="9" customFormat="1" ht="12.75" x14ac:dyDescent="0.2">
      <c r="A56" s="7"/>
      <c r="B56" s="7"/>
      <c r="C56" s="7"/>
      <c r="D56" s="7"/>
      <c r="E56" s="7"/>
      <c r="F56" s="7"/>
      <c r="G56" s="7"/>
      <c r="H56" s="7"/>
      <c r="I56" s="77"/>
      <c r="J56" s="78"/>
      <c r="K56" s="79"/>
      <c r="L56" s="79"/>
      <c r="M56" s="79"/>
      <c r="N56" s="7"/>
      <c r="O56" s="7"/>
      <c r="P56" s="8"/>
      <c r="Q56" s="7"/>
      <c r="R56" s="8"/>
      <c r="S56" s="7"/>
      <c r="T56" s="7"/>
      <c r="U56" s="7"/>
      <c r="V56" s="136"/>
      <c r="W56" s="135"/>
    </row>
    <row r="57" spans="1:23" s="9" customFormat="1" ht="12.75" x14ac:dyDescent="0.2">
      <c r="A57" s="7"/>
      <c r="B57" s="7"/>
      <c r="C57" s="7"/>
      <c r="D57" s="7"/>
      <c r="E57" s="7"/>
      <c r="F57" s="7"/>
      <c r="G57" s="7"/>
      <c r="H57" s="7"/>
      <c r="I57" s="77"/>
      <c r="J57" s="78"/>
      <c r="K57" s="79"/>
      <c r="L57" s="79"/>
      <c r="M57" s="79"/>
      <c r="N57" s="7"/>
      <c r="O57" s="7"/>
      <c r="P57" s="8"/>
      <c r="Q57" s="7"/>
      <c r="R57" s="8"/>
      <c r="S57" s="7"/>
      <c r="T57" s="7"/>
      <c r="U57" s="7"/>
      <c r="V57" s="136"/>
      <c r="W57" s="135"/>
    </row>
    <row r="58" spans="1:23" s="9" customFormat="1" ht="12.75" x14ac:dyDescent="0.2">
      <c r="A58" s="7"/>
      <c r="B58" s="7"/>
      <c r="C58" s="7"/>
      <c r="D58" s="7"/>
      <c r="E58" s="7"/>
      <c r="F58" s="7"/>
      <c r="G58" s="7"/>
      <c r="H58" s="7"/>
      <c r="I58" s="77"/>
      <c r="J58" s="78"/>
      <c r="K58" s="79"/>
      <c r="L58" s="79"/>
      <c r="M58" s="79"/>
      <c r="N58" s="7"/>
      <c r="O58" s="7"/>
      <c r="P58" s="8"/>
      <c r="Q58" s="7"/>
      <c r="R58" s="8"/>
      <c r="S58" s="7"/>
      <c r="T58" s="7"/>
      <c r="U58" s="7"/>
      <c r="V58" s="136"/>
      <c r="W58" s="135"/>
    </row>
    <row r="59" spans="1:23" s="9" customFormat="1" ht="12.75" x14ac:dyDescent="0.2">
      <c r="A59" s="7"/>
      <c r="B59" s="7"/>
      <c r="C59" s="7"/>
      <c r="D59" s="7"/>
      <c r="E59" s="7"/>
      <c r="F59" s="7"/>
      <c r="G59" s="7"/>
      <c r="H59" s="7"/>
      <c r="I59" s="77"/>
      <c r="J59" s="78"/>
      <c r="K59" s="79"/>
      <c r="L59" s="79"/>
      <c r="M59" s="79"/>
      <c r="N59" s="7"/>
      <c r="O59" s="7"/>
      <c r="P59" s="8"/>
      <c r="Q59" s="7"/>
      <c r="R59" s="8"/>
      <c r="S59" s="7"/>
      <c r="T59" s="7"/>
      <c r="U59" s="7"/>
      <c r="V59" s="136"/>
      <c r="W59" s="135"/>
    </row>
    <row r="60" spans="1:23" s="9" customFormat="1" ht="12.75" x14ac:dyDescent="0.2">
      <c r="A60" s="7"/>
      <c r="B60" s="7"/>
      <c r="C60" s="7"/>
      <c r="D60" s="7"/>
      <c r="E60" s="7"/>
      <c r="F60" s="7"/>
      <c r="G60" s="7"/>
      <c r="H60" s="7"/>
      <c r="I60" s="77"/>
      <c r="J60" s="78"/>
      <c r="K60" s="79"/>
      <c r="L60" s="79"/>
      <c r="M60" s="79"/>
      <c r="N60" s="7"/>
      <c r="O60" s="7"/>
      <c r="P60" s="8"/>
      <c r="Q60" s="7"/>
      <c r="R60" s="8"/>
      <c r="S60" s="7"/>
      <c r="T60" s="7"/>
      <c r="U60" s="7"/>
      <c r="V60" s="136"/>
      <c r="W60" s="135"/>
    </row>
    <row r="61" spans="1:23" s="9" customFormat="1" ht="12.75" x14ac:dyDescent="0.2">
      <c r="A61" s="7"/>
      <c r="B61" s="7"/>
      <c r="C61" s="7"/>
      <c r="D61" s="7"/>
      <c r="E61" s="7"/>
      <c r="F61" s="7"/>
      <c r="G61" s="7"/>
      <c r="H61" s="7"/>
      <c r="I61" s="77"/>
      <c r="J61" s="78"/>
      <c r="K61" s="79"/>
      <c r="L61" s="79"/>
      <c r="M61" s="79"/>
      <c r="N61" s="7"/>
      <c r="O61" s="7"/>
      <c r="P61" s="8"/>
      <c r="Q61" s="7"/>
      <c r="R61" s="8"/>
      <c r="S61" s="7"/>
      <c r="T61" s="7"/>
      <c r="U61" s="7"/>
      <c r="V61" s="136"/>
      <c r="W61" s="135"/>
    </row>
    <row r="62" spans="1:23" s="9" customFormat="1" ht="12.75" x14ac:dyDescent="0.2">
      <c r="A62" s="7"/>
      <c r="B62" s="7"/>
      <c r="C62" s="7"/>
      <c r="D62" s="7"/>
      <c r="E62" s="7"/>
      <c r="F62" s="7"/>
      <c r="G62" s="7"/>
      <c r="H62" s="7"/>
      <c r="I62" s="77"/>
      <c r="J62" s="78"/>
      <c r="K62" s="79"/>
      <c r="L62" s="79"/>
      <c r="M62" s="79"/>
      <c r="N62" s="7"/>
      <c r="O62" s="7"/>
      <c r="P62" s="8"/>
      <c r="Q62" s="7"/>
      <c r="R62" s="8"/>
      <c r="S62" s="7"/>
      <c r="T62" s="7"/>
      <c r="U62" s="7"/>
      <c r="V62" s="136"/>
      <c r="W62" s="135"/>
    </row>
    <row r="63" spans="1:23" s="9" customFormat="1" ht="12.75" x14ac:dyDescent="0.2">
      <c r="A63" s="7"/>
      <c r="B63" s="7"/>
      <c r="C63" s="7"/>
      <c r="D63" s="7"/>
      <c r="E63" s="7"/>
      <c r="F63" s="7"/>
      <c r="G63" s="7"/>
      <c r="H63" s="7"/>
      <c r="I63" s="77"/>
      <c r="J63" s="78"/>
      <c r="K63" s="79"/>
      <c r="L63" s="79"/>
      <c r="M63" s="79"/>
      <c r="N63" s="7"/>
      <c r="O63" s="7"/>
      <c r="P63" s="8"/>
      <c r="Q63" s="7"/>
      <c r="R63" s="8"/>
      <c r="S63" s="7"/>
      <c r="T63" s="7"/>
      <c r="U63" s="7"/>
      <c r="V63" s="136"/>
      <c r="W63" s="135"/>
    </row>
    <row r="64" spans="1:23" s="9" customFormat="1" ht="12.75" x14ac:dyDescent="0.2">
      <c r="A64" s="7"/>
      <c r="B64" s="7"/>
      <c r="C64" s="7"/>
      <c r="D64" s="7"/>
      <c r="E64" s="7"/>
      <c r="F64" s="7"/>
      <c r="G64" s="7"/>
      <c r="H64" s="7"/>
      <c r="I64" s="77"/>
      <c r="J64" s="78"/>
      <c r="K64" s="79"/>
      <c r="L64" s="79"/>
      <c r="M64" s="79"/>
      <c r="N64" s="7"/>
      <c r="O64" s="7"/>
      <c r="P64" s="8"/>
      <c r="Q64" s="7"/>
      <c r="R64" s="8"/>
      <c r="S64" s="7"/>
      <c r="T64" s="7"/>
      <c r="U64" s="7"/>
      <c r="V64" s="136"/>
      <c r="W64" s="135"/>
    </row>
    <row r="65" spans="1:23" s="9" customFormat="1" ht="12.75" x14ac:dyDescent="0.2">
      <c r="A65" s="7"/>
      <c r="B65" s="7"/>
      <c r="C65" s="7"/>
      <c r="D65" s="7"/>
      <c r="E65" s="7"/>
      <c r="F65" s="7"/>
      <c r="G65" s="7"/>
      <c r="H65" s="7"/>
      <c r="I65" s="77"/>
      <c r="J65" s="78"/>
      <c r="K65" s="79"/>
      <c r="L65" s="79"/>
      <c r="M65" s="79"/>
      <c r="N65" s="7"/>
      <c r="O65" s="7"/>
      <c r="P65" s="8"/>
      <c r="Q65" s="7"/>
      <c r="R65" s="8"/>
      <c r="S65" s="7"/>
      <c r="T65" s="7"/>
      <c r="U65" s="7"/>
      <c r="V65" s="136"/>
      <c r="W65" s="135"/>
    </row>
    <row r="66" spans="1:23" s="9" customFormat="1" ht="12.75" x14ac:dyDescent="0.2">
      <c r="A66" s="7"/>
      <c r="B66" s="7"/>
      <c r="C66" s="7"/>
      <c r="D66" s="7"/>
      <c r="E66" s="7"/>
      <c r="F66" s="7"/>
      <c r="G66" s="7"/>
      <c r="H66" s="7"/>
      <c r="I66" s="77"/>
      <c r="J66" s="78"/>
      <c r="K66" s="79"/>
      <c r="L66" s="79"/>
      <c r="M66" s="79"/>
      <c r="N66" s="7"/>
      <c r="O66" s="7"/>
      <c r="P66" s="8"/>
      <c r="Q66" s="7"/>
      <c r="R66" s="8"/>
      <c r="S66" s="7"/>
      <c r="T66" s="7"/>
      <c r="U66" s="7"/>
      <c r="V66" s="136"/>
      <c r="W66" s="135"/>
    </row>
    <row r="67" spans="1:23" s="9" customFormat="1" ht="12.75" x14ac:dyDescent="0.2">
      <c r="A67" s="7"/>
      <c r="B67" s="7"/>
      <c r="C67" s="7"/>
      <c r="D67" s="7"/>
      <c r="E67" s="7"/>
      <c r="F67" s="7"/>
      <c r="G67" s="7"/>
      <c r="H67" s="7"/>
      <c r="I67" s="77"/>
      <c r="J67" s="78"/>
      <c r="K67" s="79"/>
      <c r="L67" s="79"/>
      <c r="M67" s="79"/>
      <c r="N67" s="7"/>
      <c r="O67" s="7"/>
      <c r="P67" s="8"/>
      <c r="Q67" s="7"/>
      <c r="R67" s="8"/>
      <c r="S67" s="7"/>
      <c r="T67" s="7"/>
      <c r="U67" s="7"/>
      <c r="V67" s="136"/>
      <c r="W67" s="135"/>
    </row>
    <row r="68" spans="1:23" s="9" customFormat="1" ht="12.75" x14ac:dyDescent="0.2">
      <c r="A68" s="7"/>
      <c r="B68" s="7"/>
      <c r="C68" s="7"/>
      <c r="D68" s="7"/>
      <c r="E68" s="7"/>
      <c r="F68" s="7"/>
      <c r="G68" s="7"/>
      <c r="H68" s="7"/>
      <c r="I68" s="77"/>
      <c r="J68" s="78"/>
      <c r="K68" s="79"/>
      <c r="L68" s="79"/>
      <c r="M68" s="79"/>
      <c r="N68" s="7"/>
      <c r="O68" s="7"/>
      <c r="P68" s="8"/>
      <c r="Q68" s="7"/>
      <c r="R68" s="8"/>
      <c r="S68" s="7"/>
      <c r="T68" s="7"/>
      <c r="U68" s="7"/>
      <c r="V68" s="136"/>
      <c r="W68" s="135"/>
    </row>
    <row r="69" spans="1:23" s="9" customFormat="1" ht="12.75" x14ac:dyDescent="0.2">
      <c r="A69" s="7"/>
      <c r="B69" s="7"/>
      <c r="C69" s="7"/>
      <c r="D69" s="7"/>
      <c r="E69" s="7"/>
      <c r="F69" s="7"/>
      <c r="G69" s="7"/>
      <c r="H69" s="7"/>
      <c r="I69" s="77"/>
      <c r="J69" s="78"/>
      <c r="K69" s="79"/>
      <c r="L69" s="79"/>
      <c r="M69" s="79"/>
      <c r="N69" s="7"/>
      <c r="O69" s="7"/>
      <c r="P69" s="8"/>
      <c r="Q69" s="7"/>
      <c r="R69" s="8"/>
      <c r="S69" s="7"/>
      <c r="T69" s="7"/>
      <c r="U69" s="7"/>
      <c r="V69" s="136"/>
      <c r="W69" s="135"/>
    </row>
    <row r="70" spans="1:23" s="9" customFormat="1" ht="12.75" x14ac:dyDescent="0.2">
      <c r="A70" s="7"/>
      <c r="B70" s="7"/>
      <c r="C70" s="7"/>
      <c r="D70" s="7"/>
      <c r="E70" s="7"/>
      <c r="F70" s="7"/>
      <c r="G70" s="7"/>
      <c r="H70" s="7"/>
      <c r="I70" s="77"/>
      <c r="J70" s="78"/>
      <c r="K70" s="79"/>
      <c r="L70" s="79"/>
      <c r="M70" s="79"/>
      <c r="N70" s="7"/>
      <c r="O70" s="7"/>
      <c r="P70" s="8"/>
      <c r="Q70" s="7"/>
      <c r="R70" s="8"/>
      <c r="S70" s="7"/>
      <c r="T70" s="7"/>
      <c r="U70" s="7"/>
      <c r="V70" s="136"/>
      <c r="W70" s="135"/>
    </row>
    <row r="71" spans="1:23" s="9" customFormat="1" ht="12.75" x14ac:dyDescent="0.2">
      <c r="A71" s="7"/>
      <c r="B71" s="7"/>
      <c r="C71" s="7"/>
      <c r="D71" s="7"/>
      <c r="E71" s="7"/>
      <c r="F71" s="7"/>
      <c r="G71" s="7"/>
      <c r="H71" s="7"/>
      <c r="I71" s="77"/>
      <c r="J71" s="78"/>
      <c r="K71" s="79"/>
      <c r="L71" s="79"/>
      <c r="M71" s="79"/>
      <c r="N71" s="7"/>
      <c r="O71" s="7"/>
      <c r="P71" s="8"/>
      <c r="Q71" s="7"/>
      <c r="R71" s="8"/>
      <c r="S71" s="7"/>
      <c r="T71" s="7"/>
      <c r="U71" s="7"/>
      <c r="V71" s="136"/>
      <c r="W71" s="135"/>
    </row>
    <row r="72" spans="1:23" s="9" customFormat="1" ht="12.75" x14ac:dyDescent="0.2">
      <c r="A72" s="7"/>
      <c r="B72" s="7"/>
      <c r="C72" s="7"/>
      <c r="D72" s="7"/>
      <c r="E72" s="7"/>
      <c r="F72" s="7"/>
      <c r="G72" s="7"/>
      <c r="H72" s="7"/>
      <c r="I72" s="77"/>
      <c r="J72" s="78"/>
      <c r="K72" s="79"/>
      <c r="L72" s="79"/>
      <c r="M72" s="79"/>
      <c r="N72" s="7"/>
      <c r="O72" s="7"/>
      <c r="P72" s="8"/>
      <c r="Q72" s="7"/>
      <c r="R72" s="8"/>
      <c r="S72" s="7"/>
      <c r="T72" s="7"/>
      <c r="U72" s="7"/>
      <c r="V72" s="136"/>
      <c r="W72" s="135"/>
    </row>
    <row r="73" spans="1:23" s="9" customFormat="1" ht="12.75" x14ac:dyDescent="0.2">
      <c r="A73" s="7"/>
      <c r="B73" s="7"/>
      <c r="C73" s="7"/>
      <c r="D73" s="7"/>
      <c r="E73" s="7"/>
      <c r="F73" s="7"/>
      <c r="G73" s="7"/>
      <c r="H73" s="7"/>
      <c r="I73" s="77"/>
      <c r="J73" s="78"/>
      <c r="K73" s="79"/>
      <c r="L73" s="79"/>
      <c r="M73" s="79"/>
      <c r="N73" s="7"/>
      <c r="O73" s="7"/>
      <c r="P73" s="8"/>
      <c r="Q73" s="7"/>
      <c r="R73" s="8"/>
      <c r="S73" s="7"/>
      <c r="T73" s="7"/>
      <c r="U73" s="7"/>
      <c r="V73" s="136"/>
      <c r="W73" s="135"/>
    </row>
    <row r="74" spans="1:23" s="9" customFormat="1" ht="12.75" x14ac:dyDescent="0.2">
      <c r="A74" s="7"/>
      <c r="B74" s="7"/>
      <c r="C74" s="7"/>
      <c r="D74" s="7"/>
      <c r="E74" s="7"/>
      <c r="F74" s="7"/>
      <c r="G74" s="7"/>
      <c r="H74" s="7"/>
      <c r="I74" s="77"/>
      <c r="J74" s="78"/>
      <c r="K74" s="79"/>
      <c r="L74" s="79"/>
      <c r="M74" s="79"/>
      <c r="N74" s="7"/>
      <c r="O74" s="7"/>
      <c r="P74" s="8"/>
      <c r="Q74" s="7"/>
      <c r="R74" s="8"/>
      <c r="S74" s="7"/>
      <c r="T74" s="7"/>
      <c r="U74" s="7"/>
      <c r="V74" s="136"/>
      <c r="W74" s="135"/>
    </row>
    <row r="75" spans="1:23" s="9" customFormat="1" ht="12.75" x14ac:dyDescent="0.2">
      <c r="A75" s="7"/>
      <c r="B75" s="7"/>
      <c r="C75" s="7"/>
      <c r="D75" s="7"/>
      <c r="E75" s="7"/>
      <c r="F75" s="7"/>
      <c r="G75" s="7"/>
      <c r="H75" s="7"/>
      <c r="I75" s="77"/>
      <c r="J75" s="78"/>
      <c r="K75" s="79"/>
      <c r="L75" s="79"/>
      <c r="M75" s="79"/>
      <c r="N75" s="7"/>
      <c r="O75" s="7"/>
      <c r="P75" s="8"/>
      <c r="Q75" s="7"/>
      <c r="R75" s="8"/>
      <c r="S75" s="7"/>
      <c r="T75" s="7"/>
      <c r="U75" s="7"/>
      <c r="V75" s="136"/>
      <c r="W75" s="135"/>
    </row>
    <row r="76" spans="1:23" s="9" customFormat="1" ht="12.75" x14ac:dyDescent="0.2">
      <c r="A76" s="7"/>
      <c r="B76" s="7"/>
      <c r="C76" s="7"/>
      <c r="D76" s="7"/>
      <c r="E76" s="7"/>
      <c r="F76" s="7"/>
      <c r="G76" s="7"/>
      <c r="H76" s="7"/>
      <c r="I76" s="77"/>
      <c r="J76" s="78"/>
      <c r="K76" s="79"/>
      <c r="L76" s="79"/>
      <c r="M76" s="79"/>
      <c r="N76" s="7"/>
      <c r="O76" s="7"/>
      <c r="P76" s="8"/>
      <c r="Q76" s="7"/>
      <c r="R76" s="8"/>
      <c r="S76" s="7"/>
      <c r="T76" s="7"/>
      <c r="U76" s="7"/>
      <c r="V76" s="136"/>
      <c r="W76" s="135"/>
    </row>
    <row r="77" spans="1:23" s="9" customFormat="1" ht="12.75" x14ac:dyDescent="0.2">
      <c r="A77" s="7"/>
      <c r="B77" s="7"/>
      <c r="C77" s="7"/>
      <c r="D77" s="7"/>
      <c r="E77" s="7"/>
      <c r="F77" s="7"/>
      <c r="G77" s="7"/>
      <c r="H77" s="7"/>
      <c r="I77" s="77"/>
      <c r="J77" s="78"/>
      <c r="K77" s="79"/>
      <c r="L77" s="79"/>
      <c r="M77" s="79"/>
      <c r="N77" s="7"/>
      <c r="O77" s="7"/>
      <c r="P77" s="8"/>
      <c r="Q77" s="7"/>
      <c r="R77" s="8"/>
      <c r="S77" s="7"/>
      <c r="T77" s="7"/>
      <c r="U77" s="7"/>
      <c r="V77" s="136"/>
      <c r="W77" s="135"/>
    </row>
    <row r="78" spans="1:23" s="9" customFormat="1" ht="12.75" x14ac:dyDescent="0.2">
      <c r="A78" s="7"/>
      <c r="B78" s="7"/>
      <c r="C78" s="7"/>
      <c r="D78" s="7"/>
      <c r="E78" s="7"/>
      <c r="F78" s="7"/>
      <c r="G78" s="7"/>
      <c r="H78" s="7"/>
      <c r="I78" s="77"/>
      <c r="J78" s="78"/>
      <c r="K78" s="79"/>
      <c r="L78" s="79"/>
      <c r="M78" s="79"/>
      <c r="N78" s="7"/>
      <c r="O78" s="7"/>
      <c r="P78" s="8"/>
      <c r="Q78" s="7"/>
      <c r="R78" s="8"/>
      <c r="S78" s="7"/>
      <c r="T78" s="7"/>
      <c r="U78" s="7"/>
      <c r="V78" s="136"/>
      <c r="W78" s="135"/>
    </row>
    <row r="79" spans="1:23" s="9" customFormat="1" ht="12.75" x14ac:dyDescent="0.2">
      <c r="A79" s="7"/>
      <c r="B79" s="7"/>
      <c r="C79" s="7"/>
      <c r="D79" s="7"/>
      <c r="E79" s="7"/>
      <c r="F79" s="7"/>
      <c r="G79" s="7"/>
      <c r="H79" s="7"/>
      <c r="I79" s="77"/>
      <c r="J79" s="78"/>
      <c r="K79" s="79"/>
      <c r="L79" s="79"/>
      <c r="M79" s="79"/>
      <c r="N79" s="7"/>
      <c r="O79" s="7"/>
      <c r="P79" s="8"/>
      <c r="Q79" s="7"/>
      <c r="R79" s="8"/>
      <c r="S79" s="7"/>
      <c r="T79" s="7"/>
      <c r="U79" s="7"/>
      <c r="V79" s="136"/>
      <c r="W79" s="135"/>
    </row>
    <row r="80" spans="1:23" s="9" customFormat="1" ht="12.75" x14ac:dyDescent="0.2">
      <c r="A80" s="7"/>
      <c r="B80" s="7"/>
      <c r="C80" s="7"/>
      <c r="D80" s="7"/>
      <c r="E80" s="7"/>
      <c r="F80" s="7"/>
      <c r="G80" s="7"/>
      <c r="H80" s="7"/>
      <c r="I80" s="77"/>
      <c r="J80" s="78"/>
      <c r="K80" s="79"/>
      <c r="L80" s="79"/>
      <c r="M80" s="79"/>
      <c r="N80" s="7"/>
      <c r="O80" s="7"/>
      <c r="P80" s="8"/>
      <c r="Q80" s="7"/>
      <c r="R80" s="8"/>
      <c r="S80" s="7"/>
      <c r="T80" s="7"/>
      <c r="U80" s="7"/>
      <c r="V80" s="136"/>
      <c r="W80" s="135"/>
    </row>
    <row r="81" spans="1:23" s="9" customFormat="1" ht="12.75" x14ac:dyDescent="0.2">
      <c r="A81" s="7"/>
      <c r="B81" s="7"/>
      <c r="C81" s="7"/>
      <c r="D81" s="7"/>
      <c r="E81" s="7"/>
      <c r="F81" s="7"/>
      <c r="G81" s="7"/>
      <c r="H81" s="7"/>
      <c r="I81" s="77"/>
      <c r="J81" s="78"/>
      <c r="K81" s="79"/>
      <c r="L81" s="79"/>
      <c r="M81" s="79"/>
      <c r="N81" s="7"/>
      <c r="O81" s="7"/>
      <c r="P81" s="8"/>
      <c r="Q81" s="7"/>
      <c r="R81" s="8"/>
      <c r="S81" s="7"/>
      <c r="T81" s="7"/>
      <c r="U81" s="7"/>
      <c r="V81" s="136"/>
      <c r="W81" s="135"/>
    </row>
    <row r="82" spans="1:23" s="9" customFormat="1" ht="12.75" x14ac:dyDescent="0.2">
      <c r="A82" s="7"/>
      <c r="B82" s="7"/>
      <c r="C82" s="7"/>
      <c r="D82" s="7"/>
      <c r="E82" s="7"/>
      <c r="F82" s="7"/>
      <c r="G82" s="7"/>
      <c r="H82" s="7"/>
      <c r="I82" s="77"/>
      <c r="J82" s="78"/>
      <c r="K82" s="79"/>
      <c r="L82" s="79"/>
      <c r="M82" s="79"/>
      <c r="N82" s="7"/>
      <c r="O82" s="7"/>
      <c r="P82" s="8"/>
      <c r="Q82" s="7"/>
      <c r="R82" s="8"/>
      <c r="S82" s="7"/>
      <c r="T82" s="7"/>
      <c r="U82" s="7"/>
      <c r="V82" s="136"/>
      <c r="W82" s="135"/>
    </row>
    <row r="83" spans="1:23" s="9" customFormat="1" ht="12.75" x14ac:dyDescent="0.2">
      <c r="A83" s="7"/>
      <c r="B83" s="7"/>
      <c r="C83" s="7"/>
      <c r="D83" s="7"/>
      <c r="E83" s="7"/>
      <c r="F83" s="7"/>
      <c r="G83" s="7"/>
      <c r="H83" s="7"/>
      <c r="I83" s="77"/>
      <c r="J83" s="78"/>
      <c r="K83" s="79"/>
      <c r="L83" s="79"/>
      <c r="M83" s="79"/>
      <c r="N83" s="7"/>
      <c r="O83" s="7"/>
      <c r="P83" s="8"/>
      <c r="Q83" s="7"/>
      <c r="R83" s="8"/>
      <c r="S83" s="7"/>
      <c r="T83" s="7"/>
      <c r="U83" s="7"/>
      <c r="V83" s="136"/>
      <c r="W83" s="135"/>
    </row>
    <row r="84" spans="1:23" s="9" customFormat="1" ht="12.75" x14ac:dyDescent="0.2">
      <c r="A84" s="7"/>
      <c r="B84" s="7"/>
      <c r="C84" s="7"/>
      <c r="D84" s="7"/>
      <c r="E84" s="7"/>
      <c r="F84" s="7"/>
      <c r="G84" s="7"/>
      <c r="H84" s="7"/>
      <c r="I84" s="77"/>
      <c r="J84" s="78"/>
      <c r="K84" s="79"/>
      <c r="L84" s="79"/>
      <c r="M84" s="79"/>
      <c r="N84" s="7"/>
      <c r="O84" s="7"/>
      <c r="P84" s="8"/>
      <c r="Q84" s="7"/>
      <c r="R84" s="8"/>
      <c r="S84" s="7"/>
      <c r="T84" s="7"/>
      <c r="U84" s="7"/>
      <c r="V84" s="136"/>
      <c r="W84" s="135"/>
    </row>
    <row r="85" spans="1:23" s="9" customFormat="1" ht="12.75" x14ac:dyDescent="0.2">
      <c r="A85" s="7"/>
      <c r="B85" s="7"/>
      <c r="C85" s="7"/>
      <c r="D85" s="7"/>
      <c r="E85" s="7"/>
      <c r="F85" s="7"/>
      <c r="G85" s="7"/>
      <c r="H85" s="7"/>
      <c r="I85" s="77"/>
      <c r="J85" s="78"/>
      <c r="K85" s="79"/>
      <c r="L85" s="79"/>
      <c r="M85" s="79"/>
      <c r="N85" s="7"/>
      <c r="O85" s="7"/>
      <c r="P85" s="8"/>
      <c r="Q85" s="7"/>
      <c r="R85" s="8"/>
      <c r="S85" s="7"/>
      <c r="T85" s="7"/>
      <c r="U85" s="7"/>
      <c r="V85" s="136"/>
      <c r="W85" s="135"/>
    </row>
    <row r="86" spans="1:23" s="9" customFormat="1" ht="12.75" x14ac:dyDescent="0.2">
      <c r="A86" s="7"/>
      <c r="B86" s="7"/>
      <c r="C86" s="7"/>
      <c r="D86" s="7"/>
      <c r="E86" s="7"/>
      <c r="F86" s="7"/>
      <c r="G86" s="7"/>
      <c r="H86" s="7"/>
      <c r="I86" s="77"/>
      <c r="J86" s="78"/>
      <c r="K86" s="79"/>
      <c r="L86" s="79"/>
      <c r="M86" s="79"/>
      <c r="N86" s="7"/>
      <c r="O86" s="7"/>
      <c r="P86" s="8"/>
      <c r="Q86" s="7"/>
      <c r="R86" s="8"/>
      <c r="S86" s="7"/>
      <c r="T86" s="7"/>
      <c r="U86" s="7"/>
      <c r="V86" s="136"/>
      <c r="W86" s="135"/>
    </row>
    <row r="87" spans="1:23" s="9" customFormat="1" ht="12.75" x14ac:dyDescent="0.2">
      <c r="A87" s="7"/>
      <c r="B87" s="7"/>
      <c r="C87" s="7"/>
      <c r="D87" s="7"/>
      <c r="E87" s="7"/>
      <c r="F87" s="7"/>
      <c r="G87" s="7"/>
      <c r="H87" s="7"/>
      <c r="I87" s="77"/>
      <c r="J87" s="78"/>
      <c r="K87" s="79"/>
      <c r="L87" s="79"/>
      <c r="M87" s="79"/>
      <c r="N87" s="7"/>
      <c r="O87" s="7"/>
      <c r="P87" s="8"/>
      <c r="Q87" s="7"/>
      <c r="R87" s="8"/>
      <c r="S87" s="7"/>
      <c r="T87" s="7"/>
      <c r="U87" s="7"/>
      <c r="V87" s="136"/>
      <c r="W87" s="135"/>
    </row>
    <row r="88" spans="1:23" s="9" customFormat="1" ht="12.75" x14ac:dyDescent="0.2">
      <c r="A88" s="7"/>
      <c r="B88" s="7"/>
      <c r="C88" s="7"/>
      <c r="D88" s="7"/>
      <c r="E88" s="7"/>
      <c r="F88" s="7"/>
      <c r="G88" s="7"/>
      <c r="H88" s="7"/>
      <c r="I88" s="77"/>
      <c r="J88" s="78"/>
      <c r="K88" s="79"/>
      <c r="L88" s="79"/>
      <c r="M88" s="79"/>
      <c r="N88" s="7"/>
      <c r="O88" s="7"/>
      <c r="P88" s="8"/>
      <c r="Q88" s="7"/>
      <c r="R88" s="8"/>
      <c r="S88" s="7"/>
      <c r="T88" s="7"/>
      <c r="U88" s="7"/>
      <c r="V88" s="136"/>
      <c r="W88" s="135"/>
    </row>
    <row r="89" spans="1:23" s="9" customFormat="1" ht="12.75" x14ac:dyDescent="0.2">
      <c r="A89" s="7"/>
      <c r="B89" s="7"/>
      <c r="C89" s="7"/>
      <c r="D89" s="7"/>
      <c r="E89" s="7"/>
      <c r="F89" s="7"/>
      <c r="G89" s="7"/>
      <c r="H89" s="7"/>
      <c r="I89" s="77"/>
      <c r="J89" s="78"/>
      <c r="K89" s="79"/>
      <c r="L89" s="79"/>
      <c r="M89" s="79"/>
      <c r="N89" s="7"/>
      <c r="O89" s="7"/>
      <c r="P89" s="8"/>
      <c r="Q89" s="7"/>
      <c r="R89" s="8"/>
      <c r="S89" s="7"/>
      <c r="T89" s="7"/>
      <c r="U89" s="7"/>
      <c r="V89" s="136"/>
      <c r="W89" s="135"/>
    </row>
    <row r="90" spans="1:23" s="9" customFormat="1" ht="12.75" x14ac:dyDescent="0.2">
      <c r="A90" s="7"/>
      <c r="B90" s="7"/>
      <c r="C90" s="7"/>
      <c r="D90" s="7"/>
      <c r="E90" s="7"/>
      <c r="F90" s="7"/>
      <c r="G90" s="7"/>
      <c r="H90" s="7"/>
      <c r="I90" s="77"/>
      <c r="J90" s="78"/>
      <c r="K90" s="79"/>
      <c r="L90" s="79"/>
      <c r="M90" s="79"/>
      <c r="N90" s="7"/>
      <c r="O90" s="7"/>
      <c r="P90" s="8"/>
      <c r="Q90" s="7"/>
      <c r="R90" s="8"/>
      <c r="S90" s="7"/>
      <c r="T90" s="7"/>
      <c r="U90" s="7"/>
      <c r="V90" s="136"/>
      <c r="W90" s="135"/>
    </row>
    <row r="91" spans="1:23" s="9" customFormat="1" ht="12.75" x14ac:dyDescent="0.2">
      <c r="A91" s="7"/>
      <c r="B91" s="7"/>
      <c r="C91" s="7"/>
      <c r="D91" s="7"/>
      <c r="E91" s="7"/>
      <c r="F91" s="7"/>
      <c r="G91" s="7"/>
      <c r="H91" s="7"/>
      <c r="I91" s="77"/>
      <c r="J91" s="78"/>
      <c r="K91" s="79"/>
      <c r="L91" s="79"/>
      <c r="M91" s="79"/>
      <c r="N91" s="7"/>
      <c r="O91" s="7"/>
      <c r="P91" s="8"/>
      <c r="Q91" s="7"/>
      <c r="R91" s="8"/>
      <c r="S91" s="7"/>
      <c r="T91" s="7"/>
      <c r="U91" s="7"/>
      <c r="V91" s="136"/>
      <c r="W91" s="135"/>
    </row>
    <row r="92" spans="1:23" s="9" customFormat="1" ht="12.75" x14ac:dyDescent="0.2">
      <c r="A92" s="7"/>
      <c r="B92" s="7"/>
      <c r="C92" s="7"/>
      <c r="D92" s="7"/>
      <c r="E92" s="7"/>
      <c r="F92" s="7"/>
      <c r="G92" s="7"/>
      <c r="H92" s="7"/>
      <c r="I92" s="77"/>
      <c r="J92" s="78"/>
      <c r="K92" s="79"/>
      <c r="L92" s="79"/>
      <c r="M92" s="79"/>
      <c r="N92" s="7"/>
      <c r="O92" s="7"/>
      <c r="P92" s="8"/>
      <c r="Q92" s="7"/>
      <c r="R92" s="8"/>
      <c r="S92" s="7"/>
      <c r="T92" s="7"/>
      <c r="U92" s="7"/>
      <c r="V92" s="136"/>
      <c r="W92" s="135"/>
    </row>
    <row r="93" spans="1:23" s="9" customFormat="1" ht="12.75" x14ac:dyDescent="0.2">
      <c r="A93" s="7"/>
      <c r="B93" s="7"/>
      <c r="C93" s="7"/>
      <c r="D93" s="7"/>
      <c r="E93" s="7"/>
      <c r="F93" s="7"/>
      <c r="G93" s="7"/>
      <c r="H93" s="7"/>
      <c r="I93" s="77"/>
      <c r="J93" s="78"/>
      <c r="K93" s="79"/>
      <c r="L93" s="79"/>
      <c r="M93" s="79"/>
      <c r="N93" s="7"/>
      <c r="O93" s="7"/>
      <c r="P93" s="8"/>
      <c r="Q93" s="7"/>
      <c r="R93" s="8"/>
      <c r="S93" s="7"/>
      <c r="T93" s="7"/>
      <c r="U93" s="7"/>
      <c r="V93" s="136"/>
      <c r="W93" s="135"/>
    </row>
    <row r="94" spans="1:23" s="9" customFormat="1" ht="12.75" x14ac:dyDescent="0.2">
      <c r="A94" s="7"/>
      <c r="B94" s="7"/>
      <c r="C94" s="7"/>
      <c r="D94" s="7"/>
      <c r="E94" s="7"/>
      <c r="F94" s="7"/>
      <c r="G94" s="7"/>
      <c r="H94" s="7"/>
      <c r="I94" s="77"/>
      <c r="J94" s="78"/>
      <c r="K94" s="79"/>
      <c r="L94" s="79"/>
      <c r="M94" s="79"/>
      <c r="N94" s="7"/>
      <c r="O94" s="7"/>
      <c r="P94" s="8"/>
      <c r="Q94" s="7"/>
      <c r="R94" s="8"/>
      <c r="S94" s="7"/>
      <c r="T94" s="7"/>
      <c r="U94" s="7"/>
      <c r="V94" s="136"/>
      <c r="W94" s="135"/>
    </row>
    <row r="95" spans="1:23" s="9" customFormat="1" ht="12.75" x14ac:dyDescent="0.2">
      <c r="A95" s="7"/>
      <c r="B95" s="7"/>
      <c r="C95" s="7"/>
      <c r="D95" s="7"/>
      <c r="E95" s="7"/>
      <c r="F95" s="7"/>
      <c r="G95" s="7"/>
      <c r="H95" s="7"/>
      <c r="I95" s="77"/>
      <c r="J95" s="78"/>
      <c r="K95" s="79"/>
      <c r="L95" s="79"/>
      <c r="M95" s="79"/>
      <c r="N95" s="7"/>
      <c r="O95" s="7"/>
      <c r="P95" s="8"/>
      <c r="Q95" s="7"/>
      <c r="R95" s="8"/>
      <c r="S95" s="7"/>
      <c r="T95" s="7"/>
      <c r="U95" s="7"/>
      <c r="V95" s="136"/>
      <c r="W95" s="135"/>
    </row>
    <row r="96" spans="1:23" s="9" customFormat="1" ht="12.75" x14ac:dyDescent="0.2">
      <c r="A96" s="7"/>
      <c r="B96" s="7"/>
      <c r="C96" s="7"/>
      <c r="D96" s="7"/>
      <c r="E96" s="7"/>
      <c r="F96" s="7"/>
      <c r="G96" s="7"/>
      <c r="H96" s="7"/>
      <c r="I96" s="77"/>
      <c r="J96" s="78"/>
      <c r="K96" s="79"/>
      <c r="L96" s="79"/>
      <c r="M96" s="79"/>
      <c r="N96" s="7"/>
      <c r="O96" s="7"/>
      <c r="P96" s="8"/>
      <c r="Q96" s="7"/>
      <c r="R96" s="8"/>
      <c r="S96" s="7"/>
      <c r="T96" s="7"/>
      <c r="U96" s="7"/>
      <c r="V96" s="136"/>
      <c r="W96" s="135"/>
    </row>
    <row r="97" spans="1:23" s="9" customFormat="1" ht="12.75" x14ac:dyDescent="0.2">
      <c r="A97" s="7"/>
      <c r="B97" s="7"/>
      <c r="C97" s="7"/>
      <c r="D97" s="7"/>
      <c r="E97" s="7"/>
      <c r="F97" s="7"/>
      <c r="G97" s="7"/>
      <c r="H97" s="7"/>
      <c r="I97" s="77"/>
      <c r="J97" s="78"/>
      <c r="K97" s="79"/>
      <c r="L97" s="79"/>
      <c r="M97" s="79"/>
      <c r="N97" s="7"/>
      <c r="O97" s="7"/>
      <c r="P97" s="8"/>
      <c r="Q97" s="7"/>
      <c r="R97" s="8"/>
      <c r="S97" s="7"/>
      <c r="T97" s="7"/>
      <c r="U97" s="7"/>
      <c r="V97" s="136"/>
      <c r="W97" s="135"/>
    </row>
    <row r="98" spans="1:23" s="9" customFormat="1" ht="12.75" x14ac:dyDescent="0.2">
      <c r="A98" s="7"/>
      <c r="B98" s="7"/>
      <c r="C98" s="7"/>
      <c r="D98" s="7"/>
      <c r="E98" s="7"/>
      <c r="F98" s="7"/>
      <c r="G98" s="7"/>
      <c r="H98" s="7"/>
      <c r="I98" s="77"/>
      <c r="J98" s="78"/>
      <c r="K98" s="79"/>
      <c r="L98" s="79"/>
      <c r="M98" s="79"/>
      <c r="N98" s="7"/>
      <c r="O98" s="7"/>
      <c r="P98" s="8"/>
      <c r="Q98" s="7"/>
      <c r="R98" s="8"/>
      <c r="S98" s="7"/>
      <c r="T98" s="7"/>
      <c r="U98" s="7"/>
      <c r="V98" s="136"/>
      <c r="W98" s="135"/>
    </row>
    <row r="99" spans="1:23" s="9" customFormat="1" ht="12.75" x14ac:dyDescent="0.2">
      <c r="A99" s="7"/>
      <c r="B99" s="7"/>
      <c r="C99" s="7"/>
      <c r="D99" s="7"/>
      <c r="E99" s="7"/>
      <c r="F99" s="7"/>
      <c r="G99" s="7"/>
      <c r="H99" s="7"/>
      <c r="I99" s="77"/>
      <c r="J99" s="78"/>
      <c r="K99" s="79"/>
      <c r="L99" s="79"/>
      <c r="M99" s="79"/>
      <c r="N99" s="7"/>
      <c r="O99" s="7"/>
      <c r="P99" s="8"/>
      <c r="Q99" s="7"/>
      <c r="R99" s="8"/>
      <c r="S99" s="7"/>
      <c r="T99" s="7"/>
      <c r="U99" s="7"/>
      <c r="V99" s="136"/>
      <c r="W99" s="135"/>
    </row>
    <row r="100" spans="1:23" s="9" customFormat="1" ht="12.75" x14ac:dyDescent="0.2">
      <c r="A100" s="7"/>
      <c r="B100" s="7"/>
      <c r="C100" s="7"/>
      <c r="D100" s="7"/>
      <c r="E100" s="7"/>
      <c r="F100" s="7"/>
      <c r="G100" s="7"/>
      <c r="H100" s="7"/>
      <c r="I100" s="77"/>
      <c r="J100" s="78"/>
      <c r="K100" s="79"/>
      <c r="L100" s="79"/>
      <c r="M100" s="79"/>
      <c r="N100" s="7"/>
      <c r="O100" s="7"/>
      <c r="P100" s="8"/>
      <c r="Q100" s="7"/>
      <c r="R100" s="8"/>
      <c r="S100" s="7"/>
      <c r="T100" s="7"/>
      <c r="U100" s="7"/>
      <c r="V100" s="136"/>
      <c r="W100" s="135"/>
    </row>
    <row r="101" spans="1:23" s="9" customFormat="1" ht="12.75" x14ac:dyDescent="0.2">
      <c r="A101" s="7"/>
      <c r="B101" s="7"/>
      <c r="C101" s="7"/>
      <c r="D101" s="7"/>
      <c r="E101" s="7"/>
      <c r="F101" s="7"/>
      <c r="G101" s="7"/>
      <c r="H101" s="7"/>
      <c r="I101" s="77"/>
      <c r="J101" s="78"/>
      <c r="K101" s="79"/>
      <c r="L101" s="79"/>
      <c r="M101" s="79"/>
      <c r="N101" s="7"/>
      <c r="O101" s="7"/>
      <c r="P101" s="8"/>
      <c r="Q101" s="7"/>
      <c r="R101" s="8"/>
      <c r="S101" s="7"/>
      <c r="T101" s="7"/>
      <c r="U101" s="7"/>
      <c r="V101" s="136"/>
      <c r="W101" s="135"/>
    </row>
    <row r="111" spans="1:23" x14ac:dyDescent="0.2">
      <c r="K111" s="127"/>
    </row>
  </sheetData>
  <protectedRanges>
    <protectedRange sqref="A1 C1:H1 G2:H3 A4:A1048576 C4:H6 E14:G16 C34:H1048576 C7:G13 C17:G33 H7:H33 N1:V1048576" name="Range1"/>
    <protectedRange sqref="B6:B1048576 B1 B4" name="Range1_1"/>
    <protectedRange sqref="I4 M4 I1:M1 I6:I1048576 M6:M1048576 J4:L1048576" name="Range1_2"/>
    <protectedRange sqref="A2:F3" name="Range1_6_1"/>
  </protectedRanges>
  <autoFilter ref="A5:V101"/>
  <mergeCells count="7">
    <mergeCell ref="W29:W33"/>
    <mergeCell ref="W20:W28"/>
    <mergeCell ref="W7:W8"/>
    <mergeCell ref="W9:W10"/>
    <mergeCell ref="W11:W13"/>
    <mergeCell ref="W14:W16"/>
    <mergeCell ref="W17:W19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Sheet1!$E$3:$E$4</xm:f>
          </x14:formula1>
          <xm:sqref>U6:U101</xm:sqref>
        </x14:dataValidation>
        <x14:dataValidation type="list" allowBlank="1" showInputMessage="1" showErrorMessage="1">
          <x14:formula1>
            <xm:f>Sheet1!$G$3:$G$6</xm:f>
          </x14:formula1>
          <xm:sqref>N6:N101</xm:sqref>
        </x14:dataValidation>
        <x14:dataValidation type="list" allowBlank="1" showInputMessage="1" showErrorMessage="1">
          <x14:formula1>
            <xm:f>Sheet1!$I$3:$I$15</xm:f>
          </x14:formula1>
          <xm:sqref>F6:F101</xm:sqref>
        </x14:dataValidation>
        <x14:dataValidation type="list" allowBlank="1" showInputMessage="1" showErrorMessage="1">
          <x14:formula1>
            <xm:f>Sheet1!$J$3:$J$14</xm:f>
          </x14:formula1>
          <xm:sqref>G6:G101</xm:sqref>
        </x14:dataValidation>
        <x14:dataValidation type="list" allowBlank="1" showInputMessage="1" showErrorMessage="1">
          <x14:formula1>
            <xm:f>Sheet1!$A$2:$A$55</xm:f>
          </x14:formula1>
          <xm:sqref>A6:A101</xm:sqref>
        </x14:dataValidation>
        <x14:dataValidation type="list" allowBlank="1" showInputMessage="1" showErrorMessage="1">
          <x14:formula1>
            <xm:f>Sheet1!$D$3:$D$4</xm:f>
          </x14:formula1>
          <xm:sqref>T6:T101</xm:sqref>
        </x14:dataValidation>
        <x14:dataValidation type="list" allowBlank="1" showInputMessage="1" showErrorMessage="1">
          <x14:formula1>
            <xm:f>Sheet1!$F$3:$F$6</xm:f>
          </x14:formula1>
          <xm:sqref>H6:H101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workbookViewId="0">
      <selection activeCell="B5" sqref="B5"/>
    </sheetView>
  </sheetViews>
  <sheetFormatPr defaultRowHeight="14.25" x14ac:dyDescent="0.2"/>
  <cols>
    <col min="1" max="1" width="21.125" bestFit="1" customWidth="1"/>
    <col min="2" max="2" width="14.125" customWidth="1"/>
    <col min="3" max="3" width="12.75" customWidth="1"/>
    <col min="4" max="4" width="12.375" bestFit="1" customWidth="1"/>
    <col min="5" max="5" width="15.25" customWidth="1"/>
  </cols>
  <sheetData>
    <row r="3" spans="1:5" x14ac:dyDescent="0.2">
      <c r="B3" s="151" t="s">
        <v>138</v>
      </c>
    </row>
    <row r="4" spans="1:5" x14ac:dyDescent="0.2">
      <c r="B4" s="152" t="s">
        <v>100</v>
      </c>
      <c r="C4" s="152" t="s">
        <v>98</v>
      </c>
      <c r="D4" s="152" t="s">
        <v>99</v>
      </c>
      <c r="E4" s="152" t="s">
        <v>139</v>
      </c>
    </row>
    <row r="5" spans="1:5" x14ac:dyDescent="0.2">
      <c r="A5" t="s">
        <v>140</v>
      </c>
      <c r="B5" s="152">
        <v>4440700</v>
      </c>
      <c r="C5" s="152">
        <v>706300</v>
      </c>
      <c r="D5" s="152">
        <v>20620</v>
      </c>
      <c r="E5" s="152">
        <v>5167620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workbookViewId="0">
      <selection activeCell="I27" sqref="I27"/>
    </sheetView>
  </sheetViews>
  <sheetFormatPr defaultRowHeight="14.25" x14ac:dyDescent="0.2"/>
  <cols>
    <col min="1" max="1" width="25.75" customWidth="1"/>
    <col min="2" max="2" width="18.375" customWidth="1"/>
    <col min="3" max="3" width="17.75" customWidth="1"/>
    <col min="4" max="4" width="19" customWidth="1"/>
    <col min="5" max="5" width="15.125" customWidth="1"/>
    <col min="7" max="7" width="11.75" customWidth="1"/>
    <col min="8" max="8" width="13.125" customWidth="1"/>
  </cols>
  <sheetData>
    <row r="1" spans="1:12" x14ac:dyDescent="0.2">
      <c r="A1" s="81" t="s">
        <v>6</v>
      </c>
      <c r="B1" s="81" t="s">
        <v>0</v>
      </c>
    </row>
    <row r="2" spans="1:12" x14ac:dyDescent="0.2">
      <c r="A2" s="11" t="s">
        <v>141</v>
      </c>
      <c r="B2" s="81" t="s">
        <v>3</v>
      </c>
      <c r="C2" t="s">
        <v>12</v>
      </c>
      <c r="D2" t="s">
        <v>113</v>
      </c>
      <c r="E2" t="s">
        <v>142</v>
      </c>
      <c r="F2" t="s">
        <v>103</v>
      </c>
      <c r="G2" t="s">
        <v>97</v>
      </c>
      <c r="H2" t="s">
        <v>31</v>
      </c>
      <c r="I2" t="s">
        <v>13</v>
      </c>
      <c r="J2" t="s">
        <v>14</v>
      </c>
      <c r="L2" t="s">
        <v>143</v>
      </c>
    </row>
    <row r="3" spans="1:12" x14ac:dyDescent="0.2">
      <c r="A3" s="11" t="s">
        <v>144</v>
      </c>
      <c r="B3" s="81" t="s">
        <v>3</v>
      </c>
      <c r="C3" t="s">
        <v>78</v>
      </c>
      <c r="D3" t="s">
        <v>120</v>
      </c>
      <c r="E3" t="s">
        <v>125</v>
      </c>
      <c r="F3" t="s">
        <v>117</v>
      </c>
      <c r="G3" t="s">
        <v>98</v>
      </c>
      <c r="H3" t="s">
        <v>145</v>
      </c>
      <c r="I3">
        <v>2022</v>
      </c>
      <c r="J3">
        <v>1</v>
      </c>
      <c r="L3" t="s">
        <v>146</v>
      </c>
    </row>
    <row r="4" spans="1:12" x14ac:dyDescent="0.2">
      <c r="A4" s="11" t="s">
        <v>147</v>
      </c>
      <c r="B4" s="81" t="s">
        <v>3</v>
      </c>
      <c r="C4" t="s">
        <v>50</v>
      </c>
      <c r="D4" t="s">
        <v>148</v>
      </c>
      <c r="E4" t="s">
        <v>121</v>
      </c>
      <c r="F4" t="s">
        <v>149</v>
      </c>
      <c r="G4" t="s">
        <v>99</v>
      </c>
      <c r="H4" t="s">
        <v>53</v>
      </c>
      <c r="I4">
        <v>2023</v>
      </c>
      <c r="J4">
        <v>2</v>
      </c>
      <c r="L4" t="s">
        <v>150</v>
      </c>
    </row>
    <row r="5" spans="1:12" x14ac:dyDescent="0.2">
      <c r="A5" s="11" t="s">
        <v>151</v>
      </c>
      <c r="B5" s="81" t="s">
        <v>3</v>
      </c>
      <c r="C5" t="s">
        <v>40</v>
      </c>
      <c r="F5" t="s">
        <v>152</v>
      </c>
      <c r="G5" t="s">
        <v>100</v>
      </c>
      <c r="H5" t="s">
        <v>153</v>
      </c>
      <c r="I5">
        <v>2024</v>
      </c>
      <c r="J5">
        <v>3</v>
      </c>
      <c r="L5" t="s">
        <v>154</v>
      </c>
    </row>
    <row r="6" spans="1:12" x14ac:dyDescent="0.2">
      <c r="A6" s="11" t="s">
        <v>155</v>
      </c>
      <c r="B6" s="81" t="s">
        <v>3</v>
      </c>
      <c r="C6" t="s">
        <v>156</v>
      </c>
      <c r="F6" t="s">
        <v>157</v>
      </c>
      <c r="G6" t="s">
        <v>101</v>
      </c>
      <c r="H6" t="s">
        <v>158</v>
      </c>
      <c r="I6">
        <v>2025</v>
      </c>
      <c r="J6">
        <v>4</v>
      </c>
    </row>
    <row r="7" spans="1:12" x14ac:dyDescent="0.2">
      <c r="A7" s="11" t="s">
        <v>159</v>
      </c>
      <c r="B7" s="81" t="s">
        <v>3</v>
      </c>
      <c r="C7" t="s">
        <v>160</v>
      </c>
      <c r="I7">
        <v>2026</v>
      </c>
      <c r="J7">
        <v>5</v>
      </c>
    </row>
    <row r="8" spans="1:12" x14ac:dyDescent="0.2">
      <c r="A8" s="11" t="s">
        <v>161</v>
      </c>
      <c r="B8" s="81" t="s">
        <v>3</v>
      </c>
      <c r="C8" t="s">
        <v>158</v>
      </c>
      <c r="I8">
        <v>2027</v>
      </c>
      <c r="J8">
        <v>6</v>
      </c>
    </row>
    <row r="9" spans="1:12" x14ac:dyDescent="0.2">
      <c r="A9" s="11" t="s">
        <v>162</v>
      </c>
      <c r="B9" s="81" t="s">
        <v>3</v>
      </c>
      <c r="I9">
        <v>2028</v>
      </c>
      <c r="J9">
        <v>7</v>
      </c>
    </row>
    <row r="10" spans="1:12" x14ac:dyDescent="0.2">
      <c r="A10" s="11" t="s">
        <v>163</v>
      </c>
      <c r="B10" s="81" t="s">
        <v>3</v>
      </c>
      <c r="I10">
        <v>2029</v>
      </c>
      <c r="J10">
        <v>8</v>
      </c>
    </row>
    <row r="11" spans="1:12" x14ac:dyDescent="0.2">
      <c r="A11" s="11" t="s">
        <v>164</v>
      </c>
      <c r="B11" s="81" t="s">
        <v>3</v>
      </c>
      <c r="I11">
        <v>2030</v>
      </c>
      <c r="J11">
        <v>9</v>
      </c>
    </row>
    <row r="12" spans="1:12" x14ac:dyDescent="0.2">
      <c r="A12" s="11" t="s">
        <v>165</v>
      </c>
      <c r="B12" s="81" t="s">
        <v>3</v>
      </c>
      <c r="I12">
        <v>2031</v>
      </c>
      <c r="J12">
        <v>10</v>
      </c>
    </row>
    <row r="13" spans="1:12" x14ac:dyDescent="0.2">
      <c r="A13" s="11" t="s">
        <v>166</v>
      </c>
      <c r="B13" s="81" t="s">
        <v>1</v>
      </c>
      <c r="I13">
        <v>2032</v>
      </c>
      <c r="J13">
        <v>11</v>
      </c>
    </row>
    <row r="14" spans="1:12" x14ac:dyDescent="0.2">
      <c r="A14" s="11" t="s">
        <v>167</v>
      </c>
      <c r="B14" s="81" t="s">
        <v>1</v>
      </c>
      <c r="I14">
        <v>2033</v>
      </c>
      <c r="J14">
        <v>12</v>
      </c>
    </row>
    <row r="15" spans="1:12" x14ac:dyDescent="0.2">
      <c r="A15" s="11" t="s">
        <v>168</v>
      </c>
      <c r="B15" s="81" t="s">
        <v>1</v>
      </c>
      <c r="I15">
        <v>2034</v>
      </c>
    </row>
    <row r="16" spans="1:12" x14ac:dyDescent="0.2">
      <c r="A16" s="11" t="s">
        <v>169</v>
      </c>
      <c r="B16" s="81" t="s">
        <v>102</v>
      </c>
      <c r="C16" s="138" t="s">
        <v>170</v>
      </c>
      <c r="D16" s="138" t="s">
        <v>171</v>
      </c>
    </row>
    <row r="17" spans="1:4" x14ac:dyDescent="0.2">
      <c r="A17" s="11" t="s">
        <v>172</v>
      </c>
      <c r="B17" s="81" t="s">
        <v>102</v>
      </c>
      <c r="C17" s="138" t="s">
        <v>173</v>
      </c>
      <c r="D17" s="138" t="s">
        <v>172</v>
      </c>
    </row>
    <row r="18" spans="1:4" x14ac:dyDescent="0.2">
      <c r="A18" s="11" t="s">
        <v>174</v>
      </c>
      <c r="B18" s="81" t="s">
        <v>102</v>
      </c>
      <c r="C18" s="138" t="s">
        <v>175</v>
      </c>
      <c r="D18" s="138" t="s">
        <v>174</v>
      </c>
    </row>
    <row r="19" spans="1:4" x14ac:dyDescent="0.2">
      <c r="A19" s="11" t="s">
        <v>176</v>
      </c>
      <c r="B19" s="81" t="s">
        <v>102</v>
      </c>
      <c r="C19" s="138" t="s">
        <v>177</v>
      </c>
      <c r="D19" s="138" t="s">
        <v>176</v>
      </c>
    </row>
    <row r="20" spans="1:4" x14ac:dyDescent="0.2">
      <c r="A20" s="11" t="s">
        <v>178</v>
      </c>
      <c r="B20" s="81" t="s">
        <v>102</v>
      </c>
    </row>
    <row r="21" spans="1:4" x14ac:dyDescent="0.2">
      <c r="A21" s="11" t="s">
        <v>179</v>
      </c>
      <c r="B21" s="81" t="s">
        <v>102</v>
      </c>
    </row>
    <row r="22" spans="1:4" x14ac:dyDescent="0.2">
      <c r="A22" s="11" t="s">
        <v>180</v>
      </c>
      <c r="B22" s="81" t="s">
        <v>102</v>
      </c>
    </row>
    <row r="23" spans="1:4" x14ac:dyDescent="0.2">
      <c r="A23" s="11" t="s">
        <v>181</v>
      </c>
      <c r="B23" s="81" t="s">
        <v>102</v>
      </c>
    </row>
    <row r="24" spans="1:4" x14ac:dyDescent="0.2">
      <c r="A24" s="11" t="s">
        <v>71</v>
      </c>
      <c r="B24" s="81" t="s">
        <v>102</v>
      </c>
    </row>
    <row r="25" spans="1:4" x14ac:dyDescent="0.2">
      <c r="A25" s="11" t="s">
        <v>182</v>
      </c>
      <c r="B25" s="81" t="s">
        <v>102</v>
      </c>
    </row>
    <row r="26" spans="1:4" x14ac:dyDescent="0.2">
      <c r="A26" s="11" t="s">
        <v>183</v>
      </c>
      <c r="B26" s="81" t="s">
        <v>102</v>
      </c>
    </row>
    <row r="27" spans="1:4" x14ac:dyDescent="0.2">
      <c r="A27" s="11" t="s">
        <v>184</v>
      </c>
      <c r="B27" s="81" t="s">
        <v>102</v>
      </c>
    </row>
    <row r="28" spans="1:4" x14ac:dyDescent="0.2">
      <c r="A28" s="11" t="s">
        <v>185</v>
      </c>
      <c r="B28" s="81" t="s">
        <v>102</v>
      </c>
    </row>
    <row r="29" spans="1:4" x14ac:dyDescent="0.2">
      <c r="A29" s="11" t="s">
        <v>186</v>
      </c>
      <c r="B29" s="81" t="s">
        <v>102</v>
      </c>
    </row>
    <row r="30" spans="1:4" x14ac:dyDescent="0.2">
      <c r="A30" s="41" t="s">
        <v>187</v>
      </c>
      <c r="B30" s="81" t="s">
        <v>3</v>
      </c>
    </row>
    <row r="31" spans="1:4" x14ac:dyDescent="0.2">
      <c r="A31" s="11" t="s">
        <v>188</v>
      </c>
      <c r="B31" s="81" t="s">
        <v>3</v>
      </c>
    </row>
    <row r="32" spans="1:4" x14ac:dyDescent="0.2">
      <c r="A32" s="11" t="s">
        <v>47</v>
      </c>
      <c r="B32" s="81" t="s">
        <v>102</v>
      </c>
    </row>
    <row r="33" spans="1:2" x14ac:dyDescent="0.2">
      <c r="A33" s="11" t="s">
        <v>54</v>
      </c>
      <c r="B33" s="81" t="s">
        <v>102</v>
      </c>
    </row>
    <row r="34" spans="1:2" x14ac:dyDescent="0.2">
      <c r="A34" s="11" t="s">
        <v>59</v>
      </c>
      <c r="B34" s="81" t="s">
        <v>102</v>
      </c>
    </row>
    <row r="35" spans="1:2" x14ac:dyDescent="0.2">
      <c r="A35" s="11" t="s">
        <v>79</v>
      </c>
      <c r="B35" s="81" t="s">
        <v>3</v>
      </c>
    </row>
    <row r="36" spans="1:2" x14ac:dyDescent="0.2">
      <c r="A36" s="11" t="s">
        <v>37</v>
      </c>
      <c r="B36" s="81" t="s">
        <v>1</v>
      </c>
    </row>
    <row r="37" spans="1:2" x14ac:dyDescent="0.2">
      <c r="A37" s="11" t="s">
        <v>189</v>
      </c>
      <c r="B37" s="81" t="s">
        <v>1</v>
      </c>
    </row>
    <row r="38" spans="1:2" x14ac:dyDescent="0.2">
      <c r="A38" s="11" t="s">
        <v>190</v>
      </c>
      <c r="B38" s="81" t="s">
        <v>1</v>
      </c>
    </row>
    <row r="39" spans="1:2" x14ac:dyDescent="0.2">
      <c r="A39" s="11" t="s">
        <v>64</v>
      </c>
      <c r="B39" s="81" t="s">
        <v>1</v>
      </c>
    </row>
    <row r="40" spans="1:2" x14ac:dyDescent="0.2">
      <c r="A40" s="11" t="s">
        <v>191</v>
      </c>
      <c r="B40" s="81" t="s">
        <v>2</v>
      </c>
    </row>
    <row r="41" spans="1:2" x14ac:dyDescent="0.2">
      <c r="A41" s="11" t="s">
        <v>192</v>
      </c>
      <c r="B41" s="81" t="s">
        <v>2</v>
      </c>
    </row>
    <row r="42" spans="1:2" x14ac:dyDescent="0.2">
      <c r="A42" s="11" t="s">
        <v>193</v>
      </c>
      <c r="B42" s="81" t="s">
        <v>2</v>
      </c>
    </row>
    <row r="43" spans="1:2" x14ac:dyDescent="0.2">
      <c r="A43" s="11" t="s">
        <v>194</v>
      </c>
      <c r="B43" s="81" t="s">
        <v>2</v>
      </c>
    </row>
    <row r="44" spans="1:2" x14ac:dyDescent="0.2">
      <c r="A44" s="11" t="s">
        <v>195</v>
      </c>
      <c r="B44" s="81" t="s">
        <v>2</v>
      </c>
    </row>
    <row r="45" spans="1:2" x14ac:dyDescent="0.2">
      <c r="A45" s="11" t="s">
        <v>196</v>
      </c>
      <c r="B45" s="81" t="s">
        <v>2</v>
      </c>
    </row>
    <row r="46" spans="1:2" x14ac:dyDescent="0.2">
      <c r="A46" s="11" t="s">
        <v>197</v>
      </c>
      <c r="B46" s="81" t="s">
        <v>2</v>
      </c>
    </row>
    <row r="47" spans="1:2" x14ac:dyDescent="0.2">
      <c r="A47" s="11" t="s">
        <v>198</v>
      </c>
      <c r="B47" s="81" t="s">
        <v>1</v>
      </c>
    </row>
    <row r="48" spans="1:2" x14ac:dyDescent="0.2">
      <c r="A48" s="11" t="s">
        <v>199</v>
      </c>
      <c r="B48" s="81" t="s">
        <v>1</v>
      </c>
    </row>
    <row r="49" spans="1:2" x14ac:dyDescent="0.2">
      <c r="A49" s="11" t="s">
        <v>200</v>
      </c>
      <c r="B49" s="81" t="s">
        <v>1</v>
      </c>
    </row>
    <row r="50" spans="1:2" x14ac:dyDescent="0.2">
      <c r="A50" s="11" t="s">
        <v>201</v>
      </c>
      <c r="B50" s="81" t="s">
        <v>2</v>
      </c>
    </row>
    <row r="51" spans="1:2" x14ac:dyDescent="0.2">
      <c r="A51" s="11" t="s">
        <v>202</v>
      </c>
      <c r="B51" s="81" t="s">
        <v>2</v>
      </c>
    </row>
    <row r="52" spans="1:2" x14ac:dyDescent="0.2">
      <c r="A52" s="11" t="s">
        <v>203</v>
      </c>
      <c r="B52" s="81" t="s">
        <v>2</v>
      </c>
    </row>
    <row r="53" spans="1:2" x14ac:dyDescent="0.2">
      <c r="A53" s="11" t="s">
        <v>204</v>
      </c>
      <c r="B53" s="81" t="s">
        <v>1</v>
      </c>
    </row>
    <row r="54" spans="1:2" x14ac:dyDescent="0.2">
      <c r="A54" s="11" t="s">
        <v>205</v>
      </c>
      <c r="B54" s="81" t="s">
        <v>1</v>
      </c>
    </row>
    <row r="55" spans="1:2" x14ac:dyDescent="0.2">
      <c r="A55" s="11" t="s">
        <v>206</v>
      </c>
      <c r="B55" s="81" t="s">
        <v>2</v>
      </c>
    </row>
    <row r="56" spans="1:2" x14ac:dyDescent="0.2">
      <c r="A56" s="11" t="s">
        <v>207</v>
      </c>
      <c r="B56" s="81" t="s">
        <v>2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5E292BDB11A4D81E8F2A181DC9AE6" ma:contentTypeVersion="4" ma:contentTypeDescription="Create a new document." ma:contentTypeScope="" ma:versionID="fd564b06f895b698202bf55c2b6f4f9c">
  <xsd:schema xmlns:xsd="http://www.w3.org/2001/XMLSchema" xmlns:xs="http://www.w3.org/2001/XMLSchema" xmlns:p="http://schemas.microsoft.com/office/2006/metadata/properties" xmlns:ns2="3de942da-d7b3-403a-9220-c7f65a29d6c4" targetNamespace="http://schemas.microsoft.com/office/2006/metadata/properties" ma:root="true" ma:fieldsID="f0e307f23ab1d46a1e914cd099edabc1" ns2:_="">
    <xsd:import namespace="3de942da-d7b3-403a-9220-c7f65a29d6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942da-d7b3-403a-9220-c7f65a29d6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E60B6D-8B22-4ED2-930E-4059CC6526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D911EC-0368-4491-8F1E-715D229DF17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579E0E9-0C8A-4629-87B8-01C7792032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e942da-d7b3-403a-9220-c7f65a29d6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Spend Track (part)</vt:lpstr>
      <vt:lpstr>Capex tracker</vt:lpstr>
      <vt:lpstr>Capex summary Dec 20204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Fang</dc:creator>
  <cp:keywords/>
  <dc:description/>
  <cp:lastModifiedBy>九七</cp:lastModifiedBy>
  <cp:revision/>
  <dcterms:created xsi:type="dcterms:W3CDTF">2015-06-05T18:17:20Z</dcterms:created>
  <dcterms:modified xsi:type="dcterms:W3CDTF">2025-04-05T15:57:56Z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2024-08-19T01:13:59Z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6228454d-3e60-4b82-9d30-746686eb3d3e</vt:lpwstr>
  </property>
  <property fmtid="{D5CDD505-2E9C-101B-9397-08002B2CF9AE}" pid="8" name="MSIP_Label_e9fea72e-161c-48c8-8e82-3fc1e9b3162c_ContentBits">
    <vt:lpwstr>0</vt:lpwstr>
  </property>
  <property fmtid="{D5CDD505-2E9C-101B-9397-08002B2CF9AE}" pid="9" name="ContentTypeId">
    <vt:lpwstr>0x01010052F5E292BDB11A4D81E8F2A181DC9AE6</vt:lpwstr>
  </property>
</Properties>
</file>