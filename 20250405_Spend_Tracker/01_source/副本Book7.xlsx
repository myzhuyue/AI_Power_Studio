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405_Spend_Tracker\01_source\"/>
    </mc:Choice>
  </mc:AlternateContent>
  <xr:revisionPtr revIDLastSave="0" documentId="8_{66E3CC61-0256-4FB7-ABA3-2A93CC1CA836}" xr6:coauthVersionLast="47" xr6:coauthVersionMax="47" xr10:uidLastSave="{00000000-0000-0000-0000-000000000000}"/>
  <bookViews>
    <workbookView xWindow="-110" yWindow="-110" windowWidth="38620" windowHeight="21360" xr2:uid="{1B6F48F0-ADEB-49E5-9720-A96ED67DD95C}"/>
  </bookViews>
  <sheets>
    <sheet name="Capex" sheetId="1" r:id="rId1"/>
    <sheet name="Volume" sheetId="4" r:id="rId2"/>
  </sheets>
  <externalReferences>
    <externalReference r:id="rId3"/>
  </externalReferences>
  <definedNames>
    <definedName name="\A" localSheetId="0">#REF!</definedName>
    <definedName name="\A" localSheetId="1">#REF!</definedName>
    <definedName name="\A">#REF!</definedName>
    <definedName name="\C" localSheetId="0">#REF!</definedName>
    <definedName name="\C" localSheetId="1">#REF!</definedName>
    <definedName name="\C">#REF!</definedName>
    <definedName name="\D" localSheetId="0">#REF!</definedName>
    <definedName name="\D" localSheetId="1">#REF!</definedName>
    <definedName name="\D">#REF!</definedName>
    <definedName name="\W" localSheetId="0">#REF!</definedName>
    <definedName name="\W" localSheetId="1">#REF!</definedName>
    <definedName name="\W">#REF!</definedName>
    <definedName name="_" localSheetId="0">#REF!</definedName>
    <definedName name="_" localSheetId="1">#REF!</definedName>
    <definedName name="_">#REF!</definedName>
    <definedName name="__" localSheetId="0">#REF!</definedName>
    <definedName name="__" localSheetId="1">#REF!</definedName>
    <definedName name="__">#REF!</definedName>
    <definedName name="___" localSheetId="0">#REF!</definedName>
    <definedName name="___" localSheetId="1">#REF!</definedName>
    <definedName name="___">#REF!</definedName>
    <definedName name="______0" localSheetId="0">#REF!</definedName>
    <definedName name="______0" localSheetId="1">#REF!</definedName>
    <definedName name="______0">#REF!</definedName>
    <definedName name="______0___0" localSheetId="0">#REF!</definedName>
    <definedName name="______0___0" localSheetId="1">#REF!</definedName>
    <definedName name="______0___0">#REF!</definedName>
    <definedName name="______4">"$"</definedName>
    <definedName name="______5">"$"</definedName>
    <definedName name="______6">"$"</definedName>
    <definedName name="__m72" localSheetId="0">{"傳各位表單.xls","Sheet1"}</definedName>
    <definedName name="__m72" localSheetId="1">{"傳各位表單.xls","Sheet1"}</definedName>
    <definedName name="__m72">{"傳各位表單.xls","Sheet1"}</definedName>
    <definedName name="__m72_1" localSheetId="0">{"傳各位表單.xls","Sheet1"}</definedName>
    <definedName name="__m72_1" localSheetId="1">{"傳各位表單.xls","Sheet1"}</definedName>
    <definedName name="__m72_1">{"傳各位表單.xls","Sheet1"}</definedName>
    <definedName name="__m72_2" localSheetId="0">{"傳各位表單.xls","Sheet1"}</definedName>
    <definedName name="__m72_2" localSheetId="1">{"傳各位表單.xls","Sheet1"}</definedName>
    <definedName name="__m72_2">{"傳各位表單.xls","Sheet1"}</definedName>
    <definedName name="__m72_3" localSheetId="0">{"傳各位表單.xls","Sheet1"}</definedName>
    <definedName name="__m72_3" localSheetId="1">{"傳各位表單.xls","Sheet1"}</definedName>
    <definedName name="__m72_3">{"傳各位表單.xls","Sheet1"}</definedName>
    <definedName name="__m72_4" localSheetId="0">{"傳各位表單.xls","Sheet1"}</definedName>
    <definedName name="__m72_4" localSheetId="1">{"傳各位表單.xls","Sheet1"}</definedName>
    <definedName name="__m72_4">{"傳各位表單.xls","Sheet1"}</definedName>
    <definedName name="_017" localSheetId="0">#REF!</definedName>
    <definedName name="_017" localSheetId="1">#REF!</definedName>
    <definedName name="_017">#REF!</definedName>
    <definedName name="_024" localSheetId="0">#REF!</definedName>
    <definedName name="_024" localSheetId="1">#REF!</definedName>
    <definedName name="_024">#REF!</definedName>
    <definedName name="_039" localSheetId="0">#REF!</definedName>
    <definedName name="_039" localSheetId="1">#REF!</definedName>
    <definedName name="_039">#REF!</definedName>
    <definedName name="_1." localSheetId="0">#REF!</definedName>
    <definedName name="_1." localSheetId="1">#REF!</definedName>
    <definedName name="_1.">#REF!</definedName>
    <definedName name="_1_0" localSheetId="0">#REF!</definedName>
    <definedName name="_1_0" localSheetId="1">#REF!</definedName>
    <definedName name="_1_0">#REF!</definedName>
    <definedName name="_17__cycle_time" localSheetId="0">#REF!</definedName>
    <definedName name="_17__cycle_time" localSheetId="1">#REF!</definedName>
    <definedName name="_17__cycle_time">#REF!</definedName>
    <definedName name="_1A" localSheetId="0">#REF!</definedName>
    <definedName name="_1A" localSheetId="1">#REF!</definedName>
    <definedName name="_1A">#REF!</definedName>
    <definedName name="_2_00" localSheetId="0">#REF!</definedName>
    <definedName name="_2_00" localSheetId="1">#REF!</definedName>
    <definedName name="_2_00">#REF!</definedName>
    <definedName name="_20__cycle_time" localSheetId="0">#REF!</definedName>
    <definedName name="_20__cycle_time" localSheetId="1">#REF!</definedName>
    <definedName name="_20__cycle_time">#REF!</definedName>
    <definedName name="_2C_" localSheetId="0">#REF!</definedName>
    <definedName name="_2C_" localSheetId="1">#REF!</definedName>
    <definedName name="_2C_">#REF!</definedName>
    <definedName name="_3_000" localSheetId="0">#REF!</definedName>
    <definedName name="_3_000" localSheetId="1">#REF!</definedName>
    <definedName name="_3_000">#REF!</definedName>
    <definedName name="_3D" localSheetId="0">#REF!</definedName>
    <definedName name="_3D" localSheetId="1">#REF!</definedName>
    <definedName name="_3D">#REF!</definedName>
    <definedName name="_4W" localSheetId="0">#REF!</definedName>
    <definedName name="_4W" localSheetId="1">#REF!</definedName>
    <definedName name="_4W">#REF!</definedName>
    <definedName name="_A1" localSheetId="0" hidden="1">{#N/A,#N/A,FALSE,"AstLst"}</definedName>
    <definedName name="_A1" localSheetId="1" hidden="1">{#N/A,#N/A,FALSE,"AstLst"}</definedName>
    <definedName name="_A1" hidden="1">{#N/A,#N/A,FALSE,"AstLst"}</definedName>
    <definedName name="_A2" localSheetId="0" hidden="1">{#N/A,#N/A,FALSE,"B-Sht"}</definedName>
    <definedName name="_A2" localSheetId="1" hidden="1">{#N/A,#N/A,FALSE,"B-Sht"}</definedName>
    <definedName name="_A2" hidden="1">{#N/A,#N/A,FALSE,"B-Sht"}</definedName>
    <definedName name="_A3" localSheetId="0" hidden="1">{#N/A,#N/A,TRUE,"Summary";#N/A,#N/A,TRUE,"Description";#N/A,#N/A,TRUE,"AstLst";#N/A,#N/A,TRUE,"CshFlow";#N/A,#N/A,TRUE,"Inc-Stmt";#N/A,#N/A,TRUE,"B-Sht"}</definedName>
    <definedName name="_A3" localSheetId="1" hidden="1">{#N/A,#N/A,TRUE,"Summary";#N/A,#N/A,TRUE,"Description";#N/A,#N/A,TRUE,"AstLst";#N/A,#N/A,TRUE,"CshFlow";#N/A,#N/A,TRUE,"Inc-Stmt";#N/A,#N/A,TRUE,"B-Sht"}</definedName>
    <definedName name="_A3" hidden="1">{#N/A,#N/A,TRUE,"Summary";#N/A,#N/A,TRUE,"Description";#N/A,#N/A,TRUE,"AstLst";#N/A,#N/A,TRUE,"CshFlow";#N/A,#N/A,TRUE,"Inc-Stmt";#N/A,#N/A,TRUE,"B-Sht"}</definedName>
    <definedName name="_AB12" localSheetId="0">#REF!</definedName>
    <definedName name="_AB12" localSheetId="1">#REF!</definedName>
    <definedName name="_AB12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Capex!$A$9:$XDL$89</definedName>
    <definedName name="_xlnm._FilterDatabase" localSheetId="1" hidden="1">Volume!$A$9:$XCU$89</definedName>
    <definedName name="_Key1" localSheetId="0" hidden="1">#REF!</definedName>
    <definedName name="_Key1" localSheetId="1" hidden="1">#REF!</definedName>
    <definedName name="_Key1" hidden="1">#REF!</definedName>
    <definedName name="_Order1" hidden="1">255</definedName>
    <definedName name="_Order2" hidden="1">255</definedName>
    <definedName name="_RMX1" localSheetId="0">#REF!</definedName>
    <definedName name="_RMX1" localSheetId="1">#REF!</definedName>
    <definedName name="_RMX1">#REF!</definedName>
    <definedName name="_RMX2" localSheetId="0">#REF!</definedName>
    <definedName name="_RMX2" localSheetId="1">#REF!</definedName>
    <definedName name="_RMX2">#REF!</definedName>
    <definedName name="_RMX3" localSheetId="0">#REF!</definedName>
    <definedName name="_RMX3" localSheetId="1">#REF!</definedName>
    <definedName name="_RMX3">#REF!</definedName>
    <definedName name="_RMY1" localSheetId="0">#REF!</definedName>
    <definedName name="_RMY1" localSheetId="1">#REF!</definedName>
    <definedName name="_RMY1">#REF!</definedName>
    <definedName name="_RMY2" localSheetId="0">#REF!</definedName>
    <definedName name="_RMY2" localSheetId="1">#REF!</definedName>
    <definedName name="_RMY2">#REF!</definedName>
    <definedName name="_RMY3" localSheetId="0">#REF!</definedName>
    <definedName name="_RMY3" localSheetId="1">#REF!</definedName>
    <definedName name="_RMY3">#REF!</definedName>
    <definedName name="_RMZ1" localSheetId="0">#REF!</definedName>
    <definedName name="_RMZ1" localSheetId="1">#REF!</definedName>
    <definedName name="_RMZ1">#REF!</definedName>
    <definedName name="_RMZ2" localSheetId="0">#REF!</definedName>
    <definedName name="_RMZ2" localSheetId="1">#REF!</definedName>
    <definedName name="_RMZ2">#REF!</definedName>
    <definedName name="_RMZ3" localSheetId="0">#REF!</definedName>
    <definedName name="_RMZ3" localSheetId="1">#REF!</definedName>
    <definedName name="_RMZ3">#REF!</definedName>
    <definedName name="_Sort" localSheetId="0" hidden="1">#REF!</definedName>
    <definedName name="_Sort" localSheetId="1" hidden="1">#REF!</definedName>
    <definedName name="_Sort" hidden="1">#REF!</definedName>
    <definedName name="_US1" localSheetId="0">#REF!</definedName>
    <definedName name="_US1" localSheetId="1">#REF!</definedName>
    <definedName name="_US1">#REF!</definedName>
    <definedName name="a" localSheetId="0" hidden="1">{"DESCRIPTION",#N/A,FALSE,"Description"}</definedName>
    <definedName name="a" localSheetId="1" hidden="1">{"DESCRIPTION",#N/A,FALSE,"Description"}</definedName>
    <definedName name="a" hidden="1">{"DESCRIPTION",#N/A,FALSE,"Description"}</definedName>
    <definedName name="A10n15" localSheetId="0">#REF!</definedName>
    <definedName name="A10n15" localSheetId="1">#REF!</definedName>
    <definedName name="A10n15">#REF!</definedName>
    <definedName name="aa" localSheetId="0" hidden="1">{"ASTLST",#N/A,FALSE,"AstLst"}</definedName>
    <definedName name="aa" localSheetId="1" hidden="1">{"ASTLST",#N/A,FALSE,"AstLst"}</definedName>
    <definedName name="aa" hidden="1">{"ASTLST",#N/A,FALSE,"AstLst"}</definedName>
    <definedName name="aaa" localSheetId="0" hidden="1">{"ASTLST",#N/A,FALSE,"AstLst"}</definedName>
    <definedName name="aaa" localSheetId="1" hidden="1">{"ASTLST",#N/A,FALSE,"AstLst"}</definedName>
    <definedName name="aaa" hidden="1">{"ASTLST",#N/A,FALSE,"AstLst"}</definedName>
    <definedName name="abc" localSheetId="0">{"傳各位表單.xls","Sheet1"}</definedName>
    <definedName name="abc" localSheetId="1">{"傳各位表單.xls","Sheet1"}</definedName>
    <definedName name="abc">{"傳各位表單.xls","Sheet1"}</definedName>
    <definedName name="abc_1" localSheetId="0">{"傳各位表單.xls","Sheet1"}</definedName>
    <definedName name="abc_1" localSheetId="1">{"傳各位表單.xls","Sheet1"}</definedName>
    <definedName name="abc_1">{"傳各位表單.xls","Sheet1"}</definedName>
    <definedName name="abc_2" localSheetId="0">{"傳各位表單.xls","Sheet1"}</definedName>
    <definedName name="abc_2" localSheetId="1">{"傳各位表單.xls","Sheet1"}</definedName>
    <definedName name="abc_2">{"傳各位表單.xls","Sheet1"}</definedName>
    <definedName name="abc_3" localSheetId="0">{"傳各位表單.xls","Sheet1"}</definedName>
    <definedName name="abc_3" localSheetId="1">{"傳各位表單.xls","Sheet1"}</definedName>
    <definedName name="abc_3">{"傳各位表單.xls","Sheet1"}</definedName>
    <definedName name="abc_4" localSheetId="0">{"傳各位表單.xls","Sheet1"}</definedName>
    <definedName name="abc_4" localSheetId="1">{"傳各位表單.xls","Sheet1"}</definedName>
    <definedName name="abc_4">{"傳各位表單.xls","Sheet1"}</definedName>
    <definedName name="act_cur_pl">#REF!</definedName>
    <definedName name="act_sum_pl" localSheetId="0">#REF!</definedName>
    <definedName name="act_sum_pl" localSheetId="1">#REF!</definedName>
    <definedName name="act_sum_pl">#REF!</definedName>
    <definedName name="ACT_SumPL" localSheetId="0">#REF!</definedName>
    <definedName name="ACT_SumPL" localSheetId="1">#REF!</definedName>
    <definedName name="ACT_SumPL">#REF!</definedName>
    <definedName name="Adjusted_Data" localSheetId="0">#REF!</definedName>
    <definedName name="Adjusted_Data" localSheetId="1">#REF!</definedName>
    <definedName name="Adjusted_Data">#REF!</definedName>
    <definedName name="af" localSheetId="0" hidden="1">{"BSHT",#N/A,FALSE,"B-Sht"}</definedName>
    <definedName name="af" localSheetId="1" hidden="1">{"BSHT",#N/A,FALSE,"B-Sht"}</definedName>
    <definedName name="af" hidden="1">{"BSHT",#N/A,FALSE,"B-Sht"}</definedName>
    <definedName name="all" localSheetId="0">#REF!</definedName>
    <definedName name="all" localSheetId="1">#REF!</definedName>
    <definedName name="all">#REF!</definedName>
    <definedName name="All_Items" localSheetId="0">#REF!</definedName>
    <definedName name="All_Items" localSheetId="1">#REF!</definedName>
    <definedName name="All_Items">#REF!</definedName>
    <definedName name="All_Options" localSheetId="0">#REF!</definedName>
    <definedName name="All_Options" localSheetId="1">#REF!</definedName>
    <definedName name="All_Options">#REF!</definedName>
    <definedName name="All_Tasks" localSheetId="0">#REF!</definedName>
    <definedName name="All_Tasks" localSheetId="1">#REF!</definedName>
    <definedName name="All_Tasks">#REF!</definedName>
    <definedName name="ar" localSheetId="0" hidden="1">{#N/A,#N/A,FALSE,"B-Sht"}</definedName>
    <definedName name="ar" localSheetId="1" hidden="1">{#N/A,#N/A,FALSE,"B-Sht"}</definedName>
    <definedName name="ar" hidden="1">{#N/A,#N/A,FALSE,"B-Sht"}</definedName>
    <definedName name="arial" localSheetId="0">#REF!</definedName>
    <definedName name="arial" localSheetId="1">#REF!</definedName>
    <definedName name="arial">#REF!</definedName>
    <definedName name="as" localSheetId="0" hidden="1">{#N/A,#N/A,FALSE,"AstLst"}</definedName>
    <definedName name="as" localSheetId="1" hidden="1">{#N/A,#N/A,FALSE,"AstLst"}</definedName>
    <definedName name="as" hidden="1">{#N/A,#N/A,FALSE,"AstLst"}</definedName>
    <definedName name="assyyield" localSheetId="0">#REF!</definedName>
    <definedName name="assyyield" localSheetId="1">#REF!</definedName>
    <definedName name="assyyield">#REF!</definedName>
    <definedName name="b" localSheetId="0" hidden="1">{#N/A,#N/A,FALSE,"B-Sht"}</definedName>
    <definedName name="b" localSheetId="1" hidden="1">{#N/A,#N/A,FALSE,"B-Sht"}</definedName>
    <definedName name="b" hidden="1">{#N/A,#N/A,FALSE,"B-Sht"}</definedName>
    <definedName name="B_WHQ_M607C_1" localSheetId="0">#REF!</definedName>
    <definedName name="B_WHQ_M607C_1" localSheetId="1">#REF!</definedName>
    <definedName name="B_WHQ_M607C_1">#REF!</definedName>
    <definedName name="Backliner_grade" localSheetId="0">#REF!</definedName>
    <definedName name="Backliner_grade" localSheetId="1">#REF!</definedName>
    <definedName name="Backliner_grade">#REF!</definedName>
    <definedName name="Backliner_grammage" localSheetId="0">#REF!</definedName>
    <definedName name="Backliner_grammage" localSheetId="1">#REF!</definedName>
    <definedName name="Backliner_grammage">#REF!</definedName>
    <definedName name="Bin" localSheetId="0">#REF!</definedName>
    <definedName name="Bin" localSheetId="1">#REF!</definedName>
    <definedName name="Bin">#REF!</definedName>
    <definedName name="Bins" localSheetId="0">#REF!</definedName>
    <definedName name="Bins" localSheetId="1">#REF!</definedName>
    <definedName name="Bins">#REF!</definedName>
    <definedName name="BMBA03A" localSheetId="0">#REF!</definedName>
    <definedName name="BMBA03A" localSheetId="1">#REF!</definedName>
    <definedName name="BMBA03A">#REF!</definedName>
    <definedName name="BOM_Cost" localSheetId="0">#REF!</definedName>
    <definedName name="BOM_Cost" localSheetId="1">#REF!</definedName>
    <definedName name="BOM_Cost">#REF!</definedName>
    <definedName name="BRL" localSheetId="0">#REF!</definedName>
    <definedName name="BRL" localSheetId="1">#REF!</definedName>
    <definedName name="BRL">#REF!</definedName>
    <definedName name="bud_cur_pl" localSheetId="0">#REF!</definedName>
    <definedName name="bud_cur_pl" localSheetId="1">#REF!</definedName>
    <definedName name="bud_cur_pl">#REF!</definedName>
    <definedName name="bud_sum_pl" localSheetId="0">#REF!</definedName>
    <definedName name="bud_sum_pl" localSheetId="1">#REF!</definedName>
    <definedName name="bud_sum_pl">#REF!</definedName>
    <definedName name="builfln_Autofilter___21" localSheetId="0">#REF!</definedName>
    <definedName name="builfln_Autofilter___21" localSheetId="1">#REF!</definedName>
    <definedName name="builfln_Autofilter___21">#REF!</definedName>
    <definedName name="BuiltIn_AutoFilter___1" localSheetId="0">#REF!</definedName>
    <definedName name="BuiltIn_AutoFilter___1" localSheetId="1">#REF!</definedName>
    <definedName name="BuiltIn_AutoFilter___1">#REF!</definedName>
    <definedName name="BuiltIn_AutoFilter___1_1" localSheetId="0">#REF!</definedName>
    <definedName name="BuiltIn_AutoFilter___1_1" localSheetId="1">#REF!</definedName>
    <definedName name="BuiltIn_AutoFilter___1_1">#REF!</definedName>
    <definedName name="BuiltIn_AutoFilter___1_2" localSheetId="0">#REF!</definedName>
    <definedName name="BuiltIn_AutoFilter___1_2" localSheetId="1">#REF!</definedName>
    <definedName name="BuiltIn_AutoFilter___1_2">#REF!</definedName>
    <definedName name="BuiltIn_AutoFilter___1_3" localSheetId="0">#REF!</definedName>
    <definedName name="BuiltIn_AutoFilter___1_3" localSheetId="1">#REF!</definedName>
    <definedName name="BuiltIn_AutoFilter___1_3">#REF!</definedName>
    <definedName name="BuiltIn_AutoFilter___1_4" localSheetId="0">#REF!</definedName>
    <definedName name="BuiltIn_AutoFilter___1_4" localSheetId="1">#REF!</definedName>
    <definedName name="BuiltIn_AutoFilter___1_4">#REF!</definedName>
    <definedName name="BuiltIn_AutoFilter___2" localSheetId="0">#REF!</definedName>
    <definedName name="BuiltIn_AutoFilter___2" localSheetId="1">#REF!</definedName>
    <definedName name="BuiltIn_AutoFilter___2">#REF!</definedName>
    <definedName name="BuiltIn_AutoFilter___2_1" localSheetId="0">#REF!</definedName>
    <definedName name="BuiltIn_AutoFilter___2_1" localSheetId="1">#REF!</definedName>
    <definedName name="BuiltIn_AutoFilter___2_1">#REF!</definedName>
    <definedName name="BuiltIn_AutoFilter___2_2" localSheetId="0">#REF!</definedName>
    <definedName name="BuiltIn_AutoFilter___2_2" localSheetId="1">#REF!</definedName>
    <definedName name="BuiltIn_AutoFilter___2_2">#REF!</definedName>
    <definedName name="BuiltIn_AutoFilter___2_3" localSheetId="0">#REF!</definedName>
    <definedName name="BuiltIn_AutoFilter___2_3" localSheetId="1">#REF!</definedName>
    <definedName name="BuiltIn_AutoFilter___2_3">#REF!</definedName>
    <definedName name="BuiltIn_AutoFilter___2_4" localSheetId="0">#REF!</definedName>
    <definedName name="BuiltIn_AutoFilter___2_4" localSheetId="1">#REF!</definedName>
    <definedName name="BuiltIn_AutoFilter___2_4">#REF!</definedName>
    <definedName name="BuiltIn_AutoFilter___2_5" localSheetId="0">#REF!</definedName>
    <definedName name="BuiltIn_AutoFilter___2_5" localSheetId="1">#REF!</definedName>
    <definedName name="BuiltIn_AutoFilter___2_5">#REF!</definedName>
    <definedName name="BuiltIn_AutoFilter___3">"$"</definedName>
    <definedName name="BuiltIn_AutoFilter___4" localSheetId="0">#REF!</definedName>
    <definedName name="BuiltIn_AutoFilter___4" localSheetId="1">#REF!</definedName>
    <definedName name="BuiltIn_AutoFilter___4">#REF!</definedName>
    <definedName name="BuiltIn_AutoFilter___4_1" localSheetId="0">#REF!</definedName>
    <definedName name="BuiltIn_AutoFilter___4_1" localSheetId="1">#REF!</definedName>
    <definedName name="BuiltIn_AutoFilter___4_1">#REF!</definedName>
    <definedName name="BuiltIn_AutoFilter___4_2" localSheetId="0">#REF!</definedName>
    <definedName name="BuiltIn_AutoFilter___4_2" localSheetId="1">#REF!</definedName>
    <definedName name="BuiltIn_AutoFilter___4_2">#REF!</definedName>
    <definedName name="BuiltIn_AutoFilter___4_3" localSheetId="0">#REF!</definedName>
    <definedName name="BuiltIn_AutoFilter___4_3" localSheetId="1">#REF!</definedName>
    <definedName name="BuiltIn_AutoFilter___4_3">#REF!</definedName>
    <definedName name="BuiltIn_AutoFilter___4_4" localSheetId="0">#REF!</definedName>
    <definedName name="BuiltIn_AutoFilter___4_4" localSheetId="1">#REF!</definedName>
    <definedName name="BuiltIn_AutoFilter___4_4">#REF!</definedName>
    <definedName name="BUILTIN_AUTOFILTER_1" localSheetId="0">#REF!</definedName>
    <definedName name="BUILTIN_AUTOFILTER_1" localSheetId="1">#REF!</definedName>
    <definedName name="BUILTIN_AUTOFILTER_1">#REF!</definedName>
    <definedName name="Bust" localSheetId="0">#REF!</definedName>
    <definedName name="Bust" localSheetId="1">#REF!</definedName>
    <definedName name="Bust">#REF!</definedName>
    <definedName name="C2.0" localSheetId="0">#REF!</definedName>
    <definedName name="C2.0" localSheetId="1">#REF!</definedName>
    <definedName name="C2.0">#REF!</definedName>
    <definedName name="Capture.Capture">#N/A</definedName>
    <definedName name="centerline" localSheetId="0">OFFSET(#REF!,0,0,SUM(#REF!))</definedName>
    <definedName name="centerline" localSheetId="1">OFFSET(#REF!,0,0,SUM(#REF!))</definedName>
    <definedName name="centerline">OFFSET(#REF!,0,0,SUM(#REF!))</definedName>
    <definedName name="centerliner" localSheetId="0">OFFSET(#REF!,0,0,SUM(#REF!))</definedName>
    <definedName name="centerliner" localSheetId="1">OFFSET(#REF!,0,0,SUM(#REF!))</definedName>
    <definedName name="centerliner">OFFSET(#REF!,0,0,SUM(#REF!))</definedName>
    <definedName name="CHF" localSheetId="0">#REF!</definedName>
    <definedName name="CHF" localSheetId="1">#REF!</definedName>
    <definedName name="CHF">#REF!</definedName>
    <definedName name="CMMG" localSheetId="0">#REF!</definedName>
    <definedName name="CMMG" localSheetId="1">#REF!</definedName>
    <definedName name="CMMG">#REF!</definedName>
    <definedName name="CNCyield" localSheetId="0">#REF!</definedName>
    <definedName name="CNCyield" localSheetId="1">#REF!</definedName>
    <definedName name="CNCyield">#REF!</definedName>
    <definedName name="CNY" localSheetId="0">#REF!</definedName>
    <definedName name="CNY" localSheetId="1">#REF!</definedName>
    <definedName name="CNY">#REF!</definedName>
    <definedName name="Config_Cell_S2" localSheetId="0">#REF!</definedName>
    <definedName name="Config_Cell_S2" localSheetId="1">#REF!</definedName>
    <definedName name="Config_Cell_S2">#REF!</definedName>
    <definedName name="Config_Cell2" localSheetId="0">#REF!</definedName>
    <definedName name="Config_Cell2" localSheetId="1">#REF!</definedName>
    <definedName name="Config_Cell2">#REF!</definedName>
    <definedName name="Continue" localSheetId="0">#REF!</definedName>
    <definedName name="Continue" localSheetId="1">#REF!</definedName>
    <definedName name="Continue">#REF!</definedName>
    <definedName name="COSTVOL" localSheetId="0" hidden="1">{"DESCRIPTION",#N/A,FALSE,"Description"}</definedName>
    <definedName name="COSTVOL" localSheetId="1" hidden="1">{"DESCRIPTION",#N/A,FALSE,"Description"}</definedName>
    <definedName name="COSTVOL" hidden="1">{"DESCRIPTION",#N/A,FALSE,"Description"}</definedName>
    <definedName name="cum_yield" localSheetId="0">#REF!</definedName>
    <definedName name="cum_yield" localSheetId="1">#REF!</definedName>
    <definedName name="cum_yield">#REF!</definedName>
    <definedName name="currencyLotInformation" localSheetId="0">#REF!</definedName>
    <definedName name="currencyLotInformation" localSheetId="1">#REF!</definedName>
    <definedName name="currencyLotInformation">#REF!</definedName>
    <definedName name="cvcvc" localSheetId="0" hidden="1">{#N/A,#N/A,FALSE,"AstLst"}</definedName>
    <definedName name="cvcvc" localSheetId="1" hidden="1">{#N/A,#N/A,FALSE,"AstLst"}</definedName>
    <definedName name="cvcvc" hidden="1">{#N/A,#N/A,FALSE,"AstLst"}</definedName>
    <definedName name="cyclettimesecs" localSheetId="0">#REF!</definedName>
    <definedName name="cyclettimesecs" localSheetId="1">#REF!</definedName>
    <definedName name="cyclettimesecs">#REF!</definedName>
    <definedName name="D07CUR" localSheetId="0">#REF!</definedName>
    <definedName name="D07CUR" localSheetId="1">#REF!</definedName>
    <definedName name="D07CUR">#REF!</definedName>
    <definedName name="D07SUM" localSheetId="0">#REF!</definedName>
    <definedName name="D07SUM" localSheetId="1">#REF!</definedName>
    <definedName name="D07SUM">#REF!</definedName>
    <definedName name="D09SUM" localSheetId="0">#REF!</definedName>
    <definedName name="D09SUM" localSheetId="1">#REF!</definedName>
    <definedName name="D09SUM">#REF!</definedName>
    <definedName name="DATA" localSheetId="0">#REF!</definedName>
    <definedName name="DATA" localSheetId="1">#REF!</definedName>
    <definedName name="DATA">#REF!</definedName>
    <definedName name="databas" localSheetId="0">#REF!</definedName>
    <definedName name="databas" localSheetId="1">#REF!</definedName>
    <definedName name="databas">#REF!</definedName>
    <definedName name="_xlnm.Database" localSheetId="0">#REF!</definedName>
    <definedName name="_xlnm.Database" localSheetId="1">#REF!</definedName>
    <definedName name="_xlnm.Database">#REF!</definedName>
    <definedName name="DCF_ACCOUNT" localSheetId="0">#REF!</definedName>
    <definedName name="DCF_ACCOUNT" localSheetId="1">#REF!</definedName>
    <definedName name="DCF_ACCOUNT">#REF!</definedName>
    <definedName name="df" localSheetId="0" hidden="1">{"CSHFLOW",#N/A,FALSE,"CshFlow"}</definedName>
    <definedName name="df" localSheetId="1" hidden="1">{"CSHFLOW",#N/A,FALSE,"CshFlow"}</definedName>
    <definedName name="df" hidden="1">{"CSHFLOW",#N/A,FALSE,"CshFlow"}</definedName>
    <definedName name="dfdf" localSheetId="0" hidden="1">{#N/A,#N/A,FALSE,"Summary"}</definedName>
    <definedName name="dfdf" localSheetId="1" hidden="1">{#N/A,#N/A,FALSE,"Summary"}</definedName>
    <definedName name="dfdf" hidden="1">{#N/A,#N/A,FALSE,"Summary"}</definedName>
    <definedName name="Document_array" localSheetId="0">{"傳各位表單.xls","Sheet1"}</definedName>
    <definedName name="Document_array" localSheetId="1">{"傳各位表單.xls","Sheet1"}</definedName>
    <definedName name="Document_array">{"傳各位表單.xls","Sheet1"}</definedName>
    <definedName name="Document_array_1" localSheetId="0">{"傳各位表單.xls","Sheet1"}</definedName>
    <definedName name="Document_array_1" localSheetId="1">{"傳各位表單.xls","Sheet1"}</definedName>
    <definedName name="Document_array_1">{"傳各位表單.xls","Sheet1"}</definedName>
    <definedName name="Document_array_2" localSheetId="0">{"傳各位表單.xls","Sheet1"}</definedName>
    <definedName name="Document_array_2" localSheetId="1">{"傳各位表單.xls","Sheet1"}</definedName>
    <definedName name="Document_array_2">{"傳各位表單.xls","Sheet1"}</definedName>
    <definedName name="Document_array_3" localSheetId="0">{"傳各位表單.xls","Sheet1"}</definedName>
    <definedName name="Document_array_3" localSheetId="1">{"傳各位表單.xls","Sheet1"}</definedName>
    <definedName name="Document_array_3">{"傳各位表單.xls","Sheet1"}</definedName>
    <definedName name="Document_array_4" localSheetId="0">{"傳各位表單.xls","Sheet1"}</definedName>
    <definedName name="Document_array_4" localSheetId="1">{"傳各位表單.xls","Sheet1"}</definedName>
    <definedName name="Document_array_4">{"傳各位表單.xls","Sheet1"}</definedName>
    <definedName name="Documents_array">#REF!</definedName>
    <definedName name="ending_date" localSheetId="0">#REF!</definedName>
    <definedName name="ending_date" localSheetId="1">#REF!</definedName>
    <definedName name="ending_date">#REF!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PMWorkbookOptions_3" hidden="1">"wQvuWs8egpjkFW1D7Lxl2/C/hZOpQ36xDhyiKTC+hQBZyJ7CVZw3MXvk04UowGsLyrdvBFquejfh+6LWcaYLf89BxKQgiqqpGDyTZ3wrRryDpEt8ZbnGBbcWIG9vI18VjQFqn/FM/CE3euA71usAeT5A+HVDgQlItoLlJvTBbER6WA4sK9hcAIHE/mtLfkgIeaQfBoImKcYtF35UJZarN1hS1VseOyKn8nhdQWukaV660LmiQhlQuavbtVH7"</definedName>
    <definedName name="EPMWorkbookOptions_4" hidden="1">"+fLM39Z8TFIG92z4U5GyRkpH7JadD57Zp8LWCv7fNSdFjs7WD3Sn5jnbZM/2705fC96dEkayojNUQ5CHgiLI93pPr/SXm+Yh+jM7PaPXOaH8zgsuv5iQrPoEmWgvMVTSy0vzAOmJgiHdqNr9CbXXLLb2UkaI4kLRiYYpyJXectM8RG+qoqu6qA6kEyquXnDFLTnJNryboaIqUtm1d2xWxGF4FXKjqeag7NQUqCxNjRAsfuQYeO/3c67gRZkw"</definedName>
    <definedName name="EPMWorkbookOptions_5" hidden="1">"Eh8Dslh2rR2HB8nUyk5EcYqOdLSeccqSY4tdcjEfG2fgdav1fzT7Y7ISfhVKxkvOSnGqsSurdyesxYti12LIRlZz3Var7GI7Ihl19nvFxvKGXq60sWJDUqr7qfw0D+jKPcWQNFE9YWNuFbsxJ4TkXcynpkp8eWkeID6j1//INdV7ldcotvJCNrKyq7NcnebqZRfcUQk5qwjJEtKoCMkSwlWEZAlh6ej8KjsnxTm3+pKgm5qkn/I2t+B3Sykl"</definedName>
    <definedName name="EPMWorkbookOptions_6" hidden="1">"8TXmvVH9i/4uUCabfBDP5D0azYymcBJt+1Xt+uD2S1xeA08IBFPVVX3gpo8ls4MRTnSAhcKgqqtbzyBFbg5H2PTJMREmjmhM0duGLH4xTnaN7wU/LAStkQP6AE1WEbbGP39ahU2eOLf/ALxGvB0dLQAA"</definedName>
    <definedName name="EPMWorkbookOptions_7">"xsR6vyNrv57GV43mvTsDWsbEBkMAZ1sPe+3fv23dxrtYu/8Bh8si8gA7AAA="</definedName>
    <definedName name="Error" localSheetId="0">OFFSET(#REF!,0,0,COUNT(#REF!),1)</definedName>
    <definedName name="Error" localSheetId="1">OFFSET(#REF!,0,0,COUNT(#REF!),1)</definedName>
    <definedName name="Error">OFFSET(#REF!,0,0,COUNT(#REF!),1)</definedName>
    <definedName name="EV__LASTREFTIME__" hidden="1">40340.3804513888</definedName>
    <definedName name="exchange_rate">#REF!</definedName>
    <definedName name="FAST" localSheetId="0">#REF!</definedName>
    <definedName name="FAST" localSheetId="1">#REF!</definedName>
    <definedName name="FAST">#REF!</definedName>
    <definedName name="fixcostea" localSheetId="0">#REF!</definedName>
    <definedName name="fixcostea" localSheetId="1">#REF!</definedName>
    <definedName name="fixcostea">#REF!</definedName>
    <definedName name="Flowchart" localSheetId="0">#REF!</definedName>
    <definedName name="Flowchart" localSheetId="1">#REF!</definedName>
    <definedName name="Flowchart">#REF!</definedName>
    <definedName name="Flute" localSheetId="0">#REF!</definedName>
    <definedName name="Flute" localSheetId="1">#REF!</definedName>
    <definedName name="Flute">#REF!</definedName>
    <definedName name="Fluting_grade" localSheetId="0">#REF!</definedName>
    <definedName name="Fluting_grade" localSheetId="1">#REF!</definedName>
    <definedName name="Fluting_grade">#REF!</definedName>
    <definedName name="Fluting_grammage" localSheetId="0">#REF!</definedName>
    <definedName name="Fluting_grammage" localSheetId="1">#REF!</definedName>
    <definedName name="Fluting_grammage">#REF!</definedName>
    <definedName name="G" localSheetId="0" hidden="1">{"ASTLST",#N/A,FALSE,"AstLst"}</definedName>
    <definedName name="G" localSheetId="1" hidden="1">{"ASTLST",#N/A,FALSE,"AstLst"}</definedName>
    <definedName name="G" hidden="1">{"ASTLST",#N/A,FALSE,"AstLst"}</definedName>
    <definedName name="ghgtj" localSheetId="0" hidden="1">{#N/A,#N/A,TRUE,"Summary";#N/A,#N/A,TRUE,"Description";#N/A,#N/A,TRUE,"AstLst";#N/A,#N/A,TRUE,"CshFlow";#N/A,#N/A,TRUE,"Inc-Stmt";#N/A,#N/A,TRUE,"B-Sht"}</definedName>
    <definedName name="ghgtj" localSheetId="1" hidden="1">{#N/A,#N/A,TRUE,"Summary";#N/A,#N/A,TRUE,"Description";#N/A,#N/A,TRUE,"AstLst";#N/A,#N/A,TRUE,"CshFlow";#N/A,#N/A,TRUE,"Inc-Stmt";#N/A,#N/A,TRUE,"B-Sht"}</definedName>
    <definedName name="ghgtj" hidden="1">{#N/A,#N/A,TRUE,"Summary";#N/A,#N/A,TRUE,"Description";#N/A,#N/A,TRUE,"AstLst";#N/A,#N/A,TRUE,"CshFlow";#N/A,#N/A,TRUE,"Inc-Stmt";#N/A,#N/A,TRUE,"B-Sht"}</definedName>
    <definedName name="Gluing_type">#REF!</definedName>
    <definedName name="goal" localSheetId="0">#REF!</definedName>
    <definedName name="goal" localSheetId="1">#REF!</definedName>
    <definedName name="goal">#REF!</definedName>
    <definedName name="h" localSheetId="0" hidden="1">{"ASTLST",#N/A,FALSE,"AstLst"}</definedName>
    <definedName name="h" localSheetId="1" hidden="1">{"ASTLST",#N/A,FALSE,"AstLst"}</definedName>
    <definedName name="h" hidden="1">{"ASTLST",#N/A,FALSE,"AstLst"}</definedName>
    <definedName name="Harri">#REF!</definedName>
    <definedName name="HBS08CUR" localSheetId="0">#REF!</definedName>
    <definedName name="HBS08CUR" localSheetId="1">#REF!</definedName>
    <definedName name="HBS08CUR">#REF!</definedName>
    <definedName name="HBS08SUM" localSheetId="0">#REF!</definedName>
    <definedName name="HBS08SUM" localSheetId="1">#REF!</definedName>
    <definedName name="HBS08SUM">#REF!</definedName>
    <definedName name="HC" localSheetId="0" hidden="1">{"SUMMARY",#N/A,FALSE,"Summary"}</definedName>
    <definedName name="HC" localSheetId="1" hidden="1">{"SUMMARY",#N/A,FALSE,"Summary"}</definedName>
    <definedName name="HC" hidden="1">{"SUMMARY",#N/A,FALSE,"Summary"}</definedName>
    <definedName name="HCNR" localSheetId="0" hidden="1">{"DESCRIPTION",#N/A,FALSE,"Description"}</definedName>
    <definedName name="HCNR" localSheetId="1" hidden="1">{"DESCRIPTION",#N/A,FALSE,"Description"}</definedName>
    <definedName name="HCNR" hidden="1">{"DESCRIPTION",#N/A,FALSE,"Description"}</definedName>
    <definedName name="Hello">#REF!</definedName>
    <definedName name="hourly_capacity" localSheetId="0">#REF!</definedName>
    <definedName name="hourly_capacity" localSheetId="1">#REF!</definedName>
    <definedName name="hourly_capacity">#REF!</definedName>
    <definedName name="hourly_throughput" localSheetId="0">#REF!</definedName>
    <definedName name="hourly_throughput" localSheetId="1">#REF!</definedName>
    <definedName name="hourly_throughput">#REF!</definedName>
    <definedName name="Ink_type" localSheetId="0">#REF!</definedName>
    <definedName name="Ink_type" localSheetId="1">#REF!</definedName>
    <definedName name="Ink_type">#REF!</definedName>
    <definedName name="INR" localSheetId="0">#REF!</definedName>
    <definedName name="INR" localSheetId="1">#REF!</definedName>
    <definedName name="INR">#REF!</definedName>
    <definedName name="Intercept" localSheetId="0">#REF!</definedName>
    <definedName name="Intercept" localSheetId="1">#REF!</definedName>
    <definedName name="Intercept">#REF!</definedName>
    <definedName name="Item" localSheetId="0">#REF!</definedName>
    <definedName name="Item" localSheetId="1">#REF!</definedName>
    <definedName name="Item">#REF!</definedName>
    <definedName name="je" localSheetId="0">VLOOKUP(#REF!,#REF!,6,0)</definedName>
    <definedName name="je" localSheetId="1">VLOOKUP(#REF!,#REF!,6,0)</definedName>
    <definedName name="je">VLOOKUP(#REF!,#REF!,6,0)</definedName>
    <definedName name="JPY" localSheetId="0">#REF!</definedName>
    <definedName name="JPY" localSheetId="1">#REF!</definedName>
    <definedName name="JPY">#REF!</definedName>
    <definedName name="klkl" localSheetId="0" hidden="1">{#N/A,#N/A,FALSE,"Description"}</definedName>
    <definedName name="klkl" localSheetId="1" hidden="1">{#N/A,#N/A,FALSE,"Description"}</definedName>
    <definedName name="klkl" hidden="1">{#N/A,#N/A,FALSE,"Description"}</definedName>
    <definedName name="KRW" localSheetId="0">#REF!</definedName>
    <definedName name="KRW" localSheetId="1">#REF!</definedName>
    <definedName name="KRW">#REF!</definedName>
    <definedName name="LC" localSheetId="0">#REF!</definedName>
    <definedName name="LC" localSheetId="1">#REF!</definedName>
    <definedName name="LC">#REF!</definedName>
    <definedName name="lcl" localSheetId="0">OFFSET(#REF!,0,0,SUM(#REF!))</definedName>
    <definedName name="lcl" localSheetId="1">OFFSET(#REF!,0,0,SUM(#REF!))</definedName>
    <definedName name="lcl">OFFSET(#REF!,0,0,SUM(#REF!))</definedName>
    <definedName name="Level" localSheetId="0">#REF!</definedName>
    <definedName name="Level" localSheetId="1">#REF!</definedName>
    <definedName name="Level">#REF!</definedName>
    <definedName name="lmthcode" localSheetId="0">#REF!</definedName>
    <definedName name="lmthcode" localSheetId="1">#REF!</definedName>
    <definedName name="lmthcode">#REF!</definedName>
    <definedName name="lsl" localSheetId="0">OFFSET(#REF!,0,0,SUM(#REF!))</definedName>
    <definedName name="lsl" localSheetId="1">OFFSET(#REF!,0,0,SUM(#REF!))</definedName>
    <definedName name="lsl">OFFSET(#REF!,0,0,SUM(#REF!))</definedName>
    <definedName name="ly_cur_bal" localSheetId="0">#REF!</definedName>
    <definedName name="ly_cur_bal" localSheetId="1">#REF!</definedName>
    <definedName name="ly_cur_bal">#REF!</definedName>
    <definedName name="ly_cur_pl" localSheetId="0">#REF!</definedName>
    <definedName name="ly_cur_pl" localSheetId="1">#REF!</definedName>
    <definedName name="ly_cur_pl">#REF!</definedName>
    <definedName name="ly_sum_pl" localSheetId="0">#REF!</definedName>
    <definedName name="ly_sum_pl" localSheetId="1">#REF!</definedName>
    <definedName name="ly_sum_pl">#REF!</definedName>
    <definedName name="M_days" localSheetId="0">#REF!</definedName>
    <definedName name="M_days" localSheetId="1">#REF!</definedName>
    <definedName name="M_days">#REF!</definedName>
    <definedName name="M_days_LY" localSheetId="0">#REF!</definedName>
    <definedName name="M_days_LY" localSheetId="1">#REF!</definedName>
    <definedName name="M_days_LY">#REF!</definedName>
    <definedName name="M72表面處理廠flowchart" localSheetId="0">#REF!</definedName>
    <definedName name="M72表面處理廠flowchart" localSheetId="1">#REF!</definedName>
    <definedName name="M72表面處理廠flowchart">#REF!</definedName>
    <definedName name="machinecostea" localSheetId="0">#REF!</definedName>
    <definedName name="machinecostea" localSheetId="1">#REF!</definedName>
    <definedName name="machinecostea">#REF!</definedName>
    <definedName name="machinename" localSheetId="0">#REF!</definedName>
    <definedName name="machinename" localSheetId="1">#REF!</definedName>
    <definedName name="machinename">#REF!</definedName>
    <definedName name="machu" localSheetId="0">#REF!</definedName>
    <definedName name="machu" localSheetId="1">#REF!</definedName>
    <definedName name="machu">#REF!</definedName>
    <definedName name="MakeIt" localSheetId="0">#REF!</definedName>
    <definedName name="MakeIt" localSheetId="1">#REF!</definedName>
    <definedName name="MakeIt">#REF!</definedName>
    <definedName name="Member" localSheetId="0">#REF!</definedName>
    <definedName name="Member" localSheetId="1">#REF!</definedName>
    <definedName name="Member">#REF!</definedName>
    <definedName name="Month" localSheetId="0">#REF!</definedName>
    <definedName name="Month" localSheetId="1">#REF!</definedName>
    <definedName name="Month">#REF!</definedName>
    <definedName name="Morning" localSheetId="0">#REF!</definedName>
    <definedName name="Morning" localSheetId="1">#REF!</definedName>
    <definedName name="Morning">#REF!</definedName>
    <definedName name="mthcode" localSheetId="0">#REF!</definedName>
    <definedName name="mthcode" localSheetId="1">#REF!</definedName>
    <definedName name="mthcode">#REF!</definedName>
    <definedName name="mthcodes" localSheetId="0">#REF!</definedName>
    <definedName name="mthcodes" localSheetId="1">#REF!</definedName>
    <definedName name="mthcodes">#REF!</definedName>
    <definedName name="murali" localSheetId="0">#REF!</definedName>
    <definedName name="murali" localSheetId="1">#REF!</definedName>
    <definedName name="murali">#REF!</definedName>
    <definedName name="MXN" localSheetId="0">#REF!</definedName>
    <definedName name="MXN" localSheetId="1">#REF!</definedName>
    <definedName name="MXN">#REF!</definedName>
    <definedName name="n" localSheetId="0">COUNT(Capex!X)</definedName>
    <definedName name="n" localSheetId="1">COUNT(Volume!X)</definedName>
    <definedName name="n">COUNT(X)</definedName>
    <definedName name="NAME" localSheetId="0">#REF!</definedName>
    <definedName name="NAME" localSheetId="1">#REF!</definedName>
    <definedName name="NAME">#REF!</definedName>
    <definedName name="Nancy" localSheetId="0">#REF!</definedName>
    <definedName name="Nancy" localSheetId="1">#REF!</definedName>
    <definedName name="Nancy">#REF!</definedName>
    <definedName name="NEW">#N/A</definedName>
    <definedName name="newitem" localSheetId="0">#REF!</definedName>
    <definedName name="newitem" localSheetId="1">#REF!</definedName>
    <definedName name="newitem">#REF!</definedName>
    <definedName name="NRHC" localSheetId="0" hidden="1">{"INCSTMT",#N/A,FALSE,"Inc-Stmt"}</definedName>
    <definedName name="NRHC" localSheetId="1" hidden="1">{"INCSTMT",#N/A,FALSE,"Inc-Stmt"}</definedName>
    <definedName name="NRHC" hidden="1">{"INCSTMT",#N/A,FALSE,"Inc-Stmt"}</definedName>
    <definedName name="NumberFormat">#REF!</definedName>
    <definedName name="numberpts" localSheetId="0">OFFSET(#REF!,0,0,SUM(#REF!))</definedName>
    <definedName name="numberpts" localSheetId="1">OFFSET(#REF!,0,0,SUM(#REF!))</definedName>
    <definedName name="numberpts">OFFSET(#REF!,0,0,SUM(#REF!))</definedName>
    <definedName name="numberpts0" localSheetId="0">OFFSET(#REF!,0,0,#REF!)</definedName>
    <definedName name="numberpts0" localSheetId="1">OFFSET(#REF!,0,0,#REF!)</definedName>
    <definedName name="numberpts0">OFFSET(#REF!,0,0,#REF!)</definedName>
    <definedName name="numberptsr" localSheetId="0">OFFSET(#REF!,0,0,SUM(#REF!))</definedName>
    <definedName name="numberptsr" localSheetId="1">OFFSET(#REF!,0,0,SUM(#REF!))</definedName>
    <definedName name="numberptsr">OFFSET(#REF!,0,0,SUM(#REF!))</definedName>
    <definedName name="numberptsX" localSheetId="0">OFFSET(#REF!,0,0,#REF!)</definedName>
    <definedName name="numberptsX" localSheetId="1">OFFSET(#REF!,0,0,#REF!)</definedName>
    <definedName name="numberptsX">OFFSET(#REF!,0,0,#REF!)</definedName>
    <definedName name="ocl" localSheetId="0">OFFSET(#REF!,0,0,SUM(#REF!))</definedName>
    <definedName name="ocl" localSheetId="1">OFFSET(#REF!,0,0,SUM(#REF!))</definedName>
    <definedName name="ocl">OFFSET(#REF!,0,0,SUM(#REF!))</definedName>
    <definedName name="OR">#N/A</definedName>
    <definedName name="P5.1">#N/A</definedName>
    <definedName name="Page1" localSheetId="0">#REF!</definedName>
    <definedName name="Page1" localSheetId="1">#REF!</definedName>
    <definedName name="Page1">#REF!</definedName>
    <definedName name="Page1A" localSheetId="0">#REF!</definedName>
    <definedName name="Page1A" localSheetId="1">#REF!</definedName>
    <definedName name="Page1A">#REF!</definedName>
    <definedName name="Page2" localSheetId="0">#REF!</definedName>
    <definedName name="Page2" localSheetId="1">#REF!</definedName>
    <definedName name="Page2">#REF!</definedName>
    <definedName name="Page20" localSheetId="0">#REF!</definedName>
    <definedName name="Page20" localSheetId="1">#REF!</definedName>
    <definedName name="Page20">#REF!</definedName>
    <definedName name="page25" localSheetId="0">#REF!</definedName>
    <definedName name="page25" localSheetId="1">#REF!</definedName>
    <definedName name="page25">#REF!</definedName>
    <definedName name="Page2A" localSheetId="0">#REF!</definedName>
    <definedName name="Page2A" localSheetId="1">#REF!</definedName>
    <definedName name="Page2A">#REF!</definedName>
    <definedName name="partsperday" localSheetId="0">#REF!</definedName>
    <definedName name="partsperday" localSheetId="1">#REF!</definedName>
    <definedName name="partsperday">#REF!</definedName>
    <definedName name="PCP" localSheetId="0">#REF!</definedName>
    <definedName name="PCP" localSheetId="1">#REF!</definedName>
    <definedName name="PCP">#REF!</definedName>
    <definedName name="precentage_run" localSheetId="0">#REF!</definedName>
    <definedName name="precentage_run" localSheetId="1">#REF!</definedName>
    <definedName name="precentage_run">#REF!</definedName>
    <definedName name="_xlnm.Print_Area" localSheetId="0">#REF!</definedName>
    <definedName name="_xlnm.Print_Area" localSheetId="1">#REF!</definedName>
    <definedName name="_xlnm.Print_Area">#REF!</definedName>
    <definedName name="PRINT_AREA_MI">#N/A</definedName>
    <definedName name="_xlnm.Print_Titles" localSheetId="0" hidden="1">#REF!,#REF!</definedName>
    <definedName name="_xlnm.Print_Titles" localSheetId="1" hidden="1">#REF!,#REF!</definedName>
    <definedName name="_xlnm.Print_Titles" hidden="1">#REF!,#REF!</definedName>
    <definedName name="PRINT_TITLES_MI" localSheetId="0">#REF!</definedName>
    <definedName name="PRINT_TITLES_MI" localSheetId="1">#REF!</definedName>
    <definedName name="PRINT_TITLES_MI">#REF!</definedName>
    <definedName name="processpartcost" localSheetId="0">#REF!</definedName>
    <definedName name="processpartcost" localSheetId="1">#REF!</definedName>
    <definedName name="processpartcost">#REF!</definedName>
    <definedName name="Producing_unit" localSheetId="0">#REF!</definedName>
    <definedName name="Producing_unit" localSheetId="1">#REF!</definedName>
    <definedName name="Producing_unit">#REF!</definedName>
    <definedName name="project_length" localSheetId="0">#REF!</definedName>
    <definedName name="project_length" localSheetId="1">#REF!</definedName>
    <definedName name="project_length">#REF!</definedName>
    <definedName name="Q" localSheetId="0">OFFSET(#REF!,0,0,COUNT(#REF!),1)</definedName>
    <definedName name="Q" localSheetId="1">OFFSET(#REF!,0,0,COUNT(#REF!),1)</definedName>
    <definedName name="Q">OFFSET(#REF!,0,0,COUNT(#REF!),1)</definedName>
    <definedName name="q4tg" localSheetId="0">#REF!</definedName>
    <definedName name="q4tg" localSheetId="1">#REF!</definedName>
    <definedName name="q4tg">#REF!</definedName>
    <definedName name="Query1___SMTC_MPP_Only" localSheetId="0">#REF!</definedName>
    <definedName name="Query1___SMTC_MPP_Only" localSheetId="1">#REF!</definedName>
    <definedName name="Query1___SMTC_MPP_Only">#REF!</definedName>
    <definedName name="quota" localSheetId="0">{"傳各位表單.xls","Sheet1"}</definedName>
    <definedName name="quota" localSheetId="1">{"傳各位表單.xls","Sheet1"}</definedName>
    <definedName name="quota">{"傳各位表單.xls","Sheet1"}</definedName>
    <definedName name="quota_1" localSheetId="0">{"傳各位表單.xls","Sheet1"}</definedName>
    <definedName name="quota_1" localSheetId="1">{"傳各位表單.xls","Sheet1"}</definedName>
    <definedName name="quota_1">{"傳各位表單.xls","Sheet1"}</definedName>
    <definedName name="quota_2" localSheetId="0">{"傳各位表單.xls","Sheet1"}</definedName>
    <definedName name="quota_2" localSheetId="1">{"傳各位表單.xls","Sheet1"}</definedName>
    <definedName name="quota_2">{"傳各位表單.xls","Sheet1"}</definedName>
    <definedName name="quota_3" localSheetId="0">{"傳各位表單.xls","Sheet1"}</definedName>
    <definedName name="quota_3" localSheetId="1">{"傳各位表單.xls","Sheet1"}</definedName>
    <definedName name="quota_3">{"傳各位表單.xls","Sheet1"}</definedName>
    <definedName name="quota_4" localSheetId="0">{"傳各位表單.xls","Sheet1"}</definedName>
    <definedName name="quota_4" localSheetId="1">{"傳各位表單.xls","Sheet1"}</definedName>
    <definedName name="quota_4">{"傳各位表單.xls","Sheet1"}</definedName>
    <definedName name="qwe">#REF!</definedName>
    <definedName name="RawData" localSheetId="0">#REF!</definedName>
    <definedName name="RawData" localSheetId="1">#REF!</definedName>
    <definedName name="RawData">#REF!</definedName>
    <definedName name="re" localSheetId="0" hidden="1">{"INCSTMT",#N/A,FALSE,"Inc-Stmt"}</definedName>
    <definedName name="re" localSheetId="1" hidden="1">{"INCSTMT",#N/A,FALSE,"Inc-Stmt"}</definedName>
    <definedName name="re" hidden="1">{"INCSTMT",#N/A,FALSE,"Inc-Stmt"}</definedName>
    <definedName name="regression" localSheetId="0">OFFSET(#REF!,0,0,SUM(#REF!))</definedName>
    <definedName name="regression" localSheetId="1">OFFSET(#REF!,0,0,SUM(#REF!))</definedName>
    <definedName name="regression">OFFSET(#REF!,0,0,SUM(#REF!))</definedName>
    <definedName name="RepMonth" localSheetId="0">#REF!</definedName>
    <definedName name="RepMonth" localSheetId="1">#REF!</definedName>
    <definedName name="RepMonth">#REF!</definedName>
    <definedName name="RepMonth___0">"$"</definedName>
    <definedName name="Report">#REF!</definedName>
    <definedName name="rrr" localSheetId="0">VLOOKUP(#REF!,#REF!,6,0)</definedName>
    <definedName name="rrr" localSheetId="1">VLOOKUP(#REF!,#REF!,6,0)</definedName>
    <definedName name="rrr">VLOOKUP(#REF!,#REF!,6,0)</definedName>
    <definedName name="rtrtrtrt" localSheetId="0">{"傳各位表單.xls","Sheet1"}</definedName>
    <definedName name="rtrtrtrt" localSheetId="1">{"傳各位表單.xls","Sheet1"}</definedName>
    <definedName name="rtrtrtrt">{"傳各位表單.xls","Sheet1"}</definedName>
    <definedName name="rtrtrtrt_1" localSheetId="0">{"傳各位表單.xls","Sheet1"}</definedName>
    <definedName name="rtrtrtrt_1" localSheetId="1">{"傳各位表單.xls","Sheet1"}</definedName>
    <definedName name="rtrtrtrt_1">{"傳各位表單.xls","Sheet1"}</definedName>
    <definedName name="rtrtrtrt_2" localSheetId="0">{"傳各位表單.xls","Sheet1"}</definedName>
    <definedName name="rtrtrtrt_2" localSheetId="1">{"傳各位表單.xls","Sheet1"}</definedName>
    <definedName name="rtrtrtrt_2">{"傳各位表單.xls","Sheet1"}</definedName>
    <definedName name="rtrtrtrt_3" localSheetId="0">{"傳各位表單.xls","Sheet1"}</definedName>
    <definedName name="rtrtrtrt_3" localSheetId="1">{"傳各位表單.xls","Sheet1"}</definedName>
    <definedName name="rtrtrtrt_3">{"傳各位表單.xls","Sheet1"}</definedName>
    <definedName name="rtrtrtrt_4" localSheetId="0">{"傳各位表單.xls","Sheet1"}</definedName>
    <definedName name="rtrtrtrt_4" localSheetId="1">{"傳各位表單.xls","Sheet1"}</definedName>
    <definedName name="rtrtrtrt_4">{"傳各位表單.xls","Sheet1"}</definedName>
    <definedName name="Run" localSheetId="0">#REF!</definedName>
    <definedName name="Run" localSheetId="1">#REF!</definedName>
    <definedName name="Run">#REF!</definedName>
    <definedName name="sa" localSheetId="0">#REF!</definedName>
    <definedName name="sa" localSheetId="1">#REF!</definedName>
    <definedName name="sa">#REF!</definedName>
    <definedName name="saf" localSheetId="0">VLOOKUP(#REF!,#REF!,6,0)</definedName>
    <definedName name="saf" localSheetId="1">VLOOKUP(#REF!,#REF!,6,0)</definedName>
    <definedName name="saf">VLOOKUP(#REF!,#REF!,6,0)</definedName>
    <definedName name="SAPBEXdnldView" hidden="1">"44Y02044OAEFIOBR60LOST3C2"</definedName>
    <definedName name="SAPBEXsysID" hidden="1">"HBP"</definedName>
    <definedName name="Scudo" localSheetId="0">#REF!</definedName>
    <definedName name="Scudo" localSheetId="1">#REF!</definedName>
    <definedName name="Scudo">#REF!</definedName>
    <definedName name="ScudoWang" localSheetId="0">#REF!</definedName>
    <definedName name="ScudoWang" localSheetId="1">#REF!</definedName>
    <definedName name="ScudoWang">#REF!</definedName>
    <definedName name="SEK" localSheetId="0">#REF!</definedName>
    <definedName name="SEK" localSheetId="1">#REF!</definedName>
    <definedName name="SEK">#REF!</definedName>
    <definedName name="Selling_unit" localSheetId="0">#REF!</definedName>
    <definedName name="Selling_unit" localSheetId="1">#REF!</definedName>
    <definedName name="Selling_unit">#REF!</definedName>
    <definedName name="set_up" localSheetId="0">#REF!</definedName>
    <definedName name="set_up" localSheetId="1">#REF!</definedName>
    <definedName name="set_up">#REF!</definedName>
    <definedName name="Set_up_per_job" localSheetId="0">#REF!</definedName>
    <definedName name="Set_up_per_job" localSheetId="1">#REF!</definedName>
    <definedName name="Set_up_per_job">#REF!</definedName>
    <definedName name="shi" localSheetId="0">VLOOKUP(#REF!,#REF!,6,0)</definedName>
    <definedName name="shi" localSheetId="1">VLOOKUP(#REF!,#REF!,6,0)</definedName>
    <definedName name="shi">VLOOKUP(#REF!,#REF!,6,0)</definedName>
    <definedName name="Site_Items" localSheetId="0">#REF!</definedName>
    <definedName name="Site_Items" localSheetId="1">#REF!</definedName>
    <definedName name="Site_Items">#REF!</definedName>
    <definedName name="Site_Tasks" localSheetId="0">#REF!</definedName>
    <definedName name="Site_Tasks" localSheetId="1">#REF!</definedName>
    <definedName name="Site_Tasks">#REF!</definedName>
    <definedName name="Slope" localSheetId="0">#REF!</definedName>
    <definedName name="Slope" localSheetId="1">#REF!</definedName>
    <definedName name="Slope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SE" localSheetId="0">#REF!</definedName>
    <definedName name="SSE" localSheetId="1">#REF!</definedName>
    <definedName name="SSE">#REF!</definedName>
    <definedName name="ssss" localSheetId="0">#REF!</definedName>
    <definedName name="ssss" localSheetId="1">#REF!</definedName>
    <definedName name="ssss">#REF!</definedName>
    <definedName name="stepmatcostadd" localSheetId="0">#REF!</definedName>
    <definedName name="stepmatcostadd" localSheetId="1">#REF!</definedName>
    <definedName name="stepmatcostadd">#REF!</definedName>
    <definedName name="stepmatloss" localSheetId="0">#REF!</definedName>
    <definedName name="stepmatloss" localSheetId="1">#REF!</definedName>
    <definedName name="stepmatloss">#REF!</definedName>
    <definedName name="stepoppartcost" localSheetId="0">#REF!</definedName>
    <definedName name="stepoppartcost" localSheetId="1">#REF!</definedName>
    <definedName name="stepoppartcost">#REF!</definedName>
    <definedName name="steppartcost" localSheetId="0">#REF!</definedName>
    <definedName name="steppartcost" localSheetId="1">#REF!</definedName>
    <definedName name="steppartcost">#REF!</definedName>
    <definedName name="stepprocloss" localSheetId="0">#REF!</definedName>
    <definedName name="stepprocloss" localSheetId="1">#REF!</definedName>
    <definedName name="stepprocloss">#REF!</definedName>
    <definedName name="stepyield" localSheetId="0">#REF!</definedName>
    <definedName name="stepyield" localSheetId="1">#REF!</definedName>
    <definedName name="stepyield">#REF!</definedName>
    <definedName name="Summ_Rng" localSheetId="0">#REF!</definedName>
    <definedName name="Summ_Rng" localSheetId="1">#REF!</definedName>
    <definedName name="Summ_Rng">#REF!</definedName>
    <definedName name="TAE">#N/A</definedName>
    <definedName name="Task_details" localSheetId="0">#REF!</definedName>
    <definedName name="Task_details" localSheetId="1">#REF!</definedName>
    <definedName name="Task_details">#REF!</definedName>
    <definedName name="TaxTV">10%</definedName>
    <definedName name="TaxXL">5%</definedName>
    <definedName name="ten" localSheetId="0">#REF!</definedName>
    <definedName name="ten" localSheetId="1">#REF!</definedName>
    <definedName name="ten">#REF!</definedName>
    <definedName name="Terminplan" localSheetId="0" hidden="1">{#N/A,#N/A,FALSE,"CshFlow"}</definedName>
    <definedName name="Terminplan" localSheetId="1" hidden="1">{#N/A,#N/A,FALSE,"CshFlow"}</definedName>
    <definedName name="Terminplan" hidden="1">{#N/A,#N/A,FALSE,"CshFlow"}</definedName>
    <definedName name="test" localSheetId="0">#REF!</definedName>
    <definedName name="test" localSheetId="1">#REF!</definedName>
    <definedName name="test">#REF!</definedName>
    <definedName name="Test5" localSheetId="0">#REF!</definedName>
    <definedName name="Test5" localSheetId="1">#REF!</definedName>
    <definedName name="Test5">#REF!</definedName>
    <definedName name="tol" localSheetId="0">OFFSET(#REF!,0,0,SUM(#REF!))</definedName>
    <definedName name="tol" localSheetId="1">OFFSET(#REF!,0,0,SUM(#REF!))</definedName>
    <definedName name="tol">OFFSET(#REF!,0,0,SUM(#REF!))</definedName>
    <definedName name="toolcostea" localSheetId="0">#REF!</definedName>
    <definedName name="toolcostea" localSheetId="1">#REF!</definedName>
    <definedName name="toolcostea">#REF!</definedName>
    <definedName name="Topliner_grade" localSheetId="0">#REF!</definedName>
    <definedName name="Topliner_grade" localSheetId="1">#REF!</definedName>
    <definedName name="Topliner_grade">#REF!</definedName>
    <definedName name="Topliner_grammage" localSheetId="0">#REF!</definedName>
    <definedName name="Topliner_grammage" localSheetId="1">#REF!</definedName>
    <definedName name="Topliner_grammage">#REF!</definedName>
    <definedName name="TotSteprate" localSheetId="0">#REF!</definedName>
    <definedName name="TotSteprate" localSheetId="1">#REF!</definedName>
    <definedName name="TotSteprate">#REF!</definedName>
    <definedName name="tr44qtr" localSheetId="0" hidden="1">{#N/A,#N/A,FALSE,"B-Sht"}</definedName>
    <definedName name="tr44qtr" localSheetId="1" hidden="1">{#N/A,#N/A,FALSE,"B-Sht"}</definedName>
    <definedName name="tr44qtr" hidden="1">{#N/A,#N/A,FALSE,"B-Sht"}</definedName>
    <definedName name="ucl" localSheetId="0">OFFSET(#REF!,0,0,SUM(#REF!))</definedName>
    <definedName name="ucl" localSheetId="1">OFFSET(#REF!,0,0,SUM(#REF!))</definedName>
    <definedName name="ucl">OFFSET(#REF!,0,0,SUM(#REF!))</definedName>
    <definedName name="uclR" localSheetId="0">OFFSET(#REF!,0,0,SUM(#REF!))</definedName>
    <definedName name="uclR" localSheetId="1">OFFSET(#REF!,0,0,SUM(#REF!))</definedName>
    <definedName name="uclR">OFFSET(#REF!,0,0,SUM(#REF!))</definedName>
    <definedName name="union08cur" localSheetId="0">#REF!</definedName>
    <definedName name="union08cur" localSheetId="1">#REF!</definedName>
    <definedName name="union08cur">#REF!</definedName>
    <definedName name="union08sum" localSheetId="0">#REF!</definedName>
    <definedName name="union08sum" localSheetId="1">#REF!</definedName>
    <definedName name="union08sum">#REF!</definedName>
    <definedName name="US">#N/A</definedName>
    <definedName name="USD" localSheetId="0">#REF!</definedName>
    <definedName name="USD" localSheetId="1">#REF!</definedName>
    <definedName name="USD">#REF!</definedName>
    <definedName name="usl" localSheetId="0">OFFSET(#REF!,0,0,SUM(#REF!))</definedName>
    <definedName name="usl" localSheetId="1">OFFSET(#REF!,0,0,SUM(#REF!))</definedName>
    <definedName name="usl">OFFSET(#REF!,0,0,SUM(#REF!))</definedName>
    <definedName name="ValidBOMRange" localSheetId="0">#REF!</definedName>
    <definedName name="ValidBOMRange" localSheetId="1">#REF!</definedName>
    <definedName name="ValidBOMRange">#REF!</definedName>
    <definedName name="VB" localSheetId="0">#REF!</definedName>
    <definedName name="VB" localSheetId="1">#REF!</definedName>
    <definedName name="VB">#REF!</definedName>
    <definedName name="Version" localSheetId="0">#REF!</definedName>
    <definedName name="Version" localSheetId="1">#REF!</definedName>
    <definedName name="Version">#REF!</definedName>
    <definedName name="Version___0">"$"</definedName>
    <definedName name="Version1" localSheetId="0">#REF!</definedName>
    <definedName name="Version1" localSheetId="1">#REF!</definedName>
    <definedName name="Version1">#REF!</definedName>
    <definedName name="vfr" localSheetId="0" hidden="1">{"CSHFLOW",#N/A,FALSE,"CshFlow"}</definedName>
    <definedName name="vfr" localSheetId="1" hidden="1">{"CSHFLOW",#N/A,FALSE,"CshFlow"}</definedName>
    <definedName name="vfr" hidden="1">{"CSHFLOW",#N/A,FALSE,"CshFlow"}</definedName>
    <definedName name="volume">#REF!</definedName>
    <definedName name="weff.l" localSheetId="0" hidden="1">{#N/A,#N/A,FALSE,"B-Sht"}</definedName>
    <definedName name="weff.l" localSheetId="1" hidden="1">{#N/A,#N/A,FALSE,"B-Sht"}</definedName>
    <definedName name="weff.l" hidden="1">{#N/A,#N/A,FALSE,"B-Sht"}</definedName>
    <definedName name="werteqrt" localSheetId="0" hidden="1">{#N/A,#N/A,FALSE,"AstLst"}</definedName>
    <definedName name="werteqrt" localSheetId="1" hidden="1">{#N/A,#N/A,FALSE,"AstLst"}</definedName>
    <definedName name="werteqrt" hidden="1">{#N/A,#N/A,FALSE,"AstLst"}</definedName>
    <definedName name="workbook" localSheetId="0">OFFSET(#REF!,0,0,SUM(#REF!))</definedName>
    <definedName name="workbook" localSheetId="1">OFFSET(#REF!,0,0,SUM(#REF!))</definedName>
    <definedName name="workbook">OFFSET(#REF!,0,0,SUM(#REF!))</definedName>
    <definedName name="working_hours" localSheetId="0">#REF!</definedName>
    <definedName name="working_hours" localSheetId="1">#REF!</definedName>
    <definedName name="working_hours">#REF!</definedName>
    <definedName name="wp" localSheetId="0">#REF!</definedName>
    <definedName name="wp" localSheetId="1">#REF!</definedName>
    <definedName name="wp">#REF!</definedName>
    <definedName name="wrn.ASTLST." localSheetId="0" hidden="1">{"ASTLST",#N/A,FALSE,"AstLst"}</definedName>
    <definedName name="wrn.ASTLST." localSheetId="1" hidden="1">{"ASTLST",#N/A,FALSE,"AstLst"}</definedName>
    <definedName name="wrn.ASTLST." hidden="1">{"ASTLST",#N/A,FALSE,"AstLst"}</definedName>
    <definedName name="wrn.astlst2" localSheetId="0" hidden="1">{"ASTLST",#N/A,FALSE,"AstLst"}</definedName>
    <definedName name="wrn.astlst2" localSheetId="1" hidden="1">{"ASTLST",#N/A,FALSE,"AstLst"}</definedName>
    <definedName name="wrn.astlst2" hidden="1">{"ASTLST",#N/A,FALSE,"AstLst"}</definedName>
    <definedName name="wrn.BSHT." localSheetId="0" hidden="1">{"BSHT",#N/A,FALSE,"B-Sht"}</definedName>
    <definedName name="wrn.BSHT." localSheetId="1" hidden="1">{"BSHT",#N/A,FALSE,"B-Sht"}</definedName>
    <definedName name="wrn.BSHT." hidden="1">{"BSHT",#N/A,FALSE,"B-Sht"}</definedName>
    <definedName name="wrn.bsht2" localSheetId="0" hidden="1">{"BSHT",#N/A,FALSE,"B-Sht"}</definedName>
    <definedName name="wrn.bsht2" localSheetId="1" hidden="1">{"BSHT",#N/A,FALSE,"B-Sht"}</definedName>
    <definedName name="wrn.bsht2" hidden="1">{"BSHT",#N/A,FALSE,"B-Sht"}</definedName>
    <definedName name="wrn.consol." localSheetId="0" hidden="1">{"cons",#N/A,TRUE,"MAY95"}</definedName>
    <definedName name="wrn.consol." localSheetId="1" hidden="1">{"cons",#N/A,TRUE,"MAY95"}</definedName>
    <definedName name="wrn.consol." hidden="1">{"cons",#N/A,TRUE,"MAY95"}</definedName>
    <definedName name="wrn.Corp.mb.xls." localSheetId="0" hidden="1">{#N/A,#N/A,TRUE,"Summary";#N/A,#N/A,TRUE,"Description";#N/A,#N/A,TRUE,"AstLst";#N/A,#N/A,TRUE,"CshFlow";#N/A,#N/A,TRUE,"Inc-Stmt";#N/A,#N/A,TRUE,"B-Sht"}</definedName>
    <definedName name="wrn.Corp.mb.xls." localSheetId="1" hidden="1">{#N/A,#N/A,TRUE,"Summary";#N/A,#N/A,TRUE,"Description";#N/A,#N/A,TRUE,"AstLst";#N/A,#N/A,TRUE,"CshFlow";#N/A,#N/A,TRUE,"Inc-Stmt";#N/A,#N/A,TRUE,"B-Sht"}</definedName>
    <definedName name="wrn.Corp.mb.xls." hidden="1">{#N/A,#N/A,TRUE,"Summary";#N/A,#N/A,TRUE,"Description";#N/A,#N/A,TRUE,"AstLst";#N/A,#N/A,TRUE,"CshFlow";#N/A,#N/A,TRUE,"Inc-Stmt";#N/A,#N/A,TRUE,"B-Sht"}</definedName>
    <definedName name="wrn.CSHFLOW." localSheetId="0" hidden="1">{"CSHFLOW",#N/A,FALSE,"CshFlow"}</definedName>
    <definedName name="wrn.CSHFLOW." localSheetId="1" hidden="1">{"CSHFLOW",#N/A,FALSE,"CshFlow"}</definedName>
    <definedName name="wrn.CSHFLOW." hidden="1">{"CSHFLOW",#N/A,FALSE,"CshFlow"}</definedName>
    <definedName name="wrn.DESCRIPTION." localSheetId="0" hidden="1">{"DESCRIPTION",#N/A,FALSE,"Description"}</definedName>
    <definedName name="wrn.DESCRIPTION." localSheetId="1" hidden="1">{"DESCRIPTION",#N/A,FALSE,"Description"}</definedName>
    <definedName name="wrn.DESCRIPTION." hidden="1">{"DESCRIPTION",#N/A,FALSE,"Description"}</definedName>
    <definedName name="wrn.INCSTMT." localSheetId="0" hidden="1">{"INCSTMT",#N/A,FALSE,"Inc-Stmt"}</definedName>
    <definedName name="wrn.INCSTMT." localSheetId="1" hidden="1">{"INCSTMT",#N/A,FALSE,"Inc-Stmt"}</definedName>
    <definedName name="wrn.INCSTMT." hidden="1">{"INCSTMT",#N/A,FALSE,"Inc-Stmt"}</definedName>
    <definedName name="wrn.Milestone._.1." localSheetId="0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Milestone._.1." localSheetId="1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Milestone._.1.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SUMMARY." localSheetId="0" hidden="1">{"SUMMARY",#N/A,FALSE,"Summary"}</definedName>
    <definedName name="wrn.SUMMARY." localSheetId="1" hidden="1">{"SUMMARY",#N/A,FALSE,"Summary"}</definedName>
    <definedName name="wrn.SUMMARY." hidden="1">{"SUMMARY",#N/A,FALSE,"Summary"}</definedName>
    <definedName name="wrn1.astlst" localSheetId="0" hidden="1">{"ASTLST",#N/A,FALSE,"AstLst"}</definedName>
    <definedName name="wrn1.astlst" localSheetId="1" hidden="1">{"ASTLST",#N/A,FALSE,"AstLst"}</definedName>
    <definedName name="wrn1.astlst" hidden="1">{"ASTLST",#N/A,FALSE,"AstLst"}</definedName>
    <definedName name="wrns1.bsht" localSheetId="0" hidden="1">{"BSHT",#N/A,FALSE,"B-Sht"}</definedName>
    <definedName name="wrns1.bsht" localSheetId="1" hidden="1">{"BSHT",#N/A,FALSE,"B-Sht"}</definedName>
    <definedName name="wrns1.bsht" hidden="1">{"BSHT",#N/A,FALSE,"B-Sht"}</definedName>
    <definedName name="wtg" localSheetId="0">#REF!</definedName>
    <definedName name="wtg" localSheetId="1">#REF!</definedName>
    <definedName name="wtg">#REF!</definedName>
    <definedName name="wtgq4channel" localSheetId="0">#REF!</definedName>
    <definedName name="wtgq4channel" localSheetId="1">#REF!</definedName>
    <definedName name="wtgq4channel">#REF!</definedName>
    <definedName name="ww" localSheetId="0" hidden="1">{"BSHT",#N/A,FALSE,"B-Sht"}</definedName>
    <definedName name="ww" localSheetId="1" hidden="1">{"BSHT",#N/A,FALSE,"B-Sht"}</definedName>
    <definedName name="ww" hidden="1">{"BSHT",#N/A,FALSE,"B-Sht"}</definedName>
    <definedName name="www" localSheetId="0">#REF!</definedName>
    <definedName name="www" localSheetId="1">#REF!</definedName>
    <definedName name="www">#REF!</definedName>
    <definedName name="X" localSheetId="0">OFFSET(#REF!,0,0,COUNT(#REF!),1)</definedName>
    <definedName name="X" localSheetId="1">OFFSET(#REF!,0,0,COUNT(#REF!),1)</definedName>
    <definedName name="X">OFFSET(#REF!,0,0,COUNT(#REF!),1)</definedName>
    <definedName name="XCOS" localSheetId="0">#REF!</definedName>
    <definedName name="XCOS" localSheetId="1">#REF!</definedName>
    <definedName name="XCOS">#REF!</definedName>
    <definedName name="xd" localSheetId="0" hidden="1">{#N/A,#N/A,TRUE,"Summary";#N/A,#N/A,TRUE,"Description";#N/A,#N/A,TRUE,"AstLst";#N/A,#N/A,TRUE,"CshFlow";#N/A,#N/A,TRUE,"Inc-Stmt";#N/A,#N/A,TRUE,"B-Sht"}</definedName>
    <definedName name="xd" localSheetId="1" hidden="1">{#N/A,#N/A,TRUE,"Summary";#N/A,#N/A,TRUE,"Description";#N/A,#N/A,TRUE,"AstLst";#N/A,#N/A,TRUE,"CshFlow";#N/A,#N/A,TRUE,"Inc-Stmt";#N/A,#N/A,TRUE,"B-Sht"}</definedName>
    <definedName name="xd" hidden="1">{#N/A,#N/A,TRUE,"Summary";#N/A,#N/A,TRUE,"Description";#N/A,#N/A,TRUE,"AstLst";#N/A,#N/A,TRUE,"CshFlow";#N/A,#N/A,TRUE,"Inc-Stmt";#N/A,#N/A,TRUE,"B-Sht"}</definedName>
    <definedName name="xf" localSheetId="0">#REF!</definedName>
    <definedName name="xf" localSheetId="1">#REF!</definedName>
    <definedName name="xf">#REF!</definedName>
    <definedName name="XROTATE" localSheetId="0">#REF!</definedName>
    <definedName name="XROTATE" localSheetId="1">#REF!</definedName>
    <definedName name="XROTATE">#REF!</definedName>
    <definedName name="XSIN" localSheetId="0">#REF!</definedName>
    <definedName name="XSIN" localSheetId="1">#REF!</definedName>
    <definedName name="XSIN">#REF!</definedName>
    <definedName name="xxxx" localSheetId="0">#REF!</definedName>
    <definedName name="xxxx" localSheetId="1">#REF!</definedName>
    <definedName name="xxxx">#REF!</definedName>
    <definedName name="Y" localSheetId="0">OFFSET(#REF!,0,0,COUNT(#REF!),1)</definedName>
    <definedName name="Y" localSheetId="1">OFFSET(#REF!,0,0,COUNT(#REF!),1)</definedName>
    <definedName name="Y">OFFSET(#REF!,0,0,COUNT(#REF!),1)</definedName>
    <definedName name="YCOS" localSheetId="0">#REF!</definedName>
    <definedName name="YCOS" localSheetId="1">#REF!</definedName>
    <definedName name="YCOS">#REF!</definedName>
    <definedName name="Year">[1]Sheet1!$I$3:$I$15</definedName>
    <definedName name="YROTATE" localSheetId="0">#REF!</definedName>
    <definedName name="YROTATE" localSheetId="1">#REF!</definedName>
    <definedName name="YROTATE">#REF!</definedName>
    <definedName name="YSIN" localSheetId="0">#REF!</definedName>
    <definedName name="YSIN" localSheetId="1">#REF!</definedName>
    <definedName name="YSIN">#REF!</definedName>
    <definedName name="Z" localSheetId="0">OFFSET(#REF!,0,0,COUNT(#REF!),1)</definedName>
    <definedName name="Z" localSheetId="1">OFFSET(#REF!,0,0,COUNT(#REF!),1)</definedName>
    <definedName name="Z">OFFSET(#REF!,0,0,COUNT(#REF!),1)</definedName>
    <definedName name="Z03L" localSheetId="0">#REF!</definedName>
    <definedName name="Z03L" localSheetId="1">#REF!</definedName>
    <definedName name="Z03L">#REF!</definedName>
    <definedName name="Z03U" localSheetId="0">#REF!</definedName>
    <definedName name="Z03U" localSheetId="1">#REF!</definedName>
    <definedName name="Z03U">#REF!</definedName>
    <definedName name="ZCOS" localSheetId="0">#REF!</definedName>
    <definedName name="ZCOS" localSheetId="1">#REF!</definedName>
    <definedName name="ZCOS">#REF!</definedName>
    <definedName name="zd" localSheetId="0">#REF!</definedName>
    <definedName name="zd" localSheetId="1">#REF!</definedName>
    <definedName name="zd">#REF!</definedName>
    <definedName name="ZROTATE" localSheetId="0">#REF!</definedName>
    <definedName name="ZROTATE" localSheetId="1">#REF!</definedName>
    <definedName name="ZROTATE">#REF!</definedName>
    <definedName name="ZSIN" localSheetId="0">#REF!</definedName>
    <definedName name="ZSIN" localSheetId="1">#REF!</definedName>
    <definedName name="ZSIN">#REF!</definedName>
    <definedName name="zx" localSheetId="0" hidden="1">{"INCSTMT",#N/A,FALSE,"Inc-Stmt"}</definedName>
    <definedName name="zx" localSheetId="1" hidden="1">{"INCSTMT",#N/A,FALSE,"Inc-Stmt"}</definedName>
    <definedName name="zx" hidden="1">{"INCSTMT",#N/A,FALSE,"Inc-Stmt"}</definedName>
    <definedName name="zzz" localSheetId="0" hidden="1">{"INCSTMT",#N/A,FALSE,"Inc-Stmt"}</definedName>
    <definedName name="zzz" localSheetId="1" hidden="1">{"INCSTMT",#N/A,FALSE,"Inc-Stmt"}</definedName>
    <definedName name="zzz" hidden="1">{"INCSTMT",#N/A,FALSE,"Inc-Stmt"}</definedName>
    <definedName name="表格" localSheetId="0">#REF!</definedName>
    <definedName name="表格" localSheetId="1">#REF!</definedName>
    <definedName name="表格">#REF!</definedName>
    <definedName name="材料" localSheetId="0">#REF!</definedName>
    <definedName name="材料" localSheetId="1">#REF!</definedName>
    <definedName name="材料">#REF!</definedName>
    <definedName name="产成品成本分配" localSheetId="0">#REF!</definedName>
    <definedName name="产成品成本分配" localSheetId="1">#REF!</definedName>
    <definedName name="产成品成本分配">#REF!</definedName>
    <definedName name="产成品入库单22" localSheetId="0">#REF!</definedName>
    <definedName name="产成品入库单22" localSheetId="1">#REF!</definedName>
    <definedName name="产成品入库单22">#REF!</definedName>
    <definedName name="產品基本資料" localSheetId="0">#REF!</definedName>
    <definedName name="產品基本資料" localSheetId="1">#REF!</definedName>
    <definedName name="產品基本資料">#REF!</definedName>
    <definedName name="場地規划與進度" localSheetId="0">VLOOKUP(#REF!,Capex!加班明細,6,0)</definedName>
    <definedName name="場地規划與進度" localSheetId="1">VLOOKUP(#REF!,Volume!加班明細,6,0)</definedName>
    <definedName name="場地規划與進度">VLOOKUP(#REF!,加班明細,6,0)</definedName>
    <definedName name="成品入库" localSheetId="0">#REF!</definedName>
    <definedName name="成品入库" localSheetId="1">#REF!</definedName>
    <definedName name="成品入库">#REF!</definedName>
    <definedName name="笞" localSheetId="0">{"傳各位表單.xls","Sheet1"}</definedName>
    <definedName name="笞" localSheetId="1">{"傳各位表單.xls","Sheet1"}</definedName>
    <definedName name="笞">{"傳各位表單.xls","Sheet1"}</definedName>
    <definedName name="笞_1" localSheetId="0">{"傳各位表單.xls","Sheet1"}</definedName>
    <definedName name="笞_1" localSheetId="1">{"傳各位表單.xls","Sheet1"}</definedName>
    <definedName name="笞_1">{"傳各位表單.xls","Sheet1"}</definedName>
    <definedName name="笞_2" localSheetId="0">{"傳各位表單.xls","Sheet1"}</definedName>
    <definedName name="笞_2" localSheetId="1">{"傳各位表單.xls","Sheet1"}</definedName>
    <definedName name="笞_2">{"傳各位表單.xls","Sheet1"}</definedName>
    <definedName name="笞_3" localSheetId="0">{"傳各位表單.xls","Sheet1"}</definedName>
    <definedName name="笞_3" localSheetId="1">{"傳各位表單.xls","Sheet1"}</definedName>
    <definedName name="笞_3">{"傳各位表單.xls","Sheet1"}</definedName>
    <definedName name="笞_4" localSheetId="0">{"傳各位表單.xls","Sheet1"}</definedName>
    <definedName name="笞_4" localSheetId="1">{"傳各位表單.xls","Sheet1"}</definedName>
    <definedName name="笞_4">{"傳各位表單.xls","Sheet1"}</definedName>
    <definedName name="沖壓" localSheetId="0">#REF!</definedName>
    <definedName name="沖壓" localSheetId="1">#REF!</definedName>
    <definedName name="沖壓">#REF!</definedName>
    <definedName name="出库" localSheetId="0">#REF!</definedName>
    <definedName name="出库" localSheetId="1">#REF!</definedName>
    <definedName name="出库">#REF!</definedName>
    <definedName name="地" localSheetId="0">#REF!</definedName>
    <definedName name="地" localSheetId="1">#REF!</definedName>
    <definedName name="地">#REF!</definedName>
    <definedName name="地区性" localSheetId="0">#REF!</definedName>
    <definedName name="地区性" localSheetId="1">#REF!</definedName>
    <definedName name="地区性">#REF!</definedName>
    <definedName name="二" localSheetId="0">#REF!</definedName>
    <definedName name="二" localSheetId="1">#REF!</definedName>
    <definedName name="二">#REF!</definedName>
    <definedName name="附加价率汇总" localSheetId="0">#REF!</definedName>
    <definedName name="附加价率汇总" localSheetId="1">#REF!</definedName>
    <definedName name="附加价率汇总">#REF!</definedName>
    <definedName name="工" localSheetId="0">VLOOKUP(#REF!,Capex!加班明細,6,0)</definedName>
    <definedName name="工" localSheetId="1">VLOOKUP(#REF!,Volume!加班明細,6,0)</definedName>
    <definedName name="工">VLOOKUP(#REF!,加班明細,6,0)</definedName>
    <definedName name="工位_時間" localSheetId="0">#REF!</definedName>
    <definedName name="工位_時間" localSheetId="1">#REF!</definedName>
    <definedName name="工位_時間">#REF!</definedName>
    <definedName name="工站_時間" localSheetId="0">#REF!</definedName>
    <definedName name="工站_時間" localSheetId="1">#REF!</definedName>
    <definedName name="工站_時間">#REF!</definedName>
    <definedName name="柜型" localSheetId="0">#REF!</definedName>
    <definedName name="柜型" localSheetId="1">#REF!</definedName>
    <definedName name="柜型">#REF!</definedName>
    <definedName name="集團目標" localSheetId="0">#REF!</definedName>
    <definedName name="集團目標" localSheetId="1">#REF!</definedName>
    <definedName name="集團目標">#REF!</definedName>
    <definedName name="加班明細" localSheetId="0">INDIRECT(ADDRESS(2,3,,,#REF!)):INDIRECT(ADDRESS(150,8,,,#REF!))</definedName>
    <definedName name="加班明細" localSheetId="1">INDIRECT(ADDRESS(2,3,,,#REF!)):INDIRECT(ADDRESS(150,8,,,#REF!))</definedName>
    <definedName name="加班明細">INDIRECT(ADDRESS(2,3,,,#REF!)):INDIRECT(ADDRESS(150,8,,,#REF!))</definedName>
    <definedName name="價格" localSheetId="0">#REF!</definedName>
    <definedName name="價格" localSheetId="1">#REF!</definedName>
    <definedName name="價格">#REF!</definedName>
    <definedName name="解雄偉" localSheetId="0">#REF!</definedName>
    <definedName name="解雄偉" localSheetId="1">#REF!</definedName>
    <definedName name="解雄偉">#REF!</definedName>
    <definedName name="進度" localSheetId="0">{"傳各位表單.xls","Sheet1"}</definedName>
    <definedName name="進度" localSheetId="1">{"傳各位表單.xls","Sheet1"}</definedName>
    <definedName name="進度">{"傳各位表單.xls","Sheet1"}</definedName>
    <definedName name="進度_1" localSheetId="0">{"傳各位表單.xls","Sheet1"}</definedName>
    <definedName name="進度_1" localSheetId="1">{"傳各位表單.xls","Sheet1"}</definedName>
    <definedName name="進度_1">{"傳各位表單.xls","Sheet1"}</definedName>
    <definedName name="進度_2" localSheetId="0">{"傳各位表單.xls","Sheet1"}</definedName>
    <definedName name="進度_2" localSheetId="1">{"傳各位表單.xls","Sheet1"}</definedName>
    <definedName name="進度_2">{"傳各位表單.xls","Sheet1"}</definedName>
    <definedName name="進度_3" localSheetId="0">{"傳各位表單.xls","Sheet1"}</definedName>
    <definedName name="進度_3" localSheetId="1">{"傳各位表單.xls","Sheet1"}</definedName>
    <definedName name="進度_3">{"傳各位表單.xls","Sheet1"}</definedName>
    <definedName name="進度_4" localSheetId="0">{"傳各位表單.xls","Sheet1"}</definedName>
    <definedName name="進度_4" localSheetId="1">{"傳各位表單.xls","Sheet1"}</definedName>
    <definedName name="進度_4">{"傳各位表單.xls","Sheet1"}</definedName>
    <definedName name="進度表" localSheetId="0" hidden="1">#REF!</definedName>
    <definedName name="進度表" localSheetId="1" hidden="1">#REF!</definedName>
    <definedName name="進度表" hidden="1">#REF!</definedName>
    <definedName name="苛" localSheetId="0">#REF!</definedName>
    <definedName name="苛" localSheetId="1">#REF!</definedName>
    <definedName name="苛">#REF!</definedName>
    <definedName name="老大哥" localSheetId="0">#REF!</definedName>
    <definedName name="老大哥" localSheetId="1">#REF!</definedName>
    <definedName name="老大哥">#REF!</definedName>
    <definedName name="林" localSheetId="0">#REF!</definedName>
    <definedName name="林" localSheetId="1">#REF!</definedName>
    <definedName name="林">#REF!</definedName>
    <definedName name="明白" localSheetId="0">#REF!</definedName>
    <definedName name="明白" localSheetId="1">#REF!</definedName>
    <definedName name="明白">#REF!</definedName>
    <definedName name="品" localSheetId="0">#REF!</definedName>
    <definedName name="品" localSheetId="1">#REF!</definedName>
    <definedName name="品">#REF!</definedName>
    <definedName name="人_數" localSheetId="0">#REF!</definedName>
    <definedName name="人_數" localSheetId="1">#REF!</definedName>
    <definedName name="人_數">#REF!</definedName>
    <definedName name="人才辈出" localSheetId="0">#REF!</definedName>
    <definedName name="人才辈出" localSheetId="1">#REF!</definedName>
    <definedName name="人才辈出">#REF!</definedName>
    <definedName name="入" localSheetId="0">#REF!</definedName>
    <definedName name="入" localSheetId="1">#REF!</definedName>
    <definedName name="入">#REF!</definedName>
    <definedName name="入库单" localSheetId="0">#REF!</definedName>
    <definedName name="入库单" localSheetId="1">#REF!</definedName>
    <definedName name="入库单">#REF!</definedName>
    <definedName name="上" localSheetId="0">#REF!</definedName>
    <definedName name="上" localSheetId="1">#REF!</definedName>
    <definedName name="上">#REF!</definedName>
    <definedName name="實報" localSheetId="0">VLOOKUP(#REF!,Capex!加班明細,6,0)</definedName>
    <definedName name="實報" localSheetId="1">VLOOKUP(#REF!,Volume!加班明細,6,0)</definedName>
    <definedName name="實報">VLOOKUP(#REF!,加班明細,6,0)</definedName>
    <definedName name="事在人为" localSheetId="0">#REF!</definedName>
    <definedName name="事在人为" localSheetId="1">#REF!</definedName>
    <definedName name="事在人为">#REF!</definedName>
    <definedName name="是" localSheetId="0">#REF!</definedName>
    <definedName name="是" localSheetId="1">#REF!</definedName>
    <definedName name="是">#REF!</definedName>
    <definedName name="萬" localSheetId="0">{"傳各位表單.xls","Sheet1"}</definedName>
    <definedName name="萬" localSheetId="1">{"傳各位表單.xls","Sheet1"}</definedName>
    <definedName name="萬">{"傳各位表單.xls","Sheet1"}</definedName>
    <definedName name="萬_1" localSheetId="0">{"傳各位表單.xls","Sheet1"}</definedName>
    <definedName name="萬_1" localSheetId="1">{"傳各位表單.xls","Sheet1"}</definedName>
    <definedName name="萬_1">{"傳各位表單.xls","Sheet1"}</definedName>
    <definedName name="萬_2" localSheetId="0">{"傳各位表單.xls","Sheet1"}</definedName>
    <definedName name="萬_2" localSheetId="1">{"傳各位表單.xls","Sheet1"}</definedName>
    <definedName name="萬_2">{"傳各位表單.xls","Sheet1"}</definedName>
    <definedName name="萬_3" localSheetId="0">{"傳各位表單.xls","Sheet1"}</definedName>
    <definedName name="萬_3" localSheetId="1">{"傳各位表單.xls","Sheet1"}</definedName>
    <definedName name="萬_3">{"傳各位表單.xls","Sheet1"}</definedName>
    <definedName name="萬_4" localSheetId="0">{"傳各位表單.xls","Sheet1"}</definedName>
    <definedName name="萬_4" localSheetId="1">{"傳各位表單.xls","Sheet1"}</definedName>
    <definedName name="萬_4">{"傳各位表單.xls","Sheet1"}</definedName>
    <definedName name="銷售額" localSheetId="0">{"傳各位表單.xls","Sheet1"}</definedName>
    <definedName name="銷售額" localSheetId="1">{"傳各位表單.xls","Sheet1"}</definedName>
    <definedName name="銷售額">{"傳各位表單.xls","Sheet1"}</definedName>
    <definedName name="銷售額_1" localSheetId="0">{"傳各位表單.xls","Sheet1"}</definedName>
    <definedName name="銷售額_1" localSheetId="1">{"傳各位表單.xls","Sheet1"}</definedName>
    <definedName name="銷售額_1">{"傳各位表單.xls","Sheet1"}</definedName>
    <definedName name="銷售額_2" localSheetId="0">{"傳各位表單.xls","Sheet1"}</definedName>
    <definedName name="銷售額_2" localSheetId="1">{"傳各位表單.xls","Sheet1"}</definedName>
    <definedName name="銷售額_2">{"傳各位表單.xls","Sheet1"}</definedName>
    <definedName name="銷售額_3" localSheetId="0">{"傳各位表單.xls","Sheet1"}</definedName>
    <definedName name="銷售額_3" localSheetId="1">{"傳各位表單.xls","Sheet1"}</definedName>
    <definedName name="銷售額_3">{"傳各位表單.xls","Sheet1"}</definedName>
    <definedName name="銷售額_4" localSheetId="0">{"傳各位表單.xls","Sheet1"}</definedName>
    <definedName name="銷售額_4" localSheetId="1">{"傳各位表單.xls","Sheet1"}</definedName>
    <definedName name="銷售額_4">{"傳各位表單.xls","Sheet1"}</definedName>
    <definedName name="新" localSheetId="0">#REF!</definedName>
    <definedName name="新" localSheetId="1">#REF!</definedName>
    <definedName name="新">#REF!</definedName>
    <definedName name="徐正平" localSheetId="0">#REF!</definedName>
    <definedName name="徐正平" localSheetId="1">#REF!</definedName>
    <definedName name="徐正平">#REF!</definedName>
    <definedName name="楊烈" localSheetId="0">#REF!</definedName>
    <definedName name="楊烈" localSheetId="1">#REF!</definedName>
    <definedName name="楊烈">#REF!</definedName>
    <definedName name="要" localSheetId="0">#REF!</definedName>
    <definedName name="要" localSheetId="1">#REF!</definedName>
    <definedName name="要">#REF!</definedName>
    <definedName name="一成都市" localSheetId="0">#REF!</definedName>
    <definedName name="一成都市" localSheetId="1">#REF!</definedName>
    <definedName name="一成都市">#REF!</definedName>
    <definedName name="一劳永逸" localSheetId="0">#REF!</definedName>
    <definedName name="一劳永逸" localSheetId="1">#REF!</definedName>
    <definedName name="一劳永逸">#REF!</definedName>
    <definedName name="一切从实际出发" localSheetId="0">#REF!</definedName>
    <definedName name="一切从实际出发" localSheetId="1">#REF!</definedName>
    <definedName name="一切从实际出发">#REF!</definedName>
    <definedName name="移" localSheetId="0">#REF!</definedName>
    <definedName name="移" localSheetId="1">#REF!</definedName>
    <definedName name="移">#REF!</definedName>
    <definedName name="有" localSheetId="0">#REF!</definedName>
    <definedName name="有" localSheetId="1">#REF!</definedName>
    <definedName name="有">#REF!</definedName>
    <definedName name="原料出库">#REF!</definedName>
    <definedName name="在在" localSheetId="0">#REF!</definedName>
    <definedName name="在在" localSheetId="1">#REF!</definedName>
    <definedName name="在在">#REF!</definedName>
    <definedName name="在职" localSheetId="0">#REF!</definedName>
    <definedName name="在职" localSheetId="1">#REF!</definedName>
    <definedName name="在职">#REF!</definedName>
    <definedName name="站名" localSheetId="0">#REF!</definedName>
    <definedName name="站名" localSheetId="1">#REF!</definedName>
    <definedName name="站名">#REF!</definedName>
    <definedName name="組織架構2" localSheetId="0">#REF!</definedName>
    <definedName name="組織架構2" localSheetId="1">#REF!</definedName>
    <definedName name="組織架構2">#REF!</definedName>
    <definedName name="作___業___內___容" localSheetId="0">#REF!</definedName>
    <definedName name="作___業___內___容" localSheetId="1">#REF!</definedName>
    <definedName name="作___業___內___容">#REF!</definedName>
    <definedName name="作業內容" localSheetId="0">#REF!</definedName>
    <definedName name="作業內容" localSheetId="1">#REF!</definedName>
    <definedName name="作業內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" l="1"/>
  <c r="V13" i="1"/>
  <c r="V16" i="1"/>
  <c r="V17" i="1"/>
  <c r="V19" i="1"/>
  <c r="V21" i="1"/>
  <c r="V22" i="1"/>
  <c r="V23" i="1"/>
  <c r="V24" i="1"/>
  <c r="V25" i="1"/>
  <c r="V26" i="1"/>
  <c r="V29" i="1"/>
  <c r="V30" i="1"/>
  <c r="V31" i="1"/>
  <c r="V32" i="1"/>
  <c r="V33" i="1"/>
  <c r="V34" i="1"/>
  <c r="V36" i="1"/>
  <c r="V37" i="1"/>
  <c r="V38" i="1"/>
  <c r="V39" i="1"/>
  <c r="V40" i="1"/>
  <c r="V41" i="1"/>
  <c r="V42" i="1"/>
  <c r="V44" i="1"/>
  <c r="V45" i="1"/>
  <c r="V46" i="1"/>
  <c r="V47" i="1"/>
  <c r="V48" i="1"/>
  <c r="V49" i="1"/>
  <c r="V50" i="1"/>
  <c r="V51" i="1"/>
  <c r="V52" i="1"/>
  <c r="V53" i="1"/>
  <c r="V54" i="1"/>
  <c r="V55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80" i="1"/>
  <c r="V82" i="1"/>
  <c r="V83" i="1"/>
  <c r="V86" i="1"/>
  <c r="V87" i="1"/>
  <c r="V88" i="1"/>
  <c r="AF82" i="4"/>
  <c r="AF81" i="4"/>
  <c r="AF80" i="4"/>
  <c r="AF79" i="4"/>
  <c r="AF78" i="4"/>
  <c r="AF77" i="4"/>
  <c r="AE76" i="4"/>
  <c r="AD76" i="4"/>
  <c r="AC76" i="4"/>
  <c r="AB76" i="4"/>
  <c r="AA76" i="4"/>
  <c r="Z76" i="4"/>
  <c r="Y76" i="4"/>
  <c r="X76" i="4"/>
  <c r="W76" i="4"/>
  <c r="V76" i="4"/>
  <c r="U76" i="4"/>
  <c r="AF75" i="4"/>
  <c r="AF74" i="4"/>
  <c r="AF73" i="4"/>
  <c r="AF72" i="4"/>
  <c r="AF71" i="4"/>
  <c r="AF70" i="4"/>
  <c r="AF69" i="4"/>
  <c r="AF68" i="4"/>
  <c r="AF67" i="4"/>
  <c r="AF66" i="4"/>
  <c r="AE65" i="4"/>
  <c r="AD65" i="4"/>
  <c r="AC65" i="4"/>
  <c r="AB65" i="4"/>
  <c r="AA65" i="4"/>
  <c r="Z65" i="4"/>
  <c r="Y65" i="4"/>
  <c r="X65" i="4"/>
  <c r="W65" i="4"/>
  <c r="V65" i="4"/>
  <c r="U65" i="4"/>
  <c r="AE64" i="4"/>
  <c r="AD64" i="4"/>
  <c r="AC64" i="4"/>
  <c r="AB64" i="4"/>
  <c r="AA64" i="4"/>
  <c r="Z64" i="4"/>
  <c r="Y64" i="4"/>
  <c r="X64" i="4"/>
  <c r="W64" i="4"/>
  <c r="V64" i="4"/>
  <c r="U64" i="4"/>
  <c r="AF63" i="4"/>
  <c r="AE62" i="4"/>
  <c r="AD62" i="4"/>
  <c r="AC62" i="4"/>
  <c r="AB62" i="4"/>
  <c r="AA62" i="4"/>
  <c r="Z62" i="4"/>
  <c r="Y62" i="4"/>
  <c r="X62" i="4"/>
  <c r="W62" i="4"/>
  <c r="V62" i="4"/>
  <c r="U62" i="4"/>
  <c r="T62" i="4"/>
  <c r="AF61" i="4"/>
  <c r="AE60" i="4"/>
  <c r="AD60" i="4"/>
  <c r="AC60" i="4"/>
  <c r="AB60" i="4"/>
  <c r="AA60" i="4"/>
  <c r="Z60" i="4"/>
  <c r="Y60" i="4"/>
  <c r="X60" i="4"/>
  <c r="W60" i="4"/>
  <c r="V60" i="4"/>
  <c r="U60" i="4"/>
  <c r="T60" i="4"/>
  <c r="AE59" i="4"/>
  <c r="AD59" i="4"/>
  <c r="AC59" i="4"/>
  <c r="AB59" i="4"/>
  <c r="AA59" i="4"/>
  <c r="Z59" i="4"/>
  <c r="Y59" i="4"/>
  <c r="X59" i="4"/>
  <c r="W59" i="4"/>
  <c r="V59" i="4"/>
  <c r="U59" i="4"/>
  <c r="T59" i="4"/>
  <c r="AE58" i="4"/>
  <c r="AD58" i="4"/>
  <c r="AC58" i="4"/>
  <c r="AB58" i="4"/>
  <c r="AA58" i="4"/>
  <c r="Z58" i="4"/>
  <c r="Y58" i="4"/>
  <c r="X58" i="4"/>
  <c r="W58" i="4"/>
  <c r="V58" i="4"/>
  <c r="U58" i="4"/>
  <c r="T58" i="4"/>
  <c r="AF57" i="4"/>
  <c r="AF56" i="4"/>
  <c r="AE55" i="4"/>
  <c r="AD55" i="4"/>
  <c r="AC55" i="4"/>
  <c r="AB55" i="4"/>
  <c r="AA55" i="4"/>
  <c r="Z55" i="4"/>
  <c r="Y55" i="4"/>
  <c r="X55" i="4"/>
  <c r="W55" i="4"/>
  <c r="V55" i="4"/>
  <c r="U55" i="4"/>
  <c r="T55" i="4"/>
  <c r="AE54" i="4"/>
  <c r="AD54" i="4"/>
  <c r="AC54" i="4"/>
  <c r="AB54" i="4"/>
  <c r="AA54" i="4"/>
  <c r="Z54" i="4"/>
  <c r="Y54" i="4"/>
  <c r="X54" i="4"/>
  <c r="W54" i="4"/>
  <c r="V54" i="4"/>
  <c r="U54" i="4"/>
  <c r="T54" i="4"/>
  <c r="AE53" i="4"/>
  <c r="AD53" i="4"/>
  <c r="AC53" i="4"/>
  <c r="AB53" i="4"/>
  <c r="AA53" i="4"/>
  <c r="Z53" i="4"/>
  <c r="Y53" i="4"/>
  <c r="X53" i="4"/>
  <c r="W53" i="4"/>
  <c r="V53" i="4"/>
  <c r="U53" i="4"/>
  <c r="T53" i="4"/>
  <c r="AE52" i="4"/>
  <c r="AD52" i="4"/>
  <c r="AC52" i="4"/>
  <c r="AB52" i="4"/>
  <c r="AA52" i="4"/>
  <c r="Z52" i="4"/>
  <c r="Y52" i="4"/>
  <c r="X52" i="4"/>
  <c r="W52" i="4"/>
  <c r="V52" i="4"/>
  <c r="U52" i="4"/>
  <c r="T52" i="4"/>
  <c r="AE51" i="4"/>
  <c r="AD51" i="4"/>
  <c r="AC51" i="4"/>
  <c r="AB51" i="4"/>
  <c r="AA51" i="4"/>
  <c r="Z51" i="4"/>
  <c r="Y51" i="4"/>
  <c r="X51" i="4"/>
  <c r="W51" i="4"/>
  <c r="V51" i="4"/>
  <c r="U51" i="4"/>
  <c r="T51" i="4"/>
  <c r="AE50" i="4"/>
  <c r="AD50" i="4"/>
  <c r="AC50" i="4"/>
  <c r="AB50" i="4"/>
  <c r="AA50" i="4"/>
  <c r="Z50" i="4"/>
  <c r="Y50" i="4"/>
  <c r="X50" i="4"/>
  <c r="W50" i="4"/>
  <c r="V50" i="4"/>
  <c r="U50" i="4"/>
  <c r="T50" i="4"/>
  <c r="AF49" i="4"/>
  <c r="AE48" i="4"/>
  <c r="AD48" i="4"/>
  <c r="AC48" i="4"/>
  <c r="AB48" i="4"/>
  <c r="AA48" i="4"/>
  <c r="Z48" i="4"/>
  <c r="Y48" i="4"/>
  <c r="X48" i="4"/>
  <c r="W48" i="4"/>
  <c r="V48" i="4"/>
  <c r="U48" i="4"/>
  <c r="AE47" i="4"/>
  <c r="AD47" i="4"/>
  <c r="AC47" i="4"/>
  <c r="AB47" i="4"/>
  <c r="AA47" i="4"/>
  <c r="Z47" i="4"/>
  <c r="Y47" i="4"/>
  <c r="X47" i="4"/>
  <c r="W47" i="4"/>
  <c r="V47" i="4"/>
  <c r="U47" i="4"/>
  <c r="T47" i="4"/>
  <c r="AE46" i="4"/>
  <c r="AD46" i="4"/>
  <c r="AC46" i="4"/>
  <c r="AB46" i="4"/>
  <c r="AA46" i="4"/>
  <c r="Z46" i="4"/>
  <c r="Y46" i="4"/>
  <c r="X46" i="4"/>
  <c r="W46" i="4"/>
  <c r="V46" i="4"/>
  <c r="U46" i="4"/>
  <c r="AF45" i="4"/>
  <c r="AF44" i="4"/>
  <c r="AF43" i="4"/>
  <c r="AF42" i="4"/>
  <c r="AE41" i="4"/>
  <c r="AD41" i="4"/>
  <c r="AC41" i="4"/>
  <c r="AB41" i="4"/>
  <c r="AA41" i="4"/>
  <c r="Z41" i="4"/>
  <c r="Y41" i="4"/>
  <c r="X41" i="4"/>
  <c r="W41" i="4"/>
  <c r="V41" i="4"/>
  <c r="U41" i="4"/>
  <c r="T41" i="4"/>
  <c r="W40" i="4"/>
  <c r="AF39" i="4"/>
  <c r="AF38" i="4"/>
  <c r="AE37" i="4"/>
  <c r="AD37" i="4"/>
  <c r="AC37" i="4"/>
  <c r="AB37" i="4"/>
  <c r="AA37" i="4"/>
  <c r="Z37" i="4"/>
  <c r="Y37" i="4"/>
  <c r="X37" i="4"/>
  <c r="W37" i="4"/>
  <c r="V37" i="4"/>
  <c r="U37" i="4"/>
  <c r="T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E23" i="4"/>
  <c r="AD23" i="4"/>
  <c r="AC23" i="4"/>
  <c r="AB23" i="4"/>
  <c r="AA23" i="4"/>
  <c r="Z23" i="4"/>
  <c r="Y23" i="4"/>
  <c r="X23" i="4"/>
  <c r="W23" i="4"/>
  <c r="V23" i="4"/>
  <c r="U23" i="4"/>
  <c r="T23" i="4"/>
  <c r="AE22" i="4"/>
  <c r="AD22" i="4"/>
  <c r="AC22" i="4"/>
  <c r="AB22" i="4"/>
  <c r="AA22" i="4"/>
  <c r="Z22" i="4"/>
  <c r="Y22" i="4"/>
  <c r="X22" i="4"/>
  <c r="W22" i="4"/>
  <c r="V22" i="4"/>
  <c r="U22" i="4"/>
  <c r="T22" i="4"/>
  <c r="AF21" i="4"/>
  <c r="AF20" i="4"/>
  <c r="AF19" i="4"/>
  <c r="AE18" i="4"/>
  <c r="AD18" i="4"/>
  <c r="AC18" i="4"/>
  <c r="AB18" i="4"/>
  <c r="AA18" i="4"/>
  <c r="Z18" i="4"/>
  <c r="Y18" i="4"/>
  <c r="X18" i="4"/>
  <c r="W18" i="4"/>
  <c r="V18" i="4"/>
  <c r="U18" i="4"/>
  <c r="T18" i="4"/>
  <c r="AE17" i="4"/>
  <c r="AD17" i="4"/>
  <c r="AC17" i="4"/>
  <c r="AB17" i="4"/>
  <c r="AA17" i="4"/>
  <c r="Z17" i="4"/>
  <c r="Y17" i="4"/>
  <c r="X17" i="4"/>
  <c r="W17" i="4"/>
  <c r="V17" i="4"/>
  <c r="U17" i="4"/>
  <c r="T17" i="4"/>
  <c r="AF16" i="4"/>
  <c r="AF15" i="4"/>
  <c r="AE14" i="4"/>
  <c r="AD14" i="4"/>
  <c r="AC14" i="4"/>
  <c r="AB14" i="4"/>
  <c r="AA14" i="4"/>
  <c r="Z14" i="4"/>
  <c r="Y14" i="4"/>
  <c r="X14" i="4"/>
  <c r="W14" i="4"/>
  <c r="V14" i="4"/>
  <c r="AE13" i="4"/>
  <c r="AD13" i="4"/>
  <c r="AC13" i="4"/>
  <c r="AB13" i="4"/>
  <c r="AA13" i="4"/>
  <c r="Z13" i="4"/>
  <c r="Y13" i="4"/>
  <c r="X13" i="4"/>
  <c r="W13" i="4"/>
  <c r="V13" i="4"/>
  <c r="U13" i="4"/>
  <c r="T13" i="4"/>
  <c r="AF12" i="4"/>
  <c r="AE11" i="4"/>
  <c r="AD11" i="4"/>
  <c r="AC11" i="4"/>
  <c r="AB11" i="4"/>
  <c r="AA11" i="4"/>
  <c r="Z11" i="4"/>
  <c r="Y11" i="4"/>
  <c r="X11" i="4"/>
  <c r="W11" i="4"/>
  <c r="V11" i="4"/>
  <c r="U11" i="4"/>
  <c r="T11" i="4"/>
  <c r="AE10" i="4"/>
  <c r="AD10" i="4"/>
  <c r="AC10" i="4"/>
  <c r="AB10" i="4"/>
  <c r="AA10" i="4"/>
  <c r="Z10" i="4"/>
  <c r="Y10" i="4"/>
  <c r="X10" i="4"/>
  <c r="W10" i="4"/>
  <c r="V10" i="4"/>
  <c r="U10" i="4"/>
  <c r="T10" i="4"/>
  <c r="S2" i="1"/>
  <c r="T2" i="1" s="1"/>
  <c r="T3" i="1"/>
  <c r="S88" i="1"/>
  <c r="S87" i="1"/>
  <c r="S86" i="1"/>
  <c r="U85" i="1"/>
  <c r="V85" i="1" s="1"/>
  <c r="S85" i="1"/>
  <c r="U84" i="1"/>
  <c r="V84" i="1" s="1"/>
  <c r="S84" i="1"/>
  <c r="S83" i="1"/>
  <c r="S82" i="1"/>
  <c r="U81" i="1"/>
  <c r="V81" i="1" s="1"/>
  <c r="S81" i="1"/>
  <c r="U80" i="1"/>
  <c r="S80" i="1"/>
  <c r="U79" i="1"/>
  <c r="V79" i="1" s="1"/>
  <c r="S79" i="1"/>
  <c r="U78" i="1"/>
  <c r="V78" i="1" s="1"/>
  <c r="S78" i="1"/>
  <c r="U77" i="1"/>
  <c r="V77" i="1" s="1"/>
  <c r="S77" i="1"/>
  <c r="U76" i="1"/>
  <c r="V76" i="1" s="1"/>
  <c r="S76" i="1"/>
  <c r="S75" i="1"/>
  <c r="S74" i="1"/>
  <c r="U73" i="1"/>
  <c r="V73" i="1" s="1"/>
  <c r="S73" i="1"/>
  <c r="U72" i="1"/>
  <c r="V72" i="1" s="1"/>
  <c r="S72" i="1"/>
  <c r="U71" i="1"/>
  <c r="V71" i="1" s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T57" i="1"/>
  <c r="S57" i="1"/>
  <c r="T56" i="1"/>
  <c r="S56" i="1"/>
  <c r="S55" i="1"/>
  <c r="T55" i="1" s="1"/>
  <c r="S54" i="1"/>
  <c r="T54" i="1" s="1"/>
  <c r="S53" i="1"/>
  <c r="T53" i="1" s="1"/>
  <c r="S52" i="1"/>
  <c r="T52" i="1" s="1"/>
  <c r="S51" i="1"/>
  <c r="T51" i="1" s="1"/>
  <c r="S50" i="1"/>
  <c r="T50" i="1" s="1"/>
  <c r="S48" i="1"/>
  <c r="T48" i="1" s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U28" i="1"/>
  <c r="V28" i="1" s="1"/>
  <c r="S28" i="1"/>
  <c r="U27" i="1"/>
  <c r="V27" i="1" s="1"/>
  <c r="S27" i="1"/>
  <c r="U26" i="1"/>
  <c r="S26" i="1"/>
  <c r="U25" i="1"/>
  <c r="S25" i="1"/>
  <c r="S24" i="1"/>
  <c r="Q23" i="1"/>
  <c r="T22" i="1"/>
  <c r="S22" i="1"/>
  <c r="T21" i="1"/>
  <c r="S21" i="1"/>
  <c r="S20" i="1"/>
  <c r="U18" i="1"/>
  <c r="V18" i="1" s="1"/>
  <c r="S18" i="1"/>
  <c r="U17" i="1"/>
  <c r="S17" i="1"/>
  <c r="T17" i="1" s="1"/>
  <c r="S16" i="1"/>
  <c r="S15" i="1"/>
  <c r="U14" i="1"/>
  <c r="V14" i="1" s="1"/>
  <c r="S14" i="1"/>
  <c r="S13" i="1"/>
  <c r="S12" i="1"/>
  <c r="S11" i="1"/>
  <c r="S10" i="1"/>
  <c r="AF53" i="4" l="1"/>
  <c r="AF62" i="4"/>
  <c r="AF23" i="4"/>
  <c r="AF11" i="4"/>
  <c r="AF37" i="4"/>
  <c r="AF64" i="4"/>
  <c r="AF60" i="4"/>
  <c r="AF14" i="4"/>
  <c r="AF17" i="4"/>
  <c r="AF52" i="4"/>
  <c r="AF46" i="4"/>
  <c r="AF41" i="4"/>
  <c r="AF50" i="4"/>
  <c r="AF55" i="4"/>
  <c r="AF58" i="4"/>
  <c r="AF47" i="4"/>
  <c r="AF76" i="4"/>
  <c r="AF48" i="4"/>
  <c r="AF65" i="4"/>
  <c r="AF59" i="4"/>
  <c r="AF40" i="4"/>
  <c r="AF10" i="4"/>
  <c r="AF51" i="4"/>
  <c r="AF18" i="4"/>
  <c r="AF22" i="4"/>
  <c r="AF13" i="4"/>
  <c r="AF54" i="4"/>
  <c r="T4" i="1"/>
  <c r="U56" i="1"/>
  <c r="U57" i="1"/>
  <c r="T59" i="1"/>
  <c r="T60" i="1"/>
  <c r="S23" i="1"/>
  <c r="T58" i="1"/>
  <c r="T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Aguirre</author>
    <author>Cailine Huang</author>
    <author>tc={9F383899-6BE8-4410-A73D-C462259AD7F3}</author>
    <author>tc={4E94F6BC-CDEA-4E69-9BAC-DD52C47C20B4}</author>
    <author>tc={F9F60E22-DBDA-4D03-BFDA-14F5EF30CD0C}</author>
    <author>tc={6F2C6861-8124-4523-BC02-EB51C4B97C02}</author>
    <author>tc={3E8C9DE1-C9C6-4724-82E2-85D18380E2F6}</author>
    <author>tc={2519E34A-86AA-4B18-9A6D-6BAC88FE5AD4}</author>
  </authors>
  <commentList>
    <comment ref="A12" authorId="0" shapeId="0" xr:uid="{9BF99DE9-242D-468E-A2F3-4C429281D4CA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CHECK with Andrei and the US, and CANDY</t>
        </r>
      </text>
    </comment>
    <comment ref="A13" authorId="0" shapeId="0" xr:uid="{3E6ECF4F-7611-4FB8-92AC-AC908571A30E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WHY is this CAPEX</t>
        </r>
      </text>
    </comment>
    <comment ref="D17" authorId="1" shapeId="0" xr:uid="{6CDBBAFD-C1EA-4201-81D2-AEDF81171434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O17" authorId="1" shapeId="0" xr:uid="{0494D716-2089-457E-A3EB-3AA17171F4A0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P17" authorId="1" shapeId="0" xr:uid="{3A41CA31-45CF-4BC7-B62C-9A2C112D69FB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T17" authorId="1" shapeId="0" xr:uid="{3A02B4FF-0BE5-4355-86E5-E499E658F9BD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based on SOP3 Demand: 1k Pen default/Full+1k box full volume(1K box default: 1GBP cost limit, not to amortize)</t>
        </r>
      </text>
    </comment>
    <comment ref="S18" authorId="0" shapeId="0" xr:uid="{072272CB-CE47-4ADA-816C-C5E2477CC0BD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Without ML 1,194mn GBP</t>
        </r>
      </text>
    </comment>
    <comment ref="T19" authorId="2" shapeId="0" xr:uid="{9F383899-6BE8-4410-A73D-C462259AD7F3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Applicable
Manual line not paid by BAT. Production efficiency gap between manual and auto reviewed and every month. </t>
        </r>
      </text>
    </comment>
    <comment ref="O24" authorId="1" shapeId="0" xr:uid="{F95CAD24-979B-4A9A-8F84-5F946FAE8B29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O25" authorId="1" shapeId="0" xr:uid="{F57AB175-A82C-4E3E-AB67-3E400EA6F099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July'24 BOM Price</t>
        </r>
      </text>
    </comment>
    <comment ref="T25" authorId="1" shapeId="0" xr:uid="{85725A3A-7F82-4F88-A1F2-11ACE04B2B0D}">
      <text>
        <r>
          <rPr>
            <b/>
            <sz val="9"/>
            <color indexed="81"/>
            <rFont val="Tahoma"/>
            <family val="2"/>
          </rPr>
          <t>Based on Forecast from Cameron on May 30th,2024, total volume of 202406-2025:8.89M pcs</t>
        </r>
      </text>
    </comment>
    <comment ref="O26" authorId="1" shapeId="0" xr:uid="{69D82259-9A87-4BBA-9AFB-77AED84B5D88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Sep'24 bom price</t>
        </r>
      </text>
    </comment>
    <comment ref="T26" authorId="1" shapeId="0" xr:uid="{29452A2E-5C40-440A-BF41-E80CFFAC3D7C}">
      <text>
        <r>
          <rPr>
            <b/>
            <sz val="9"/>
            <color indexed="81"/>
            <rFont val="Tahoma"/>
            <family val="2"/>
          </rPr>
          <t>2 years volume</t>
        </r>
      </text>
    </comment>
    <comment ref="T35" authorId="3" shapeId="0" xr:uid="{4E94F6BC-CDEA-4E69-9BAC-DD52C47C20B4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@Roy, please update in Apr.</t>
        </r>
      </text>
    </comment>
    <comment ref="D47" authorId="4" shapeId="0" xr:uid="{F9F60E22-DBDA-4D03-BFDA-14F5EF30CD0C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@Candy Zhang @Roy Zhu </t>
        </r>
      </text>
    </comment>
    <comment ref="C56" authorId="5" shapeId="0" xr:uid="{6F2C6861-8124-4523-BC02-EB51C4B97C02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ODM</t>
        </r>
      </text>
    </comment>
    <comment ref="C57" authorId="6" shapeId="0" xr:uid="{3E8C9DE1-C9C6-4724-82E2-85D18380E2F6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ODM</t>
        </r>
      </text>
    </comment>
    <comment ref="U88" authorId="7" shapeId="0" xr:uid="{2519E34A-86AA-4B18-9A6D-6BAC88FE5AD4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@Daisy Cai  unit cost per USD?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饶云兵</author>
    <author>Angie Huang</author>
    <author>Daniel Aguirre</author>
    <author>Cailine Huang</author>
    <author>tc={1A45DA14-04BB-4D4C-81BB-EB95D5B18E35}</author>
    <author>tc={D9B1B561-6918-45A1-9CC6-CB541907BA13}</author>
    <author>tc={C0577C91-0FCD-4925-87A7-D71A4A08D245}</author>
  </authors>
  <commentList>
    <comment ref="BJ10" authorId="0" shapeId="0" xr:uid="{BBEE30D5-40BB-45E3-A34B-DC62612013D3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V11" authorId="1" shapeId="0" xr:uid="{81B7CDE1-5B26-464E-8C9E-2BAAB78D38E4}">
      <text>
        <r>
          <rPr>
            <b/>
            <sz val="9"/>
            <color indexed="81"/>
            <rFont val="Tahoma"/>
            <family val="2"/>
          </rPr>
          <t>Angie Huang:</t>
        </r>
        <r>
          <rPr>
            <sz val="9"/>
            <color indexed="81"/>
            <rFont val="Tahoma"/>
            <family val="2"/>
          </rPr>
          <t xml:space="preserve">
Prismatic prod. In China till Feb'25, then start production in Indo from Mar'25</t>
        </r>
      </text>
    </comment>
    <comment ref="BJ11" authorId="0" shapeId="0" xr:uid="{EDCE6F84-D931-4B8B-A57A-0186E71BF514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A12" authorId="2" shapeId="0" xr:uid="{BFF93E2D-BF35-4BE0-87E8-D6C92AC399DA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CHECK with Andrei and the US, and CANDY</t>
        </r>
      </text>
    </comment>
    <comment ref="A13" authorId="2" shapeId="0" xr:uid="{FA99A9F2-4392-4EB4-AD7F-7E03791B01F7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WHY is this CAPEX</t>
        </r>
      </text>
    </comment>
    <comment ref="D17" authorId="3" shapeId="0" xr:uid="{C1FB59C9-C949-4C62-B6F4-CB86E24FF695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BJ26" authorId="0" shapeId="0" xr:uid="{905A876F-8F09-424B-BA76-BE9E98B5BC7A}">
      <text>
        <r>
          <rPr>
            <sz val="9"/>
            <color indexed="81"/>
            <rFont val="Arial"/>
            <family val="2"/>
          </rPr>
          <t>Cut off 7/31 inventory 230000pcs</t>
        </r>
      </text>
    </comment>
    <comment ref="BJ32" authorId="0" shapeId="0" xr:uid="{2E2520AB-EDF5-4BDF-9387-CEA8879B4E24}">
      <text>
        <r>
          <rPr>
            <sz val="9"/>
            <color indexed="81"/>
            <rFont val="Arial"/>
            <family val="2"/>
          </rPr>
          <t>Cut off 7/31 inventory 10800pcs</t>
        </r>
      </text>
    </comment>
    <comment ref="BJ38" authorId="0" shapeId="0" xr:uid="{15B922DF-43B3-44BE-B842-15D0A55B10AA}">
      <text>
        <r>
          <rPr>
            <sz val="9"/>
            <color indexed="81"/>
            <rFont val="Arial"/>
            <family val="2"/>
          </rPr>
          <t>Cut off 7/31 inventory 2250000pcs</t>
        </r>
      </text>
    </comment>
    <comment ref="D47" authorId="4" shapeId="0" xr:uid="{1A45DA14-04BB-4D4C-81BB-EB95D5B18E35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@Candy Zhang @Roy Zhu </t>
        </r>
      </text>
    </comment>
    <comment ref="BI54" authorId="0" shapeId="0" xr:uid="{3D558F99-1EB7-4A50-A7A9-5AD8444AAFAC}">
      <text>
        <r>
          <rPr>
            <sz val="9"/>
            <color indexed="81"/>
            <rFont val="宋体"/>
            <family val="3"/>
            <charset val="134"/>
          </rPr>
          <t>the #21 is not approved yet,the QTY push out from May</t>
        </r>
      </text>
    </comment>
    <comment ref="C56" authorId="5" shapeId="0" xr:uid="{D9B1B561-6918-45A1-9CC6-CB541907BA13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ODM</t>
        </r>
      </text>
    </comment>
    <comment ref="C57" authorId="6" shapeId="0" xr:uid="{C0577C91-0FCD-4925-87A7-D71A4A08D245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ODM</t>
        </r>
      </text>
    </comment>
  </commentList>
</comments>
</file>

<file path=xl/sharedStrings.xml><?xml version="1.0" encoding="utf-8"?>
<sst xmlns="http://schemas.openxmlformats.org/spreadsheetml/2006/main" count="1631" uniqueCount="383">
  <si>
    <t>CNY</t>
  </si>
  <si>
    <t>GBP</t>
  </si>
  <si>
    <t>Investment/Liabilities Dashboard</t>
  </si>
  <si>
    <t>New Categories - Vapour</t>
  </si>
  <si>
    <t>USD-GBP</t>
  </si>
  <si>
    <t>RMB-GBP</t>
  </si>
  <si>
    <t>SC update</t>
  </si>
  <si>
    <t>Prpcurement/Finance</t>
  </si>
  <si>
    <t>Actual Shipment Qty</t>
  </si>
  <si>
    <t>Forecast (pls link tab'Summary')</t>
  </si>
  <si>
    <t>BAT Demand Waterfall</t>
  </si>
  <si>
    <t>#</t>
  </si>
  <si>
    <t>Unique Ref Number</t>
  </si>
  <si>
    <t>Project</t>
  </si>
  <si>
    <t>Project Description</t>
  </si>
  <si>
    <t>SC Owner</t>
  </si>
  <si>
    <t>Procurement Owner</t>
  </si>
  <si>
    <t>Portfolio</t>
  </si>
  <si>
    <t>Platform</t>
  </si>
  <si>
    <t>Location</t>
  </si>
  <si>
    <t>Type</t>
  </si>
  <si>
    <t>Portfolio1</t>
  </si>
  <si>
    <t>Tier</t>
  </si>
  <si>
    <t>Supplier</t>
  </si>
  <si>
    <t>Contracting Entity</t>
  </si>
  <si>
    <t>Start Date</t>
  </si>
  <si>
    <t>End Date</t>
  </si>
  <si>
    <t>Investment Quotation</t>
  </si>
  <si>
    <t>Investment Currency</t>
  </si>
  <si>
    <t>Investment (GBP)</t>
  </si>
  <si>
    <t>Committed PO Volume</t>
  </si>
  <si>
    <t>Amortization 
per Unit</t>
  </si>
  <si>
    <t>Y2021</t>
  </si>
  <si>
    <t>Y2022</t>
  </si>
  <si>
    <t>Y2023</t>
  </si>
  <si>
    <t>YTG 2025</t>
  </si>
  <si>
    <t>T2 Product</t>
    <phoneticPr fontId="0" type="noConversion"/>
  </si>
  <si>
    <t>Version</t>
    <phoneticPr fontId="0" type="noConversion"/>
  </si>
  <si>
    <t>Customer</t>
    <phoneticPr fontId="0" type="noConversion"/>
  </si>
  <si>
    <t>SOP Date</t>
    <phoneticPr fontId="0" type="noConversion"/>
  </si>
  <si>
    <t>Product</t>
  </si>
  <si>
    <t>2021</t>
    <phoneticPr fontId="0" type="noConversion"/>
  </si>
  <si>
    <t>2022</t>
  </si>
  <si>
    <t>2023</t>
  </si>
  <si>
    <t>2024</t>
  </si>
  <si>
    <t>RF001_Alto &amp;ePod</t>
  </si>
  <si>
    <t>Alto &amp; ePod</t>
  </si>
  <si>
    <t>APA - Automation Production Agreement</t>
  </si>
  <si>
    <t>Angie Huang</t>
  </si>
  <si>
    <t>Reggie  Zhu</t>
  </si>
  <si>
    <t>Pod</t>
  </si>
  <si>
    <t>Indo</t>
  </si>
  <si>
    <t>Pod Automation
(initial Investment)</t>
  </si>
  <si>
    <t>RCS</t>
  </si>
  <si>
    <t>T1</t>
  </si>
  <si>
    <t>Smoore T1</t>
  </si>
  <si>
    <t>Reynolds</t>
  </si>
  <si>
    <t>USD</t>
  </si>
  <si>
    <t>Volume</t>
  </si>
  <si>
    <t>epod2 pod</t>
    <phoneticPr fontId="0" type="noConversion"/>
  </si>
  <si>
    <t>SOP01.0</t>
    <phoneticPr fontId="0" type="noConversion"/>
  </si>
  <si>
    <t>BAT</t>
    <phoneticPr fontId="0" type="noConversion"/>
  </si>
  <si>
    <t>ePod2 Cartridges</t>
    <phoneticPr fontId="0" type="noConversion"/>
  </si>
  <si>
    <t>RF002_Alto</t>
  </si>
  <si>
    <t>Alto</t>
  </si>
  <si>
    <t>Addendum No.10 - Indonesia</t>
  </si>
  <si>
    <t>Indo Facility</t>
  </si>
  <si>
    <t>ePod 3 Pod</t>
    <phoneticPr fontId="0" type="noConversion"/>
  </si>
  <si>
    <t>SOP01.0</t>
  </si>
  <si>
    <t>ePod3 Cartridges</t>
    <phoneticPr fontId="0" type="noConversion"/>
  </si>
  <si>
    <t>RF003_Alto</t>
  </si>
  <si>
    <t>Alto Pod Investment fee for Inkjet printing</t>
  </si>
  <si>
    <t>Asset - Others</t>
  </si>
  <si>
    <t>-</t>
  </si>
  <si>
    <t>n/a</t>
  </si>
  <si>
    <t>Hestia 1.0</t>
    <phoneticPr fontId="0" type="noConversion"/>
  </si>
  <si>
    <t>Hestia</t>
    <phoneticPr fontId="0" type="noConversion"/>
  </si>
  <si>
    <t>RF004_Alto</t>
  </si>
  <si>
    <t>Device to Indo Equipment move cost</t>
  </si>
  <si>
    <t>Vuse Device( US Alto)</t>
  </si>
  <si>
    <t>Asset - RCS Device line</t>
  </si>
  <si>
    <t>Hestia 1.1</t>
    <phoneticPr fontId="0" type="noConversion"/>
  </si>
  <si>
    <t>Hestia 1.1</t>
  </si>
  <si>
    <t>RF005_Alto</t>
  </si>
  <si>
    <t>Alto Blister Reduction Capex</t>
  </si>
  <si>
    <t>Hestia 1.1 Premium</t>
    <phoneticPr fontId="0" type="noConversion"/>
  </si>
  <si>
    <t>RF006_Alto</t>
  </si>
  <si>
    <t>Prismatic Pod</t>
  </si>
  <si>
    <t>Prismastic China project capex</t>
  </si>
  <si>
    <t>RMB</t>
  </si>
  <si>
    <t>KUMA E-Box ROW</t>
    <phoneticPr fontId="0" type="noConversion"/>
  </si>
  <si>
    <t>Kuma 1K</t>
  </si>
  <si>
    <t>RF007_Epod&amp;Modi</t>
  </si>
  <si>
    <t>Epod&amp;Modi</t>
  </si>
  <si>
    <t>Tax Stamp(Pod2+ePod3 Czech,Germany,Poland&amp;Italy)</t>
    <phoneticPr fontId="32" type="noConversion"/>
  </si>
  <si>
    <t>Susie Su</t>
  </si>
  <si>
    <t>Vuse device(ROW)</t>
  </si>
  <si>
    <t>CN</t>
  </si>
  <si>
    <t>NVT</t>
  </si>
  <si>
    <t>KUMA E-Box NZ</t>
    <phoneticPr fontId="0" type="noConversion"/>
  </si>
  <si>
    <t>Kuma 950</t>
    <phoneticPr fontId="0" type="noConversion"/>
  </si>
  <si>
    <t>RF008_Modi2.0</t>
  </si>
  <si>
    <t>Modi 2.0</t>
  </si>
  <si>
    <t>Automation Flexible Line for Modi 2.0 Platform 1K PEN Default/Full and 1k BOX Full</t>
  </si>
  <si>
    <t>Allan Liang</t>
  </si>
  <si>
    <t>Cailine Huang</t>
  </si>
  <si>
    <t>MD</t>
  </si>
  <si>
    <t>MD 2.0</t>
  </si>
  <si>
    <t>Asset - Modi Line</t>
  </si>
  <si>
    <t>MoDi</t>
  </si>
  <si>
    <t>Kuma Box 2.0</t>
    <phoneticPr fontId="0" type="noConversion"/>
  </si>
  <si>
    <t>RF009_Hestia1.0</t>
  </si>
  <si>
    <t>Hestia 1.0</t>
  </si>
  <si>
    <t>Hestia 1.0 Automation Lines Modification (Modified from ePod3 to Hestia1.0) (1-4 line)</t>
  </si>
  <si>
    <t>Daisy Cai</t>
  </si>
  <si>
    <t>Pod Automation 
(Line Upgrade)</t>
  </si>
  <si>
    <t>KUMA E-Pen 1.0 ROW</t>
    <phoneticPr fontId="0" type="noConversion"/>
  </si>
  <si>
    <t>Kuma Pen 1K</t>
  </si>
  <si>
    <t>RF010_Hestia1.0</t>
  </si>
  <si>
    <t>Hestia1.0 Manual line capex</t>
  </si>
  <si>
    <t>Kuma Pen 2.0</t>
  </si>
  <si>
    <t>RF011_ePod2Pod</t>
  </si>
  <si>
    <t>ePod2 Pod</t>
  </si>
  <si>
    <t>ePod Packer - Included in Hestia</t>
  </si>
  <si>
    <t>Automation - Packing</t>
  </si>
  <si>
    <t>Kuma Pen 950</t>
    <phoneticPr fontId="0" type="noConversion"/>
  </si>
  <si>
    <t>RF012_ePod3Pod</t>
  </si>
  <si>
    <t>ePod3 Pod</t>
  </si>
  <si>
    <t>ePod 3 Automation Modification Capex Amortization (1P)
Modified from ePod2 to ePod3</t>
  </si>
  <si>
    <t>Kuma Pen NZ</t>
  </si>
  <si>
    <t>RF013_Kuma</t>
  </si>
  <si>
    <t>Kuma 1.0</t>
  </si>
  <si>
    <t>KUMA E-ROW Ultra Sonic Machine</t>
  </si>
  <si>
    <t>Lyn Wu</t>
  </si>
  <si>
    <t>Hestia total（include Kuma）</t>
  </si>
  <si>
    <t>Hestia total（include Kuma）</t>
    <phoneticPr fontId="0" type="noConversion"/>
  </si>
  <si>
    <t>RF014_Kuma</t>
  </si>
  <si>
    <t>KUMA E-Pen Laser  welding machine &amp; Kuma E-Pen 1.0 air tightness test machine</t>
  </si>
  <si>
    <t>Mimosa</t>
  </si>
  <si>
    <t>Mimosa</t>
    <phoneticPr fontId="0" type="noConversion"/>
  </si>
  <si>
    <t>RF015_Modi&amp;RCS</t>
  </si>
  <si>
    <t>Modi &amp; RCS</t>
  </si>
  <si>
    <t>CCD&amp;Tax Stamp Machine MD2.0  1K PEN Default Czech/Germany/Poland/Italy/BUL (Machines can be cross-used by both Modi &amp; RCS)</t>
  </si>
  <si>
    <t>Modi</t>
  </si>
  <si>
    <t>ePod 2 Device(Wave 1)</t>
  </si>
  <si>
    <t>ePod2</t>
  </si>
  <si>
    <t>RF016_Sensa</t>
  </si>
  <si>
    <t>Sensa</t>
  </si>
  <si>
    <t>Sensa Manual Line Capex</t>
  </si>
  <si>
    <t>Frank Lin</t>
  </si>
  <si>
    <t>SOP12.1</t>
  </si>
  <si>
    <t>BAT</t>
    <phoneticPr fontId="0" type="noConversion"/>
  </si>
  <si>
    <t>RF017_Sensa</t>
  </si>
  <si>
    <t>Sensa Semi-Auto Line Capex</t>
  </si>
  <si>
    <t>RF018_Modi</t>
  </si>
  <si>
    <t>T&amp;T longterm solution cost
Amortize at Uzbekistan TX500 and DP1500（UZB—乌兹别克斯坦）</t>
  </si>
  <si>
    <t>MD1.0</t>
  </si>
  <si>
    <t>SOP7-2022/8/2</t>
    <phoneticPr fontId="0" type="noConversion"/>
  </si>
  <si>
    <t>ETMI</t>
  </si>
  <si>
    <t>RF019_Modi</t>
  </si>
  <si>
    <t>KZ MODI testing / support for T&amp;T
Amortize at KAZ TX500 and DP1500（KZ—哈萨克斯坦）</t>
  </si>
  <si>
    <t>SOP7-2022/8/2</t>
  </si>
  <si>
    <t>Atomiser</t>
    <phoneticPr fontId="0" type="noConversion"/>
  </si>
  <si>
    <t>RF020_Modi</t>
  </si>
  <si>
    <t>T&amp;T Interim programme of Azerbaijan
Amortize at Azerbaijan 1k/3k/5k product（AZB—阿塞拜疆）</t>
  </si>
  <si>
    <t>SOP10-12/6 236M</t>
  </si>
  <si>
    <t>ePod2+</t>
  </si>
  <si>
    <t>RF021_Modi</t>
  </si>
  <si>
    <t>T&amp;T for Pre-Dispatch Advice --add extra function（UZB—乌兹别克斯坦
KZ—哈萨克斯坦）</t>
  </si>
  <si>
    <t>2023/1/31Core</t>
    <phoneticPr fontId="0" type="noConversion"/>
  </si>
  <si>
    <t>RF022_Modi</t>
  </si>
  <si>
    <t>KZ MODI testing / support for T&amp;T
Amortize at BOX3K&amp;5K KAZ&amp;UZB market（KZ—哈萨克斯坦）</t>
  </si>
  <si>
    <t>SOP2</t>
  </si>
  <si>
    <t>2023/1/31-Core+Sensitivity</t>
    <phoneticPr fontId="0" type="noConversion"/>
  </si>
  <si>
    <t>RF023_Modi</t>
  </si>
  <si>
    <t>AZB T&amp;T longterm solution cost for TX500&amp;DP1500&amp;BOX1K&amp;3K&amp;5K for AZB Market（AZB—阿塞拜疆）</t>
  </si>
  <si>
    <t>2023/1/31-Core+Sensitivity</t>
  </si>
  <si>
    <t>2023/1/31-PO+Production</t>
    <phoneticPr fontId="0" type="noConversion"/>
  </si>
  <si>
    <t>RF024_Modi</t>
  </si>
  <si>
    <t>Custom development
BAT CMO INEXTRACK GS1
Novarator removal CR for AZB
regulation（AZB—阿塞拜疆）</t>
  </si>
  <si>
    <t>ePod 3+ Device</t>
    <phoneticPr fontId="0" type="noConversion"/>
  </si>
  <si>
    <t>ePod3+</t>
  </si>
  <si>
    <t>RF025_Hestia1.1</t>
  </si>
  <si>
    <t>epod2 to Hestia1.1 non-smart</t>
  </si>
  <si>
    <t>Epod Starter Kit</t>
    <phoneticPr fontId="0" type="noConversion"/>
  </si>
  <si>
    <t>Starter Kit</t>
    <phoneticPr fontId="0" type="noConversion"/>
  </si>
  <si>
    <t>RF026_Hestia1.1</t>
  </si>
  <si>
    <t>epod2 to Hestia1.1 smart</t>
  </si>
  <si>
    <t>TBC</t>
  </si>
  <si>
    <t>ePod 3 Device</t>
    <phoneticPr fontId="0" type="noConversion"/>
  </si>
  <si>
    <t>ePod3 descope</t>
    <phoneticPr fontId="0" type="noConversion"/>
  </si>
  <si>
    <t>RF027_Hestia1.0</t>
  </si>
  <si>
    <t>epod2 to Hestia1.0 (5th line)</t>
  </si>
  <si>
    <t>TX500</t>
    <phoneticPr fontId="0" type="noConversion"/>
  </si>
  <si>
    <t>RF028_Kuma</t>
  </si>
  <si>
    <t>Kuma E 2.0 Pen</t>
  </si>
  <si>
    <t>semi-auto for Kuma E 2.0 Pen</t>
  </si>
  <si>
    <t>Device</t>
  </si>
  <si>
    <t>RF029_Kuma</t>
  </si>
  <si>
    <t>Kuma E 2.0 Box</t>
  </si>
  <si>
    <t>semi-auto for Kuma E 2.0 Box</t>
  </si>
  <si>
    <t>RF030_Mimosa</t>
  </si>
  <si>
    <t>semi-auto for Mimosa1.0 + 2 Glue Machine</t>
  </si>
  <si>
    <t>DP1500</t>
    <phoneticPr fontId="0" type="noConversion"/>
  </si>
  <si>
    <t>RF031_Hestia1.0</t>
  </si>
  <si>
    <t>Tax stamp and CCD capex amortization</t>
  </si>
  <si>
    <t>2022/2/3-Core+Sensitivity</t>
    <phoneticPr fontId="0" type="noConversion"/>
  </si>
  <si>
    <t>RF032_Alto</t>
  </si>
  <si>
    <t>Alto tooling(IM tooling for 2p cost reduction)</t>
  </si>
  <si>
    <t>Candy Zhang</t>
  </si>
  <si>
    <t>Tooling</t>
  </si>
  <si>
    <t>T2</t>
  </si>
  <si>
    <t>Smoore T2</t>
  </si>
  <si>
    <t>2022/2/3-Core+Sensitivity</t>
  </si>
  <si>
    <t>2022/2/3-PO+Production</t>
    <phoneticPr fontId="0" type="noConversion"/>
  </si>
  <si>
    <t>RF033_ePod2Pod</t>
  </si>
  <si>
    <t>ePod2 POD</t>
  </si>
  <si>
    <t>Box 800 1.0</t>
    <phoneticPr fontId="0" type="noConversion"/>
  </si>
  <si>
    <t>2022/2/3-PO+Production</t>
  </si>
  <si>
    <t>Modi Box 1K</t>
    <phoneticPr fontId="0" type="noConversion"/>
  </si>
  <si>
    <t>RF034_epod2Device</t>
  </si>
  <si>
    <t>epod 2 Device</t>
  </si>
  <si>
    <t>ePod2 Device - Wave 1-B design</t>
  </si>
  <si>
    <t>NO SHIPMENT</t>
  </si>
  <si>
    <t>Box 800 Default 2.0</t>
    <phoneticPr fontId="0" type="noConversion"/>
  </si>
  <si>
    <t>Box 1K Default</t>
    <phoneticPr fontId="0" type="noConversion"/>
  </si>
  <si>
    <t>RF035_epod2+Device</t>
  </si>
  <si>
    <t>ePod2+ Device</t>
  </si>
  <si>
    <t>Box 800 Full 2.0</t>
    <phoneticPr fontId="0" type="noConversion"/>
  </si>
  <si>
    <t>Box 1K Full</t>
    <phoneticPr fontId="0" type="noConversion"/>
  </si>
  <si>
    <t>RF036_Hestia1.0</t>
  </si>
  <si>
    <t xml:space="preserve"> epod 3 pod Tooling, Included in Hestia Carryover</t>
  </si>
  <si>
    <t>Pen 800 Default 2.0</t>
    <phoneticPr fontId="0" type="noConversion"/>
  </si>
  <si>
    <t>Pen 1K Default</t>
    <phoneticPr fontId="0" type="noConversion"/>
  </si>
  <si>
    <t>RF037_epod3Device</t>
  </si>
  <si>
    <t>epod 3 Device</t>
  </si>
  <si>
    <t>epod 3 device tooling, To be Included in ePod 4+ no risk to flag yet.</t>
  </si>
  <si>
    <t>Pen 800 Full 2.0</t>
    <phoneticPr fontId="0" type="noConversion"/>
  </si>
  <si>
    <t>Pen 1K Full</t>
    <phoneticPr fontId="0" type="noConversion"/>
  </si>
  <si>
    <t>RF038_epod3+Device</t>
  </si>
  <si>
    <t>epod 3+ Device</t>
  </si>
  <si>
    <t>epod 3+ device tooling, To be Included in ePod 4+ no risk to flag yet.</t>
  </si>
  <si>
    <t>Box 3000 1.0</t>
    <phoneticPr fontId="0" type="noConversion"/>
  </si>
  <si>
    <t>Modi Box 3K</t>
    <phoneticPr fontId="0" type="noConversion"/>
  </si>
  <si>
    <t>RF039_Hestia1.0</t>
  </si>
  <si>
    <t>Hestia 1.0 New Tooling + ePod3 Pod Tooling included</t>
  </si>
  <si>
    <t>Box 3K Default</t>
    <phoneticPr fontId="0" type="noConversion"/>
  </si>
  <si>
    <t>RF040_Kuma</t>
  </si>
  <si>
    <t xml:space="preserve">Kuma </t>
  </si>
  <si>
    <t>KUMA E BOX NZ</t>
  </si>
  <si>
    <t>N/A</t>
  </si>
  <si>
    <t>No Hard tool investment</t>
  </si>
  <si>
    <t>Box 3000 Full 2.0</t>
    <phoneticPr fontId="0" type="noConversion"/>
  </si>
  <si>
    <t>SOP01.4</t>
  </si>
  <si>
    <t>Box 3K Full</t>
    <phoneticPr fontId="0" type="noConversion"/>
  </si>
  <si>
    <t>RF041_Kuma</t>
  </si>
  <si>
    <t>Kuma</t>
  </si>
  <si>
    <t>KUMA E BOX ROW</t>
  </si>
  <si>
    <t>Box 5000 1.0</t>
    <phoneticPr fontId="0" type="noConversion"/>
  </si>
  <si>
    <t>SOP1.4</t>
  </si>
  <si>
    <t>Modi Box 5K</t>
    <phoneticPr fontId="0" type="noConversion"/>
  </si>
  <si>
    <t>RF042_Kuma</t>
  </si>
  <si>
    <t>KUMA E-ROW E Pen 1.0</t>
  </si>
  <si>
    <t>Box 5K Default</t>
  </si>
  <si>
    <t>RF043_Modi2.0</t>
  </si>
  <si>
    <t>Vuse Go 2.0 1K Pen Default</t>
  </si>
  <si>
    <t>Johnny Yu</t>
  </si>
  <si>
    <t>Box 5000 Full 2.0</t>
    <phoneticPr fontId="0" type="noConversion"/>
  </si>
  <si>
    <t>Box 5K Full</t>
    <phoneticPr fontId="0" type="noConversion"/>
  </si>
  <si>
    <t>RF044_Modi2.0</t>
  </si>
  <si>
    <t>Vuse Go 2.0  1K Box Default</t>
  </si>
  <si>
    <t>Box 8000 1.0</t>
    <phoneticPr fontId="0" type="noConversion"/>
  </si>
  <si>
    <t>Modi Box 8K</t>
    <phoneticPr fontId="0" type="noConversion"/>
  </si>
  <si>
    <t>RF045_Modi2.0</t>
  </si>
  <si>
    <t>Vuse Go 2.0 1K Box Full</t>
  </si>
  <si>
    <t>RJR</t>
    <phoneticPr fontId="0" type="noConversion"/>
  </si>
  <si>
    <t>Alto Cartridges-CN</t>
    <phoneticPr fontId="0" type="noConversion"/>
  </si>
  <si>
    <t>RF046_Modi2.0</t>
  </si>
  <si>
    <t>Vuse Go 2.0 1K Pen Full</t>
  </si>
  <si>
    <t>Box 8000 Full 2.0</t>
    <phoneticPr fontId="0" type="noConversion"/>
  </si>
  <si>
    <t>Box 8K Full</t>
    <phoneticPr fontId="0" type="noConversion"/>
  </si>
  <si>
    <t>'''''''''</t>
  </si>
  <si>
    <t>'''''''''''''''''''''''''''''''''''''''</t>
  </si>
  <si>
    <t>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</t>
  </si>
  <si>
    <t>RF047_DP1500</t>
  </si>
  <si>
    <t>DP 1500</t>
    <phoneticPr fontId="32" type="noConversion"/>
  </si>
  <si>
    <t>DP 1500 tooling</t>
  </si>
  <si>
    <t>MD 1.0</t>
  </si>
  <si>
    <t>Alto Cartridges-IND</t>
    <phoneticPr fontId="0" type="noConversion"/>
  </si>
  <si>
    <t>RF048_Box1k</t>
  </si>
  <si>
    <t>BOX 1K</t>
  </si>
  <si>
    <t>BOX 1000</t>
  </si>
  <si>
    <t>Alto Device</t>
    <phoneticPr fontId="0" type="noConversion"/>
  </si>
  <si>
    <t>RF049_Modi2.0</t>
  </si>
  <si>
    <t>Vuse Go 2.0 5K Box Full(Include Sensa)</t>
  </si>
  <si>
    <t>Alto bundle kit</t>
    <phoneticPr fontId="0" type="noConversion"/>
  </si>
  <si>
    <t>RJR</t>
  </si>
  <si>
    <t>RF050_Modi2.0</t>
  </si>
  <si>
    <t>Vuse Go 2.0 8K Box Full</t>
  </si>
  <si>
    <t>Alto Pods total (cartridge +bundle kit pod)</t>
  </si>
  <si>
    <t>Alto Pods total (cartridge +bundle kit pod)</t>
    <phoneticPr fontId="0" type="noConversion"/>
  </si>
  <si>
    <t>RF051_Modi2.0</t>
  </si>
  <si>
    <t>Vuse Go 2.0 3K Box Full</t>
  </si>
  <si>
    <t>Prismatic Taste Kit</t>
    <phoneticPr fontId="0" type="noConversion"/>
  </si>
  <si>
    <t>RF052_epod3pod</t>
  </si>
  <si>
    <t>ePod3 Pod tooling</t>
  </si>
  <si>
    <t>Prismatic Pod</t>
    <phoneticPr fontId="0" type="noConversion"/>
  </si>
  <si>
    <t>Prismatic Pods</t>
    <phoneticPr fontId="0" type="noConversion"/>
  </si>
  <si>
    <t>RF053_Alto</t>
  </si>
  <si>
    <t>Alto tooling</t>
  </si>
  <si>
    <t>Prismatic Pods total(cartridge+Taste kit）</t>
  </si>
  <si>
    <t>Prismatic Pods total(cartridge+Taste kit）</t>
    <phoneticPr fontId="0" type="noConversion"/>
  </si>
  <si>
    <t>RF054_Hestia1.1</t>
  </si>
  <si>
    <t>Hestia 1.1 tooling NON-smart unique+ECN</t>
  </si>
  <si>
    <t>Sensa 5K</t>
    <phoneticPr fontId="0" type="noConversion"/>
  </si>
  <si>
    <t>RJR FC_0206</t>
  </si>
  <si>
    <t>Alto 5K Full</t>
    <phoneticPr fontId="0" type="noConversion"/>
  </si>
  <si>
    <t>RF055_Hestia1.1</t>
  </si>
  <si>
    <t>Hestia 1.1 tooling initial smart and commont parts</t>
  </si>
  <si>
    <t>RF056_Hestia1.1</t>
  </si>
  <si>
    <t>Hestia 1.1 tooling incremental</t>
  </si>
  <si>
    <t>Cartridges Total</t>
  </si>
  <si>
    <t>RF057_KumaE2.0</t>
  </si>
  <si>
    <t>Kuma E 2.0</t>
  </si>
  <si>
    <t>Kuma E 2.0 Pen tooling initial</t>
  </si>
  <si>
    <t>Disposable Total</t>
  </si>
  <si>
    <t>RF058_KumaE2.0</t>
  </si>
  <si>
    <t>Kuma E 2.0 Pen tooling incremental</t>
  </si>
  <si>
    <t>RF059_Mimosa1.0</t>
  </si>
  <si>
    <t>Mimosa 1.0 tooling initial</t>
  </si>
  <si>
    <t>RF060_Mimosa1.0</t>
  </si>
  <si>
    <t>Mimosa 1.0 tooling incremental</t>
  </si>
  <si>
    <t>RF061_PrismaticPod</t>
  </si>
  <si>
    <t xml:space="preserve"> China</t>
  </si>
  <si>
    <t>RF062_PrismaticPod</t>
  </si>
  <si>
    <t>Prismatic Pod Indo Black</t>
  </si>
  <si>
    <t>RF063_PrismaticPod</t>
  </si>
  <si>
    <t>Prismatic Pod Indo  white</t>
  </si>
  <si>
    <t>RF064_MimosaSmart</t>
  </si>
  <si>
    <t>Mimosa 1.0 - PCBA Tooling</t>
  </si>
  <si>
    <t>Richard Yang</t>
  </si>
  <si>
    <t>BYD T2</t>
  </si>
  <si>
    <t>RF065_Epod3</t>
  </si>
  <si>
    <t>Epod 3</t>
  </si>
  <si>
    <t>Epod 3 - PCBA Tooling</t>
  </si>
  <si>
    <t>NA</t>
  </si>
  <si>
    <t>RF066_Epod3+</t>
  </si>
  <si>
    <t>Epod 3+</t>
  </si>
  <si>
    <t>Epod 3+ - PCBA Tooling</t>
  </si>
  <si>
    <t>RF067_Hestia1.1</t>
  </si>
  <si>
    <t>Hestia 1.1 - PCBA Tooling</t>
  </si>
  <si>
    <t>RF068_KumaE2.0PenNZ</t>
  </si>
  <si>
    <t>Kuma E 2.0 Pen NZ</t>
  </si>
  <si>
    <t>Kuma E 2.0 Pen NZ - PCBA Tooling</t>
  </si>
  <si>
    <t>RF069_KumaE2.0Box</t>
  </si>
  <si>
    <t>Kuma E 2.0 Box - PCBA Tooling</t>
  </si>
  <si>
    <t>RF070_KumaEMax</t>
  </si>
  <si>
    <t>Kuma E Max</t>
  </si>
  <si>
    <t>Kuma E Max - PCBA Tooling</t>
  </si>
  <si>
    <t>RF071_Aquila-US</t>
  </si>
  <si>
    <t>Aquila-US</t>
  </si>
  <si>
    <t>Aquila-US - PCBA Tooling</t>
  </si>
  <si>
    <t>RF072_PrismaticPod</t>
  </si>
  <si>
    <t>Indo POD T1 transfer Capex</t>
  </si>
  <si>
    <t>RF073_Hestia1.0</t>
  </si>
  <si>
    <t>ePod 2 to Hestia1.0 / ePod compatible line (6th line)</t>
  </si>
  <si>
    <t>Pod Automation</t>
  </si>
  <si>
    <t>Kuma E 2.0 Box Tooling</t>
  </si>
  <si>
    <t>Prismatic Kit</t>
  </si>
  <si>
    <t>Primsmatic Kit VAT/qualification cost</t>
  </si>
  <si>
    <t>Kuma E 2.0 Pen ROW</t>
  </si>
  <si>
    <t>Kuma E 2.0 Pen ROW - PCBA Tooling</t>
  </si>
  <si>
    <t>VEGA</t>
  </si>
  <si>
    <t>Automation CFU Line (ACCRUED)</t>
  </si>
  <si>
    <t>Asset</t>
  </si>
  <si>
    <t>CFU T1</t>
  </si>
  <si>
    <t>Tax Stamp</t>
  </si>
  <si>
    <t>Asset - Tax Stamp</t>
  </si>
  <si>
    <t>VEGA tooling</t>
  </si>
  <si>
    <t>CFU T2</t>
  </si>
  <si>
    <t>Kuma E Max Tooling</t>
  </si>
  <si>
    <t>`</t>
  </si>
  <si>
    <t>Amortization 
per Unit (GBP)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</si>
</sst>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  <numFmt numFmtId="179" formatCode="_-* #,##0_-;\-* #,##0_-;_-* &quot;-&quot;??_-;_-@_-"/>
    <numFmt numFmtId="180" formatCode="_-[$£-809]* #,##0_-;\-[$£-809]* #,##0_-;_-[$£-809]* &quot;-&quot;??_-;_-@_-"/>
    <numFmt numFmtId="181" formatCode="_ [$¥-804]* #,##0.00_ ;_ [$¥-804]* \-#,##0.00_ ;_ [$¥-804]* &quot;-&quot;??_ ;_ @_ "/>
    <numFmt numFmtId="182" formatCode="[$-409]mmm\-yy;@"/>
    <numFmt numFmtId="183" formatCode="[$-F400]h:mm:ss\ AM/PM"/>
    <numFmt numFmtId="184" formatCode="0.000"/>
    <numFmt numFmtId="185" formatCode="_-[$£-809]* #,##0.00_-;\-[$£-809]* #,##0.00_-;_-[$£-809]* &quot;-&quot;??_-;_-@_-"/>
    <numFmt numFmtId="186" formatCode="_(* #,##0_);_(* \(#,##0\);_(* &quot;-&quot;??_);_(@_)"/>
    <numFmt numFmtId="187" formatCode="#,##0,"/>
    <numFmt numFmtId="188" formatCode="_-[$$-409]* #,##0.0000_ ;_-[$$-409]* \-#,##0.0000\ ;_-[$$-409]* &quot;-&quot;??_ ;_-@_ "/>
    <numFmt numFmtId="189" formatCode="#,###,"/>
    <numFmt numFmtId="190" formatCode="_-[$$-409]* #,##0.00_ ;_-[$$-409]* \-#,##0.00\ ;_-[$$-409]* &quot;-&quot;??_ ;_-@_ "/>
    <numFmt numFmtId="191" formatCode="_(&quot;$&quot;* #,##0.0000_);_(&quot;$&quot;* \(#,##0.0000\);_(&quot;$&quot;* &quot;-&quot;??_);_(@_)"/>
    <numFmt numFmtId="192" formatCode="_ [$¥-804]* #,##0.0000_ ;_ [$¥-804]* \-#,##0.0000_ ;_ [$¥-804]* &quot;-&quot;??_ ;_ @_ "/>
    <numFmt numFmtId="193" formatCode="0_);[Red]\(0\)"/>
    <numFmt numFmtId="194" formatCode="#,###.0,"/>
    <numFmt numFmtId="195" formatCode="_ [$¥-804]* #,##0.0000_ ;_ [$¥-804]* \-#,##0.0000_ ;_ [$¥-804]* &quot;-&quot;????_ ;_ @_ "/>
    <numFmt numFmtId="196" formatCode="_(&quot;$&quot;* #,##0_);_(&quot;$&quot;* \(#,##0\);_(&quot;$&quot;* &quot;-&quot;??_);_(@_)"/>
    <numFmt numFmtId="197" formatCode="_ [$¥-804]* #,##0.000_ ;_ [$¥-804]* \-#,##0.000_ ;_ [$¥-804]* &quot;-&quot;??_ ;_ @_ "/>
    <numFmt numFmtId="198" formatCode="[$¥-804]#,##0.0000"/>
    <numFmt numFmtId="199" formatCode="_([$$-409]* #,##0.000_);_([$$-409]* \(#,##0.000\);_([$$-409]* &quot;-&quot;??_);_(@_)"/>
    <numFmt numFmtId="200" formatCode="\$#,##0;\-\$#,##0"/>
    <numFmt numFmtId="201" formatCode="_ * #,##0_ ;_ * \-#,##0_ ;_ * &quot;-&quot;??_ ;_ @_ "/>
    <numFmt numFmtId="202" formatCode="_-[$£-809]* #,##0.0000_-;\-[$£-809]* #,##0.0000_-;_-[$£-809]* &quot;-&quot;??_-;_-@_-"/>
  </numFmts>
  <fonts count="44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4"/>
      <color theme="1"/>
      <name val="等线"/>
      <family val="2"/>
      <scheme val="minor"/>
    </font>
    <font>
      <sz val="28"/>
      <color theme="1"/>
      <name val="等线"/>
      <family val="2"/>
      <scheme val="minor"/>
    </font>
    <font>
      <i/>
      <sz val="14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i/>
      <sz val="14"/>
      <color theme="1"/>
      <name val="等线"/>
      <family val="2"/>
      <scheme val="minor"/>
    </font>
    <font>
      <i/>
      <sz val="10"/>
      <color theme="1"/>
      <name val="等线"/>
      <family val="2"/>
      <scheme val="minor"/>
    </font>
    <font>
      <b/>
      <sz val="20"/>
      <color theme="1"/>
      <name val="等线"/>
      <family val="2"/>
      <scheme val="minor"/>
    </font>
    <font>
      <i/>
      <sz val="11"/>
      <color rgb="FF0070C0"/>
      <name val="等线"/>
      <family val="2"/>
      <scheme val="minor"/>
    </font>
    <font>
      <b/>
      <sz val="14"/>
      <color theme="0"/>
      <name val="等线"/>
      <family val="2"/>
      <scheme val="minor"/>
    </font>
    <font>
      <b/>
      <sz val="12"/>
      <color theme="0"/>
      <name val="等线"/>
      <family val="2"/>
      <scheme val="minor"/>
    </font>
    <font>
      <b/>
      <sz val="10"/>
      <color theme="7"/>
      <name val="Montserrat"/>
    </font>
    <font>
      <b/>
      <sz val="12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0" tint="-0.499984740745262"/>
      <name val="等线"/>
      <family val="2"/>
      <scheme val="minor"/>
    </font>
    <font>
      <b/>
      <sz val="12"/>
      <color theme="0" tint="-0.34998626667073579"/>
      <name val="等线"/>
      <family val="2"/>
      <scheme val="minor"/>
    </font>
    <font>
      <b/>
      <sz val="12"/>
      <color theme="6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theme="0"/>
      <name val="等线"/>
      <family val="2"/>
      <scheme val="minor"/>
    </font>
    <font>
      <i/>
      <sz val="12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8"/>
      <color theme="1"/>
      <name val="微软雅黑"/>
      <family val="2"/>
      <charset val="134"/>
    </font>
    <font>
      <sz val="12"/>
      <name val="等线"/>
      <family val="2"/>
      <scheme val="minor"/>
    </font>
    <font>
      <sz val="8"/>
      <name val="微软雅黑"/>
      <family val="2"/>
      <charset val="134"/>
    </font>
    <font>
      <sz val="8"/>
      <color rgb="FF0000FF"/>
      <name val="微软雅黑"/>
      <family val="2"/>
      <charset val="134"/>
    </font>
    <font>
      <sz val="12"/>
      <color theme="0" tint="-0.499984740745262"/>
      <name val="等线"/>
      <family val="2"/>
      <scheme val="minor"/>
    </font>
    <font>
      <sz val="12"/>
      <color rgb="FF0000FF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color rgb="FF0000FF"/>
      <name val="等线"/>
      <family val="2"/>
      <scheme val="minor"/>
    </font>
    <font>
      <sz val="12"/>
      <color theme="1" tint="0.499984740745262"/>
      <name val="等线"/>
      <family val="2"/>
      <scheme val="minor"/>
    </font>
    <font>
      <sz val="11"/>
      <color rgb="FF00B0F0"/>
      <name val="等线"/>
      <family val="2"/>
      <scheme val="minor"/>
    </font>
    <font>
      <sz val="12"/>
      <color theme="2" tint="-0.249977111117893"/>
      <name val="等线"/>
      <family val="2"/>
      <scheme val="minor"/>
    </font>
    <font>
      <sz val="12"/>
      <color theme="0" tint="-0.34998626667073579"/>
      <name val="等线"/>
      <family val="2"/>
      <scheme val="minor"/>
    </font>
    <font>
      <sz val="12"/>
      <color theme="6"/>
      <name val="等线"/>
      <family val="2"/>
      <scheme val="minor"/>
    </font>
    <font>
      <sz val="9"/>
      <color indexed="8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C216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511703848384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indexed="64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78" fontId="1" fillId="0" borderId="0" applyFont="0" applyFill="0" applyBorder="0" applyAlignment="0" applyProtection="0"/>
    <xf numFmtId="182" fontId="1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182" fontId="16" fillId="0" borderId="0">
      <alignment vertical="center"/>
    </xf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378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179" fontId="3" fillId="0" borderId="0" xfId="2" applyNumberFormat="1" applyFont="1" applyAlignment="1">
      <alignment horizontal="center" vertical="center"/>
    </xf>
    <xf numFmtId="180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179" fontId="3" fillId="0" borderId="0" xfId="2" applyNumberFormat="1" applyFont="1"/>
    <xf numFmtId="178" fontId="4" fillId="0" borderId="0" xfId="2" applyFont="1" applyAlignment="1">
      <alignment horizontal="left" vertical="center"/>
    </xf>
    <xf numFmtId="180" fontId="3" fillId="0" borderId="0" xfId="2" applyNumberFormat="1" applyFont="1" applyAlignment="1">
      <alignment horizontal="center" vertical="center"/>
    </xf>
    <xf numFmtId="9" fontId="3" fillId="0" borderId="0" xfId="2" applyNumberFormat="1" applyFont="1" applyAlignment="1">
      <alignment horizontal="center" vertical="center"/>
    </xf>
    <xf numFmtId="178" fontId="3" fillId="0" borderId="0" xfId="2" applyFont="1" applyAlignment="1">
      <alignment horizontal="left" vertical="center"/>
    </xf>
    <xf numFmtId="178" fontId="5" fillId="0" borderId="0" xfId="2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7" fillId="2" borderId="0" xfId="1" applyFont="1" applyFill="1" applyAlignment="1">
      <alignment horizontal="right" vertical="center"/>
    </xf>
    <xf numFmtId="0" fontId="7" fillId="3" borderId="0" xfId="1" applyFont="1" applyFill="1" applyAlignment="1">
      <alignment horizontal="right" vertical="center"/>
    </xf>
    <xf numFmtId="0" fontId="3" fillId="0" borderId="0" xfId="1" applyFont="1" applyAlignment="1">
      <alignment wrapText="1"/>
    </xf>
    <xf numFmtId="0" fontId="3" fillId="5" borderId="0" xfId="1" applyFont="1" applyFill="1"/>
    <xf numFmtId="179" fontId="8" fillId="0" borderId="0" xfId="2" applyNumberFormat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 vertical="center"/>
    </xf>
    <xf numFmtId="179" fontId="3" fillId="0" borderId="0" xfId="2" applyNumberFormat="1" applyFont="1" applyFill="1" applyAlignment="1">
      <alignment horizontal="center" vertical="center"/>
    </xf>
    <xf numFmtId="178" fontId="3" fillId="0" borderId="0" xfId="2" applyFont="1" applyAlignment="1">
      <alignment horizontal="center" vertical="center"/>
    </xf>
    <xf numFmtId="178" fontId="3" fillId="0" borderId="0" xfId="2" applyFont="1" applyAlignment="1"/>
    <xf numFmtId="0" fontId="11" fillId="7" borderId="0" xfId="1" applyFont="1" applyFill="1" applyAlignment="1">
      <alignment horizontal="center" vertical="center"/>
    </xf>
    <xf numFmtId="182" fontId="2" fillId="7" borderId="0" xfId="4" applyFont="1" applyFill="1" applyAlignment="1">
      <alignment horizontal="center" vertical="center"/>
    </xf>
    <xf numFmtId="179" fontId="2" fillId="7" borderId="0" xfId="2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182" fontId="1" fillId="0" borderId="0" xfId="3">
      <alignment vertical="center"/>
    </xf>
    <xf numFmtId="0" fontId="6" fillId="6" borderId="0" xfId="1" applyFont="1" applyFill="1" applyAlignment="1">
      <alignment horizontal="center" vertical="center"/>
    </xf>
    <xf numFmtId="182" fontId="0" fillId="0" borderId="0" xfId="3" applyFont="1" applyAlignment="1">
      <alignment horizontal="center" vertical="center"/>
    </xf>
    <xf numFmtId="0" fontId="12" fillId="8" borderId="0" xfId="1" applyFont="1" applyFill="1" applyAlignment="1">
      <alignment horizontal="center" vertical="center" wrapText="1"/>
    </xf>
    <xf numFmtId="0" fontId="12" fillId="9" borderId="0" xfId="1" applyFont="1" applyFill="1" applyAlignment="1">
      <alignment horizontal="center" vertical="center" wrapText="1"/>
    </xf>
    <xf numFmtId="0" fontId="12" fillId="8" borderId="2" xfId="1" applyFont="1" applyFill="1" applyBorder="1" applyAlignment="1">
      <alignment horizontal="center" vertical="center" wrapText="1"/>
    </xf>
    <xf numFmtId="182" fontId="13" fillId="8" borderId="3" xfId="4" applyFont="1" applyFill="1" applyBorder="1" applyAlignment="1">
      <alignment horizontal="center" vertical="center" wrapText="1"/>
    </xf>
    <xf numFmtId="0" fontId="12" fillId="8" borderId="4" xfId="1" applyFont="1" applyFill="1" applyBorder="1" applyAlignment="1">
      <alignment horizontal="center" vertical="center" wrapText="1"/>
    </xf>
    <xf numFmtId="0" fontId="12" fillId="5" borderId="0" xfId="1" applyFont="1" applyFill="1" applyAlignment="1">
      <alignment horizontal="center" vertical="center" wrapText="1"/>
    </xf>
    <xf numFmtId="179" fontId="12" fillId="8" borderId="0" xfId="2" applyNumberFormat="1" applyFont="1" applyFill="1" applyBorder="1" applyAlignment="1">
      <alignment horizontal="center" vertical="center" wrapText="1"/>
    </xf>
    <xf numFmtId="180" fontId="12" fillId="8" borderId="0" xfId="1" applyNumberFormat="1" applyFont="1" applyFill="1" applyAlignment="1">
      <alignment horizontal="center" vertical="center" wrapText="1"/>
    </xf>
    <xf numFmtId="179" fontId="12" fillId="10" borderId="0" xfId="2" applyNumberFormat="1" applyFont="1" applyFill="1" applyBorder="1" applyAlignment="1">
      <alignment horizontal="center" vertical="center" wrapText="1"/>
    </xf>
    <xf numFmtId="0" fontId="12" fillId="5" borderId="0" xfId="1" applyFont="1" applyFill="1" applyAlignment="1">
      <alignment wrapText="1"/>
    </xf>
    <xf numFmtId="183" fontId="12" fillId="8" borderId="5" xfId="1" applyNumberFormat="1" applyFont="1" applyFill="1" applyBorder="1" applyAlignment="1">
      <alignment horizontal="center" vertical="center"/>
    </xf>
    <xf numFmtId="182" fontId="12" fillId="11" borderId="5" xfId="1" applyNumberFormat="1" applyFont="1" applyFill="1" applyBorder="1" applyAlignment="1">
      <alignment horizontal="center" vertical="center"/>
    </xf>
    <xf numFmtId="182" fontId="12" fillId="11" borderId="6" xfId="1" applyNumberFormat="1" applyFont="1" applyFill="1" applyBorder="1" applyAlignment="1">
      <alignment horizontal="center" vertical="center"/>
    </xf>
    <xf numFmtId="182" fontId="14" fillId="5" borderId="6" xfId="1" applyNumberFormat="1" applyFont="1" applyFill="1" applyBorder="1" applyAlignment="1">
      <alignment horizontal="center" vertical="center"/>
    </xf>
    <xf numFmtId="182" fontId="14" fillId="11" borderId="6" xfId="1" applyNumberFormat="1" applyFont="1" applyFill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182" fontId="12" fillId="8" borderId="5" xfId="6" applyFont="1" applyFill="1" applyBorder="1" applyAlignment="1">
      <alignment horizontal="center" vertical="center"/>
    </xf>
    <xf numFmtId="182" fontId="12" fillId="8" borderId="5" xfId="6" applyFont="1" applyFill="1" applyBorder="1">
      <alignment vertical="center"/>
    </xf>
    <xf numFmtId="179" fontId="12" fillId="8" borderId="5" xfId="2" quotePrefix="1" applyNumberFormat="1" applyFont="1" applyFill="1" applyBorder="1" applyAlignment="1">
      <alignment horizontal="center" vertical="center"/>
    </xf>
    <xf numFmtId="182" fontId="17" fillId="8" borderId="5" xfId="6" applyFont="1" applyFill="1" applyBorder="1" applyAlignment="1">
      <alignment horizontal="center" vertical="center"/>
    </xf>
    <xf numFmtId="182" fontId="18" fillId="8" borderId="5" xfId="6" applyFont="1" applyFill="1" applyBorder="1" applyAlignment="1">
      <alignment horizontal="center" vertical="center"/>
    </xf>
    <xf numFmtId="182" fontId="19" fillId="8" borderId="5" xfId="6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12" borderId="0" xfId="1" applyFont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22" fillId="0" borderId="0" xfId="1" applyFont="1" applyAlignment="1">
      <alignment horizontal="left" vertical="center" wrapText="1"/>
    </xf>
    <xf numFmtId="17" fontId="15" fillId="0" borderId="0" xfId="1" applyNumberFormat="1" applyFont="1" applyAlignment="1">
      <alignment horizontal="center" vertical="center"/>
    </xf>
    <xf numFmtId="179" fontId="15" fillId="0" borderId="0" xfId="2" applyNumberFormat="1" applyFont="1" applyFill="1" applyBorder="1" applyAlignment="1">
      <alignment horizontal="center" vertical="center"/>
    </xf>
    <xf numFmtId="180" fontId="15" fillId="0" borderId="0" xfId="1" applyNumberFormat="1" applyFont="1" applyAlignment="1">
      <alignment horizontal="center" vertical="center"/>
    </xf>
    <xf numFmtId="179" fontId="15" fillId="0" borderId="0" xfId="2" applyNumberFormat="1" applyFont="1" applyFill="1" applyBorder="1" applyAlignment="1">
      <alignment vertical="center"/>
    </xf>
    <xf numFmtId="184" fontId="15" fillId="0" borderId="0" xfId="1" applyNumberFormat="1" applyFont="1" applyAlignment="1">
      <alignment horizontal="right" vertical="center"/>
    </xf>
    <xf numFmtId="179" fontId="15" fillId="0" borderId="0" xfId="2" applyNumberFormat="1" applyFont="1" applyFill="1" applyBorder="1" applyAlignment="1">
      <alignment horizontal="right" vertical="center"/>
    </xf>
    <xf numFmtId="185" fontId="15" fillId="0" borderId="0" xfId="1" applyNumberFormat="1" applyFont="1" applyAlignment="1">
      <alignment vertical="center"/>
    </xf>
    <xf numFmtId="3" fontId="15" fillId="0" borderId="0" xfId="1" applyNumberFormat="1" applyFont="1" applyAlignment="1">
      <alignment vertical="center"/>
    </xf>
    <xf numFmtId="3" fontId="15" fillId="0" borderId="0" xfId="1" applyNumberFormat="1" applyFont="1" applyAlignment="1">
      <alignment horizontal="center" vertical="center"/>
    </xf>
    <xf numFmtId="186" fontId="15" fillId="5" borderId="0" xfId="1" applyNumberFormat="1" applyFont="1" applyFill="1" applyAlignment="1">
      <alignment vertical="center"/>
    </xf>
    <xf numFmtId="186" fontId="23" fillId="0" borderId="0" xfId="1" applyNumberFormat="1" applyFont="1" applyAlignment="1">
      <alignment vertical="center"/>
    </xf>
    <xf numFmtId="186" fontId="15" fillId="0" borderId="0" xfId="1" applyNumberFormat="1" applyFont="1" applyAlignment="1">
      <alignment vertical="center"/>
    </xf>
    <xf numFmtId="0" fontId="15" fillId="0" borderId="0" xfId="1" applyFont="1" applyAlignment="1">
      <alignment vertical="center"/>
    </xf>
    <xf numFmtId="182" fontId="15" fillId="4" borderId="6" xfId="4" applyFont="1" applyFill="1" applyBorder="1">
      <alignment vertical="center"/>
    </xf>
    <xf numFmtId="0" fontId="24" fillId="13" borderId="7" xfId="0" applyFont="1" applyFill="1" applyBorder="1" applyAlignment="1">
      <alignment vertical="center"/>
    </xf>
    <xf numFmtId="0" fontId="24" fillId="14" borderId="8" xfId="0" applyFont="1" applyFill="1" applyBorder="1" applyAlignment="1">
      <alignment vertical="center"/>
    </xf>
    <xf numFmtId="14" fontId="24" fillId="13" borderId="8" xfId="0" applyNumberFormat="1" applyFont="1" applyFill="1" applyBorder="1" applyAlignment="1">
      <alignment horizontal="left" vertical="center"/>
    </xf>
    <xf numFmtId="182" fontId="25" fillId="4" borderId="6" xfId="4" applyFont="1" applyFill="1" applyBorder="1" applyAlignment="1">
      <alignment horizontal="left" vertical="center"/>
    </xf>
    <xf numFmtId="179" fontId="15" fillId="4" borderId="8" xfId="2" applyNumberFormat="1" applyFont="1" applyFill="1" applyBorder="1" applyAlignment="1">
      <alignment horizontal="center" vertical="center"/>
    </xf>
    <xf numFmtId="187" fontId="15" fillId="4" borderId="8" xfId="4" applyNumberFormat="1" applyFont="1" applyFill="1" applyBorder="1" applyAlignment="1">
      <alignment horizontal="center" vertical="center"/>
    </xf>
    <xf numFmtId="179" fontId="26" fillId="14" borderId="6" xfId="2" applyNumberFormat="1" applyFont="1" applyFill="1" applyBorder="1" applyAlignment="1">
      <alignment horizontal="center" vertical="center"/>
    </xf>
    <xf numFmtId="179" fontId="27" fillId="14" borderId="6" xfId="2" applyNumberFormat="1" applyFont="1" applyFill="1" applyBorder="1" applyAlignment="1">
      <alignment horizontal="center" vertical="center"/>
    </xf>
    <xf numFmtId="188" fontId="15" fillId="0" borderId="0" xfId="1" applyNumberFormat="1" applyFont="1" applyAlignment="1">
      <alignment vertical="center"/>
    </xf>
    <xf numFmtId="186" fontId="15" fillId="15" borderId="0" xfId="1" applyNumberFormat="1" applyFont="1" applyFill="1" applyAlignment="1">
      <alignment vertical="center"/>
    </xf>
    <xf numFmtId="0" fontId="24" fillId="13" borderId="9" xfId="0" applyFont="1" applyFill="1" applyBorder="1" applyAlignment="1">
      <alignment vertical="center"/>
    </xf>
    <xf numFmtId="0" fontId="24" fillId="14" borderId="10" xfId="0" applyFont="1" applyFill="1" applyBorder="1" applyAlignment="1">
      <alignment vertical="center"/>
    </xf>
    <xf numFmtId="0" fontId="15" fillId="0" borderId="0" xfId="1" applyFont="1" applyAlignment="1">
      <alignment horizontal="left" vertical="center" wrapText="1"/>
    </xf>
    <xf numFmtId="184" fontId="15" fillId="0" borderId="0" xfId="1" applyNumberFormat="1" applyFont="1" applyAlignment="1">
      <alignment vertical="center"/>
    </xf>
    <xf numFmtId="182" fontId="15" fillId="0" borderId="6" xfId="4" applyFont="1" applyBorder="1">
      <alignment vertical="center"/>
    </xf>
    <xf numFmtId="182" fontId="25" fillId="14" borderId="6" xfId="4" applyFont="1" applyFill="1" applyBorder="1" applyAlignment="1">
      <alignment horizontal="left" vertical="center"/>
    </xf>
    <xf numFmtId="179" fontId="15" fillId="14" borderId="8" xfId="2" applyNumberFormat="1" applyFont="1" applyFill="1" applyBorder="1" applyAlignment="1">
      <alignment horizontal="center" vertical="center"/>
    </xf>
    <xf numFmtId="187" fontId="15" fillId="14" borderId="8" xfId="4" applyNumberFormat="1" applyFont="1" applyFill="1" applyBorder="1" applyAlignment="1">
      <alignment horizontal="center" vertical="center"/>
    </xf>
    <xf numFmtId="189" fontId="28" fillId="14" borderId="8" xfId="4" applyNumberFormat="1" applyFont="1" applyFill="1" applyBorder="1" applyAlignment="1">
      <alignment horizontal="center" vertical="center"/>
    </xf>
    <xf numFmtId="189" fontId="29" fillId="14" borderId="6" xfId="4" applyNumberFormat="1" applyFont="1" applyFill="1" applyBorder="1" applyAlignment="1">
      <alignment horizontal="center" vertical="center"/>
    </xf>
    <xf numFmtId="190" fontId="15" fillId="0" borderId="0" xfId="1" applyNumberFormat="1" applyFont="1" applyAlignment="1">
      <alignment vertical="center"/>
    </xf>
    <xf numFmtId="3" fontId="23" fillId="0" borderId="0" xfId="1" applyNumberFormat="1" applyFont="1" applyAlignment="1">
      <alignment vertical="center"/>
    </xf>
    <xf numFmtId="3" fontId="23" fillId="0" borderId="0" xfId="1" applyNumberFormat="1" applyFont="1" applyAlignment="1">
      <alignment horizontal="center" vertical="center"/>
    </xf>
    <xf numFmtId="191" fontId="15" fillId="0" borderId="0" xfId="7" applyNumberFormat="1" applyFont="1" applyFill="1" applyBorder="1" applyAlignment="1">
      <alignment vertical="center"/>
    </xf>
    <xf numFmtId="0" fontId="20" fillId="16" borderId="0" xfId="1" applyFont="1" applyFill="1" applyAlignment="1">
      <alignment horizontal="center" vertical="center"/>
    </xf>
    <xf numFmtId="192" fontId="15" fillId="0" borderId="0" xfId="1" applyNumberFormat="1" applyFont="1" applyAlignment="1">
      <alignment vertical="center"/>
    </xf>
    <xf numFmtId="193" fontId="15" fillId="0" borderId="0" xfId="1" applyNumberFormat="1" applyFont="1" applyAlignment="1">
      <alignment horizontal="center" vertical="center"/>
    </xf>
    <xf numFmtId="193" fontId="15" fillId="16" borderId="0" xfId="1" applyNumberFormat="1" applyFont="1" applyFill="1" applyAlignment="1">
      <alignment horizontal="center" vertical="center"/>
    </xf>
    <xf numFmtId="0" fontId="15" fillId="16" borderId="0" xfId="1" applyFont="1" applyFill="1" applyAlignment="1">
      <alignment vertical="center"/>
    </xf>
    <xf numFmtId="182" fontId="15" fillId="16" borderId="6" xfId="4" applyFont="1" applyFill="1" applyBorder="1">
      <alignment vertical="center"/>
    </xf>
    <xf numFmtId="182" fontId="25" fillId="16" borderId="6" xfId="4" applyFont="1" applyFill="1" applyBorder="1" applyAlignment="1">
      <alignment horizontal="left" vertical="center"/>
    </xf>
    <xf numFmtId="179" fontId="15" fillId="16" borderId="8" xfId="2" applyNumberFormat="1" applyFont="1" applyFill="1" applyBorder="1" applyAlignment="1">
      <alignment horizontal="center" vertical="center"/>
    </xf>
    <xf numFmtId="187" fontId="15" fillId="16" borderId="8" xfId="4" applyNumberFormat="1" applyFont="1" applyFill="1" applyBorder="1" applyAlignment="1">
      <alignment horizontal="center" vertical="center"/>
    </xf>
    <xf numFmtId="189" fontId="28" fillId="16" borderId="8" xfId="4" applyNumberFormat="1" applyFont="1" applyFill="1" applyBorder="1" applyAlignment="1">
      <alignment horizontal="center" vertical="center"/>
    </xf>
    <xf numFmtId="189" fontId="29" fillId="16" borderId="6" xfId="4" applyNumberFormat="1" applyFont="1" applyFill="1" applyBorder="1" applyAlignment="1">
      <alignment horizontal="center" vertical="center"/>
    </xf>
    <xf numFmtId="193" fontId="23" fillId="0" borderId="0" xfId="1" applyNumberFormat="1" applyFont="1" applyAlignment="1">
      <alignment horizontal="center" vertical="center"/>
    </xf>
    <xf numFmtId="0" fontId="15" fillId="5" borderId="0" xfId="1" applyFont="1" applyFill="1" applyAlignment="1">
      <alignment vertical="center"/>
    </xf>
    <xf numFmtId="179" fontId="26" fillId="14" borderId="8" xfId="2" applyNumberFormat="1" applyFont="1" applyFill="1" applyBorder="1" applyAlignment="1">
      <alignment horizontal="center" vertical="center"/>
    </xf>
    <xf numFmtId="179" fontId="27" fillId="14" borderId="8" xfId="2" applyNumberFormat="1" applyFont="1" applyFill="1" applyBorder="1" applyAlignment="1">
      <alignment horizontal="center" vertical="center"/>
    </xf>
    <xf numFmtId="179" fontId="15" fillId="15" borderId="0" xfId="2" applyNumberFormat="1" applyFont="1" applyFill="1" applyBorder="1" applyAlignment="1">
      <alignment horizontal="center" vertical="center"/>
    </xf>
    <xf numFmtId="182" fontId="25" fillId="0" borderId="6" xfId="4" applyFont="1" applyBorder="1" applyAlignment="1">
      <alignment horizontal="left" vertical="center"/>
    </xf>
    <xf numFmtId="179" fontId="15" fillId="0" borderId="8" xfId="2" applyNumberFormat="1" applyFont="1" applyBorder="1" applyAlignment="1">
      <alignment horizontal="center" vertical="center"/>
    </xf>
    <xf numFmtId="187" fontId="15" fillId="0" borderId="8" xfId="4" applyNumberFormat="1" applyFont="1" applyBorder="1" applyAlignment="1">
      <alignment horizontal="center" vertical="center"/>
    </xf>
    <xf numFmtId="189" fontId="28" fillId="0" borderId="8" xfId="4" applyNumberFormat="1" applyFont="1" applyBorder="1" applyAlignment="1">
      <alignment horizontal="center" vertical="center"/>
    </xf>
    <xf numFmtId="189" fontId="29" fillId="0" borderId="6" xfId="4" applyNumberFormat="1" applyFont="1" applyBorder="1" applyAlignment="1">
      <alignment horizontal="center" vertical="center"/>
    </xf>
    <xf numFmtId="179" fontId="15" fillId="0" borderId="0" xfId="2" quotePrefix="1" applyNumberFormat="1" applyFont="1" applyFill="1" applyBorder="1" applyAlignment="1">
      <alignment horizontal="center" vertical="center"/>
    </xf>
    <xf numFmtId="3" fontId="23" fillId="5" borderId="0" xfId="1" applyNumberFormat="1" applyFont="1" applyFill="1" applyAlignment="1">
      <alignment vertical="center"/>
    </xf>
    <xf numFmtId="0" fontId="23" fillId="0" borderId="0" xfId="1" applyFont="1" applyAlignment="1">
      <alignment vertical="center"/>
    </xf>
    <xf numFmtId="0" fontId="23" fillId="0" borderId="0" xfId="1" applyFont="1" applyAlignment="1">
      <alignment horizontal="center" vertical="center"/>
    </xf>
    <xf numFmtId="189" fontId="28" fillId="14" borderId="6" xfId="4" applyNumberFormat="1" applyFont="1" applyFill="1" applyBorder="1" applyAlignment="1">
      <alignment horizontal="center" vertical="center"/>
    </xf>
    <xf numFmtId="194" fontId="28" fillId="14" borderId="6" xfId="4" applyNumberFormat="1" applyFont="1" applyFill="1" applyBorder="1" applyAlignment="1">
      <alignment horizontal="center" vertical="center"/>
    </xf>
    <xf numFmtId="189" fontId="25" fillId="14" borderId="6" xfId="4" applyNumberFormat="1" applyFont="1" applyFill="1" applyBorder="1" applyAlignment="1">
      <alignment horizontal="center" vertical="center"/>
    </xf>
    <xf numFmtId="189" fontId="28" fillId="14" borderId="10" xfId="4" applyNumberFormat="1" applyFont="1" applyFill="1" applyBorder="1" applyAlignment="1">
      <alignment horizontal="center" vertical="center"/>
    </xf>
    <xf numFmtId="189" fontId="28" fillId="4" borderId="8" xfId="4" applyNumberFormat="1" applyFont="1" applyFill="1" applyBorder="1" applyAlignment="1">
      <alignment horizontal="center" vertical="center"/>
    </xf>
    <xf numFmtId="189" fontId="29" fillId="4" borderId="6" xfId="4" applyNumberFormat="1" applyFont="1" applyFill="1" applyBorder="1" applyAlignment="1">
      <alignment horizontal="center" vertical="center"/>
    </xf>
    <xf numFmtId="192" fontId="15" fillId="0" borderId="0" xfId="2" applyNumberFormat="1" applyFont="1" applyFill="1" applyBorder="1" applyAlignment="1">
      <alignment vertical="center"/>
    </xf>
    <xf numFmtId="186" fontId="15" fillId="17" borderId="0" xfId="1" applyNumberFormat="1" applyFont="1" applyFill="1" applyAlignment="1">
      <alignment vertical="center"/>
    </xf>
    <xf numFmtId="187" fontId="15" fillId="14" borderId="10" xfId="4" applyNumberFormat="1" applyFont="1" applyFill="1" applyBorder="1" applyAlignment="1">
      <alignment horizontal="center" vertical="center"/>
    </xf>
    <xf numFmtId="187" fontId="29" fillId="14" borderId="10" xfId="4" applyNumberFormat="1" applyFont="1" applyFill="1" applyBorder="1" applyAlignment="1">
      <alignment horizontal="center" vertical="center"/>
    </xf>
    <xf numFmtId="179" fontId="29" fillId="14" borderId="6" xfId="2" applyNumberFormat="1" applyFont="1" applyFill="1" applyBorder="1" applyAlignment="1">
      <alignment horizontal="center" vertical="center"/>
    </xf>
    <xf numFmtId="189" fontId="28" fillId="16" borderId="6" xfId="4" applyNumberFormat="1" applyFont="1" applyFill="1" applyBorder="1" applyAlignment="1">
      <alignment horizontal="center" vertical="center"/>
    </xf>
    <xf numFmtId="179" fontId="29" fillId="16" borderId="6" xfId="2" applyNumberFormat="1" applyFont="1" applyFill="1" applyBorder="1" applyAlignment="1">
      <alignment horizontal="center" vertical="center"/>
    </xf>
    <xf numFmtId="182" fontId="15" fillId="16" borderId="9" xfId="4" applyFont="1" applyFill="1" applyBorder="1">
      <alignment vertical="center"/>
    </xf>
    <xf numFmtId="14" fontId="15" fillId="16" borderId="6" xfId="4" applyNumberFormat="1" applyFont="1" applyFill="1" applyBorder="1" applyAlignment="1">
      <alignment horizontal="left" vertical="center"/>
    </xf>
    <xf numFmtId="195" fontId="15" fillId="0" borderId="0" xfId="1" applyNumberFormat="1" applyFont="1" applyAlignment="1">
      <alignment vertical="center"/>
    </xf>
    <xf numFmtId="193" fontId="15" fillId="5" borderId="0" xfId="1" applyNumberFormat="1" applyFont="1" applyFill="1" applyAlignment="1">
      <alignment horizontal="center" vertical="center"/>
    </xf>
    <xf numFmtId="189" fontId="25" fillId="16" borderId="6" xfId="4" applyNumberFormat="1" applyFont="1" applyFill="1" applyBorder="1" applyAlignment="1">
      <alignment horizontal="center" vertical="center"/>
    </xf>
    <xf numFmtId="179" fontId="25" fillId="14" borderId="6" xfId="2" applyNumberFormat="1" applyFont="1" applyFill="1" applyBorder="1" applyAlignment="1">
      <alignment horizontal="center" vertical="center"/>
    </xf>
    <xf numFmtId="190" fontId="15" fillId="0" borderId="0" xfId="1" applyNumberFormat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15" fillId="0" borderId="0" xfId="1" applyFont="1"/>
    <xf numFmtId="184" fontId="15" fillId="0" borderId="0" xfId="1" applyNumberFormat="1" applyFont="1" applyAlignment="1">
      <alignment horizontal="center" vertical="center"/>
    </xf>
    <xf numFmtId="182" fontId="15" fillId="13" borderId="9" xfId="4" applyFont="1" applyFill="1" applyBorder="1">
      <alignment vertical="center"/>
    </xf>
    <xf numFmtId="182" fontId="15" fillId="14" borderId="10" xfId="4" applyFont="1" applyFill="1" applyBorder="1">
      <alignment vertical="center"/>
    </xf>
    <xf numFmtId="14" fontId="15" fillId="13" borderId="6" xfId="4" applyNumberFormat="1" applyFont="1" applyFill="1" applyBorder="1" applyAlignment="1">
      <alignment horizontal="left" vertical="center"/>
    </xf>
    <xf numFmtId="179" fontId="15" fillId="14" borderId="6" xfId="2" applyNumberFormat="1" applyFont="1" applyFill="1" applyBorder="1" applyAlignment="1">
      <alignment horizontal="center" vertical="center"/>
    </xf>
    <xf numFmtId="0" fontId="22" fillId="0" borderId="0" xfId="1" applyFont="1"/>
    <xf numFmtId="192" fontId="15" fillId="0" borderId="0" xfId="9" applyNumberFormat="1" applyFont="1" applyFill="1" applyBorder="1" applyAlignment="1">
      <alignment horizontal="center" vertical="center"/>
    </xf>
    <xf numFmtId="179" fontId="0" fillId="5" borderId="0" xfId="2" applyNumberFormat="1" applyFont="1" applyFill="1" applyAlignment="1">
      <alignment horizontal="center" vertical="center"/>
    </xf>
    <xf numFmtId="179" fontId="0" fillId="0" borderId="0" xfId="2" applyNumberFormat="1" applyFont="1" applyAlignment="1">
      <alignment horizontal="center" vertical="center"/>
    </xf>
    <xf numFmtId="179" fontId="1" fillId="0" borderId="0" xfId="2" applyNumberFormat="1" applyAlignment="1">
      <alignment horizontal="center" vertical="center"/>
    </xf>
    <xf numFmtId="182" fontId="15" fillId="14" borderId="9" xfId="4" applyFont="1" applyFill="1" applyBorder="1">
      <alignment vertical="center"/>
    </xf>
    <xf numFmtId="182" fontId="15" fillId="14" borderId="6" xfId="4" applyFont="1" applyFill="1" applyBorder="1">
      <alignment vertical="center"/>
    </xf>
    <xf numFmtId="14" fontId="15" fillId="14" borderId="6" xfId="4" applyNumberFormat="1" applyFont="1" applyFill="1" applyBorder="1" applyAlignment="1">
      <alignment horizontal="left" vertical="center"/>
    </xf>
    <xf numFmtId="192" fontId="15" fillId="0" borderId="0" xfId="1" applyNumberFormat="1" applyFont="1" applyAlignment="1">
      <alignment horizontal="center" vertical="center"/>
    </xf>
    <xf numFmtId="179" fontId="0" fillId="0" borderId="0" xfId="2" applyNumberFormat="1" applyFont="1" applyFill="1" applyBorder="1" applyAlignment="1">
      <alignment horizontal="center" vertical="center"/>
    </xf>
    <xf numFmtId="0" fontId="1" fillId="5" borderId="0" xfId="1" applyFill="1" applyAlignment="1">
      <alignment horizontal="center" vertical="center"/>
    </xf>
    <xf numFmtId="181" fontId="15" fillId="0" borderId="0" xfId="1" applyNumberFormat="1" applyFon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179" fontId="1" fillId="5" borderId="0" xfId="2" applyNumberFormat="1" applyFill="1" applyAlignment="1">
      <alignment horizontal="center" vertical="center"/>
    </xf>
    <xf numFmtId="196" fontId="15" fillId="0" borderId="0" xfId="7" applyNumberFormat="1" applyFont="1" applyFill="1" applyBorder="1" applyAlignment="1">
      <alignment horizontal="center" vertical="center"/>
    </xf>
    <xf numFmtId="186" fontId="15" fillId="0" borderId="0" xfId="1" applyNumberFormat="1" applyFont="1" applyAlignment="1">
      <alignment horizontal="center" vertical="center"/>
    </xf>
    <xf numFmtId="179" fontId="15" fillId="0" borderId="0" xfId="2" applyNumberFormat="1" applyFont="1" applyFill="1" applyAlignment="1">
      <alignment vertical="center"/>
    </xf>
    <xf numFmtId="0" fontId="15" fillId="18" borderId="0" xfId="1" applyFont="1" applyFill="1" applyAlignment="1">
      <alignment vertical="center"/>
    </xf>
    <xf numFmtId="4" fontId="15" fillId="0" borderId="0" xfId="1" applyNumberFormat="1" applyFont="1" applyAlignment="1">
      <alignment vertical="center"/>
    </xf>
    <xf numFmtId="179" fontId="28" fillId="14" borderId="8" xfId="2" applyNumberFormat="1" applyFont="1" applyFill="1" applyBorder="1" applyAlignment="1">
      <alignment horizontal="center" vertical="center"/>
    </xf>
    <xf numFmtId="179" fontId="15" fillId="15" borderId="0" xfId="2" applyNumberFormat="1" applyFont="1" applyFill="1" applyBorder="1" applyAlignment="1">
      <alignment vertical="center"/>
    </xf>
    <xf numFmtId="197" fontId="15" fillId="0" borderId="0" xfId="1" applyNumberFormat="1" applyFont="1" applyAlignment="1">
      <alignment vertical="center"/>
    </xf>
    <xf numFmtId="186" fontId="23" fillId="18" borderId="0" xfId="1" applyNumberFormat="1" applyFont="1" applyFill="1" applyAlignment="1">
      <alignment vertical="center"/>
    </xf>
    <xf numFmtId="182" fontId="15" fillId="0" borderId="9" xfId="4" applyFont="1" applyBorder="1">
      <alignment vertical="center"/>
    </xf>
    <xf numFmtId="14" fontId="15" fillId="0" borderId="6" xfId="4" applyNumberFormat="1" applyFont="1" applyBorder="1" applyAlignment="1">
      <alignment horizontal="left" vertical="center"/>
    </xf>
    <xf numFmtId="179" fontId="15" fillId="0" borderId="6" xfId="2" applyNumberFormat="1" applyFont="1" applyBorder="1" applyAlignment="1">
      <alignment horizontal="center" vertical="center"/>
    </xf>
    <xf numFmtId="189" fontId="28" fillId="0" borderId="6" xfId="4" applyNumberFormat="1" applyFont="1" applyBorder="1" applyAlignment="1">
      <alignment horizontal="center" vertical="center"/>
    </xf>
    <xf numFmtId="179" fontId="29" fillId="0" borderId="6" xfId="2" applyNumberFormat="1" applyFont="1" applyBorder="1" applyAlignment="1">
      <alignment horizontal="center" vertical="center"/>
    </xf>
    <xf numFmtId="182" fontId="15" fillId="19" borderId="6" xfId="4" applyFont="1" applyFill="1" applyBorder="1">
      <alignment vertical="center"/>
    </xf>
    <xf numFmtId="179" fontId="29" fillId="20" borderId="6" xfId="2" applyNumberFormat="1" applyFont="1" applyFill="1" applyBorder="1" applyAlignment="1">
      <alignment horizontal="center" vertical="center"/>
    </xf>
    <xf numFmtId="179" fontId="29" fillId="3" borderId="6" xfId="2" applyNumberFormat="1" applyFont="1" applyFill="1" applyBorder="1" applyAlignment="1">
      <alignment horizontal="center" vertical="center"/>
    </xf>
    <xf numFmtId="186" fontId="15" fillId="18" borderId="0" xfId="1" applyNumberFormat="1" applyFont="1" applyFill="1" applyAlignment="1">
      <alignment vertical="center"/>
    </xf>
    <xf numFmtId="0" fontId="20" fillId="21" borderId="0" xfId="1" applyFont="1" applyFill="1" applyAlignment="1">
      <alignment horizontal="center" vertical="center"/>
    </xf>
    <xf numFmtId="0" fontId="15" fillId="21" borderId="0" xfId="1" applyFont="1" applyFill="1" applyAlignment="1">
      <alignment vertical="center"/>
    </xf>
    <xf numFmtId="0" fontId="23" fillId="21" borderId="0" xfId="1" applyFont="1" applyFill="1" applyAlignment="1">
      <alignment horizontal="center" vertical="center"/>
    </xf>
    <xf numFmtId="189" fontId="15" fillId="21" borderId="0" xfId="1" applyNumberFormat="1" applyFont="1" applyFill="1" applyAlignment="1">
      <alignment vertical="center"/>
    </xf>
    <xf numFmtId="182" fontId="15" fillId="21" borderId="10" xfId="4" applyFont="1" applyFill="1" applyBorder="1">
      <alignment vertical="center"/>
    </xf>
    <xf numFmtId="182" fontId="25" fillId="21" borderId="6" xfId="4" applyFont="1" applyFill="1" applyBorder="1" applyAlignment="1">
      <alignment horizontal="left" vertical="center"/>
    </xf>
    <xf numFmtId="179" fontId="15" fillId="21" borderId="6" xfId="2" applyNumberFormat="1" applyFont="1" applyFill="1" applyBorder="1" applyAlignment="1">
      <alignment horizontal="center" vertical="center"/>
    </xf>
    <xf numFmtId="189" fontId="28" fillId="21" borderId="6" xfId="4" applyNumberFormat="1" applyFont="1" applyFill="1" applyBorder="1" applyAlignment="1">
      <alignment horizontal="center" vertical="center"/>
    </xf>
    <xf numFmtId="189" fontId="28" fillId="21" borderId="8" xfId="4" applyNumberFormat="1" applyFont="1" applyFill="1" applyBorder="1" applyAlignment="1">
      <alignment horizontal="center" vertical="center"/>
    </xf>
    <xf numFmtId="189" fontId="29" fillId="21" borderId="6" xfId="4" applyNumberFormat="1" applyFont="1" applyFill="1" applyBorder="1" applyAlignment="1">
      <alignment horizontal="center" vertical="center"/>
    </xf>
    <xf numFmtId="179" fontId="29" fillId="21" borderId="6" xfId="2" applyNumberFormat="1" applyFont="1" applyFill="1" applyBorder="1" applyAlignment="1">
      <alignment horizontal="center" vertical="center"/>
    </xf>
    <xf numFmtId="182" fontId="15" fillId="21" borderId="6" xfId="4" applyFont="1" applyFill="1" applyBorder="1">
      <alignment vertical="center"/>
    </xf>
    <xf numFmtId="182" fontId="15" fillId="21" borderId="9" xfId="4" applyFont="1" applyFill="1" applyBorder="1">
      <alignment vertical="center"/>
    </xf>
    <xf numFmtId="14" fontId="15" fillId="21" borderId="6" xfId="4" applyNumberFormat="1" applyFont="1" applyFill="1" applyBorder="1" applyAlignment="1">
      <alignment horizontal="left" vertical="center"/>
    </xf>
    <xf numFmtId="0" fontId="15" fillId="21" borderId="0" xfId="1" applyFont="1" applyFill="1"/>
    <xf numFmtId="189" fontId="28" fillId="21" borderId="5" xfId="4" applyNumberFormat="1" applyFont="1" applyFill="1" applyBorder="1" applyAlignment="1">
      <alignment horizontal="center" vertical="center"/>
    </xf>
    <xf numFmtId="189" fontId="29" fillId="21" borderId="5" xfId="4" applyNumberFormat="1" applyFont="1" applyFill="1" applyBorder="1" applyAlignment="1">
      <alignment horizontal="center" vertical="center"/>
    </xf>
    <xf numFmtId="179" fontId="29" fillId="21" borderId="5" xfId="2" applyNumberFormat="1" applyFont="1" applyFill="1" applyBorder="1" applyAlignment="1">
      <alignment horizontal="center" vertical="center"/>
    </xf>
    <xf numFmtId="179" fontId="29" fillId="20" borderId="5" xfId="2" applyNumberFormat="1" applyFont="1" applyFill="1" applyBorder="1" applyAlignment="1">
      <alignment horizontal="center" vertical="center"/>
    </xf>
    <xf numFmtId="0" fontId="15" fillId="21" borderId="0" xfId="1" quotePrefix="1" applyFont="1" applyFill="1" applyAlignment="1">
      <alignment vertical="center"/>
    </xf>
    <xf numFmtId="198" fontId="15" fillId="0" borderId="0" xfId="1" applyNumberFormat="1" applyFont="1"/>
    <xf numFmtId="0" fontId="15" fillId="16" borderId="0" xfId="1" applyFont="1" applyFill="1" applyAlignment="1">
      <alignment horizontal="center" vertical="center"/>
    </xf>
    <xf numFmtId="182" fontId="15" fillId="16" borderId="10" xfId="4" applyFont="1" applyFill="1" applyBorder="1">
      <alignment vertical="center"/>
    </xf>
    <xf numFmtId="179" fontId="15" fillId="16" borderId="6" xfId="2" applyNumberFormat="1" applyFont="1" applyFill="1" applyBorder="1" applyAlignment="1">
      <alignment horizontal="center" vertical="center"/>
    </xf>
    <xf numFmtId="189" fontId="28" fillId="16" borderId="5" xfId="4" applyNumberFormat="1" applyFont="1" applyFill="1" applyBorder="1" applyAlignment="1">
      <alignment horizontal="center" vertical="center"/>
    </xf>
    <xf numFmtId="189" fontId="29" fillId="16" borderId="5" xfId="4" applyNumberFormat="1" applyFont="1" applyFill="1" applyBorder="1" applyAlignment="1">
      <alignment horizontal="center" vertical="center"/>
    </xf>
    <xf numFmtId="0" fontId="15" fillId="16" borderId="0" xfId="1" quotePrefix="1" applyFont="1" applyFill="1" applyAlignment="1">
      <alignment vertical="center"/>
    </xf>
    <xf numFmtId="0" fontId="15" fillId="16" borderId="0" xfId="1" applyFont="1" applyFill="1"/>
    <xf numFmtId="179" fontId="15" fillId="16" borderId="5" xfId="2" applyNumberFormat="1" applyFont="1" applyFill="1" applyBorder="1" applyAlignment="1">
      <alignment horizontal="center" vertical="center"/>
    </xf>
    <xf numFmtId="179" fontId="29" fillId="16" borderId="5" xfId="2" applyNumberFormat="1" applyFont="1" applyFill="1" applyBorder="1" applyAlignment="1">
      <alignment horizontal="center" vertical="center"/>
    </xf>
    <xf numFmtId="182" fontId="30" fillId="21" borderId="6" xfId="4" applyFont="1" applyFill="1" applyBorder="1">
      <alignment vertical="center"/>
    </xf>
    <xf numFmtId="182" fontId="30" fillId="21" borderId="5" xfId="4" applyFont="1" applyFill="1" applyBorder="1">
      <alignment vertical="center"/>
    </xf>
    <xf numFmtId="14" fontId="30" fillId="21" borderId="5" xfId="4" applyNumberFormat="1" applyFont="1" applyFill="1" applyBorder="1" applyAlignment="1">
      <alignment horizontal="left" vertical="center"/>
    </xf>
    <xf numFmtId="182" fontId="14" fillId="21" borderId="6" xfId="4" applyFont="1" applyFill="1" applyBorder="1" applyAlignment="1">
      <alignment horizontal="left" vertical="center"/>
    </xf>
    <xf numFmtId="179" fontId="30" fillId="21" borderId="5" xfId="2" applyNumberFormat="1" applyFont="1" applyFill="1" applyBorder="1" applyAlignment="1">
      <alignment horizontal="center" vertical="center"/>
    </xf>
    <xf numFmtId="179" fontId="15" fillId="21" borderId="5" xfId="2" applyNumberFormat="1" applyFont="1" applyFill="1" applyBorder="1" applyAlignment="1">
      <alignment horizontal="center" vertical="center"/>
    </xf>
    <xf numFmtId="189" fontId="17" fillId="21" borderId="5" xfId="4" applyNumberFormat="1" applyFont="1" applyFill="1" applyBorder="1" applyAlignment="1">
      <alignment horizontal="center" vertical="center"/>
    </xf>
    <xf numFmtId="189" fontId="17" fillId="21" borderId="8" xfId="4" applyNumberFormat="1" applyFont="1" applyFill="1" applyBorder="1" applyAlignment="1">
      <alignment horizontal="center" vertical="center"/>
    </xf>
    <xf numFmtId="189" fontId="31" fillId="21" borderId="11" xfId="4" applyNumberFormat="1" applyFont="1" applyFill="1" applyBorder="1" applyAlignment="1">
      <alignment horizontal="center" vertical="center"/>
    </xf>
    <xf numFmtId="179" fontId="31" fillId="21" borderId="12" xfId="2" applyNumberFormat="1" applyFont="1" applyFill="1" applyBorder="1" applyAlignment="1">
      <alignment horizontal="center" vertical="center"/>
    </xf>
    <xf numFmtId="179" fontId="31" fillId="21" borderId="6" xfId="2" applyNumberFormat="1" applyFont="1" applyFill="1" applyBorder="1" applyAlignment="1">
      <alignment horizontal="center" vertical="center"/>
    </xf>
    <xf numFmtId="0" fontId="22" fillId="0" borderId="0" xfId="1" applyFont="1" applyAlignment="1">
      <alignment horizontal="left" vertical="center"/>
    </xf>
    <xf numFmtId="179" fontId="15" fillId="0" borderId="0" xfId="2" applyNumberFormat="1" applyFont="1" applyAlignment="1">
      <alignment vertical="center"/>
    </xf>
    <xf numFmtId="189" fontId="28" fillId="14" borderId="5" xfId="4" applyNumberFormat="1" applyFont="1" applyFill="1" applyBorder="1" applyAlignment="1">
      <alignment horizontal="center" vertical="center"/>
    </xf>
    <xf numFmtId="189" fontId="29" fillId="14" borderId="5" xfId="4" applyNumberFormat="1" applyFont="1" applyFill="1" applyBorder="1" applyAlignment="1">
      <alignment horizontal="center" vertical="center"/>
    </xf>
    <xf numFmtId="179" fontId="29" fillId="14" borderId="5" xfId="2" applyNumberFormat="1" applyFont="1" applyFill="1" applyBorder="1" applyAlignment="1">
      <alignment horizontal="center" vertical="center"/>
    </xf>
    <xf numFmtId="0" fontId="15" fillId="0" borderId="0" xfId="1" quotePrefix="1" applyFont="1" applyAlignment="1">
      <alignment vertical="center"/>
    </xf>
    <xf numFmtId="199" fontId="20" fillId="0" borderId="0" xfId="1" applyNumberFormat="1" applyFont="1" applyAlignment="1">
      <alignment vertical="center"/>
    </xf>
    <xf numFmtId="182" fontId="30" fillId="4" borderId="6" xfId="4" applyFont="1" applyFill="1" applyBorder="1">
      <alignment vertical="center"/>
    </xf>
    <xf numFmtId="182" fontId="30" fillId="4" borderId="9" xfId="4" applyFont="1" applyFill="1" applyBorder="1">
      <alignment vertical="center"/>
    </xf>
    <xf numFmtId="182" fontId="30" fillId="4" borderId="5" xfId="4" applyFont="1" applyFill="1" applyBorder="1">
      <alignment vertical="center"/>
    </xf>
    <xf numFmtId="14" fontId="30" fillId="4" borderId="5" xfId="4" applyNumberFormat="1" applyFont="1" applyFill="1" applyBorder="1" applyAlignment="1">
      <alignment horizontal="left" vertical="center"/>
    </xf>
    <xf numFmtId="182" fontId="14" fillId="4" borderId="6" xfId="4" applyFont="1" applyFill="1" applyBorder="1" applyAlignment="1">
      <alignment horizontal="left" vertical="center"/>
    </xf>
    <xf numFmtId="179" fontId="30" fillId="4" borderId="5" xfId="2" applyNumberFormat="1" applyFont="1" applyFill="1" applyBorder="1" applyAlignment="1">
      <alignment horizontal="center" vertical="center"/>
    </xf>
    <xf numFmtId="179" fontId="15" fillId="4" borderId="5" xfId="2" applyNumberFormat="1" applyFont="1" applyFill="1" applyBorder="1" applyAlignment="1">
      <alignment horizontal="center" vertical="center"/>
    </xf>
    <xf numFmtId="189" fontId="17" fillId="4" borderId="5" xfId="4" applyNumberFormat="1" applyFont="1" applyFill="1" applyBorder="1" applyAlignment="1">
      <alignment horizontal="center" vertical="center"/>
    </xf>
    <xf numFmtId="189" fontId="17" fillId="4" borderId="9" xfId="4" applyNumberFormat="1" applyFont="1" applyFill="1" applyBorder="1" applyAlignment="1">
      <alignment horizontal="center" vertical="center"/>
    </xf>
    <xf numFmtId="189" fontId="31" fillId="4" borderId="5" xfId="4" applyNumberFormat="1" applyFont="1" applyFill="1" applyBorder="1" applyAlignment="1">
      <alignment horizontal="center" vertical="center"/>
    </xf>
    <xf numFmtId="179" fontId="31" fillId="4" borderId="5" xfId="2" applyNumberFormat="1" applyFont="1" applyFill="1" applyBorder="1" applyAlignment="1">
      <alignment horizontal="center" vertical="center"/>
    </xf>
    <xf numFmtId="182" fontId="15" fillId="16" borderId="5" xfId="4" applyFont="1" applyFill="1" applyBorder="1">
      <alignment vertical="center"/>
    </xf>
    <xf numFmtId="14" fontId="15" fillId="13" borderId="5" xfId="4" applyNumberFormat="1" applyFont="1" applyFill="1" applyBorder="1" applyAlignment="1">
      <alignment horizontal="left" vertical="center"/>
    </xf>
    <xf numFmtId="182" fontId="25" fillId="14" borderId="5" xfId="4" applyFont="1" applyFill="1" applyBorder="1" applyAlignment="1">
      <alignment horizontal="left" vertical="center"/>
    </xf>
    <xf numFmtId="179" fontId="32" fillId="14" borderId="5" xfId="2" applyNumberFormat="1" applyFont="1" applyFill="1" applyBorder="1" applyAlignment="1">
      <alignment horizontal="center" vertical="center"/>
    </xf>
    <xf numFmtId="179" fontId="25" fillId="14" borderId="5" xfId="2" applyNumberFormat="1" applyFont="1" applyFill="1" applyBorder="1" applyAlignment="1">
      <alignment horizontal="center" vertical="center"/>
    </xf>
    <xf numFmtId="189" fontId="32" fillId="14" borderId="5" xfId="4" applyNumberFormat="1" applyFont="1" applyFill="1" applyBorder="1" applyAlignment="1">
      <alignment horizontal="center" vertical="center"/>
    </xf>
    <xf numFmtId="189" fontId="28" fillId="14" borderId="7" xfId="4" applyNumberFormat="1" applyFont="1" applyFill="1" applyBorder="1" applyAlignment="1">
      <alignment horizontal="center" vertical="center"/>
    </xf>
    <xf numFmtId="179" fontId="29" fillId="3" borderId="5" xfId="2" applyNumberFormat="1" applyFont="1" applyFill="1" applyBorder="1" applyAlignment="1">
      <alignment horizontal="center" vertical="center"/>
    </xf>
    <xf numFmtId="0" fontId="33" fillId="0" borderId="0" xfId="1" applyFont="1"/>
    <xf numFmtId="0" fontId="33" fillId="0" borderId="0" xfId="1" applyFont="1" applyAlignment="1">
      <alignment horizontal="center"/>
    </xf>
    <xf numFmtId="189" fontId="33" fillId="0" borderId="0" xfId="1" applyNumberFormat="1" applyFont="1"/>
    <xf numFmtId="186" fontId="33" fillId="0" borderId="0" xfId="1" applyNumberFormat="1" applyFont="1"/>
    <xf numFmtId="182" fontId="15" fillId="0" borderId="11" xfId="4" applyFont="1" applyBorder="1">
      <alignment vertical="center"/>
    </xf>
    <xf numFmtId="182" fontId="15" fillId="16" borderId="13" xfId="4" applyFont="1" applyFill="1" applyBorder="1" applyAlignment="1">
      <alignment horizontal="left" vertical="center"/>
    </xf>
    <xf numFmtId="182" fontId="15" fillId="16" borderId="14" xfId="4" applyFont="1" applyFill="1" applyBorder="1" applyAlignment="1">
      <alignment horizontal="left" vertical="center"/>
    </xf>
    <xf numFmtId="182" fontId="15" fillId="16" borderId="15" xfId="4" applyFont="1" applyFill="1" applyBorder="1" applyAlignment="1">
      <alignment horizontal="left" vertical="center"/>
    </xf>
    <xf numFmtId="179" fontId="15" fillId="22" borderId="7" xfId="2" applyNumberFormat="1" applyFont="1" applyFill="1" applyBorder="1" applyAlignment="1">
      <alignment horizontal="center" vertical="center"/>
    </xf>
    <xf numFmtId="187" fontId="15" fillId="22" borderId="7" xfId="4" applyNumberFormat="1" applyFont="1" applyFill="1" applyBorder="1" applyAlignment="1">
      <alignment horizontal="center" vertical="center"/>
    </xf>
    <xf numFmtId="187" fontId="34" fillId="22" borderId="7" xfId="4" applyNumberFormat="1" applyFont="1" applyFill="1" applyBorder="1" applyAlignment="1">
      <alignment horizontal="center" vertical="center"/>
    </xf>
    <xf numFmtId="187" fontId="25" fillId="22" borderId="7" xfId="4" applyNumberFormat="1" applyFont="1" applyFill="1" applyBorder="1" applyAlignment="1">
      <alignment horizontal="center" vertical="center"/>
    </xf>
    <xf numFmtId="187" fontId="29" fillId="22" borderId="16" xfId="4" applyNumberFormat="1" applyFont="1" applyFill="1" applyBorder="1" applyAlignment="1">
      <alignment horizontal="center" vertical="center"/>
    </xf>
    <xf numFmtId="182" fontId="15" fillId="16" borderId="17" xfId="4" applyFont="1" applyFill="1" applyBorder="1" applyAlignment="1">
      <alignment horizontal="left" vertical="center"/>
    </xf>
    <xf numFmtId="182" fontId="15" fillId="16" borderId="0" xfId="4" applyFont="1" applyFill="1" applyAlignment="1">
      <alignment horizontal="left" vertical="center"/>
    </xf>
    <xf numFmtId="182" fontId="15" fillId="16" borderId="18" xfId="4" applyFont="1" applyFill="1" applyBorder="1" applyAlignment="1">
      <alignment horizontal="left" vertical="center"/>
    </xf>
    <xf numFmtId="179" fontId="15" fillId="22" borderId="9" xfId="2" applyNumberFormat="1" applyFont="1" applyFill="1" applyBorder="1" applyAlignment="1">
      <alignment horizontal="center" vertical="center"/>
    </xf>
    <xf numFmtId="189" fontId="28" fillId="22" borderId="9" xfId="4" applyNumberFormat="1" applyFont="1" applyFill="1" applyBorder="1" applyAlignment="1">
      <alignment horizontal="center" vertical="center"/>
    </xf>
    <xf numFmtId="189" fontId="28" fillId="16" borderId="9" xfId="4" applyNumberFormat="1" applyFont="1" applyFill="1" applyBorder="1" applyAlignment="1">
      <alignment horizontal="center" vertical="center"/>
    </xf>
    <xf numFmtId="189" fontId="15" fillId="16" borderId="9" xfId="4" applyNumberFormat="1" applyFont="1" applyFill="1" applyBorder="1" applyAlignment="1">
      <alignment horizontal="center" vertical="center"/>
    </xf>
    <xf numFmtId="189" fontId="35" fillId="16" borderId="9" xfId="4" applyNumberFormat="1" applyFont="1" applyFill="1" applyBorder="1" applyAlignment="1">
      <alignment horizontal="center" vertical="center"/>
    </xf>
    <xf numFmtId="189" fontId="36" fillId="16" borderId="9" xfId="4" applyNumberFormat="1" applyFont="1" applyFill="1" applyBorder="1" applyAlignment="1">
      <alignment horizontal="center" vertical="center"/>
    </xf>
    <xf numFmtId="189" fontId="25" fillId="16" borderId="9" xfId="4" applyNumberFormat="1" applyFont="1" applyFill="1" applyBorder="1" applyAlignment="1">
      <alignment horizontal="center" vertical="center"/>
    </xf>
    <xf numFmtId="189" fontId="29" fillId="16" borderId="19" xfId="4" applyNumberFormat="1" applyFont="1" applyFill="1" applyBorder="1" applyAlignment="1">
      <alignment horizontal="center" vertical="center"/>
    </xf>
    <xf numFmtId="182" fontId="15" fillId="16" borderId="20" xfId="4" applyFont="1" applyFill="1" applyBorder="1" applyAlignment="1">
      <alignment horizontal="left" vertical="center"/>
    </xf>
    <xf numFmtId="182" fontId="15" fillId="16" borderId="21" xfId="4" applyFont="1" applyFill="1" applyBorder="1" applyAlignment="1">
      <alignment horizontal="left" vertical="center"/>
    </xf>
    <xf numFmtId="182" fontId="15" fillId="16" borderId="22" xfId="4" applyFont="1" applyFill="1" applyBorder="1" applyAlignment="1">
      <alignment horizontal="left" vertical="center"/>
    </xf>
    <xf numFmtId="179" fontId="15" fillId="22" borderId="23" xfId="2" applyNumberFormat="1" applyFont="1" applyFill="1" applyBorder="1" applyAlignment="1">
      <alignment horizontal="center" vertical="center"/>
    </xf>
    <xf numFmtId="189" fontId="28" fillId="22" borderId="23" xfId="4" applyNumberFormat="1" applyFont="1" applyFill="1" applyBorder="1" applyAlignment="1">
      <alignment horizontal="center" vertical="center"/>
    </xf>
    <xf numFmtId="189" fontId="28" fillId="16" borderId="23" xfId="4" applyNumberFormat="1" applyFont="1" applyFill="1" applyBorder="1" applyAlignment="1">
      <alignment horizontal="center" vertical="center"/>
    </xf>
    <xf numFmtId="189" fontId="15" fillId="16" borderId="23" xfId="4" applyNumberFormat="1" applyFont="1" applyFill="1" applyBorder="1" applyAlignment="1">
      <alignment horizontal="center" vertical="center"/>
    </xf>
    <xf numFmtId="189" fontId="35" fillId="16" borderId="23" xfId="4" applyNumberFormat="1" applyFont="1" applyFill="1" applyBorder="1" applyAlignment="1">
      <alignment horizontal="center" vertical="center"/>
    </xf>
    <xf numFmtId="189" fontId="36" fillId="16" borderId="23" xfId="4" applyNumberFormat="1" applyFont="1" applyFill="1" applyBorder="1" applyAlignment="1">
      <alignment horizontal="center" vertical="center"/>
    </xf>
    <xf numFmtId="189" fontId="25" fillId="16" borderId="23" xfId="4" applyNumberFormat="1" applyFont="1" applyFill="1" applyBorder="1" applyAlignment="1">
      <alignment horizontal="center" vertical="center"/>
    </xf>
    <xf numFmtId="189" fontId="29" fillId="16" borderId="24" xfId="4" applyNumberFormat="1" applyFont="1" applyFill="1" applyBorder="1" applyAlignment="1">
      <alignment horizontal="center" vertical="center"/>
    </xf>
    <xf numFmtId="182" fontId="15" fillId="14" borderId="8" xfId="4" applyFont="1" applyFill="1" applyBorder="1" applyAlignment="1">
      <alignment vertical="center" wrapText="1"/>
    </xf>
    <xf numFmtId="182" fontId="15" fillId="14" borderId="25" xfId="4" applyFont="1" applyFill="1" applyBorder="1">
      <alignment vertical="center"/>
    </xf>
    <xf numFmtId="182" fontId="15" fillId="13" borderId="8" xfId="4" applyFont="1" applyFill="1" applyBorder="1" applyAlignment="1">
      <alignment horizontal="left" vertical="center"/>
    </xf>
    <xf numFmtId="182" fontId="25" fillId="14" borderId="8" xfId="4" applyFont="1" applyFill="1" applyBorder="1" applyAlignment="1">
      <alignment horizontal="left" vertical="center"/>
    </xf>
    <xf numFmtId="179" fontId="25" fillId="14" borderId="8" xfId="2" applyNumberFormat="1" applyFont="1" applyFill="1" applyBorder="1" applyAlignment="1">
      <alignment horizontal="center" vertical="center"/>
    </xf>
    <xf numFmtId="189" fontId="15" fillId="14" borderId="8" xfId="4" applyNumberFormat="1" applyFont="1" applyFill="1" applyBorder="1">
      <alignment vertical="center"/>
    </xf>
    <xf numFmtId="189" fontId="28" fillId="14" borderId="8" xfId="4" applyNumberFormat="1" applyFont="1" applyFill="1" applyBorder="1">
      <alignment vertical="center"/>
    </xf>
    <xf numFmtId="189" fontId="35" fillId="14" borderId="8" xfId="4" applyNumberFormat="1" applyFont="1" applyFill="1" applyBorder="1">
      <alignment vertical="center"/>
    </xf>
    <xf numFmtId="189" fontId="25" fillId="14" borderId="8" xfId="4" applyNumberFormat="1" applyFont="1" applyFill="1" applyBorder="1">
      <alignment vertical="center"/>
    </xf>
    <xf numFmtId="189" fontId="29" fillId="14" borderId="8" xfId="4" applyNumberFormat="1" applyFont="1" applyFill="1" applyBorder="1">
      <alignment vertical="center"/>
    </xf>
    <xf numFmtId="182" fontId="15" fillId="14" borderId="10" xfId="4" applyFont="1" applyFill="1" applyBorder="1" applyAlignment="1">
      <alignment vertical="center" wrapText="1"/>
    </xf>
    <xf numFmtId="182" fontId="15" fillId="14" borderId="26" xfId="4" applyFont="1" applyFill="1" applyBorder="1">
      <alignment vertical="center"/>
    </xf>
    <xf numFmtId="182" fontId="15" fillId="13" borderId="6" xfId="4" applyFont="1" applyFill="1" applyBorder="1" applyAlignment="1">
      <alignment horizontal="left" vertical="center"/>
    </xf>
    <xf numFmtId="189" fontId="15" fillId="14" borderId="6" xfId="4" applyNumberFormat="1" applyFont="1" applyFill="1" applyBorder="1">
      <alignment vertical="center"/>
    </xf>
    <xf numFmtId="189" fontId="28" fillId="14" borderId="6" xfId="4" applyNumberFormat="1" applyFont="1" applyFill="1" applyBorder="1">
      <alignment vertical="center"/>
    </xf>
    <xf numFmtId="189" fontId="35" fillId="14" borderId="6" xfId="4" applyNumberFormat="1" applyFont="1" applyFill="1" applyBorder="1">
      <alignment vertical="center"/>
    </xf>
    <xf numFmtId="189" fontId="25" fillId="14" borderId="6" xfId="4" applyNumberFormat="1" applyFont="1" applyFill="1" applyBorder="1">
      <alignment vertical="center"/>
    </xf>
    <xf numFmtId="189" fontId="29" fillId="14" borderId="6" xfId="4" applyNumberFormat="1" applyFont="1" applyFill="1" applyBorder="1">
      <alignment vertical="center"/>
    </xf>
    <xf numFmtId="182" fontId="25" fillId="14" borderId="10" xfId="4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17" fontId="15" fillId="0" borderId="0" xfId="1" applyNumberFormat="1" applyFont="1" applyAlignment="1">
      <alignment horizontal="right" vertical="center"/>
    </xf>
    <xf numFmtId="195" fontId="15" fillId="0" borderId="0" xfId="1" applyNumberFormat="1" applyFont="1" applyAlignment="1">
      <alignment horizontal="right" vertical="center"/>
    </xf>
    <xf numFmtId="189" fontId="15" fillId="0" borderId="0" xfId="1" applyNumberFormat="1" applyFont="1" applyAlignment="1">
      <alignment vertical="center"/>
    </xf>
    <xf numFmtId="0" fontId="0" fillId="0" borderId="0" xfId="1" applyFont="1" applyAlignment="1">
      <alignment horizontal="left" vertical="center"/>
    </xf>
    <xf numFmtId="200" fontId="0" fillId="0" borderId="0" xfId="0" applyNumberFormat="1" applyAlignment="1">
      <alignment horizontal="right" vertical="center"/>
    </xf>
    <xf numFmtId="201" fontId="0" fillId="0" borderId="0" xfId="2" applyNumberFormat="1" applyFont="1" applyFill="1" applyBorder="1" applyAlignment="1">
      <alignment vertical="center"/>
    </xf>
    <xf numFmtId="179" fontId="0" fillId="0" borderId="0" xfId="1" applyNumberFormat="1" applyFont="1" applyAlignment="1">
      <alignment horizontal="center" vertical="center"/>
    </xf>
    <xf numFmtId="186" fontId="0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17" fontId="15" fillId="0" borderId="0" xfId="0" applyNumberFormat="1" applyFont="1" applyAlignment="1">
      <alignment horizontal="center" vertical="center"/>
    </xf>
    <xf numFmtId="197" fontId="15" fillId="0" borderId="0" xfId="0" applyNumberFormat="1" applyFont="1" applyAlignment="1">
      <alignment vertical="center"/>
    </xf>
    <xf numFmtId="192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86" fontId="0" fillId="0" borderId="0" xfId="10" applyNumberFormat="1" applyFont="1"/>
    <xf numFmtId="182" fontId="15" fillId="14" borderId="5" xfId="4" applyFont="1" applyFill="1" applyBorder="1">
      <alignment vertical="center"/>
    </xf>
    <xf numFmtId="182" fontId="15" fillId="13" borderId="5" xfId="4" applyFont="1" applyFill="1" applyBorder="1" applyAlignment="1">
      <alignment horizontal="left" vertical="center"/>
    </xf>
    <xf numFmtId="189" fontId="15" fillId="14" borderId="5" xfId="4" applyNumberFormat="1" applyFont="1" applyFill="1" applyBorder="1">
      <alignment vertical="center"/>
    </xf>
    <xf numFmtId="189" fontId="28" fillId="14" borderId="5" xfId="4" applyNumberFormat="1" applyFont="1" applyFill="1" applyBorder="1">
      <alignment vertical="center"/>
    </xf>
    <xf numFmtId="189" fontId="35" fillId="14" borderId="5" xfId="4" applyNumberFormat="1" applyFont="1" applyFill="1" applyBorder="1">
      <alignment vertical="center"/>
    </xf>
    <xf numFmtId="189" fontId="25" fillId="14" borderId="5" xfId="4" applyNumberFormat="1" applyFont="1" applyFill="1" applyBorder="1">
      <alignment vertical="center"/>
    </xf>
    <xf numFmtId="189" fontId="29" fillId="14" borderId="5" xfId="4" applyNumberFormat="1" applyFont="1" applyFill="1" applyBorder="1">
      <alignment vertical="center"/>
    </xf>
    <xf numFmtId="182" fontId="15" fillId="14" borderId="8" xfId="4" applyFont="1" applyFill="1" applyBorder="1">
      <alignment vertical="center"/>
    </xf>
    <xf numFmtId="182" fontId="15" fillId="16" borderId="25" xfId="4" applyFont="1" applyFill="1" applyBorder="1">
      <alignment vertical="center"/>
    </xf>
    <xf numFmtId="182" fontId="25" fillId="22" borderId="8" xfId="4" applyFont="1" applyFill="1" applyBorder="1" applyAlignment="1">
      <alignment horizontal="left" vertical="center"/>
    </xf>
    <xf numFmtId="182" fontId="15" fillId="13" borderId="10" xfId="4" applyFont="1" applyFill="1" applyBorder="1" applyAlignment="1">
      <alignment horizontal="left" vertical="center"/>
    </xf>
    <xf numFmtId="189" fontId="15" fillId="14" borderId="10" xfId="4" applyNumberFormat="1" applyFont="1" applyFill="1" applyBorder="1">
      <alignment vertical="center"/>
    </xf>
    <xf numFmtId="189" fontId="28" fillId="14" borderId="10" xfId="4" applyNumberFormat="1" applyFont="1" applyFill="1" applyBorder="1">
      <alignment vertical="center"/>
    </xf>
    <xf numFmtId="182" fontId="30" fillId="0" borderId="6" xfId="4" applyFont="1" applyBorder="1">
      <alignment vertical="center"/>
    </xf>
    <xf numFmtId="182" fontId="14" fillId="14" borderId="6" xfId="4" applyFont="1" applyFill="1" applyBorder="1" applyAlignment="1">
      <alignment horizontal="left" vertical="center"/>
    </xf>
    <xf numFmtId="179" fontId="25" fillId="14" borderId="7" xfId="2" applyNumberFormat="1" applyFont="1" applyFill="1" applyBorder="1" applyAlignment="1">
      <alignment horizontal="center" vertical="center"/>
    </xf>
    <xf numFmtId="179" fontId="35" fillId="14" borderId="5" xfId="2" applyNumberFormat="1" applyFont="1" applyFill="1" applyBorder="1" applyAlignment="1">
      <alignment vertical="center"/>
    </xf>
    <xf numFmtId="189" fontId="15" fillId="14" borderId="27" xfId="4" applyNumberFormat="1" applyFont="1" applyFill="1" applyBorder="1">
      <alignment vertical="center"/>
    </xf>
    <xf numFmtId="182" fontId="15" fillId="16" borderId="25" xfId="4" applyFont="1" applyFill="1" applyBorder="1" applyAlignment="1">
      <alignment horizontal="left" vertical="center"/>
    </xf>
    <xf numFmtId="179" fontId="15" fillId="16" borderId="7" xfId="2" applyNumberFormat="1" applyFont="1" applyFill="1" applyBorder="1" applyAlignment="1">
      <alignment horizontal="center" vertical="center"/>
    </xf>
    <xf numFmtId="187" fontId="28" fillId="22" borderId="7" xfId="4" applyNumberFormat="1" applyFont="1" applyFill="1" applyBorder="1" applyAlignment="1">
      <alignment horizontal="center" vertical="center"/>
    </xf>
    <xf numFmtId="187" fontId="28" fillId="16" borderId="7" xfId="4" applyNumberFormat="1" applyFont="1" applyFill="1" applyBorder="1" applyAlignment="1">
      <alignment horizontal="center" vertical="center"/>
    </xf>
    <xf numFmtId="187" fontId="15" fillId="16" borderId="7" xfId="4" applyNumberFormat="1" applyFont="1" applyFill="1" applyBorder="1" applyAlignment="1">
      <alignment horizontal="center" vertical="center"/>
    </xf>
    <xf numFmtId="187" fontId="35" fillId="16" borderId="7" xfId="4" applyNumberFormat="1" applyFont="1" applyFill="1" applyBorder="1" applyAlignment="1">
      <alignment horizontal="center" vertical="center"/>
    </xf>
    <xf numFmtId="187" fontId="25" fillId="16" borderId="7" xfId="4" applyNumberFormat="1" applyFont="1" applyFill="1" applyBorder="1" applyAlignment="1">
      <alignment horizontal="center" vertical="center"/>
    </xf>
    <xf numFmtId="187" fontId="29" fillId="16" borderId="7" xfId="4" applyNumberFormat="1" applyFont="1" applyFill="1" applyBorder="1" applyAlignment="1">
      <alignment horizontal="center" vertical="center"/>
    </xf>
    <xf numFmtId="187" fontId="29" fillId="16" borderId="16" xfId="4" applyNumberFormat="1" applyFont="1" applyFill="1" applyBorder="1" applyAlignment="1">
      <alignment horizontal="center" vertical="center"/>
    </xf>
    <xf numFmtId="182" fontId="15" fillId="16" borderId="26" xfId="4" applyFont="1" applyFill="1" applyBorder="1" applyAlignment="1">
      <alignment horizontal="left" vertical="center"/>
    </xf>
    <xf numFmtId="179" fontId="15" fillId="16" borderId="9" xfId="2" applyNumberFormat="1" applyFont="1" applyFill="1" applyBorder="1" applyAlignment="1">
      <alignment horizontal="center" vertical="center"/>
    </xf>
    <xf numFmtId="187" fontId="28" fillId="22" borderId="9" xfId="4" applyNumberFormat="1" applyFont="1" applyFill="1" applyBorder="1" applyAlignment="1">
      <alignment horizontal="center" vertical="center"/>
    </xf>
    <xf numFmtId="187" fontId="28" fillId="16" borderId="9" xfId="4" applyNumberFormat="1" applyFont="1" applyFill="1" applyBorder="1" applyAlignment="1">
      <alignment horizontal="center" vertical="center"/>
    </xf>
    <xf numFmtId="187" fontId="15" fillId="16" borderId="9" xfId="4" applyNumberFormat="1" applyFont="1" applyFill="1" applyBorder="1" applyAlignment="1">
      <alignment horizontal="center" vertical="center"/>
    </xf>
    <xf numFmtId="187" fontId="28" fillId="16" borderId="26" xfId="4" applyNumberFormat="1" applyFont="1" applyFill="1" applyBorder="1" applyAlignment="1">
      <alignment horizontal="center" vertical="center"/>
    </xf>
    <xf numFmtId="187" fontId="35" fillId="16" borderId="9" xfId="4" applyNumberFormat="1" applyFont="1" applyFill="1" applyBorder="1" applyAlignment="1">
      <alignment horizontal="center" vertical="center"/>
    </xf>
    <xf numFmtId="187" fontId="25" fillId="16" borderId="9" xfId="4" applyNumberFormat="1" applyFont="1" applyFill="1" applyBorder="1" applyAlignment="1">
      <alignment horizontal="center" vertical="center"/>
    </xf>
    <xf numFmtId="187" fontId="29" fillId="16" borderId="9" xfId="4" applyNumberFormat="1" applyFont="1" applyFill="1" applyBorder="1" applyAlignment="1">
      <alignment horizontal="center" vertical="center"/>
    </xf>
    <xf numFmtId="187" fontId="29" fillId="16" borderId="19" xfId="4" applyNumberFormat="1" applyFont="1" applyFill="1" applyBorder="1" applyAlignment="1">
      <alignment horizontal="center" vertical="center"/>
    </xf>
    <xf numFmtId="182" fontId="15" fillId="16" borderId="28" xfId="4" applyFont="1" applyFill="1" applyBorder="1" applyAlignment="1">
      <alignment horizontal="left" vertical="center"/>
    </xf>
    <xf numFmtId="179" fontId="15" fillId="16" borderId="23" xfId="2" applyNumberFormat="1" applyFont="1" applyFill="1" applyBorder="1" applyAlignment="1">
      <alignment horizontal="center" vertical="center"/>
    </xf>
    <xf numFmtId="187" fontId="28" fillId="22" borderId="23" xfId="4" applyNumberFormat="1" applyFont="1" applyFill="1" applyBorder="1" applyAlignment="1">
      <alignment horizontal="center" vertical="center"/>
    </xf>
    <xf numFmtId="187" fontId="28" fillId="16" borderId="23" xfId="4" applyNumberFormat="1" applyFont="1" applyFill="1" applyBorder="1" applyAlignment="1">
      <alignment horizontal="center" vertical="center"/>
    </xf>
    <xf numFmtId="187" fontId="15" fillId="16" borderId="23" xfId="4" applyNumberFormat="1" applyFont="1" applyFill="1" applyBorder="1" applyAlignment="1">
      <alignment horizontal="center" vertical="center"/>
    </xf>
    <xf numFmtId="187" fontId="35" fillId="16" borderId="23" xfId="4" applyNumberFormat="1" applyFont="1" applyFill="1" applyBorder="1" applyAlignment="1">
      <alignment horizontal="center" vertical="center"/>
    </xf>
    <xf numFmtId="187" fontId="25" fillId="16" borderId="23" xfId="4" applyNumberFormat="1" applyFont="1" applyFill="1" applyBorder="1" applyAlignment="1">
      <alignment horizontal="center" vertical="center"/>
    </xf>
    <xf numFmtId="187" fontId="29" fillId="16" borderId="23" xfId="4" applyNumberFormat="1" applyFont="1" applyFill="1" applyBorder="1" applyAlignment="1">
      <alignment horizontal="center" vertical="center"/>
    </xf>
    <xf numFmtId="187" fontId="29" fillId="16" borderId="24" xfId="4" applyNumberFormat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80" fontId="1" fillId="0" borderId="0" xfId="1" applyNumberFormat="1" applyAlignment="1">
      <alignment horizontal="center" vertical="center"/>
    </xf>
    <xf numFmtId="179" fontId="1" fillId="0" borderId="0" xfId="2" applyNumberFormat="1"/>
    <xf numFmtId="0" fontId="21" fillId="0" borderId="0" xfId="1" applyFont="1" applyAlignment="1">
      <alignment horizontal="center" vertical="center"/>
    </xf>
    <xf numFmtId="202" fontId="15" fillId="0" borderId="0" xfId="1" applyNumberFormat="1" applyFont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182" fontId="1" fillId="0" borderId="1" xfId="3" applyBorder="1">
      <alignment vertical="center"/>
    </xf>
    <xf numFmtId="0" fontId="6" fillId="6" borderId="1" xfId="1" applyFont="1" applyFill="1" applyBorder="1" applyAlignment="1">
      <alignment horizontal="center" vertical="center"/>
    </xf>
    <xf numFmtId="182" fontId="0" fillId="0" borderId="1" xfId="3" applyFont="1" applyBorder="1" applyAlignment="1">
      <alignment horizontal="center" vertical="center"/>
    </xf>
  </cellXfs>
  <cellStyles count="11">
    <cellStyle name="Comma 2 2 5" xfId="2" xr:uid="{A959DE43-23D8-46EC-9E3A-211A049E93C4}"/>
    <cellStyle name="Comma 3" xfId="10" xr:uid="{AF190A5C-29D7-4D42-881A-B688CA5FCD67}"/>
    <cellStyle name="Currency 2 5" xfId="7" xr:uid="{2D2CA52C-D068-49F8-B127-0E78BA69940B}"/>
    <cellStyle name="Normal 2 2 2 3" xfId="1" xr:uid="{C1B7265B-D9BA-4DA4-85D4-6B8B44A04719}"/>
    <cellStyle name="Normal 6" xfId="3" xr:uid="{334DF8C3-D788-4E15-9A2B-26DF88AC2E4A}"/>
    <cellStyle name="Normal 6 3" xfId="4" xr:uid="{E372C276-D5FF-4458-B682-751987B968B5}"/>
    <cellStyle name="Normal 7 2" xfId="5" xr:uid="{1E230B88-5DBB-4733-A094-6AFE3487CB66}"/>
    <cellStyle name="Percent 2 2 3" xfId="9" xr:uid="{F1572F78-5BAF-4859-9DD8-7D49630D1B5A}"/>
    <cellStyle name="Percent 5" xfId="8" xr:uid="{C8780ABD-88C8-4938-9E4C-69198E433448}"/>
    <cellStyle name="常规" xfId="0" builtinId="0"/>
    <cellStyle name="常规 3" xfId="6" xr:uid="{E008551C-A4BB-4FA4-B5AB-A2BA1337605F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8441F03E-6781-46C9-8ECC-B6644476D01F}">
    <Anchor>
      <Comment id="{2519E34A-86AA-4B18-9A6D-6BAC88FE5AD4}"/>
    </Anchor>
    <History>
      <Event time="2024-07-31T13:38:06.79" id="{6FCADDBF-05C5-4175-8AAF-00F94E03FEDE}">
        <Attribution userId="S::85184835@bat.com::8afab3d2-7605-4469-82d0-bb95bcd5101b" userName="Cailine Huang" userProvider="AD"/>
        <Anchor>
          <Comment id="{2519E34A-86AA-4B18-9A6D-6BAC88FE5AD4}"/>
        </Anchor>
        <Create/>
      </Event>
      <Event time="2024-07-31T13:38:06.79" id="{CF2D4A8D-8A11-4A95-BC64-571D11FFA0B9}">
        <Attribution userId="S::85184835@bat.com::8afab3d2-7605-4469-82d0-bb95bcd5101b" userName="Cailine Huang" userProvider="AD"/>
        <Anchor>
          <Comment id="{2519E34A-86AA-4B18-9A6D-6BAC88FE5AD4}"/>
        </Anchor>
        <Assign userId="S::daisy_cai@bat.com::d229c6e9-b27a-479b-89bd-1e5b44ad3300" userName="Daisy Cai" userProvider="AD"/>
      </Event>
      <Event time="2024-07-31T13:38:06.79" id="{20B22A77-261E-43E3-A1B3-63AAA3048CD4}">
        <Attribution userId="S::85184835@bat.com::8afab3d2-7605-4469-82d0-bb95bcd5101b" userName="Cailine Huang" userProvider="AD"/>
        <Anchor>
          <Comment id="{2519E34A-86AA-4B18-9A6D-6BAC88FE5AD4}"/>
        </Anchor>
        <SetTitle title="@Daisy Cai unit cost per USD?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CN16-Chris/Shared%20Documents/General/Spend%20tracker/HYX/Spend%20Tracker%20file-HYX-2024-9-5.xlsx" TargetMode="External"/><Relationship Id="rId1" Type="http://schemas.openxmlformats.org/officeDocument/2006/relationships/externalLinkPath" Target="https://bat.sharepoint.com/sites/CN16-Chris/Shared%20Documents/General/Spend%20tracker/HYX/Spend%20Tracker%20file-HYX-2024-9-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Track (part)"/>
      <sheetName val="Capex tracker"/>
      <sheetName val="Sheet1"/>
    </sheetNames>
    <sheetDataSet>
      <sheetData sheetId="0"/>
      <sheetData sheetId="1"/>
      <sheetData sheetId="2">
        <row r="3">
          <cell r="I3">
            <v>2022</v>
          </cell>
        </row>
        <row r="4">
          <cell r="I4">
            <v>2023</v>
          </cell>
        </row>
        <row r="5">
          <cell r="I5">
            <v>2024</v>
          </cell>
        </row>
        <row r="6">
          <cell r="I6">
            <v>2025</v>
          </cell>
        </row>
        <row r="7">
          <cell r="I7">
            <v>2026</v>
          </cell>
        </row>
        <row r="8">
          <cell r="I8">
            <v>2027</v>
          </cell>
        </row>
        <row r="9">
          <cell r="I9">
            <v>2028</v>
          </cell>
        </row>
        <row r="10">
          <cell r="I10">
            <v>2029</v>
          </cell>
        </row>
        <row r="11">
          <cell r="I11">
            <v>2030</v>
          </cell>
        </row>
        <row r="12">
          <cell r="I12">
            <v>2031</v>
          </cell>
        </row>
        <row r="13">
          <cell r="I13">
            <v>2032</v>
          </cell>
        </row>
        <row r="14">
          <cell r="I14">
            <v>2033</v>
          </cell>
        </row>
        <row r="15">
          <cell r="I15">
            <v>2034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ndy Zhang" id="{74DF3C12-3131-4B5B-9102-6A42249F4E9E}" userId="85194835@bat.com" providerId="PeoplePicker"/>
  <person displayName="Roy Zhu" id="{3AF15BF7-6D75-4FD4-9695-4196590F77E2}" userId="85195622@bat.com" providerId="PeoplePicker"/>
  <person displayName="Daisy Cai" id="{049D8466-D585-455D-BCA2-5209F9D74A8D}" userId="daisy_cai@bat.com" providerId="PeoplePicker"/>
  <person displayName="Cailine Huang" id="{0EB9393B-558D-48D3-98F5-2970F7D1C049}" userId="S::85184835@bat.com::8afab3d2-7605-4469-82d0-bb95bcd5101b" providerId="AD"/>
  <person displayName="Laura Sanchez Curtidor" id="{FEEF5961-074E-474B-9189-16E4AA1B47AE}" userId="S::85186727@bat.com::336aaaff-ca7d-47c9-8b45-91845f8f8752" providerId="AD"/>
  <person displayName="Candy Zhang" id="{D1860813-59F6-4E4D-B4F9-C31440D59AC6}" userId="S::85194835@bat.com::215fbd32-35c6-4cb7-80b9-e1d5aeba28c1" providerId="AD"/>
  <person displayName="Daisy Cai" id="{F5E71E10-294C-470D-BD77-65D77F887B13}" userId="S::daisy_cai@bat.com::d229c6e9-b27a-479b-89bd-1e5b44ad3300" providerId="AD"/>
  <person displayName="Daniel Aguirre" id="{E2451D1E-B57E-4F0E-8E44-3EDB2654A9A6}" userId="S::daniel_eugenio_aguirre1@bat.com::29c07d64-c781-4147-bb32-e556cc9e0777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9" dT="2025-03-26T08:53:26.12" personId="{FEEF5961-074E-474B-9189-16E4AA1B47AE}" id="{9F383899-6BE8-4410-A73D-C462259AD7F3}">
    <text xml:space="preserve">Not Applicable
Manual line not paid by BAT. Production efficiency gap between manual and auto reviewed and every month. </text>
  </threadedComment>
  <threadedComment ref="T35" dT="2025-03-25T11:58:03.53" personId="{F5E71E10-294C-470D-BD77-65D77F887B13}" id="{4E94F6BC-CDEA-4E69-9BAC-DD52C47C20B4}">
    <text>@Roy, please update in Apr.</text>
  </threadedComment>
  <threadedComment ref="D47" dT="2024-05-24T10:20:05.97" personId="{E2451D1E-B57E-4F0E-8E44-3EDB2654A9A6}" id="{F9F60E22-DBDA-4D03-BFDA-14F5EF30CD0C}">
    <text xml:space="preserve">@Candy Zhang @Roy Zhu </text>
    <mentions>
      <mention mentionpersonId="{74DF3C12-3131-4B5B-9102-6A42249F4E9E}" mentionId="{0E276B97-6A52-4FD4-AA50-6CC0BAAF55F5}" startIndex="0" length="12"/>
      <mention mentionpersonId="{3AF15BF7-6D75-4FD4-9695-4196590F77E2}" mentionId="{E1459DF4-999C-40A4-B62B-C55A7AE4D5D2}" startIndex="13" length="8"/>
    </mentions>
  </threadedComment>
  <threadedComment ref="C56" dT="2024-10-28T03:30:42.10" personId="{D1860813-59F6-4E4D-B4F9-C31440D59AC6}" id="{6F2C6861-8124-4523-BC02-EB51C4B97C02}">
    <text>ODM</text>
  </threadedComment>
  <threadedComment ref="C57" dT="2024-10-28T03:30:55.55" personId="{D1860813-59F6-4E4D-B4F9-C31440D59AC6}" id="{3E8C9DE1-C9C6-4724-82E2-85D18380E2F6}">
    <text>ODM</text>
  </threadedComment>
  <threadedComment ref="U88" dT="2024-07-31T13:38:06.79" personId="{0EB9393B-558D-48D3-98F5-2970F7D1C049}" id="{2519E34A-86AA-4B18-9A6D-6BAC88FE5AD4}">
    <text>@Daisy Cai  unit cost per USD?</text>
    <mentions>
      <mention mentionpersonId="{049D8466-D585-455D-BCA2-5209F9D74A8D}" mentionId="{3E59D354-B432-4511-B47A-584A4DEEF136}" startIndex="0" length="10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7" dT="2024-05-24T10:20:05.97" personId="{E2451D1E-B57E-4F0E-8E44-3EDB2654A9A6}" id="{1A45DA14-04BB-4D4C-81BB-EB95D5B18E35}">
    <text xml:space="preserve">@Candy Zhang @Roy Zhu </text>
    <mentions>
      <mention mentionpersonId="{74DF3C12-3131-4B5B-9102-6A42249F4E9E}" mentionId="{24BA25BF-2DD0-4832-81B5-DBAFD0EE85F9}" startIndex="0" length="12"/>
      <mention mentionpersonId="{3AF15BF7-6D75-4FD4-9695-4196590F77E2}" mentionId="{B736650A-E9A3-453C-AE72-3710A9EF9BFA}" startIndex="13" length="8"/>
    </mentions>
  </threadedComment>
  <threadedComment ref="C56" dT="2024-10-28T03:30:42.10" personId="{D1860813-59F6-4E4D-B4F9-C31440D59AC6}" id="{D9B1B561-6918-45A1-9CC6-CB541907BA13}">
    <text>ODM</text>
  </threadedComment>
  <threadedComment ref="C57" dT="2024-10-28T03:30:55.55" personId="{D1860813-59F6-4E4D-B4F9-C31440D59AC6}" id="{C0577C91-0FCD-4925-87A7-D71A4A08D245}">
    <text>ODM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83E4-D82C-4177-90FB-62D0C2263D90}">
  <sheetPr>
    <tabColor theme="1"/>
  </sheetPr>
  <dimension ref="A1:WWU199"/>
  <sheetViews>
    <sheetView showGridLines="0" tabSelected="1" topLeftCell="A5" zoomScale="50" zoomScaleNormal="50" zoomScaleSheetLayoutView="70" workbookViewId="0">
      <selection activeCell="F18" sqref="F18"/>
    </sheetView>
  </sheetViews>
  <sheetFormatPr defaultColWidth="8.4140625" defaultRowHeight="15" customHeight="1" outlineLevelCol="1"/>
  <cols>
    <col min="1" max="1" width="13.25" style="143" customWidth="1"/>
    <col min="2" max="2" width="23.75" style="143" bestFit="1" customWidth="1"/>
    <col min="3" max="3" width="22.1640625" style="143" customWidth="1"/>
    <col min="4" max="4" width="53.4140625" style="369" customWidth="1"/>
    <col min="5" max="5" width="11.83203125" style="369" customWidth="1"/>
    <col min="6" max="6" width="18.75" style="369" customWidth="1"/>
    <col min="7" max="7" width="12.25" style="369" customWidth="1" outlineLevel="1"/>
    <col min="8" max="8" width="13.4140625" style="369" customWidth="1" outlineLevel="1"/>
    <col min="9" max="9" width="9.83203125" style="369" customWidth="1" outlineLevel="1"/>
    <col min="10" max="10" width="18.5" style="143" customWidth="1"/>
    <col min="11" max="11" width="13.75" style="143" customWidth="1" outlineLevel="1"/>
    <col min="12" max="12" width="11.25" style="143" customWidth="1" outlineLevel="1"/>
    <col min="13" max="13" width="14.83203125" style="143" customWidth="1"/>
    <col min="14" max="14" width="14.83203125" style="143" customWidth="1" outlineLevel="1"/>
    <col min="15" max="16" width="10.83203125" style="143" customWidth="1"/>
    <col min="17" max="17" width="18.25" style="156" customWidth="1"/>
    <col min="18" max="18" width="13.25" style="143" customWidth="1"/>
    <col min="19" max="19" width="17.25" style="370" customWidth="1"/>
    <col min="20" max="20" width="18.4140625" style="156" customWidth="1"/>
    <col min="21" max="21" width="17.1640625" style="145" customWidth="1"/>
    <col min="22" max="22" width="19.33203125" style="145" customWidth="1"/>
    <col min="23" max="23" width="14.08203125" style="145" customWidth="1"/>
    <col min="24" max="16384" width="8.4140625" style="145"/>
  </cols>
  <sheetData>
    <row r="1" spans="1:22" s="6" customFormat="1" ht="17.5" hidden="1">
      <c r="A1" s="1"/>
      <c r="B1" s="1"/>
      <c r="C1" s="1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3"/>
      <c r="R1" s="1"/>
      <c r="S1" s="4" t="s">
        <v>0</v>
      </c>
      <c r="T1" s="3" t="s">
        <v>1</v>
      </c>
      <c r="U1" s="1"/>
    </row>
    <row r="2" spans="1:22" s="6" customFormat="1" ht="35" hidden="1">
      <c r="A2" s="1"/>
      <c r="B2" s="1"/>
      <c r="C2" s="9" t="s">
        <v>2</v>
      </c>
      <c r="D2" s="2"/>
      <c r="E2" s="2"/>
      <c r="F2" s="2"/>
      <c r="G2" s="2"/>
      <c r="H2" s="2"/>
      <c r="I2" s="2"/>
      <c r="J2" s="1"/>
      <c r="K2" s="1"/>
      <c r="L2" s="1"/>
      <c r="O2" s="1"/>
      <c r="P2" s="1"/>
      <c r="Q2" s="3"/>
      <c r="R2" s="1"/>
      <c r="S2" s="3">
        <f>34746341</f>
        <v>34746341</v>
      </c>
      <c r="T2" s="10">
        <f>S2/8.812</f>
        <v>3943070.9260099865</v>
      </c>
      <c r="U2" s="11"/>
    </row>
    <row r="3" spans="1:22" s="6" customFormat="1" ht="37" hidden="1" customHeight="1">
      <c r="A3" s="12"/>
      <c r="B3" s="12"/>
      <c r="C3" s="13" t="s">
        <v>3</v>
      </c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3"/>
      <c r="R3" s="1"/>
      <c r="S3" s="3">
        <v>24216741</v>
      </c>
      <c r="T3" s="10">
        <f>S3/8.812</f>
        <v>2748154.9024058105</v>
      </c>
      <c r="U3" s="1"/>
    </row>
    <row r="4" spans="1:22" s="6" customFormat="1" ht="17.5" hidden="1">
      <c r="A4" s="14"/>
      <c r="B4" s="14"/>
      <c r="C4" s="15"/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3"/>
      <c r="R4" s="1"/>
      <c r="S4" s="4"/>
      <c r="T4" s="3">
        <f>SUM(T2:T3)</f>
        <v>6691225.8284157971</v>
      </c>
      <c r="U4" s="1"/>
    </row>
    <row r="5" spans="1:22" s="6" customFormat="1" ht="22.5" customHeight="1">
      <c r="A5" s="16" t="s">
        <v>4</v>
      </c>
      <c r="B5" s="17">
        <v>1.2781800000000001</v>
      </c>
      <c r="D5" s="2"/>
      <c r="E5" s="2"/>
      <c r="F5" s="2"/>
      <c r="G5" s="2"/>
      <c r="H5" s="2"/>
      <c r="I5" s="2"/>
      <c r="J5" s="2"/>
      <c r="K5" s="1"/>
      <c r="L5" s="1"/>
      <c r="M5" s="1"/>
      <c r="N5" s="1"/>
      <c r="O5" s="1"/>
      <c r="P5" s="1"/>
      <c r="Q5" s="3"/>
      <c r="R5" s="1"/>
      <c r="S5" s="4"/>
      <c r="T5" s="3"/>
    </row>
    <row r="6" spans="1:22" s="6" customFormat="1" ht="22.5" customHeight="1">
      <c r="A6" s="16" t="s">
        <v>5</v>
      </c>
      <c r="B6" s="17">
        <v>9.1977399999999996</v>
      </c>
      <c r="C6" s="2">
        <v>2.5813403670167399E-2</v>
      </c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20"/>
      <c r="R6" s="1"/>
      <c r="S6" s="20"/>
      <c r="T6" s="3"/>
      <c r="U6" s="20"/>
    </row>
    <row r="7" spans="1:22" s="6" customFormat="1" ht="22.5" customHeight="1">
      <c r="A7" s="1"/>
      <c r="B7" s="22" t="s">
        <v>7</v>
      </c>
      <c r="C7" s="1"/>
      <c r="D7" s="2"/>
      <c r="E7" s="2"/>
      <c r="F7" s="2"/>
      <c r="G7" s="2"/>
      <c r="H7" s="2"/>
      <c r="I7" s="2"/>
      <c r="J7" s="1"/>
      <c r="K7" s="1"/>
      <c r="L7" s="1"/>
      <c r="M7" s="1"/>
      <c r="N7" s="1"/>
      <c r="O7" s="1"/>
      <c r="P7" s="1"/>
      <c r="Q7" s="23"/>
      <c r="R7" s="24"/>
      <c r="S7" s="4"/>
      <c r="T7" s="3"/>
      <c r="U7" s="25"/>
    </row>
    <row r="8" spans="1:22" s="6" customFormat="1" ht="22.5" customHeight="1" thickBot="1">
      <c r="A8" s="1"/>
      <c r="B8" s="22"/>
      <c r="C8" s="1"/>
      <c r="D8" s="2"/>
      <c r="E8" s="2"/>
      <c r="F8" s="2"/>
      <c r="G8" s="2"/>
      <c r="H8" s="2"/>
      <c r="I8" s="2"/>
      <c r="J8" s="1"/>
      <c r="K8" s="1"/>
      <c r="L8" s="1"/>
      <c r="M8" s="1"/>
      <c r="N8" s="1"/>
      <c r="O8" s="1"/>
      <c r="P8" s="1"/>
      <c r="Q8" s="23"/>
      <c r="R8" s="24"/>
      <c r="S8" s="4"/>
      <c r="T8" s="3"/>
      <c r="U8" s="25"/>
    </row>
    <row r="9" spans="1:22" s="48" customFormat="1" ht="51" customHeight="1">
      <c r="A9" s="33" t="s">
        <v>11</v>
      </c>
      <c r="B9" s="34" t="s">
        <v>12</v>
      </c>
      <c r="C9" s="35" t="s">
        <v>13</v>
      </c>
      <c r="D9" s="35" t="s">
        <v>14</v>
      </c>
      <c r="E9" s="35" t="s">
        <v>15</v>
      </c>
      <c r="F9" s="35" t="s">
        <v>16</v>
      </c>
      <c r="G9" s="35" t="s">
        <v>17</v>
      </c>
      <c r="H9" s="35" t="s">
        <v>18</v>
      </c>
      <c r="I9" s="35" t="s">
        <v>19</v>
      </c>
      <c r="J9" s="33" t="s">
        <v>20</v>
      </c>
      <c r="K9" s="33" t="s">
        <v>21</v>
      </c>
      <c r="L9" s="36" t="s">
        <v>22</v>
      </c>
      <c r="M9" s="33" t="s">
        <v>23</v>
      </c>
      <c r="N9" s="37" t="s">
        <v>24</v>
      </c>
      <c r="O9" s="38" t="s">
        <v>25</v>
      </c>
      <c r="P9" s="38" t="s">
        <v>26</v>
      </c>
      <c r="Q9" s="39" t="s">
        <v>27</v>
      </c>
      <c r="R9" s="33" t="s">
        <v>28</v>
      </c>
      <c r="S9" s="40" t="s">
        <v>29</v>
      </c>
      <c r="T9" s="41" t="s">
        <v>30</v>
      </c>
      <c r="U9" s="42" t="s">
        <v>31</v>
      </c>
      <c r="V9" s="40" t="s">
        <v>382</v>
      </c>
    </row>
    <row r="10" spans="1:22" s="71" customFormat="1" ht="30.75" customHeight="1">
      <c r="A10" s="55">
        <v>1</v>
      </c>
      <c r="B10" s="56" t="s">
        <v>45</v>
      </c>
      <c r="C10" s="57" t="s">
        <v>46</v>
      </c>
      <c r="D10" s="58" t="s">
        <v>47</v>
      </c>
      <c r="E10" s="58" t="s">
        <v>48</v>
      </c>
      <c r="F10" s="58" t="s">
        <v>49</v>
      </c>
      <c r="G10" s="58" t="s">
        <v>50</v>
      </c>
      <c r="H10" s="58" t="s">
        <v>50</v>
      </c>
      <c r="I10" s="58" t="s">
        <v>51</v>
      </c>
      <c r="J10" s="48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9">
        <v>44197</v>
      </c>
      <c r="P10" s="59">
        <v>46722</v>
      </c>
      <c r="Q10" s="60">
        <v>72000000</v>
      </c>
      <c r="R10" s="57" t="s">
        <v>57</v>
      </c>
      <c r="S10" s="61">
        <f t="shared" ref="S10:S18" si="0">IF(R10="RMB",Q10/$B$6,IF(R10="GBP",Q10,Q10/$B$5))</f>
        <v>56330094.352908038</v>
      </c>
      <c r="T10" s="62">
        <v>2570000000</v>
      </c>
      <c r="U10" s="63" t="s">
        <v>58</v>
      </c>
      <c r="V10" s="373"/>
    </row>
    <row r="11" spans="1:22" s="71" customFormat="1" ht="30.75" customHeight="1">
      <c r="A11" s="55">
        <v>2</v>
      </c>
      <c r="B11" s="56" t="s">
        <v>63</v>
      </c>
      <c r="C11" s="57" t="s">
        <v>64</v>
      </c>
      <c r="D11" s="58" t="s">
        <v>65</v>
      </c>
      <c r="E11" s="58" t="s">
        <v>48</v>
      </c>
      <c r="F11" s="58" t="s">
        <v>49</v>
      </c>
      <c r="G11" s="58" t="s">
        <v>50</v>
      </c>
      <c r="H11" s="58" t="s">
        <v>50</v>
      </c>
      <c r="I11" s="58" t="s">
        <v>51</v>
      </c>
      <c r="J11" s="57" t="s">
        <v>66</v>
      </c>
      <c r="K11" s="57" t="s">
        <v>53</v>
      </c>
      <c r="L11" s="57" t="s">
        <v>54</v>
      </c>
      <c r="M11" s="57" t="s">
        <v>55</v>
      </c>
      <c r="N11" s="57" t="s">
        <v>56</v>
      </c>
      <c r="O11" s="59">
        <v>44682</v>
      </c>
      <c r="P11" s="59">
        <v>46722</v>
      </c>
      <c r="Q11" s="60">
        <v>41140309.340000004</v>
      </c>
      <c r="R11" s="57" t="s">
        <v>57</v>
      </c>
      <c r="S11" s="61">
        <f t="shared" si="0"/>
        <v>32186632.039305888</v>
      </c>
      <c r="T11" s="62">
        <v>2340000000</v>
      </c>
      <c r="U11" s="81">
        <v>1.52E-2</v>
      </c>
      <c r="V11" s="373">
        <f t="shared" ref="V11:V73" si="1">IF(R11="RMB",U11/$B$6,IF(R11="GBP",U11,U11/$B$5))</f>
        <v>1.1891908807836141E-2</v>
      </c>
    </row>
    <row r="12" spans="1:22" s="71" customFormat="1" ht="30.75" customHeight="1">
      <c r="A12" s="55">
        <v>4</v>
      </c>
      <c r="B12" s="56" t="s">
        <v>70</v>
      </c>
      <c r="C12" s="57" t="s">
        <v>64</v>
      </c>
      <c r="D12" s="85" t="s">
        <v>71</v>
      </c>
      <c r="E12" s="58" t="s">
        <v>48</v>
      </c>
      <c r="F12" s="58" t="s">
        <v>49</v>
      </c>
      <c r="G12" s="58" t="s">
        <v>50</v>
      </c>
      <c r="H12" s="58" t="s">
        <v>50</v>
      </c>
      <c r="I12" s="58" t="s">
        <v>51</v>
      </c>
      <c r="J12" s="57" t="s">
        <v>72</v>
      </c>
      <c r="K12" s="57" t="s">
        <v>53</v>
      </c>
      <c r="L12" s="57" t="s">
        <v>54</v>
      </c>
      <c r="M12" s="57" t="s">
        <v>55</v>
      </c>
      <c r="N12" s="57" t="s">
        <v>56</v>
      </c>
      <c r="O12" s="59">
        <v>45344</v>
      </c>
      <c r="P12" s="59" t="s">
        <v>73</v>
      </c>
      <c r="Q12" s="60">
        <v>2020422.13</v>
      </c>
      <c r="R12" s="57" t="s">
        <v>57</v>
      </c>
      <c r="S12" s="61">
        <f t="shared" si="0"/>
        <v>1580702.3502167142</v>
      </c>
      <c r="T12" s="62">
        <v>0</v>
      </c>
      <c r="U12" s="86" t="s">
        <v>74</v>
      </c>
      <c r="V12" s="373"/>
    </row>
    <row r="13" spans="1:22" s="71" customFormat="1" ht="30.75" customHeight="1">
      <c r="A13" s="55">
        <v>5</v>
      </c>
      <c r="B13" s="56" t="s">
        <v>77</v>
      </c>
      <c r="C13" s="57" t="s">
        <v>64</v>
      </c>
      <c r="D13" s="58" t="s">
        <v>78</v>
      </c>
      <c r="E13" s="58" t="s">
        <v>48</v>
      </c>
      <c r="F13" s="58" t="s">
        <v>49</v>
      </c>
      <c r="G13" s="58" t="s">
        <v>53</v>
      </c>
      <c r="H13" s="58" t="s">
        <v>79</v>
      </c>
      <c r="I13" s="58" t="s">
        <v>51</v>
      </c>
      <c r="J13" s="57" t="s">
        <v>80</v>
      </c>
      <c r="K13" s="57" t="s">
        <v>53</v>
      </c>
      <c r="L13" s="57" t="s">
        <v>54</v>
      </c>
      <c r="M13" s="57" t="s">
        <v>55</v>
      </c>
      <c r="N13" s="57" t="s">
        <v>56</v>
      </c>
      <c r="O13" s="59">
        <v>45345</v>
      </c>
      <c r="P13" s="59">
        <v>46722</v>
      </c>
      <c r="Q13" s="60">
        <v>650000</v>
      </c>
      <c r="R13" s="57" t="s">
        <v>57</v>
      </c>
      <c r="S13" s="61">
        <f t="shared" si="0"/>
        <v>508535.57401930867</v>
      </c>
      <c r="T13" s="62">
        <v>20000000</v>
      </c>
      <c r="U13" s="81">
        <v>3.2288551937629001E-2</v>
      </c>
      <c r="V13" s="373">
        <f t="shared" si="1"/>
        <v>2.5261349682852961E-2</v>
      </c>
    </row>
    <row r="14" spans="1:22" s="71" customFormat="1" ht="30.75" customHeight="1">
      <c r="A14" s="55">
        <v>6</v>
      </c>
      <c r="B14" s="56" t="s">
        <v>83</v>
      </c>
      <c r="C14" s="57" t="s">
        <v>64</v>
      </c>
      <c r="D14" s="58" t="s">
        <v>84</v>
      </c>
      <c r="E14" s="58" t="s">
        <v>48</v>
      </c>
      <c r="F14" s="58" t="s">
        <v>49</v>
      </c>
      <c r="G14" s="58" t="s">
        <v>50</v>
      </c>
      <c r="H14" s="58" t="s">
        <v>50</v>
      </c>
      <c r="I14" s="58" t="s">
        <v>51</v>
      </c>
      <c r="J14" s="57" t="s">
        <v>72</v>
      </c>
      <c r="K14" s="57" t="s">
        <v>53</v>
      </c>
      <c r="L14" s="57" t="s">
        <v>54</v>
      </c>
      <c r="M14" s="57" t="s">
        <v>55</v>
      </c>
      <c r="N14" s="57" t="s">
        <v>56</v>
      </c>
      <c r="O14" s="59">
        <v>45597</v>
      </c>
      <c r="P14" s="59">
        <v>46722</v>
      </c>
      <c r="Q14" s="60">
        <v>886091.63609263895</v>
      </c>
      <c r="R14" s="57" t="s">
        <v>57</v>
      </c>
      <c r="S14" s="61">
        <f t="shared" si="0"/>
        <v>693244.79814473621</v>
      </c>
      <c r="T14" s="62">
        <v>400000000</v>
      </c>
      <c r="U14" s="96">
        <f>Q14/T14</f>
        <v>2.2152290902315974E-3</v>
      </c>
      <c r="V14" s="373">
        <f t="shared" si="1"/>
        <v>1.7331119953618403E-3</v>
      </c>
    </row>
    <row r="15" spans="1:22" s="71" customFormat="1" ht="30.75" customHeight="1">
      <c r="A15" s="55">
        <v>7</v>
      </c>
      <c r="B15" s="56" t="s">
        <v>86</v>
      </c>
      <c r="C15" s="57" t="s">
        <v>87</v>
      </c>
      <c r="D15" s="85" t="s">
        <v>88</v>
      </c>
      <c r="E15" s="58" t="s">
        <v>48</v>
      </c>
      <c r="F15" s="58" t="s">
        <v>49</v>
      </c>
      <c r="G15" s="58" t="s">
        <v>50</v>
      </c>
      <c r="H15" s="58" t="s">
        <v>50</v>
      </c>
      <c r="I15" s="58" t="s">
        <v>51</v>
      </c>
      <c r="J15" s="57" t="s">
        <v>72</v>
      </c>
      <c r="K15" s="57" t="s">
        <v>53</v>
      </c>
      <c r="L15" s="57" t="s">
        <v>54</v>
      </c>
      <c r="M15" s="57" t="s">
        <v>55</v>
      </c>
      <c r="N15" s="57" t="s">
        <v>56</v>
      </c>
      <c r="O15" s="59" t="s">
        <v>73</v>
      </c>
      <c r="P15" s="59" t="s">
        <v>73</v>
      </c>
      <c r="Q15" s="60">
        <v>1562511</v>
      </c>
      <c r="R15" s="57" t="s">
        <v>89</v>
      </c>
      <c r="S15" s="61">
        <f t="shared" si="0"/>
        <v>169879.8835366079</v>
      </c>
      <c r="T15" s="62"/>
      <c r="U15" s="93" t="s">
        <v>58</v>
      </c>
      <c r="V15" s="373"/>
    </row>
    <row r="16" spans="1:22" s="71" customFormat="1" ht="30.75" customHeight="1">
      <c r="A16" s="55">
        <v>8</v>
      </c>
      <c r="B16" s="372" t="s">
        <v>92</v>
      </c>
      <c r="C16" s="57" t="s">
        <v>93</v>
      </c>
      <c r="D16" s="58" t="s">
        <v>94</v>
      </c>
      <c r="E16" s="58" t="s">
        <v>95</v>
      </c>
      <c r="F16" s="58" t="s">
        <v>49</v>
      </c>
      <c r="G16" s="58" t="s">
        <v>53</v>
      </c>
      <c r="H16" s="58" t="s">
        <v>96</v>
      </c>
      <c r="I16" s="58" t="s">
        <v>97</v>
      </c>
      <c r="J16" s="57" t="s">
        <v>72</v>
      </c>
      <c r="K16" s="57" t="s">
        <v>53</v>
      </c>
      <c r="L16" s="57" t="s">
        <v>54</v>
      </c>
      <c r="M16" s="57" t="s">
        <v>55</v>
      </c>
      <c r="N16" s="57" t="s">
        <v>98</v>
      </c>
      <c r="O16" s="59">
        <v>45261</v>
      </c>
      <c r="P16" s="59">
        <v>46722</v>
      </c>
      <c r="Q16" s="60">
        <v>714000</v>
      </c>
      <c r="R16" s="57" t="s">
        <v>89</v>
      </c>
      <c r="S16" s="61">
        <f t="shared" si="0"/>
        <v>77627.765081422185</v>
      </c>
      <c r="T16" s="62">
        <v>8572763</v>
      </c>
      <c r="U16" s="98">
        <v>8.3287033596986207E-2</v>
      </c>
      <c r="V16" s="373">
        <f t="shared" si="1"/>
        <v>9.0551628548954655E-3</v>
      </c>
    </row>
    <row r="17" spans="1:22" s="71" customFormat="1" ht="60.75" customHeight="1">
      <c r="A17" s="55">
        <v>9</v>
      </c>
      <c r="B17" s="372" t="s">
        <v>101</v>
      </c>
      <c r="C17" s="57" t="s">
        <v>102</v>
      </c>
      <c r="D17" s="58" t="s">
        <v>103</v>
      </c>
      <c r="E17" s="58" t="s">
        <v>104</v>
      </c>
      <c r="F17" s="58" t="s">
        <v>105</v>
      </c>
      <c r="G17" s="58" t="s">
        <v>106</v>
      </c>
      <c r="H17" s="58" t="s">
        <v>107</v>
      </c>
      <c r="I17" s="58" t="s">
        <v>97</v>
      </c>
      <c r="J17" s="57" t="s">
        <v>108</v>
      </c>
      <c r="K17" s="57" t="s">
        <v>109</v>
      </c>
      <c r="L17" s="57" t="s">
        <v>54</v>
      </c>
      <c r="M17" s="57" t="s">
        <v>55</v>
      </c>
      <c r="N17" s="57" t="s">
        <v>98</v>
      </c>
      <c r="O17" s="59">
        <v>45505</v>
      </c>
      <c r="P17" s="59">
        <v>46235</v>
      </c>
      <c r="Q17" s="60">
        <v>4912380</v>
      </c>
      <c r="R17" s="57" t="s">
        <v>89</v>
      </c>
      <c r="S17" s="61">
        <f t="shared" si="0"/>
        <v>534085.54710178811</v>
      </c>
      <c r="T17" s="62">
        <f>S17/0.007</f>
        <v>76297935.300255448</v>
      </c>
      <c r="U17" s="98">
        <f>0.007*8.81203</f>
        <v>6.1684210000000003E-2</v>
      </c>
      <c r="V17" s="373">
        <f t="shared" si="1"/>
        <v>6.7064528895141636E-3</v>
      </c>
    </row>
    <row r="18" spans="1:22" s="71" customFormat="1" ht="81" customHeight="1">
      <c r="A18" s="55">
        <v>10</v>
      </c>
      <c r="B18" s="372" t="s">
        <v>111</v>
      </c>
      <c r="C18" s="57" t="s">
        <v>112</v>
      </c>
      <c r="D18" s="85" t="s">
        <v>113</v>
      </c>
      <c r="E18" s="85" t="s">
        <v>95</v>
      </c>
      <c r="F18" s="85" t="s">
        <v>114</v>
      </c>
      <c r="G18" s="85" t="s">
        <v>50</v>
      </c>
      <c r="H18" s="85" t="s">
        <v>50</v>
      </c>
      <c r="I18" s="85" t="s">
        <v>97</v>
      </c>
      <c r="J18" s="48" t="s">
        <v>115</v>
      </c>
      <c r="K18" s="57" t="s">
        <v>53</v>
      </c>
      <c r="L18" s="57" t="s">
        <v>54</v>
      </c>
      <c r="M18" s="57" t="s">
        <v>55</v>
      </c>
      <c r="N18" s="57" t="s">
        <v>98</v>
      </c>
      <c r="O18" s="59">
        <v>45406</v>
      </c>
      <c r="P18" s="59">
        <v>46113</v>
      </c>
      <c r="Q18" s="60">
        <v>34746341</v>
      </c>
      <c r="R18" s="57" t="s">
        <v>89</v>
      </c>
      <c r="S18" s="61">
        <f t="shared" si="0"/>
        <v>3777704.1969005433</v>
      </c>
      <c r="T18" s="62">
        <v>246400000</v>
      </c>
      <c r="U18" s="98">
        <f>Q18/T18</f>
        <v>0.14101599431818182</v>
      </c>
      <c r="V18" s="373">
        <f t="shared" si="1"/>
        <v>1.5331591708200256E-2</v>
      </c>
    </row>
    <row r="19" spans="1:22" s="71" customFormat="1" ht="30.75" customHeight="1">
      <c r="A19" s="55">
        <v>11</v>
      </c>
      <c r="B19" s="56" t="s">
        <v>118</v>
      </c>
      <c r="C19" s="57" t="s">
        <v>112</v>
      </c>
      <c r="D19" s="85" t="s">
        <v>119</v>
      </c>
      <c r="E19" s="85" t="s">
        <v>95</v>
      </c>
      <c r="F19" s="85" t="s">
        <v>114</v>
      </c>
      <c r="G19" s="85" t="s">
        <v>50</v>
      </c>
      <c r="H19" s="85" t="s">
        <v>50</v>
      </c>
      <c r="I19" s="85" t="s">
        <v>97</v>
      </c>
      <c r="J19" s="57" t="s">
        <v>72</v>
      </c>
      <c r="K19" s="57" t="s">
        <v>53</v>
      </c>
      <c r="L19" s="57" t="s">
        <v>54</v>
      </c>
      <c r="M19" s="57" t="s">
        <v>55</v>
      </c>
      <c r="N19" s="57" t="s">
        <v>98</v>
      </c>
      <c r="O19" s="59">
        <v>45406</v>
      </c>
      <c r="P19" s="59">
        <v>45505</v>
      </c>
      <c r="Q19" s="118" t="s">
        <v>73</v>
      </c>
      <c r="R19" s="57" t="s">
        <v>89</v>
      </c>
      <c r="S19" s="61">
        <v>0</v>
      </c>
      <c r="T19" s="64">
        <v>0</v>
      </c>
      <c r="U19" s="65">
        <v>3.5999999999999997E-2</v>
      </c>
      <c r="V19" s="373">
        <f t="shared" si="1"/>
        <v>3.9140049620885126E-3</v>
      </c>
    </row>
    <row r="20" spans="1:22" s="71" customFormat="1" ht="30.75" customHeight="1">
      <c r="A20" s="55">
        <v>12</v>
      </c>
      <c r="B20" s="56" t="s">
        <v>121</v>
      </c>
      <c r="C20" s="57" t="s">
        <v>122</v>
      </c>
      <c r="D20" s="58" t="s">
        <v>123</v>
      </c>
      <c r="E20" s="58" t="s">
        <v>95</v>
      </c>
      <c r="F20" s="58" t="s">
        <v>114</v>
      </c>
      <c r="G20" s="58" t="s">
        <v>50</v>
      </c>
      <c r="H20" s="58" t="s">
        <v>50</v>
      </c>
      <c r="I20" s="58" t="s">
        <v>97</v>
      </c>
      <c r="J20" s="57" t="s">
        <v>124</v>
      </c>
      <c r="K20" s="57" t="s">
        <v>53</v>
      </c>
      <c r="L20" s="57" t="s">
        <v>54</v>
      </c>
      <c r="M20" s="57" t="s">
        <v>55</v>
      </c>
      <c r="N20" s="57" t="s">
        <v>98</v>
      </c>
      <c r="O20" s="59">
        <v>44197</v>
      </c>
      <c r="P20" s="59">
        <v>46357</v>
      </c>
      <c r="Q20" s="60">
        <v>2660000</v>
      </c>
      <c r="R20" s="57" t="s">
        <v>57</v>
      </c>
      <c r="S20" s="61">
        <f t="shared" ref="S20:S48" si="2">IF(R20="RMB",Q20/$B$6,IF(R20="GBP",Q20,Q20/$B$5))</f>
        <v>2081084.0413713248</v>
      </c>
      <c r="T20" s="62">
        <v>175000000</v>
      </c>
      <c r="U20" s="63" t="s">
        <v>58</v>
      </c>
      <c r="V20" s="373"/>
    </row>
    <row r="21" spans="1:22" s="71" customFormat="1" ht="52.5" customHeight="1">
      <c r="A21" s="55">
        <v>13</v>
      </c>
      <c r="B21" s="56" t="s">
        <v>126</v>
      </c>
      <c r="C21" s="57" t="s">
        <v>127</v>
      </c>
      <c r="D21" s="58" t="s">
        <v>128</v>
      </c>
      <c r="E21" s="58" t="s">
        <v>95</v>
      </c>
      <c r="F21" s="58" t="s">
        <v>114</v>
      </c>
      <c r="G21" s="58" t="s">
        <v>50</v>
      </c>
      <c r="H21" s="58" t="s">
        <v>50</v>
      </c>
      <c r="I21" s="58" t="s">
        <v>97</v>
      </c>
      <c r="J21" s="48" t="s">
        <v>115</v>
      </c>
      <c r="K21" s="57" t="s">
        <v>53</v>
      </c>
      <c r="L21" s="57" t="s">
        <v>54</v>
      </c>
      <c r="M21" s="57" t="s">
        <v>55</v>
      </c>
      <c r="N21" s="57" t="s">
        <v>98</v>
      </c>
      <c r="O21" s="59">
        <v>44980</v>
      </c>
      <c r="P21" s="59">
        <v>45689</v>
      </c>
      <c r="Q21" s="60">
        <v>1503259</v>
      </c>
      <c r="R21" s="57" t="s">
        <v>89</v>
      </c>
      <c r="S21" s="61">
        <f t="shared" si="2"/>
        <v>163437.86625845046</v>
      </c>
      <c r="T21" s="62">
        <f>6430000*4/(0.01*8.87287)</f>
        <v>289872386.27411419</v>
      </c>
      <c r="U21" s="98">
        <v>8.8728399999999999E-2</v>
      </c>
      <c r="V21" s="373">
        <f t="shared" si="1"/>
        <v>9.6467610521715121E-3</v>
      </c>
    </row>
    <row r="22" spans="1:22" s="71" customFormat="1" ht="40.5" customHeight="1">
      <c r="A22" s="55">
        <v>14</v>
      </c>
      <c r="B22" s="56" t="s">
        <v>130</v>
      </c>
      <c r="C22" s="57" t="s">
        <v>131</v>
      </c>
      <c r="D22" s="58" t="s">
        <v>132</v>
      </c>
      <c r="E22" s="58" t="s">
        <v>133</v>
      </c>
      <c r="F22" s="58" t="s">
        <v>114</v>
      </c>
      <c r="G22" s="58" t="s">
        <v>53</v>
      </c>
      <c r="H22" s="58" t="s">
        <v>96</v>
      </c>
      <c r="I22" s="58" t="s">
        <v>97</v>
      </c>
      <c r="J22" s="57" t="s">
        <v>80</v>
      </c>
      <c r="K22" s="57" t="s">
        <v>53</v>
      </c>
      <c r="L22" s="57" t="s">
        <v>54</v>
      </c>
      <c r="M22" s="57" t="s">
        <v>55</v>
      </c>
      <c r="N22" s="57" t="s">
        <v>98</v>
      </c>
      <c r="O22" s="59">
        <v>45383</v>
      </c>
      <c r="P22" s="59">
        <v>46113</v>
      </c>
      <c r="Q22" s="60">
        <v>640000</v>
      </c>
      <c r="R22" s="57" t="s">
        <v>89</v>
      </c>
      <c r="S22" s="61">
        <f t="shared" si="2"/>
        <v>69582.310437129127</v>
      </c>
      <c r="T22" s="62">
        <f>Q22/U22</f>
        <v>11034482.758620689</v>
      </c>
      <c r="U22" s="98">
        <v>5.8000000000000003E-2</v>
      </c>
      <c r="V22" s="373">
        <f t="shared" si="1"/>
        <v>6.3058968833648275E-3</v>
      </c>
    </row>
    <row r="23" spans="1:22" s="71" customFormat="1" ht="45" customHeight="1">
      <c r="A23" s="55">
        <v>15</v>
      </c>
      <c r="B23" s="56" t="s">
        <v>136</v>
      </c>
      <c r="C23" s="57" t="s">
        <v>131</v>
      </c>
      <c r="D23" s="85" t="s">
        <v>137</v>
      </c>
      <c r="E23" s="58" t="s">
        <v>133</v>
      </c>
      <c r="F23" s="58" t="s">
        <v>114</v>
      </c>
      <c r="G23" s="58" t="s">
        <v>53</v>
      </c>
      <c r="H23" s="58" t="s">
        <v>96</v>
      </c>
      <c r="I23" s="58" t="s">
        <v>97</v>
      </c>
      <c r="J23" s="57" t="s">
        <v>80</v>
      </c>
      <c r="K23" s="57" t="s">
        <v>53</v>
      </c>
      <c r="L23" s="57" t="s">
        <v>54</v>
      </c>
      <c r="M23" s="57" t="s">
        <v>55</v>
      </c>
      <c r="N23" s="57" t="s">
        <v>98</v>
      </c>
      <c r="O23" s="59">
        <v>45505</v>
      </c>
      <c r="P23" s="59">
        <v>46235</v>
      </c>
      <c r="Q23" s="60">
        <f>708000+72300</f>
        <v>780300</v>
      </c>
      <c r="R23" s="57" t="s">
        <v>89</v>
      </c>
      <c r="S23" s="61">
        <f t="shared" si="2"/>
        <v>84836.057553268518</v>
      </c>
      <c r="T23" s="62"/>
      <c r="U23" s="128">
        <v>9.4674863490082098E-2</v>
      </c>
      <c r="V23" s="373">
        <f t="shared" si="1"/>
        <v>1.0293274596812054E-2</v>
      </c>
    </row>
    <row r="24" spans="1:22" s="101" customFormat="1" ht="54" customHeight="1">
      <c r="A24" s="97">
        <v>16</v>
      </c>
      <c r="B24" s="56" t="s">
        <v>140</v>
      </c>
      <c r="C24" s="57" t="s">
        <v>141</v>
      </c>
      <c r="D24" s="58" t="s">
        <v>142</v>
      </c>
      <c r="E24" s="58" t="s">
        <v>104</v>
      </c>
      <c r="F24" s="58" t="s">
        <v>105</v>
      </c>
      <c r="G24" s="58" t="s">
        <v>106</v>
      </c>
      <c r="H24" s="58" t="s">
        <v>107</v>
      </c>
      <c r="I24" s="58" t="s">
        <v>97</v>
      </c>
      <c r="J24" s="57" t="s">
        <v>72</v>
      </c>
      <c r="K24" s="57" t="s">
        <v>143</v>
      </c>
      <c r="L24" s="57" t="s">
        <v>54</v>
      </c>
      <c r="M24" s="57" t="s">
        <v>55</v>
      </c>
      <c r="N24" s="57" t="s">
        <v>98</v>
      </c>
      <c r="O24" s="59">
        <v>45505</v>
      </c>
      <c r="P24" s="59">
        <v>46966</v>
      </c>
      <c r="Q24" s="60">
        <v>1210000</v>
      </c>
      <c r="R24" s="57" t="s">
        <v>89</v>
      </c>
      <c r="S24" s="61">
        <f t="shared" si="2"/>
        <v>131554.05567019724</v>
      </c>
      <c r="T24" s="62">
        <v>29491560</v>
      </c>
      <c r="U24" s="98">
        <v>4.1028687529584738E-2</v>
      </c>
      <c r="V24" s="373">
        <f t="shared" si="1"/>
        <v>4.4607357382992711E-3</v>
      </c>
    </row>
    <row r="25" spans="1:22" s="101" customFormat="1" ht="30.75" customHeight="1">
      <c r="A25" s="97">
        <v>17</v>
      </c>
      <c r="B25" s="56" t="s">
        <v>146</v>
      </c>
      <c r="C25" s="57" t="s">
        <v>147</v>
      </c>
      <c r="D25" s="58" t="s">
        <v>148</v>
      </c>
      <c r="E25" s="58" t="s">
        <v>149</v>
      </c>
      <c r="F25" s="58" t="s">
        <v>105</v>
      </c>
      <c r="G25" s="58" t="s">
        <v>106</v>
      </c>
      <c r="H25" s="58" t="s">
        <v>107</v>
      </c>
      <c r="I25" s="58" t="s">
        <v>97</v>
      </c>
      <c r="J25" s="57" t="s">
        <v>72</v>
      </c>
      <c r="K25" s="57" t="s">
        <v>143</v>
      </c>
      <c r="L25" s="57" t="s">
        <v>54</v>
      </c>
      <c r="M25" s="57" t="s">
        <v>55</v>
      </c>
      <c r="N25" s="57" t="s">
        <v>98</v>
      </c>
      <c r="O25" s="59">
        <v>45474</v>
      </c>
      <c r="P25" s="59">
        <v>45992</v>
      </c>
      <c r="Q25" s="60">
        <v>903370.27830709994</v>
      </c>
      <c r="R25" s="57" t="s">
        <v>89</v>
      </c>
      <c r="S25" s="61">
        <f t="shared" si="2"/>
        <v>98216.548663813068</v>
      </c>
      <c r="T25" s="62">
        <v>8895000</v>
      </c>
      <c r="U25" s="128">
        <f>0.0115*8.81203</f>
        <v>0.101338345</v>
      </c>
      <c r="V25" s="373">
        <f t="shared" si="1"/>
        <v>1.1017744032773268E-2</v>
      </c>
    </row>
    <row r="26" spans="1:22" s="101" customFormat="1" ht="30.75" customHeight="1">
      <c r="A26" s="97">
        <v>18</v>
      </c>
      <c r="B26" s="56" t="s">
        <v>152</v>
      </c>
      <c r="C26" s="57" t="s">
        <v>147</v>
      </c>
      <c r="D26" s="58" t="s">
        <v>153</v>
      </c>
      <c r="E26" s="58" t="s">
        <v>149</v>
      </c>
      <c r="F26" s="58" t="s">
        <v>105</v>
      </c>
      <c r="G26" s="58" t="s">
        <v>106</v>
      </c>
      <c r="H26" s="58" t="s">
        <v>107</v>
      </c>
      <c r="I26" s="58" t="s">
        <v>97</v>
      </c>
      <c r="J26" s="57" t="s">
        <v>108</v>
      </c>
      <c r="K26" s="57" t="s">
        <v>143</v>
      </c>
      <c r="L26" s="57" t="s">
        <v>54</v>
      </c>
      <c r="M26" s="57" t="s">
        <v>55</v>
      </c>
      <c r="N26" s="57" t="s">
        <v>98</v>
      </c>
      <c r="O26" s="59">
        <v>45536</v>
      </c>
      <c r="P26" s="59">
        <v>45992</v>
      </c>
      <c r="Q26" s="60">
        <v>6018424</v>
      </c>
      <c r="R26" s="57" t="s">
        <v>89</v>
      </c>
      <c r="S26" s="61">
        <f t="shared" si="2"/>
        <v>654337.26110979437</v>
      </c>
      <c r="T26" s="62">
        <v>12960000</v>
      </c>
      <c r="U26" s="128">
        <f>0.0527*8.81203</f>
        <v>0.46439398099999996</v>
      </c>
      <c r="V26" s="373">
        <f t="shared" si="1"/>
        <v>5.0490009611056624E-2</v>
      </c>
    </row>
    <row r="27" spans="1:22" s="101" customFormat="1" ht="45.75" customHeight="1">
      <c r="A27" s="97">
        <v>19</v>
      </c>
      <c r="B27" s="56" t="s">
        <v>154</v>
      </c>
      <c r="C27" s="57" t="s">
        <v>143</v>
      </c>
      <c r="D27" s="58" t="s">
        <v>155</v>
      </c>
      <c r="E27" s="58" t="s">
        <v>104</v>
      </c>
      <c r="F27" s="58" t="s">
        <v>105</v>
      </c>
      <c r="G27" s="58" t="s">
        <v>106</v>
      </c>
      <c r="H27" s="58" t="s">
        <v>156</v>
      </c>
      <c r="I27" s="58" t="s">
        <v>97</v>
      </c>
      <c r="J27" s="57" t="s">
        <v>72</v>
      </c>
      <c r="K27" s="57" t="s">
        <v>143</v>
      </c>
      <c r="L27" s="57" t="s">
        <v>54</v>
      </c>
      <c r="M27" s="57" t="s">
        <v>55</v>
      </c>
      <c r="N27" s="57" t="s">
        <v>98</v>
      </c>
      <c r="O27" s="59">
        <v>44986</v>
      </c>
      <c r="P27" s="59">
        <v>46447</v>
      </c>
      <c r="Q27" s="60">
        <v>1363867.36</v>
      </c>
      <c r="R27" s="57" t="s">
        <v>89</v>
      </c>
      <c r="S27" s="61">
        <f t="shared" si="2"/>
        <v>148282.87818529338</v>
      </c>
      <c r="T27" s="64">
        <v>4682003</v>
      </c>
      <c r="U27" s="137">
        <f>Q27/T27</f>
        <v>0.29129997567280502</v>
      </c>
      <c r="V27" s="373">
        <f t="shared" si="1"/>
        <v>3.1670820839989504E-2</v>
      </c>
    </row>
    <row r="28" spans="1:22" s="101" customFormat="1" ht="66.75" customHeight="1">
      <c r="A28" s="97">
        <v>20</v>
      </c>
      <c r="B28" s="56" t="s">
        <v>159</v>
      </c>
      <c r="C28" s="57" t="s">
        <v>143</v>
      </c>
      <c r="D28" s="58" t="s">
        <v>160</v>
      </c>
      <c r="E28" s="58" t="s">
        <v>104</v>
      </c>
      <c r="F28" s="58" t="s">
        <v>105</v>
      </c>
      <c r="G28" s="58" t="s">
        <v>106</v>
      </c>
      <c r="H28" s="58" t="s">
        <v>156</v>
      </c>
      <c r="I28" s="58" t="s">
        <v>97</v>
      </c>
      <c r="J28" s="57" t="s">
        <v>72</v>
      </c>
      <c r="K28" s="57" t="s">
        <v>143</v>
      </c>
      <c r="L28" s="57" t="s">
        <v>54</v>
      </c>
      <c r="M28" s="57" t="s">
        <v>55</v>
      </c>
      <c r="N28" s="57" t="s">
        <v>98</v>
      </c>
      <c r="O28" s="59">
        <v>45108</v>
      </c>
      <c r="P28" s="59">
        <v>46569</v>
      </c>
      <c r="Q28" s="60">
        <v>130573.98</v>
      </c>
      <c r="R28" s="57" t="s">
        <v>89</v>
      </c>
      <c r="S28" s="61">
        <f t="shared" si="2"/>
        <v>14196.311267767951</v>
      </c>
      <c r="T28" s="64">
        <v>1020000</v>
      </c>
      <c r="U28" s="137">
        <f>Q28/T28</f>
        <v>0.12801370588235295</v>
      </c>
      <c r="V28" s="373">
        <f t="shared" si="1"/>
        <v>1.3917952223301914E-2</v>
      </c>
    </row>
    <row r="29" spans="1:22" s="101" customFormat="1" ht="88.5" customHeight="1">
      <c r="A29" s="97">
        <v>21</v>
      </c>
      <c r="B29" s="56" t="s">
        <v>163</v>
      </c>
      <c r="C29" s="57" t="s">
        <v>143</v>
      </c>
      <c r="D29" s="85" t="s">
        <v>164</v>
      </c>
      <c r="E29" s="58" t="s">
        <v>104</v>
      </c>
      <c r="F29" s="58" t="s">
        <v>105</v>
      </c>
      <c r="G29" s="58" t="s">
        <v>106</v>
      </c>
      <c r="H29" s="58" t="s">
        <v>156</v>
      </c>
      <c r="I29" s="58" t="s">
        <v>97</v>
      </c>
      <c r="J29" s="57" t="s">
        <v>72</v>
      </c>
      <c r="K29" s="57" t="s">
        <v>143</v>
      </c>
      <c r="L29" s="57" t="s">
        <v>54</v>
      </c>
      <c r="M29" s="57" t="s">
        <v>55</v>
      </c>
      <c r="N29" s="57" t="s">
        <v>98</v>
      </c>
      <c r="O29" s="59">
        <v>45017</v>
      </c>
      <c r="P29" s="59">
        <v>46478</v>
      </c>
      <c r="Q29" s="60">
        <v>95728.991999999998</v>
      </c>
      <c r="R29" s="57" t="s">
        <v>89</v>
      </c>
      <c r="S29" s="61">
        <f t="shared" si="2"/>
        <v>10407.881936214766</v>
      </c>
      <c r="T29" s="64"/>
      <c r="U29" s="137"/>
      <c r="V29" s="373">
        <f t="shared" si="1"/>
        <v>0</v>
      </c>
    </row>
    <row r="30" spans="1:22" s="101" customFormat="1" ht="68.25" customHeight="1">
      <c r="A30" s="97">
        <v>22</v>
      </c>
      <c r="B30" s="56" t="s">
        <v>167</v>
      </c>
      <c r="C30" s="57" t="s">
        <v>143</v>
      </c>
      <c r="D30" s="85" t="s">
        <v>168</v>
      </c>
      <c r="E30" s="58" t="s">
        <v>104</v>
      </c>
      <c r="F30" s="58" t="s">
        <v>105</v>
      </c>
      <c r="G30" s="58" t="s">
        <v>106</v>
      </c>
      <c r="H30" s="58" t="s">
        <v>156</v>
      </c>
      <c r="I30" s="58" t="s">
        <v>97</v>
      </c>
      <c r="J30" s="57" t="s">
        <v>72</v>
      </c>
      <c r="K30" s="57" t="s">
        <v>143</v>
      </c>
      <c r="L30" s="57" t="s">
        <v>54</v>
      </c>
      <c r="M30" s="57" t="s">
        <v>55</v>
      </c>
      <c r="N30" s="57" t="s">
        <v>98</v>
      </c>
      <c r="O30" s="59">
        <v>45017</v>
      </c>
      <c r="P30" s="59">
        <v>46478</v>
      </c>
      <c r="Q30" s="60">
        <v>706075.2</v>
      </c>
      <c r="R30" s="57" t="s">
        <v>89</v>
      </c>
      <c r="S30" s="61">
        <f t="shared" si="2"/>
        <v>76766.162122434427</v>
      </c>
      <c r="T30" s="64"/>
      <c r="U30" s="137"/>
      <c r="V30" s="373">
        <f t="shared" si="1"/>
        <v>0</v>
      </c>
    </row>
    <row r="31" spans="1:22" s="101" customFormat="1" ht="47.25" customHeight="1">
      <c r="A31" s="97">
        <v>23</v>
      </c>
      <c r="B31" s="56" t="s">
        <v>170</v>
      </c>
      <c r="C31" s="57" t="s">
        <v>143</v>
      </c>
      <c r="D31" s="58" t="s">
        <v>171</v>
      </c>
      <c r="E31" s="58" t="s">
        <v>104</v>
      </c>
      <c r="F31" s="58" t="s">
        <v>105</v>
      </c>
      <c r="G31" s="58" t="s">
        <v>106</v>
      </c>
      <c r="H31" s="58" t="s">
        <v>156</v>
      </c>
      <c r="I31" s="58" t="s">
        <v>97</v>
      </c>
      <c r="J31" s="57" t="s">
        <v>72</v>
      </c>
      <c r="K31" s="57" t="s">
        <v>143</v>
      </c>
      <c r="L31" s="57" t="s">
        <v>54</v>
      </c>
      <c r="M31" s="57" t="s">
        <v>55</v>
      </c>
      <c r="N31" s="57" t="s">
        <v>98</v>
      </c>
      <c r="O31" s="59">
        <v>45108</v>
      </c>
      <c r="P31" s="59">
        <v>46569</v>
      </c>
      <c r="Q31" s="60">
        <v>46448.487679999998</v>
      </c>
      <c r="R31" s="57" t="s">
        <v>89</v>
      </c>
      <c r="S31" s="61">
        <f t="shared" si="2"/>
        <v>5049.989201695199</v>
      </c>
      <c r="T31" s="64">
        <v>3976000</v>
      </c>
      <c r="U31" s="137">
        <v>1.16822152112676E-2</v>
      </c>
      <c r="V31" s="373">
        <f t="shared" si="1"/>
        <v>1.2701180084746472E-3</v>
      </c>
    </row>
    <row r="32" spans="1:22" s="101" customFormat="1" ht="62.25" customHeight="1">
      <c r="A32" s="97">
        <v>24</v>
      </c>
      <c r="B32" s="56" t="s">
        <v>174</v>
      </c>
      <c r="C32" s="57" t="s">
        <v>143</v>
      </c>
      <c r="D32" s="85" t="s">
        <v>175</v>
      </c>
      <c r="E32" s="58" t="s">
        <v>104</v>
      </c>
      <c r="F32" s="58" t="s">
        <v>105</v>
      </c>
      <c r="G32" s="58" t="s">
        <v>106</v>
      </c>
      <c r="H32" s="58" t="s">
        <v>156</v>
      </c>
      <c r="I32" s="58" t="s">
        <v>97</v>
      </c>
      <c r="J32" s="57" t="s">
        <v>72</v>
      </c>
      <c r="K32" s="57" t="s">
        <v>143</v>
      </c>
      <c r="L32" s="57" t="s">
        <v>54</v>
      </c>
      <c r="M32" s="57" t="s">
        <v>55</v>
      </c>
      <c r="N32" s="57" t="s">
        <v>98</v>
      </c>
      <c r="O32" s="59">
        <v>45017</v>
      </c>
      <c r="P32" s="59">
        <v>46478</v>
      </c>
      <c r="Q32" s="60">
        <v>466929.08134400001</v>
      </c>
      <c r="R32" s="57" t="s">
        <v>89</v>
      </c>
      <c r="S32" s="61">
        <f t="shared" si="2"/>
        <v>50765.631703440195</v>
      </c>
      <c r="T32" s="64"/>
      <c r="U32" s="137"/>
      <c r="V32" s="373">
        <f t="shared" si="1"/>
        <v>0</v>
      </c>
    </row>
    <row r="33" spans="1:1229" s="101" customFormat="1" ht="87" customHeight="1">
      <c r="A33" s="97">
        <v>25</v>
      </c>
      <c r="B33" s="56" t="s">
        <v>178</v>
      </c>
      <c r="C33" s="57" t="s">
        <v>143</v>
      </c>
      <c r="D33" s="85" t="s">
        <v>179</v>
      </c>
      <c r="E33" s="58" t="s">
        <v>104</v>
      </c>
      <c r="F33" s="58" t="s">
        <v>105</v>
      </c>
      <c r="G33" s="58" t="s">
        <v>106</v>
      </c>
      <c r="H33" s="58" t="s">
        <v>156</v>
      </c>
      <c r="I33" s="58" t="s">
        <v>97</v>
      </c>
      <c r="J33" s="57" t="s">
        <v>72</v>
      </c>
      <c r="K33" s="57" t="s">
        <v>143</v>
      </c>
      <c r="L33" s="57" t="s">
        <v>54</v>
      </c>
      <c r="M33" s="57" t="s">
        <v>55</v>
      </c>
      <c r="N33" s="57" t="s">
        <v>98</v>
      </c>
      <c r="O33" s="59">
        <v>45108</v>
      </c>
      <c r="P33" s="59">
        <v>46569</v>
      </c>
      <c r="Q33" s="60">
        <v>80274.710000000006</v>
      </c>
      <c r="R33" s="57" t="s">
        <v>89</v>
      </c>
      <c r="S33" s="61">
        <f t="shared" si="2"/>
        <v>8727.6559241726791</v>
      </c>
      <c r="T33" s="64"/>
      <c r="U33" s="137"/>
      <c r="V33" s="373">
        <f t="shared" si="1"/>
        <v>0</v>
      </c>
    </row>
    <row r="34" spans="1:1229" s="71" customFormat="1" ht="30.75" customHeight="1">
      <c r="A34" s="55">
        <v>27</v>
      </c>
      <c r="B34" s="56" t="s">
        <v>182</v>
      </c>
      <c r="C34" s="57" t="s">
        <v>112</v>
      </c>
      <c r="D34" s="85" t="s">
        <v>183</v>
      </c>
      <c r="E34" s="85" t="s">
        <v>95</v>
      </c>
      <c r="F34" s="85" t="s">
        <v>114</v>
      </c>
      <c r="G34" s="71" t="s">
        <v>53</v>
      </c>
      <c r="H34" s="85" t="s">
        <v>50</v>
      </c>
      <c r="I34" s="85" t="s">
        <v>97</v>
      </c>
      <c r="J34" s="48" t="s">
        <v>115</v>
      </c>
      <c r="K34" s="57" t="s">
        <v>53</v>
      </c>
      <c r="L34" s="57" t="s">
        <v>54</v>
      </c>
      <c r="M34" s="57" t="s">
        <v>55</v>
      </c>
      <c r="N34" s="57" t="s">
        <v>98</v>
      </c>
      <c r="O34" s="59"/>
      <c r="P34" s="59"/>
      <c r="Q34" s="60">
        <v>5756300</v>
      </c>
      <c r="R34" s="57" t="s">
        <v>89</v>
      </c>
      <c r="S34" s="61">
        <f t="shared" si="2"/>
        <v>625838.52120194747</v>
      </c>
      <c r="T34" s="60"/>
      <c r="U34" s="141"/>
      <c r="V34" s="373">
        <f t="shared" si="1"/>
        <v>0</v>
      </c>
    </row>
    <row r="35" spans="1:1229" s="71" customFormat="1" ht="30.75" customHeight="1">
      <c r="A35" s="55">
        <v>26</v>
      </c>
      <c r="B35" s="56" t="s">
        <v>186</v>
      </c>
      <c r="C35" s="57" t="s">
        <v>82</v>
      </c>
      <c r="D35" s="85" t="s">
        <v>187</v>
      </c>
      <c r="E35" s="85" t="s">
        <v>95</v>
      </c>
      <c r="F35" s="85" t="s">
        <v>114</v>
      </c>
      <c r="G35" s="85" t="s">
        <v>53</v>
      </c>
      <c r="H35" s="85" t="s">
        <v>50</v>
      </c>
      <c r="I35" s="85" t="s">
        <v>97</v>
      </c>
      <c r="J35" s="48" t="s">
        <v>115</v>
      </c>
      <c r="K35" s="57" t="s">
        <v>53</v>
      </c>
      <c r="L35" s="57" t="s">
        <v>54</v>
      </c>
      <c r="M35" s="57" t="s">
        <v>55</v>
      </c>
      <c r="N35" s="57" t="s">
        <v>98</v>
      </c>
      <c r="O35" s="59">
        <v>45777</v>
      </c>
      <c r="P35" s="59">
        <v>46507</v>
      </c>
      <c r="Q35" s="60">
        <v>12518185</v>
      </c>
      <c r="R35" s="57" t="s">
        <v>89</v>
      </c>
      <c r="S35" s="61">
        <f t="shared" si="2"/>
        <v>1361006.6168428331</v>
      </c>
      <c r="T35" s="137" t="s">
        <v>188</v>
      </c>
      <c r="U35" s="137" t="s">
        <v>188</v>
      </c>
      <c r="V35" s="373"/>
    </row>
    <row r="36" spans="1:1229" s="71" customFormat="1" ht="30.75" customHeight="1">
      <c r="A36" s="55">
        <v>28</v>
      </c>
      <c r="B36" s="56" t="s">
        <v>191</v>
      </c>
      <c r="C36" s="57" t="s">
        <v>112</v>
      </c>
      <c r="D36" s="85" t="s">
        <v>192</v>
      </c>
      <c r="E36" s="85" t="s">
        <v>95</v>
      </c>
      <c r="F36" s="85" t="s">
        <v>114</v>
      </c>
      <c r="G36" s="147" t="s">
        <v>53</v>
      </c>
      <c r="H36" s="85" t="s">
        <v>50</v>
      </c>
      <c r="I36" s="85" t="s">
        <v>97</v>
      </c>
      <c r="J36" s="48" t="s">
        <v>115</v>
      </c>
      <c r="K36" s="57" t="s">
        <v>53</v>
      </c>
      <c r="L36" s="57" t="s">
        <v>54</v>
      </c>
      <c r="M36" s="57" t="s">
        <v>55</v>
      </c>
      <c r="N36" s="57" t="s">
        <v>98</v>
      </c>
      <c r="O36" s="59" t="s">
        <v>188</v>
      </c>
      <c r="P36" s="59" t="s">
        <v>188</v>
      </c>
      <c r="Q36" s="112">
        <v>6590000</v>
      </c>
      <c r="R36" s="57" t="s">
        <v>89</v>
      </c>
      <c r="S36" s="61">
        <f t="shared" si="2"/>
        <v>716480.35278231394</v>
      </c>
      <c r="T36" s="60"/>
      <c r="U36" s="148"/>
      <c r="V36" s="373">
        <f t="shared" si="1"/>
        <v>0</v>
      </c>
    </row>
    <row r="37" spans="1:1229" s="71" customFormat="1" ht="30.75" customHeight="1">
      <c r="A37" s="55">
        <v>29</v>
      </c>
      <c r="B37" s="56" t="s">
        <v>194</v>
      </c>
      <c r="C37" s="57" t="s">
        <v>195</v>
      </c>
      <c r="D37" s="58" t="s">
        <v>196</v>
      </c>
      <c r="E37" s="58" t="s">
        <v>133</v>
      </c>
      <c r="F37" s="58" t="s">
        <v>114</v>
      </c>
      <c r="G37" s="153" t="s">
        <v>53</v>
      </c>
      <c r="H37" s="58" t="s">
        <v>197</v>
      </c>
      <c r="I37" s="58" t="s">
        <v>97</v>
      </c>
      <c r="J37" s="57" t="s">
        <v>80</v>
      </c>
      <c r="K37" s="57" t="s">
        <v>53</v>
      </c>
      <c r="L37" s="57" t="s">
        <v>54</v>
      </c>
      <c r="M37" s="57" t="s">
        <v>55</v>
      </c>
      <c r="N37" s="57" t="s">
        <v>98</v>
      </c>
      <c r="O37" s="59">
        <v>45747</v>
      </c>
      <c r="P37" s="59">
        <v>46477</v>
      </c>
      <c r="Q37" s="60">
        <v>2126778</v>
      </c>
      <c r="R37" s="57" t="s">
        <v>89</v>
      </c>
      <c r="S37" s="61">
        <f t="shared" si="2"/>
        <v>231228.32347946343</v>
      </c>
      <c r="T37" s="60">
        <v>5400000</v>
      </c>
      <c r="U37" s="154">
        <v>0.39379999999999998</v>
      </c>
      <c r="V37" s="373">
        <f t="shared" si="1"/>
        <v>4.2814865390846009E-2</v>
      </c>
    </row>
    <row r="38" spans="1:1229" s="71" customFormat="1" ht="62.25" customHeight="1">
      <c r="A38" s="55">
        <v>30</v>
      </c>
      <c r="B38" s="56" t="s">
        <v>198</v>
      </c>
      <c r="C38" s="57" t="s">
        <v>199</v>
      </c>
      <c r="D38" s="58" t="s">
        <v>200</v>
      </c>
      <c r="E38" s="58" t="s">
        <v>133</v>
      </c>
      <c r="F38" s="58" t="s">
        <v>114</v>
      </c>
      <c r="G38" s="153" t="s">
        <v>53</v>
      </c>
      <c r="H38" s="58" t="s">
        <v>197</v>
      </c>
      <c r="I38" s="58" t="s">
        <v>97</v>
      </c>
      <c r="J38" s="57" t="s">
        <v>80</v>
      </c>
      <c r="K38" s="57" t="s">
        <v>53</v>
      </c>
      <c r="L38" s="57" t="s">
        <v>54</v>
      </c>
      <c r="M38" s="57" t="s">
        <v>55</v>
      </c>
      <c r="N38" s="57" t="s">
        <v>98</v>
      </c>
      <c r="O38" s="59">
        <v>45761</v>
      </c>
      <c r="P38" s="59">
        <v>46491</v>
      </c>
      <c r="Q38" s="60">
        <v>1682778</v>
      </c>
      <c r="R38" s="57" t="s">
        <v>89</v>
      </c>
      <c r="S38" s="61">
        <f t="shared" si="2"/>
        <v>182955.59561370511</v>
      </c>
      <c r="T38" s="60">
        <v>5400000</v>
      </c>
      <c r="U38" s="161">
        <v>0.30840000000000001</v>
      </c>
      <c r="V38" s="373">
        <f t="shared" si="1"/>
        <v>3.3529975841891595E-2</v>
      </c>
    </row>
    <row r="39" spans="1:1229" s="71" customFormat="1" ht="30.75" customHeight="1">
      <c r="A39" s="55">
        <v>31</v>
      </c>
      <c r="B39" s="56" t="s">
        <v>201</v>
      </c>
      <c r="C39" s="57" t="s">
        <v>138</v>
      </c>
      <c r="D39" s="58" t="s">
        <v>202</v>
      </c>
      <c r="E39" s="58" t="s">
        <v>104</v>
      </c>
      <c r="F39" s="58" t="s">
        <v>114</v>
      </c>
      <c r="G39" s="153" t="s">
        <v>53</v>
      </c>
      <c r="H39" s="58" t="s">
        <v>197</v>
      </c>
      <c r="I39" s="58" t="s">
        <v>97</v>
      </c>
      <c r="J39" s="57" t="s">
        <v>80</v>
      </c>
      <c r="K39" s="57" t="s">
        <v>53</v>
      </c>
      <c r="L39" s="57" t="s">
        <v>54</v>
      </c>
      <c r="M39" s="57" t="s">
        <v>55</v>
      </c>
      <c r="N39" s="57" t="s">
        <v>98</v>
      </c>
      <c r="O39" s="59">
        <v>45689</v>
      </c>
      <c r="P39" s="59">
        <v>46411</v>
      </c>
      <c r="Q39" s="60">
        <v>4352000</v>
      </c>
      <c r="R39" s="57" t="s">
        <v>89</v>
      </c>
      <c r="S39" s="61">
        <f t="shared" si="2"/>
        <v>473159.71097247803</v>
      </c>
      <c r="T39" s="162">
        <v>4800000</v>
      </c>
      <c r="U39" s="98">
        <v>0.91</v>
      </c>
      <c r="V39" s="373">
        <f t="shared" si="1"/>
        <v>9.8937347652792981E-2</v>
      </c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147"/>
      <c r="FD39" s="147"/>
      <c r="FE39" s="147"/>
      <c r="FF39" s="147"/>
      <c r="FG39" s="147"/>
      <c r="FH39" s="147"/>
      <c r="FI39" s="147"/>
      <c r="FJ39" s="147"/>
      <c r="FK39" s="147"/>
      <c r="FL39" s="147"/>
      <c r="FM39" s="147"/>
      <c r="FN39" s="147"/>
      <c r="FO39" s="147"/>
      <c r="FP39" s="147"/>
      <c r="FQ39" s="147"/>
      <c r="FR39" s="147"/>
      <c r="FS39" s="147"/>
      <c r="FT39" s="147"/>
      <c r="FU39" s="147"/>
      <c r="FV39" s="147"/>
      <c r="FW39" s="147"/>
      <c r="FX39" s="147"/>
      <c r="FY39" s="147"/>
      <c r="FZ39" s="147"/>
      <c r="GA39" s="147"/>
      <c r="GB39" s="147"/>
      <c r="GC39" s="147"/>
      <c r="GD39" s="147"/>
      <c r="GE39" s="147"/>
      <c r="GF39" s="147"/>
      <c r="GG39" s="147"/>
      <c r="GH39" s="147"/>
      <c r="GI39" s="147"/>
      <c r="GJ39" s="147"/>
      <c r="GK39" s="147"/>
      <c r="GL39" s="147"/>
      <c r="GM39" s="147"/>
      <c r="GN39" s="147"/>
      <c r="GO39" s="147"/>
      <c r="GP39" s="147"/>
      <c r="GQ39" s="147"/>
      <c r="GR39" s="147"/>
      <c r="GS39" s="147"/>
      <c r="GT39" s="147"/>
      <c r="GU39" s="147"/>
      <c r="GV39" s="147"/>
      <c r="GW39" s="147"/>
      <c r="GX39" s="147"/>
      <c r="GY39" s="147"/>
      <c r="GZ39" s="147"/>
      <c r="HA39" s="147"/>
      <c r="HB39" s="147"/>
      <c r="HC39" s="147"/>
      <c r="HD39" s="147"/>
      <c r="HE39" s="147"/>
      <c r="HF39" s="147"/>
      <c r="HG39" s="147"/>
      <c r="HH39" s="147"/>
      <c r="HI39" s="147"/>
      <c r="HJ39" s="147"/>
      <c r="HK39" s="147"/>
      <c r="HL39" s="147"/>
      <c r="HM39" s="147"/>
      <c r="HN39" s="147"/>
      <c r="HO39" s="147"/>
      <c r="HP39" s="147"/>
      <c r="HQ39" s="147"/>
      <c r="HR39" s="147"/>
      <c r="HS39" s="147"/>
      <c r="HT39" s="147"/>
      <c r="HU39" s="147"/>
      <c r="HV39" s="147"/>
      <c r="HW39" s="147"/>
      <c r="HX39" s="147"/>
      <c r="HY39" s="147"/>
      <c r="HZ39" s="147"/>
      <c r="IA39" s="147"/>
      <c r="IB39" s="147"/>
      <c r="IC39" s="147"/>
      <c r="ID39" s="147"/>
      <c r="IE39" s="147"/>
      <c r="IF39" s="147"/>
      <c r="IG39" s="147"/>
      <c r="IH39" s="147"/>
      <c r="II39" s="147"/>
      <c r="IJ39" s="147"/>
      <c r="IK39" s="147"/>
      <c r="IL39" s="147"/>
      <c r="IM39" s="147"/>
      <c r="IN39" s="147"/>
      <c r="IO39" s="147"/>
      <c r="IP39" s="147"/>
      <c r="IQ39" s="147"/>
      <c r="IR39" s="147"/>
      <c r="IS39" s="147"/>
      <c r="IT39" s="147"/>
      <c r="IU39" s="147"/>
      <c r="IV39" s="147"/>
      <c r="IW39" s="147"/>
      <c r="IX39" s="147"/>
      <c r="IY39" s="147"/>
      <c r="IZ39" s="147"/>
      <c r="JA39" s="147"/>
      <c r="JB39" s="147"/>
      <c r="JC39" s="147"/>
      <c r="JD39" s="147"/>
      <c r="JE39" s="147"/>
      <c r="JF39" s="147"/>
      <c r="JG39" s="147"/>
      <c r="JH39" s="147"/>
      <c r="JI39" s="147"/>
      <c r="JJ39" s="147"/>
      <c r="JK39" s="147"/>
      <c r="JL39" s="147"/>
      <c r="JM39" s="147"/>
      <c r="JN39" s="147"/>
      <c r="JO39" s="147"/>
      <c r="JP39" s="147"/>
      <c r="JQ39" s="147"/>
      <c r="JR39" s="147"/>
      <c r="JS39" s="147"/>
      <c r="JT39" s="147"/>
      <c r="JU39" s="147"/>
      <c r="JV39" s="147"/>
      <c r="JW39" s="147"/>
      <c r="JX39" s="147"/>
      <c r="JY39" s="147"/>
      <c r="JZ39" s="147"/>
      <c r="KA39" s="147"/>
      <c r="KB39" s="147"/>
      <c r="KC39" s="147"/>
      <c r="KD39" s="147"/>
      <c r="KE39" s="147"/>
      <c r="KF39" s="147"/>
      <c r="KG39" s="147"/>
      <c r="KH39" s="147"/>
      <c r="KI39" s="147"/>
      <c r="KJ39" s="147"/>
      <c r="KK39" s="147"/>
      <c r="KL39" s="147"/>
      <c r="KM39" s="147"/>
      <c r="KN39" s="147"/>
      <c r="KO39" s="147"/>
      <c r="KP39" s="147"/>
      <c r="KQ39" s="147"/>
      <c r="KR39" s="147"/>
      <c r="KS39" s="147"/>
      <c r="KT39" s="147"/>
      <c r="KU39" s="147"/>
      <c r="KV39" s="147"/>
      <c r="KW39" s="147"/>
      <c r="KX39" s="147"/>
      <c r="KY39" s="147"/>
      <c r="KZ39" s="147"/>
      <c r="LA39" s="147"/>
      <c r="LB39" s="147"/>
      <c r="LC39" s="147"/>
      <c r="LD39" s="147"/>
      <c r="LE39" s="147"/>
      <c r="LF39" s="147"/>
      <c r="LG39" s="147"/>
      <c r="LH39" s="147"/>
      <c r="LI39" s="147"/>
      <c r="LJ39" s="147"/>
      <c r="LK39" s="147"/>
      <c r="LL39" s="147"/>
      <c r="LM39" s="147"/>
      <c r="LN39" s="147"/>
      <c r="LO39" s="147"/>
      <c r="LP39" s="147"/>
      <c r="LQ39" s="147"/>
      <c r="LR39" s="147"/>
      <c r="LS39" s="147"/>
      <c r="LT39" s="147"/>
      <c r="LU39" s="147"/>
      <c r="LV39" s="147"/>
      <c r="LW39" s="147"/>
      <c r="LX39" s="147"/>
      <c r="LY39" s="147"/>
      <c r="LZ39" s="147"/>
      <c r="MA39" s="147"/>
      <c r="MB39" s="147"/>
      <c r="MC39" s="147"/>
      <c r="MD39" s="147"/>
      <c r="ME39" s="147"/>
      <c r="MF39" s="147"/>
      <c r="MG39" s="147"/>
      <c r="MH39" s="147"/>
      <c r="MI39" s="147"/>
      <c r="MJ39" s="147"/>
      <c r="MK39" s="147"/>
      <c r="ML39" s="147"/>
      <c r="MM39" s="147"/>
      <c r="MN39" s="147"/>
      <c r="MO39" s="147"/>
      <c r="MP39" s="147"/>
      <c r="MQ39" s="147"/>
      <c r="MR39" s="147"/>
      <c r="MS39" s="147"/>
      <c r="MT39" s="147"/>
      <c r="MU39" s="147"/>
      <c r="MV39" s="147"/>
      <c r="MW39" s="147"/>
      <c r="MX39" s="147"/>
      <c r="MY39" s="147"/>
      <c r="MZ39" s="147"/>
      <c r="NA39" s="147"/>
      <c r="NB39" s="147"/>
      <c r="NC39" s="147"/>
      <c r="ND39" s="147"/>
      <c r="NE39" s="147"/>
      <c r="NF39" s="147"/>
      <c r="NG39" s="147"/>
      <c r="NH39" s="147"/>
      <c r="NI39" s="147"/>
      <c r="NJ39" s="147"/>
      <c r="NK39" s="147"/>
      <c r="NL39" s="147"/>
      <c r="NM39" s="147"/>
      <c r="NN39" s="147"/>
      <c r="NO39" s="147"/>
      <c r="NP39" s="147"/>
      <c r="NQ39" s="147"/>
      <c r="NR39" s="147"/>
      <c r="NS39" s="147"/>
      <c r="NT39" s="147"/>
      <c r="NU39" s="147"/>
      <c r="NV39" s="147"/>
      <c r="NW39" s="147"/>
      <c r="NX39" s="147"/>
      <c r="NY39" s="147"/>
      <c r="NZ39" s="147"/>
      <c r="OA39" s="147"/>
      <c r="OB39" s="147"/>
      <c r="OC39" s="147"/>
      <c r="OD39" s="147"/>
      <c r="OE39" s="147"/>
      <c r="OF39" s="147"/>
      <c r="OG39" s="147"/>
      <c r="OH39" s="147"/>
      <c r="OI39" s="147"/>
      <c r="OJ39" s="147"/>
      <c r="OK39" s="147"/>
      <c r="OL39" s="147"/>
      <c r="OM39" s="147"/>
      <c r="ON39" s="147"/>
      <c r="OO39" s="147"/>
      <c r="OP39" s="147"/>
      <c r="OQ39" s="147"/>
      <c r="OR39" s="147"/>
      <c r="OS39" s="147"/>
      <c r="OT39" s="147"/>
      <c r="OU39" s="147"/>
      <c r="OV39" s="147"/>
      <c r="OW39" s="147"/>
      <c r="OX39" s="147"/>
      <c r="OY39" s="147"/>
      <c r="OZ39" s="147"/>
      <c r="PA39" s="147"/>
      <c r="PB39" s="147"/>
      <c r="PC39" s="147"/>
      <c r="PD39" s="147"/>
      <c r="PE39" s="147"/>
      <c r="PF39" s="147"/>
      <c r="PG39" s="147"/>
      <c r="PH39" s="147"/>
      <c r="PI39" s="147"/>
      <c r="PJ39" s="147"/>
      <c r="PK39" s="147"/>
      <c r="PL39" s="147"/>
      <c r="PM39" s="147"/>
      <c r="PN39" s="147"/>
      <c r="PO39" s="147"/>
      <c r="PP39" s="147"/>
      <c r="PQ39" s="147"/>
      <c r="PR39" s="147"/>
      <c r="PS39" s="147"/>
      <c r="PT39" s="147"/>
      <c r="PU39" s="147"/>
      <c r="PV39" s="147"/>
      <c r="PW39" s="147"/>
      <c r="PX39" s="147"/>
      <c r="PY39" s="147"/>
      <c r="PZ39" s="147"/>
      <c r="QA39" s="147"/>
      <c r="QB39" s="147"/>
      <c r="QC39" s="147"/>
      <c r="QD39" s="147"/>
      <c r="QE39" s="147"/>
      <c r="QF39" s="147"/>
      <c r="QG39" s="147"/>
      <c r="QH39" s="147"/>
      <c r="QI39" s="147"/>
      <c r="QJ39" s="147"/>
      <c r="QK39" s="147"/>
      <c r="QL39" s="147"/>
      <c r="QM39" s="147"/>
      <c r="QN39" s="147"/>
      <c r="QO39" s="147"/>
      <c r="QP39" s="147"/>
      <c r="QQ39" s="147"/>
      <c r="QR39" s="147"/>
      <c r="QS39" s="147"/>
      <c r="QT39" s="147"/>
      <c r="QU39" s="147"/>
      <c r="QV39" s="147"/>
      <c r="QW39" s="147"/>
      <c r="QX39" s="147"/>
      <c r="QY39" s="147"/>
      <c r="QZ39" s="147"/>
      <c r="RA39" s="147"/>
      <c r="RB39" s="147"/>
      <c r="RC39" s="147"/>
      <c r="RD39" s="147"/>
      <c r="RE39" s="147"/>
      <c r="RF39" s="147"/>
      <c r="RG39" s="147"/>
      <c r="RH39" s="147"/>
      <c r="RI39" s="147"/>
      <c r="RJ39" s="147"/>
      <c r="RK39" s="147"/>
      <c r="RL39" s="147"/>
      <c r="RM39" s="147"/>
      <c r="RN39" s="147"/>
      <c r="RO39" s="147"/>
      <c r="RP39" s="147"/>
      <c r="RQ39" s="147"/>
      <c r="RR39" s="147"/>
      <c r="RS39" s="147"/>
      <c r="RT39" s="147"/>
      <c r="RU39" s="147"/>
      <c r="RV39" s="147"/>
      <c r="RW39" s="147"/>
      <c r="RX39" s="147"/>
      <c r="RY39" s="147"/>
      <c r="RZ39" s="147"/>
      <c r="SA39" s="147"/>
      <c r="SB39" s="147"/>
      <c r="SC39" s="147"/>
      <c r="SD39" s="147"/>
      <c r="SE39" s="147"/>
      <c r="SF39" s="147"/>
      <c r="SG39" s="147"/>
      <c r="SH39" s="147"/>
      <c r="SI39" s="147"/>
      <c r="SJ39" s="147"/>
      <c r="SK39" s="147"/>
      <c r="SL39" s="147"/>
      <c r="SM39" s="147"/>
      <c r="SN39" s="147"/>
      <c r="SO39" s="147"/>
      <c r="SP39" s="147"/>
      <c r="SQ39" s="147"/>
      <c r="SR39" s="147"/>
      <c r="SS39" s="147"/>
      <c r="ST39" s="147"/>
      <c r="SU39" s="147"/>
      <c r="SV39" s="147"/>
      <c r="SW39" s="147"/>
      <c r="SX39" s="147"/>
      <c r="SY39" s="147"/>
      <c r="SZ39" s="147"/>
      <c r="TA39" s="147"/>
      <c r="TB39" s="147"/>
      <c r="TC39" s="147"/>
      <c r="TD39" s="147"/>
      <c r="TE39" s="147"/>
      <c r="TF39" s="147"/>
      <c r="TG39" s="147"/>
      <c r="TH39" s="147"/>
      <c r="TI39" s="147"/>
      <c r="TJ39" s="147"/>
      <c r="TK39" s="147"/>
      <c r="TL39" s="147"/>
      <c r="TM39" s="147"/>
      <c r="TN39" s="147"/>
      <c r="TO39" s="147"/>
      <c r="TP39" s="147"/>
      <c r="TQ39" s="147"/>
      <c r="TR39" s="147"/>
      <c r="TS39" s="147"/>
      <c r="TT39" s="147"/>
      <c r="TU39" s="147"/>
      <c r="TV39" s="147"/>
      <c r="TW39" s="147"/>
      <c r="TX39" s="147"/>
      <c r="TY39" s="147"/>
      <c r="TZ39" s="147"/>
      <c r="UA39" s="147"/>
      <c r="UB39" s="147"/>
      <c r="UC39" s="147"/>
      <c r="UD39" s="147"/>
      <c r="UE39" s="147"/>
      <c r="UF39" s="147"/>
      <c r="UG39" s="147"/>
      <c r="UH39" s="147"/>
      <c r="UI39" s="147"/>
      <c r="UJ39" s="147"/>
      <c r="UK39" s="147"/>
      <c r="UL39" s="147"/>
      <c r="UM39" s="147"/>
      <c r="UN39" s="147"/>
      <c r="UO39" s="147"/>
      <c r="UP39" s="147"/>
      <c r="UQ39" s="147"/>
      <c r="UR39" s="147"/>
      <c r="US39" s="147"/>
      <c r="UT39" s="147"/>
      <c r="UU39" s="147"/>
      <c r="UV39" s="147"/>
      <c r="UW39" s="147"/>
      <c r="UX39" s="147"/>
      <c r="UY39" s="147"/>
      <c r="UZ39" s="147"/>
      <c r="VA39" s="147"/>
      <c r="VB39" s="147"/>
      <c r="VC39" s="147"/>
      <c r="VD39" s="147"/>
      <c r="VE39" s="147"/>
      <c r="VF39" s="147"/>
      <c r="VG39" s="147"/>
      <c r="VH39" s="147"/>
      <c r="VI39" s="147"/>
      <c r="VJ39" s="147"/>
      <c r="VK39" s="147"/>
      <c r="VL39" s="147"/>
      <c r="VM39" s="147"/>
      <c r="VN39" s="147"/>
      <c r="VO39" s="147"/>
      <c r="VP39" s="147"/>
      <c r="VQ39" s="147"/>
      <c r="VR39" s="147"/>
      <c r="VS39" s="147"/>
      <c r="VT39" s="147"/>
      <c r="VU39" s="147"/>
      <c r="VV39" s="147"/>
      <c r="VW39" s="147"/>
      <c r="VX39" s="147"/>
      <c r="VY39" s="147"/>
      <c r="VZ39" s="147"/>
      <c r="WA39" s="147"/>
      <c r="WB39" s="147"/>
      <c r="WC39" s="147"/>
      <c r="WD39" s="147"/>
      <c r="WE39" s="147"/>
      <c r="WF39" s="147"/>
      <c r="WG39" s="147"/>
      <c r="WH39" s="147"/>
      <c r="WI39" s="147"/>
      <c r="WJ39" s="147"/>
      <c r="WK39" s="147"/>
      <c r="WL39" s="147"/>
      <c r="WM39" s="147"/>
      <c r="WN39" s="147"/>
      <c r="WO39" s="147"/>
      <c r="WP39" s="147"/>
      <c r="WQ39" s="147"/>
      <c r="WR39" s="147"/>
      <c r="WS39" s="147"/>
      <c r="WT39" s="147"/>
      <c r="WU39" s="147"/>
      <c r="WV39" s="147"/>
      <c r="WW39" s="147"/>
      <c r="WX39" s="147"/>
      <c r="WY39" s="147"/>
      <c r="WZ39" s="147"/>
      <c r="XA39" s="147"/>
      <c r="XB39" s="147"/>
      <c r="XC39" s="147"/>
      <c r="XD39" s="147"/>
      <c r="XE39" s="147"/>
      <c r="XF39" s="147"/>
      <c r="XG39" s="147"/>
      <c r="XH39" s="147"/>
      <c r="XI39" s="147"/>
      <c r="XJ39" s="147"/>
      <c r="XK39" s="147"/>
      <c r="XL39" s="147"/>
      <c r="XM39" s="147"/>
      <c r="XN39" s="147"/>
      <c r="XO39" s="147"/>
      <c r="XP39" s="147"/>
      <c r="XQ39" s="147"/>
      <c r="XR39" s="147"/>
      <c r="XS39" s="147"/>
      <c r="XT39" s="147"/>
      <c r="XU39" s="147"/>
      <c r="XV39" s="147"/>
      <c r="XW39" s="147"/>
      <c r="XX39" s="147"/>
      <c r="XY39" s="147"/>
      <c r="XZ39" s="147"/>
      <c r="YA39" s="147"/>
      <c r="YB39" s="147"/>
      <c r="YC39" s="147"/>
      <c r="YD39" s="147"/>
      <c r="YE39" s="147"/>
      <c r="YF39" s="147"/>
      <c r="YG39" s="147"/>
      <c r="YH39" s="147"/>
      <c r="YI39" s="147"/>
      <c r="YJ39" s="147"/>
      <c r="YK39" s="147"/>
      <c r="YL39" s="147"/>
      <c r="YM39" s="147"/>
      <c r="YN39" s="147"/>
      <c r="YO39" s="147"/>
      <c r="YP39" s="147"/>
      <c r="YQ39" s="147"/>
      <c r="YR39" s="147"/>
      <c r="YS39" s="147"/>
      <c r="YT39" s="147"/>
      <c r="YU39" s="147"/>
      <c r="YV39" s="147"/>
      <c r="YW39" s="147"/>
      <c r="YX39" s="147"/>
      <c r="YY39" s="147"/>
      <c r="YZ39" s="147"/>
      <c r="ZA39" s="147"/>
      <c r="ZB39" s="147"/>
      <c r="ZC39" s="147"/>
      <c r="ZD39" s="147"/>
      <c r="ZE39" s="147"/>
      <c r="ZF39" s="147"/>
      <c r="ZG39" s="147"/>
      <c r="ZH39" s="147"/>
      <c r="ZI39" s="147"/>
      <c r="ZJ39" s="147"/>
      <c r="ZK39" s="147"/>
      <c r="ZL39" s="147"/>
      <c r="ZM39" s="147"/>
      <c r="ZN39" s="147"/>
      <c r="ZO39" s="147"/>
      <c r="ZP39" s="147"/>
      <c r="ZQ39" s="147"/>
      <c r="ZR39" s="147"/>
      <c r="ZS39" s="147"/>
      <c r="ZT39" s="147"/>
      <c r="ZU39" s="147"/>
      <c r="ZV39" s="147"/>
      <c r="ZW39" s="147"/>
      <c r="ZX39" s="147"/>
      <c r="ZY39" s="147"/>
      <c r="ZZ39" s="147"/>
      <c r="AAA39" s="147"/>
      <c r="AAB39" s="147"/>
      <c r="AAC39" s="147"/>
      <c r="AAD39" s="147"/>
      <c r="AAE39" s="147"/>
      <c r="AAF39" s="147"/>
      <c r="AAG39" s="147"/>
      <c r="AAH39" s="147"/>
      <c r="AAI39" s="147"/>
      <c r="AAJ39" s="147"/>
      <c r="AAK39" s="147"/>
      <c r="AAL39" s="147"/>
      <c r="AAM39" s="147"/>
      <c r="AAN39" s="147"/>
      <c r="AAO39" s="147"/>
      <c r="AAP39" s="147"/>
      <c r="AAQ39" s="147"/>
      <c r="AAR39" s="147"/>
      <c r="AAS39" s="147"/>
      <c r="AAT39" s="147"/>
      <c r="AAU39" s="147"/>
      <c r="AAV39" s="147"/>
      <c r="AAW39" s="147"/>
      <c r="AAX39" s="147"/>
      <c r="AAY39" s="147"/>
      <c r="AAZ39" s="147"/>
      <c r="ABA39" s="147"/>
      <c r="ABB39" s="147"/>
      <c r="ABC39" s="147"/>
      <c r="ABD39" s="147"/>
      <c r="ABE39" s="147"/>
      <c r="ABF39" s="147"/>
      <c r="ABG39" s="147"/>
      <c r="ABH39" s="147"/>
      <c r="ABI39" s="147"/>
      <c r="ABJ39" s="147"/>
      <c r="ABK39" s="147"/>
      <c r="ABL39" s="147"/>
      <c r="ABM39" s="147"/>
      <c r="ABN39" s="147"/>
      <c r="ABO39" s="147"/>
      <c r="ABP39" s="147"/>
      <c r="ABQ39" s="147"/>
      <c r="ABR39" s="147"/>
      <c r="ABS39" s="147"/>
      <c r="ABT39" s="147"/>
      <c r="ABU39" s="147"/>
      <c r="ABV39" s="147"/>
      <c r="ABW39" s="147"/>
      <c r="ABX39" s="147"/>
      <c r="ABY39" s="147"/>
      <c r="ABZ39" s="147"/>
      <c r="ACA39" s="147"/>
      <c r="ACB39" s="147"/>
      <c r="ACC39" s="147"/>
      <c r="ACD39" s="147"/>
      <c r="ACE39" s="147"/>
      <c r="ACF39" s="147"/>
      <c r="ACG39" s="147"/>
      <c r="ACH39" s="147"/>
      <c r="ACI39" s="147"/>
      <c r="ACJ39" s="147"/>
      <c r="ACK39" s="147"/>
      <c r="ACL39" s="147"/>
      <c r="ACM39" s="147"/>
      <c r="ACN39" s="147"/>
      <c r="ACO39" s="147"/>
      <c r="ACP39" s="147"/>
      <c r="ACQ39" s="147"/>
      <c r="ACR39" s="147"/>
      <c r="ACS39" s="147"/>
      <c r="ACT39" s="147"/>
      <c r="ACU39" s="147"/>
      <c r="ACV39" s="147"/>
      <c r="ACW39" s="147"/>
      <c r="ACX39" s="147"/>
      <c r="ACY39" s="147"/>
      <c r="ACZ39" s="147"/>
      <c r="ADA39" s="147"/>
      <c r="ADB39" s="147"/>
      <c r="ADC39" s="147"/>
      <c r="ADD39" s="147"/>
      <c r="ADE39" s="147"/>
      <c r="ADF39" s="147"/>
      <c r="ADG39" s="147"/>
      <c r="ADH39" s="147"/>
      <c r="ADI39" s="147"/>
      <c r="ADJ39" s="147"/>
      <c r="ADK39" s="147"/>
      <c r="ADL39" s="147"/>
      <c r="ADM39" s="147"/>
      <c r="ADN39" s="147"/>
      <c r="ADO39" s="147"/>
      <c r="ADP39" s="147"/>
      <c r="ADQ39" s="147"/>
      <c r="ADR39" s="147"/>
      <c r="ADS39" s="147"/>
      <c r="ADT39" s="147"/>
      <c r="ADU39" s="147"/>
      <c r="ADV39" s="147"/>
      <c r="ADW39" s="147"/>
      <c r="ADX39" s="147"/>
      <c r="ADY39" s="147"/>
      <c r="ADZ39" s="147"/>
      <c r="AEA39" s="147"/>
      <c r="AEB39" s="147"/>
      <c r="AEC39" s="147"/>
      <c r="AED39" s="147"/>
      <c r="AEE39" s="147"/>
      <c r="AEF39" s="147"/>
      <c r="AEG39" s="147"/>
      <c r="AEH39" s="147"/>
      <c r="AEI39" s="147"/>
      <c r="AEJ39" s="147"/>
      <c r="AEK39" s="147"/>
      <c r="AEL39" s="147"/>
      <c r="AEM39" s="147"/>
      <c r="AEN39" s="147"/>
      <c r="AEO39" s="147"/>
      <c r="AEP39" s="147"/>
      <c r="AEQ39" s="147"/>
      <c r="AER39" s="147"/>
      <c r="AES39" s="147"/>
      <c r="AET39" s="147"/>
      <c r="AEU39" s="147"/>
      <c r="AEV39" s="147"/>
      <c r="AEW39" s="147"/>
      <c r="AEX39" s="147"/>
      <c r="AEY39" s="147"/>
      <c r="AEZ39" s="147"/>
      <c r="AFA39" s="147"/>
      <c r="AFB39" s="147"/>
      <c r="AFC39" s="147"/>
      <c r="AFD39" s="147"/>
      <c r="AFE39" s="147"/>
      <c r="AFF39" s="147"/>
      <c r="AFG39" s="147"/>
      <c r="AFH39" s="147"/>
      <c r="AFI39" s="147"/>
      <c r="AFJ39" s="147"/>
      <c r="AFK39" s="147"/>
      <c r="AFL39" s="147"/>
      <c r="AFM39" s="147"/>
      <c r="AFN39" s="147"/>
      <c r="AFO39" s="147"/>
      <c r="AFP39" s="147"/>
      <c r="AFQ39" s="147"/>
      <c r="AFR39" s="147"/>
      <c r="AFS39" s="147"/>
      <c r="AFT39" s="147"/>
      <c r="AFU39" s="147"/>
      <c r="AFV39" s="147"/>
      <c r="AFW39" s="147"/>
      <c r="AFX39" s="147"/>
      <c r="AFY39" s="147"/>
      <c r="AFZ39" s="147"/>
      <c r="AGA39" s="147"/>
      <c r="AGB39" s="147"/>
      <c r="AGC39" s="147"/>
      <c r="AGD39" s="147"/>
      <c r="AGE39" s="147"/>
      <c r="AGF39" s="147"/>
      <c r="AGG39" s="147"/>
      <c r="AGH39" s="147"/>
      <c r="AGI39" s="147"/>
      <c r="AGJ39" s="147"/>
      <c r="AGK39" s="147"/>
      <c r="AGL39" s="147"/>
      <c r="AGM39" s="147"/>
      <c r="AGN39" s="147"/>
      <c r="AGO39" s="147"/>
      <c r="AGP39" s="147"/>
      <c r="AGQ39" s="147"/>
      <c r="AGR39" s="147"/>
      <c r="AGS39" s="147"/>
      <c r="AGT39" s="147"/>
      <c r="AGU39" s="147"/>
      <c r="AGV39" s="147"/>
      <c r="AGW39" s="147"/>
      <c r="AGX39" s="147"/>
      <c r="AGY39" s="147"/>
      <c r="AGZ39" s="147"/>
      <c r="AHA39" s="147"/>
      <c r="AHB39" s="147"/>
      <c r="AHC39" s="147"/>
      <c r="AHD39" s="147"/>
      <c r="AHE39" s="147"/>
      <c r="AHF39" s="147"/>
      <c r="AHG39" s="147"/>
      <c r="AHH39" s="147"/>
      <c r="AHI39" s="147"/>
      <c r="AHJ39" s="147"/>
      <c r="AHK39" s="147"/>
      <c r="AHL39" s="147"/>
      <c r="AHM39" s="147"/>
      <c r="AHN39" s="147"/>
      <c r="AHO39" s="147"/>
      <c r="AHP39" s="147"/>
      <c r="AHQ39" s="147"/>
      <c r="AHR39" s="147"/>
      <c r="AHS39" s="147"/>
      <c r="AHT39" s="147"/>
      <c r="AHU39" s="147"/>
      <c r="AHV39" s="147"/>
      <c r="AHW39" s="147"/>
      <c r="AHX39" s="147"/>
      <c r="AHY39" s="147"/>
      <c r="AHZ39" s="147"/>
      <c r="AIA39" s="147"/>
      <c r="AIB39" s="147"/>
      <c r="AIC39" s="147"/>
      <c r="AID39" s="147"/>
      <c r="AIE39" s="147"/>
      <c r="AIF39" s="147"/>
      <c r="AIG39" s="147"/>
      <c r="AIH39" s="147"/>
      <c r="AII39" s="147"/>
      <c r="AIJ39" s="147"/>
      <c r="AIK39" s="147"/>
      <c r="AIL39" s="147"/>
      <c r="AIM39" s="147"/>
      <c r="AIN39" s="147"/>
      <c r="AIO39" s="147"/>
      <c r="AIP39" s="147"/>
      <c r="AIQ39" s="147"/>
      <c r="AIR39" s="147"/>
      <c r="AIS39" s="147"/>
      <c r="AIT39" s="147"/>
      <c r="AIU39" s="147"/>
      <c r="AIV39" s="147"/>
      <c r="AIW39" s="147"/>
      <c r="AIX39" s="147"/>
      <c r="AIY39" s="147"/>
      <c r="AIZ39" s="147"/>
      <c r="AJA39" s="147"/>
      <c r="AJB39" s="147"/>
      <c r="AJC39" s="147"/>
      <c r="AJD39" s="147"/>
      <c r="AJE39" s="147"/>
      <c r="AJF39" s="147"/>
      <c r="AJG39" s="147"/>
      <c r="AJH39" s="147"/>
      <c r="AJI39" s="147"/>
      <c r="AJJ39" s="147"/>
      <c r="AJK39" s="147"/>
      <c r="AJL39" s="147"/>
      <c r="AJM39" s="147"/>
      <c r="AJN39" s="147"/>
      <c r="AJO39" s="147"/>
      <c r="AJP39" s="147"/>
      <c r="AJQ39" s="147"/>
      <c r="AJR39" s="147"/>
      <c r="AJS39" s="147"/>
      <c r="AJT39" s="147"/>
      <c r="AJU39" s="147"/>
      <c r="AJV39" s="147"/>
      <c r="AJW39" s="147"/>
      <c r="AJX39" s="147"/>
      <c r="AJY39" s="147"/>
      <c r="AJZ39" s="147"/>
      <c r="AKA39" s="147"/>
      <c r="AKB39" s="147"/>
      <c r="AKC39" s="147"/>
      <c r="AKD39" s="147"/>
      <c r="AKE39" s="147"/>
      <c r="AKF39" s="147"/>
      <c r="AKG39" s="147"/>
      <c r="AKH39" s="147"/>
      <c r="AKI39" s="147"/>
      <c r="AKJ39" s="147"/>
      <c r="AKK39" s="147"/>
      <c r="AKL39" s="147"/>
      <c r="AKM39" s="147"/>
      <c r="AKN39" s="147"/>
      <c r="AKO39" s="147"/>
      <c r="AKP39" s="147"/>
      <c r="AKQ39" s="147"/>
      <c r="AKR39" s="147"/>
      <c r="AKS39" s="147"/>
      <c r="AKT39" s="147"/>
      <c r="AKU39" s="147"/>
      <c r="AKV39" s="147"/>
      <c r="AKW39" s="147"/>
      <c r="AKX39" s="147"/>
      <c r="AKY39" s="147"/>
      <c r="AKZ39" s="147"/>
      <c r="ALA39" s="147"/>
      <c r="ALB39" s="147"/>
      <c r="ALC39" s="147"/>
      <c r="ALD39" s="147"/>
      <c r="ALE39" s="147"/>
      <c r="ALF39" s="147"/>
      <c r="ALG39" s="147"/>
      <c r="ALH39" s="147"/>
      <c r="ALI39" s="147"/>
      <c r="ALJ39" s="147"/>
      <c r="ALK39" s="147"/>
      <c r="ALL39" s="147"/>
      <c r="ALM39" s="147"/>
      <c r="ALN39" s="147"/>
      <c r="ALO39" s="147"/>
      <c r="ALP39" s="147"/>
      <c r="ALQ39" s="147"/>
      <c r="ALR39" s="147"/>
      <c r="ALS39" s="147"/>
      <c r="ALT39" s="147"/>
      <c r="ALU39" s="147"/>
      <c r="ALV39" s="147"/>
      <c r="ALW39" s="147"/>
      <c r="ALX39" s="147"/>
      <c r="ALY39" s="147"/>
      <c r="ALZ39" s="147"/>
      <c r="AMA39" s="147"/>
      <c r="AMB39" s="147"/>
      <c r="AMC39" s="147"/>
      <c r="AMD39" s="147"/>
      <c r="AME39" s="147"/>
      <c r="AMF39" s="147"/>
      <c r="AMG39" s="147"/>
      <c r="AMH39" s="147"/>
      <c r="AMI39" s="147"/>
      <c r="AMJ39" s="147"/>
      <c r="AMK39" s="147"/>
      <c r="AML39" s="147"/>
      <c r="AMM39" s="147"/>
      <c r="AMN39" s="147"/>
      <c r="AMO39" s="147"/>
      <c r="AMP39" s="147"/>
      <c r="AMQ39" s="147"/>
      <c r="AMR39" s="147"/>
      <c r="AMS39" s="147"/>
      <c r="AMT39" s="147"/>
      <c r="AMU39" s="147"/>
      <c r="AMV39" s="147"/>
      <c r="AMW39" s="147"/>
      <c r="AMX39" s="147"/>
      <c r="AMY39" s="147"/>
      <c r="AMZ39" s="147"/>
      <c r="ANA39" s="147"/>
      <c r="ANB39" s="147"/>
      <c r="ANC39" s="147"/>
      <c r="AND39" s="147"/>
      <c r="ANE39" s="147"/>
      <c r="ANF39" s="147"/>
      <c r="ANG39" s="147"/>
      <c r="ANH39" s="147"/>
      <c r="ANI39" s="147"/>
      <c r="ANJ39" s="147"/>
      <c r="ANK39" s="147"/>
      <c r="ANL39" s="147"/>
      <c r="ANM39" s="147"/>
      <c r="ANN39" s="147"/>
      <c r="ANO39" s="147"/>
      <c r="ANP39" s="147"/>
      <c r="ANQ39" s="147"/>
      <c r="ANR39" s="147"/>
      <c r="ANS39" s="147"/>
      <c r="ANT39" s="147"/>
      <c r="ANU39" s="147"/>
      <c r="ANV39" s="147"/>
      <c r="ANW39" s="147"/>
      <c r="ANX39" s="147"/>
      <c r="ANY39" s="147"/>
      <c r="ANZ39" s="147"/>
      <c r="AOA39" s="147"/>
      <c r="AOB39" s="147"/>
      <c r="AOC39" s="147"/>
      <c r="AOD39" s="147"/>
      <c r="AOE39" s="147"/>
      <c r="AOF39" s="147"/>
      <c r="AOG39" s="147"/>
      <c r="AOH39" s="147"/>
      <c r="AOI39" s="147"/>
      <c r="AOJ39" s="147"/>
      <c r="AOK39" s="147"/>
      <c r="AOL39" s="147"/>
      <c r="AOM39" s="147"/>
      <c r="AON39" s="147"/>
      <c r="AOO39" s="147"/>
      <c r="AOP39" s="147"/>
      <c r="AOQ39" s="147"/>
      <c r="AOR39" s="147"/>
      <c r="AOS39" s="147"/>
      <c r="AOT39" s="147"/>
      <c r="AOU39" s="147"/>
      <c r="AOV39" s="147"/>
      <c r="AOW39" s="147"/>
      <c r="AOX39" s="147"/>
      <c r="AOY39" s="147"/>
      <c r="AOZ39" s="147"/>
      <c r="APA39" s="147"/>
      <c r="APB39" s="147"/>
      <c r="APC39" s="147"/>
      <c r="APD39" s="147"/>
      <c r="APE39" s="147"/>
      <c r="APF39" s="147"/>
      <c r="APG39" s="147"/>
      <c r="APH39" s="147"/>
      <c r="API39" s="147"/>
      <c r="APJ39" s="147"/>
      <c r="APK39" s="147"/>
      <c r="APL39" s="147"/>
      <c r="APM39" s="147"/>
      <c r="APN39" s="147"/>
      <c r="APO39" s="147"/>
      <c r="APP39" s="147"/>
      <c r="APQ39" s="147"/>
      <c r="APR39" s="147"/>
      <c r="APS39" s="147"/>
      <c r="APT39" s="147"/>
      <c r="APU39" s="147"/>
      <c r="APV39" s="147"/>
      <c r="APW39" s="147"/>
      <c r="APX39" s="147"/>
      <c r="APY39" s="147"/>
      <c r="APZ39" s="147"/>
      <c r="AQA39" s="147"/>
      <c r="AQB39" s="147"/>
      <c r="AQC39" s="147"/>
      <c r="AQD39" s="147"/>
      <c r="AQE39" s="147"/>
      <c r="AQF39" s="147"/>
      <c r="AQG39" s="147"/>
      <c r="AQH39" s="147"/>
      <c r="AQI39" s="147"/>
      <c r="AQJ39" s="147"/>
      <c r="AQK39" s="147"/>
      <c r="AQL39" s="147"/>
      <c r="AQM39" s="147"/>
      <c r="AQN39" s="147"/>
      <c r="AQO39" s="147"/>
      <c r="AQP39" s="147"/>
      <c r="AQQ39" s="147"/>
      <c r="AQR39" s="147"/>
      <c r="AQS39" s="147"/>
      <c r="AQT39" s="147"/>
      <c r="AQU39" s="147"/>
      <c r="AQV39" s="147"/>
      <c r="AQW39" s="147"/>
      <c r="AQX39" s="147"/>
      <c r="AQY39" s="147"/>
      <c r="AQZ39" s="147"/>
      <c r="ARA39" s="147"/>
      <c r="ARB39" s="147"/>
      <c r="ARC39" s="147"/>
      <c r="ARD39" s="147"/>
      <c r="ARE39" s="147"/>
      <c r="ARF39" s="147"/>
      <c r="ARG39" s="147"/>
      <c r="ARH39" s="147"/>
      <c r="ARI39" s="147"/>
      <c r="ARJ39" s="147"/>
      <c r="ARK39" s="147"/>
      <c r="ARL39" s="147"/>
      <c r="ARM39" s="147"/>
      <c r="ARN39" s="147"/>
      <c r="ARO39" s="147"/>
      <c r="ARP39" s="147"/>
      <c r="ARQ39" s="147"/>
      <c r="ARR39" s="147"/>
      <c r="ARS39" s="147"/>
      <c r="ART39" s="147"/>
      <c r="ARU39" s="147"/>
      <c r="ARV39" s="147"/>
      <c r="ARW39" s="147"/>
      <c r="ARX39" s="147"/>
      <c r="ARY39" s="147"/>
      <c r="ARZ39" s="147"/>
      <c r="ASA39" s="147"/>
      <c r="ASB39" s="147"/>
      <c r="ASC39" s="147"/>
      <c r="ASD39" s="147"/>
      <c r="ASE39" s="147"/>
      <c r="ASF39" s="147"/>
      <c r="ASG39" s="147"/>
      <c r="ASH39" s="147"/>
      <c r="ASI39" s="147"/>
      <c r="ASJ39" s="147"/>
      <c r="ASK39" s="147"/>
      <c r="ASL39" s="147"/>
      <c r="ASM39" s="147"/>
      <c r="ASN39" s="147"/>
      <c r="ASO39" s="147"/>
      <c r="ASP39" s="147"/>
      <c r="ASQ39" s="147"/>
      <c r="ASR39" s="147"/>
      <c r="ASS39" s="147"/>
      <c r="AST39" s="147"/>
      <c r="ASU39" s="147"/>
      <c r="ASV39" s="147"/>
      <c r="ASW39" s="147"/>
      <c r="ASX39" s="147"/>
      <c r="ASY39" s="147"/>
      <c r="ASZ39" s="147"/>
      <c r="ATA39" s="147"/>
      <c r="ATB39" s="147"/>
      <c r="ATC39" s="147"/>
      <c r="ATD39" s="147"/>
      <c r="ATE39" s="147"/>
      <c r="ATF39" s="147"/>
      <c r="ATG39" s="147"/>
      <c r="ATH39" s="147"/>
      <c r="ATI39" s="147"/>
      <c r="ATJ39" s="147"/>
      <c r="ATK39" s="147"/>
      <c r="ATL39" s="147"/>
      <c r="ATM39" s="147"/>
      <c r="ATN39" s="147"/>
      <c r="ATO39" s="147"/>
      <c r="ATP39" s="147"/>
      <c r="ATQ39" s="147"/>
      <c r="ATR39" s="147"/>
      <c r="ATS39" s="147"/>
      <c r="ATT39" s="147"/>
      <c r="ATU39" s="147"/>
      <c r="ATV39" s="147"/>
      <c r="ATW39" s="147"/>
      <c r="ATX39" s="147"/>
      <c r="ATY39" s="147"/>
      <c r="ATZ39" s="147"/>
      <c r="AUA39" s="147"/>
      <c r="AUB39" s="147"/>
      <c r="AUC39" s="147"/>
      <c r="AUD39" s="147"/>
      <c r="AUE39" s="147"/>
      <c r="AUF39" s="147"/>
      <c r="AUG39" s="147"/>
    </row>
    <row r="40" spans="1:1229" s="71" customFormat="1" ht="30.75" customHeight="1">
      <c r="A40" s="55">
        <v>32</v>
      </c>
      <c r="B40" s="56" t="s">
        <v>204</v>
      </c>
      <c r="C40" s="57" t="s">
        <v>112</v>
      </c>
      <c r="D40" s="85" t="s">
        <v>205</v>
      </c>
      <c r="E40" s="85" t="s">
        <v>95</v>
      </c>
      <c r="F40" s="85" t="s">
        <v>114</v>
      </c>
      <c r="G40" s="147" t="s">
        <v>53</v>
      </c>
      <c r="H40" s="85" t="s">
        <v>50</v>
      </c>
      <c r="I40" s="85" t="s">
        <v>97</v>
      </c>
      <c r="J40" s="57" t="s">
        <v>72</v>
      </c>
      <c r="K40" s="57" t="s">
        <v>53</v>
      </c>
      <c r="L40" s="57" t="s">
        <v>54</v>
      </c>
      <c r="M40" s="57" t="s">
        <v>55</v>
      </c>
      <c r="N40" s="57" t="s">
        <v>98</v>
      </c>
      <c r="O40" s="59">
        <v>45566</v>
      </c>
      <c r="P40" s="59">
        <v>48122</v>
      </c>
      <c r="Q40" s="60">
        <v>760000</v>
      </c>
      <c r="R40" s="57" t="s">
        <v>89</v>
      </c>
      <c r="S40" s="61">
        <f t="shared" si="2"/>
        <v>82628.993644090835</v>
      </c>
      <c r="T40" s="62"/>
      <c r="U40" s="164">
        <v>2.8896173766380501E-2</v>
      </c>
      <c r="V40" s="373">
        <f t="shared" si="1"/>
        <v>3.1416602085273669E-3</v>
      </c>
    </row>
    <row r="41" spans="1:1229" s="71" customFormat="1" ht="30.75" customHeight="1">
      <c r="A41" s="55">
        <v>33</v>
      </c>
      <c r="B41" s="56" t="s">
        <v>207</v>
      </c>
      <c r="C41" s="57" t="s">
        <v>64</v>
      </c>
      <c r="D41" s="58" t="s">
        <v>208</v>
      </c>
      <c r="E41" s="58" t="s">
        <v>48</v>
      </c>
      <c r="F41" s="58" t="s">
        <v>209</v>
      </c>
      <c r="G41" s="58" t="s">
        <v>50</v>
      </c>
      <c r="H41" s="58" t="s">
        <v>50</v>
      </c>
      <c r="I41" s="58" t="s">
        <v>51</v>
      </c>
      <c r="J41" s="57" t="s">
        <v>210</v>
      </c>
      <c r="K41" s="57" t="s">
        <v>53</v>
      </c>
      <c r="L41" s="57" t="s">
        <v>211</v>
      </c>
      <c r="M41" s="57" t="s">
        <v>212</v>
      </c>
      <c r="N41" s="57" t="s">
        <v>56</v>
      </c>
      <c r="O41" s="59">
        <v>44980</v>
      </c>
      <c r="P41" s="59">
        <v>46722</v>
      </c>
      <c r="Q41" s="167">
        <v>5098268.4298969796</v>
      </c>
      <c r="R41" s="57" t="s">
        <v>57</v>
      </c>
      <c r="S41" s="61">
        <f t="shared" si="2"/>
        <v>3988693.6346187387</v>
      </c>
      <c r="T41" s="62">
        <v>480000000</v>
      </c>
      <c r="U41" s="96">
        <v>1.06E-2</v>
      </c>
      <c r="V41" s="373">
        <f t="shared" si="1"/>
        <v>8.2930416686225715E-3</v>
      </c>
    </row>
    <row r="42" spans="1:1229" s="71" customFormat="1" ht="30.75" customHeight="1">
      <c r="A42" s="55">
        <v>34</v>
      </c>
      <c r="B42" s="56" t="s">
        <v>215</v>
      </c>
      <c r="C42" s="57" t="s">
        <v>216</v>
      </c>
      <c r="D42" s="58" t="s">
        <v>216</v>
      </c>
      <c r="E42" s="58" t="s">
        <v>95</v>
      </c>
      <c r="F42" s="58" t="s">
        <v>209</v>
      </c>
      <c r="G42" s="58" t="s">
        <v>50</v>
      </c>
      <c r="H42" s="58" t="s">
        <v>50</v>
      </c>
      <c r="I42" s="58" t="s">
        <v>97</v>
      </c>
      <c r="J42" s="57" t="s">
        <v>210</v>
      </c>
      <c r="K42" s="57" t="s">
        <v>53</v>
      </c>
      <c r="L42" s="57" t="s">
        <v>211</v>
      </c>
      <c r="M42" s="57" t="s">
        <v>212</v>
      </c>
      <c r="N42" s="57" t="s">
        <v>98</v>
      </c>
      <c r="O42" s="59">
        <v>44986</v>
      </c>
      <c r="P42" s="59">
        <v>45657</v>
      </c>
      <c r="Q42" s="60">
        <v>23526500</v>
      </c>
      <c r="R42" s="57" t="s">
        <v>89</v>
      </c>
      <c r="S42" s="61">
        <f t="shared" si="2"/>
        <v>2557856.6039048722</v>
      </c>
      <c r="T42" s="62"/>
      <c r="U42" s="98">
        <v>0.1048</v>
      </c>
      <c r="V42" s="373">
        <f t="shared" si="1"/>
        <v>1.1394103334079895E-2</v>
      </c>
    </row>
    <row r="43" spans="1:1229" s="71" customFormat="1" ht="30.75" customHeight="1">
      <c r="A43" s="55">
        <v>35</v>
      </c>
      <c r="B43" s="56" t="s">
        <v>220</v>
      </c>
      <c r="C43" s="57" t="s">
        <v>221</v>
      </c>
      <c r="D43" s="58" t="s">
        <v>222</v>
      </c>
      <c r="E43" s="58" t="s">
        <v>95</v>
      </c>
      <c r="F43" s="58" t="s">
        <v>209</v>
      </c>
      <c r="G43" s="58" t="s">
        <v>53</v>
      </c>
      <c r="H43" s="58" t="s">
        <v>96</v>
      </c>
      <c r="I43" s="58" t="s">
        <v>97</v>
      </c>
      <c r="J43" s="57" t="s">
        <v>210</v>
      </c>
      <c r="K43" s="57" t="s">
        <v>53</v>
      </c>
      <c r="L43" s="57" t="s">
        <v>211</v>
      </c>
      <c r="M43" s="57" t="s">
        <v>212</v>
      </c>
      <c r="N43" s="57" t="s">
        <v>98</v>
      </c>
      <c r="O43" s="59">
        <v>44228</v>
      </c>
      <c r="P43" s="59">
        <v>45657</v>
      </c>
      <c r="Q43" s="60">
        <v>546000</v>
      </c>
      <c r="R43" s="57" t="s">
        <v>89</v>
      </c>
      <c r="S43" s="61">
        <f t="shared" si="2"/>
        <v>59362.408591675783</v>
      </c>
      <c r="T43" s="62"/>
      <c r="U43" s="86" t="s">
        <v>223</v>
      </c>
      <c r="V43" s="373"/>
    </row>
    <row r="44" spans="1:1229" s="71" customFormat="1" ht="30.75" customHeight="1">
      <c r="A44" s="55">
        <v>36</v>
      </c>
      <c r="B44" s="56" t="s">
        <v>226</v>
      </c>
      <c r="C44" s="57" t="s">
        <v>227</v>
      </c>
      <c r="D44" s="58" t="s">
        <v>227</v>
      </c>
      <c r="E44" s="58" t="s">
        <v>95</v>
      </c>
      <c r="F44" s="58" t="s">
        <v>209</v>
      </c>
      <c r="G44" s="58" t="s">
        <v>53</v>
      </c>
      <c r="H44" s="58" t="s">
        <v>96</v>
      </c>
      <c r="I44" s="58" t="s">
        <v>97</v>
      </c>
      <c r="J44" s="57" t="s">
        <v>210</v>
      </c>
      <c r="K44" s="57" t="s">
        <v>53</v>
      </c>
      <c r="L44" s="57" t="s">
        <v>211</v>
      </c>
      <c r="M44" s="57" t="s">
        <v>212</v>
      </c>
      <c r="N44" s="57" t="s">
        <v>98</v>
      </c>
      <c r="O44" s="59">
        <v>44593</v>
      </c>
      <c r="P44" s="59">
        <v>45657</v>
      </c>
      <c r="Q44" s="60">
        <v>1550800</v>
      </c>
      <c r="R44" s="57" t="s">
        <v>89</v>
      </c>
      <c r="S44" s="61">
        <f t="shared" si="2"/>
        <v>168606.63597796852</v>
      </c>
      <c r="T44" s="62"/>
      <c r="U44" s="98">
        <v>0.7016</v>
      </c>
      <c r="V44" s="373">
        <f t="shared" si="1"/>
        <v>7.6279607816702802E-2</v>
      </c>
    </row>
    <row r="45" spans="1:1229" s="71" customFormat="1" ht="15.5">
      <c r="A45" s="55">
        <v>37</v>
      </c>
      <c r="B45" s="56" t="s">
        <v>230</v>
      </c>
      <c r="C45" s="57" t="s">
        <v>112</v>
      </c>
      <c r="D45" s="58" t="s">
        <v>231</v>
      </c>
      <c r="E45" s="58" t="s">
        <v>95</v>
      </c>
      <c r="F45" s="58" t="s">
        <v>209</v>
      </c>
      <c r="G45" s="58" t="s">
        <v>50</v>
      </c>
      <c r="H45" s="58" t="s">
        <v>50</v>
      </c>
      <c r="I45" s="58" t="s">
        <v>97</v>
      </c>
      <c r="J45" s="57" t="s">
        <v>210</v>
      </c>
      <c r="K45" s="57" t="s">
        <v>53</v>
      </c>
      <c r="L45" s="57" t="s">
        <v>211</v>
      </c>
      <c r="M45" s="57" t="s">
        <v>212</v>
      </c>
      <c r="N45" s="57" t="s">
        <v>98</v>
      </c>
      <c r="O45" s="59">
        <v>45008</v>
      </c>
      <c r="P45" s="59">
        <v>46357</v>
      </c>
      <c r="Q45" s="60">
        <v>-9120225</v>
      </c>
      <c r="R45" s="57" t="s">
        <v>89</v>
      </c>
      <c r="S45" s="61">
        <f t="shared" si="2"/>
        <v>-991572.38626010309</v>
      </c>
      <c r="T45" s="62">
        <v>0</v>
      </c>
      <c r="U45" s="98"/>
      <c r="V45" s="373">
        <f t="shared" si="1"/>
        <v>0</v>
      </c>
    </row>
    <row r="46" spans="1:1229" s="71" customFormat="1" ht="41.25" customHeight="1">
      <c r="A46" s="55">
        <v>38</v>
      </c>
      <c r="B46" s="56" t="s">
        <v>234</v>
      </c>
      <c r="C46" s="57" t="s">
        <v>235</v>
      </c>
      <c r="D46" s="58" t="s">
        <v>236</v>
      </c>
      <c r="E46" s="58" t="s">
        <v>95</v>
      </c>
      <c r="F46" s="58" t="s">
        <v>209</v>
      </c>
      <c r="G46" s="58" t="s">
        <v>53</v>
      </c>
      <c r="H46" s="58" t="s">
        <v>96</v>
      </c>
      <c r="I46" s="58" t="s">
        <v>97</v>
      </c>
      <c r="J46" s="57" t="s">
        <v>210</v>
      </c>
      <c r="K46" s="57" t="s">
        <v>53</v>
      </c>
      <c r="L46" s="57" t="s">
        <v>211</v>
      </c>
      <c r="M46" s="57" t="s">
        <v>212</v>
      </c>
      <c r="N46" s="57" t="s">
        <v>98</v>
      </c>
      <c r="O46" s="59">
        <v>44986</v>
      </c>
      <c r="P46" s="59">
        <v>45627</v>
      </c>
      <c r="Q46" s="60">
        <v>1520008</v>
      </c>
      <c r="R46" s="57" t="s">
        <v>89</v>
      </c>
      <c r="S46" s="61">
        <f t="shared" si="2"/>
        <v>165258.85706706214</v>
      </c>
      <c r="T46" s="62">
        <v>0</v>
      </c>
      <c r="U46" s="98">
        <v>0.10059999999999999</v>
      </c>
      <c r="V46" s="373">
        <f t="shared" si="1"/>
        <v>1.0937469421836234E-2</v>
      </c>
    </row>
    <row r="47" spans="1:1229" s="71" customFormat="1" ht="45" customHeight="1">
      <c r="A47" s="55">
        <v>39</v>
      </c>
      <c r="B47" s="56" t="s">
        <v>239</v>
      </c>
      <c r="C47" s="57" t="s">
        <v>240</v>
      </c>
      <c r="D47" s="58" t="s">
        <v>241</v>
      </c>
      <c r="E47" s="58" t="s">
        <v>95</v>
      </c>
      <c r="F47" s="58" t="s">
        <v>209</v>
      </c>
      <c r="G47" s="58" t="s">
        <v>53</v>
      </c>
      <c r="H47" s="58" t="s">
        <v>96</v>
      </c>
      <c r="I47" s="58" t="s">
        <v>97</v>
      </c>
      <c r="J47" s="57" t="s">
        <v>210</v>
      </c>
      <c r="K47" s="57" t="s">
        <v>53</v>
      </c>
      <c r="L47" s="57" t="s">
        <v>211</v>
      </c>
      <c r="M47" s="57" t="s">
        <v>212</v>
      </c>
      <c r="N47" s="57" t="s">
        <v>98</v>
      </c>
      <c r="O47" s="59">
        <v>45047</v>
      </c>
      <c r="P47" s="59">
        <v>45627</v>
      </c>
      <c r="Q47" s="60">
        <v>1914510.9</v>
      </c>
      <c r="R47" s="57" t="s">
        <v>89</v>
      </c>
      <c r="S47" s="61">
        <f t="shared" si="2"/>
        <v>208150.14340479291</v>
      </c>
      <c r="T47" s="62">
        <v>0</v>
      </c>
      <c r="U47" s="98">
        <v>0.11550000000000001</v>
      </c>
      <c r="V47" s="373">
        <f t="shared" si="1"/>
        <v>1.2557432586700647E-2</v>
      </c>
    </row>
    <row r="48" spans="1:1229" s="71" customFormat="1" ht="30.75" customHeight="1">
      <c r="A48" s="55">
        <v>40</v>
      </c>
      <c r="B48" s="56" t="s">
        <v>244</v>
      </c>
      <c r="C48" s="57" t="s">
        <v>112</v>
      </c>
      <c r="D48" s="58" t="s">
        <v>245</v>
      </c>
      <c r="E48" s="58" t="s">
        <v>95</v>
      </c>
      <c r="F48" s="58" t="s">
        <v>209</v>
      </c>
      <c r="G48" s="58" t="s">
        <v>50</v>
      </c>
      <c r="H48" s="58" t="s">
        <v>50</v>
      </c>
      <c r="I48" s="58" t="s">
        <v>97</v>
      </c>
      <c r="J48" s="57" t="s">
        <v>210</v>
      </c>
      <c r="K48" s="57" t="s">
        <v>53</v>
      </c>
      <c r="L48" s="57" t="s">
        <v>211</v>
      </c>
      <c r="M48" s="57" t="s">
        <v>212</v>
      </c>
      <c r="N48" s="57" t="s">
        <v>98</v>
      </c>
      <c r="O48" s="59">
        <v>45383</v>
      </c>
      <c r="P48" s="59">
        <v>46113</v>
      </c>
      <c r="Q48" s="60">
        <v>29153935.728999998</v>
      </c>
      <c r="R48" s="57" t="s">
        <v>89</v>
      </c>
      <c r="S48" s="61">
        <f t="shared" si="2"/>
        <v>3169684.6974365441</v>
      </c>
      <c r="T48" s="173" t="e">
        <f>S48/#REF!</f>
        <v>#REF!</v>
      </c>
      <c r="U48" s="174">
        <v>0.10059999999999999</v>
      </c>
      <c r="V48" s="373">
        <f t="shared" si="1"/>
        <v>1.0937469421836234E-2</v>
      </c>
    </row>
    <row r="49" spans="1:1229" s="71" customFormat="1" ht="30.75" customHeight="1">
      <c r="A49" s="55">
        <v>41</v>
      </c>
      <c r="B49" s="56" t="s">
        <v>247</v>
      </c>
      <c r="C49" s="57" t="s">
        <v>248</v>
      </c>
      <c r="D49" s="58" t="s">
        <v>249</v>
      </c>
      <c r="E49" s="58" t="s">
        <v>133</v>
      </c>
      <c r="F49" s="58" t="s">
        <v>209</v>
      </c>
      <c r="G49" s="58" t="s">
        <v>53</v>
      </c>
      <c r="H49" s="58" t="s">
        <v>96</v>
      </c>
      <c r="I49" s="58" t="s">
        <v>97</v>
      </c>
      <c r="J49" s="57" t="s">
        <v>210</v>
      </c>
      <c r="K49" s="57" t="s">
        <v>53</v>
      </c>
      <c r="L49" s="57" t="s">
        <v>211</v>
      </c>
      <c r="M49" s="57" t="s">
        <v>212</v>
      </c>
      <c r="N49" s="57" t="s">
        <v>98</v>
      </c>
      <c r="O49" s="59">
        <v>45383</v>
      </c>
      <c r="P49" s="59" t="s">
        <v>250</v>
      </c>
      <c r="Q49" s="60" t="s">
        <v>251</v>
      </c>
      <c r="R49" s="57" t="s">
        <v>89</v>
      </c>
      <c r="S49" s="61">
        <v>0</v>
      </c>
      <c r="T49" s="62"/>
      <c r="U49" s="98">
        <v>0</v>
      </c>
      <c r="V49" s="373">
        <f t="shared" si="1"/>
        <v>0</v>
      </c>
    </row>
    <row r="50" spans="1:1229" s="71" customFormat="1" ht="30.75" customHeight="1">
      <c r="A50" s="55">
        <v>42</v>
      </c>
      <c r="B50" s="56" t="s">
        <v>255</v>
      </c>
      <c r="C50" s="57" t="s">
        <v>256</v>
      </c>
      <c r="D50" s="58" t="s">
        <v>257</v>
      </c>
      <c r="E50" s="58" t="s">
        <v>133</v>
      </c>
      <c r="F50" s="58" t="s">
        <v>209</v>
      </c>
      <c r="G50" s="58" t="s">
        <v>53</v>
      </c>
      <c r="H50" s="58" t="s">
        <v>96</v>
      </c>
      <c r="I50" s="58" t="s">
        <v>97</v>
      </c>
      <c r="J50" s="57" t="s">
        <v>210</v>
      </c>
      <c r="K50" s="57" t="s">
        <v>53</v>
      </c>
      <c r="L50" s="57" t="s">
        <v>211</v>
      </c>
      <c r="M50" s="57" t="s">
        <v>212</v>
      </c>
      <c r="N50" s="57" t="s">
        <v>98</v>
      </c>
      <c r="O50" s="59">
        <v>45383</v>
      </c>
      <c r="P50" s="59">
        <v>46113</v>
      </c>
      <c r="Q50" s="60">
        <v>3274500</v>
      </c>
      <c r="R50" s="57" t="s">
        <v>89</v>
      </c>
      <c r="S50" s="61">
        <f t="shared" ref="S50:S88" si="3">IF(R50="RMB",Q50/$B$6,IF(R50="GBP",Q50,Q50/$B$5))</f>
        <v>356011.36800996767</v>
      </c>
      <c r="T50" s="173" t="e">
        <f>S50/#REF!</f>
        <v>#REF!</v>
      </c>
      <c r="U50" s="98">
        <v>0.15620000000000001</v>
      </c>
      <c r="V50" s="373">
        <f t="shared" si="1"/>
        <v>1.6982432641061827E-2</v>
      </c>
    </row>
    <row r="51" spans="1:1229" s="71" customFormat="1" ht="30.75" customHeight="1">
      <c r="A51" s="55">
        <v>43</v>
      </c>
      <c r="B51" s="56" t="s">
        <v>261</v>
      </c>
      <c r="C51" s="57" t="s">
        <v>256</v>
      </c>
      <c r="D51" s="58" t="s">
        <v>262</v>
      </c>
      <c r="E51" s="58" t="s">
        <v>133</v>
      </c>
      <c r="F51" s="58" t="s">
        <v>209</v>
      </c>
      <c r="G51" s="58" t="s">
        <v>53</v>
      </c>
      <c r="H51" s="58" t="s">
        <v>96</v>
      </c>
      <c r="I51" s="58" t="s">
        <v>97</v>
      </c>
      <c r="J51" s="57" t="s">
        <v>210</v>
      </c>
      <c r="K51" s="57" t="s">
        <v>53</v>
      </c>
      <c r="L51" s="57" t="s">
        <v>211</v>
      </c>
      <c r="M51" s="57" t="s">
        <v>212</v>
      </c>
      <c r="N51" s="57" t="s">
        <v>98</v>
      </c>
      <c r="O51" s="59">
        <v>45383</v>
      </c>
      <c r="P51" s="59">
        <v>46113</v>
      </c>
      <c r="Q51" s="60">
        <v>5236765</v>
      </c>
      <c r="R51" s="57" t="s">
        <v>89</v>
      </c>
      <c r="S51" s="61">
        <f t="shared" si="3"/>
        <v>569353.44986920699</v>
      </c>
      <c r="T51" s="173" t="e">
        <f>S51/#REF!</f>
        <v>#REF!</v>
      </c>
      <c r="U51" s="98">
        <v>0.22839999999999999</v>
      </c>
      <c r="V51" s="373">
        <f t="shared" si="1"/>
        <v>2.4832187037250455E-2</v>
      </c>
    </row>
    <row r="52" spans="1:1229" s="186" customFormat="1" ht="30.75" customHeight="1">
      <c r="A52" s="185">
        <v>44</v>
      </c>
      <c r="B52" s="56" t="s">
        <v>264</v>
      </c>
      <c r="C52" s="57" t="s">
        <v>102</v>
      </c>
      <c r="D52" s="58" t="s">
        <v>265</v>
      </c>
      <c r="E52" s="58" t="s">
        <v>104</v>
      </c>
      <c r="F52" s="58" t="s">
        <v>266</v>
      </c>
      <c r="G52" s="58" t="s">
        <v>106</v>
      </c>
      <c r="H52" s="58" t="s">
        <v>107</v>
      </c>
      <c r="I52" s="58" t="s">
        <v>97</v>
      </c>
      <c r="J52" s="57" t="s">
        <v>210</v>
      </c>
      <c r="K52" s="57" t="s">
        <v>143</v>
      </c>
      <c r="L52" s="57" t="s">
        <v>211</v>
      </c>
      <c r="M52" s="57" t="s">
        <v>212</v>
      </c>
      <c r="N52" s="57" t="s">
        <v>98</v>
      </c>
      <c r="O52" s="59">
        <v>45383</v>
      </c>
      <c r="P52" s="59">
        <v>45992</v>
      </c>
      <c r="Q52" s="60">
        <v>12241216.814159293</v>
      </c>
      <c r="R52" s="57" t="s">
        <v>89</v>
      </c>
      <c r="S52" s="61">
        <f t="shared" si="3"/>
        <v>1330893.9820172449</v>
      </c>
      <c r="T52" s="173" t="e">
        <f>S52/#REF!</f>
        <v>#REF!</v>
      </c>
      <c r="U52" s="98">
        <v>7.6899999999999996E-2</v>
      </c>
      <c r="V52" s="373">
        <f t="shared" si="1"/>
        <v>8.3607494884612964E-3</v>
      </c>
    </row>
    <row r="53" spans="1:1229" s="186" customFormat="1" ht="30.75" customHeight="1">
      <c r="A53" s="185">
        <v>45</v>
      </c>
      <c r="B53" s="56" t="s">
        <v>269</v>
      </c>
      <c r="C53" s="57" t="s">
        <v>102</v>
      </c>
      <c r="D53" s="58" t="s">
        <v>270</v>
      </c>
      <c r="E53" s="58" t="s">
        <v>104</v>
      </c>
      <c r="F53" s="58" t="s">
        <v>266</v>
      </c>
      <c r="G53" s="58" t="s">
        <v>106</v>
      </c>
      <c r="H53" s="58" t="s">
        <v>107</v>
      </c>
      <c r="I53" s="58" t="s">
        <v>97</v>
      </c>
      <c r="J53" s="57" t="s">
        <v>210</v>
      </c>
      <c r="K53" s="57" t="s">
        <v>143</v>
      </c>
      <c r="L53" s="57" t="s">
        <v>211</v>
      </c>
      <c r="M53" s="57" t="s">
        <v>212</v>
      </c>
      <c r="N53" s="57" t="s">
        <v>98</v>
      </c>
      <c r="O53" s="59">
        <v>45383</v>
      </c>
      <c r="P53" s="59">
        <v>45992</v>
      </c>
      <c r="Q53" s="60">
        <v>10952560.407079646</v>
      </c>
      <c r="R53" s="57" t="s">
        <v>89</v>
      </c>
      <c r="S53" s="61">
        <f t="shared" si="3"/>
        <v>1190788.2161356646</v>
      </c>
      <c r="T53" s="173" t="e">
        <f>S53/#REF!</f>
        <v>#REF!</v>
      </c>
      <c r="U53" s="98">
        <v>8.8999999999999996E-2</v>
      </c>
      <c r="V53" s="373">
        <f t="shared" si="1"/>
        <v>9.6762900451632678E-3</v>
      </c>
    </row>
    <row r="54" spans="1:1229" s="199" customFormat="1" ht="30.65" customHeight="1">
      <c r="A54" s="185">
        <v>46</v>
      </c>
      <c r="B54" s="56" t="s">
        <v>273</v>
      </c>
      <c r="C54" s="57" t="s">
        <v>102</v>
      </c>
      <c r="D54" s="58" t="s">
        <v>274</v>
      </c>
      <c r="E54" s="58" t="s">
        <v>104</v>
      </c>
      <c r="F54" s="58" t="s">
        <v>266</v>
      </c>
      <c r="G54" s="58" t="s">
        <v>106</v>
      </c>
      <c r="H54" s="58" t="s">
        <v>107</v>
      </c>
      <c r="I54" s="58" t="s">
        <v>97</v>
      </c>
      <c r="J54" s="57" t="s">
        <v>210</v>
      </c>
      <c r="K54" s="57" t="s">
        <v>109</v>
      </c>
      <c r="L54" s="57" t="s">
        <v>211</v>
      </c>
      <c r="M54" s="57" t="s">
        <v>212</v>
      </c>
      <c r="N54" s="57" t="s">
        <v>98</v>
      </c>
      <c r="O54" s="59">
        <v>45383</v>
      </c>
      <c r="P54" s="59">
        <v>45992</v>
      </c>
      <c r="Q54" s="60">
        <v>6088018.0000000009</v>
      </c>
      <c r="R54" s="57" t="s">
        <v>89</v>
      </c>
      <c r="S54" s="61">
        <f t="shared" si="3"/>
        <v>661903.68503567192</v>
      </c>
      <c r="T54" s="173" t="e">
        <f>S54/#REF!</f>
        <v>#REF!</v>
      </c>
      <c r="U54" s="98">
        <v>0.16400000000000001</v>
      </c>
      <c r="V54" s="373">
        <f t="shared" si="1"/>
        <v>1.783046704951434E-2</v>
      </c>
    </row>
    <row r="55" spans="1:1229" s="199" customFormat="1" ht="30.75" customHeight="1">
      <c r="A55" s="185">
        <v>47</v>
      </c>
      <c r="B55" s="56" t="s">
        <v>277</v>
      </c>
      <c r="C55" s="57" t="s">
        <v>102</v>
      </c>
      <c r="D55" s="58" t="s">
        <v>278</v>
      </c>
      <c r="E55" s="58" t="s">
        <v>104</v>
      </c>
      <c r="F55" s="58" t="s">
        <v>266</v>
      </c>
      <c r="G55" s="58" t="s">
        <v>106</v>
      </c>
      <c r="H55" s="58" t="s">
        <v>107</v>
      </c>
      <c r="I55" s="58" t="s">
        <v>97</v>
      </c>
      <c r="J55" s="57" t="s">
        <v>210</v>
      </c>
      <c r="K55" s="57" t="s">
        <v>109</v>
      </c>
      <c r="L55" s="57" t="s">
        <v>211</v>
      </c>
      <c r="M55" s="57" t="s">
        <v>212</v>
      </c>
      <c r="N55" s="57" t="s">
        <v>98</v>
      </c>
      <c r="O55" s="59">
        <v>45383</v>
      </c>
      <c r="P55" s="59">
        <v>45992</v>
      </c>
      <c r="Q55" s="60">
        <v>1864192.9203539824</v>
      </c>
      <c r="R55" s="57" t="s">
        <v>89</v>
      </c>
      <c r="S55" s="61">
        <f t="shared" si="3"/>
        <v>202679.45390432677</v>
      </c>
      <c r="T55" s="173" t="e">
        <f>S55/#REF!</f>
        <v>#REF!</v>
      </c>
      <c r="U55" s="98">
        <v>0.1081</v>
      </c>
      <c r="V55" s="373">
        <f t="shared" si="1"/>
        <v>1.1752887122271341E-2</v>
      </c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  <c r="DM55" s="186"/>
      <c r="DN55" s="186"/>
      <c r="DO55" s="186"/>
      <c r="DP55" s="186"/>
      <c r="DQ55" s="186"/>
      <c r="DR55" s="186"/>
      <c r="DS55" s="186"/>
      <c r="DT55" s="186"/>
      <c r="DU55" s="186"/>
      <c r="DV55" s="186"/>
      <c r="DW55" s="186"/>
      <c r="DX55" s="186"/>
      <c r="DY55" s="186"/>
      <c r="DZ55" s="186"/>
      <c r="EA55" s="186"/>
      <c r="EB55" s="186"/>
      <c r="EC55" s="186"/>
      <c r="ED55" s="186"/>
      <c r="EE55" s="186"/>
      <c r="EF55" s="186"/>
      <c r="EG55" s="186"/>
      <c r="EH55" s="186"/>
      <c r="EI55" s="186"/>
      <c r="EJ55" s="186"/>
      <c r="EK55" s="186"/>
      <c r="EL55" s="186"/>
      <c r="EM55" s="186"/>
      <c r="EN55" s="186"/>
      <c r="EO55" s="186"/>
      <c r="EP55" s="186"/>
      <c r="EQ55" s="186"/>
      <c r="ER55" s="186"/>
      <c r="ES55" s="186"/>
      <c r="ET55" s="186"/>
      <c r="EU55" s="186"/>
      <c r="EV55" s="186"/>
      <c r="EW55" s="186"/>
      <c r="EX55" s="186"/>
      <c r="EY55" s="186"/>
      <c r="EZ55" s="186"/>
      <c r="FA55" s="186"/>
      <c r="FB55" s="186"/>
      <c r="FC55" s="186"/>
      <c r="FD55" s="186"/>
      <c r="FE55" s="186"/>
      <c r="FF55" s="186"/>
      <c r="FG55" s="186"/>
      <c r="FH55" s="186"/>
      <c r="FI55" s="186"/>
      <c r="FJ55" s="186"/>
      <c r="FK55" s="186"/>
      <c r="FL55" s="186"/>
      <c r="FM55" s="186"/>
      <c r="FN55" s="186"/>
      <c r="FO55" s="186"/>
      <c r="FP55" s="186"/>
      <c r="FQ55" s="186"/>
      <c r="FR55" s="186"/>
      <c r="FS55" s="186"/>
      <c r="FT55" s="186"/>
      <c r="FU55" s="186"/>
      <c r="FV55" s="186"/>
      <c r="FW55" s="186"/>
      <c r="FX55" s="186"/>
      <c r="FY55" s="186"/>
      <c r="FZ55" s="186"/>
      <c r="GA55" s="186"/>
      <c r="GB55" s="186"/>
      <c r="GC55" s="186"/>
      <c r="GD55" s="186"/>
      <c r="GE55" s="186"/>
      <c r="GF55" s="186"/>
      <c r="GG55" s="186"/>
      <c r="GH55" s="186"/>
      <c r="GI55" s="186"/>
      <c r="GJ55" s="186"/>
      <c r="GK55" s="186"/>
      <c r="GL55" s="186"/>
      <c r="GM55" s="186"/>
      <c r="GN55" s="186"/>
      <c r="GO55" s="186"/>
      <c r="GP55" s="186"/>
      <c r="GQ55" s="186"/>
      <c r="GR55" s="186"/>
      <c r="GS55" s="186"/>
      <c r="GT55" s="186"/>
      <c r="GU55" s="186"/>
      <c r="GV55" s="186"/>
      <c r="GW55" s="186"/>
      <c r="GX55" s="186"/>
      <c r="GY55" s="186"/>
      <c r="GZ55" s="186"/>
      <c r="HA55" s="186"/>
      <c r="HB55" s="186"/>
      <c r="HC55" s="186"/>
      <c r="HD55" s="186"/>
      <c r="HE55" s="186"/>
      <c r="HF55" s="186"/>
      <c r="HG55" s="186"/>
      <c r="HH55" s="186"/>
      <c r="HI55" s="186"/>
      <c r="HJ55" s="186"/>
      <c r="HK55" s="186"/>
      <c r="HL55" s="186"/>
      <c r="HM55" s="186"/>
      <c r="HN55" s="186"/>
      <c r="HO55" s="186"/>
      <c r="HP55" s="186"/>
      <c r="HQ55" s="186"/>
      <c r="HR55" s="186"/>
      <c r="HS55" s="186"/>
      <c r="HT55" s="186"/>
      <c r="HU55" s="186"/>
      <c r="HV55" s="186"/>
      <c r="HW55" s="186"/>
      <c r="HX55" s="186"/>
      <c r="HY55" s="186"/>
      <c r="HZ55" s="186"/>
      <c r="IA55" s="186"/>
      <c r="IB55" s="186"/>
      <c r="IC55" s="186"/>
      <c r="ID55" s="186"/>
      <c r="IE55" s="186"/>
      <c r="IF55" s="186"/>
      <c r="IG55" s="186"/>
      <c r="IH55" s="186"/>
      <c r="II55" s="186"/>
      <c r="IJ55" s="186"/>
      <c r="IK55" s="186"/>
      <c r="IL55" s="186"/>
      <c r="IM55" s="186"/>
      <c r="IN55" s="186"/>
      <c r="IO55" s="186"/>
      <c r="IP55" s="186"/>
      <c r="IQ55" s="186"/>
      <c r="IR55" s="186"/>
      <c r="IS55" s="186"/>
      <c r="IT55" s="186"/>
      <c r="IU55" s="186"/>
      <c r="IV55" s="186"/>
      <c r="IW55" s="186"/>
      <c r="IX55" s="186"/>
      <c r="IY55" s="186"/>
      <c r="IZ55" s="186"/>
      <c r="JA55" s="186"/>
      <c r="JB55" s="186"/>
      <c r="JC55" s="186"/>
      <c r="JD55" s="186"/>
      <c r="JE55" s="186"/>
      <c r="JF55" s="186"/>
      <c r="JG55" s="186"/>
      <c r="JH55" s="186"/>
      <c r="JI55" s="186"/>
      <c r="JJ55" s="186"/>
      <c r="JK55" s="186"/>
      <c r="JL55" s="186"/>
      <c r="JM55" s="186"/>
      <c r="JN55" s="186"/>
      <c r="JO55" s="186"/>
      <c r="JP55" s="186"/>
      <c r="JQ55" s="186"/>
      <c r="JR55" s="186"/>
      <c r="JS55" s="186"/>
      <c r="JT55" s="186"/>
      <c r="JU55" s="186"/>
      <c r="JV55" s="186"/>
      <c r="JW55" s="186"/>
      <c r="JX55" s="186"/>
      <c r="JY55" s="186"/>
      <c r="JZ55" s="186"/>
      <c r="KA55" s="186"/>
      <c r="KB55" s="186"/>
      <c r="KC55" s="186"/>
      <c r="KD55" s="186"/>
      <c r="KE55" s="186"/>
      <c r="KF55" s="186"/>
      <c r="KG55" s="186"/>
      <c r="KH55" s="186"/>
      <c r="KI55" s="186"/>
      <c r="KJ55" s="186"/>
      <c r="KK55" s="186"/>
      <c r="KL55" s="186"/>
      <c r="KM55" s="186"/>
      <c r="KN55" s="186"/>
      <c r="KO55" s="186"/>
      <c r="KP55" s="186"/>
      <c r="KQ55" s="186"/>
      <c r="KR55" s="186"/>
      <c r="KS55" s="186"/>
      <c r="KT55" s="186"/>
      <c r="KU55" s="186"/>
      <c r="KV55" s="186"/>
      <c r="KW55" s="186"/>
      <c r="KX55" s="186"/>
      <c r="KY55" s="186"/>
      <c r="KZ55" s="186"/>
      <c r="LA55" s="186"/>
      <c r="LB55" s="186"/>
      <c r="LC55" s="186"/>
      <c r="LD55" s="186"/>
      <c r="LE55" s="186"/>
      <c r="LF55" s="186"/>
      <c r="LG55" s="186"/>
      <c r="LH55" s="186"/>
      <c r="LI55" s="186"/>
      <c r="LJ55" s="186"/>
      <c r="LK55" s="186"/>
      <c r="LL55" s="186"/>
      <c r="LM55" s="186"/>
      <c r="LN55" s="186"/>
      <c r="LO55" s="186"/>
      <c r="LP55" s="186"/>
      <c r="LQ55" s="186"/>
      <c r="LR55" s="186"/>
      <c r="LS55" s="186"/>
      <c r="LT55" s="186"/>
      <c r="LU55" s="186"/>
      <c r="LV55" s="186"/>
      <c r="LW55" s="186"/>
      <c r="LX55" s="186"/>
      <c r="LY55" s="186"/>
      <c r="LZ55" s="186"/>
      <c r="MA55" s="186"/>
      <c r="MB55" s="186"/>
      <c r="MC55" s="186"/>
      <c r="MD55" s="186"/>
      <c r="ME55" s="186"/>
      <c r="MF55" s="186"/>
      <c r="MG55" s="186"/>
      <c r="MH55" s="186"/>
      <c r="MI55" s="186"/>
      <c r="MJ55" s="186"/>
      <c r="MK55" s="186"/>
      <c r="ML55" s="186"/>
      <c r="MM55" s="186"/>
      <c r="MN55" s="186"/>
      <c r="MO55" s="186"/>
      <c r="MP55" s="186"/>
      <c r="MQ55" s="186"/>
      <c r="MR55" s="186"/>
      <c r="MS55" s="186"/>
      <c r="MT55" s="186"/>
      <c r="MU55" s="186"/>
      <c r="MV55" s="186"/>
      <c r="MW55" s="186"/>
      <c r="MX55" s="186"/>
      <c r="MY55" s="186"/>
      <c r="MZ55" s="186"/>
      <c r="NA55" s="186"/>
      <c r="NB55" s="186"/>
      <c r="NC55" s="186"/>
      <c r="ND55" s="186"/>
      <c r="NE55" s="186"/>
      <c r="NF55" s="186"/>
      <c r="NG55" s="186"/>
      <c r="NH55" s="186"/>
      <c r="NI55" s="186"/>
      <c r="NJ55" s="186"/>
      <c r="NK55" s="186"/>
      <c r="NL55" s="186"/>
      <c r="NM55" s="186"/>
      <c r="NN55" s="186"/>
      <c r="NO55" s="186"/>
      <c r="NP55" s="186"/>
      <c r="NQ55" s="186"/>
      <c r="NR55" s="186"/>
      <c r="NS55" s="186"/>
      <c r="NT55" s="186"/>
      <c r="NU55" s="186"/>
      <c r="NV55" s="186"/>
      <c r="NW55" s="186"/>
      <c r="NX55" s="186"/>
      <c r="NY55" s="186"/>
      <c r="NZ55" s="186"/>
      <c r="OA55" s="186"/>
      <c r="OB55" s="186"/>
      <c r="OC55" s="186"/>
      <c r="OD55" s="186"/>
      <c r="OE55" s="186"/>
      <c r="OF55" s="186"/>
      <c r="OG55" s="186"/>
      <c r="OH55" s="186"/>
      <c r="OI55" s="186"/>
      <c r="OJ55" s="186"/>
      <c r="OK55" s="186"/>
      <c r="OL55" s="186"/>
      <c r="OM55" s="186"/>
      <c r="ON55" s="186"/>
      <c r="OO55" s="186"/>
      <c r="OP55" s="186"/>
      <c r="OQ55" s="186"/>
      <c r="OR55" s="186"/>
      <c r="OS55" s="186"/>
      <c r="OT55" s="186"/>
      <c r="OU55" s="186"/>
      <c r="OV55" s="186"/>
      <c r="OW55" s="186"/>
      <c r="OX55" s="186"/>
      <c r="OY55" s="186"/>
      <c r="OZ55" s="186"/>
      <c r="PA55" s="186"/>
      <c r="PB55" s="186"/>
      <c r="PC55" s="186"/>
      <c r="PD55" s="186"/>
      <c r="PE55" s="186"/>
      <c r="PF55" s="186"/>
      <c r="PG55" s="186"/>
      <c r="PH55" s="186"/>
      <c r="PI55" s="186"/>
      <c r="PJ55" s="186"/>
      <c r="PK55" s="186"/>
      <c r="PL55" s="186"/>
      <c r="PM55" s="186"/>
      <c r="PN55" s="186"/>
      <c r="PO55" s="186"/>
      <c r="PP55" s="186"/>
      <c r="PQ55" s="186"/>
      <c r="PR55" s="186"/>
      <c r="PS55" s="186"/>
      <c r="PT55" s="186"/>
      <c r="PU55" s="186"/>
      <c r="PV55" s="186"/>
      <c r="PW55" s="186"/>
      <c r="PX55" s="186"/>
      <c r="PY55" s="186"/>
      <c r="PZ55" s="186"/>
      <c r="QA55" s="186"/>
      <c r="QB55" s="186"/>
      <c r="QC55" s="186"/>
      <c r="QD55" s="186"/>
      <c r="QE55" s="186"/>
      <c r="QF55" s="186"/>
      <c r="QG55" s="186"/>
      <c r="QH55" s="186"/>
      <c r="QI55" s="186"/>
      <c r="QJ55" s="186"/>
      <c r="QK55" s="186"/>
      <c r="QL55" s="186"/>
      <c r="QM55" s="186"/>
      <c r="QN55" s="186"/>
      <c r="QO55" s="186"/>
      <c r="QP55" s="186"/>
      <c r="QQ55" s="186"/>
      <c r="QR55" s="186"/>
      <c r="QS55" s="186"/>
      <c r="QT55" s="186"/>
      <c r="QU55" s="186"/>
      <c r="QV55" s="186"/>
      <c r="QW55" s="186"/>
      <c r="QX55" s="186"/>
      <c r="QY55" s="186"/>
      <c r="QZ55" s="186"/>
      <c r="RA55" s="186"/>
      <c r="RB55" s="186"/>
      <c r="RC55" s="186"/>
      <c r="RD55" s="186"/>
      <c r="RE55" s="186"/>
      <c r="RF55" s="186"/>
      <c r="RG55" s="186"/>
      <c r="RH55" s="186"/>
      <c r="RI55" s="186"/>
      <c r="RJ55" s="186"/>
      <c r="RK55" s="186"/>
      <c r="RL55" s="186"/>
      <c r="RM55" s="186"/>
      <c r="RN55" s="186"/>
      <c r="RO55" s="186"/>
      <c r="RP55" s="186"/>
      <c r="RQ55" s="186"/>
      <c r="RR55" s="186"/>
      <c r="RS55" s="186"/>
      <c r="RT55" s="186"/>
      <c r="RU55" s="186"/>
      <c r="RV55" s="186"/>
      <c r="RW55" s="186"/>
      <c r="RX55" s="186"/>
      <c r="RY55" s="186"/>
      <c r="RZ55" s="186"/>
      <c r="SA55" s="186"/>
      <c r="SB55" s="186"/>
      <c r="SC55" s="186"/>
      <c r="SD55" s="186"/>
      <c r="SE55" s="186"/>
      <c r="SF55" s="186"/>
      <c r="SG55" s="186"/>
      <c r="SH55" s="186"/>
      <c r="SI55" s="186"/>
      <c r="SJ55" s="186"/>
      <c r="SK55" s="186"/>
      <c r="SL55" s="186"/>
      <c r="SM55" s="186"/>
      <c r="SN55" s="186"/>
      <c r="SO55" s="186"/>
      <c r="SP55" s="186"/>
      <c r="SQ55" s="186"/>
      <c r="SR55" s="186"/>
      <c r="SS55" s="186"/>
      <c r="ST55" s="186"/>
      <c r="SU55" s="186"/>
      <c r="SV55" s="186"/>
      <c r="SW55" s="186"/>
      <c r="SX55" s="186"/>
      <c r="SY55" s="186"/>
      <c r="SZ55" s="186"/>
      <c r="TA55" s="186"/>
      <c r="TB55" s="186"/>
      <c r="TC55" s="186"/>
      <c r="TD55" s="186"/>
      <c r="TE55" s="186"/>
      <c r="TF55" s="186"/>
      <c r="TG55" s="186"/>
      <c r="TH55" s="186"/>
      <c r="TI55" s="186"/>
      <c r="TJ55" s="186"/>
      <c r="TK55" s="186"/>
      <c r="TL55" s="186"/>
      <c r="TM55" s="186"/>
      <c r="TN55" s="186"/>
      <c r="TO55" s="186"/>
      <c r="TP55" s="186"/>
      <c r="TQ55" s="186"/>
      <c r="TR55" s="186"/>
      <c r="TS55" s="186"/>
      <c r="TT55" s="186"/>
      <c r="TU55" s="186"/>
      <c r="TV55" s="186"/>
      <c r="TW55" s="186"/>
      <c r="TX55" s="186"/>
      <c r="TY55" s="186"/>
      <c r="TZ55" s="186"/>
      <c r="UA55" s="186"/>
      <c r="UB55" s="186"/>
      <c r="UC55" s="186"/>
      <c r="UD55" s="186"/>
      <c r="UE55" s="186"/>
      <c r="UF55" s="186"/>
      <c r="UG55" s="186"/>
      <c r="UH55" s="186"/>
      <c r="UI55" s="186"/>
      <c r="UJ55" s="186"/>
      <c r="UK55" s="186"/>
      <c r="UL55" s="186"/>
      <c r="UM55" s="186"/>
      <c r="UN55" s="186"/>
      <c r="UO55" s="186"/>
      <c r="UP55" s="186"/>
      <c r="UQ55" s="186"/>
      <c r="UR55" s="186"/>
      <c r="US55" s="186"/>
      <c r="UT55" s="186"/>
      <c r="UU55" s="186"/>
      <c r="UV55" s="186"/>
      <c r="UW55" s="186"/>
      <c r="UX55" s="186"/>
      <c r="UY55" s="186"/>
      <c r="UZ55" s="186"/>
      <c r="VA55" s="186"/>
      <c r="VB55" s="186"/>
      <c r="VC55" s="186"/>
      <c r="VD55" s="186"/>
      <c r="VE55" s="186"/>
      <c r="VF55" s="186"/>
      <c r="VG55" s="186"/>
      <c r="VH55" s="186"/>
      <c r="VI55" s="186"/>
      <c r="VJ55" s="186"/>
      <c r="VK55" s="186"/>
      <c r="VL55" s="186"/>
      <c r="VM55" s="186"/>
      <c r="VN55" s="186"/>
      <c r="VO55" s="186"/>
      <c r="VP55" s="186"/>
      <c r="VQ55" s="186"/>
      <c r="VR55" s="186"/>
      <c r="VS55" s="186"/>
      <c r="VT55" s="186"/>
      <c r="VU55" s="186"/>
      <c r="VV55" s="186"/>
      <c r="VW55" s="186"/>
      <c r="VX55" s="186"/>
      <c r="VY55" s="186"/>
      <c r="VZ55" s="186"/>
      <c r="WA55" s="186"/>
      <c r="WB55" s="186"/>
      <c r="WC55" s="186"/>
      <c r="WD55" s="186"/>
      <c r="WE55" s="186"/>
      <c r="WF55" s="186"/>
      <c r="WG55" s="186"/>
      <c r="WH55" s="186"/>
      <c r="WI55" s="186"/>
      <c r="WJ55" s="186"/>
      <c r="WK55" s="186"/>
      <c r="WL55" s="186"/>
      <c r="WM55" s="186"/>
      <c r="WN55" s="186"/>
      <c r="WO55" s="186"/>
      <c r="WP55" s="186"/>
      <c r="WQ55" s="186"/>
      <c r="WR55" s="186"/>
      <c r="WS55" s="186"/>
      <c r="WT55" s="186"/>
      <c r="WU55" s="186"/>
      <c r="WV55" s="186"/>
      <c r="WW55" s="186"/>
      <c r="WX55" s="186"/>
      <c r="WY55" s="186"/>
      <c r="WZ55" s="186"/>
      <c r="XA55" s="186"/>
      <c r="XB55" s="186"/>
      <c r="XC55" s="186"/>
      <c r="XD55" s="186"/>
      <c r="XE55" s="186"/>
      <c r="XF55" s="186"/>
      <c r="XG55" s="186"/>
      <c r="XH55" s="186"/>
      <c r="XI55" s="186"/>
      <c r="XJ55" s="186"/>
      <c r="XK55" s="186"/>
      <c r="XL55" s="186"/>
      <c r="XM55" s="186"/>
      <c r="XN55" s="186"/>
      <c r="XO55" s="186"/>
      <c r="XP55" s="186"/>
      <c r="XQ55" s="186"/>
      <c r="XR55" s="186"/>
      <c r="XS55" s="186"/>
      <c r="XT55" s="186"/>
      <c r="XU55" s="186"/>
      <c r="XV55" s="186"/>
      <c r="XW55" s="186"/>
      <c r="XX55" s="186"/>
      <c r="XY55" s="186"/>
      <c r="XZ55" s="186"/>
      <c r="YA55" s="186"/>
      <c r="YB55" s="186"/>
      <c r="YC55" s="186"/>
      <c r="YD55" s="186"/>
      <c r="YE55" s="186"/>
      <c r="YF55" s="186"/>
      <c r="YG55" s="186"/>
      <c r="YH55" s="186"/>
      <c r="YI55" s="186"/>
      <c r="YJ55" s="186"/>
      <c r="YK55" s="186"/>
      <c r="YL55" s="186"/>
      <c r="YM55" s="186"/>
      <c r="YN55" s="186"/>
      <c r="YO55" s="186"/>
      <c r="YP55" s="186"/>
      <c r="YQ55" s="186"/>
      <c r="YR55" s="186"/>
      <c r="YS55" s="186"/>
      <c r="YT55" s="186"/>
      <c r="YU55" s="186"/>
      <c r="YV55" s="186"/>
      <c r="YW55" s="186"/>
      <c r="YX55" s="186"/>
      <c r="YY55" s="186"/>
      <c r="YZ55" s="186"/>
      <c r="ZA55" s="186"/>
      <c r="ZB55" s="186"/>
      <c r="ZC55" s="186"/>
      <c r="ZD55" s="186"/>
      <c r="ZE55" s="186"/>
      <c r="ZF55" s="186"/>
      <c r="ZG55" s="186"/>
      <c r="ZH55" s="186"/>
      <c r="ZI55" s="186"/>
      <c r="ZJ55" s="186"/>
      <c r="ZK55" s="186"/>
      <c r="ZL55" s="186"/>
      <c r="ZM55" s="186"/>
      <c r="ZN55" s="186"/>
      <c r="ZO55" s="186"/>
      <c r="ZP55" s="186"/>
      <c r="ZQ55" s="186"/>
      <c r="ZR55" s="186"/>
      <c r="ZS55" s="186"/>
      <c r="ZT55" s="186"/>
      <c r="ZU55" s="186"/>
      <c r="ZV55" s="186"/>
      <c r="ZW55" s="186"/>
      <c r="ZX55" s="186"/>
      <c r="ZY55" s="186"/>
      <c r="ZZ55" s="186"/>
      <c r="AAA55" s="186"/>
      <c r="AAB55" s="186"/>
      <c r="AAC55" s="186"/>
      <c r="AAD55" s="186"/>
      <c r="AAE55" s="186"/>
      <c r="AAF55" s="186"/>
      <c r="AAG55" s="186"/>
      <c r="AAH55" s="186"/>
      <c r="AAI55" s="186"/>
      <c r="AAJ55" s="186"/>
      <c r="AAK55" s="186"/>
      <c r="AAL55" s="186"/>
      <c r="AAM55" s="186"/>
      <c r="AAN55" s="186"/>
      <c r="AAO55" s="186"/>
      <c r="AAP55" s="186"/>
      <c r="AAQ55" s="186"/>
      <c r="AAR55" s="186"/>
      <c r="AAS55" s="186"/>
      <c r="AAT55" s="186"/>
      <c r="AAU55" s="186"/>
      <c r="AAV55" s="186"/>
      <c r="AAW55" s="186"/>
      <c r="AAX55" s="186"/>
      <c r="AAY55" s="186"/>
      <c r="AAZ55" s="186"/>
      <c r="ABA55" s="186"/>
      <c r="ABB55" s="186"/>
      <c r="ABC55" s="186"/>
      <c r="ABD55" s="186"/>
      <c r="ABE55" s="186"/>
      <c r="ABF55" s="186"/>
      <c r="ABG55" s="186"/>
      <c r="ABH55" s="186"/>
      <c r="ABI55" s="186"/>
      <c r="ABJ55" s="186"/>
      <c r="ABK55" s="186"/>
      <c r="ABL55" s="186"/>
      <c r="ABM55" s="186"/>
      <c r="ABN55" s="186"/>
      <c r="ABO55" s="186"/>
      <c r="ABP55" s="186"/>
      <c r="ABQ55" s="186"/>
      <c r="ABR55" s="186"/>
      <c r="ABS55" s="186"/>
      <c r="ABT55" s="186"/>
      <c r="ABU55" s="186"/>
      <c r="ABV55" s="186"/>
      <c r="ABW55" s="186"/>
      <c r="ABX55" s="186"/>
      <c r="ABY55" s="186"/>
      <c r="ABZ55" s="186"/>
      <c r="ACA55" s="186"/>
      <c r="ACB55" s="186"/>
      <c r="ACC55" s="186"/>
      <c r="ACD55" s="186"/>
      <c r="ACE55" s="186"/>
      <c r="ACF55" s="186"/>
      <c r="ACG55" s="186"/>
      <c r="ACH55" s="186"/>
      <c r="ACI55" s="186"/>
      <c r="ACJ55" s="186"/>
      <c r="ACK55" s="186"/>
      <c r="ACL55" s="186"/>
      <c r="ACM55" s="186"/>
      <c r="ACN55" s="186"/>
      <c r="ACO55" s="186"/>
      <c r="ACP55" s="186"/>
      <c r="ACQ55" s="186"/>
      <c r="ACR55" s="186"/>
      <c r="ACS55" s="186"/>
      <c r="ACT55" s="186"/>
      <c r="ACU55" s="186"/>
      <c r="ACV55" s="186"/>
      <c r="ACW55" s="186"/>
      <c r="ACX55" s="186"/>
      <c r="ACY55" s="186"/>
      <c r="ACZ55" s="186"/>
      <c r="ADA55" s="186"/>
      <c r="ADB55" s="186"/>
      <c r="ADC55" s="186"/>
      <c r="ADD55" s="186"/>
      <c r="ADE55" s="186"/>
      <c r="ADF55" s="186"/>
      <c r="ADG55" s="186"/>
      <c r="ADH55" s="186"/>
      <c r="ADI55" s="186"/>
      <c r="ADJ55" s="186"/>
      <c r="ADK55" s="186"/>
      <c r="ADL55" s="186"/>
      <c r="ADM55" s="186"/>
      <c r="ADN55" s="186"/>
      <c r="ADO55" s="186"/>
      <c r="ADP55" s="186"/>
      <c r="ADQ55" s="186"/>
      <c r="ADR55" s="186"/>
      <c r="ADS55" s="186"/>
      <c r="ADT55" s="186"/>
      <c r="ADU55" s="186"/>
      <c r="ADV55" s="186"/>
      <c r="ADW55" s="186"/>
      <c r="ADX55" s="186"/>
      <c r="ADY55" s="186"/>
      <c r="ADZ55" s="186"/>
      <c r="AEA55" s="186"/>
      <c r="AEB55" s="186"/>
      <c r="AEC55" s="186"/>
      <c r="AED55" s="186"/>
      <c r="AEE55" s="186"/>
      <c r="AEF55" s="186"/>
      <c r="AEG55" s="186"/>
      <c r="AEH55" s="186"/>
      <c r="AEI55" s="186"/>
      <c r="AEJ55" s="186"/>
      <c r="AEK55" s="186"/>
      <c r="AEL55" s="186"/>
      <c r="AEM55" s="186"/>
      <c r="AEN55" s="186"/>
      <c r="AEO55" s="186"/>
      <c r="AEP55" s="186"/>
      <c r="AEQ55" s="186"/>
      <c r="AER55" s="186"/>
      <c r="AES55" s="186"/>
      <c r="AET55" s="186"/>
      <c r="AEU55" s="186"/>
      <c r="AEV55" s="186"/>
      <c r="AEW55" s="186"/>
      <c r="AEX55" s="186"/>
      <c r="AEY55" s="186"/>
      <c r="AEZ55" s="186"/>
      <c r="AFA55" s="186"/>
      <c r="AFB55" s="186"/>
      <c r="AFC55" s="186"/>
      <c r="AFD55" s="186"/>
      <c r="AFE55" s="186"/>
      <c r="AFF55" s="186"/>
      <c r="AFG55" s="186"/>
      <c r="AFH55" s="186"/>
      <c r="AFI55" s="186"/>
      <c r="AFJ55" s="186"/>
      <c r="AFK55" s="186"/>
      <c r="AFL55" s="186"/>
      <c r="AFM55" s="186"/>
      <c r="AFN55" s="186"/>
      <c r="AFO55" s="186"/>
      <c r="AFP55" s="186"/>
      <c r="AFQ55" s="186"/>
      <c r="AFR55" s="186"/>
      <c r="AFS55" s="186"/>
      <c r="AFT55" s="186"/>
      <c r="AFU55" s="186"/>
      <c r="AFV55" s="186"/>
      <c r="AFW55" s="186"/>
      <c r="AFX55" s="186"/>
      <c r="AFY55" s="186"/>
      <c r="AFZ55" s="186"/>
      <c r="AGA55" s="186"/>
      <c r="AGB55" s="186"/>
      <c r="AGC55" s="186"/>
      <c r="AGD55" s="186"/>
      <c r="AGE55" s="186"/>
      <c r="AGF55" s="186"/>
      <c r="AGG55" s="186"/>
      <c r="AGH55" s="186"/>
      <c r="AGI55" s="186"/>
      <c r="AGJ55" s="186"/>
      <c r="AGK55" s="186"/>
      <c r="AGL55" s="186"/>
      <c r="AGM55" s="186"/>
      <c r="AGN55" s="186"/>
      <c r="AGO55" s="186"/>
      <c r="AGP55" s="186"/>
      <c r="AGQ55" s="186"/>
      <c r="AGR55" s="186"/>
      <c r="AGS55" s="186"/>
      <c r="AGT55" s="186"/>
      <c r="AGU55" s="186"/>
      <c r="AGV55" s="186"/>
      <c r="AGW55" s="186"/>
      <c r="AGX55" s="186"/>
      <c r="AGY55" s="186"/>
      <c r="AGZ55" s="186"/>
      <c r="AHA55" s="186"/>
      <c r="AHB55" s="186"/>
      <c r="AHC55" s="186"/>
      <c r="AHD55" s="186"/>
      <c r="AHE55" s="186"/>
      <c r="AHF55" s="186"/>
      <c r="AHG55" s="186"/>
      <c r="AHH55" s="186"/>
      <c r="AHI55" s="186"/>
      <c r="AHJ55" s="186"/>
      <c r="AHK55" s="186"/>
      <c r="AHL55" s="186"/>
      <c r="AHM55" s="186"/>
      <c r="AHN55" s="186"/>
      <c r="AHO55" s="186"/>
      <c r="AHP55" s="186"/>
      <c r="AHQ55" s="186"/>
      <c r="AHR55" s="186"/>
      <c r="AHS55" s="186"/>
      <c r="AHT55" s="186"/>
      <c r="AHU55" s="186"/>
      <c r="AHV55" s="186"/>
      <c r="AHW55" s="186"/>
      <c r="AHX55" s="186"/>
      <c r="AHY55" s="186"/>
      <c r="AHZ55" s="186"/>
      <c r="AIA55" s="186"/>
      <c r="AIB55" s="186"/>
      <c r="AIC55" s="186"/>
      <c r="AID55" s="186"/>
      <c r="AIE55" s="186"/>
      <c r="AIF55" s="186"/>
      <c r="AIG55" s="186"/>
      <c r="AIH55" s="186"/>
      <c r="AII55" s="186"/>
      <c r="AIJ55" s="186"/>
      <c r="AIK55" s="186"/>
      <c r="AIL55" s="186"/>
      <c r="AIM55" s="186"/>
      <c r="AIN55" s="186"/>
      <c r="AIO55" s="186"/>
      <c r="AIP55" s="186"/>
      <c r="AIQ55" s="186"/>
      <c r="AIR55" s="186"/>
      <c r="AIS55" s="186"/>
      <c r="AIT55" s="186"/>
      <c r="AIU55" s="186"/>
      <c r="AIV55" s="186"/>
      <c r="AIW55" s="186"/>
      <c r="AIX55" s="186"/>
      <c r="AIY55" s="186"/>
      <c r="AIZ55" s="186"/>
      <c r="AJA55" s="186"/>
      <c r="AJB55" s="186"/>
      <c r="AJC55" s="186"/>
      <c r="AJD55" s="186"/>
      <c r="AJE55" s="186"/>
      <c r="AJF55" s="186"/>
      <c r="AJG55" s="186"/>
      <c r="AJH55" s="186"/>
      <c r="AJI55" s="186"/>
      <c r="AJJ55" s="186"/>
      <c r="AJK55" s="186"/>
      <c r="AJL55" s="186"/>
      <c r="AJM55" s="186"/>
      <c r="AJN55" s="186"/>
      <c r="AJO55" s="186"/>
      <c r="AJP55" s="186"/>
      <c r="AJQ55" s="186"/>
      <c r="AJR55" s="186"/>
      <c r="AJS55" s="186"/>
      <c r="AJT55" s="186"/>
      <c r="AJU55" s="186"/>
      <c r="AJV55" s="186"/>
      <c r="AJW55" s="186"/>
      <c r="AJX55" s="186"/>
      <c r="AJY55" s="186"/>
      <c r="AJZ55" s="186"/>
      <c r="AKA55" s="186"/>
      <c r="AKB55" s="186"/>
      <c r="AKC55" s="186"/>
      <c r="AKD55" s="186"/>
      <c r="AKE55" s="186"/>
      <c r="AKF55" s="186"/>
      <c r="AKG55" s="186"/>
      <c r="AKH55" s="186"/>
      <c r="AKI55" s="186"/>
      <c r="AKJ55" s="186"/>
      <c r="AKK55" s="186"/>
      <c r="AKL55" s="186"/>
      <c r="AKM55" s="186"/>
      <c r="AKN55" s="186"/>
      <c r="AKO55" s="186"/>
      <c r="AKP55" s="186"/>
      <c r="AKQ55" s="186"/>
      <c r="AKR55" s="186"/>
      <c r="AKS55" s="186"/>
      <c r="AKT55" s="186"/>
      <c r="AKU55" s="186"/>
      <c r="AKV55" s="186"/>
      <c r="AKW55" s="186"/>
      <c r="AKX55" s="186"/>
      <c r="AKY55" s="186"/>
      <c r="AKZ55" s="186"/>
      <c r="ALA55" s="186"/>
      <c r="ALB55" s="186"/>
      <c r="ALC55" s="186"/>
      <c r="ALD55" s="186"/>
      <c r="ALE55" s="186"/>
      <c r="ALF55" s="186"/>
      <c r="ALG55" s="186"/>
      <c r="ALH55" s="186"/>
      <c r="ALI55" s="186"/>
      <c r="ALJ55" s="186"/>
      <c r="ALK55" s="186"/>
      <c r="ALL55" s="186"/>
      <c r="ALM55" s="186"/>
      <c r="ALN55" s="186"/>
      <c r="ALO55" s="186"/>
      <c r="ALP55" s="186"/>
      <c r="ALQ55" s="186"/>
      <c r="ALR55" s="186"/>
      <c r="ALS55" s="186"/>
      <c r="ALT55" s="186"/>
      <c r="ALU55" s="186"/>
      <c r="ALV55" s="186"/>
      <c r="ALW55" s="186"/>
      <c r="ALX55" s="186"/>
      <c r="ALY55" s="186"/>
      <c r="ALZ55" s="186"/>
      <c r="AMA55" s="186"/>
      <c r="AMB55" s="186"/>
      <c r="AMC55" s="186"/>
      <c r="AMD55" s="186"/>
      <c r="AME55" s="186"/>
      <c r="AMF55" s="186"/>
      <c r="AMG55" s="186"/>
      <c r="AMH55" s="186"/>
      <c r="AMI55" s="186"/>
      <c r="AMJ55" s="186"/>
      <c r="AMK55" s="186"/>
      <c r="AML55" s="186"/>
      <c r="AMM55" s="186"/>
      <c r="AMN55" s="186"/>
      <c r="AMO55" s="186"/>
      <c r="AMP55" s="186"/>
      <c r="AMQ55" s="186"/>
      <c r="AMR55" s="186"/>
      <c r="AMS55" s="186"/>
      <c r="AMT55" s="186"/>
      <c r="AMU55" s="186"/>
      <c r="AMV55" s="186"/>
      <c r="AMW55" s="186"/>
      <c r="AMX55" s="186"/>
      <c r="AMY55" s="186"/>
      <c r="AMZ55" s="186"/>
      <c r="ANA55" s="186"/>
      <c r="ANB55" s="186"/>
      <c r="ANC55" s="186"/>
      <c r="AND55" s="186"/>
      <c r="ANE55" s="186"/>
      <c r="ANF55" s="186"/>
      <c r="ANG55" s="186"/>
      <c r="ANH55" s="186"/>
      <c r="ANI55" s="186"/>
      <c r="ANJ55" s="186"/>
      <c r="ANK55" s="186"/>
      <c r="ANL55" s="186"/>
      <c r="ANM55" s="186"/>
      <c r="ANN55" s="186"/>
      <c r="ANO55" s="186"/>
      <c r="ANP55" s="186"/>
      <c r="ANQ55" s="186"/>
      <c r="ANR55" s="186"/>
      <c r="ANS55" s="186"/>
      <c r="ANT55" s="186"/>
      <c r="ANU55" s="186"/>
      <c r="ANV55" s="186"/>
      <c r="ANW55" s="186"/>
      <c r="ANX55" s="186"/>
      <c r="ANY55" s="186"/>
      <c r="ANZ55" s="186"/>
      <c r="AOA55" s="186"/>
      <c r="AOB55" s="186"/>
      <c r="AOC55" s="186"/>
      <c r="AOD55" s="186"/>
      <c r="AOE55" s="186"/>
      <c r="AOF55" s="186"/>
      <c r="AOG55" s="186"/>
      <c r="AOH55" s="186"/>
      <c r="AOI55" s="186"/>
      <c r="AOJ55" s="186"/>
      <c r="AOK55" s="186"/>
      <c r="AOL55" s="186"/>
      <c r="AOM55" s="186"/>
      <c r="AON55" s="186"/>
      <c r="AOO55" s="186"/>
      <c r="AOP55" s="186"/>
      <c r="AOQ55" s="186"/>
      <c r="AOR55" s="186"/>
      <c r="AOS55" s="186"/>
      <c r="AOT55" s="186"/>
      <c r="AOU55" s="186"/>
      <c r="AOV55" s="186"/>
      <c r="AOW55" s="186"/>
      <c r="AOX55" s="186"/>
      <c r="AOY55" s="186"/>
      <c r="AOZ55" s="186"/>
      <c r="APA55" s="186"/>
      <c r="APB55" s="186"/>
      <c r="APC55" s="186"/>
      <c r="APD55" s="186"/>
      <c r="APE55" s="186"/>
      <c r="APF55" s="186"/>
      <c r="APG55" s="186"/>
      <c r="APH55" s="186"/>
      <c r="API55" s="186"/>
      <c r="APJ55" s="186"/>
      <c r="APK55" s="186"/>
      <c r="APL55" s="186"/>
      <c r="APM55" s="186"/>
      <c r="APN55" s="186"/>
      <c r="APO55" s="186"/>
      <c r="APP55" s="186"/>
      <c r="APQ55" s="186"/>
      <c r="APR55" s="186"/>
      <c r="APS55" s="186"/>
      <c r="APT55" s="186"/>
      <c r="APU55" s="186"/>
      <c r="APV55" s="186"/>
      <c r="APW55" s="186"/>
      <c r="APX55" s="186"/>
      <c r="APY55" s="186"/>
      <c r="APZ55" s="186"/>
      <c r="AQA55" s="186"/>
      <c r="AQB55" s="186"/>
      <c r="AQC55" s="186"/>
      <c r="AQD55" s="186"/>
      <c r="AQE55" s="186"/>
      <c r="AQF55" s="186"/>
      <c r="AQG55" s="186"/>
      <c r="AQH55" s="186"/>
      <c r="AQI55" s="186"/>
      <c r="AQJ55" s="186"/>
      <c r="AQK55" s="186"/>
      <c r="AQL55" s="186"/>
      <c r="AQM55" s="186"/>
      <c r="AQN55" s="186"/>
      <c r="AQO55" s="186"/>
      <c r="AQP55" s="186"/>
      <c r="AQQ55" s="186"/>
      <c r="AQR55" s="186"/>
      <c r="AQS55" s="186"/>
      <c r="AQT55" s="186"/>
      <c r="AQU55" s="186"/>
      <c r="AQV55" s="186"/>
      <c r="AQW55" s="186"/>
      <c r="AQX55" s="186"/>
      <c r="AQY55" s="186"/>
      <c r="AQZ55" s="186"/>
      <c r="ARA55" s="186"/>
      <c r="ARB55" s="186"/>
      <c r="ARC55" s="186"/>
      <c r="ARD55" s="186"/>
      <c r="ARE55" s="186"/>
      <c r="ARF55" s="186"/>
      <c r="ARG55" s="186"/>
      <c r="ARH55" s="186"/>
      <c r="ARI55" s="186"/>
      <c r="ARJ55" s="186"/>
      <c r="ARK55" s="186"/>
      <c r="ARL55" s="186"/>
      <c r="ARM55" s="186"/>
      <c r="ARN55" s="186"/>
      <c r="ARO55" s="186"/>
      <c r="ARP55" s="186"/>
      <c r="ARQ55" s="186"/>
      <c r="ARR55" s="186"/>
      <c r="ARS55" s="186"/>
      <c r="ART55" s="186"/>
      <c r="ARU55" s="186"/>
      <c r="ARV55" s="186"/>
      <c r="ARW55" s="186"/>
      <c r="ARX55" s="186"/>
      <c r="ARY55" s="186"/>
      <c r="ARZ55" s="186"/>
      <c r="ASA55" s="186"/>
      <c r="ASB55" s="186"/>
      <c r="ASC55" s="186"/>
      <c r="ASD55" s="186"/>
      <c r="ASE55" s="186"/>
      <c r="ASF55" s="186"/>
      <c r="ASG55" s="186"/>
      <c r="ASH55" s="186"/>
      <c r="ASI55" s="186"/>
      <c r="ASJ55" s="186"/>
      <c r="ASK55" s="186"/>
      <c r="ASL55" s="186"/>
      <c r="ASM55" s="186"/>
      <c r="ASN55" s="186"/>
      <c r="ASO55" s="186"/>
      <c r="ASP55" s="186"/>
      <c r="ASQ55" s="186"/>
      <c r="ASR55" s="186"/>
      <c r="ASS55" s="186"/>
      <c r="AST55" s="186"/>
      <c r="ASU55" s="186"/>
      <c r="ASV55" s="186"/>
      <c r="ASW55" s="186"/>
      <c r="ASX55" s="186"/>
      <c r="ASY55" s="186"/>
      <c r="ASZ55" s="186"/>
      <c r="ATA55" s="186"/>
      <c r="ATB55" s="186"/>
      <c r="ATC55" s="186"/>
      <c r="ATD55" s="186"/>
      <c r="ATE55" s="186"/>
      <c r="ATF55" s="186"/>
      <c r="ATG55" s="186"/>
      <c r="ATH55" s="186"/>
      <c r="ATI55" s="186"/>
      <c r="ATJ55" s="186"/>
      <c r="ATK55" s="186"/>
      <c r="ATL55" s="186"/>
      <c r="ATM55" s="186"/>
      <c r="ATN55" s="186"/>
      <c r="ATO55" s="186"/>
      <c r="ATP55" s="186"/>
      <c r="ATQ55" s="186"/>
      <c r="ATR55" s="186"/>
      <c r="ATS55" s="186"/>
      <c r="ATT55" s="186"/>
      <c r="ATU55" s="186"/>
      <c r="ATV55" s="186"/>
      <c r="ATW55" s="186"/>
      <c r="ATX55" s="186"/>
      <c r="ATY55" s="186"/>
      <c r="ATZ55" s="186"/>
      <c r="AUA55" s="186"/>
      <c r="AUB55" s="186"/>
      <c r="AUC55" s="186"/>
      <c r="AUD55" s="204" t="s">
        <v>281</v>
      </c>
      <c r="AUE55" s="186"/>
      <c r="AUF55" s="204" t="s">
        <v>282</v>
      </c>
      <c r="AUG55" s="204" t="s">
        <v>283</v>
      </c>
    </row>
    <row r="56" spans="1:1229" s="212" customFormat="1" ht="30.75" customHeight="1">
      <c r="A56" s="97">
        <v>48</v>
      </c>
      <c r="B56" s="56" t="s">
        <v>284</v>
      </c>
      <c r="C56" s="57" t="s">
        <v>285</v>
      </c>
      <c r="D56" s="58" t="s">
        <v>286</v>
      </c>
      <c r="E56" s="58" t="s">
        <v>48</v>
      </c>
      <c r="F56" s="58" t="s">
        <v>114</v>
      </c>
      <c r="G56" s="58" t="s">
        <v>106</v>
      </c>
      <c r="H56" s="58" t="s">
        <v>287</v>
      </c>
      <c r="I56" s="58" t="s">
        <v>97</v>
      </c>
      <c r="J56" s="57" t="s">
        <v>210</v>
      </c>
      <c r="K56" s="57" t="s">
        <v>143</v>
      </c>
      <c r="L56" s="57" t="s">
        <v>211</v>
      </c>
      <c r="M56" s="57" t="s">
        <v>212</v>
      </c>
      <c r="N56" s="57" t="s">
        <v>98</v>
      </c>
      <c r="O56" s="59">
        <v>44743</v>
      </c>
      <c r="P56" s="59">
        <v>45559</v>
      </c>
      <c r="Q56" s="60">
        <v>7496388.4460177002</v>
      </c>
      <c r="R56" s="57" t="s">
        <v>89</v>
      </c>
      <c r="S56" s="61">
        <f t="shared" si="3"/>
        <v>815025.04376267432</v>
      </c>
      <c r="T56" s="62" t="e">
        <f>SUM(#REF!)</f>
        <v>#REF!</v>
      </c>
      <c r="U56" s="205" t="e">
        <f>S56/T56</f>
        <v>#REF!</v>
      </c>
      <c r="V56" s="373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1"/>
      <c r="DA56" s="101"/>
      <c r="DB56" s="101"/>
      <c r="DC56" s="101"/>
      <c r="DD56" s="101"/>
      <c r="DE56" s="101"/>
      <c r="DF56" s="101"/>
      <c r="DG56" s="101"/>
      <c r="DH56" s="101"/>
      <c r="DI56" s="101"/>
      <c r="DJ56" s="101"/>
      <c r="DK56" s="101"/>
      <c r="DL56" s="101"/>
      <c r="DM56" s="101"/>
      <c r="DN56" s="101"/>
      <c r="DO56" s="101"/>
      <c r="DP56" s="101"/>
      <c r="DQ56" s="101"/>
      <c r="DR56" s="101"/>
      <c r="DS56" s="101"/>
      <c r="DT56" s="101"/>
      <c r="DU56" s="101"/>
      <c r="DV56" s="101"/>
      <c r="DW56" s="101"/>
      <c r="DX56" s="101"/>
      <c r="DY56" s="101"/>
      <c r="DZ56" s="101"/>
      <c r="EA56" s="101"/>
      <c r="EB56" s="101"/>
      <c r="EC56" s="101"/>
      <c r="ED56" s="101"/>
      <c r="EE56" s="101"/>
      <c r="EF56" s="101"/>
      <c r="EG56" s="101"/>
      <c r="EH56" s="101"/>
      <c r="EI56" s="101"/>
      <c r="EJ56" s="101"/>
      <c r="EK56" s="101"/>
      <c r="EL56" s="101"/>
      <c r="EM56" s="101"/>
      <c r="EN56" s="101"/>
      <c r="EO56" s="101"/>
      <c r="EP56" s="101"/>
      <c r="EQ56" s="101"/>
      <c r="ER56" s="101"/>
      <c r="ES56" s="101"/>
      <c r="ET56" s="101"/>
      <c r="EU56" s="101"/>
      <c r="EV56" s="101"/>
      <c r="EW56" s="101"/>
      <c r="EX56" s="101"/>
      <c r="EY56" s="101"/>
      <c r="EZ56" s="101"/>
      <c r="FA56" s="101"/>
      <c r="FB56" s="101"/>
      <c r="FC56" s="101"/>
      <c r="FD56" s="101"/>
      <c r="FE56" s="101"/>
      <c r="FF56" s="101"/>
      <c r="FG56" s="101"/>
      <c r="FH56" s="101"/>
      <c r="FI56" s="101"/>
      <c r="FJ56" s="101"/>
      <c r="FK56" s="101"/>
      <c r="FL56" s="101"/>
      <c r="FM56" s="101"/>
      <c r="FN56" s="101"/>
      <c r="FO56" s="101"/>
      <c r="FP56" s="101"/>
      <c r="FQ56" s="101"/>
      <c r="FR56" s="101"/>
      <c r="FS56" s="101"/>
      <c r="FT56" s="101"/>
      <c r="FU56" s="101"/>
      <c r="FV56" s="101"/>
      <c r="FW56" s="101"/>
      <c r="FX56" s="101"/>
      <c r="FY56" s="101"/>
      <c r="FZ56" s="101"/>
      <c r="GA56" s="101"/>
      <c r="GB56" s="101"/>
      <c r="GC56" s="101"/>
      <c r="GD56" s="101"/>
      <c r="GE56" s="101"/>
      <c r="GF56" s="101"/>
      <c r="GG56" s="101"/>
      <c r="GH56" s="101"/>
      <c r="GI56" s="101"/>
      <c r="GJ56" s="101"/>
      <c r="GK56" s="101"/>
      <c r="GL56" s="101"/>
      <c r="GM56" s="101"/>
      <c r="GN56" s="101"/>
      <c r="GO56" s="101"/>
      <c r="GP56" s="101"/>
      <c r="GQ56" s="101"/>
      <c r="GR56" s="101"/>
      <c r="GS56" s="101"/>
      <c r="GT56" s="101"/>
      <c r="GU56" s="101"/>
      <c r="GV56" s="101"/>
      <c r="GW56" s="101"/>
      <c r="GX56" s="101"/>
      <c r="GY56" s="101"/>
      <c r="GZ56" s="101"/>
      <c r="HA56" s="101"/>
      <c r="HB56" s="101"/>
      <c r="HC56" s="101"/>
      <c r="HD56" s="101"/>
      <c r="HE56" s="101"/>
      <c r="HF56" s="101"/>
      <c r="HG56" s="101"/>
      <c r="HH56" s="101"/>
      <c r="HI56" s="101"/>
      <c r="HJ56" s="101"/>
      <c r="HK56" s="101"/>
      <c r="HL56" s="101"/>
      <c r="HM56" s="101"/>
      <c r="HN56" s="101"/>
      <c r="HO56" s="101"/>
      <c r="HP56" s="101"/>
      <c r="HQ56" s="101"/>
      <c r="HR56" s="101"/>
      <c r="HS56" s="101"/>
      <c r="HT56" s="101"/>
      <c r="HU56" s="101"/>
      <c r="HV56" s="101"/>
      <c r="HW56" s="101"/>
      <c r="HX56" s="101"/>
      <c r="HY56" s="101"/>
      <c r="HZ56" s="101"/>
      <c r="IA56" s="101"/>
      <c r="IB56" s="101"/>
      <c r="IC56" s="101"/>
      <c r="ID56" s="101"/>
      <c r="IE56" s="101"/>
      <c r="IF56" s="101"/>
      <c r="IG56" s="101"/>
      <c r="IH56" s="101"/>
      <c r="II56" s="101"/>
      <c r="IJ56" s="101"/>
      <c r="IK56" s="101"/>
      <c r="IL56" s="101"/>
      <c r="IM56" s="101"/>
      <c r="IN56" s="101"/>
      <c r="IO56" s="101"/>
      <c r="IP56" s="101"/>
      <c r="IQ56" s="101"/>
      <c r="IR56" s="101"/>
      <c r="IS56" s="101"/>
      <c r="IT56" s="101"/>
      <c r="IU56" s="101"/>
      <c r="IV56" s="101"/>
      <c r="IW56" s="101"/>
      <c r="IX56" s="101"/>
      <c r="IY56" s="101"/>
      <c r="IZ56" s="101"/>
      <c r="JA56" s="101"/>
      <c r="JB56" s="101"/>
      <c r="JC56" s="101"/>
      <c r="JD56" s="101"/>
      <c r="JE56" s="101"/>
      <c r="JF56" s="101"/>
      <c r="JG56" s="101"/>
      <c r="JH56" s="101"/>
      <c r="JI56" s="101"/>
      <c r="JJ56" s="101"/>
      <c r="JK56" s="101"/>
      <c r="JL56" s="101"/>
      <c r="JM56" s="101"/>
      <c r="JN56" s="101"/>
      <c r="JO56" s="101"/>
      <c r="JP56" s="101"/>
      <c r="JQ56" s="101"/>
      <c r="JR56" s="101"/>
      <c r="JS56" s="101"/>
      <c r="JT56" s="101"/>
      <c r="JU56" s="101"/>
      <c r="JV56" s="101"/>
      <c r="JW56" s="101"/>
      <c r="JX56" s="101"/>
      <c r="JY56" s="101"/>
      <c r="JZ56" s="101"/>
      <c r="KA56" s="101"/>
      <c r="KB56" s="101"/>
      <c r="KC56" s="101"/>
      <c r="KD56" s="101"/>
      <c r="KE56" s="101"/>
      <c r="KF56" s="101"/>
      <c r="KG56" s="101"/>
      <c r="KH56" s="101"/>
      <c r="KI56" s="101"/>
      <c r="KJ56" s="101"/>
      <c r="KK56" s="101"/>
      <c r="KL56" s="101"/>
      <c r="KM56" s="101"/>
      <c r="KN56" s="101"/>
      <c r="KO56" s="101"/>
      <c r="KP56" s="101"/>
      <c r="KQ56" s="101"/>
      <c r="KR56" s="101"/>
      <c r="KS56" s="101"/>
      <c r="KT56" s="101"/>
      <c r="KU56" s="101"/>
      <c r="KV56" s="101"/>
      <c r="KW56" s="101"/>
      <c r="KX56" s="101"/>
      <c r="KY56" s="101"/>
      <c r="KZ56" s="101"/>
      <c r="LA56" s="101"/>
      <c r="LB56" s="101"/>
      <c r="LC56" s="101"/>
      <c r="LD56" s="101"/>
      <c r="LE56" s="101"/>
      <c r="LF56" s="101"/>
      <c r="LG56" s="101"/>
      <c r="LH56" s="101"/>
      <c r="LI56" s="101"/>
      <c r="LJ56" s="101"/>
      <c r="LK56" s="101"/>
      <c r="LL56" s="101"/>
      <c r="LM56" s="101"/>
      <c r="LN56" s="101"/>
      <c r="LO56" s="101"/>
      <c r="LP56" s="101"/>
      <c r="LQ56" s="101"/>
      <c r="LR56" s="101"/>
      <c r="LS56" s="101"/>
      <c r="LT56" s="101"/>
      <c r="LU56" s="101"/>
      <c r="LV56" s="101"/>
      <c r="LW56" s="101"/>
      <c r="LX56" s="101"/>
      <c r="LY56" s="101"/>
      <c r="LZ56" s="101"/>
      <c r="MA56" s="101"/>
      <c r="MB56" s="101"/>
      <c r="MC56" s="101"/>
      <c r="MD56" s="101"/>
      <c r="ME56" s="101"/>
      <c r="MF56" s="101"/>
      <c r="MG56" s="101"/>
      <c r="MH56" s="101"/>
      <c r="MI56" s="101"/>
      <c r="MJ56" s="101"/>
      <c r="MK56" s="101"/>
      <c r="ML56" s="101"/>
      <c r="MM56" s="101"/>
      <c r="MN56" s="101"/>
      <c r="MO56" s="101"/>
      <c r="MP56" s="101"/>
      <c r="MQ56" s="101"/>
      <c r="MR56" s="101"/>
      <c r="MS56" s="101"/>
      <c r="MT56" s="101"/>
      <c r="MU56" s="101"/>
      <c r="MV56" s="101"/>
      <c r="MW56" s="101"/>
      <c r="MX56" s="101"/>
      <c r="MY56" s="101"/>
      <c r="MZ56" s="101"/>
      <c r="NA56" s="101"/>
      <c r="NB56" s="101"/>
      <c r="NC56" s="101"/>
      <c r="ND56" s="101"/>
      <c r="NE56" s="101"/>
      <c r="NF56" s="101"/>
      <c r="NG56" s="101"/>
      <c r="NH56" s="101"/>
      <c r="NI56" s="101"/>
      <c r="NJ56" s="101"/>
      <c r="NK56" s="101"/>
      <c r="NL56" s="101"/>
      <c r="NM56" s="101"/>
      <c r="NN56" s="101"/>
      <c r="NO56" s="101"/>
      <c r="NP56" s="101"/>
      <c r="NQ56" s="101"/>
      <c r="NR56" s="101"/>
      <c r="NS56" s="101"/>
      <c r="NT56" s="101"/>
      <c r="NU56" s="101"/>
      <c r="NV56" s="101"/>
      <c r="NW56" s="101"/>
      <c r="NX56" s="101"/>
      <c r="NY56" s="101"/>
      <c r="NZ56" s="101"/>
      <c r="OA56" s="101"/>
      <c r="OB56" s="101"/>
      <c r="OC56" s="101"/>
      <c r="OD56" s="101"/>
      <c r="OE56" s="101"/>
      <c r="OF56" s="101"/>
      <c r="OG56" s="101"/>
      <c r="OH56" s="101"/>
      <c r="OI56" s="101"/>
      <c r="OJ56" s="101"/>
      <c r="OK56" s="101"/>
      <c r="OL56" s="101"/>
      <c r="OM56" s="101"/>
      <c r="ON56" s="101"/>
      <c r="OO56" s="101"/>
      <c r="OP56" s="101"/>
      <c r="OQ56" s="101"/>
      <c r="OR56" s="101"/>
      <c r="OS56" s="101"/>
      <c r="OT56" s="101"/>
      <c r="OU56" s="101"/>
      <c r="OV56" s="101"/>
      <c r="OW56" s="101"/>
      <c r="OX56" s="101"/>
      <c r="OY56" s="101"/>
      <c r="OZ56" s="101"/>
      <c r="PA56" s="101"/>
      <c r="PB56" s="101"/>
      <c r="PC56" s="101"/>
      <c r="PD56" s="101"/>
      <c r="PE56" s="101"/>
      <c r="PF56" s="101"/>
      <c r="PG56" s="101"/>
      <c r="PH56" s="101"/>
      <c r="PI56" s="101"/>
      <c r="PJ56" s="101"/>
      <c r="PK56" s="101"/>
      <c r="PL56" s="101"/>
      <c r="PM56" s="101"/>
      <c r="PN56" s="101"/>
      <c r="PO56" s="101"/>
      <c r="PP56" s="101"/>
      <c r="PQ56" s="101"/>
      <c r="PR56" s="101"/>
      <c r="PS56" s="101"/>
      <c r="PT56" s="101"/>
      <c r="PU56" s="101"/>
      <c r="PV56" s="101"/>
      <c r="PW56" s="101"/>
      <c r="PX56" s="101"/>
      <c r="PY56" s="101"/>
      <c r="PZ56" s="101"/>
      <c r="QA56" s="101"/>
      <c r="QB56" s="101"/>
      <c r="QC56" s="101"/>
      <c r="QD56" s="101"/>
      <c r="QE56" s="101"/>
      <c r="QF56" s="101"/>
      <c r="QG56" s="101"/>
      <c r="QH56" s="101"/>
      <c r="QI56" s="101"/>
      <c r="QJ56" s="101"/>
      <c r="QK56" s="101"/>
      <c r="QL56" s="101"/>
      <c r="QM56" s="101"/>
      <c r="QN56" s="101"/>
      <c r="QO56" s="101"/>
      <c r="QP56" s="101"/>
      <c r="QQ56" s="101"/>
      <c r="QR56" s="101"/>
      <c r="QS56" s="101"/>
      <c r="QT56" s="101"/>
      <c r="QU56" s="101"/>
      <c r="QV56" s="101"/>
      <c r="QW56" s="101"/>
      <c r="QX56" s="101"/>
      <c r="QY56" s="101"/>
      <c r="QZ56" s="101"/>
      <c r="RA56" s="101"/>
      <c r="RB56" s="101"/>
      <c r="RC56" s="101"/>
      <c r="RD56" s="101"/>
      <c r="RE56" s="101"/>
      <c r="RF56" s="101"/>
      <c r="RG56" s="101"/>
      <c r="RH56" s="101"/>
      <c r="RI56" s="101"/>
      <c r="RJ56" s="101"/>
      <c r="RK56" s="101"/>
      <c r="RL56" s="101"/>
      <c r="RM56" s="101"/>
      <c r="RN56" s="101"/>
      <c r="RO56" s="101"/>
      <c r="RP56" s="101"/>
      <c r="RQ56" s="101"/>
      <c r="RR56" s="101"/>
      <c r="RS56" s="101"/>
      <c r="RT56" s="101"/>
      <c r="RU56" s="101"/>
      <c r="RV56" s="101"/>
      <c r="RW56" s="101"/>
      <c r="RX56" s="101"/>
      <c r="RY56" s="101"/>
      <c r="RZ56" s="101"/>
      <c r="SA56" s="101"/>
      <c r="SB56" s="101"/>
      <c r="SC56" s="101"/>
      <c r="SD56" s="101"/>
      <c r="SE56" s="101"/>
      <c r="SF56" s="101"/>
      <c r="SG56" s="101"/>
      <c r="SH56" s="101"/>
      <c r="SI56" s="101"/>
      <c r="SJ56" s="101"/>
      <c r="SK56" s="101"/>
      <c r="SL56" s="101"/>
      <c r="SM56" s="101"/>
      <c r="SN56" s="101"/>
      <c r="SO56" s="101"/>
      <c r="SP56" s="101"/>
      <c r="SQ56" s="101"/>
      <c r="SR56" s="101"/>
      <c r="SS56" s="101"/>
      <c r="ST56" s="101"/>
      <c r="SU56" s="101"/>
      <c r="SV56" s="101"/>
      <c r="SW56" s="101"/>
      <c r="SX56" s="101"/>
      <c r="SY56" s="101"/>
      <c r="SZ56" s="101"/>
      <c r="TA56" s="101"/>
      <c r="TB56" s="101"/>
      <c r="TC56" s="101"/>
      <c r="TD56" s="101"/>
      <c r="TE56" s="101"/>
      <c r="TF56" s="101"/>
      <c r="TG56" s="101"/>
      <c r="TH56" s="101"/>
      <c r="TI56" s="101"/>
      <c r="TJ56" s="101"/>
      <c r="TK56" s="101"/>
      <c r="TL56" s="101"/>
      <c r="TM56" s="101"/>
      <c r="TN56" s="101"/>
      <c r="TO56" s="101"/>
      <c r="TP56" s="101"/>
      <c r="TQ56" s="101"/>
      <c r="TR56" s="101"/>
      <c r="TS56" s="101"/>
      <c r="TT56" s="101"/>
      <c r="TU56" s="101"/>
      <c r="TV56" s="101"/>
      <c r="TW56" s="101"/>
      <c r="TX56" s="101"/>
      <c r="TY56" s="101"/>
      <c r="TZ56" s="101"/>
      <c r="UA56" s="101"/>
      <c r="UB56" s="101"/>
      <c r="UC56" s="101"/>
      <c r="UD56" s="101"/>
      <c r="UE56" s="101"/>
      <c r="UF56" s="101"/>
      <c r="UG56" s="101"/>
      <c r="UH56" s="101"/>
      <c r="UI56" s="101"/>
      <c r="UJ56" s="101"/>
      <c r="UK56" s="101"/>
      <c r="UL56" s="101"/>
      <c r="UM56" s="101"/>
      <c r="UN56" s="101"/>
      <c r="UO56" s="101"/>
      <c r="UP56" s="101"/>
      <c r="UQ56" s="101"/>
      <c r="UR56" s="101"/>
      <c r="US56" s="101"/>
      <c r="UT56" s="101"/>
      <c r="UU56" s="101"/>
      <c r="UV56" s="101"/>
      <c r="UW56" s="101"/>
      <c r="UX56" s="101"/>
      <c r="UY56" s="101"/>
      <c r="UZ56" s="101"/>
      <c r="VA56" s="101"/>
      <c r="VB56" s="101"/>
      <c r="VC56" s="101"/>
      <c r="VD56" s="101"/>
      <c r="VE56" s="101"/>
      <c r="VF56" s="101"/>
      <c r="VG56" s="101"/>
      <c r="VH56" s="101"/>
      <c r="VI56" s="101"/>
      <c r="VJ56" s="101"/>
      <c r="VK56" s="101"/>
      <c r="VL56" s="101"/>
      <c r="VM56" s="101"/>
      <c r="VN56" s="101"/>
      <c r="VO56" s="101"/>
      <c r="VP56" s="101"/>
      <c r="VQ56" s="101"/>
      <c r="VR56" s="101"/>
      <c r="VS56" s="101"/>
      <c r="VT56" s="101"/>
      <c r="VU56" s="101"/>
      <c r="VV56" s="101"/>
      <c r="VW56" s="101"/>
      <c r="VX56" s="101"/>
      <c r="VY56" s="101"/>
      <c r="VZ56" s="101"/>
      <c r="WA56" s="101"/>
      <c r="WB56" s="101"/>
      <c r="WC56" s="101"/>
      <c r="WD56" s="101"/>
      <c r="WE56" s="101"/>
      <c r="WF56" s="101"/>
      <c r="WG56" s="101"/>
      <c r="WH56" s="101"/>
      <c r="WI56" s="101"/>
      <c r="WJ56" s="101"/>
      <c r="WK56" s="101"/>
      <c r="WL56" s="101"/>
      <c r="WM56" s="101"/>
      <c r="WN56" s="101"/>
      <c r="WO56" s="101"/>
      <c r="WP56" s="101"/>
      <c r="WQ56" s="101"/>
      <c r="WR56" s="101"/>
      <c r="WS56" s="101"/>
      <c r="WT56" s="101"/>
      <c r="WU56" s="101"/>
      <c r="WV56" s="101"/>
      <c r="WW56" s="101"/>
      <c r="WX56" s="101"/>
      <c r="WY56" s="101"/>
      <c r="WZ56" s="101"/>
      <c r="XA56" s="101"/>
      <c r="XB56" s="101"/>
      <c r="XC56" s="101"/>
      <c r="XD56" s="101"/>
      <c r="XE56" s="101"/>
      <c r="XF56" s="101"/>
      <c r="XG56" s="101"/>
      <c r="XH56" s="101"/>
      <c r="XI56" s="101"/>
      <c r="XJ56" s="101"/>
      <c r="XK56" s="101"/>
      <c r="XL56" s="101"/>
      <c r="XM56" s="101"/>
      <c r="XN56" s="101"/>
      <c r="XO56" s="101"/>
      <c r="XP56" s="101"/>
      <c r="XQ56" s="101"/>
      <c r="XR56" s="101"/>
      <c r="XS56" s="101"/>
      <c r="XT56" s="101"/>
      <c r="XU56" s="101"/>
      <c r="XV56" s="101"/>
      <c r="XW56" s="101"/>
      <c r="XX56" s="101"/>
      <c r="XY56" s="101"/>
      <c r="XZ56" s="101"/>
      <c r="YA56" s="101"/>
      <c r="YB56" s="101"/>
      <c r="YC56" s="101"/>
      <c r="YD56" s="101"/>
      <c r="YE56" s="101"/>
      <c r="YF56" s="101"/>
      <c r="YG56" s="101"/>
      <c r="YH56" s="101"/>
      <c r="YI56" s="101"/>
      <c r="YJ56" s="101"/>
      <c r="YK56" s="101"/>
      <c r="YL56" s="101"/>
      <c r="YM56" s="101"/>
      <c r="YN56" s="101"/>
      <c r="YO56" s="101"/>
      <c r="YP56" s="101"/>
      <c r="YQ56" s="101"/>
      <c r="YR56" s="101"/>
      <c r="YS56" s="101"/>
      <c r="YT56" s="101"/>
      <c r="YU56" s="101"/>
      <c r="YV56" s="101"/>
      <c r="YW56" s="101"/>
      <c r="YX56" s="101"/>
      <c r="YY56" s="101"/>
      <c r="YZ56" s="101"/>
      <c r="ZA56" s="101"/>
      <c r="ZB56" s="101"/>
      <c r="ZC56" s="101"/>
      <c r="ZD56" s="101"/>
      <c r="ZE56" s="101"/>
      <c r="ZF56" s="101"/>
      <c r="ZG56" s="101"/>
      <c r="ZH56" s="101"/>
      <c r="ZI56" s="101"/>
      <c r="ZJ56" s="101"/>
      <c r="ZK56" s="101"/>
      <c r="ZL56" s="101"/>
      <c r="ZM56" s="101"/>
      <c r="ZN56" s="101"/>
      <c r="ZO56" s="101"/>
      <c r="ZP56" s="101"/>
      <c r="ZQ56" s="101"/>
      <c r="ZR56" s="101"/>
      <c r="ZS56" s="101"/>
      <c r="ZT56" s="101"/>
      <c r="ZU56" s="101"/>
      <c r="ZV56" s="101"/>
      <c r="ZW56" s="101"/>
      <c r="ZX56" s="101"/>
      <c r="ZY56" s="101"/>
      <c r="ZZ56" s="101"/>
      <c r="AAA56" s="101"/>
      <c r="AAB56" s="101"/>
      <c r="AAC56" s="101"/>
      <c r="AAD56" s="101"/>
      <c r="AAE56" s="101"/>
      <c r="AAF56" s="101"/>
      <c r="AAG56" s="101"/>
      <c r="AAH56" s="101"/>
      <c r="AAI56" s="101"/>
      <c r="AAJ56" s="101"/>
      <c r="AAK56" s="101"/>
      <c r="AAL56" s="101"/>
      <c r="AAM56" s="101"/>
      <c r="AAN56" s="101"/>
      <c r="AAO56" s="101"/>
      <c r="AAP56" s="101"/>
      <c r="AAQ56" s="101"/>
      <c r="AAR56" s="101"/>
      <c r="AAS56" s="101"/>
      <c r="AAT56" s="101"/>
      <c r="AAU56" s="101"/>
      <c r="AAV56" s="101"/>
      <c r="AAW56" s="101"/>
      <c r="AAX56" s="101"/>
      <c r="AAY56" s="101"/>
      <c r="AAZ56" s="101"/>
      <c r="ABA56" s="101"/>
      <c r="ABB56" s="101"/>
      <c r="ABC56" s="101"/>
      <c r="ABD56" s="101"/>
      <c r="ABE56" s="101"/>
      <c r="ABF56" s="101"/>
      <c r="ABG56" s="101"/>
      <c r="ABH56" s="101"/>
      <c r="ABI56" s="101"/>
      <c r="ABJ56" s="101"/>
      <c r="ABK56" s="101"/>
      <c r="ABL56" s="101"/>
      <c r="ABM56" s="101"/>
      <c r="ABN56" s="101"/>
      <c r="ABO56" s="101"/>
      <c r="ABP56" s="101"/>
      <c r="ABQ56" s="101"/>
      <c r="ABR56" s="101"/>
      <c r="ABS56" s="101"/>
      <c r="ABT56" s="101"/>
      <c r="ABU56" s="101"/>
      <c r="ABV56" s="101"/>
      <c r="ABW56" s="101"/>
      <c r="ABX56" s="101"/>
      <c r="ABY56" s="101"/>
      <c r="ABZ56" s="101"/>
      <c r="ACA56" s="101"/>
      <c r="ACB56" s="101"/>
      <c r="ACC56" s="101"/>
      <c r="ACD56" s="101"/>
      <c r="ACE56" s="101"/>
      <c r="ACF56" s="101"/>
      <c r="ACG56" s="101"/>
      <c r="ACH56" s="101"/>
      <c r="ACI56" s="101"/>
      <c r="ACJ56" s="101"/>
      <c r="ACK56" s="101"/>
      <c r="ACL56" s="101"/>
      <c r="ACM56" s="101"/>
      <c r="ACN56" s="101"/>
      <c r="ACO56" s="101"/>
      <c r="ACP56" s="101"/>
      <c r="ACQ56" s="101"/>
      <c r="ACR56" s="101"/>
      <c r="ACS56" s="101"/>
      <c r="ACT56" s="101"/>
      <c r="ACU56" s="101"/>
      <c r="ACV56" s="101"/>
      <c r="ACW56" s="101"/>
      <c r="ACX56" s="101"/>
      <c r="ACY56" s="101"/>
      <c r="ACZ56" s="101"/>
      <c r="ADA56" s="101"/>
      <c r="ADB56" s="101"/>
      <c r="ADC56" s="101"/>
      <c r="ADD56" s="101"/>
      <c r="ADE56" s="101"/>
      <c r="ADF56" s="101"/>
      <c r="ADG56" s="101"/>
      <c r="ADH56" s="101"/>
      <c r="ADI56" s="101"/>
      <c r="ADJ56" s="101"/>
      <c r="ADK56" s="101"/>
      <c r="ADL56" s="101"/>
      <c r="ADM56" s="101"/>
      <c r="ADN56" s="101"/>
      <c r="ADO56" s="101"/>
      <c r="ADP56" s="101"/>
      <c r="ADQ56" s="101"/>
      <c r="ADR56" s="101"/>
      <c r="ADS56" s="101"/>
      <c r="ADT56" s="101"/>
      <c r="ADU56" s="101"/>
      <c r="ADV56" s="101"/>
      <c r="ADW56" s="101"/>
      <c r="ADX56" s="101"/>
      <c r="ADY56" s="101"/>
      <c r="ADZ56" s="101"/>
      <c r="AEA56" s="101"/>
      <c r="AEB56" s="101"/>
      <c r="AEC56" s="101"/>
      <c r="AED56" s="101"/>
      <c r="AEE56" s="101"/>
      <c r="AEF56" s="101"/>
      <c r="AEG56" s="101"/>
      <c r="AEH56" s="101"/>
      <c r="AEI56" s="101"/>
      <c r="AEJ56" s="101"/>
      <c r="AEK56" s="101"/>
      <c r="AEL56" s="101"/>
      <c r="AEM56" s="101"/>
      <c r="AEN56" s="101"/>
      <c r="AEO56" s="101"/>
      <c r="AEP56" s="101"/>
      <c r="AEQ56" s="101"/>
      <c r="AER56" s="101"/>
      <c r="AES56" s="101"/>
      <c r="AET56" s="101"/>
      <c r="AEU56" s="101"/>
      <c r="AEV56" s="101"/>
      <c r="AEW56" s="101"/>
      <c r="AEX56" s="101"/>
      <c r="AEY56" s="101"/>
      <c r="AEZ56" s="101"/>
      <c r="AFA56" s="101"/>
      <c r="AFB56" s="101"/>
      <c r="AFC56" s="101"/>
      <c r="AFD56" s="101"/>
      <c r="AFE56" s="101"/>
      <c r="AFF56" s="101"/>
      <c r="AFG56" s="101"/>
      <c r="AFH56" s="101"/>
      <c r="AFI56" s="101"/>
      <c r="AFJ56" s="101"/>
      <c r="AFK56" s="101"/>
      <c r="AFL56" s="101"/>
      <c r="AFM56" s="101"/>
      <c r="AFN56" s="101"/>
      <c r="AFO56" s="101"/>
      <c r="AFP56" s="101"/>
      <c r="AFQ56" s="101"/>
      <c r="AFR56" s="101"/>
      <c r="AFS56" s="101"/>
      <c r="AFT56" s="101"/>
      <c r="AFU56" s="101"/>
      <c r="AFV56" s="101"/>
      <c r="AFW56" s="101"/>
      <c r="AFX56" s="101"/>
      <c r="AFY56" s="101"/>
      <c r="AFZ56" s="101"/>
      <c r="AGA56" s="101"/>
      <c r="AGB56" s="101"/>
      <c r="AGC56" s="101"/>
      <c r="AGD56" s="101"/>
      <c r="AGE56" s="101"/>
      <c r="AGF56" s="101"/>
      <c r="AGG56" s="101"/>
      <c r="AGH56" s="101"/>
      <c r="AGI56" s="101"/>
      <c r="AGJ56" s="101"/>
      <c r="AGK56" s="101"/>
      <c r="AGL56" s="101"/>
      <c r="AGM56" s="101"/>
      <c r="AGN56" s="101"/>
      <c r="AGO56" s="101"/>
      <c r="AGP56" s="101"/>
      <c r="AGQ56" s="101"/>
      <c r="AGR56" s="101"/>
      <c r="AGS56" s="101"/>
      <c r="AGT56" s="101"/>
      <c r="AGU56" s="101"/>
      <c r="AGV56" s="101"/>
      <c r="AGW56" s="101"/>
      <c r="AGX56" s="101"/>
      <c r="AGY56" s="101"/>
      <c r="AGZ56" s="101"/>
      <c r="AHA56" s="101"/>
      <c r="AHB56" s="101"/>
      <c r="AHC56" s="101"/>
      <c r="AHD56" s="101"/>
      <c r="AHE56" s="101"/>
      <c r="AHF56" s="101"/>
      <c r="AHG56" s="101"/>
      <c r="AHH56" s="101"/>
      <c r="AHI56" s="101"/>
      <c r="AHJ56" s="101"/>
      <c r="AHK56" s="101"/>
      <c r="AHL56" s="101"/>
      <c r="AHM56" s="101"/>
      <c r="AHN56" s="101"/>
      <c r="AHO56" s="101"/>
      <c r="AHP56" s="101"/>
      <c r="AHQ56" s="101"/>
      <c r="AHR56" s="101"/>
      <c r="AHS56" s="101"/>
      <c r="AHT56" s="101"/>
      <c r="AHU56" s="101"/>
      <c r="AHV56" s="101"/>
      <c r="AHW56" s="101"/>
      <c r="AHX56" s="101"/>
      <c r="AHY56" s="101"/>
      <c r="AHZ56" s="101"/>
      <c r="AIA56" s="101"/>
      <c r="AIB56" s="101"/>
      <c r="AIC56" s="101"/>
      <c r="AID56" s="101"/>
      <c r="AIE56" s="101"/>
      <c r="AIF56" s="101"/>
      <c r="AIG56" s="101"/>
      <c r="AIH56" s="101"/>
      <c r="AII56" s="101"/>
      <c r="AIJ56" s="101"/>
      <c r="AIK56" s="101"/>
      <c r="AIL56" s="101"/>
      <c r="AIM56" s="101"/>
      <c r="AIN56" s="101"/>
      <c r="AIO56" s="101"/>
      <c r="AIP56" s="101"/>
      <c r="AIQ56" s="101"/>
      <c r="AIR56" s="101"/>
      <c r="AIS56" s="101"/>
      <c r="AIT56" s="101"/>
      <c r="AIU56" s="101"/>
      <c r="AIV56" s="101"/>
      <c r="AIW56" s="101"/>
      <c r="AIX56" s="101"/>
      <c r="AIY56" s="101"/>
      <c r="AIZ56" s="101"/>
      <c r="AJA56" s="101"/>
      <c r="AJB56" s="101"/>
      <c r="AJC56" s="101"/>
      <c r="AJD56" s="101"/>
      <c r="AJE56" s="101"/>
      <c r="AJF56" s="101"/>
      <c r="AJG56" s="101"/>
      <c r="AJH56" s="101"/>
      <c r="AJI56" s="101"/>
      <c r="AJJ56" s="101"/>
      <c r="AJK56" s="101"/>
      <c r="AJL56" s="101"/>
      <c r="AJM56" s="101"/>
      <c r="AJN56" s="101"/>
      <c r="AJO56" s="101"/>
      <c r="AJP56" s="101"/>
      <c r="AJQ56" s="101"/>
      <c r="AJR56" s="101"/>
      <c r="AJS56" s="101"/>
      <c r="AJT56" s="101"/>
      <c r="AJU56" s="101"/>
      <c r="AJV56" s="101"/>
      <c r="AJW56" s="101"/>
      <c r="AJX56" s="101"/>
      <c r="AJY56" s="101"/>
      <c r="AJZ56" s="101"/>
      <c r="AKA56" s="101"/>
      <c r="AKB56" s="101"/>
      <c r="AKC56" s="101"/>
      <c r="AKD56" s="101"/>
      <c r="AKE56" s="101"/>
      <c r="AKF56" s="101"/>
      <c r="AKG56" s="101"/>
      <c r="AKH56" s="101"/>
      <c r="AKI56" s="101"/>
      <c r="AKJ56" s="101"/>
      <c r="AKK56" s="101"/>
      <c r="AKL56" s="101"/>
      <c r="AKM56" s="101"/>
      <c r="AKN56" s="101"/>
      <c r="AKO56" s="101"/>
      <c r="AKP56" s="101"/>
      <c r="AKQ56" s="101"/>
      <c r="AKR56" s="101"/>
      <c r="AKS56" s="101"/>
      <c r="AKT56" s="101"/>
      <c r="AKU56" s="101"/>
      <c r="AKV56" s="101"/>
      <c r="AKW56" s="101"/>
      <c r="AKX56" s="101"/>
      <c r="AKY56" s="101"/>
      <c r="AKZ56" s="101"/>
      <c r="ALA56" s="101"/>
      <c r="ALB56" s="101"/>
      <c r="ALC56" s="101"/>
      <c r="ALD56" s="101"/>
      <c r="ALE56" s="101"/>
      <c r="ALF56" s="101"/>
      <c r="ALG56" s="101"/>
      <c r="ALH56" s="101"/>
      <c r="ALI56" s="101"/>
      <c r="ALJ56" s="101"/>
      <c r="ALK56" s="101"/>
      <c r="ALL56" s="101"/>
      <c r="ALM56" s="101"/>
      <c r="ALN56" s="101"/>
      <c r="ALO56" s="101"/>
      <c r="ALP56" s="101"/>
      <c r="ALQ56" s="101"/>
      <c r="ALR56" s="101"/>
      <c r="ALS56" s="101"/>
      <c r="ALT56" s="101"/>
      <c r="ALU56" s="101"/>
      <c r="ALV56" s="101"/>
      <c r="ALW56" s="101"/>
      <c r="ALX56" s="101"/>
      <c r="ALY56" s="101"/>
      <c r="ALZ56" s="101"/>
      <c r="AMA56" s="101"/>
      <c r="AMB56" s="101"/>
      <c r="AMC56" s="101"/>
      <c r="AMD56" s="101"/>
      <c r="AME56" s="101"/>
      <c r="AMF56" s="101"/>
      <c r="AMG56" s="101"/>
      <c r="AMH56" s="101"/>
      <c r="AMI56" s="101"/>
      <c r="AMJ56" s="101"/>
      <c r="AMK56" s="101"/>
      <c r="AML56" s="101"/>
      <c r="AMM56" s="101"/>
      <c r="AMN56" s="101"/>
      <c r="AMO56" s="101"/>
      <c r="AMP56" s="101"/>
      <c r="AMQ56" s="101"/>
      <c r="AMR56" s="101"/>
      <c r="AMS56" s="101"/>
      <c r="AMT56" s="101"/>
      <c r="AMU56" s="101"/>
      <c r="AMV56" s="101"/>
      <c r="AMW56" s="101"/>
      <c r="AMX56" s="101"/>
      <c r="AMY56" s="101"/>
      <c r="AMZ56" s="101"/>
      <c r="ANA56" s="101"/>
      <c r="ANB56" s="101"/>
      <c r="ANC56" s="101"/>
      <c r="AND56" s="101"/>
      <c r="ANE56" s="101"/>
      <c r="ANF56" s="101"/>
      <c r="ANG56" s="101"/>
      <c r="ANH56" s="101"/>
      <c r="ANI56" s="101"/>
      <c r="ANJ56" s="101"/>
      <c r="ANK56" s="101"/>
      <c r="ANL56" s="101"/>
      <c r="ANM56" s="101"/>
      <c r="ANN56" s="101"/>
      <c r="ANO56" s="101"/>
      <c r="ANP56" s="101"/>
      <c r="ANQ56" s="101"/>
      <c r="ANR56" s="101"/>
      <c r="ANS56" s="101"/>
      <c r="ANT56" s="101"/>
      <c r="ANU56" s="101"/>
      <c r="ANV56" s="101"/>
      <c r="ANW56" s="101"/>
      <c r="ANX56" s="101"/>
      <c r="ANY56" s="101"/>
      <c r="ANZ56" s="101"/>
      <c r="AOA56" s="101"/>
      <c r="AOB56" s="101"/>
      <c r="AOC56" s="101"/>
      <c r="AOD56" s="101"/>
      <c r="AOE56" s="101"/>
      <c r="AOF56" s="101"/>
      <c r="AOG56" s="101"/>
      <c r="AOH56" s="101"/>
      <c r="AOI56" s="101"/>
      <c r="AOJ56" s="101"/>
      <c r="AOK56" s="101"/>
      <c r="AOL56" s="101"/>
      <c r="AOM56" s="101"/>
      <c r="AON56" s="101"/>
      <c r="AOO56" s="101"/>
      <c r="AOP56" s="101"/>
      <c r="AOQ56" s="101"/>
      <c r="AOR56" s="101"/>
      <c r="AOS56" s="101"/>
      <c r="AOT56" s="101"/>
      <c r="AOU56" s="101"/>
      <c r="AOV56" s="101"/>
      <c r="AOW56" s="101"/>
      <c r="AOX56" s="101"/>
      <c r="AOY56" s="101"/>
      <c r="AOZ56" s="101"/>
      <c r="APA56" s="101"/>
      <c r="APB56" s="101"/>
      <c r="APC56" s="101"/>
      <c r="APD56" s="101"/>
      <c r="APE56" s="101"/>
      <c r="APF56" s="101"/>
      <c r="APG56" s="101"/>
      <c r="APH56" s="101"/>
      <c r="API56" s="101"/>
      <c r="APJ56" s="101"/>
      <c r="APK56" s="101"/>
      <c r="APL56" s="101"/>
      <c r="APM56" s="101"/>
      <c r="APN56" s="101"/>
      <c r="APO56" s="101"/>
      <c r="APP56" s="101"/>
      <c r="APQ56" s="101"/>
      <c r="APR56" s="101"/>
      <c r="APS56" s="101"/>
      <c r="APT56" s="101"/>
      <c r="APU56" s="101"/>
      <c r="APV56" s="101"/>
      <c r="APW56" s="101"/>
      <c r="APX56" s="101"/>
      <c r="APY56" s="101"/>
      <c r="APZ56" s="101"/>
      <c r="AQA56" s="101"/>
      <c r="AQB56" s="101"/>
      <c r="AQC56" s="101"/>
      <c r="AQD56" s="101"/>
      <c r="AQE56" s="101"/>
      <c r="AQF56" s="101"/>
      <c r="AQG56" s="101"/>
      <c r="AQH56" s="101"/>
      <c r="AQI56" s="101"/>
      <c r="AQJ56" s="101"/>
      <c r="AQK56" s="101"/>
      <c r="AQL56" s="101"/>
      <c r="AQM56" s="101"/>
      <c r="AQN56" s="101"/>
      <c r="AQO56" s="101"/>
      <c r="AQP56" s="101"/>
      <c r="AQQ56" s="101"/>
      <c r="AQR56" s="101"/>
      <c r="AQS56" s="101"/>
      <c r="AQT56" s="101"/>
      <c r="AQU56" s="101"/>
      <c r="AQV56" s="101"/>
      <c r="AQW56" s="101"/>
      <c r="AQX56" s="101"/>
      <c r="AQY56" s="101"/>
      <c r="AQZ56" s="101"/>
      <c r="ARA56" s="101"/>
      <c r="ARB56" s="101"/>
      <c r="ARC56" s="101"/>
      <c r="ARD56" s="101"/>
      <c r="ARE56" s="101"/>
      <c r="ARF56" s="101"/>
      <c r="ARG56" s="101"/>
      <c r="ARH56" s="101"/>
      <c r="ARI56" s="101"/>
      <c r="ARJ56" s="101"/>
      <c r="ARK56" s="101"/>
      <c r="ARL56" s="101"/>
      <c r="ARM56" s="101"/>
      <c r="ARN56" s="101"/>
      <c r="ARO56" s="101"/>
      <c r="ARP56" s="101"/>
      <c r="ARQ56" s="101"/>
      <c r="ARR56" s="101"/>
      <c r="ARS56" s="101"/>
      <c r="ART56" s="101"/>
      <c r="ARU56" s="101"/>
      <c r="ARV56" s="101"/>
      <c r="ARW56" s="101"/>
      <c r="ARX56" s="101"/>
      <c r="ARY56" s="101"/>
      <c r="ARZ56" s="101"/>
      <c r="ASA56" s="101"/>
      <c r="ASB56" s="101"/>
      <c r="ASC56" s="101"/>
      <c r="ASD56" s="101"/>
      <c r="ASE56" s="101"/>
      <c r="ASF56" s="101"/>
      <c r="ASG56" s="101"/>
      <c r="ASH56" s="101"/>
      <c r="ASI56" s="101"/>
      <c r="ASJ56" s="101"/>
      <c r="ASK56" s="101"/>
      <c r="ASL56" s="101"/>
      <c r="ASM56" s="101"/>
      <c r="ASN56" s="101"/>
      <c r="ASO56" s="101"/>
      <c r="ASP56" s="101"/>
      <c r="ASQ56" s="101"/>
      <c r="ASR56" s="101"/>
      <c r="ASS56" s="101"/>
      <c r="AST56" s="101"/>
      <c r="ASU56" s="101"/>
      <c r="ASV56" s="101"/>
      <c r="ASW56" s="101"/>
      <c r="ASX56" s="101"/>
      <c r="ASY56" s="101"/>
      <c r="ASZ56" s="101"/>
      <c r="ATA56" s="101"/>
      <c r="ATB56" s="101"/>
      <c r="ATC56" s="101"/>
      <c r="ATD56" s="101"/>
      <c r="ATE56" s="101"/>
      <c r="ATF56" s="101"/>
      <c r="ATG56" s="101"/>
      <c r="ATH56" s="101"/>
      <c r="ATI56" s="101"/>
      <c r="ATJ56" s="101"/>
      <c r="ATK56" s="101"/>
      <c r="ATL56" s="101"/>
      <c r="ATM56" s="101"/>
      <c r="ATN56" s="101"/>
      <c r="ATO56" s="101"/>
      <c r="ATP56" s="101"/>
      <c r="ATQ56" s="101"/>
      <c r="ATR56" s="101"/>
      <c r="ATS56" s="101"/>
      <c r="ATT56" s="101"/>
      <c r="ATU56" s="101"/>
      <c r="ATV56" s="101"/>
      <c r="ATW56" s="101"/>
      <c r="ATX56" s="101"/>
      <c r="ATY56" s="101"/>
      <c r="ATZ56" s="101"/>
      <c r="AUA56" s="101"/>
      <c r="AUB56" s="101"/>
      <c r="AUC56" s="101"/>
      <c r="AUD56" s="211"/>
      <c r="AUE56" s="101"/>
      <c r="AUF56" s="211"/>
      <c r="AUG56" s="211"/>
    </row>
    <row r="57" spans="1:1229" s="212" customFormat="1" ht="30.75" customHeight="1">
      <c r="A57" s="97">
        <v>49</v>
      </c>
      <c r="B57" s="56" t="s">
        <v>289</v>
      </c>
      <c r="C57" s="57" t="s">
        <v>290</v>
      </c>
      <c r="D57" s="58" t="s">
        <v>291</v>
      </c>
      <c r="E57" s="58" t="s">
        <v>48</v>
      </c>
      <c r="F57" s="58" t="s">
        <v>114</v>
      </c>
      <c r="G57" s="58" t="s">
        <v>106</v>
      </c>
      <c r="H57" s="58" t="s">
        <v>287</v>
      </c>
      <c r="I57" s="58" t="s">
        <v>97</v>
      </c>
      <c r="J57" s="57" t="s">
        <v>210</v>
      </c>
      <c r="K57" s="57" t="s">
        <v>109</v>
      </c>
      <c r="L57" s="57" t="s">
        <v>211</v>
      </c>
      <c r="M57" s="57" t="s">
        <v>212</v>
      </c>
      <c r="N57" s="57" t="s">
        <v>98</v>
      </c>
      <c r="O57" s="59">
        <v>45170</v>
      </c>
      <c r="P57" s="59">
        <v>45559</v>
      </c>
      <c r="Q57" s="60">
        <v>3926494.66919511</v>
      </c>
      <c r="R57" s="57" t="s">
        <v>89</v>
      </c>
      <c r="S57" s="61">
        <f t="shared" si="3"/>
        <v>426897.76719010435</v>
      </c>
      <c r="T57" s="62" t="e">
        <f>SUM(#REF!)</f>
        <v>#REF!</v>
      </c>
      <c r="U57" s="205" t="e">
        <f>S57/T57</f>
        <v>#REF!</v>
      </c>
      <c r="V57" s="373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1"/>
      <c r="CF57" s="101"/>
      <c r="CG57" s="101"/>
      <c r="CH57" s="101"/>
      <c r="CI57" s="101"/>
      <c r="CJ57" s="101"/>
      <c r="CK57" s="101"/>
      <c r="CL57" s="101"/>
      <c r="CM57" s="101"/>
      <c r="CN57" s="101"/>
      <c r="CO57" s="101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1"/>
      <c r="DA57" s="101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  <c r="DR57" s="101"/>
      <c r="DS57" s="101"/>
      <c r="DT57" s="101"/>
      <c r="DU57" s="101"/>
      <c r="DV57" s="101"/>
      <c r="DW57" s="101"/>
      <c r="DX57" s="101"/>
      <c r="DY57" s="101"/>
      <c r="DZ57" s="101"/>
      <c r="EA57" s="101"/>
      <c r="EB57" s="101"/>
      <c r="EC57" s="101"/>
      <c r="ED57" s="101"/>
      <c r="EE57" s="101"/>
      <c r="EF57" s="101"/>
      <c r="EG57" s="101"/>
      <c r="EH57" s="101"/>
      <c r="EI57" s="101"/>
      <c r="EJ57" s="101"/>
      <c r="EK57" s="101"/>
      <c r="EL57" s="101"/>
      <c r="EM57" s="101"/>
      <c r="EN57" s="101"/>
      <c r="EO57" s="101"/>
      <c r="EP57" s="101"/>
      <c r="EQ57" s="101"/>
      <c r="ER57" s="101"/>
      <c r="ES57" s="101"/>
      <c r="ET57" s="101"/>
      <c r="EU57" s="101"/>
      <c r="EV57" s="101"/>
      <c r="EW57" s="101"/>
      <c r="EX57" s="101"/>
      <c r="EY57" s="101"/>
      <c r="EZ57" s="101"/>
      <c r="FA57" s="101"/>
      <c r="FB57" s="101"/>
      <c r="FC57" s="101"/>
      <c r="FD57" s="101"/>
      <c r="FE57" s="101"/>
      <c r="FF57" s="101"/>
      <c r="FG57" s="101"/>
      <c r="FH57" s="101"/>
      <c r="FI57" s="101"/>
      <c r="FJ57" s="101"/>
      <c r="FK57" s="101"/>
      <c r="FL57" s="101"/>
      <c r="FM57" s="101"/>
      <c r="FN57" s="101"/>
      <c r="FO57" s="101"/>
      <c r="FP57" s="101"/>
      <c r="FQ57" s="101"/>
      <c r="FR57" s="101"/>
      <c r="FS57" s="101"/>
      <c r="FT57" s="101"/>
      <c r="FU57" s="101"/>
      <c r="FV57" s="101"/>
      <c r="FW57" s="101"/>
      <c r="FX57" s="101"/>
      <c r="FY57" s="101"/>
      <c r="FZ57" s="101"/>
      <c r="GA57" s="101"/>
      <c r="GB57" s="101"/>
      <c r="GC57" s="101"/>
      <c r="GD57" s="101"/>
      <c r="GE57" s="101"/>
      <c r="GF57" s="101"/>
      <c r="GG57" s="101"/>
      <c r="GH57" s="101"/>
      <c r="GI57" s="101"/>
      <c r="GJ57" s="101"/>
      <c r="GK57" s="101"/>
      <c r="GL57" s="101"/>
      <c r="GM57" s="101"/>
      <c r="GN57" s="101"/>
      <c r="GO57" s="101"/>
      <c r="GP57" s="101"/>
      <c r="GQ57" s="101"/>
      <c r="GR57" s="101"/>
      <c r="GS57" s="101"/>
      <c r="GT57" s="101"/>
      <c r="GU57" s="101"/>
      <c r="GV57" s="101"/>
      <c r="GW57" s="101"/>
      <c r="GX57" s="101"/>
      <c r="GY57" s="101"/>
      <c r="GZ57" s="101"/>
      <c r="HA57" s="101"/>
      <c r="HB57" s="101"/>
      <c r="HC57" s="101"/>
      <c r="HD57" s="101"/>
      <c r="HE57" s="101"/>
      <c r="HF57" s="101"/>
      <c r="HG57" s="101"/>
      <c r="HH57" s="101"/>
      <c r="HI57" s="101"/>
      <c r="HJ57" s="101"/>
      <c r="HK57" s="101"/>
      <c r="HL57" s="101"/>
      <c r="HM57" s="101"/>
      <c r="HN57" s="101"/>
      <c r="HO57" s="101"/>
      <c r="HP57" s="101"/>
      <c r="HQ57" s="101"/>
      <c r="HR57" s="101"/>
      <c r="HS57" s="101"/>
      <c r="HT57" s="101"/>
      <c r="HU57" s="101"/>
      <c r="HV57" s="101"/>
      <c r="HW57" s="101"/>
      <c r="HX57" s="101"/>
      <c r="HY57" s="101"/>
      <c r="HZ57" s="101"/>
      <c r="IA57" s="101"/>
      <c r="IB57" s="101"/>
      <c r="IC57" s="101"/>
      <c r="ID57" s="101"/>
      <c r="IE57" s="101"/>
      <c r="IF57" s="101"/>
      <c r="IG57" s="101"/>
      <c r="IH57" s="101"/>
      <c r="II57" s="101"/>
      <c r="IJ57" s="101"/>
      <c r="IK57" s="101"/>
      <c r="IL57" s="101"/>
      <c r="IM57" s="101"/>
      <c r="IN57" s="101"/>
      <c r="IO57" s="101"/>
      <c r="IP57" s="101"/>
      <c r="IQ57" s="101"/>
      <c r="IR57" s="101"/>
      <c r="IS57" s="101"/>
      <c r="IT57" s="101"/>
      <c r="IU57" s="101"/>
      <c r="IV57" s="101"/>
      <c r="IW57" s="101"/>
      <c r="IX57" s="101"/>
      <c r="IY57" s="101"/>
      <c r="IZ57" s="101"/>
      <c r="JA57" s="101"/>
      <c r="JB57" s="101"/>
      <c r="JC57" s="101"/>
      <c r="JD57" s="101"/>
      <c r="JE57" s="101"/>
      <c r="JF57" s="101"/>
      <c r="JG57" s="101"/>
      <c r="JH57" s="101"/>
      <c r="JI57" s="101"/>
      <c r="JJ57" s="101"/>
      <c r="JK57" s="101"/>
      <c r="JL57" s="101"/>
      <c r="JM57" s="101"/>
      <c r="JN57" s="101"/>
      <c r="JO57" s="101"/>
      <c r="JP57" s="101"/>
      <c r="JQ57" s="101"/>
      <c r="JR57" s="101"/>
      <c r="JS57" s="101"/>
      <c r="JT57" s="101"/>
      <c r="JU57" s="101"/>
      <c r="JV57" s="101"/>
      <c r="JW57" s="101"/>
      <c r="JX57" s="101"/>
      <c r="JY57" s="101"/>
      <c r="JZ57" s="101"/>
      <c r="KA57" s="101"/>
      <c r="KB57" s="101"/>
      <c r="KC57" s="101"/>
      <c r="KD57" s="101"/>
      <c r="KE57" s="101"/>
      <c r="KF57" s="101"/>
      <c r="KG57" s="101"/>
      <c r="KH57" s="101"/>
      <c r="KI57" s="101"/>
      <c r="KJ57" s="101"/>
      <c r="KK57" s="101"/>
      <c r="KL57" s="101"/>
      <c r="KM57" s="101"/>
      <c r="KN57" s="101"/>
      <c r="KO57" s="101"/>
      <c r="KP57" s="101"/>
      <c r="KQ57" s="101"/>
      <c r="KR57" s="101"/>
      <c r="KS57" s="101"/>
      <c r="KT57" s="101"/>
      <c r="KU57" s="101"/>
      <c r="KV57" s="101"/>
      <c r="KW57" s="101"/>
      <c r="KX57" s="101"/>
      <c r="KY57" s="101"/>
      <c r="KZ57" s="101"/>
      <c r="LA57" s="101"/>
      <c r="LB57" s="101"/>
      <c r="LC57" s="101"/>
      <c r="LD57" s="101"/>
      <c r="LE57" s="101"/>
      <c r="LF57" s="101"/>
      <c r="LG57" s="101"/>
      <c r="LH57" s="101"/>
      <c r="LI57" s="101"/>
      <c r="LJ57" s="101"/>
      <c r="LK57" s="101"/>
      <c r="LL57" s="101"/>
      <c r="LM57" s="101"/>
      <c r="LN57" s="101"/>
      <c r="LO57" s="101"/>
      <c r="LP57" s="101"/>
      <c r="LQ57" s="101"/>
      <c r="LR57" s="101"/>
      <c r="LS57" s="101"/>
      <c r="LT57" s="101"/>
      <c r="LU57" s="101"/>
      <c r="LV57" s="101"/>
      <c r="LW57" s="101"/>
      <c r="LX57" s="101"/>
      <c r="LY57" s="101"/>
      <c r="LZ57" s="101"/>
      <c r="MA57" s="101"/>
      <c r="MB57" s="101"/>
      <c r="MC57" s="101"/>
      <c r="MD57" s="101"/>
      <c r="ME57" s="101"/>
      <c r="MF57" s="101"/>
      <c r="MG57" s="101"/>
      <c r="MH57" s="101"/>
      <c r="MI57" s="101"/>
      <c r="MJ57" s="101"/>
      <c r="MK57" s="101"/>
      <c r="ML57" s="101"/>
      <c r="MM57" s="101"/>
      <c r="MN57" s="101"/>
      <c r="MO57" s="101"/>
      <c r="MP57" s="101"/>
      <c r="MQ57" s="101"/>
      <c r="MR57" s="101"/>
      <c r="MS57" s="101"/>
      <c r="MT57" s="101"/>
      <c r="MU57" s="101"/>
      <c r="MV57" s="101"/>
      <c r="MW57" s="101"/>
      <c r="MX57" s="101"/>
      <c r="MY57" s="101"/>
      <c r="MZ57" s="101"/>
      <c r="NA57" s="101"/>
      <c r="NB57" s="101"/>
      <c r="NC57" s="101"/>
      <c r="ND57" s="101"/>
      <c r="NE57" s="101"/>
      <c r="NF57" s="101"/>
      <c r="NG57" s="101"/>
      <c r="NH57" s="101"/>
      <c r="NI57" s="101"/>
      <c r="NJ57" s="101"/>
      <c r="NK57" s="101"/>
      <c r="NL57" s="101"/>
      <c r="NM57" s="101"/>
      <c r="NN57" s="101"/>
      <c r="NO57" s="101"/>
      <c r="NP57" s="101"/>
      <c r="NQ57" s="101"/>
      <c r="NR57" s="101"/>
      <c r="NS57" s="101"/>
      <c r="NT57" s="101"/>
      <c r="NU57" s="101"/>
      <c r="NV57" s="101"/>
      <c r="NW57" s="101"/>
      <c r="NX57" s="101"/>
      <c r="NY57" s="101"/>
      <c r="NZ57" s="101"/>
      <c r="OA57" s="101"/>
      <c r="OB57" s="101"/>
      <c r="OC57" s="101"/>
      <c r="OD57" s="101"/>
      <c r="OE57" s="101"/>
      <c r="OF57" s="101"/>
      <c r="OG57" s="101"/>
      <c r="OH57" s="101"/>
      <c r="OI57" s="101"/>
      <c r="OJ57" s="101"/>
      <c r="OK57" s="101"/>
      <c r="OL57" s="101"/>
      <c r="OM57" s="101"/>
      <c r="ON57" s="101"/>
      <c r="OO57" s="101"/>
      <c r="OP57" s="101"/>
      <c r="OQ57" s="101"/>
      <c r="OR57" s="101"/>
      <c r="OS57" s="101"/>
      <c r="OT57" s="101"/>
      <c r="OU57" s="101"/>
      <c r="OV57" s="101"/>
      <c r="OW57" s="101"/>
      <c r="OX57" s="101"/>
      <c r="OY57" s="101"/>
      <c r="OZ57" s="101"/>
      <c r="PA57" s="101"/>
      <c r="PB57" s="101"/>
      <c r="PC57" s="101"/>
      <c r="PD57" s="101"/>
      <c r="PE57" s="101"/>
      <c r="PF57" s="101"/>
      <c r="PG57" s="101"/>
      <c r="PH57" s="101"/>
      <c r="PI57" s="101"/>
      <c r="PJ57" s="101"/>
      <c r="PK57" s="101"/>
      <c r="PL57" s="101"/>
      <c r="PM57" s="101"/>
      <c r="PN57" s="101"/>
      <c r="PO57" s="101"/>
      <c r="PP57" s="101"/>
      <c r="PQ57" s="101"/>
      <c r="PR57" s="101"/>
      <c r="PS57" s="101"/>
      <c r="PT57" s="101"/>
      <c r="PU57" s="101"/>
      <c r="PV57" s="101"/>
      <c r="PW57" s="101"/>
      <c r="PX57" s="101"/>
      <c r="PY57" s="101"/>
      <c r="PZ57" s="101"/>
      <c r="QA57" s="101"/>
      <c r="QB57" s="101"/>
      <c r="QC57" s="101"/>
      <c r="QD57" s="101"/>
      <c r="QE57" s="101"/>
      <c r="QF57" s="101"/>
      <c r="QG57" s="101"/>
      <c r="QH57" s="101"/>
      <c r="QI57" s="101"/>
      <c r="QJ57" s="101"/>
      <c r="QK57" s="101"/>
      <c r="QL57" s="101"/>
      <c r="QM57" s="101"/>
      <c r="QN57" s="101"/>
      <c r="QO57" s="101"/>
      <c r="QP57" s="101"/>
      <c r="QQ57" s="101"/>
      <c r="QR57" s="101"/>
      <c r="QS57" s="101"/>
      <c r="QT57" s="101"/>
      <c r="QU57" s="101"/>
      <c r="QV57" s="101"/>
      <c r="QW57" s="101"/>
      <c r="QX57" s="101"/>
      <c r="QY57" s="101"/>
      <c r="QZ57" s="101"/>
      <c r="RA57" s="101"/>
      <c r="RB57" s="101"/>
      <c r="RC57" s="101"/>
      <c r="RD57" s="101"/>
      <c r="RE57" s="101"/>
      <c r="RF57" s="101"/>
      <c r="RG57" s="101"/>
      <c r="RH57" s="101"/>
      <c r="RI57" s="101"/>
      <c r="RJ57" s="101"/>
      <c r="RK57" s="101"/>
      <c r="RL57" s="101"/>
      <c r="RM57" s="101"/>
      <c r="RN57" s="101"/>
      <c r="RO57" s="101"/>
      <c r="RP57" s="101"/>
      <c r="RQ57" s="101"/>
      <c r="RR57" s="101"/>
      <c r="RS57" s="101"/>
      <c r="RT57" s="101"/>
      <c r="RU57" s="101"/>
      <c r="RV57" s="101"/>
      <c r="RW57" s="101"/>
      <c r="RX57" s="101"/>
      <c r="RY57" s="101"/>
      <c r="RZ57" s="101"/>
      <c r="SA57" s="101"/>
      <c r="SB57" s="101"/>
      <c r="SC57" s="101"/>
      <c r="SD57" s="101"/>
      <c r="SE57" s="101"/>
      <c r="SF57" s="101"/>
      <c r="SG57" s="101"/>
      <c r="SH57" s="101"/>
      <c r="SI57" s="101"/>
      <c r="SJ57" s="101"/>
      <c r="SK57" s="101"/>
      <c r="SL57" s="101"/>
      <c r="SM57" s="101"/>
      <c r="SN57" s="101"/>
      <c r="SO57" s="101"/>
      <c r="SP57" s="101"/>
      <c r="SQ57" s="101"/>
      <c r="SR57" s="101"/>
      <c r="SS57" s="101"/>
      <c r="ST57" s="101"/>
      <c r="SU57" s="101"/>
      <c r="SV57" s="101"/>
      <c r="SW57" s="101"/>
      <c r="SX57" s="101"/>
      <c r="SY57" s="101"/>
      <c r="SZ57" s="101"/>
      <c r="TA57" s="101"/>
      <c r="TB57" s="101"/>
      <c r="TC57" s="101"/>
      <c r="TD57" s="101"/>
      <c r="TE57" s="101"/>
      <c r="TF57" s="101"/>
      <c r="TG57" s="101"/>
      <c r="TH57" s="101"/>
      <c r="TI57" s="101"/>
      <c r="TJ57" s="101"/>
      <c r="TK57" s="101"/>
      <c r="TL57" s="101"/>
      <c r="TM57" s="101"/>
      <c r="TN57" s="101"/>
      <c r="TO57" s="101"/>
      <c r="TP57" s="101"/>
      <c r="TQ57" s="101"/>
      <c r="TR57" s="101"/>
      <c r="TS57" s="101"/>
      <c r="TT57" s="101"/>
      <c r="TU57" s="101"/>
      <c r="TV57" s="101"/>
      <c r="TW57" s="101"/>
      <c r="TX57" s="101"/>
      <c r="TY57" s="101"/>
      <c r="TZ57" s="101"/>
      <c r="UA57" s="101"/>
      <c r="UB57" s="101"/>
      <c r="UC57" s="101"/>
      <c r="UD57" s="101"/>
      <c r="UE57" s="101"/>
      <c r="UF57" s="101"/>
      <c r="UG57" s="101"/>
      <c r="UH57" s="101"/>
      <c r="UI57" s="101"/>
      <c r="UJ57" s="101"/>
      <c r="UK57" s="101"/>
      <c r="UL57" s="101"/>
      <c r="UM57" s="101"/>
      <c r="UN57" s="101"/>
      <c r="UO57" s="101"/>
      <c r="UP57" s="101"/>
      <c r="UQ57" s="101"/>
      <c r="UR57" s="101"/>
      <c r="US57" s="101"/>
      <c r="UT57" s="101"/>
      <c r="UU57" s="101"/>
      <c r="UV57" s="101"/>
      <c r="UW57" s="101"/>
      <c r="UX57" s="101"/>
      <c r="UY57" s="101"/>
      <c r="UZ57" s="101"/>
      <c r="VA57" s="101"/>
      <c r="VB57" s="101"/>
      <c r="VC57" s="101"/>
      <c r="VD57" s="101"/>
      <c r="VE57" s="101"/>
      <c r="VF57" s="101"/>
      <c r="VG57" s="101"/>
      <c r="VH57" s="101"/>
      <c r="VI57" s="101"/>
      <c r="VJ57" s="101"/>
      <c r="VK57" s="101"/>
      <c r="VL57" s="101"/>
      <c r="VM57" s="101"/>
      <c r="VN57" s="101"/>
      <c r="VO57" s="101"/>
      <c r="VP57" s="101"/>
      <c r="VQ57" s="101"/>
      <c r="VR57" s="101"/>
      <c r="VS57" s="101"/>
      <c r="VT57" s="101"/>
      <c r="VU57" s="101"/>
      <c r="VV57" s="101"/>
      <c r="VW57" s="101"/>
      <c r="VX57" s="101"/>
      <c r="VY57" s="101"/>
      <c r="VZ57" s="101"/>
      <c r="WA57" s="101"/>
      <c r="WB57" s="101"/>
      <c r="WC57" s="101"/>
      <c r="WD57" s="101"/>
      <c r="WE57" s="101"/>
      <c r="WF57" s="101"/>
      <c r="WG57" s="101"/>
      <c r="WH57" s="101"/>
      <c r="WI57" s="101"/>
      <c r="WJ57" s="101"/>
      <c r="WK57" s="101"/>
      <c r="WL57" s="101"/>
      <c r="WM57" s="101"/>
      <c r="WN57" s="101"/>
      <c r="WO57" s="101"/>
      <c r="WP57" s="101"/>
      <c r="WQ57" s="101"/>
      <c r="WR57" s="101"/>
      <c r="WS57" s="101"/>
      <c r="WT57" s="101"/>
      <c r="WU57" s="101"/>
      <c r="WV57" s="101"/>
      <c r="WW57" s="101"/>
      <c r="WX57" s="101"/>
      <c r="WY57" s="101"/>
      <c r="WZ57" s="101"/>
      <c r="XA57" s="101"/>
      <c r="XB57" s="101"/>
      <c r="XC57" s="101"/>
      <c r="XD57" s="101"/>
      <c r="XE57" s="101"/>
      <c r="XF57" s="101"/>
      <c r="XG57" s="101"/>
      <c r="XH57" s="101"/>
      <c r="XI57" s="101"/>
      <c r="XJ57" s="101"/>
      <c r="XK57" s="101"/>
      <c r="XL57" s="101"/>
      <c r="XM57" s="101"/>
      <c r="XN57" s="101"/>
      <c r="XO57" s="101"/>
      <c r="XP57" s="101"/>
      <c r="XQ57" s="101"/>
      <c r="XR57" s="101"/>
      <c r="XS57" s="101"/>
      <c r="XT57" s="101"/>
      <c r="XU57" s="101"/>
      <c r="XV57" s="101"/>
      <c r="XW57" s="101"/>
      <c r="XX57" s="101"/>
      <c r="XY57" s="101"/>
      <c r="XZ57" s="101"/>
      <c r="YA57" s="101"/>
      <c r="YB57" s="101"/>
      <c r="YC57" s="101"/>
      <c r="YD57" s="101"/>
      <c r="YE57" s="101"/>
      <c r="YF57" s="101"/>
      <c r="YG57" s="101"/>
      <c r="YH57" s="101"/>
      <c r="YI57" s="101"/>
      <c r="YJ57" s="101"/>
      <c r="YK57" s="101"/>
      <c r="YL57" s="101"/>
      <c r="YM57" s="101"/>
      <c r="YN57" s="101"/>
      <c r="YO57" s="101"/>
      <c r="YP57" s="101"/>
      <c r="YQ57" s="101"/>
      <c r="YR57" s="101"/>
      <c r="YS57" s="101"/>
      <c r="YT57" s="101"/>
      <c r="YU57" s="101"/>
      <c r="YV57" s="101"/>
      <c r="YW57" s="101"/>
      <c r="YX57" s="101"/>
      <c r="YY57" s="101"/>
      <c r="YZ57" s="101"/>
      <c r="ZA57" s="101"/>
      <c r="ZB57" s="101"/>
      <c r="ZC57" s="101"/>
      <c r="ZD57" s="101"/>
      <c r="ZE57" s="101"/>
      <c r="ZF57" s="101"/>
      <c r="ZG57" s="101"/>
      <c r="ZH57" s="101"/>
      <c r="ZI57" s="101"/>
      <c r="ZJ57" s="101"/>
      <c r="ZK57" s="101"/>
      <c r="ZL57" s="101"/>
      <c r="ZM57" s="101"/>
      <c r="ZN57" s="101"/>
      <c r="ZO57" s="101"/>
      <c r="ZP57" s="101"/>
      <c r="ZQ57" s="101"/>
      <c r="ZR57" s="101"/>
      <c r="ZS57" s="101"/>
      <c r="ZT57" s="101"/>
      <c r="ZU57" s="101"/>
      <c r="ZV57" s="101"/>
      <c r="ZW57" s="101"/>
      <c r="ZX57" s="101"/>
      <c r="ZY57" s="101"/>
      <c r="ZZ57" s="101"/>
      <c r="AAA57" s="101"/>
      <c r="AAB57" s="101"/>
      <c r="AAC57" s="101"/>
      <c r="AAD57" s="101"/>
      <c r="AAE57" s="101"/>
      <c r="AAF57" s="101"/>
      <c r="AAG57" s="101"/>
      <c r="AAH57" s="101"/>
      <c r="AAI57" s="101"/>
      <c r="AAJ57" s="101"/>
      <c r="AAK57" s="101"/>
      <c r="AAL57" s="101"/>
      <c r="AAM57" s="101"/>
      <c r="AAN57" s="101"/>
      <c r="AAO57" s="101"/>
      <c r="AAP57" s="101"/>
      <c r="AAQ57" s="101"/>
      <c r="AAR57" s="101"/>
      <c r="AAS57" s="101"/>
      <c r="AAT57" s="101"/>
      <c r="AAU57" s="101"/>
      <c r="AAV57" s="101"/>
      <c r="AAW57" s="101"/>
      <c r="AAX57" s="101"/>
      <c r="AAY57" s="101"/>
      <c r="AAZ57" s="101"/>
      <c r="ABA57" s="101"/>
      <c r="ABB57" s="101"/>
      <c r="ABC57" s="101"/>
      <c r="ABD57" s="101"/>
      <c r="ABE57" s="101"/>
      <c r="ABF57" s="101"/>
      <c r="ABG57" s="101"/>
      <c r="ABH57" s="101"/>
      <c r="ABI57" s="101"/>
      <c r="ABJ57" s="101"/>
      <c r="ABK57" s="101"/>
      <c r="ABL57" s="101"/>
      <c r="ABM57" s="101"/>
      <c r="ABN57" s="101"/>
      <c r="ABO57" s="101"/>
      <c r="ABP57" s="101"/>
      <c r="ABQ57" s="101"/>
      <c r="ABR57" s="101"/>
      <c r="ABS57" s="101"/>
      <c r="ABT57" s="101"/>
      <c r="ABU57" s="101"/>
      <c r="ABV57" s="101"/>
      <c r="ABW57" s="101"/>
      <c r="ABX57" s="101"/>
      <c r="ABY57" s="101"/>
      <c r="ABZ57" s="101"/>
      <c r="ACA57" s="101"/>
      <c r="ACB57" s="101"/>
      <c r="ACC57" s="101"/>
      <c r="ACD57" s="101"/>
      <c r="ACE57" s="101"/>
      <c r="ACF57" s="101"/>
      <c r="ACG57" s="101"/>
      <c r="ACH57" s="101"/>
      <c r="ACI57" s="101"/>
      <c r="ACJ57" s="101"/>
      <c r="ACK57" s="101"/>
      <c r="ACL57" s="101"/>
      <c r="ACM57" s="101"/>
      <c r="ACN57" s="101"/>
      <c r="ACO57" s="101"/>
      <c r="ACP57" s="101"/>
      <c r="ACQ57" s="101"/>
      <c r="ACR57" s="101"/>
      <c r="ACS57" s="101"/>
      <c r="ACT57" s="101"/>
      <c r="ACU57" s="101"/>
      <c r="ACV57" s="101"/>
      <c r="ACW57" s="101"/>
      <c r="ACX57" s="101"/>
      <c r="ACY57" s="101"/>
      <c r="ACZ57" s="101"/>
      <c r="ADA57" s="101"/>
      <c r="ADB57" s="101"/>
      <c r="ADC57" s="101"/>
      <c r="ADD57" s="101"/>
      <c r="ADE57" s="101"/>
      <c r="ADF57" s="101"/>
      <c r="ADG57" s="101"/>
      <c r="ADH57" s="101"/>
      <c r="ADI57" s="101"/>
      <c r="ADJ57" s="101"/>
      <c r="ADK57" s="101"/>
      <c r="ADL57" s="101"/>
      <c r="ADM57" s="101"/>
      <c r="ADN57" s="101"/>
      <c r="ADO57" s="101"/>
      <c r="ADP57" s="101"/>
      <c r="ADQ57" s="101"/>
      <c r="ADR57" s="101"/>
      <c r="ADS57" s="101"/>
      <c r="ADT57" s="101"/>
      <c r="ADU57" s="101"/>
      <c r="ADV57" s="101"/>
      <c r="ADW57" s="101"/>
      <c r="ADX57" s="101"/>
      <c r="ADY57" s="101"/>
      <c r="ADZ57" s="101"/>
      <c r="AEA57" s="101"/>
      <c r="AEB57" s="101"/>
      <c r="AEC57" s="101"/>
      <c r="AED57" s="101"/>
      <c r="AEE57" s="101"/>
      <c r="AEF57" s="101"/>
      <c r="AEG57" s="101"/>
      <c r="AEH57" s="101"/>
      <c r="AEI57" s="101"/>
      <c r="AEJ57" s="101"/>
      <c r="AEK57" s="101"/>
      <c r="AEL57" s="101"/>
      <c r="AEM57" s="101"/>
      <c r="AEN57" s="101"/>
      <c r="AEO57" s="101"/>
      <c r="AEP57" s="101"/>
      <c r="AEQ57" s="101"/>
      <c r="AER57" s="101"/>
      <c r="AES57" s="101"/>
      <c r="AET57" s="101"/>
      <c r="AEU57" s="101"/>
      <c r="AEV57" s="101"/>
      <c r="AEW57" s="101"/>
      <c r="AEX57" s="101"/>
      <c r="AEY57" s="101"/>
      <c r="AEZ57" s="101"/>
      <c r="AFA57" s="101"/>
      <c r="AFB57" s="101"/>
      <c r="AFC57" s="101"/>
      <c r="AFD57" s="101"/>
      <c r="AFE57" s="101"/>
      <c r="AFF57" s="101"/>
      <c r="AFG57" s="101"/>
      <c r="AFH57" s="101"/>
      <c r="AFI57" s="101"/>
      <c r="AFJ57" s="101"/>
      <c r="AFK57" s="101"/>
      <c r="AFL57" s="101"/>
      <c r="AFM57" s="101"/>
      <c r="AFN57" s="101"/>
      <c r="AFO57" s="101"/>
      <c r="AFP57" s="101"/>
      <c r="AFQ57" s="101"/>
      <c r="AFR57" s="101"/>
      <c r="AFS57" s="101"/>
      <c r="AFT57" s="101"/>
      <c r="AFU57" s="101"/>
      <c r="AFV57" s="101"/>
      <c r="AFW57" s="101"/>
      <c r="AFX57" s="101"/>
      <c r="AFY57" s="101"/>
      <c r="AFZ57" s="101"/>
      <c r="AGA57" s="101"/>
      <c r="AGB57" s="101"/>
      <c r="AGC57" s="101"/>
      <c r="AGD57" s="101"/>
      <c r="AGE57" s="101"/>
      <c r="AGF57" s="101"/>
      <c r="AGG57" s="101"/>
      <c r="AGH57" s="101"/>
      <c r="AGI57" s="101"/>
      <c r="AGJ57" s="101"/>
      <c r="AGK57" s="101"/>
      <c r="AGL57" s="101"/>
      <c r="AGM57" s="101"/>
      <c r="AGN57" s="101"/>
      <c r="AGO57" s="101"/>
      <c r="AGP57" s="101"/>
      <c r="AGQ57" s="101"/>
      <c r="AGR57" s="101"/>
      <c r="AGS57" s="101"/>
      <c r="AGT57" s="101"/>
      <c r="AGU57" s="101"/>
      <c r="AGV57" s="101"/>
      <c r="AGW57" s="101"/>
      <c r="AGX57" s="101"/>
      <c r="AGY57" s="101"/>
      <c r="AGZ57" s="101"/>
      <c r="AHA57" s="101"/>
      <c r="AHB57" s="101"/>
      <c r="AHC57" s="101"/>
      <c r="AHD57" s="101"/>
      <c r="AHE57" s="101"/>
      <c r="AHF57" s="101"/>
      <c r="AHG57" s="101"/>
      <c r="AHH57" s="101"/>
      <c r="AHI57" s="101"/>
      <c r="AHJ57" s="101"/>
      <c r="AHK57" s="101"/>
      <c r="AHL57" s="101"/>
      <c r="AHM57" s="101"/>
      <c r="AHN57" s="101"/>
      <c r="AHO57" s="101"/>
      <c r="AHP57" s="101"/>
      <c r="AHQ57" s="101"/>
      <c r="AHR57" s="101"/>
      <c r="AHS57" s="101"/>
      <c r="AHT57" s="101"/>
      <c r="AHU57" s="101"/>
      <c r="AHV57" s="101"/>
      <c r="AHW57" s="101"/>
      <c r="AHX57" s="101"/>
      <c r="AHY57" s="101"/>
      <c r="AHZ57" s="101"/>
      <c r="AIA57" s="101"/>
      <c r="AIB57" s="101"/>
      <c r="AIC57" s="101"/>
      <c r="AID57" s="101"/>
      <c r="AIE57" s="101"/>
      <c r="AIF57" s="101"/>
      <c r="AIG57" s="101"/>
      <c r="AIH57" s="101"/>
      <c r="AII57" s="101"/>
      <c r="AIJ57" s="101"/>
      <c r="AIK57" s="101"/>
      <c r="AIL57" s="101"/>
      <c r="AIM57" s="101"/>
      <c r="AIN57" s="101"/>
      <c r="AIO57" s="101"/>
      <c r="AIP57" s="101"/>
      <c r="AIQ57" s="101"/>
      <c r="AIR57" s="101"/>
      <c r="AIS57" s="101"/>
      <c r="AIT57" s="101"/>
      <c r="AIU57" s="101"/>
      <c r="AIV57" s="101"/>
      <c r="AIW57" s="101"/>
      <c r="AIX57" s="101"/>
      <c r="AIY57" s="101"/>
      <c r="AIZ57" s="101"/>
      <c r="AJA57" s="101"/>
      <c r="AJB57" s="101"/>
      <c r="AJC57" s="101"/>
      <c r="AJD57" s="101"/>
      <c r="AJE57" s="101"/>
      <c r="AJF57" s="101"/>
      <c r="AJG57" s="101"/>
      <c r="AJH57" s="101"/>
      <c r="AJI57" s="101"/>
      <c r="AJJ57" s="101"/>
      <c r="AJK57" s="101"/>
      <c r="AJL57" s="101"/>
      <c r="AJM57" s="101"/>
      <c r="AJN57" s="101"/>
      <c r="AJO57" s="101"/>
      <c r="AJP57" s="101"/>
      <c r="AJQ57" s="101"/>
      <c r="AJR57" s="101"/>
      <c r="AJS57" s="101"/>
      <c r="AJT57" s="101"/>
      <c r="AJU57" s="101"/>
      <c r="AJV57" s="101"/>
      <c r="AJW57" s="101"/>
      <c r="AJX57" s="101"/>
      <c r="AJY57" s="101"/>
      <c r="AJZ57" s="101"/>
      <c r="AKA57" s="101"/>
      <c r="AKB57" s="101"/>
      <c r="AKC57" s="101"/>
      <c r="AKD57" s="101"/>
      <c r="AKE57" s="101"/>
      <c r="AKF57" s="101"/>
      <c r="AKG57" s="101"/>
      <c r="AKH57" s="101"/>
      <c r="AKI57" s="101"/>
      <c r="AKJ57" s="101"/>
      <c r="AKK57" s="101"/>
      <c r="AKL57" s="101"/>
      <c r="AKM57" s="101"/>
      <c r="AKN57" s="101"/>
      <c r="AKO57" s="101"/>
      <c r="AKP57" s="101"/>
      <c r="AKQ57" s="101"/>
      <c r="AKR57" s="101"/>
      <c r="AKS57" s="101"/>
      <c r="AKT57" s="101"/>
      <c r="AKU57" s="101"/>
      <c r="AKV57" s="101"/>
      <c r="AKW57" s="101"/>
      <c r="AKX57" s="101"/>
      <c r="AKY57" s="101"/>
      <c r="AKZ57" s="101"/>
      <c r="ALA57" s="101"/>
      <c r="ALB57" s="101"/>
      <c r="ALC57" s="101"/>
      <c r="ALD57" s="101"/>
      <c r="ALE57" s="101"/>
      <c r="ALF57" s="101"/>
      <c r="ALG57" s="101"/>
      <c r="ALH57" s="101"/>
      <c r="ALI57" s="101"/>
      <c r="ALJ57" s="101"/>
      <c r="ALK57" s="101"/>
      <c r="ALL57" s="101"/>
      <c r="ALM57" s="101"/>
      <c r="ALN57" s="101"/>
      <c r="ALO57" s="101"/>
      <c r="ALP57" s="101"/>
      <c r="ALQ57" s="101"/>
      <c r="ALR57" s="101"/>
      <c r="ALS57" s="101"/>
      <c r="ALT57" s="101"/>
      <c r="ALU57" s="101"/>
      <c r="ALV57" s="101"/>
      <c r="ALW57" s="101"/>
      <c r="ALX57" s="101"/>
      <c r="ALY57" s="101"/>
      <c r="ALZ57" s="101"/>
      <c r="AMA57" s="101"/>
      <c r="AMB57" s="101"/>
      <c r="AMC57" s="101"/>
      <c r="AMD57" s="101"/>
      <c r="AME57" s="101"/>
      <c r="AMF57" s="101"/>
      <c r="AMG57" s="101"/>
      <c r="AMH57" s="101"/>
      <c r="AMI57" s="101"/>
      <c r="AMJ57" s="101"/>
      <c r="AMK57" s="101"/>
      <c r="AML57" s="101"/>
      <c r="AMM57" s="101"/>
      <c r="AMN57" s="101"/>
      <c r="AMO57" s="101"/>
      <c r="AMP57" s="101"/>
      <c r="AMQ57" s="101"/>
      <c r="AMR57" s="101"/>
      <c r="AMS57" s="101"/>
      <c r="AMT57" s="101"/>
      <c r="AMU57" s="101"/>
      <c r="AMV57" s="101"/>
      <c r="AMW57" s="101"/>
      <c r="AMX57" s="101"/>
      <c r="AMY57" s="101"/>
      <c r="AMZ57" s="101"/>
      <c r="ANA57" s="101"/>
      <c r="ANB57" s="101"/>
      <c r="ANC57" s="101"/>
      <c r="AND57" s="101"/>
      <c r="ANE57" s="101"/>
      <c r="ANF57" s="101"/>
      <c r="ANG57" s="101"/>
      <c r="ANH57" s="101"/>
      <c r="ANI57" s="101"/>
      <c r="ANJ57" s="101"/>
      <c r="ANK57" s="101"/>
      <c r="ANL57" s="101"/>
      <c r="ANM57" s="101"/>
      <c r="ANN57" s="101"/>
      <c r="ANO57" s="101"/>
      <c r="ANP57" s="101"/>
      <c r="ANQ57" s="101"/>
      <c r="ANR57" s="101"/>
      <c r="ANS57" s="101"/>
      <c r="ANT57" s="101"/>
      <c r="ANU57" s="101"/>
      <c r="ANV57" s="101"/>
      <c r="ANW57" s="101"/>
      <c r="ANX57" s="101"/>
      <c r="ANY57" s="101"/>
      <c r="ANZ57" s="101"/>
      <c r="AOA57" s="101"/>
      <c r="AOB57" s="101"/>
      <c r="AOC57" s="101"/>
      <c r="AOD57" s="101"/>
      <c r="AOE57" s="101"/>
      <c r="AOF57" s="101"/>
      <c r="AOG57" s="101"/>
      <c r="AOH57" s="101"/>
      <c r="AOI57" s="101"/>
      <c r="AOJ57" s="101"/>
      <c r="AOK57" s="101"/>
      <c r="AOL57" s="101"/>
      <c r="AOM57" s="101"/>
      <c r="AON57" s="101"/>
      <c r="AOO57" s="101"/>
      <c r="AOP57" s="101"/>
      <c r="AOQ57" s="101"/>
      <c r="AOR57" s="101"/>
      <c r="AOS57" s="101"/>
      <c r="AOT57" s="101"/>
      <c r="AOU57" s="101"/>
      <c r="AOV57" s="101"/>
      <c r="AOW57" s="101"/>
      <c r="AOX57" s="101"/>
      <c r="AOY57" s="101"/>
      <c r="AOZ57" s="101"/>
      <c r="APA57" s="101"/>
      <c r="APB57" s="101"/>
      <c r="APC57" s="101"/>
      <c r="APD57" s="101"/>
      <c r="APE57" s="101"/>
      <c r="APF57" s="101"/>
      <c r="APG57" s="101"/>
      <c r="APH57" s="101"/>
      <c r="API57" s="101"/>
      <c r="APJ57" s="101"/>
      <c r="APK57" s="101"/>
      <c r="APL57" s="101"/>
      <c r="APM57" s="101"/>
      <c r="APN57" s="101"/>
      <c r="APO57" s="101"/>
      <c r="APP57" s="101"/>
      <c r="APQ57" s="101"/>
      <c r="APR57" s="101"/>
      <c r="APS57" s="101"/>
      <c r="APT57" s="101"/>
      <c r="APU57" s="101"/>
      <c r="APV57" s="101"/>
      <c r="APW57" s="101"/>
      <c r="APX57" s="101"/>
      <c r="APY57" s="101"/>
      <c r="APZ57" s="101"/>
      <c r="AQA57" s="101"/>
      <c r="AQB57" s="101"/>
      <c r="AQC57" s="101"/>
      <c r="AQD57" s="101"/>
      <c r="AQE57" s="101"/>
      <c r="AQF57" s="101"/>
      <c r="AQG57" s="101"/>
      <c r="AQH57" s="101"/>
      <c r="AQI57" s="101"/>
      <c r="AQJ57" s="101"/>
      <c r="AQK57" s="101"/>
      <c r="AQL57" s="101"/>
      <c r="AQM57" s="101"/>
      <c r="AQN57" s="101"/>
      <c r="AQO57" s="101"/>
      <c r="AQP57" s="101"/>
      <c r="AQQ57" s="101"/>
      <c r="AQR57" s="101"/>
      <c r="AQS57" s="101"/>
      <c r="AQT57" s="101"/>
      <c r="AQU57" s="101"/>
      <c r="AQV57" s="101"/>
      <c r="AQW57" s="101"/>
      <c r="AQX57" s="101"/>
      <c r="AQY57" s="101"/>
      <c r="AQZ57" s="101"/>
      <c r="ARA57" s="101"/>
      <c r="ARB57" s="101"/>
      <c r="ARC57" s="101"/>
      <c r="ARD57" s="101"/>
      <c r="ARE57" s="101"/>
      <c r="ARF57" s="101"/>
      <c r="ARG57" s="101"/>
      <c r="ARH57" s="101"/>
      <c r="ARI57" s="101"/>
      <c r="ARJ57" s="101"/>
      <c r="ARK57" s="101"/>
      <c r="ARL57" s="101"/>
      <c r="ARM57" s="101"/>
      <c r="ARN57" s="101"/>
      <c r="ARO57" s="101"/>
      <c r="ARP57" s="101"/>
      <c r="ARQ57" s="101"/>
      <c r="ARR57" s="101"/>
      <c r="ARS57" s="101"/>
      <c r="ART57" s="101"/>
      <c r="ARU57" s="101"/>
      <c r="ARV57" s="101"/>
      <c r="ARW57" s="101"/>
      <c r="ARX57" s="101"/>
      <c r="ARY57" s="101"/>
      <c r="ARZ57" s="101"/>
      <c r="ASA57" s="101"/>
      <c r="ASB57" s="101"/>
      <c r="ASC57" s="101"/>
      <c r="ASD57" s="101"/>
      <c r="ASE57" s="101"/>
      <c r="ASF57" s="101"/>
      <c r="ASG57" s="101"/>
      <c r="ASH57" s="101"/>
      <c r="ASI57" s="101"/>
      <c r="ASJ57" s="101"/>
      <c r="ASK57" s="101"/>
      <c r="ASL57" s="101"/>
      <c r="ASM57" s="101"/>
      <c r="ASN57" s="101"/>
      <c r="ASO57" s="101"/>
      <c r="ASP57" s="101"/>
      <c r="ASQ57" s="101"/>
      <c r="ASR57" s="101"/>
      <c r="ASS57" s="101"/>
      <c r="AST57" s="101"/>
      <c r="ASU57" s="101"/>
      <c r="ASV57" s="101"/>
      <c r="ASW57" s="101"/>
      <c r="ASX57" s="101"/>
      <c r="ASY57" s="101"/>
      <c r="ASZ57" s="101"/>
      <c r="ATA57" s="101"/>
      <c r="ATB57" s="101"/>
      <c r="ATC57" s="101"/>
      <c r="ATD57" s="101"/>
      <c r="ATE57" s="101"/>
      <c r="ATF57" s="101"/>
      <c r="ATG57" s="101"/>
      <c r="ATH57" s="101"/>
      <c r="ATI57" s="101"/>
      <c r="ATJ57" s="101"/>
      <c r="ATK57" s="101"/>
      <c r="ATL57" s="101"/>
      <c r="ATM57" s="101"/>
      <c r="ATN57" s="101"/>
      <c r="ATO57" s="101"/>
      <c r="ATP57" s="101"/>
      <c r="ATQ57" s="101"/>
      <c r="ATR57" s="101"/>
      <c r="ATS57" s="101"/>
      <c r="ATT57" s="101"/>
      <c r="ATU57" s="101"/>
      <c r="ATV57" s="101"/>
      <c r="ATW57" s="101"/>
      <c r="ATX57" s="101"/>
      <c r="ATY57" s="101"/>
      <c r="ATZ57" s="101"/>
      <c r="AUA57" s="101"/>
      <c r="AUB57" s="101"/>
      <c r="AUC57" s="101"/>
      <c r="AUD57" s="211"/>
      <c r="AUE57" s="101"/>
      <c r="AUF57" s="211"/>
      <c r="AUG57" s="211"/>
    </row>
    <row r="58" spans="1:1229" s="199" customFormat="1" ht="30.75" customHeight="1">
      <c r="A58" s="185">
        <v>50</v>
      </c>
      <c r="B58" s="56" t="s">
        <v>293</v>
      </c>
      <c r="C58" s="57" t="s">
        <v>102</v>
      </c>
      <c r="D58" s="58" t="s">
        <v>294</v>
      </c>
      <c r="E58" s="58" t="s">
        <v>149</v>
      </c>
      <c r="F58" s="58" t="s">
        <v>266</v>
      </c>
      <c r="G58" s="58" t="s">
        <v>106</v>
      </c>
      <c r="H58" s="58" t="s">
        <v>107</v>
      </c>
      <c r="I58" s="58" t="s">
        <v>97</v>
      </c>
      <c r="J58" s="57" t="s">
        <v>210</v>
      </c>
      <c r="K58" s="57" t="s">
        <v>143</v>
      </c>
      <c r="L58" s="57" t="s">
        <v>211</v>
      </c>
      <c r="M58" s="57" t="s">
        <v>212</v>
      </c>
      <c r="N58" s="57" t="s">
        <v>98</v>
      </c>
      <c r="O58" s="59">
        <v>45413</v>
      </c>
      <c r="P58" s="59">
        <v>45992</v>
      </c>
      <c r="Q58" s="60">
        <v>16853984.194690265</v>
      </c>
      <c r="R58" s="57" t="s">
        <v>89</v>
      </c>
      <c r="S58" s="61">
        <f t="shared" si="3"/>
        <v>1832404.9380271963</v>
      </c>
      <c r="T58" s="173" t="e">
        <f>S58/#REF!</f>
        <v>#REF!</v>
      </c>
      <c r="U58" s="98">
        <v>0.22900000000000001</v>
      </c>
      <c r="V58" s="373">
        <f t="shared" si="1"/>
        <v>2.4897420453285267E-2</v>
      </c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  <c r="AY58" s="186"/>
      <c r="AZ58" s="186"/>
      <c r="BA58" s="186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6"/>
      <c r="BM58" s="186"/>
      <c r="BN58" s="186"/>
      <c r="BO58" s="186"/>
      <c r="BP58" s="186"/>
      <c r="BQ58" s="186"/>
      <c r="BR58" s="186"/>
      <c r="BS58" s="186"/>
      <c r="BT58" s="186"/>
      <c r="BU58" s="186"/>
      <c r="BV58" s="186"/>
      <c r="BW58" s="186"/>
      <c r="BX58" s="186"/>
      <c r="BY58" s="186"/>
      <c r="BZ58" s="186"/>
      <c r="CA58" s="186"/>
      <c r="CB58" s="186"/>
      <c r="CC58" s="186"/>
      <c r="CD58" s="186"/>
      <c r="CE58" s="186"/>
      <c r="CF58" s="186"/>
      <c r="CG58" s="186"/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86"/>
      <c r="CT58" s="186"/>
      <c r="CU58" s="186"/>
      <c r="CV58" s="186"/>
      <c r="CW58" s="186"/>
      <c r="CX58" s="186"/>
      <c r="CY58" s="186"/>
      <c r="CZ58" s="186"/>
      <c r="DA58" s="186"/>
      <c r="DB58" s="186"/>
      <c r="DC58" s="186"/>
      <c r="DD58" s="186"/>
      <c r="DE58" s="186"/>
      <c r="DF58" s="186"/>
      <c r="DG58" s="186"/>
      <c r="DH58" s="186"/>
      <c r="DI58" s="186"/>
      <c r="DJ58" s="186"/>
      <c r="DK58" s="186"/>
      <c r="DL58" s="186"/>
      <c r="DM58" s="186"/>
      <c r="DN58" s="186"/>
      <c r="DO58" s="186"/>
      <c r="DP58" s="186"/>
      <c r="DQ58" s="186"/>
      <c r="DR58" s="186"/>
      <c r="DS58" s="186"/>
      <c r="DT58" s="186"/>
      <c r="DU58" s="186"/>
      <c r="DV58" s="186"/>
      <c r="DW58" s="186"/>
      <c r="DX58" s="186"/>
      <c r="DY58" s="186"/>
      <c r="DZ58" s="186"/>
      <c r="EA58" s="186"/>
      <c r="EB58" s="186"/>
      <c r="EC58" s="186"/>
      <c r="ED58" s="186"/>
      <c r="EE58" s="186"/>
      <c r="EF58" s="186"/>
      <c r="EG58" s="186"/>
      <c r="EH58" s="186"/>
      <c r="EI58" s="186"/>
      <c r="EJ58" s="186"/>
      <c r="EK58" s="186"/>
      <c r="EL58" s="186"/>
      <c r="EM58" s="186"/>
      <c r="EN58" s="186"/>
      <c r="EO58" s="186"/>
      <c r="EP58" s="186"/>
      <c r="EQ58" s="186"/>
      <c r="ER58" s="186"/>
      <c r="ES58" s="186"/>
      <c r="ET58" s="186"/>
      <c r="EU58" s="186"/>
      <c r="EV58" s="186"/>
      <c r="EW58" s="186"/>
      <c r="EX58" s="186"/>
      <c r="EY58" s="186"/>
      <c r="EZ58" s="186"/>
      <c r="FA58" s="186"/>
      <c r="FB58" s="186"/>
      <c r="FC58" s="186"/>
      <c r="FD58" s="186"/>
      <c r="FE58" s="186"/>
      <c r="FF58" s="186"/>
      <c r="FG58" s="186"/>
      <c r="FH58" s="186"/>
      <c r="FI58" s="186"/>
      <c r="FJ58" s="186"/>
      <c r="FK58" s="186"/>
      <c r="FL58" s="186"/>
      <c r="FM58" s="186"/>
      <c r="FN58" s="186"/>
      <c r="FO58" s="186"/>
      <c r="FP58" s="186"/>
      <c r="FQ58" s="186"/>
      <c r="FR58" s="186"/>
      <c r="FS58" s="186"/>
      <c r="FT58" s="186"/>
      <c r="FU58" s="186"/>
      <c r="FV58" s="186"/>
      <c r="FW58" s="186"/>
      <c r="FX58" s="186"/>
      <c r="FY58" s="186"/>
      <c r="FZ58" s="186"/>
      <c r="GA58" s="186"/>
      <c r="GB58" s="186"/>
      <c r="GC58" s="186"/>
      <c r="GD58" s="186"/>
      <c r="GE58" s="186"/>
      <c r="GF58" s="186"/>
      <c r="GG58" s="186"/>
      <c r="GH58" s="186"/>
      <c r="GI58" s="186"/>
      <c r="GJ58" s="186"/>
      <c r="GK58" s="186"/>
      <c r="GL58" s="186"/>
      <c r="GM58" s="186"/>
      <c r="GN58" s="186"/>
      <c r="GO58" s="186"/>
      <c r="GP58" s="186"/>
      <c r="GQ58" s="186"/>
      <c r="GR58" s="186"/>
      <c r="GS58" s="186"/>
      <c r="GT58" s="186"/>
      <c r="GU58" s="186"/>
      <c r="GV58" s="186"/>
      <c r="GW58" s="186"/>
      <c r="GX58" s="186"/>
      <c r="GY58" s="186"/>
      <c r="GZ58" s="186"/>
      <c r="HA58" s="186"/>
      <c r="HB58" s="186"/>
      <c r="HC58" s="186"/>
      <c r="HD58" s="186"/>
      <c r="HE58" s="186"/>
      <c r="HF58" s="186"/>
      <c r="HG58" s="186"/>
      <c r="HH58" s="186"/>
      <c r="HI58" s="186"/>
      <c r="HJ58" s="186"/>
      <c r="HK58" s="186"/>
      <c r="HL58" s="186"/>
      <c r="HM58" s="186"/>
      <c r="HN58" s="186"/>
      <c r="HO58" s="186"/>
      <c r="HP58" s="186"/>
      <c r="HQ58" s="186"/>
      <c r="HR58" s="186"/>
      <c r="HS58" s="186"/>
      <c r="HT58" s="186"/>
      <c r="HU58" s="186"/>
      <c r="HV58" s="186"/>
      <c r="HW58" s="186"/>
      <c r="HX58" s="186"/>
      <c r="HY58" s="186"/>
      <c r="HZ58" s="186"/>
      <c r="IA58" s="186"/>
      <c r="IB58" s="186"/>
      <c r="IC58" s="186"/>
      <c r="ID58" s="186"/>
      <c r="IE58" s="186"/>
      <c r="IF58" s="186"/>
      <c r="IG58" s="186"/>
      <c r="IH58" s="186"/>
      <c r="II58" s="186"/>
      <c r="IJ58" s="186"/>
      <c r="IK58" s="186"/>
      <c r="IL58" s="186"/>
      <c r="IM58" s="186"/>
      <c r="IN58" s="186"/>
      <c r="IO58" s="186"/>
      <c r="IP58" s="186"/>
      <c r="IQ58" s="186"/>
      <c r="IR58" s="186"/>
      <c r="IS58" s="186"/>
      <c r="IT58" s="186"/>
      <c r="IU58" s="186"/>
      <c r="IV58" s="186"/>
      <c r="IW58" s="186"/>
      <c r="IX58" s="186"/>
      <c r="IY58" s="186"/>
      <c r="IZ58" s="186"/>
      <c r="JA58" s="186"/>
      <c r="JB58" s="186"/>
      <c r="JC58" s="186"/>
      <c r="JD58" s="186"/>
      <c r="JE58" s="186"/>
      <c r="JF58" s="186"/>
      <c r="JG58" s="186"/>
      <c r="JH58" s="186"/>
      <c r="JI58" s="186"/>
      <c r="JJ58" s="186"/>
      <c r="JK58" s="186"/>
      <c r="JL58" s="186"/>
      <c r="JM58" s="186"/>
      <c r="JN58" s="186"/>
      <c r="JO58" s="186"/>
      <c r="JP58" s="186"/>
      <c r="JQ58" s="186"/>
      <c r="JR58" s="186"/>
      <c r="JS58" s="186"/>
      <c r="JT58" s="186"/>
      <c r="JU58" s="186"/>
      <c r="JV58" s="186"/>
      <c r="JW58" s="186"/>
      <c r="JX58" s="186"/>
      <c r="JY58" s="186"/>
      <c r="JZ58" s="186"/>
      <c r="KA58" s="186"/>
      <c r="KB58" s="186"/>
      <c r="KC58" s="186"/>
      <c r="KD58" s="186"/>
      <c r="KE58" s="186"/>
      <c r="KF58" s="186"/>
      <c r="KG58" s="186"/>
      <c r="KH58" s="186"/>
      <c r="KI58" s="186"/>
      <c r="KJ58" s="186"/>
      <c r="KK58" s="186"/>
      <c r="KL58" s="186"/>
      <c r="KM58" s="186"/>
      <c r="KN58" s="186"/>
      <c r="KO58" s="186"/>
      <c r="KP58" s="186"/>
      <c r="KQ58" s="186"/>
      <c r="KR58" s="186"/>
      <c r="KS58" s="186"/>
      <c r="KT58" s="186"/>
      <c r="KU58" s="186"/>
      <c r="KV58" s="186"/>
      <c r="KW58" s="186"/>
      <c r="KX58" s="186"/>
      <c r="KY58" s="186"/>
      <c r="KZ58" s="186"/>
      <c r="LA58" s="186"/>
      <c r="LB58" s="186"/>
      <c r="LC58" s="186"/>
      <c r="LD58" s="186"/>
      <c r="LE58" s="186"/>
      <c r="LF58" s="186"/>
      <c r="LG58" s="186"/>
      <c r="LH58" s="186"/>
      <c r="LI58" s="186"/>
      <c r="LJ58" s="186"/>
      <c r="LK58" s="186"/>
      <c r="LL58" s="186"/>
      <c r="LM58" s="186"/>
      <c r="LN58" s="186"/>
      <c r="LO58" s="186"/>
      <c r="LP58" s="186"/>
      <c r="LQ58" s="186"/>
      <c r="LR58" s="186"/>
      <c r="LS58" s="186"/>
      <c r="LT58" s="186"/>
      <c r="LU58" s="186"/>
      <c r="LV58" s="186"/>
      <c r="LW58" s="186"/>
      <c r="LX58" s="186"/>
      <c r="LY58" s="186"/>
      <c r="LZ58" s="186"/>
      <c r="MA58" s="186"/>
      <c r="MB58" s="186"/>
      <c r="MC58" s="186"/>
      <c r="MD58" s="186"/>
      <c r="ME58" s="186"/>
      <c r="MF58" s="186"/>
      <c r="MG58" s="186"/>
      <c r="MH58" s="186"/>
      <c r="MI58" s="186"/>
      <c r="MJ58" s="186"/>
      <c r="MK58" s="186"/>
      <c r="ML58" s="186"/>
      <c r="MM58" s="186"/>
      <c r="MN58" s="186"/>
      <c r="MO58" s="186"/>
      <c r="MP58" s="186"/>
      <c r="MQ58" s="186"/>
      <c r="MR58" s="186"/>
      <c r="MS58" s="186"/>
      <c r="MT58" s="186"/>
      <c r="MU58" s="186"/>
      <c r="MV58" s="186"/>
      <c r="MW58" s="186"/>
      <c r="MX58" s="186"/>
      <c r="MY58" s="186"/>
      <c r="MZ58" s="186"/>
      <c r="NA58" s="186"/>
      <c r="NB58" s="186"/>
      <c r="NC58" s="186"/>
      <c r="ND58" s="186"/>
      <c r="NE58" s="186"/>
      <c r="NF58" s="186"/>
      <c r="NG58" s="186"/>
      <c r="NH58" s="186"/>
      <c r="NI58" s="186"/>
      <c r="NJ58" s="186"/>
      <c r="NK58" s="186"/>
      <c r="NL58" s="186"/>
      <c r="NM58" s="186"/>
      <c r="NN58" s="186"/>
      <c r="NO58" s="186"/>
      <c r="NP58" s="186"/>
      <c r="NQ58" s="186"/>
      <c r="NR58" s="186"/>
      <c r="NS58" s="186"/>
      <c r="NT58" s="186"/>
      <c r="NU58" s="186"/>
      <c r="NV58" s="186"/>
      <c r="NW58" s="186"/>
      <c r="NX58" s="186"/>
      <c r="NY58" s="186"/>
      <c r="NZ58" s="186"/>
      <c r="OA58" s="186"/>
      <c r="OB58" s="186"/>
      <c r="OC58" s="186"/>
      <c r="OD58" s="186"/>
      <c r="OE58" s="186"/>
      <c r="OF58" s="186"/>
      <c r="OG58" s="186"/>
      <c r="OH58" s="186"/>
      <c r="OI58" s="186"/>
      <c r="OJ58" s="186"/>
      <c r="OK58" s="186"/>
      <c r="OL58" s="186"/>
      <c r="OM58" s="186"/>
      <c r="ON58" s="186"/>
      <c r="OO58" s="186"/>
      <c r="OP58" s="186"/>
      <c r="OQ58" s="186"/>
      <c r="OR58" s="186"/>
      <c r="OS58" s="186"/>
      <c r="OT58" s="186"/>
      <c r="OU58" s="186"/>
      <c r="OV58" s="186"/>
      <c r="OW58" s="186"/>
      <c r="OX58" s="186"/>
      <c r="OY58" s="186"/>
      <c r="OZ58" s="186"/>
      <c r="PA58" s="186"/>
      <c r="PB58" s="186"/>
      <c r="PC58" s="186"/>
      <c r="PD58" s="186"/>
      <c r="PE58" s="186"/>
      <c r="PF58" s="186"/>
      <c r="PG58" s="186"/>
      <c r="PH58" s="186"/>
      <c r="PI58" s="186"/>
      <c r="PJ58" s="186"/>
      <c r="PK58" s="186"/>
      <c r="PL58" s="186"/>
      <c r="PM58" s="186"/>
      <c r="PN58" s="186"/>
      <c r="PO58" s="186"/>
      <c r="PP58" s="186"/>
      <c r="PQ58" s="186"/>
      <c r="PR58" s="186"/>
      <c r="PS58" s="186"/>
      <c r="PT58" s="186"/>
      <c r="PU58" s="186"/>
      <c r="PV58" s="186"/>
      <c r="PW58" s="186"/>
      <c r="PX58" s="186"/>
      <c r="PY58" s="186"/>
      <c r="PZ58" s="186"/>
      <c r="QA58" s="186"/>
      <c r="QB58" s="186"/>
      <c r="QC58" s="186"/>
      <c r="QD58" s="186"/>
      <c r="QE58" s="186"/>
      <c r="QF58" s="186"/>
      <c r="QG58" s="186"/>
      <c r="QH58" s="186"/>
      <c r="QI58" s="186"/>
      <c r="QJ58" s="186"/>
      <c r="QK58" s="186"/>
      <c r="QL58" s="186"/>
      <c r="QM58" s="186"/>
      <c r="QN58" s="186"/>
      <c r="QO58" s="186"/>
      <c r="QP58" s="186"/>
      <c r="QQ58" s="186"/>
      <c r="QR58" s="186"/>
      <c r="QS58" s="186"/>
      <c r="QT58" s="186"/>
      <c r="QU58" s="186"/>
      <c r="QV58" s="186"/>
      <c r="QW58" s="186"/>
      <c r="QX58" s="186"/>
      <c r="QY58" s="186"/>
      <c r="QZ58" s="186"/>
      <c r="RA58" s="186"/>
      <c r="RB58" s="186"/>
      <c r="RC58" s="186"/>
      <c r="RD58" s="186"/>
      <c r="RE58" s="186"/>
      <c r="RF58" s="186"/>
      <c r="RG58" s="186"/>
      <c r="RH58" s="186"/>
      <c r="RI58" s="186"/>
      <c r="RJ58" s="186"/>
      <c r="RK58" s="186"/>
      <c r="RL58" s="186"/>
      <c r="RM58" s="186"/>
      <c r="RN58" s="186"/>
      <c r="RO58" s="186"/>
      <c r="RP58" s="186"/>
      <c r="RQ58" s="186"/>
      <c r="RR58" s="186"/>
      <c r="RS58" s="186"/>
      <c r="RT58" s="186"/>
      <c r="RU58" s="186"/>
      <c r="RV58" s="186"/>
      <c r="RW58" s="186"/>
      <c r="RX58" s="186"/>
      <c r="RY58" s="186"/>
      <c r="RZ58" s="186"/>
      <c r="SA58" s="186"/>
      <c r="SB58" s="186"/>
      <c r="SC58" s="186"/>
      <c r="SD58" s="186"/>
      <c r="SE58" s="186"/>
      <c r="SF58" s="186"/>
      <c r="SG58" s="186"/>
      <c r="SH58" s="186"/>
      <c r="SI58" s="186"/>
      <c r="SJ58" s="186"/>
      <c r="SK58" s="186"/>
      <c r="SL58" s="186"/>
      <c r="SM58" s="186"/>
      <c r="SN58" s="186"/>
      <c r="SO58" s="186"/>
      <c r="SP58" s="186"/>
      <c r="SQ58" s="186"/>
      <c r="SR58" s="186"/>
      <c r="SS58" s="186"/>
      <c r="ST58" s="186"/>
      <c r="SU58" s="186"/>
      <c r="SV58" s="186"/>
      <c r="SW58" s="186"/>
      <c r="SX58" s="186"/>
      <c r="SY58" s="186"/>
      <c r="SZ58" s="186"/>
      <c r="TA58" s="186"/>
      <c r="TB58" s="186"/>
      <c r="TC58" s="186"/>
      <c r="TD58" s="186"/>
      <c r="TE58" s="186"/>
      <c r="TF58" s="186"/>
      <c r="TG58" s="186"/>
      <c r="TH58" s="186"/>
      <c r="TI58" s="186"/>
      <c r="TJ58" s="186"/>
      <c r="TK58" s="186"/>
      <c r="TL58" s="186"/>
      <c r="TM58" s="186"/>
      <c r="TN58" s="186"/>
      <c r="TO58" s="186"/>
      <c r="TP58" s="186"/>
      <c r="TQ58" s="186"/>
      <c r="TR58" s="186"/>
      <c r="TS58" s="186"/>
      <c r="TT58" s="186"/>
      <c r="TU58" s="186"/>
      <c r="TV58" s="186"/>
      <c r="TW58" s="186"/>
      <c r="TX58" s="186"/>
      <c r="TY58" s="186"/>
      <c r="TZ58" s="186"/>
      <c r="UA58" s="186"/>
      <c r="UB58" s="186"/>
      <c r="UC58" s="186"/>
      <c r="UD58" s="186"/>
      <c r="UE58" s="186"/>
      <c r="UF58" s="186"/>
      <c r="UG58" s="186"/>
      <c r="UH58" s="186"/>
      <c r="UI58" s="186"/>
      <c r="UJ58" s="186"/>
      <c r="UK58" s="186"/>
      <c r="UL58" s="186"/>
      <c r="UM58" s="186"/>
      <c r="UN58" s="186"/>
      <c r="UO58" s="186"/>
      <c r="UP58" s="186"/>
      <c r="UQ58" s="186"/>
      <c r="UR58" s="186"/>
      <c r="US58" s="186"/>
      <c r="UT58" s="186"/>
      <c r="UU58" s="186"/>
      <c r="UV58" s="186"/>
      <c r="UW58" s="186"/>
      <c r="UX58" s="186"/>
      <c r="UY58" s="186"/>
      <c r="UZ58" s="186"/>
      <c r="VA58" s="186"/>
      <c r="VB58" s="186"/>
      <c r="VC58" s="186"/>
      <c r="VD58" s="186"/>
      <c r="VE58" s="186"/>
      <c r="VF58" s="186"/>
      <c r="VG58" s="186"/>
      <c r="VH58" s="186"/>
      <c r="VI58" s="186"/>
      <c r="VJ58" s="186"/>
      <c r="VK58" s="186"/>
      <c r="VL58" s="186"/>
      <c r="VM58" s="186"/>
      <c r="VN58" s="186"/>
      <c r="VO58" s="186"/>
      <c r="VP58" s="186"/>
      <c r="VQ58" s="186"/>
      <c r="VR58" s="186"/>
      <c r="VS58" s="186"/>
      <c r="VT58" s="186"/>
      <c r="VU58" s="186"/>
      <c r="VV58" s="186"/>
      <c r="VW58" s="186"/>
      <c r="VX58" s="186"/>
      <c r="VY58" s="186"/>
      <c r="VZ58" s="186"/>
      <c r="WA58" s="186"/>
      <c r="WB58" s="186"/>
      <c r="WC58" s="186"/>
      <c r="WD58" s="186"/>
      <c r="WE58" s="186"/>
      <c r="WF58" s="186"/>
      <c r="WG58" s="186"/>
      <c r="WH58" s="186"/>
      <c r="WI58" s="186"/>
      <c r="WJ58" s="186"/>
      <c r="WK58" s="186"/>
      <c r="WL58" s="186"/>
      <c r="WM58" s="186"/>
      <c r="WN58" s="186"/>
      <c r="WO58" s="186"/>
      <c r="WP58" s="186"/>
      <c r="WQ58" s="186"/>
      <c r="WR58" s="186"/>
      <c r="WS58" s="186"/>
      <c r="WT58" s="186"/>
      <c r="WU58" s="186"/>
      <c r="WV58" s="186"/>
      <c r="WW58" s="186"/>
      <c r="WX58" s="186"/>
      <c r="WY58" s="186"/>
      <c r="WZ58" s="186"/>
      <c r="XA58" s="186"/>
      <c r="XB58" s="186"/>
      <c r="XC58" s="186"/>
      <c r="XD58" s="186"/>
      <c r="XE58" s="186"/>
      <c r="XF58" s="186"/>
      <c r="XG58" s="186"/>
      <c r="XH58" s="186"/>
      <c r="XI58" s="186"/>
      <c r="XJ58" s="186"/>
      <c r="XK58" s="186"/>
      <c r="XL58" s="186"/>
      <c r="XM58" s="186"/>
      <c r="XN58" s="186"/>
      <c r="XO58" s="186"/>
      <c r="XP58" s="186"/>
      <c r="XQ58" s="186"/>
      <c r="XR58" s="186"/>
      <c r="XS58" s="186"/>
      <c r="XT58" s="186"/>
      <c r="XU58" s="186"/>
      <c r="XV58" s="186"/>
      <c r="XW58" s="186"/>
      <c r="XX58" s="186"/>
      <c r="XY58" s="186"/>
      <c r="XZ58" s="186"/>
      <c r="YA58" s="186"/>
      <c r="YB58" s="186"/>
      <c r="YC58" s="186"/>
      <c r="YD58" s="186"/>
      <c r="YE58" s="186"/>
      <c r="YF58" s="186"/>
      <c r="YG58" s="186"/>
      <c r="YH58" s="186"/>
      <c r="YI58" s="186"/>
      <c r="YJ58" s="186"/>
      <c r="YK58" s="186"/>
      <c r="YL58" s="186"/>
      <c r="YM58" s="186"/>
      <c r="YN58" s="186"/>
      <c r="YO58" s="186"/>
      <c r="YP58" s="186"/>
      <c r="YQ58" s="186"/>
      <c r="YR58" s="186"/>
      <c r="YS58" s="186"/>
      <c r="YT58" s="186"/>
      <c r="YU58" s="186"/>
      <c r="YV58" s="186"/>
      <c r="YW58" s="186"/>
      <c r="YX58" s="186"/>
      <c r="YY58" s="186"/>
      <c r="YZ58" s="186"/>
      <c r="ZA58" s="186"/>
      <c r="ZB58" s="186"/>
      <c r="ZC58" s="186"/>
      <c r="ZD58" s="186"/>
      <c r="ZE58" s="186"/>
      <c r="ZF58" s="186"/>
      <c r="ZG58" s="186"/>
      <c r="ZH58" s="186"/>
      <c r="ZI58" s="186"/>
      <c r="ZJ58" s="186"/>
      <c r="ZK58" s="186"/>
      <c r="ZL58" s="186"/>
      <c r="ZM58" s="186"/>
      <c r="ZN58" s="186"/>
      <c r="ZO58" s="186"/>
      <c r="ZP58" s="186"/>
      <c r="ZQ58" s="186"/>
      <c r="ZR58" s="186"/>
      <c r="ZS58" s="186"/>
      <c r="ZT58" s="186"/>
      <c r="ZU58" s="186"/>
      <c r="ZV58" s="186"/>
      <c r="ZW58" s="186"/>
      <c r="ZX58" s="186"/>
      <c r="ZY58" s="186"/>
      <c r="ZZ58" s="186"/>
      <c r="AAA58" s="186"/>
      <c r="AAB58" s="186"/>
      <c r="AAC58" s="186"/>
      <c r="AAD58" s="186"/>
      <c r="AAE58" s="186"/>
      <c r="AAF58" s="186"/>
      <c r="AAG58" s="186"/>
      <c r="AAH58" s="186"/>
      <c r="AAI58" s="186"/>
      <c r="AAJ58" s="186"/>
      <c r="AAK58" s="186"/>
      <c r="AAL58" s="186"/>
      <c r="AAM58" s="186"/>
      <c r="AAN58" s="186"/>
      <c r="AAO58" s="186"/>
      <c r="AAP58" s="186"/>
      <c r="AAQ58" s="186"/>
      <c r="AAR58" s="186"/>
      <c r="AAS58" s="186"/>
      <c r="AAT58" s="186"/>
      <c r="AAU58" s="186"/>
      <c r="AAV58" s="186"/>
      <c r="AAW58" s="186"/>
      <c r="AAX58" s="186"/>
      <c r="AAY58" s="186"/>
      <c r="AAZ58" s="186"/>
      <c r="ABA58" s="186"/>
      <c r="ABB58" s="186"/>
      <c r="ABC58" s="186"/>
      <c r="ABD58" s="186"/>
      <c r="ABE58" s="186"/>
      <c r="ABF58" s="186"/>
      <c r="ABG58" s="186"/>
      <c r="ABH58" s="186"/>
      <c r="ABI58" s="186"/>
      <c r="ABJ58" s="186"/>
      <c r="ABK58" s="186"/>
      <c r="ABL58" s="186"/>
      <c r="ABM58" s="186"/>
      <c r="ABN58" s="186"/>
      <c r="ABO58" s="186"/>
      <c r="ABP58" s="186"/>
      <c r="ABQ58" s="186"/>
      <c r="ABR58" s="186"/>
      <c r="ABS58" s="186"/>
      <c r="ABT58" s="186"/>
      <c r="ABU58" s="186"/>
      <c r="ABV58" s="186"/>
      <c r="ABW58" s="186"/>
      <c r="ABX58" s="186"/>
      <c r="ABY58" s="186"/>
      <c r="ABZ58" s="186"/>
      <c r="ACA58" s="186"/>
      <c r="ACB58" s="186"/>
      <c r="ACC58" s="186"/>
      <c r="ACD58" s="186"/>
      <c r="ACE58" s="186"/>
      <c r="ACF58" s="186"/>
      <c r="ACG58" s="186"/>
      <c r="ACH58" s="186"/>
      <c r="ACI58" s="186"/>
      <c r="ACJ58" s="186"/>
      <c r="ACK58" s="186"/>
      <c r="ACL58" s="186"/>
      <c r="ACM58" s="186"/>
      <c r="ACN58" s="186"/>
      <c r="ACO58" s="186"/>
      <c r="ACP58" s="186"/>
      <c r="ACQ58" s="186"/>
      <c r="ACR58" s="186"/>
      <c r="ACS58" s="186"/>
      <c r="ACT58" s="186"/>
      <c r="ACU58" s="186"/>
      <c r="ACV58" s="186"/>
      <c r="ACW58" s="186"/>
      <c r="ACX58" s="186"/>
      <c r="ACY58" s="186"/>
      <c r="ACZ58" s="186"/>
      <c r="ADA58" s="186"/>
      <c r="ADB58" s="186"/>
      <c r="ADC58" s="186"/>
      <c r="ADD58" s="186"/>
      <c r="ADE58" s="186"/>
      <c r="ADF58" s="186"/>
      <c r="ADG58" s="186"/>
      <c r="ADH58" s="186"/>
      <c r="ADI58" s="186"/>
      <c r="ADJ58" s="186"/>
      <c r="ADK58" s="186"/>
      <c r="ADL58" s="186"/>
      <c r="ADM58" s="186"/>
      <c r="ADN58" s="186"/>
      <c r="ADO58" s="186"/>
      <c r="ADP58" s="186"/>
      <c r="ADQ58" s="186"/>
      <c r="ADR58" s="186"/>
      <c r="ADS58" s="186"/>
      <c r="ADT58" s="186"/>
      <c r="ADU58" s="186"/>
      <c r="ADV58" s="186"/>
      <c r="ADW58" s="186"/>
      <c r="ADX58" s="186"/>
      <c r="ADY58" s="186"/>
      <c r="ADZ58" s="186"/>
      <c r="AEA58" s="186"/>
      <c r="AEB58" s="186"/>
      <c r="AEC58" s="186"/>
      <c r="AED58" s="186"/>
      <c r="AEE58" s="186"/>
      <c r="AEF58" s="186"/>
      <c r="AEG58" s="186"/>
      <c r="AEH58" s="186"/>
      <c r="AEI58" s="186"/>
      <c r="AEJ58" s="186"/>
      <c r="AEK58" s="186"/>
      <c r="AEL58" s="186"/>
      <c r="AEM58" s="186"/>
      <c r="AEN58" s="186"/>
      <c r="AEO58" s="186"/>
      <c r="AEP58" s="186"/>
      <c r="AEQ58" s="186"/>
      <c r="AER58" s="186"/>
      <c r="AES58" s="186"/>
      <c r="AET58" s="186"/>
      <c r="AEU58" s="186"/>
      <c r="AEV58" s="186"/>
      <c r="AEW58" s="186"/>
      <c r="AEX58" s="186"/>
      <c r="AEY58" s="186"/>
      <c r="AEZ58" s="186"/>
      <c r="AFA58" s="186"/>
      <c r="AFB58" s="186"/>
      <c r="AFC58" s="186"/>
      <c r="AFD58" s="186"/>
      <c r="AFE58" s="186"/>
      <c r="AFF58" s="186"/>
      <c r="AFG58" s="186"/>
      <c r="AFH58" s="186"/>
      <c r="AFI58" s="186"/>
      <c r="AFJ58" s="186"/>
      <c r="AFK58" s="186"/>
      <c r="AFL58" s="186"/>
      <c r="AFM58" s="186"/>
      <c r="AFN58" s="186"/>
      <c r="AFO58" s="186"/>
      <c r="AFP58" s="186"/>
      <c r="AFQ58" s="186"/>
      <c r="AFR58" s="186"/>
      <c r="AFS58" s="186"/>
      <c r="AFT58" s="186"/>
      <c r="AFU58" s="186"/>
      <c r="AFV58" s="186"/>
      <c r="AFW58" s="186"/>
      <c r="AFX58" s="186"/>
      <c r="AFY58" s="186"/>
      <c r="AFZ58" s="186"/>
      <c r="AGA58" s="186"/>
      <c r="AGB58" s="186"/>
      <c r="AGC58" s="186"/>
      <c r="AGD58" s="186"/>
      <c r="AGE58" s="186"/>
      <c r="AGF58" s="186"/>
      <c r="AGG58" s="186"/>
      <c r="AGH58" s="186"/>
      <c r="AGI58" s="186"/>
      <c r="AGJ58" s="186"/>
      <c r="AGK58" s="186"/>
      <c r="AGL58" s="186"/>
      <c r="AGM58" s="186"/>
      <c r="AGN58" s="186"/>
      <c r="AGO58" s="186"/>
      <c r="AGP58" s="186"/>
      <c r="AGQ58" s="186"/>
      <c r="AGR58" s="186"/>
      <c r="AGS58" s="186"/>
      <c r="AGT58" s="186"/>
      <c r="AGU58" s="186"/>
      <c r="AGV58" s="186"/>
      <c r="AGW58" s="186"/>
      <c r="AGX58" s="186"/>
      <c r="AGY58" s="186"/>
      <c r="AGZ58" s="186"/>
      <c r="AHA58" s="186"/>
      <c r="AHB58" s="186"/>
      <c r="AHC58" s="186"/>
      <c r="AHD58" s="186"/>
      <c r="AHE58" s="186"/>
      <c r="AHF58" s="186"/>
      <c r="AHG58" s="186"/>
      <c r="AHH58" s="186"/>
      <c r="AHI58" s="186"/>
      <c r="AHJ58" s="186"/>
      <c r="AHK58" s="186"/>
      <c r="AHL58" s="186"/>
      <c r="AHM58" s="186"/>
      <c r="AHN58" s="186"/>
      <c r="AHO58" s="186"/>
      <c r="AHP58" s="186"/>
      <c r="AHQ58" s="186"/>
      <c r="AHR58" s="186"/>
      <c r="AHS58" s="186"/>
      <c r="AHT58" s="186"/>
      <c r="AHU58" s="186"/>
      <c r="AHV58" s="186"/>
      <c r="AHW58" s="186"/>
      <c r="AHX58" s="186"/>
      <c r="AHY58" s="186"/>
      <c r="AHZ58" s="186"/>
      <c r="AIA58" s="186"/>
      <c r="AIB58" s="186"/>
      <c r="AIC58" s="186"/>
      <c r="AID58" s="186"/>
      <c r="AIE58" s="186"/>
      <c r="AIF58" s="186"/>
      <c r="AIG58" s="186"/>
      <c r="AIH58" s="186"/>
      <c r="AII58" s="186"/>
      <c r="AIJ58" s="186"/>
      <c r="AIK58" s="186"/>
      <c r="AIL58" s="186"/>
      <c r="AIM58" s="186"/>
      <c r="AIN58" s="186"/>
      <c r="AIO58" s="186"/>
      <c r="AIP58" s="186"/>
      <c r="AIQ58" s="186"/>
      <c r="AIR58" s="186"/>
      <c r="AIS58" s="186"/>
      <c r="AIT58" s="186"/>
      <c r="AIU58" s="186"/>
      <c r="AIV58" s="186"/>
      <c r="AIW58" s="186"/>
      <c r="AIX58" s="186"/>
      <c r="AIY58" s="186"/>
      <c r="AIZ58" s="186"/>
      <c r="AJA58" s="186"/>
      <c r="AJB58" s="186"/>
      <c r="AJC58" s="186"/>
      <c r="AJD58" s="186"/>
      <c r="AJE58" s="186"/>
      <c r="AJF58" s="186"/>
      <c r="AJG58" s="186"/>
      <c r="AJH58" s="186"/>
      <c r="AJI58" s="186"/>
      <c r="AJJ58" s="186"/>
      <c r="AJK58" s="186"/>
      <c r="AJL58" s="186"/>
      <c r="AJM58" s="186"/>
      <c r="AJN58" s="186"/>
      <c r="AJO58" s="186"/>
      <c r="AJP58" s="186"/>
      <c r="AJQ58" s="186"/>
      <c r="AJR58" s="186"/>
      <c r="AJS58" s="186"/>
      <c r="AJT58" s="186"/>
      <c r="AJU58" s="186"/>
      <c r="AJV58" s="186"/>
      <c r="AJW58" s="186"/>
      <c r="AJX58" s="186"/>
      <c r="AJY58" s="186"/>
      <c r="AJZ58" s="186"/>
      <c r="AKA58" s="186"/>
      <c r="AKB58" s="186"/>
      <c r="AKC58" s="186"/>
      <c r="AKD58" s="186"/>
      <c r="AKE58" s="186"/>
      <c r="AKF58" s="186"/>
      <c r="AKG58" s="186"/>
      <c r="AKH58" s="186"/>
      <c r="AKI58" s="186"/>
      <c r="AKJ58" s="186"/>
      <c r="AKK58" s="186"/>
      <c r="AKL58" s="186"/>
      <c r="AKM58" s="186"/>
      <c r="AKN58" s="186"/>
      <c r="AKO58" s="186"/>
      <c r="AKP58" s="186"/>
      <c r="AKQ58" s="186"/>
      <c r="AKR58" s="186"/>
      <c r="AKS58" s="186"/>
      <c r="AKT58" s="186"/>
      <c r="AKU58" s="186"/>
      <c r="AKV58" s="186"/>
      <c r="AKW58" s="186"/>
      <c r="AKX58" s="186"/>
      <c r="AKY58" s="186"/>
      <c r="AKZ58" s="186"/>
      <c r="ALA58" s="186"/>
      <c r="ALB58" s="186"/>
      <c r="ALC58" s="186"/>
      <c r="ALD58" s="186"/>
      <c r="ALE58" s="186"/>
      <c r="ALF58" s="186"/>
      <c r="ALG58" s="186"/>
      <c r="ALH58" s="186"/>
      <c r="ALI58" s="186"/>
      <c r="ALJ58" s="186"/>
      <c r="ALK58" s="186"/>
      <c r="ALL58" s="186"/>
      <c r="ALM58" s="186"/>
      <c r="ALN58" s="186"/>
      <c r="ALO58" s="186"/>
      <c r="ALP58" s="186"/>
      <c r="ALQ58" s="186"/>
      <c r="ALR58" s="186"/>
      <c r="ALS58" s="186"/>
      <c r="ALT58" s="186"/>
      <c r="ALU58" s="186"/>
      <c r="ALV58" s="186"/>
      <c r="ALW58" s="186"/>
      <c r="ALX58" s="186"/>
      <c r="ALY58" s="186"/>
      <c r="ALZ58" s="186"/>
      <c r="AMA58" s="186"/>
      <c r="AMB58" s="186"/>
      <c r="AMC58" s="186"/>
      <c r="AMD58" s="186"/>
      <c r="AME58" s="186"/>
      <c r="AMF58" s="186"/>
      <c r="AMG58" s="186"/>
      <c r="AMH58" s="186"/>
      <c r="AMI58" s="186"/>
      <c r="AMJ58" s="186"/>
      <c r="AMK58" s="186"/>
      <c r="AML58" s="186"/>
      <c r="AMM58" s="186"/>
      <c r="AMN58" s="186"/>
      <c r="AMO58" s="186"/>
      <c r="AMP58" s="186"/>
      <c r="AMQ58" s="186"/>
      <c r="AMR58" s="186"/>
      <c r="AMS58" s="186"/>
      <c r="AMT58" s="186"/>
      <c r="AMU58" s="186"/>
      <c r="AMV58" s="186"/>
      <c r="AMW58" s="186"/>
      <c r="AMX58" s="186"/>
      <c r="AMY58" s="186"/>
      <c r="AMZ58" s="186"/>
      <c r="ANA58" s="186"/>
      <c r="ANB58" s="186"/>
      <c r="ANC58" s="186"/>
      <c r="AND58" s="186"/>
      <c r="ANE58" s="186"/>
      <c r="ANF58" s="186"/>
      <c r="ANG58" s="186"/>
      <c r="ANH58" s="186"/>
      <c r="ANI58" s="186"/>
      <c r="ANJ58" s="186"/>
      <c r="ANK58" s="186"/>
      <c r="ANL58" s="186"/>
      <c r="ANM58" s="186"/>
      <c r="ANN58" s="186"/>
      <c r="ANO58" s="186"/>
      <c r="ANP58" s="186"/>
      <c r="ANQ58" s="186"/>
      <c r="ANR58" s="186"/>
      <c r="ANS58" s="186"/>
      <c r="ANT58" s="186"/>
      <c r="ANU58" s="186"/>
      <c r="ANV58" s="186"/>
      <c r="ANW58" s="186"/>
      <c r="ANX58" s="186"/>
      <c r="ANY58" s="186"/>
      <c r="ANZ58" s="186"/>
      <c r="AOA58" s="186"/>
      <c r="AOB58" s="186"/>
      <c r="AOC58" s="186"/>
      <c r="AOD58" s="186"/>
      <c r="AOE58" s="186"/>
      <c r="AOF58" s="186"/>
      <c r="AOG58" s="186"/>
      <c r="AOH58" s="186"/>
      <c r="AOI58" s="186"/>
      <c r="AOJ58" s="186"/>
      <c r="AOK58" s="186"/>
      <c r="AOL58" s="186"/>
      <c r="AOM58" s="186"/>
      <c r="AON58" s="186"/>
      <c r="AOO58" s="186"/>
      <c r="AOP58" s="186"/>
      <c r="AOQ58" s="186"/>
      <c r="AOR58" s="186"/>
      <c r="AOS58" s="186"/>
      <c r="AOT58" s="186"/>
      <c r="AOU58" s="186"/>
      <c r="AOV58" s="186"/>
      <c r="AOW58" s="186"/>
      <c r="AOX58" s="186"/>
      <c r="AOY58" s="186"/>
      <c r="AOZ58" s="186"/>
      <c r="APA58" s="186"/>
      <c r="APB58" s="186"/>
      <c r="APC58" s="186"/>
      <c r="APD58" s="186"/>
      <c r="APE58" s="186"/>
      <c r="APF58" s="186"/>
      <c r="APG58" s="186"/>
      <c r="APH58" s="186"/>
      <c r="API58" s="186"/>
      <c r="APJ58" s="186"/>
      <c r="APK58" s="186"/>
      <c r="APL58" s="186"/>
      <c r="APM58" s="186"/>
      <c r="APN58" s="186"/>
      <c r="APO58" s="186"/>
      <c r="APP58" s="186"/>
      <c r="APQ58" s="186"/>
      <c r="APR58" s="186"/>
      <c r="APS58" s="186"/>
      <c r="APT58" s="186"/>
      <c r="APU58" s="186"/>
      <c r="APV58" s="186"/>
      <c r="APW58" s="186"/>
      <c r="APX58" s="186"/>
      <c r="APY58" s="186"/>
      <c r="APZ58" s="186"/>
      <c r="AQA58" s="186"/>
      <c r="AQB58" s="186"/>
      <c r="AQC58" s="186"/>
      <c r="AQD58" s="186"/>
      <c r="AQE58" s="186"/>
      <c r="AQF58" s="186"/>
      <c r="AQG58" s="186"/>
      <c r="AQH58" s="186"/>
      <c r="AQI58" s="186"/>
      <c r="AQJ58" s="186"/>
      <c r="AQK58" s="186"/>
      <c r="AQL58" s="186"/>
      <c r="AQM58" s="186"/>
      <c r="AQN58" s="186"/>
      <c r="AQO58" s="186"/>
      <c r="AQP58" s="186"/>
      <c r="AQQ58" s="186"/>
      <c r="AQR58" s="186"/>
      <c r="AQS58" s="186"/>
      <c r="AQT58" s="186"/>
      <c r="AQU58" s="186"/>
      <c r="AQV58" s="186"/>
      <c r="AQW58" s="186"/>
      <c r="AQX58" s="186"/>
      <c r="AQY58" s="186"/>
      <c r="AQZ58" s="186"/>
      <c r="ARA58" s="186"/>
      <c r="ARB58" s="186"/>
      <c r="ARC58" s="186"/>
      <c r="ARD58" s="186"/>
      <c r="ARE58" s="186"/>
      <c r="ARF58" s="186"/>
      <c r="ARG58" s="186"/>
      <c r="ARH58" s="186"/>
      <c r="ARI58" s="186"/>
      <c r="ARJ58" s="186"/>
      <c r="ARK58" s="186"/>
      <c r="ARL58" s="186"/>
      <c r="ARM58" s="186"/>
      <c r="ARN58" s="186"/>
      <c r="ARO58" s="186"/>
      <c r="ARP58" s="186"/>
      <c r="ARQ58" s="186"/>
      <c r="ARR58" s="186"/>
      <c r="ARS58" s="186"/>
      <c r="ART58" s="186"/>
      <c r="ARU58" s="186"/>
      <c r="ARV58" s="186"/>
      <c r="ARW58" s="186"/>
      <c r="ARX58" s="186"/>
      <c r="ARY58" s="186"/>
      <c r="ARZ58" s="186"/>
      <c r="ASA58" s="186"/>
      <c r="ASB58" s="186"/>
      <c r="ASC58" s="186"/>
      <c r="ASD58" s="186"/>
      <c r="ASE58" s="186"/>
      <c r="ASF58" s="186"/>
      <c r="ASG58" s="186"/>
      <c r="ASH58" s="186"/>
      <c r="ASI58" s="186"/>
      <c r="ASJ58" s="186"/>
      <c r="ASK58" s="186"/>
      <c r="ASL58" s="186"/>
      <c r="ASM58" s="186"/>
      <c r="ASN58" s="186"/>
      <c r="ASO58" s="186"/>
      <c r="ASP58" s="186"/>
      <c r="ASQ58" s="186"/>
      <c r="ASR58" s="186"/>
      <c r="ASS58" s="186"/>
      <c r="AST58" s="186"/>
      <c r="ASU58" s="186"/>
      <c r="ASV58" s="186"/>
      <c r="ASW58" s="186"/>
      <c r="ASX58" s="186"/>
      <c r="ASY58" s="186"/>
      <c r="ASZ58" s="186"/>
      <c r="ATA58" s="186"/>
      <c r="ATB58" s="186"/>
      <c r="ATC58" s="186"/>
      <c r="ATD58" s="186"/>
      <c r="ATE58" s="186"/>
      <c r="ATF58" s="186"/>
      <c r="ATG58" s="186"/>
      <c r="ATH58" s="186"/>
      <c r="ATI58" s="186"/>
      <c r="ATJ58" s="186"/>
      <c r="ATK58" s="186"/>
      <c r="ATL58" s="186"/>
      <c r="ATM58" s="186"/>
      <c r="ATN58" s="186"/>
      <c r="ATO58" s="186"/>
      <c r="ATP58" s="186"/>
      <c r="ATQ58" s="186"/>
      <c r="ATR58" s="186"/>
      <c r="ATS58" s="186"/>
      <c r="ATT58" s="186"/>
      <c r="ATU58" s="186"/>
      <c r="ATV58" s="186"/>
      <c r="ATW58" s="186"/>
      <c r="ATX58" s="186"/>
      <c r="ATY58" s="186"/>
      <c r="ATZ58" s="186"/>
      <c r="AUA58" s="186"/>
      <c r="AUB58" s="186"/>
      <c r="AUC58" s="186"/>
      <c r="AUD58" s="204"/>
      <c r="AUE58" s="186"/>
      <c r="AUF58" s="204"/>
      <c r="AUG58" s="204"/>
    </row>
    <row r="59" spans="1:1229" s="199" customFormat="1" ht="30.75" customHeight="1">
      <c r="A59" s="185">
        <v>51</v>
      </c>
      <c r="B59" s="56" t="s">
        <v>297</v>
      </c>
      <c r="C59" s="57" t="s">
        <v>102</v>
      </c>
      <c r="D59" s="58" t="s">
        <v>298</v>
      </c>
      <c r="E59" s="58" t="s">
        <v>149</v>
      </c>
      <c r="F59" s="58" t="s">
        <v>266</v>
      </c>
      <c r="G59" s="58" t="s">
        <v>106</v>
      </c>
      <c r="H59" s="58" t="s">
        <v>107</v>
      </c>
      <c r="I59" s="58" t="s">
        <v>97</v>
      </c>
      <c r="J59" s="57" t="s">
        <v>210</v>
      </c>
      <c r="K59" s="57" t="s">
        <v>109</v>
      </c>
      <c r="L59" s="57" t="s">
        <v>211</v>
      </c>
      <c r="M59" s="57" t="s">
        <v>212</v>
      </c>
      <c r="N59" s="57" t="s">
        <v>98</v>
      </c>
      <c r="O59" s="59">
        <v>45505</v>
      </c>
      <c r="P59" s="59">
        <v>45992</v>
      </c>
      <c r="Q59" s="60">
        <v>2482288.6814159295</v>
      </c>
      <c r="R59" s="57" t="s">
        <v>89</v>
      </c>
      <c r="S59" s="61">
        <f t="shared" si="3"/>
        <v>269880.2837888361</v>
      </c>
      <c r="T59" s="173" t="e">
        <f>S59/#REF!</f>
        <v>#REF!</v>
      </c>
      <c r="U59" s="98">
        <v>0.24640000000000001</v>
      </c>
      <c r="V59" s="373">
        <f t="shared" si="1"/>
        <v>2.6789189518294714E-2</v>
      </c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6"/>
      <c r="BM59" s="186"/>
      <c r="BN59" s="186"/>
      <c r="BO59" s="186"/>
      <c r="BP59" s="186"/>
      <c r="BQ59" s="186"/>
      <c r="BR59" s="186"/>
      <c r="BS59" s="186"/>
      <c r="BT59" s="186"/>
      <c r="BU59" s="186"/>
      <c r="BV59" s="186"/>
      <c r="BW59" s="186"/>
      <c r="BX59" s="186"/>
      <c r="BY59" s="186"/>
      <c r="BZ59" s="186"/>
      <c r="CA59" s="186"/>
      <c r="CB59" s="186"/>
      <c r="CC59" s="186"/>
      <c r="CD59" s="186"/>
      <c r="CE59" s="186"/>
      <c r="CF59" s="186"/>
      <c r="CG59" s="186"/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86"/>
      <c r="CT59" s="186"/>
      <c r="CU59" s="186"/>
      <c r="CV59" s="186"/>
      <c r="CW59" s="186"/>
      <c r="CX59" s="186"/>
      <c r="CY59" s="186"/>
      <c r="CZ59" s="186"/>
      <c r="DA59" s="186"/>
      <c r="DB59" s="186"/>
      <c r="DC59" s="186"/>
      <c r="DD59" s="186"/>
      <c r="DE59" s="186"/>
      <c r="DF59" s="186"/>
      <c r="DG59" s="186"/>
      <c r="DH59" s="186"/>
      <c r="DI59" s="186"/>
      <c r="DJ59" s="186"/>
      <c r="DK59" s="186"/>
      <c r="DL59" s="186"/>
      <c r="DM59" s="186"/>
      <c r="DN59" s="186"/>
      <c r="DO59" s="186"/>
      <c r="DP59" s="186"/>
      <c r="DQ59" s="186"/>
      <c r="DR59" s="186"/>
      <c r="DS59" s="186"/>
      <c r="DT59" s="186"/>
      <c r="DU59" s="186"/>
      <c r="DV59" s="186"/>
      <c r="DW59" s="186"/>
      <c r="DX59" s="186"/>
      <c r="DY59" s="186"/>
      <c r="DZ59" s="186"/>
      <c r="EA59" s="186"/>
      <c r="EB59" s="186"/>
      <c r="EC59" s="186"/>
      <c r="ED59" s="186"/>
      <c r="EE59" s="186"/>
      <c r="EF59" s="186"/>
      <c r="EG59" s="186"/>
      <c r="EH59" s="186"/>
      <c r="EI59" s="186"/>
      <c r="EJ59" s="186"/>
      <c r="EK59" s="186"/>
      <c r="EL59" s="186"/>
      <c r="EM59" s="186"/>
      <c r="EN59" s="186"/>
      <c r="EO59" s="186"/>
      <c r="EP59" s="186"/>
      <c r="EQ59" s="186"/>
      <c r="ER59" s="186"/>
      <c r="ES59" s="186"/>
      <c r="ET59" s="186"/>
      <c r="EU59" s="186"/>
      <c r="EV59" s="186"/>
      <c r="EW59" s="186"/>
      <c r="EX59" s="186"/>
      <c r="EY59" s="186"/>
      <c r="EZ59" s="186"/>
      <c r="FA59" s="186"/>
      <c r="FB59" s="186"/>
      <c r="FC59" s="186"/>
      <c r="FD59" s="186"/>
      <c r="FE59" s="186"/>
      <c r="FF59" s="186"/>
      <c r="FG59" s="186"/>
      <c r="FH59" s="186"/>
      <c r="FI59" s="186"/>
      <c r="FJ59" s="186"/>
      <c r="FK59" s="186"/>
      <c r="FL59" s="186"/>
      <c r="FM59" s="186"/>
      <c r="FN59" s="186"/>
      <c r="FO59" s="186"/>
      <c r="FP59" s="186"/>
      <c r="FQ59" s="186"/>
      <c r="FR59" s="186"/>
      <c r="FS59" s="186"/>
      <c r="FT59" s="186"/>
      <c r="FU59" s="186"/>
      <c r="FV59" s="186"/>
      <c r="FW59" s="186"/>
      <c r="FX59" s="186"/>
      <c r="FY59" s="186"/>
      <c r="FZ59" s="186"/>
      <c r="GA59" s="186"/>
      <c r="GB59" s="186"/>
      <c r="GC59" s="186"/>
      <c r="GD59" s="186"/>
      <c r="GE59" s="186"/>
      <c r="GF59" s="186"/>
      <c r="GG59" s="186"/>
      <c r="GH59" s="186"/>
      <c r="GI59" s="186"/>
      <c r="GJ59" s="186"/>
      <c r="GK59" s="186"/>
      <c r="GL59" s="186"/>
      <c r="GM59" s="186"/>
      <c r="GN59" s="186"/>
      <c r="GO59" s="186"/>
      <c r="GP59" s="186"/>
      <c r="GQ59" s="186"/>
      <c r="GR59" s="186"/>
      <c r="GS59" s="186"/>
      <c r="GT59" s="186"/>
      <c r="GU59" s="186"/>
      <c r="GV59" s="186"/>
      <c r="GW59" s="186"/>
      <c r="GX59" s="186"/>
      <c r="GY59" s="186"/>
      <c r="GZ59" s="186"/>
      <c r="HA59" s="186"/>
      <c r="HB59" s="186"/>
      <c r="HC59" s="186"/>
      <c r="HD59" s="186"/>
      <c r="HE59" s="186"/>
      <c r="HF59" s="186"/>
      <c r="HG59" s="186"/>
      <c r="HH59" s="186"/>
      <c r="HI59" s="186"/>
      <c r="HJ59" s="186"/>
      <c r="HK59" s="186"/>
      <c r="HL59" s="186"/>
      <c r="HM59" s="186"/>
      <c r="HN59" s="186"/>
      <c r="HO59" s="186"/>
      <c r="HP59" s="186"/>
      <c r="HQ59" s="186"/>
      <c r="HR59" s="186"/>
      <c r="HS59" s="186"/>
      <c r="HT59" s="186"/>
      <c r="HU59" s="186"/>
      <c r="HV59" s="186"/>
      <c r="HW59" s="186"/>
      <c r="HX59" s="186"/>
      <c r="HY59" s="186"/>
      <c r="HZ59" s="186"/>
      <c r="IA59" s="186"/>
      <c r="IB59" s="186"/>
      <c r="IC59" s="186"/>
      <c r="ID59" s="186"/>
      <c r="IE59" s="186"/>
      <c r="IF59" s="186"/>
      <c r="IG59" s="186"/>
      <c r="IH59" s="186"/>
      <c r="II59" s="186"/>
      <c r="IJ59" s="186"/>
      <c r="IK59" s="186"/>
      <c r="IL59" s="186"/>
      <c r="IM59" s="186"/>
      <c r="IN59" s="186"/>
      <c r="IO59" s="186"/>
      <c r="IP59" s="186"/>
      <c r="IQ59" s="186"/>
      <c r="IR59" s="186"/>
      <c r="IS59" s="186"/>
      <c r="IT59" s="186"/>
      <c r="IU59" s="186"/>
      <c r="IV59" s="186"/>
      <c r="IW59" s="186"/>
      <c r="IX59" s="186"/>
      <c r="IY59" s="186"/>
      <c r="IZ59" s="186"/>
      <c r="JA59" s="186"/>
      <c r="JB59" s="186"/>
      <c r="JC59" s="186"/>
      <c r="JD59" s="186"/>
      <c r="JE59" s="186"/>
      <c r="JF59" s="186"/>
      <c r="JG59" s="186"/>
      <c r="JH59" s="186"/>
      <c r="JI59" s="186"/>
      <c r="JJ59" s="186"/>
      <c r="JK59" s="186"/>
      <c r="JL59" s="186"/>
      <c r="JM59" s="186"/>
      <c r="JN59" s="186"/>
      <c r="JO59" s="186"/>
      <c r="JP59" s="186"/>
      <c r="JQ59" s="186"/>
      <c r="JR59" s="186"/>
      <c r="JS59" s="186"/>
      <c r="JT59" s="186"/>
      <c r="JU59" s="186"/>
      <c r="JV59" s="186"/>
      <c r="JW59" s="186"/>
      <c r="JX59" s="186"/>
      <c r="JY59" s="186"/>
      <c r="JZ59" s="186"/>
      <c r="KA59" s="186"/>
      <c r="KB59" s="186"/>
      <c r="KC59" s="186"/>
      <c r="KD59" s="186"/>
      <c r="KE59" s="186"/>
      <c r="KF59" s="186"/>
      <c r="KG59" s="186"/>
      <c r="KH59" s="186"/>
      <c r="KI59" s="186"/>
      <c r="KJ59" s="186"/>
      <c r="KK59" s="186"/>
      <c r="KL59" s="186"/>
      <c r="KM59" s="186"/>
      <c r="KN59" s="186"/>
      <c r="KO59" s="186"/>
      <c r="KP59" s="186"/>
      <c r="KQ59" s="186"/>
      <c r="KR59" s="186"/>
      <c r="KS59" s="186"/>
      <c r="KT59" s="186"/>
      <c r="KU59" s="186"/>
      <c r="KV59" s="186"/>
      <c r="KW59" s="186"/>
      <c r="KX59" s="186"/>
      <c r="KY59" s="186"/>
      <c r="KZ59" s="186"/>
      <c r="LA59" s="186"/>
      <c r="LB59" s="186"/>
      <c r="LC59" s="186"/>
      <c r="LD59" s="186"/>
      <c r="LE59" s="186"/>
      <c r="LF59" s="186"/>
      <c r="LG59" s="186"/>
      <c r="LH59" s="186"/>
      <c r="LI59" s="186"/>
      <c r="LJ59" s="186"/>
      <c r="LK59" s="186"/>
      <c r="LL59" s="186"/>
      <c r="LM59" s="186"/>
      <c r="LN59" s="186"/>
      <c r="LO59" s="186"/>
      <c r="LP59" s="186"/>
      <c r="LQ59" s="186"/>
      <c r="LR59" s="186"/>
      <c r="LS59" s="186"/>
      <c r="LT59" s="186"/>
      <c r="LU59" s="186"/>
      <c r="LV59" s="186"/>
      <c r="LW59" s="186"/>
      <c r="LX59" s="186"/>
      <c r="LY59" s="186"/>
      <c r="LZ59" s="186"/>
      <c r="MA59" s="186"/>
      <c r="MB59" s="186"/>
      <c r="MC59" s="186"/>
      <c r="MD59" s="186"/>
      <c r="ME59" s="186"/>
      <c r="MF59" s="186"/>
      <c r="MG59" s="186"/>
      <c r="MH59" s="186"/>
      <c r="MI59" s="186"/>
      <c r="MJ59" s="186"/>
      <c r="MK59" s="186"/>
      <c r="ML59" s="186"/>
      <c r="MM59" s="186"/>
      <c r="MN59" s="186"/>
      <c r="MO59" s="186"/>
      <c r="MP59" s="186"/>
      <c r="MQ59" s="186"/>
      <c r="MR59" s="186"/>
      <c r="MS59" s="186"/>
      <c r="MT59" s="186"/>
      <c r="MU59" s="186"/>
      <c r="MV59" s="186"/>
      <c r="MW59" s="186"/>
      <c r="MX59" s="186"/>
      <c r="MY59" s="186"/>
      <c r="MZ59" s="186"/>
      <c r="NA59" s="186"/>
      <c r="NB59" s="186"/>
      <c r="NC59" s="186"/>
      <c r="ND59" s="186"/>
      <c r="NE59" s="186"/>
      <c r="NF59" s="186"/>
      <c r="NG59" s="186"/>
      <c r="NH59" s="186"/>
      <c r="NI59" s="186"/>
      <c r="NJ59" s="186"/>
      <c r="NK59" s="186"/>
      <c r="NL59" s="186"/>
      <c r="NM59" s="186"/>
      <c r="NN59" s="186"/>
      <c r="NO59" s="186"/>
      <c r="NP59" s="186"/>
      <c r="NQ59" s="186"/>
      <c r="NR59" s="186"/>
      <c r="NS59" s="186"/>
      <c r="NT59" s="186"/>
      <c r="NU59" s="186"/>
      <c r="NV59" s="186"/>
      <c r="NW59" s="186"/>
      <c r="NX59" s="186"/>
      <c r="NY59" s="186"/>
      <c r="NZ59" s="186"/>
      <c r="OA59" s="186"/>
      <c r="OB59" s="186"/>
      <c r="OC59" s="186"/>
      <c r="OD59" s="186"/>
      <c r="OE59" s="186"/>
      <c r="OF59" s="186"/>
      <c r="OG59" s="186"/>
      <c r="OH59" s="186"/>
      <c r="OI59" s="186"/>
      <c r="OJ59" s="186"/>
      <c r="OK59" s="186"/>
      <c r="OL59" s="186"/>
      <c r="OM59" s="186"/>
      <c r="ON59" s="186"/>
      <c r="OO59" s="186"/>
      <c r="OP59" s="186"/>
      <c r="OQ59" s="186"/>
      <c r="OR59" s="186"/>
      <c r="OS59" s="186"/>
      <c r="OT59" s="186"/>
      <c r="OU59" s="186"/>
      <c r="OV59" s="186"/>
      <c r="OW59" s="186"/>
      <c r="OX59" s="186"/>
      <c r="OY59" s="186"/>
      <c r="OZ59" s="186"/>
      <c r="PA59" s="186"/>
      <c r="PB59" s="186"/>
      <c r="PC59" s="186"/>
      <c r="PD59" s="186"/>
      <c r="PE59" s="186"/>
      <c r="PF59" s="186"/>
      <c r="PG59" s="186"/>
      <c r="PH59" s="186"/>
      <c r="PI59" s="186"/>
      <c r="PJ59" s="186"/>
      <c r="PK59" s="186"/>
      <c r="PL59" s="186"/>
      <c r="PM59" s="186"/>
      <c r="PN59" s="186"/>
      <c r="PO59" s="186"/>
      <c r="PP59" s="186"/>
      <c r="PQ59" s="186"/>
      <c r="PR59" s="186"/>
      <c r="PS59" s="186"/>
      <c r="PT59" s="186"/>
      <c r="PU59" s="186"/>
      <c r="PV59" s="186"/>
      <c r="PW59" s="186"/>
      <c r="PX59" s="186"/>
      <c r="PY59" s="186"/>
      <c r="PZ59" s="186"/>
      <c r="QA59" s="186"/>
      <c r="QB59" s="186"/>
      <c r="QC59" s="186"/>
      <c r="QD59" s="186"/>
      <c r="QE59" s="186"/>
      <c r="QF59" s="186"/>
      <c r="QG59" s="186"/>
      <c r="QH59" s="186"/>
      <c r="QI59" s="186"/>
      <c r="QJ59" s="186"/>
      <c r="QK59" s="186"/>
      <c r="QL59" s="186"/>
      <c r="QM59" s="186"/>
      <c r="QN59" s="186"/>
      <c r="QO59" s="186"/>
      <c r="QP59" s="186"/>
      <c r="QQ59" s="186"/>
      <c r="QR59" s="186"/>
      <c r="QS59" s="186"/>
      <c r="QT59" s="186"/>
      <c r="QU59" s="186"/>
      <c r="QV59" s="186"/>
      <c r="QW59" s="186"/>
      <c r="QX59" s="186"/>
      <c r="QY59" s="186"/>
      <c r="QZ59" s="186"/>
      <c r="RA59" s="186"/>
      <c r="RB59" s="186"/>
      <c r="RC59" s="186"/>
      <c r="RD59" s="186"/>
      <c r="RE59" s="186"/>
      <c r="RF59" s="186"/>
      <c r="RG59" s="186"/>
      <c r="RH59" s="186"/>
      <c r="RI59" s="186"/>
      <c r="RJ59" s="186"/>
      <c r="RK59" s="186"/>
      <c r="RL59" s="186"/>
      <c r="RM59" s="186"/>
      <c r="RN59" s="186"/>
      <c r="RO59" s="186"/>
      <c r="RP59" s="186"/>
      <c r="RQ59" s="186"/>
      <c r="RR59" s="186"/>
      <c r="RS59" s="186"/>
      <c r="RT59" s="186"/>
      <c r="RU59" s="186"/>
      <c r="RV59" s="186"/>
      <c r="RW59" s="186"/>
      <c r="RX59" s="186"/>
      <c r="RY59" s="186"/>
      <c r="RZ59" s="186"/>
      <c r="SA59" s="186"/>
      <c r="SB59" s="186"/>
      <c r="SC59" s="186"/>
      <c r="SD59" s="186"/>
      <c r="SE59" s="186"/>
      <c r="SF59" s="186"/>
      <c r="SG59" s="186"/>
      <c r="SH59" s="186"/>
      <c r="SI59" s="186"/>
      <c r="SJ59" s="186"/>
      <c r="SK59" s="186"/>
      <c r="SL59" s="186"/>
      <c r="SM59" s="186"/>
      <c r="SN59" s="186"/>
      <c r="SO59" s="186"/>
      <c r="SP59" s="186"/>
      <c r="SQ59" s="186"/>
      <c r="SR59" s="186"/>
      <c r="SS59" s="186"/>
      <c r="ST59" s="186"/>
      <c r="SU59" s="186"/>
      <c r="SV59" s="186"/>
      <c r="SW59" s="186"/>
      <c r="SX59" s="186"/>
      <c r="SY59" s="186"/>
      <c r="SZ59" s="186"/>
      <c r="TA59" s="186"/>
      <c r="TB59" s="186"/>
      <c r="TC59" s="186"/>
      <c r="TD59" s="186"/>
      <c r="TE59" s="186"/>
      <c r="TF59" s="186"/>
      <c r="TG59" s="186"/>
      <c r="TH59" s="186"/>
      <c r="TI59" s="186"/>
      <c r="TJ59" s="186"/>
      <c r="TK59" s="186"/>
      <c r="TL59" s="186"/>
      <c r="TM59" s="186"/>
      <c r="TN59" s="186"/>
      <c r="TO59" s="186"/>
      <c r="TP59" s="186"/>
      <c r="TQ59" s="186"/>
      <c r="TR59" s="186"/>
      <c r="TS59" s="186"/>
      <c r="TT59" s="186"/>
      <c r="TU59" s="186"/>
      <c r="TV59" s="186"/>
      <c r="TW59" s="186"/>
      <c r="TX59" s="186"/>
      <c r="TY59" s="186"/>
      <c r="TZ59" s="186"/>
      <c r="UA59" s="186"/>
      <c r="UB59" s="186"/>
      <c r="UC59" s="186"/>
      <c r="UD59" s="186"/>
      <c r="UE59" s="186"/>
      <c r="UF59" s="186"/>
      <c r="UG59" s="186"/>
      <c r="UH59" s="186"/>
      <c r="UI59" s="186"/>
      <c r="UJ59" s="186"/>
      <c r="UK59" s="186"/>
      <c r="UL59" s="186"/>
      <c r="UM59" s="186"/>
      <c r="UN59" s="186"/>
      <c r="UO59" s="186"/>
      <c r="UP59" s="186"/>
      <c r="UQ59" s="186"/>
      <c r="UR59" s="186"/>
      <c r="US59" s="186"/>
      <c r="UT59" s="186"/>
      <c r="UU59" s="186"/>
      <c r="UV59" s="186"/>
      <c r="UW59" s="186"/>
      <c r="UX59" s="186"/>
      <c r="UY59" s="186"/>
      <c r="UZ59" s="186"/>
      <c r="VA59" s="186"/>
      <c r="VB59" s="186"/>
      <c r="VC59" s="186"/>
      <c r="VD59" s="186"/>
      <c r="VE59" s="186"/>
      <c r="VF59" s="186"/>
      <c r="VG59" s="186"/>
      <c r="VH59" s="186"/>
      <c r="VI59" s="186"/>
      <c r="VJ59" s="186"/>
      <c r="VK59" s="186"/>
      <c r="VL59" s="186"/>
      <c r="VM59" s="186"/>
      <c r="VN59" s="186"/>
      <c r="VO59" s="186"/>
      <c r="VP59" s="186"/>
      <c r="VQ59" s="186"/>
      <c r="VR59" s="186"/>
      <c r="VS59" s="186"/>
      <c r="VT59" s="186"/>
      <c r="VU59" s="186"/>
      <c r="VV59" s="186"/>
      <c r="VW59" s="186"/>
      <c r="VX59" s="186"/>
      <c r="VY59" s="186"/>
      <c r="VZ59" s="186"/>
      <c r="WA59" s="186"/>
      <c r="WB59" s="186"/>
      <c r="WC59" s="186"/>
      <c r="WD59" s="186"/>
      <c r="WE59" s="186"/>
      <c r="WF59" s="186"/>
      <c r="WG59" s="186"/>
      <c r="WH59" s="186"/>
      <c r="WI59" s="186"/>
      <c r="WJ59" s="186"/>
      <c r="WK59" s="186"/>
      <c r="WL59" s="186"/>
      <c r="WM59" s="186"/>
      <c r="WN59" s="186"/>
      <c r="WO59" s="186"/>
      <c r="WP59" s="186"/>
      <c r="WQ59" s="186"/>
      <c r="WR59" s="186"/>
      <c r="WS59" s="186"/>
      <c r="WT59" s="186"/>
      <c r="WU59" s="186"/>
      <c r="WV59" s="186"/>
      <c r="WW59" s="186"/>
      <c r="WX59" s="186"/>
      <c r="WY59" s="186"/>
      <c r="WZ59" s="186"/>
      <c r="XA59" s="186"/>
      <c r="XB59" s="186"/>
      <c r="XC59" s="186"/>
      <c r="XD59" s="186"/>
      <c r="XE59" s="186"/>
      <c r="XF59" s="186"/>
      <c r="XG59" s="186"/>
      <c r="XH59" s="186"/>
      <c r="XI59" s="186"/>
      <c r="XJ59" s="186"/>
      <c r="XK59" s="186"/>
      <c r="XL59" s="186"/>
      <c r="XM59" s="186"/>
      <c r="XN59" s="186"/>
      <c r="XO59" s="186"/>
      <c r="XP59" s="186"/>
      <c r="XQ59" s="186"/>
      <c r="XR59" s="186"/>
      <c r="XS59" s="186"/>
      <c r="XT59" s="186"/>
      <c r="XU59" s="186"/>
      <c r="XV59" s="186"/>
      <c r="XW59" s="186"/>
      <c r="XX59" s="186"/>
      <c r="XY59" s="186"/>
      <c r="XZ59" s="186"/>
      <c r="YA59" s="186"/>
      <c r="YB59" s="186"/>
      <c r="YC59" s="186"/>
      <c r="YD59" s="186"/>
      <c r="YE59" s="186"/>
      <c r="YF59" s="186"/>
      <c r="YG59" s="186"/>
      <c r="YH59" s="186"/>
      <c r="YI59" s="186"/>
      <c r="YJ59" s="186"/>
      <c r="YK59" s="186"/>
      <c r="YL59" s="186"/>
      <c r="YM59" s="186"/>
      <c r="YN59" s="186"/>
      <c r="YO59" s="186"/>
      <c r="YP59" s="186"/>
      <c r="YQ59" s="186"/>
      <c r="YR59" s="186"/>
      <c r="YS59" s="186"/>
      <c r="YT59" s="186"/>
      <c r="YU59" s="186"/>
      <c r="YV59" s="186"/>
      <c r="YW59" s="186"/>
      <c r="YX59" s="186"/>
      <c r="YY59" s="186"/>
      <c r="YZ59" s="186"/>
      <c r="ZA59" s="186"/>
      <c r="ZB59" s="186"/>
      <c r="ZC59" s="186"/>
      <c r="ZD59" s="186"/>
      <c r="ZE59" s="186"/>
      <c r="ZF59" s="186"/>
      <c r="ZG59" s="186"/>
      <c r="ZH59" s="186"/>
      <c r="ZI59" s="186"/>
      <c r="ZJ59" s="186"/>
      <c r="ZK59" s="186"/>
      <c r="ZL59" s="186"/>
      <c r="ZM59" s="186"/>
      <c r="ZN59" s="186"/>
      <c r="ZO59" s="186"/>
      <c r="ZP59" s="186"/>
      <c r="ZQ59" s="186"/>
      <c r="ZR59" s="186"/>
      <c r="ZS59" s="186"/>
      <c r="ZT59" s="186"/>
      <c r="ZU59" s="186"/>
      <c r="ZV59" s="186"/>
      <c r="ZW59" s="186"/>
      <c r="ZX59" s="186"/>
      <c r="ZY59" s="186"/>
      <c r="ZZ59" s="186"/>
      <c r="AAA59" s="186"/>
      <c r="AAB59" s="186"/>
      <c r="AAC59" s="186"/>
      <c r="AAD59" s="186"/>
      <c r="AAE59" s="186"/>
      <c r="AAF59" s="186"/>
      <c r="AAG59" s="186"/>
      <c r="AAH59" s="186"/>
      <c r="AAI59" s="186"/>
      <c r="AAJ59" s="186"/>
      <c r="AAK59" s="186"/>
      <c r="AAL59" s="186"/>
      <c r="AAM59" s="186"/>
      <c r="AAN59" s="186"/>
      <c r="AAO59" s="186"/>
      <c r="AAP59" s="186"/>
      <c r="AAQ59" s="186"/>
      <c r="AAR59" s="186"/>
      <c r="AAS59" s="186"/>
      <c r="AAT59" s="186"/>
      <c r="AAU59" s="186"/>
      <c r="AAV59" s="186"/>
      <c r="AAW59" s="186"/>
      <c r="AAX59" s="186"/>
      <c r="AAY59" s="186"/>
      <c r="AAZ59" s="186"/>
      <c r="ABA59" s="186"/>
      <c r="ABB59" s="186"/>
      <c r="ABC59" s="186"/>
      <c r="ABD59" s="186"/>
      <c r="ABE59" s="186"/>
      <c r="ABF59" s="186"/>
      <c r="ABG59" s="186"/>
      <c r="ABH59" s="186"/>
      <c r="ABI59" s="186"/>
      <c r="ABJ59" s="186"/>
      <c r="ABK59" s="186"/>
      <c r="ABL59" s="186"/>
      <c r="ABM59" s="186"/>
      <c r="ABN59" s="186"/>
      <c r="ABO59" s="186"/>
      <c r="ABP59" s="186"/>
      <c r="ABQ59" s="186"/>
      <c r="ABR59" s="186"/>
      <c r="ABS59" s="186"/>
      <c r="ABT59" s="186"/>
      <c r="ABU59" s="186"/>
      <c r="ABV59" s="186"/>
      <c r="ABW59" s="186"/>
      <c r="ABX59" s="186"/>
      <c r="ABY59" s="186"/>
      <c r="ABZ59" s="186"/>
      <c r="ACA59" s="186"/>
      <c r="ACB59" s="186"/>
      <c r="ACC59" s="186"/>
      <c r="ACD59" s="186"/>
      <c r="ACE59" s="186"/>
      <c r="ACF59" s="186"/>
      <c r="ACG59" s="186"/>
      <c r="ACH59" s="186"/>
      <c r="ACI59" s="186"/>
      <c r="ACJ59" s="186"/>
      <c r="ACK59" s="186"/>
      <c r="ACL59" s="186"/>
      <c r="ACM59" s="186"/>
      <c r="ACN59" s="186"/>
      <c r="ACO59" s="186"/>
      <c r="ACP59" s="186"/>
      <c r="ACQ59" s="186"/>
      <c r="ACR59" s="186"/>
      <c r="ACS59" s="186"/>
      <c r="ACT59" s="186"/>
      <c r="ACU59" s="186"/>
      <c r="ACV59" s="186"/>
      <c r="ACW59" s="186"/>
      <c r="ACX59" s="186"/>
      <c r="ACY59" s="186"/>
      <c r="ACZ59" s="186"/>
      <c r="ADA59" s="186"/>
      <c r="ADB59" s="186"/>
      <c r="ADC59" s="186"/>
      <c r="ADD59" s="186"/>
      <c r="ADE59" s="186"/>
      <c r="ADF59" s="186"/>
      <c r="ADG59" s="186"/>
      <c r="ADH59" s="186"/>
      <c r="ADI59" s="186"/>
      <c r="ADJ59" s="186"/>
      <c r="ADK59" s="186"/>
      <c r="ADL59" s="186"/>
      <c r="ADM59" s="186"/>
      <c r="ADN59" s="186"/>
      <c r="ADO59" s="186"/>
      <c r="ADP59" s="186"/>
      <c r="ADQ59" s="186"/>
      <c r="ADR59" s="186"/>
      <c r="ADS59" s="186"/>
      <c r="ADT59" s="186"/>
      <c r="ADU59" s="186"/>
      <c r="ADV59" s="186"/>
      <c r="ADW59" s="186"/>
      <c r="ADX59" s="186"/>
      <c r="ADY59" s="186"/>
      <c r="ADZ59" s="186"/>
      <c r="AEA59" s="186"/>
      <c r="AEB59" s="186"/>
      <c r="AEC59" s="186"/>
      <c r="AED59" s="186"/>
      <c r="AEE59" s="186"/>
      <c r="AEF59" s="186"/>
      <c r="AEG59" s="186"/>
      <c r="AEH59" s="186"/>
      <c r="AEI59" s="186"/>
      <c r="AEJ59" s="186"/>
      <c r="AEK59" s="186"/>
      <c r="AEL59" s="186"/>
      <c r="AEM59" s="186"/>
      <c r="AEN59" s="186"/>
      <c r="AEO59" s="186"/>
      <c r="AEP59" s="186"/>
      <c r="AEQ59" s="186"/>
      <c r="AER59" s="186"/>
      <c r="AES59" s="186"/>
      <c r="AET59" s="186"/>
      <c r="AEU59" s="186"/>
      <c r="AEV59" s="186"/>
      <c r="AEW59" s="186"/>
      <c r="AEX59" s="186"/>
      <c r="AEY59" s="186"/>
      <c r="AEZ59" s="186"/>
      <c r="AFA59" s="186"/>
      <c r="AFB59" s="186"/>
      <c r="AFC59" s="186"/>
      <c r="AFD59" s="186"/>
      <c r="AFE59" s="186"/>
      <c r="AFF59" s="186"/>
      <c r="AFG59" s="186"/>
      <c r="AFH59" s="186"/>
      <c r="AFI59" s="186"/>
      <c r="AFJ59" s="186"/>
      <c r="AFK59" s="186"/>
      <c r="AFL59" s="186"/>
      <c r="AFM59" s="186"/>
      <c r="AFN59" s="186"/>
      <c r="AFO59" s="186"/>
      <c r="AFP59" s="186"/>
      <c r="AFQ59" s="186"/>
      <c r="AFR59" s="186"/>
      <c r="AFS59" s="186"/>
      <c r="AFT59" s="186"/>
      <c r="AFU59" s="186"/>
      <c r="AFV59" s="186"/>
      <c r="AFW59" s="186"/>
      <c r="AFX59" s="186"/>
      <c r="AFY59" s="186"/>
      <c r="AFZ59" s="186"/>
      <c r="AGA59" s="186"/>
      <c r="AGB59" s="186"/>
      <c r="AGC59" s="186"/>
      <c r="AGD59" s="186"/>
      <c r="AGE59" s="186"/>
      <c r="AGF59" s="186"/>
      <c r="AGG59" s="186"/>
      <c r="AGH59" s="186"/>
      <c r="AGI59" s="186"/>
      <c r="AGJ59" s="186"/>
      <c r="AGK59" s="186"/>
      <c r="AGL59" s="186"/>
      <c r="AGM59" s="186"/>
      <c r="AGN59" s="186"/>
      <c r="AGO59" s="186"/>
      <c r="AGP59" s="186"/>
      <c r="AGQ59" s="186"/>
      <c r="AGR59" s="186"/>
      <c r="AGS59" s="186"/>
      <c r="AGT59" s="186"/>
      <c r="AGU59" s="186"/>
      <c r="AGV59" s="186"/>
      <c r="AGW59" s="186"/>
      <c r="AGX59" s="186"/>
      <c r="AGY59" s="186"/>
      <c r="AGZ59" s="186"/>
      <c r="AHA59" s="186"/>
      <c r="AHB59" s="186"/>
      <c r="AHC59" s="186"/>
      <c r="AHD59" s="186"/>
      <c r="AHE59" s="186"/>
      <c r="AHF59" s="186"/>
      <c r="AHG59" s="186"/>
      <c r="AHH59" s="186"/>
      <c r="AHI59" s="186"/>
      <c r="AHJ59" s="186"/>
      <c r="AHK59" s="186"/>
      <c r="AHL59" s="186"/>
      <c r="AHM59" s="186"/>
      <c r="AHN59" s="186"/>
      <c r="AHO59" s="186"/>
      <c r="AHP59" s="186"/>
      <c r="AHQ59" s="186"/>
      <c r="AHR59" s="186"/>
      <c r="AHS59" s="186"/>
      <c r="AHT59" s="186"/>
      <c r="AHU59" s="186"/>
      <c r="AHV59" s="186"/>
      <c r="AHW59" s="186"/>
      <c r="AHX59" s="186"/>
      <c r="AHY59" s="186"/>
      <c r="AHZ59" s="186"/>
      <c r="AIA59" s="186"/>
      <c r="AIB59" s="186"/>
      <c r="AIC59" s="186"/>
      <c r="AID59" s="186"/>
      <c r="AIE59" s="186"/>
      <c r="AIF59" s="186"/>
      <c r="AIG59" s="186"/>
      <c r="AIH59" s="186"/>
      <c r="AII59" s="186"/>
      <c r="AIJ59" s="186"/>
      <c r="AIK59" s="186"/>
      <c r="AIL59" s="186"/>
      <c r="AIM59" s="186"/>
      <c r="AIN59" s="186"/>
      <c r="AIO59" s="186"/>
      <c r="AIP59" s="186"/>
      <c r="AIQ59" s="186"/>
      <c r="AIR59" s="186"/>
      <c r="AIS59" s="186"/>
      <c r="AIT59" s="186"/>
      <c r="AIU59" s="186"/>
      <c r="AIV59" s="186"/>
      <c r="AIW59" s="186"/>
      <c r="AIX59" s="186"/>
      <c r="AIY59" s="186"/>
      <c r="AIZ59" s="186"/>
      <c r="AJA59" s="186"/>
      <c r="AJB59" s="186"/>
      <c r="AJC59" s="186"/>
      <c r="AJD59" s="186"/>
      <c r="AJE59" s="186"/>
      <c r="AJF59" s="186"/>
      <c r="AJG59" s="186"/>
      <c r="AJH59" s="186"/>
      <c r="AJI59" s="186"/>
      <c r="AJJ59" s="186"/>
      <c r="AJK59" s="186"/>
      <c r="AJL59" s="186"/>
      <c r="AJM59" s="186"/>
      <c r="AJN59" s="186"/>
      <c r="AJO59" s="186"/>
      <c r="AJP59" s="186"/>
      <c r="AJQ59" s="186"/>
      <c r="AJR59" s="186"/>
      <c r="AJS59" s="186"/>
      <c r="AJT59" s="186"/>
      <c r="AJU59" s="186"/>
      <c r="AJV59" s="186"/>
      <c r="AJW59" s="186"/>
      <c r="AJX59" s="186"/>
      <c r="AJY59" s="186"/>
      <c r="AJZ59" s="186"/>
      <c r="AKA59" s="186"/>
      <c r="AKB59" s="186"/>
      <c r="AKC59" s="186"/>
      <c r="AKD59" s="186"/>
      <c r="AKE59" s="186"/>
      <c r="AKF59" s="186"/>
      <c r="AKG59" s="186"/>
      <c r="AKH59" s="186"/>
      <c r="AKI59" s="186"/>
      <c r="AKJ59" s="186"/>
      <c r="AKK59" s="186"/>
      <c r="AKL59" s="186"/>
      <c r="AKM59" s="186"/>
      <c r="AKN59" s="186"/>
      <c r="AKO59" s="186"/>
      <c r="AKP59" s="186"/>
      <c r="AKQ59" s="186"/>
      <c r="AKR59" s="186"/>
      <c r="AKS59" s="186"/>
      <c r="AKT59" s="186"/>
      <c r="AKU59" s="186"/>
      <c r="AKV59" s="186"/>
      <c r="AKW59" s="186"/>
      <c r="AKX59" s="186"/>
      <c r="AKY59" s="186"/>
      <c r="AKZ59" s="186"/>
      <c r="ALA59" s="186"/>
      <c r="ALB59" s="186"/>
      <c r="ALC59" s="186"/>
      <c r="ALD59" s="186"/>
      <c r="ALE59" s="186"/>
      <c r="ALF59" s="186"/>
      <c r="ALG59" s="186"/>
      <c r="ALH59" s="186"/>
      <c r="ALI59" s="186"/>
      <c r="ALJ59" s="186"/>
      <c r="ALK59" s="186"/>
      <c r="ALL59" s="186"/>
      <c r="ALM59" s="186"/>
      <c r="ALN59" s="186"/>
      <c r="ALO59" s="186"/>
      <c r="ALP59" s="186"/>
      <c r="ALQ59" s="186"/>
      <c r="ALR59" s="186"/>
      <c r="ALS59" s="186"/>
      <c r="ALT59" s="186"/>
      <c r="ALU59" s="186"/>
      <c r="ALV59" s="186"/>
      <c r="ALW59" s="186"/>
      <c r="ALX59" s="186"/>
      <c r="ALY59" s="186"/>
      <c r="ALZ59" s="186"/>
      <c r="AMA59" s="186"/>
      <c r="AMB59" s="186"/>
      <c r="AMC59" s="186"/>
      <c r="AMD59" s="186"/>
      <c r="AME59" s="186"/>
      <c r="AMF59" s="186"/>
      <c r="AMG59" s="186"/>
      <c r="AMH59" s="186"/>
      <c r="AMI59" s="186"/>
      <c r="AMJ59" s="186"/>
      <c r="AMK59" s="186"/>
      <c r="AML59" s="186"/>
      <c r="AMM59" s="186"/>
      <c r="AMN59" s="186"/>
      <c r="AMO59" s="186"/>
      <c r="AMP59" s="186"/>
      <c r="AMQ59" s="186"/>
      <c r="AMR59" s="186"/>
      <c r="AMS59" s="186"/>
      <c r="AMT59" s="186"/>
      <c r="AMU59" s="186"/>
      <c r="AMV59" s="186"/>
      <c r="AMW59" s="186"/>
      <c r="AMX59" s="186"/>
      <c r="AMY59" s="186"/>
      <c r="AMZ59" s="186"/>
      <c r="ANA59" s="186"/>
      <c r="ANB59" s="186"/>
      <c r="ANC59" s="186"/>
      <c r="AND59" s="186"/>
      <c r="ANE59" s="186"/>
      <c r="ANF59" s="186"/>
      <c r="ANG59" s="186"/>
      <c r="ANH59" s="186"/>
      <c r="ANI59" s="186"/>
      <c r="ANJ59" s="186"/>
      <c r="ANK59" s="186"/>
      <c r="ANL59" s="186"/>
      <c r="ANM59" s="186"/>
      <c r="ANN59" s="186"/>
      <c r="ANO59" s="186"/>
      <c r="ANP59" s="186"/>
      <c r="ANQ59" s="186"/>
      <c r="ANR59" s="186"/>
      <c r="ANS59" s="186"/>
      <c r="ANT59" s="186"/>
      <c r="ANU59" s="186"/>
      <c r="ANV59" s="186"/>
      <c r="ANW59" s="186"/>
      <c r="ANX59" s="186"/>
      <c r="ANY59" s="186"/>
      <c r="ANZ59" s="186"/>
      <c r="AOA59" s="186"/>
      <c r="AOB59" s="186"/>
      <c r="AOC59" s="186"/>
      <c r="AOD59" s="186"/>
      <c r="AOE59" s="186"/>
      <c r="AOF59" s="186"/>
      <c r="AOG59" s="186"/>
      <c r="AOH59" s="186"/>
      <c r="AOI59" s="186"/>
      <c r="AOJ59" s="186"/>
      <c r="AOK59" s="186"/>
      <c r="AOL59" s="186"/>
      <c r="AOM59" s="186"/>
      <c r="AON59" s="186"/>
      <c r="AOO59" s="186"/>
      <c r="AOP59" s="186"/>
      <c r="AOQ59" s="186"/>
      <c r="AOR59" s="186"/>
      <c r="AOS59" s="186"/>
      <c r="AOT59" s="186"/>
      <c r="AOU59" s="186"/>
      <c r="AOV59" s="186"/>
      <c r="AOW59" s="186"/>
      <c r="AOX59" s="186"/>
      <c r="AOY59" s="186"/>
      <c r="AOZ59" s="186"/>
      <c r="APA59" s="186"/>
      <c r="APB59" s="186"/>
      <c r="APC59" s="186"/>
      <c r="APD59" s="186"/>
      <c r="APE59" s="186"/>
      <c r="APF59" s="186"/>
      <c r="APG59" s="186"/>
      <c r="APH59" s="186"/>
      <c r="API59" s="186"/>
      <c r="APJ59" s="186"/>
      <c r="APK59" s="186"/>
      <c r="APL59" s="186"/>
      <c r="APM59" s="186"/>
      <c r="APN59" s="186"/>
      <c r="APO59" s="186"/>
      <c r="APP59" s="186"/>
      <c r="APQ59" s="186"/>
      <c r="APR59" s="186"/>
      <c r="APS59" s="186"/>
      <c r="APT59" s="186"/>
      <c r="APU59" s="186"/>
      <c r="APV59" s="186"/>
      <c r="APW59" s="186"/>
      <c r="APX59" s="186"/>
      <c r="APY59" s="186"/>
      <c r="APZ59" s="186"/>
      <c r="AQA59" s="186"/>
      <c r="AQB59" s="186"/>
      <c r="AQC59" s="186"/>
      <c r="AQD59" s="186"/>
      <c r="AQE59" s="186"/>
      <c r="AQF59" s="186"/>
      <c r="AQG59" s="186"/>
      <c r="AQH59" s="186"/>
      <c r="AQI59" s="186"/>
      <c r="AQJ59" s="186"/>
      <c r="AQK59" s="186"/>
      <c r="AQL59" s="186"/>
      <c r="AQM59" s="186"/>
      <c r="AQN59" s="186"/>
      <c r="AQO59" s="186"/>
      <c r="AQP59" s="186"/>
      <c r="AQQ59" s="186"/>
      <c r="AQR59" s="186"/>
      <c r="AQS59" s="186"/>
      <c r="AQT59" s="186"/>
      <c r="AQU59" s="186"/>
      <c r="AQV59" s="186"/>
      <c r="AQW59" s="186"/>
      <c r="AQX59" s="186"/>
      <c r="AQY59" s="186"/>
      <c r="AQZ59" s="186"/>
      <c r="ARA59" s="186"/>
      <c r="ARB59" s="186"/>
      <c r="ARC59" s="186"/>
      <c r="ARD59" s="186"/>
      <c r="ARE59" s="186"/>
      <c r="ARF59" s="186"/>
      <c r="ARG59" s="186"/>
      <c r="ARH59" s="186"/>
      <c r="ARI59" s="186"/>
      <c r="ARJ59" s="186"/>
      <c r="ARK59" s="186"/>
      <c r="ARL59" s="186"/>
      <c r="ARM59" s="186"/>
      <c r="ARN59" s="186"/>
      <c r="ARO59" s="186"/>
      <c r="ARP59" s="186"/>
      <c r="ARQ59" s="186"/>
      <c r="ARR59" s="186"/>
      <c r="ARS59" s="186"/>
      <c r="ART59" s="186"/>
      <c r="ARU59" s="186"/>
      <c r="ARV59" s="186"/>
      <c r="ARW59" s="186"/>
      <c r="ARX59" s="186"/>
      <c r="ARY59" s="186"/>
      <c r="ARZ59" s="186"/>
      <c r="ASA59" s="186"/>
      <c r="ASB59" s="186"/>
      <c r="ASC59" s="186"/>
      <c r="ASD59" s="186"/>
      <c r="ASE59" s="186"/>
      <c r="ASF59" s="186"/>
      <c r="ASG59" s="186"/>
      <c r="ASH59" s="186"/>
      <c r="ASI59" s="186"/>
      <c r="ASJ59" s="186"/>
      <c r="ASK59" s="186"/>
      <c r="ASL59" s="186"/>
      <c r="ASM59" s="186"/>
      <c r="ASN59" s="186"/>
      <c r="ASO59" s="186"/>
      <c r="ASP59" s="186"/>
      <c r="ASQ59" s="186"/>
      <c r="ASR59" s="186"/>
      <c r="ASS59" s="186"/>
      <c r="AST59" s="186"/>
      <c r="ASU59" s="186"/>
      <c r="ASV59" s="186"/>
      <c r="ASW59" s="186"/>
      <c r="ASX59" s="186"/>
      <c r="ASY59" s="186"/>
      <c r="ASZ59" s="186"/>
      <c r="ATA59" s="186"/>
      <c r="ATB59" s="186"/>
      <c r="ATC59" s="186"/>
      <c r="ATD59" s="186"/>
      <c r="ATE59" s="186"/>
      <c r="ATF59" s="186"/>
      <c r="ATG59" s="186"/>
      <c r="ATH59" s="186"/>
      <c r="ATI59" s="186"/>
      <c r="ATJ59" s="186"/>
      <c r="ATK59" s="186"/>
      <c r="ATL59" s="186"/>
      <c r="ATM59" s="186"/>
      <c r="ATN59" s="186"/>
      <c r="ATO59" s="186"/>
      <c r="ATP59" s="186"/>
      <c r="ATQ59" s="186"/>
      <c r="ATR59" s="186"/>
      <c r="ATS59" s="186"/>
      <c r="ATT59" s="186"/>
      <c r="ATU59" s="186"/>
      <c r="ATV59" s="186"/>
      <c r="ATW59" s="186"/>
      <c r="ATX59" s="186"/>
      <c r="ATY59" s="186"/>
      <c r="ATZ59" s="186"/>
      <c r="AUA59" s="186"/>
      <c r="AUB59" s="186"/>
      <c r="AUC59" s="186"/>
      <c r="AUD59" s="204"/>
      <c r="AUE59" s="186"/>
      <c r="AUF59" s="204"/>
      <c r="AUG59" s="204"/>
    </row>
    <row r="60" spans="1:1229" s="199" customFormat="1" ht="30.75" customHeight="1">
      <c r="A60" s="185">
        <v>52</v>
      </c>
      <c r="B60" s="56" t="s">
        <v>301</v>
      </c>
      <c r="C60" s="57" t="s">
        <v>102</v>
      </c>
      <c r="D60" s="58" t="s">
        <v>302</v>
      </c>
      <c r="E60" s="58" t="s">
        <v>149</v>
      </c>
      <c r="F60" s="58" t="s">
        <v>266</v>
      </c>
      <c r="G60" s="58" t="s">
        <v>106</v>
      </c>
      <c r="H60" s="58" t="s">
        <v>107</v>
      </c>
      <c r="I60" s="58" t="s">
        <v>97</v>
      </c>
      <c r="J60" s="57" t="s">
        <v>210</v>
      </c>
      <c r="K60" s="57" t="s">
        <v>143</v>
      </c>
      <c r="L60" s="57" t="s">
        <v>211</v>
      </c>
      <c r="M60" s="57" t="s">
        <v>212</v>
      </c>
      <c r="N60" s="57" t="s">
        <v>98</v>
      </c>
      <c r="O60" s="59">
        <v>45536</v>
      </c>
      <c r="P60" s="59">
        <v>45992</v>
      </c>
      <c r="Q60" s="60">
        <v>11061510.292035397</v>
      </c>
      <c r="R60" s="57" t="s">
        <v>89</v>
      </c>
      <c r="S60" s="61">
        <f t="shared" si="3"/>
        <v>1202633.5047561028</v>
      </c>
      <c r="T60" s="173" t="e">
        <f>S60/#REF!</f>
        <v>#REF!</v>
      </c>
      <c r="U60" s="98">
        <v>0.24</v>
      </c>
      <c r="V60" s="373">
        <f t="shared" si="1"/>
        <v>2.609336641392342E-2</v>
      </c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  <c r="BW60" s="186"/>
      <c r="BX60" s="186"/>
      <c r="BY60" s="186"/>
      <c r="BZ60" s="186"/>
      <c r="CA60" s="186"/>
      <c r="CB60" s="186"/>
      <c r="CC60" s="186"/>
      <c r="CD60" s="186"/>
      <c r="CE60" s="186"/>
      <c r="CF60" s="186"/>
      <c r="CG60" s="186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86"/>
      <c r="CT60" s="186"/>
      <c r="CU60" s="186"/>
      <c r="CV60" s="186"/>
      <c r="CW60" s="186"/>
      <c r="CX60" s="186"/>
      <c r="CY60" s="186"/>
      <c r="CZ60" s="186"/>
      <c r="DA60" s="186"/>
      <c r="DB60" s="186"/>
      <c r="DC60" s="186"/>
      <c r="DD60" s="186"/>
      <c r="DE60" s="186"/>
      <c r="DF60" s="186"/>
      <c r="DG60" s="186"/>
      <c r="DH60" s="186"/>
      <c r="DI60" s="186"/>
      <c r="DJ60" s="186"/>
      <c r="DK60" s="186"/>
      <c r="DL60" s="186"/>
      <c r="DM60" s="186"/>
      <c r="DN60" s="186"/>
      <c r="DO60" s="186"/>
      <c r="DP60" s="186"/>
      <c r="DQ60" s="186"/>
      <c r="DR60" s="186"/>
      <c r="DS60" s="186"/>
      <c r="DT60" s="186"/>
      <c r="DU60" s="186"/>
      <c r="DV60" s="186"/>
      <c r="DW60" s="186"/>
      <c r="DX60" s="186"/>
      <c r="DY60" s="186"/>
      <c r="DZ60" s="186"/>
      <c r="EA60" s="186"/>
      <c r="EB60" s="186"/>
      <c r="EC60" s="186"/>
      <c r="ED60" s="186"/>
      <c r="EE60" s="186"/>
      <c r="EF60" s="186"/>
      <c r="EG60" s="186"/>
      <c r="EH60" s="186"/>
      <c r="EI60" s="186"/>
      <c r="EJ60" s="186"/>
      <c r="EK60" s="186"/>
      <c r="EL60" s="186"/>
      <c r="EM60" s="186"/>
      <c r="EN60" s="186"/>
      <c r="EO60" s="186"/>
      <c r="EP60" s="186"/>
      <c r="EQ60" s="186"/>
      <c r="ER60" s="186"/>
      <c r="ES60" s="186"/>
      <c r="ET60" s="186"/>
      <c r="EU60" s="186"/>
      <c r="EV60" s="186"/>
      <c r="EW60" s="186"/>
      <c r="EX60" s="186"/>
      <c r="EY60" s="186"/>
      <c r="EZ60" s="186"/>
      <c r="FA60" s="186"/>
      <c r="FB60" s="186"/>
      <c r="FC60" s="186"/>
      <c r="FD60" s="186"/>
      <c r="FE60" s="186"/>
      <c r="FF60" s="186"/>
      <c r="FG60" s="186"/>
      <c r="FH60" s="186"/>
      <c r="FI60" s="186"/>
      <c r="FJ60" s="186"/>
      <c r="FK60" s="186"/>
      <c r="FL60" s="186"/>
      <c r="FM60" s="186"/>
      <c r="FN60" s="186"/>
      <c r="FO60" s="186"/>
      <c r="FP60" s="186"/>
      <c r="FQ60" s="186"/>
      <c r="FR60" s="186"/>
      <c r="FS60" s="186"/>
      <c r="FT60" s="186"/>
      <c r="FU60" s="186"/>
      <c r="FV60" s="186"/>
      <c r="FW60" s="186"/>
      <c r="FX60" s="186"/>
      <c r="FY60" s="186"/>
      <c r="FZ60" s="186"/>
      <c r="GA60" s="186"/>
      <c r="GB60" s="186"/>
      <c r="GC60" s="186"/>
      <c r="GD60" s="186"/>
      <c r="GE60" s="186"/>
      <c r="GF60" s="186"/>
      <c r="GG60" s="186"/>
      <c r="GH60" s="186"/>
      <c r="GI60" s="186"/>
      <c r="GJ60" s="186"/>
      <c r="GK60" s="186"/>
      <c r="GL60" s="186"/>
      <c r="GM60" s="186"/>
      <c r="GN60" s="186"/>
      <c r="GO60" s="186"/>
      <c r="GP60" s="186"/>
      <c r="GQ60" s="186"/>
      <c r="GR60" s="186"/>
      <c r="GS60" s="186"/>
      <c r="GT60" s="186"/>
      <c r="GU60" s="186"/>
      <c r="GV60" s="186"/>
      <c r="GW60" s="186"/>
      <c r="GX60" s="186"/>
      <c r="GY60" s="186"/>
      <c r="GZ60" s="186"/>
      <c r="HA60" s="186"/>
      <c r="HB60" s="186"/>
      <c r="HC60" s="186"/>
      <c r="HD60" s="186"/>
      <c r="HE60" s="186"/>
      <c r="HF60" s="186"/>
      <c r="HG60" s="186"/>
      <c r="HH60" s="186"/>
      <c r="HI60" s="186"/>
      <c r="HJ60" s="186"/>
      <c r="HK60" s="186"/>
      <c r="HL60" s="186"/>
      <c r="HM60" s="186"/>
      <c r="HN60" s="186"/>
      <c r="HO60" s="186"/>
      <c r="HP60" s="186"/>
      <c r="HQ60" s="186"/>
      <c r="HR60" s="186"/>
      <c r="HS60" s="186"/>
      <c r="HT60" s="186"/>
      <c r="HU60" s="186"/>
      <c r="HV60" s="186"/>
      <c r="HW60" s="186"/>
      <c r="HX60" s="186"/>
      <c r="HY60" s="186"/>
      <c r="HZ60" s="186"/>
      <c r="IA60" s="186"/>
      <c r="IB60" s="186"/>
      <c r="IC60" s="186"/>
      <c r="ID60" s="186"/>
      <c r="IE60" s="186"/>
      <c r="IF60" s="186"/>
      <c r="IG60" s="186"/>
      <c r="IH60" s="186"/>
      <c r="II60" s="186"/>
      <c r="IJ60" s="186"/>
      <c r="IK60" s="186"/>
      <c r="IL60" s="186"/>
      <c r="IM60" s="186"/>
      <c r="IN60" s="186"/>
      <c r="IO60" s="186"/>
      <c r="IP60" s="186"/>
      <c r="IQ60" s="186"/>
      <c r="IR60" s="186"/>
      <c r="IS60" s="186"/>
      <c r="IT60" s="186"/>
      <c r="IU60" s="186"/>
      <c r="IV60" s="186"/>
      <c r="IW60" s="186"/>
      <c r="IX60" s="186"/>
      <c r="IY60" s="186"/>
      <c r="IZ60" s="186"/>
      <c r="JA60" s="186"/>
      <c r="JB60" s="186"/>
      <c r="JC60" s="186"/>
      <c r="JD60" s="186"/>
      <c r="JE60" s="186"/>
      <c r="JF60" s="186"/>
      <c r="JG60" s="186"/>
      <c r="JH60" s="186"/>
      <c r="JI60" s="186"/>
      <c r="JJ60" s="186"/>
      <c r="JK60" s="186"/>
      <c r="JL60" s="186"/>
      <c r="JM60" s="186"/>
      <c r="JN60" s="186"/>
      <c r="JO60" s="186"/>
      <c r="JP60" s="186"/>
      <c r="JQ60" s="186"/>
      <c r="JR60" s="186"/>
      <c r="JS60" s="186"/>
      <c r="JT60" s="186"/>
      <c r="JU60" s="186"/>
      <c r="JV60" s="186"/>
      <c r="JW60" s="186"/>
      <c r="JX60" s="186"/>
      <c r="JY60" s="186"/>
      <c r="JZ60" s="186"/>
      <c r="KA60" s="186"/>
      <c r="KB60" s="186"/>
      <c r="KC60" s="186"/>
      <c r="KD60" s="186"/>
      <c r="KE60" s="186"/>
      <c r="KF60" s="186"/>
      <c r="KG60" s="186"/>
      <c r="KH60" s="186"/>
      <c r="KI60" s="186"/>
      <c r="KJ60" s="186"/>
      <c r="KK60" s="186"/>
      <c r="KL60" s="186"/>
      <c r="KM60" s="186"/>
      <c r="KN60" s="186"/>
      <c r="KO60" s="186"/>
      <c r="KP60" s="186"/>
      <c r="KQ60" s="186"/>
      <c r="KR60" s="186"/>
      <c r="KS60" s="186"/>
      <c r="KT60" s="186"/>
      <c r="KU60" s="186"/>
      <c r="KV60" s="186"/>
      <c r="KW60" s="186"/>
      <c r="KX60" s="186"/>
      <c r="KY60" s="186"/>
      <c r="KZ60" s="186"/>
      <c r="LA60" s="186"/>
      <c r="LB60" s="186"/>
      <c r="LC60" s="186"/>
      <c r="LD60" s="186"/>
      <c r="LE60" s="186"/>
      <c r="LF60" s="186"/>
      <c r="LG60" s="186"/>
      <c r="LH60" s="186"/>
      <c r="LI60" s="186"/>
      <c r="LJ60" s="186"/>
      <c r="LK60" s="186"/>
      <c r="LL60" s="186"/>
      <c r="LM60" s="186"/>
      <c r="LN60" s="186"/>
      <c r="LO60" s="186"/>
      <c r="LP60" s="186"/>
      <c r="LQ60" s="186"/>
      <c r="LR60" s="186"/>
      <c r="LS60" s="186"/>
      <c r="LT60" s="186"/>
      <c r="LU60" s="186"/>
      <c r="LV60" s="186"/>
      <c r="LW60" s="186"/>
      <c r="LX60" s="186"/>
      <c r="LY60" s="186"/>
      <c r="LZ60" s="186"/>
      <c r="MA60" s="186"/>
      <c r="MB60" s="186"/>
      <c r="MC60" s="186"/>
      <c r="MD60" s="186"/>
      <c r="ME60" s="186"/>
      <c r="MF60" s="186"/>
      <c r="MG60" s="186"/>
      <c r="MH60" s="186"/>
      <c r="MI60" s="186"/>
      <c r="MJ60" s="186"/>
      <c r="MK60" s="186"/>
      <c r="ML60" s="186"/>
      <c r="MM60" s="186"/>
      <c r="MN60" s="186"/>
      <c r="MO60" s="186"/>
      <c r="MP60" s="186"/>
      <c r="MQ60" s="186"/>
      <c r="MR60" s="186"/>
      <c r="MS60" s="186"/>
      <c r="MT60" s="186"/>
      <c r="MU60" s="186"/>
      <c r="MV60" s="186"/>
      <c r="MW60" s="186"/>
      <c r="MX60" s="186"/>
      <c r="MY60" s="186"/>
      <c r="MZ60" s="186"/>
      <c r="NA60" s="186"/>
      <c r="NB60" s="186"/>
      <c r="NC60" s="186"/>
      <c r="ND60" s="186"/>
      <c r="NE60" s="186"/>
      <c r="NF60" s="186"/>
      <c r="NG60" s="186"/>
      <c r="NH60" s="186"/>
      <c r="NI60" s="186"/>
      <c r="NJ60" s="186"/>
      <c r="NK60" s="186"/>
      <c r="NL60" s="186"/>
      <c r="NM60" s="186"/>
      <c r="NN60" s="186"/>
      <c r="NO60" s="186"/>
      <c r="NP60" s="186"/>
      <c r="NQ60" s="186"/>
      <c r="NR60" s="186"/>
      <c r="NS60" s="186"/>
      <c r="NT60" s="186"/>
      <c r="NU60" s="186"/>
      <c r="NV60" s="186"/>
      <c r="NW60" s="186"/>
      <c r="NX60" s="186"/>
      <c r="NY60" s="186"/>
      <c r="NZ60" s="186"/>
      <c r="OA60" s="186"/>
      <c r="OB60" s="186"/>
      <c r="OC60" s="186"/>
      <c r="OD60" s="186"/>
      <c r="OE60" s="186"/>
      <c r="OF60" s="186"/>
      <c r="OG60" s="186"/>
      <c r="OH60" s="186"/>
      <c r="OI60" s="186"/>
      <c r="OJ60" s="186"/>
      <c r="OK60" s="186"/>
      <c r="OL60" s="186"/>
      <c r="OM60" s="186"/>
      <c r="ON60" s="186"/>
      <c r="OO60" s="186"/>
      <c r="OP60" s="186"/>
      <c r="OQ60" s="186"/>
      <c r="OR60" s="186"/>
      <c r="OS60" s="186"/>
      <c r="OT60" s="186"/>
      <c r="OU60" s="186"/>
      <c r="OV60" s="186"/>
      <c r="OW60" s="186"/>
      <c r="OX60" s="186"/>
      <c r="OY60" s="186"/>
      <c r="OZ60" s="186"/>
      <c r="PA60" s="186"/>
      <c r="PB60" s="186"/>
      <c r="PC60" s="186"/>
      <c r="PD60" s="186"/>
      <c r="PE60" s="186"/>
      <c r="PF60" s="186"/>
      <c r="PG60" s="186"/>
      <c r="PH60" s="186"/>
      <c r="PI60" s="186"/>
      <c r="PJ60" s="186"/>
      <c r="PK60" s="186"/>
      <c r="PL60" s="186"/>
      <c r="PM60" s="186"/>
      <c r="PN60" s="186"/>
      <c r="PO60" s="186"/>
      <c r="PP60" s="186"/>
      <c r="PQ60" s="186"/>
      <c r="PR60" s="186"/>
      <c r="PS60" s="186"/>
      <c r="PT60" s="186"/>
      <c r="PU60" s="186"/>
      <c r="PV60" s="186"/>
      <c r="PW60" s="186"/>
      <c r="PX60" s="186"/>
      <c r="PY60" s="186"/>
      <c r="PZ60" s="186"/>
      <c r="QA60" s="186"/>
      <c r="QB60" s="186"/>
      <c r="QC60" s="186"/>
      <c r="QD60" s="186"/>
      <c r="QE60" s="186"/>
      <c r="QF60" s="186"/>
      <c r="QG60" s="186"/>
      <c r="QH60" s="186"/>
      <c r="QI60" s="186"/>
      <c r="QJ60" s="186"/>
      <c r="QK60" s="186"/>
      <c r="QL60" s="186"/>
      <c r="QM60" s="186"/>
      <c r="QN60" s="186"/>
      <c r="QO60" s="186"/>
      <c r="QP60" s="186"/>
      <c r="QQ60" s="186"/>
      <c r="QR60" s="186"/>
      <c r="QS60" s="186"/>
      <c r="QT60" s="186"/>
      <c r="QU60" s="186"/>
      <c r="QV60" s="186"/>
      <c r="QW60" s="186"/>
      <c r="QX60" s="186"/>
      <c r="QY60" s="186"/>
      <c r="QZ60" s="186"/>
      <c r="RA60" s="186"/>
      <c r="RB60" s="186"/>
      <c r="RC60" s="186"/>
      <c r="RD60" s="186"/>
      <c r="RE60" s="186"/>
      <c r="RF60" s="186"/>
      <c r="RG60" s="186"/>
      <c r="RH60" s="186"/>
      <c r="RI60" s="186"/>
      <c r="RJ60" s="186"/>
      <c r="RK60" s="186"/>
      <c r="RL60" s="186"/>
      <c r="RM60" s="186"/>
      <c r="RN60" s="186"/>
      <c r="RO60" s="186"/>
      <c r="RP60" s="186"/>
      <c r="RQ60" s="186"/>
      <c r="RR60" s="186"/>
      <c r="RS60" s="186"/>
      <c r="RT60" s="186"/>
      <c r="RU60" s="186"/>
      <c r="RV60" s="186"/>
      <c r="RW60" s="186"/>
      <c r="RX60" s="186"/>
      <c r="RY60" s="186"/>
      <c r="RZ60" s="186"/>
      <c r="SA60" s="186"/>
      <c r="SB60" s="186"/>
      <c r="SC60" s="186"/>
      <c r="SD60" s="186"/>
      <c r="SE60" s="186"/>
      <c r="SF60" s="186"/>
      <c r="SG60" s="186"/>
      <c r="SH60" s="186"/>
      <c r="SI60" s="186"/>
      <c r="SJ60" s="186"/>
      <c r="SK60" s="186"/>
      <c r="SL60" s="186"/>
      <c r="SM60" s="186"/>
      <c r="SN60" s="186"/>
      <c r="SO60" s="186"/>
      <c r="SP60" s="186"/>
      <c r="SQ60" s="186"/>
      <c r="SR60" s="186"/>
      <c r="SS60" s="186"/>
      <c r="ST60" s="186"/>
      <c r="SU60" s="186"/>
      <c r="SV60" s="186"/>
      <c r="SW60" s="186"/>
      <c r="SX60" s="186"/>
      <c r="SY60" s="186"/>
      <c r="SZ60" s="186"/>
      <c r="TA60" s="186"/>
      <c r="TB60" s="186"/>
      <c r="TC60" s="186"/>
      <c r="TD60" s="186"/>
      <c r="TE60" s="186"/>
      <c r="TF60" s="186"/>
      <c r="TG60" s="186"/>
      <c r="TH60" s="186"/>
      <c r="TI60" s="186"/>
      <c r="TJ60" s="186"/>
      <c r="TK60" s="186"/>
      <c r="TL60" s="186"/>
      <c r="TM60" s="186"/>
      <c r="TN60" s="186"/>
      <c r="TO60" s="186"/>
      <c r="TP60" s="186"/>
      <c r="TQ60" s="186"/>
      <c r="TR60" s="186"/>
      <c r="TS60" s="186"/>
      <c r="TT60" s="186"/>
      <c r="TU60" s="186"/>
      <c r="TV60" s="186"/>
      <c r="TW60" s="186"/>
      <c r="TX60" s="186"/>
      <c r="TY60" s="186"/>
      <c r="TZ60" s="186"/>
      <c r="UA60" s="186"/>
      <c r="UB60" s="186"/>
      <c r="UC60" s="186"/>
      <c r="UD60" s="186"/>
      <c r="UE60" s="186"/>
      <c r="UF60" s="186"/>
      <c r="UG60" s="186"/>
      <c r="UH60" s="186"/>
      <c r="UI60" s="186"/>
      <c r="UJ60" s="186"/>
      <c r="UK60" s="186"/>
      <c r="UL60" s="186"/>
      <c r="UM60" s="186"/>
      <c r="UN60" s="186"/>
      <c r="UO60" s="186"/>
      <c r="UP60" s="186"/>
      <c r="UQ60" s="186"/>
      <c r="UR60" s="186"/>
      <c r="US60" s="186"/>
      <c r="UT60" s="186"/>
      <c r="UU60" s="186"/>
      <c r="UV60" s="186"/>
      <c r="UW60" s="186"/>
      <c r="UX60" s="186"/>
      <c r="UY60" s="186"/>
      <c r="UZ60" s="186"/>
      <c r="VA60" s="186"/>
      <c r="VB60" s="186"/>
      <c r="VC60" s="186"/>
      <c r="VD60" s="186"/>
      <c r="VE60" s="186"/>
      <c r="VF60" s="186"/>
      <c r="VG60" s="186"/>
      <c r="VH60" s="186"/>
      <c r="VI60" s="186"/>
      <c r="VJ60" s="186"/>
      <c r="VK60" s="186"/>
      <c r="VL60" s="186"/>
      <c r="VM60" s="186"/>
      <c r="VN60" s="186"/>
      <c r="VO60" s="186"/>
      <c r="VP60" s="186"/>
      <c r="VQ60" s="186"/>
      <c r="VR60" s="186"/>
      <c r="VS60" s="186"/>
      <c r="VT60" s="186"/>
      <c r="VU60" s="186"/>
      <c r="VV60" s="186"/>
      <c r="VW60" s="186"/>
      <c r="VX60" s="186"/>
      <c r="VY60" s="186"/>
      <c r="VZ60" s="186"/>
      <c r="WA60" s="186"/>
      <c r="WB60" s="186"/>
      <c r="WC60" s="186"/>
      <c r="WD60" s="186"/>
      <c r="WE60" s="186"/>
      <c r="WF60" s="186"/>
      <c r="WG60" s="186"/>
      <c r="WH60" s="186"/>
      <c r="WI60" s="186"/>
      <c r="WJ60" s="186"/>
      <c r="WK60" s="186"/>
      <c r="WL60" s="186"/>
      <c r="WM60" s="186"/>
      <c r="WN60" s="186"/>
      <c r="WO60" s="186"/>
      <c r="WP60" s="186"/>
      <c r="WQ60" s="186"/>
      <c r="WR60" s="186"/>
      <c r="WS60" s="186"/>
      <c r="WT60" s="186"/>
      <c r="WU60" s="186"/>
      <c r="WV60" s="186"/>
      <c r="WW60" s="186"/>
      <c r="WX60" s="186"/>
      <c r="WY60" s="186"/>
      <c r="WZ60" s="186"/>
      <c r="XA60" s="186"/>
      <c r="XB60" s="186"/>
      <c r="XC60" s="186"/>
      <c r="XD60" s="186"/>
      <c r="XE60" s="186"/>
      <c r="XF60" s="186"/>
      <c r="XG60" s="186"/>
      <c r="XH60" s="186"/>
      <c r="XI60" s="186"/>
      <c r="XJ60" s="186"/>
      <c r="XK60" s="186"/>
      <c r="XL60" s="186"/>
      <c r="XM60" s="186"/>
      <c r="XN60" s="186"/>
      <c r="XO60" s="186"/>
      <c r="XP60" s="186"/>
      <c r="XQ60" s="186"/>
      <c r="XR60" s="186"/>
      <c r="XS60" s="186"/>
      <c r="XT60" s="186"/>
      <c r="XU60" s="186"/>
      <c r="XV60" s="186"/>
      <c r="XW60" s="186"/>
      <c r="XX60" s="186"/>
      <c r="XY60" s="186"/>
      <c r="XZ60" s="186"/>
      <c r="YA60" s="186"/>
      <c r="YB60" s="186"/>
      <c r="YC60" s="186"/>
      <c r="YD60" s="186"/>
      <c r="YE60" s="186"/>
      <c r="YF60" s="186"/>
      <c r="YG60" s="186"/>
      <c r="YH60" s="186"/>
      <c r="YI60" s="186"/>
      <c r="YJ60" s="186"/>
      <c r="YK60" s="186"/>
      <c r="YL60" s="186"/>
      <c r="YM60" s="186"/>
      <c r="YN60" s="186"/>
      <c r="YO60" s="186"/>
      <c r="YP60" s="186"/>
      <c r="YQ60" s="186"/>
      <c r="YR60" s="186"/>
      <c r="YS60" s="186"/>
      <c r="YT60" s="186"/>
      <c r="YU60" s="186"/>
      <c r="YV60" s="186"/>
      <c r="YW60" s="186"/>
      <c r="YX60" s="186"/>
      <c r="YY60" s="186"/>
      <c r="YZ60" s="186"/>
      <c r="ZA60" s="186"/>
      <c r="ZB60" s="186"/>
      <c r="ZC60" s="186"/>
      <c r="ZD60" s="186"/>
      <c r="ZE60" s="186"/>
      <c r="ZF60" s="186"/>
      <c r="ZG60" s="186"/>
      <c r="ZH60" s="186"/>
      <c r="ZI60" s="186"/>
      <c r="ZJ60" s="186"/>
      <c r="ZK60" s="186"/>
      <c r="ZL60" s="186"/>
      <c r="ZM60" s="186"/>
      <c r="ZN60" s="186"/>
      <c r="ZO60" s="186"/>
      <c r="ZP60" s="186"/>
      <c r="ZQ60" s="186"/>
      <c r="ZR60" s="186"/>
      <c r="ZS60" s="186"/>
      <c r="ZT60" s="186"/>
      <c r="ZU60" s="186"/>
      <c r="ZV60" s="186"/>
      <c r="ZW60" s="186"/>
      <c r="ZX60" s="186"/>
      <c r="ZY60" s="186"/>
      <c r="ZZ60" s="186"/>
      <c r="AAA60" s="186"/>
      <c r="AAB60" s="186"/>
      <c r="AAC60" s="186"/>
      <c r="AAD60" s="186"/>
      <c r="AAE60" s="186"/>
      <c r="AAF60" s="186"/>
      <c r="AAG60" s="186"/>
      <c r="AAH60" s="186"/>
      <c r="AAI60" s="186"/>
      <c r="AAJ60" s="186"/>
      <c r="AAK60" s="186"/>
      <c r="AAL60" s="186"/>
      <c r="AAM60" s="186"/>
      <c r="AAN60" s="186"/>
      <c r="AAO60" s="186"/>
      <c r="AAP60" s="186"/>
      <c r="AAQ60" s="186"/>
      <c r="AAR60" s="186"/>
      <c r="AAS60" s="186"/>
      <c r="AAT60" s="186"/>
      <c r="AAU60" s="186"/>
      <c r="AAV60" s="186"/>
      <c r="AAW60" s="186"/>
      <c r="AAX60" s="186"/>
      <c r="AAY60" s="186"/>
      <c r="AAZ60" s="186"/>
      <c r="ABA60" s="186"/>
      <c r="ABB60" s="186"/>
      <c r="ABC60" s="186"/>
      <c r="ABD60" s="186"/>
      <c r="ABE60" s="186"/>
      <c r="ABF60" s="186"/>
      <c r="ABG60" s="186"/>
      <c r="ABH60" s="186"/>
      <c r="ABI60" s="186"/>
      <c r="ABJ60" s="186"/>
      <c r="ABK60" s="186"/>
      <c r="ABL60" s="186"/>
      <c r="ABM60" s="186"/>
      <c r="ABN60" s="186"/>
      <c r="ABO60" s="186"/>
      <c r="ABP60" s="186"/>
      <c r="ABQ60" s="186"/>
      <c r="ABR60" s="186"/>
      <c r="ABS60" s="186"/>
      <c r="ABT60" s="186"/>
      <c r="ABU60" s="186"/>
      <c r="ABV60" s="186"/>
      <c r="ABW60" s="186"/>
      <c r="ABX60" s="186"/>
      <c r="ABY60" s="186"/>
      <c r="ABZ60" s="186"/>
      <c r="ACA60" s="186"/>
      <c r="ACB60" s="186"/>
      <c r="ACC60" s="186"/>
      <c r="ACD60" s="186"/>
      <c r="ACE60" s="186"/>
      <c r="ACF60" s="186"/>
      <c r="ACG60" s="186"/>
      <c r="ACH60" s="186"/>
      <c r="ACI60" s="186"/>
      <c r="ACJ60" s="186"/>
      <c r="ACK60" s="186"/>
      <c r="ACL60" s="186"/>
      <c r="ACM60" s="186"/>
      <c r="ACN60" s="186"/>
      <c r="ACO60" s="186"/>
      <c r="ACP60" s="186"/>
      <c r="ACQ60" s="186"/>
      <c r="ACR60" s="186"/>
      <c r="ACS60" s="186"/>
      <c r="ACT60" s="186"/>
      <c r="ACU60" s="186"/>
      <c r="ACV60" s="186"/>
      <c r="ACW60" s="186"/>
      <c r="ACX60" s="186"/>
      <c r="ACY60" s="186"/>
      <c r="ACZ60" s="186"/>
      <c r="ADA60" s="186"/>
      <c r="ADB60" s="186"/>
      <c r="ADC60" s="186"/>
      <c r="ADD60" s="186"/>
      <c r="ADE60" s="186"/>
      <c r="ADF60" s="186"/>
      <c r="ADG60" s="186"/>
      <c r="ADH60" s="186"/>
      <c r="ADI60" s="186"/>
      <c r="ADJ60" s="186"/>
      <c r="ADK60" s="186"/>
      <c r="ADL60" s="186"/>
      <c r="ADM60" s="186"/>
      <c r="ADN60" s="186"/>
      <c r="ADO60" s="186"/>
      <c r="ADP60" s="186"/>
      <c r="ADQ60" s="186"/>
      <c r="ADR60" s="186"/>
      <c r="ADS60" s="186"/>
      <c r="ADT60" s="186"/>
      <c r="ADU60" s="186"/>
      <c r="ADV60" s="186"/>
      <c r="ADW60" s="186"/>
      <c r="ADX60" s="186"/>
      <c r="ADY60" s="186"/>
      <c r="ADZ60" s="186"/>
      <c r="AEA60" s="186"/>
      <c r="AEB60" s="186"/>
      <c r="AEC60" s="186"/>
      <c r="AED60" s="186"/>
      <c r="AEE60" s="186"/>
      <c r="AEF60" s="186"/>
      <c r="AEG60" s="186"/>
      <c r="AEH60" s="186"/>
      <c r="AEI60" s="186"/>
      <c r="AEJ60" s="186"/>
      <c r="AEK60" s="186"/>
      <c r="AEL60" s="186"/>
      <c r="AEM60" s="186"/>
      <c r="AEN60" s="186"/>
      <c r="AEO60" s="186"/>
      <c r="AEP60" s="186"/>
      <c r="AEQ60" s="186"/>
      <c r="AER60" s="186"/>
      <c r="AES60" s="186"/>
      <c r="AET60" s="186"/>
      <c r="AEU60" s="186"/>
      <c r="AEV60" s="186"/>
      <c r="AEW60" s="186"/>
      <c r="AEX60" s="186"/>
      <c r="AEY60" s="186"/>
      <c r="AEZ60" s="186"/>
      <c r="AFA60" s="186"/>
      <c r="AFB60" s="186"/>
      <c r="AFC60" s="186"/>
      <c r="AFD60" s="186"/>
      <c r="AFE60" s="186"/>
      <c r="AFF60" s="186"/>
      <c r="AFG60" s="186"/>
      <c r="AFH60" s="186"/>
      <c r="AFI60" s="186"/>
      <c r="AFJ60" s="186"/>
      <c r="AFK60" s="186"/>
      <c r="AFL60" s="186"/>
      <c r="AFM60" s="186"/>
      <c r="AFN60" s="186"/>
      <c r="AFO60" s="186"/>
      <c r="AFP60" s="186"/>
      <c r="AFQ60" s="186"/>
      <c r="AFR60" s="186"/>
      <c r="AFS60" s="186"/>
      <c r="AFT60" s="186"/>
      <c r="AFU60" s="186"/>
      <c r="AFV60" s="186"/>
      <c r="AFW60" s="186"/>
      <c r="AFX60" s="186"/>
      <c r="AFY60" s="186"/>
      <c r="AFZ60" s="186"/>
      <c r="AGA60" s="186"/>
      <c r="AGB60" s="186"/>
      <c r="AGC60" s="186"/>
      <c r="AGD60" s="186"/>
      <c r="AGE60" s="186"/>
      <c r="AGF60" s="186"/>
      <c r="AGG60" s="186"/>
      <c r="AGH60" s="186"/>
      <c r="AGI60" s="186"/>
      <c r="AGJ60" s="186"/>
      <c r="AGK60" s="186"/>
      <c r="AGL60" s="186"/>
      <c r="AGM60" s="186"/>
      <c r="AGN60" s="186"/>
      <c r="AGO60" s="186"/>
      <c r="AGP60" s="186"/>
      <c r="AGQ60" s="186"/>
      <c r="AGR60" s="186"/>
      <c r="AGS60" s="186"/>
      <c r="AGT60" s="186"/>
      <c r="AGU60" s="186"/>
      <c r="AGV60" s="186"/>
      <c r="AGW60" s="186"/>
      <c r="AGX60" s="186"/>
      <c r="AGY60" s="186"/>
      <c r="AGZ60" s="186"/>
      <c r="AHA60" s="186"/>
      <c r="AHB60" s="186"/>
      <c r="AHC60" s="186"/>
      <c r="AHD60" s="186"/>
      <c r="AHE60" s="186"/>
      <c r="AHF60" s="186"/>
      <c r="AHG60" s="186"/>
      <c r="AHH60" s="186"/>
      <c r="AHI60" s="186"/>
      <c r="AHJ60" s="186"/>
      <c r="AHK60" s="186"/>
      <c r="AHL60" s="186"/>
      <c r="AHM60" s="186"/>
      <c r="AHN60" s="186"/>
      <c r="AHO60" s="186"/>
      <c r="AHP60" s="186"/>
      <c r="AHQ60" s="186"/>
      <c r="AHR60" s="186"/>
      <c r="AHS60" s="186"/>
      <c r="AHT60" s="186"/>
      <c r="AHU60" s="186"/>
      <c r="AHV60" s="186"/>
      <c r="AHW60" s="186"/>
      <c r="AHX60" s="186"/>
      <c r="AHY60" s="186"/>
      <c r="AHZ60" s="186"/>
      <c r="AIA60" s="186"/>
      <c r="AIB60" s="186"/>
      <c r="AIC60" s="186"/>
      <c r="AID60" s="186"/>
      <c r="AIE60" s="186"/>
      <c r="AIF60" s="186"/>
      <c r="AIG60" s="186"/>
      <c r="AIH60" s="186"/>
      <c r="AII60" s="186"/>
      <c r="AIJ60" s="186"/>
      <c r="AIK60" s="186"/>
      <c r="AIL60" s="186"/>
      <c r="AIM60" s="186"/>
      <c r="AIN60" s="186"/>
      <c r="AIO60" s="186"/>
      <c r="AIP60" s="186"/>
      <c r="AIQ60" s="186"/>
      <c r="AIR60" s="186"/>
      <c r="AIS60" s="186"/>
      <c r="AIT60" s="186"/>
      <c r="AIU60" s="186"/>
      <c r="AIV60" s="186"/>
      <c r="AIW60" s="186"/>
      <c r="AIX60" s="186"/>
      <c r="AIY60" s="186"/>
      <c r="AIZ60" s="186"/>
      <c r="AJA60" s="186"/>
      <c r="AJB60" s="186"/>
      <c r="AJC60" s="186"/>
      <c r="AJD60" s="186"/>
      <c r="AJE60" s="186"/>
      <c r="AJF60" s="186"/>
      <c r="AJG60" s="186"/>
      <c r="AJH60" s="186"/>
      <c r="AJI60" s="186"/>
      <c r="AJJ60" s="186"/>
      <c r="AJK60" s="186"/>
      <c r="AJL60" s="186"/>
      <c r="AJM60" s="186"/>
      <c r="AJN60" s="186"/>
      <c r="AJO60" s="186"/>
      <c r="AJP60" s="186"/>
      <c r="AJQ60" s="186"/>
      <c r="AJR60" s="186"/>
      <c r="AJS60" s="186"/>
      <c r="AJT60" s="186"/>
      <c r="AJU60" s="186"/>
      <c r="AJV60" s="186"/>
      <c r="AJW60" s="186"/>
      <c r="AJX60" s="186"/>
      <c r="AJY60" s="186"/>
      <c r="AJZ60" s="186"/>
      <c r="AKA60" s="186"/>
      <c r="AKB60" s="186"/>
      <c r="AKC60" s="186"/>
      <c r="AKD60" s="186"/>
      <c r="AKE60" s="186"/>
      <c r="AKF60" s="186"/>
      <c r="AKG60" s="186"/>
      <c r="AKH60" s="186"/>
      <c r="AKI60" s="186"/>
      <c r="AKJ60" s="186"/>
      <c r="AKK60" s="186"/>
      <c r="AKL60" s="186"/>
      <c r="AKM60" s="186"/>
      <c r="AKN60" s="186"/>
      <c r="AKO60" s="186"/>
      <c r="AKP60" s="186"/>
      <c r="AKQ60" s="186"/>
      <c r="AKR60" s="186"/>
      <c r="AKS60" s="186"/>
      <c r="AKT60" s="186"/>
      <c r="AKU60" s="186"/>
      <c r="AKV60" s="186"/>
      <c r="AKW60" s="186"/>
      <c r="AKX60" s="186"/>
      <c r="AKY60" s="186"/>
      <c r="AKZ60" s="186"/>
      <c r="ALA60" s="186"/>
      <c r="ALB60" s="186"/>
      <c r="ALC60" s="186"/>
      <c r="ALD60" s="186"/>
      <c r="ALE60" s="186"/>
      <c r="ALF60" s="186"/>
      <c r="ALG60" s="186"/>
      <c r="ALH60" s="186"/>
      <c r="ALI60" s="186"/>
      <c r="ALJ60" s="186"/>
      <c r="ALK60" s="186"/>
      <c r="ALL60" s="186"/>
      <c r="ALM60" s="186"/>
      <c r="ALN60" s="186"/>
      <c r="ALO60" s="186"/>
      <c r="ALP60" s="186"/>
      <c r="ALQ60" s="186"/>
      <c r="ALR60" s="186"/>
      <c r="ALS60" s="186"/>
      <c r="ALT60" s="186"/>
      <c r="ALU60" s="186"/>
      <c r="ALV60" s="186"/>
      <c r="ALW60" s="186"/>
      <c r="ALX60" s="186"/>
      <c r="ALY60" s="186"/>
      <c r="ALZ60" s="186"/>
      <c r="AMA60" s="186"/>
      <c r="AMB60" s="186"/>
      <c r="AMC60" s="186"/>
      <c r="AMD60" s="186"/>
      <c r="AME60" s="186"/>
      <c r="AMF60" s="186"/>
      <c r="AMG60" s="186"/>
      <c r="AMH60" s="186"/>
      <c r="AMI60" s="186"/>
      <c r="AMJ60" s="186"/>
      <c r="AMK60" s="186"/>
      <c r="AML60" s="186"/>
      <c r="AMM60" s="186"/>
      <c r="AMN60" s="186"/>
      <c r="AMO60" s="186"/>
      <c r="AMP60" s="186"/>
      <c r="AMQ60" s="186"/>
      <c r="AMR60" s="186"/>
      <c r="AMS60" s="186"/>
      <c r="AMT60" s="186"/>
      <c r="AMU60" s="186"/>
      <c r="AMV60" s="186"/>
      <c r="AMW60" s="186"/>
      <c r="AMX60" s="186"/>
      <c r="AMY60" s="186"/>
      <c r="AMZ60" s="186"/>
      <c r="ANA60" s="186"/>
      <c r="ANB60" s="186"/>
      <c r="ANC60" s="186"/>
      <c r="AND60" s="186"/>
      <c r="ANE60" s="186"/>
      <c r="ANF60" s="186"/>
      <c r="ANG60" s="186"/>
      <c r="ANH60" s="186"/>
      <c r="ANI60" s="186"/>
      <c r="ANJ60" s="186"/>
      <c r="ANK60" s="186"/>
      <c r="ANL60" s="186"/>
      <c r="ANM60" s="186"/>
      <c r="ANN60" s="186"/>
      <c r="ANO60" s="186"/>
      <c r="ANP60" s="186"/>
      <c r="ANQ60" s="186"/>
      <c r="ANR60" s="186"/>
      <c r="ANS60" s="186"/>
      <c r="ANT60" s="186"/>
      <c r="ANU60" s="186"/>
      <c r="ANV60" s="186"/>
      <c r="ANW60" s="186"/>
      <c r="ANX60" s="186"/>
      <c r="ANY60" s="186"/>
      <c r="ANZ60" s="186"/>
      <c r="AOA60" s="186"/>
      <c r="AOB60" s="186"/>
      <c r="AOC60" s="186"/>
      <c r="AOD60" s="186"/>
      <c r="AOE60" s="186"/>
      <c r="AOF60" s="186"/>
      <c r="AOG60" s="186"/>
      <c r="AOH60" s="186"/>
      <c r="AOI60" s="186"/>
      <c r="AOJ60" s="186"/>
      <c r="AOK60" s="186"/>
      <c r="AOL60" s="186"/>
      <c r="AOM60" s="186"/>
      <c r="AON60" s="186"/>
      <c r="AOO60" s="186"/>
      <c r="AOP60" s="186"/>
      <c r="AOQ60" s="186"/>
      <c r="AOR60" s="186"/>
      <c r="AOS60" s="186"/>
      <c r="AOT60" s="186"/>
      <c r="AOU60" s="186"/>
      <c r="AOV60" s="186"/>
      <c r="AOW60" s="186"/>
      <c r="AOX60" s="186"/>
      <c r="AOY60" s="186"/>
      <c r="AOZ60" s="186"/>
      <c r="APA60" s="186"/>
      <c r="APB60" s="186"/>
      <c r="APC60" s="186"/>
      <c r="APD60" s="186"/>
      <c r="APE60" s="186"/>
      <c r="APF60" s="186"/>
      <c r="APG60" s="186"/>
      <c r="APH60" s="186"/>
      <c r="API60" s="186"/>
      <c r="APJ60" s="186"/>
      <c r="APK60" s="186"/>
      <c r="APL60" s="186"/>
      <c r="APM60" s="186"/>
      <c r="APN60" s="186"/>
      <c r="APO60" s="186"/>
      <c r="APP60" s="186"/>
      <c r="APQ60" s="186"/>
      <c r="APR60" s="186"/>
      <c r="APS60" s="186"/>
      <c r="APT60" s="186"/>
      <c r="APU60" s="186"/>
      <c r="APV60" s="186"/>
      <c r="APW60" s="186"/>
      <c r="APX60" s="186"/>
      <c r="APY60" s="186"/>
      <c r="APZ60" s="186"/>
      <c r="AQA60" s="186"/>
      <c r="AQB60" s="186"/>
      <c r="AQC60" s="186"/>
      <c r="AQD60" s="186"/>
      <c r="AQE60" s="186"/>
      <c r="AQF60" s="186"/>
      <c r="AQG60" s="186"/>
      <c r="AQH60" s="186"/>
      <c r="AQI60" s="186"/>
      <c r="AQJ60" s="186"/>
      <c r="AQK60" s="186"/>
      <c r="AQL60" s="186"/>
      <c r="AQM60" s="186"/>
      <c r="AQN60" s="186"/>
      <c r="AQO60" s="186"/>
      <c r="AQP60" s="186"/>
      <c r="AQQ60" s="186"/>
      <c r="AQR60" s="186"/>
      <c r="AQS60" s="186"/>
      <c r="AQT60" s="186"/>
      <c r="AQU60" s="186"/>
      <c r="AQV60" s="186"/>
      <c r="AQW60" s="186"/>
      <c r="AQX60" s="186"/>
      <c r="AQY60" s="186"/>
      <c r="AQZ60" s="186"/>
      <c r="ARA60" s="186"/>
      <c r="ARB60" s="186"/>
      <c r="ARC60" s="186"/>
      <c r="ARD60" s="186"/>
      <c r="ARE60" s="186"/>
      <c r="ARF60" s="186"/>
      <c r="ARG60" s="186"/>
      <c r="ARH60" s="186"/>
      <c r="ARI60" s="186"/>
      <c r="ARJ60" s="186"/>
      <c r="ARK60" s="186"/>
      <c r="ARL60" s="186"/>
      <c r="ARM60" s="186"/>
      <c r="ARN60" s="186"/>
      <c r="ARO60" s="186"/>
      <c r="ARP60" s="186"/>
      <c r="ARQ60" s="186"/>
      <c r="ARR60" s="186"/>
      <c r="ARS60" s="186"/>
      <c r="ART60" s="186"/>
      <c r="ARU60" s="186"/>
      <c r="ARV60" s="186"/>
      <c r="ARW60" s="186"/>
      <c r="ARX60" s="186"/>
      <c r="ARY60" s="186"/>
      <c r="ARZ60" s="186"/>
      <c r="ASA60" s="186"/>
      <c r="ASB60" s="186"/>
      <c r="ASC60" s="186"/>
      <c r="ASD60" s="186"/>
      <c r="ASE60" s="186"/>
      <c r="ASF60" s="186"/>
      <c r="ASG60" s="186"/>
      <c r="ASH60" s="186"/>
      <c r="ASI60" s="186"/>
      <c r="ASJ60" s="186"/>
      <c r="ASK60" s="186"/>
      <c r="ASL60" s="186"/>
      <c r="ASM60" s="186"/>
      <c r="ASN60" s="186"/>
      <c r="ASO60" s="186"/>
      <c r="ASP60" s="186"/>
      <c r="ASQ60" s="186"/>
      <c r="ASR60" s="186"/>
      <c r="ASS60" s="186"/>
      <c r="AST60" s="186"/>
      <c r="ASU60" s="186"/>
      <c r="ASV60" s="186"/>
      <c r="ASW60" s="186"/>
      <c r="ASX60" s="186"/>
      <c r="ASY60" s="186"/>
      <c r="ASZ60" s="186"/>
      <c r="ATA60" s="186"/>
      <c r="ATB60" s="186"/>
      <c r="ATC60" s="186"/>
      <c r="ATD60" s="186"/>
      <c r="ATE60" s="186"/>
      <c r="ATF60" s="186"/>
      <c r="ATG60" s="186"/>
      <c r="ATH60" s="186"/>
      <c r="ATI60" s="186"/>
      <c r="ATJ60" s="186"/>
      <c r="ATK60" s="186"/>
      <c r="ATL60" s="186"/>
      <c r="ATM60" s="186"/>
      <c r="ATN60" s="186"/>
      <c r="ATO60" s="186"/>
      <c r="ATP60" s="186"/>
      <c r="ATQ60" s="186"/>
      <c r="ATR60" s="186"/>
      <c r="ATS60" s="186"/>
      <c r="ATT60" s="186"/>
      <c r="ATU60" s="186"/>
      <c r="ATV60" s="186"/>
      <c r="ATW60" s="186"/>
      <c r="ATX60" s="186"/>
      <c r="ATY60" s="186"/>
      <c r="ATZ60" s="186"/>
      <c r="AUA60" s="186"/>
      <c r="AUB60" s="186"/>
      <c r="AUC60" s="186"/>
      <c r="AUD60" s="204"/>
      <c r="AUE60" s="186"/>
      <c r="AUF60" s="204"/>
      <c r="AUG60" s="204"/>
    </row>
    <row r="61" spans="1:1229" s="147" customFormat="1" ht="30.75" customHeight="1">
      <c r="A61" s="55">
        <v>53</v>
      </c>
      <c r="B61" s="56" t="s">
        <v>304</v>
      </c>
      <c r="C61" s="57" t="s">
        <v>127</v>
      </c>
      <c r="D61" s="226" t="s">
        <v>305</v>
      </c>
      <c r="E61" s="58" t="s">
        <v>95</v>
      </c>
      <c r="F61" s="58" t="s">
        <v>209</v>
      </c>
      <c r="G61" s="226" t="s">
        <v>50</v>
      </c>
      <c r="H61" s="226" t="s">
        <v>50</v>
      </c>
      <c r="I61" s="226" t="s">
        <v>97</v>
      </c>
      <c r="J61" s="57" t="s">
        <v>210</v>
      </c>
      <c r="K61" s="57" t="s">
        <v>53</v>
      </c>
      <c r="L61" s="57" t="s">
        <v>211</v>
      </c>
      <c r="M61" s="57" t="s">
        <v>212</v>
      </c>
      <c r="N61" s="57" t="s">
        <v>98</v>
      </c>
      <c r="O61" s="59">
        <v>44986</v>
      </c>
      <c r="P61" s="59">
        <v>45627</v>
      </c>
      <c r="Q61" s="60">
        <v>16213779</v>
      </c>
      <c r="R61" s="57" t="s">
        <v>89</v>
      </c>
      <c r="S61" s="61">
        <f t="shared" si="3"/>
        <v>1762800.3183390703</v>
      </c>
      <c r="T61" s="62"/>
      <c r="U61" s="98"/>
      <c r="V61" s="373">
        <f t="shared" si="1"/>
        <v>0</v>
      </c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  <c r="GJ61" s="71"/>
      <c r="GK61" s="71"/>
      <c r="GL61" s="71"/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  <c r="HM61" s="71"/>
      <c r="HN61" s="71"/>
      <c r="HO61" s="71"/>
      <c r="HP61" s="71"/>
      <c r="HQ61" s="71"/>
      <c r="HR61" s="71"/>
      <c r="HS61" s="71"/>
      <c r="HT61" s="71"/>
      <c r="HU61" s="71"/>
      <c r="HV61" s="71"/>
      <c r="HW61" s="71"/>
      <c r="HX61" s="71"/>
      <c r="HY61" s="71"/>
      <c r="HZ61" s="71"/>
      <c r="IA61" s="71"/>
      <c r="IB61" s="71"/>
      <c r="IC61" s="71"/>
      <c r="ID61" s="71"/>
      <c r="IE61" s="71"/>
      <c r="IF61" s="71"/>
      <c r="IG61" s="71"/>
      <c r="IH61" s="71"/>
      <c r="II61" s="71"/>
      <c r="IJ61" s="71"/>
      <c r="IK61" s="71"/>
      <c r="IL61" s="71"/>
      <c r="IM61" s="71"/>
      <c r="IN61" s="71"/>
      <c r="IO61" s="71"/>
      <c r="IP61" s="71"/>
      <c r="IQ61" s="71"/>
      <c r="IR61" s="71"/>
      <c r="IS61" s="71"/>
      <c r="IT61" s="71"/>
      <c r="IU61" s="71"/>
      <c r="IV61" s="71"/>
      <c r="IW61" s="71"/>
      <c r="IX61" s="71"/>
      <c r="IY61" s="71"/>
      <c r="IZ61" s="71"/>
      <c r="JA61" s="71"/>
      <c r="JB61" s="71"/>
      <c r="JC61" s="71"/>
      <c r="JD61" s="71"/>
      <c r="JE61" s="71"/>
      <c r="JF61" s="71"/>
      <c r="JG61" s="71"/>
      <c r="JH61" s="71"/>
      <c r="JI61" s="71"/>
      <c r="JJ61" s="71"/>
      <c r="JK61" s="71"/>
      <c r="JL61" s="71"/>
      <c r="JM61" s="71"/>
      <c r="JN61" s="71"/>
      <c r="JO61" s="71"/>
      <c r="JP61" s="71"/>
      <c r="JQ61" s="71"/>
      <c r="JR61" s="71"/>
      <c r="JS61" s="71"/>
      <c r="JT61" s="71"/>
      <c r="JU61" s="71"/>
      <c r="JV61" s="71"/>
      <c r="JW61" s="71"/>
      <c r="JX61" s="71"/>
      <c r="JY61" s="71"/>
      <c r="JZ61" s="71"/>
      <c r="KA61" s="71"/>
      <c r="KB61" s="71"/>
      <c r="KC61" s="71"/>
      <c r="KD61" s="71"/>
      <c r="KE61" s="71"/>
      <c r="KF61" s="71"/>
      <c r="KG61" s="71"/>
      <c r="KH61" s="71"/>
      <c r="KI61" s="71"/>
      <c r="KJ61" s="71"/>
      <c r="KK61" s="71"/>
      <c r="KL61" s="71"/>
      <c r="KM61" s="71"/>
      <c r="KN61" s="71"/>
      <c r="KO61" s="71"/>
      <c r="KP61" s="71"/>
      <c r="KQ61" s="71"/>
      <c r="KR61" s="71"/>
      <c r="KS61" s="71"/>
      <c r="KT61" s="71"/>
      <c r="KU61" s="71"/>
      <c r="KV61" s="71"/>
      <c r="KW61" s="71"/>
      <c r="KX61" s="71"/>
      <c r="KY61" s="71"/>
      <c r="KZ61" s="71"/>
      <c r="LA61" s="71"/>
      <c r="LB61" s="71"/>
      <c r="LC61" s="71"/>
      <c r="LD61" s="71"/>
      <c r="LE61" s="71"/>
      <c r="LF61" s="71"/>
      <c r="LG61" s="71"/>
      <c r="LH61" s="71"/>
      <c r="LI61" s="71"/>
      <c r="LJ61" s="71"/>
      <c r="LK61" s="71"/>
      <c r="LL61" s="71"/>
      <c r="LM61" s="71"/>
      <c r="LN61" s="71"/>
      <c r="LO61" s="71"/>
      <c r="LP61" s="71"/>
      <c r="LQ61" s="71"/>
      <c r="LR61" s="71"/>
      <c r="LS61" s="71"/>
      <c r="LT61" s="71"/>
      <c r="LU61" s="71"/>
      <c r="LV61" s="71"/>
      <c r="LW61" s="71"/>
      <c r="LX61" s="71"/>
      <c r="LY61" s="71"/>
      <c r="LZ61" s="71"/>
      <c r="MA61" s="71"/>
      <c r="MB61" s="71"/>
      <c r="MC61" s="71"/>
      <c r="MD61" s="71"/>
      <c r="ME61" s="71"/>
      <c r="MF61" s="71"/>
      <c r="MG61" s="71"/>
      <c r="MH61" s="71"/>
      <c r="MI61" s="71"/>
      <c r="MJ61" s="71"/>
      <c r="MK61" s="71"/>
      <c r="ML61" s="71"/>
      <c r="MM61" s="71"/>
      <c r="MN61" s="71"/>
      <c r="MO61" s="71"/>
      <c r="MP61" s="71"/>
      <c r="MQ61" s="71"/>
      <c r="MR61" s="71"/>
      <c r="MS61" s="71"/>
      <c r="MT61" s="71"/>
      <c r="MU61" s="71"/>
      <c r="MV61" s="71"/>
      <c r="MW61" s="71"/>
      <c r="MX61" s="71"/>
      <c r="MY61" s="71"/>
      <c r="MZ61" s="71"/>
      <c r="NA61" s="71"/>
      <c r="NB61" s="71"/>
      <c r="NC61" s="71"/>
      <c r="ND61" s="71"/>
      <c r="NE61" s="71"/>
      <c r="NF61" s="71"/>
      <c r="NG61" s="71"/>
      <c r="NH61" s="71"/>
      <c r="NI61" s="71"/>
      <c r="NJ61" s="71"/>
      <c r="NK61" s="71"/>
      <c r="NL61" s="71"/>
      <c r="NM61" s="71"/>
      <c r="NN61" s="71"/>
      <c r="NO61" s="71"/>
      <c r="NP61" s="71"/>
      <c r="NQ61" s="71"/>
      <c r="NR61" s="71"/>
      <c r="NS61" s="71"/>
      <c r="NT61" s="71"/>
      <c r="NU61" s="71"/>
      <c r="NV61" s="71"/>
      <c r="NW61" s="71"/>
      <c r="NX61" s="71"/>
      <c r="NY61" s="71"/>
      <c r="NZ61" s="71"/>
      <c r="OA61" s="71"/>
      <c r="OB61" s="71"/>
      <c r="OC61" s="71"/>
      <c r="OD61" s="71"/>
      <c r="OE61" s="71"/>
      <c r="OF61" s="71"/>
      <c r="OG61" s="71"/>
      <c r="OH61" s="71"/>
      <c r="OI61" s="71"/>
      <c r="OJ61" s="71"/>
      <c r="OK61" s="71"/>
      <c r="OL61" s="71"/>
      <c r="OM61" s="71"/>
      <c r="ON61" s="71"/>
      <c r="OO61" s="71"/>
      <c r="OP61" s="71"/>
      <c r="OQ61" s="71"/>
      <c r="OR61" s="71"/>
      <c r="OS61" s="71"/>
      <c r="OT61" s="71"/>
      <c r="OU61" s="71"/>
      <c r="OV61" s="71"/>
      <c r="OW61" s="71"/>
      <c r="OX61" s="71"/>
      <c r="OY61" s="71"/>
      <c r="OZ61" s="71"/>
      <c r="PA61" s="71"/>
      <c r="PB61" s="71"/>
      <c r="PC61" s="71"/>
      <c r="PD61" s="71"/>
      <c r="PE61" s="71"/>
      <c r="PF61" s="71"/>
      <c r="PG61" s="71"/>
      <c r="PH61" s="71"/>
      <c r="PI61" s="71"/>
      <c r="PJ61" s="71"/>
      <c r="PK61" s="71"/>
      <c r="PL61" s="71"/>
      <c r="PM61" s="71"/>
      <c r="PN61" s="71"/>
      <c r="PO61" s="71"/>
      <c r="PP61" s="71"/>
      <c r="PQ61" s="71"/>
      <c r="PR61" s="71"/>
      <c r="PS61" s="71"/>
      <c r="PT61" s="71"/>
      <c r="PU61" s="71"/>
      <c r="PV61" s="71"/>
      <c r="PW61" s="71"/>
      <c r="PX61" s="71"/>
      <c r="PY61" s="71"/>
      <c r="PZ61" s="71"/>
      <c r="QA61" s="71"/>
      <c r="QB61" s="71"/>
      <c r="QC61" s="71"/>
      <c r="QD61" s="71"/>
      <c r="QE61" s="71"/>
      <c r="QF61" s="71"/>
      <c r="QG61" s="71"/>
      <c r="QH61" s="71"/>
      <c r="QI61" s="71"/>
      <c r="QJ61" s="71"/>
      <c r="QK61" s="71"/>
      <c r="QL61" s="71"/>
      <c r="QM61" s="71"/>
      <c r="QN61" s="71"/>
      <c r="QO61" s="71"/>
      <c r="QP61" s="71"/>
      <c r="QQ61" s="71"/>
      <c r="QR61" s="71"/>
      <c r="QS61" s="71"/>
      <c r="QT61" s="71"/>
      <c r="QU61" s="71"/>
      <c r="QV61" s="71"/>
      <c r="QW61" s="71"/>
      <c r="QX61" s="71"/>
      <c r="QY61" s="71"/>
      <c r="QZ61" s="71"/>
      <c r="RA61" s="71"/>
      <c r="RB61" s="71"/>
      <c r="RC61" s="71"/>
      <c r="RD61" s="71"/>
      <c r="RE61" s="71"/>
      <c r="RF61" s="71"/>
      <c r="RG61" s="71"/>
      <c r="RH61" s="71"/>
      <c r="RI61" s="71"/>
      <c r="RJ61" s="71"/>
      <c r="RK61" s="71"/>
      <c r="RL61" s="71"/>
      <c r="RM61" s="71"/>
      <c r="RN61" s="71"/>
      <c r="RO61" s="71"/>
      <c r="RP61" s="71"/>
      <c r="RQ61" s="71"/>
      <c r="RR61" s="71"/>
      <c r="RS61" s="71"/>
      <c r="RT61" s="71"/>
      <c r="RU61" s="71"/>
      <c r="RV61" s="71"/>
      <c r="RW61" s="71"/>
      <c r="RX61" s="71"/>
      <c r="RY61" s="71"/>
      <c r="RZ61" s="71"/>
      <c r="SA61" s="71"/>
      <c r="SB61" s="71"/>
      <c r="SC61" s="71"/>
      <c r="SD61" s="71"/>
      <c r="SE61" s="71"/>
      <c r="SF61" s="71"/>
      <c r="SG61" s="71"/>
      <c r="SH61" s="71"/>
      <c r="SI61" s="71"/>
      <c r="SJ61" s="71"/>
      <c r="SK61" s="71"/>
      <c r="SL61" s="71"/>
      <c r="SM61" s="71"/>
      <c r="SN61" s="71"/>
      <c r="SO61" s="71"/>
      <c r="SP61" s="71"/>
      <c r="SQ61" s="71"/>
      <c r="SR61" s="71"/>
      <c r="SS61" s="71"/>
      <c r="ST61" s="71"/>
      <c r="SU61" s="71"/>
      <c r="SV61" s="71"/>
      <c r="SW61" s="71"/>
      <c r="SX61" s="71"/>
      <c r="SY61" s="71"/>
      <c r="SZ61" s="71"/>
      <c r="TA61" s="71"/>
      <c r="TB61" s="71"/>
      <c r="TC61" s="71"/>
      <c r="TD61" s="71"/>
      <c r="TE61" s="71"/>
      <c r="TF61" s="71"/>
      <c r="TG61" s="71"/>
      <c r="TH61" s="71"/>
      <c r="TI61" s="71"/>
      <c r="TJ61" s="71"/>
      <c r="TK61" s="71"/>
      <c r="TL61" s="71"/>
      <c r="TM61" s="71"/>
      <c r="TN61" s="71"/>
      <c r="TO61" s="71"/>
      <c r="TP61" s="71"/>
      <c r="TQ61" s="71"/>
      <c r="TR61" s="71"/>
      <c r="TS61" s="71"/>
      <c r="TT61" s="71"/>
      <c r="TU61" s="71"/>
      <c r="TV61" s="71"/>
      <c r="TW61" s="71"/>
      <c r="TX61" s="71"/>
      <c r="TY61" s="71"/>
      <c r="TZ61" s="71"/>
      <c r="UA61" s="71"/>
      <c r="UB61" s="71"/>
      <c r="UC61" s="71"/>
      <c r="UD61" s="71"/>
      <c r="UE61" s="71"/>
      <c r="UF61" s="71"/>
      <c r="UG61" s="71"/>
      <c r="UH61" s="71"/>
      <c r="UI61" s="71"/>
      <c r="UJ61" s="71"/>
      <c r="UK61" s="71"/>
      <c r="UL61" s="71"/>
      <c r="UM61" s="71"/>
      <c r="UN61" s="71"/>
      <c r="UO61" s="71"/>
      <c r="UP61" s="71"/>
      <c r="UQ61" s="71"/>
      <c r="UR61" s="71"/>
      <c r="US61" s="71"/>
      <c r="UT61" s="71"/>
      <c r="UU61" s="71"/>
      <c r="UV61" s="71"/>
      <c r="UW61" s="71"/>
      <c r="UX61" s="71"/>
      <c r="UY61" s="71"/>
      <c r="UZ61" s="71"/>
      <c r="VA61" s="71"/>
      <c r="VB61" s="71"/>
      <c r="VC61" s="71"/>
      <c r="VD61" s="71"/>
      <c r="VE61" s="71"/>
      <c r="VF61" s="71"/>
      <c r="VG61" s="71"/>
      <c r="VH61" s="71"/>
      <c r="VI61" s="71"/>
      <c r="VJ61" s="71"/>
      <c r="VK61" s="71"/>
      <c r="VL61" s="71"/>
      <c r="VM61" s="71"/>
      <c r="VN61" s="71"/>
      <c r="VO61" s="71"/>
      <c r="VP61" s="71"/>
      <c r="VQ61" s="71"/>
      <c r="VR61" s="71"/>
      <c r="VS61" s="71"/>
      <c r="VT61" s="71"/>
      <c r="VU61" s="71"/>
      <c r="VV61" s="71"/>
      <c r="VW61" s="71"/>
      <c r="VX61" s="71"/>
      <c r="VY61" s="71"/>
      <c r="VZ61" s="71"/>
      <c r="WA61" s="71"/>
      <c r="WB61" s="71"/>
      <c r="WC61" s="71"/>
      <c r="WD61" s="71"/>
      <c r="WE61" s="71"/>
      <c r="WF61" s="71"/>
      <c r="WG61" s="71"/>
      <c r="WH61" s="71"/>
      <c r="WI61" s="71"/>
      <c r="WJ61" s="71"/>
      <c r="WK61" s="71"/>
      <c r="WL61" s="71"/>
      <c r="WM61" s="71"/>
      <c r="WN61" s="71"/>
      <c r="WO61" s="71"/>
      <c r="WP61" s="71"/>
      <c r="WQ61" s="71"/>
      <c r="WR61" s="71"/>
      <c r="WS61" s="71"/>
      <c r="WT61" s="71"/>
      <c r="WU61" s="71"/>
      <c r="WV61" s="71"/>
      <c r="WW61" s="71"/>
      <c r="WX61" s="71"/>
      <c r="WY61" s="71"/>
      <c r="WZ61" s="71"/>
      <c r="XA61" s="71"/>
      <c r="XB61" s="71"/>
      <c r="XC61" s="71"/>
      <c r="XD61" s="71"/>
      <c r="XE61" s="71"/>
      <c r="XF61" s="71"/>
      <c r="XG61" s="71"/>
      <c r="XH61" s="71"/>
      <c r="XI61" s="71"/>
      <c r="XJ61" s="71"/>
      <c r="XK61" s="71"/>
      <c r="XL61" s="71"/>
      <c r="XM61" s="71"/>
      <c r="XN61" s="71"/>
      <c r="XO61" s="71"/>
      <c r="XP61" s="71"/>
      <c r="XQ61" s="71"/>
      <c r="XR61" s="71"/>
      <c r="XS61" s="71"/>
      <c r="XT61" s="71"/>
      <c r="XU61" s="71"/>
      <c r="XV61" s="71"/>
      <c r="XW61" s="71"/>
      <c r="XX61" s="71"/>
      <c r="XY61" s="71"/>
      <c r="XZ61" s="71"/>
      <c r="YA61" s="71"/>
      <c r="YB61" s="71"/>
      <c r="YC61" s="71"/>
      <c r="YD61" s="71"/>
      <c r="YE61" s="71"/>
      <c r="YF61" s="71"/>
      <c r="YG61" s="71"/>
      <c r="YH61" s="71"/>
      <c r="YI61" s="71"/>
      <c r="YJ61" s="71"/>
      <c r="YK61" s="71"/>
      <c r="YL61" s="71"/>
      <c r="YM61" s="71"/>
      <c r="YN61" s="71"/>
      <c r="YO61" s="71"/>
      <c r="YP61" s="71"/>
      <c r="YQ61" s="71"/>
      <c r="YR61" s="71"/>
      <c r="YS61" s="71"/>
      <c r="YT61" s="71"/>
      <c r="YU61" s="71"/>
      <c r="YV61" s="71"/>
      <c r="YW61" s="71"/>
      <c r="YX61" s="71"/>
      <c r="YY61" s="71"/>
      <c r="YZ61" s="71"/>
      <c r="ZA61" s="71"/>
      <c r="ZB61" s="71"/>
      <c r="ZC61" s="71"/>
      <c r="ZD61" s="71"/>
      <c r="ZE61" s="71"/>
      <c r="ZF61" s="71"/>
      <c r="ZG61" s="71"/>
      <c r="ZH61" s="71"/>
      <c r="ZI61" s="71"/>
      <c r="ZJ61" s="71"/>
      <c r="ZK61" s="71"/>
      <c r="ZL61" s="71"/>
      <c r="ZM61" s="71"/>
      <c r="ZN61" s="71"/>
      <c r="ZO61" s="71"/>
      <c r="ZP61" s="71"/>
      <c r="ZQ61" s="71"/>
      <c r="ZR61" s="71"/>
      <c r="ZS61" s="71"/>
      <c r="ZT61" s="71"/>
      <c r="ZU61" s="71"/>
      <c r="ZV61" s="71"/>
      <c r="ZW61" s="71"/>
      <c r="ZX61" s="71"/>
      <c r="ZY61" s="71"/>
      <c r="ZZ61" s="71"/>
      <c r="AAA61" s="71"/>
      <c r="AAB61" s="71"/>
      <c r="AAC61" s="71"/>
      <c r="AAD61" s="71"/>
      <c r="AAE61" s="71"/>
      <c r="AAF61" s="71"/>
      <c r="AAG61" s="71"/>
      <c r="AAH61" s="71"/>
      <c r="AAI61" s="71"/>
      <c r="AAJ61" s="71"/>
      <c r="AAK61" s="71"/>
      <c r="AAL61" s="71"/>
      <c r="AAM61" s="71"/>
      <c r="AAN61" s="71"/>
      <c r="AAO61" s="71"/>
      <c r="AAP61" s="71"/>
      <c r="AAQ61" s="71"/>
      <c r="AAR61" s="71"/>
      <c r="AAS61" s="71"/>
      <c r="AAT61" s="71"/>
      <c r="AAU61" s="71"/>
      <c r="AAV61" s="71"/>
      <c r="AAW61" s="71"/>
      <c r="AAX61" s="71"/>
      <c r="AAY61" s="71"/>
      <c r="AAZ61" s="71"/>
      <c r="ABA61" s="71"/>
      <c r="ABB61" s="71"/>
      <c r="ABC61" s="71"/>
      <c r="ABD61" s="71"/>
      <c r="ABE61" s="71"/>
      <c r="ABF61" s="71"/>
      <c r="ABG61" s="71"/>
      <c r="ABH61" s="71"/>
      <c r="ABI61" s="71"/>
      <c r="ABJ61" s="71"/>
      <c r="ABK61" s="71"/>
      <c r="ABL61" s="71"/>
      <c r="ABM61" s="71"/>
      <c r="ABN61" s="71"/>
      <c r="ABO61" s="71"/>
      <c r="ABP61" s="71"/>
      <c r="ABQ61" s="71"/>
      <c r="ABR61" s="71"/>
      <c r="ABS61" s="71"/>
      <c r="ABT61" s="71"/>
      <c r="ABU61" s="71"/>
      <c r="ABV61" s="71"/>
      <c r="ABW61" s="71"/>
      <c r="ABX61" s="71"/>
      <c r="ABY61" s="71"/>
      <c r="ABZ61" s="71"/>
      <c r="ACA61" s="71"/>
      <c r="ACB61" s="71"/>
      <c r="ACC61" s="71"/>
      <c r="ACD61" s="71"/>
      <c r="ACE61" s="71"/>
      <c r="ACF61" s="71"/>
      <c r="ACG61" s="71"/>
      <c r="ACH61" s="71"/>
      <c r="ACI61" s="71"/>
      <c r="ACJ61" s="71"/>
      <c r="ACK61" s="71"/>
      <c r="ACL61" s="71"/>
      <c r="ACM61" s="71"/>
      <c r="ACN61" s="71"/>
      <c r="ACO61" s="71"/>
      <c r="ACP61" s="71"/>
      <c r="ACQ61" s="71"/>
      <c r="ACR61" s="71"/>
      <c r="ACS61" s="71"/>
      <c r="ACT61" s="71"/>
      <c r="ACU61" s="71"/>
      <c r="ACV61" s="71"/>
      <c r="ACW61" s="71"/>
      <c r="ACX61" s="71"/>
      <c r="ACY61" s="71"/>
      <c r="ACZ61" s="71"/>
      <c r="ADA61" s="71"/>
      <c r="ADB61" s="71"/>
      <c r="ADC61" s="71"/>
      <c r="ADD61" s="71"/>
      <c r="ADE61" s="71"/>
      <c r="ADF61" s="71"/>
      <c r="ADG61" s="71"/>
      <c r="ADH61" s="71"/>
      <c r="ADI61" s="71"/>
      <c r="ADJ61" s="71"/>
      <c r="ADK61" s="71"/>
      <c r="ADL61" s="71"/>
      <c r="ADM61" s="71"/>
      <c r="ADN61" s="71"/>
      <c r="ADO61" s="71"/>
      <c r="ADP61" s="71"/>
      <c r="ADQ61" s="71"/>
      <c r="ADR61" s="71"/>
      <c r="ADS61" s="71"/>
      <c r="ADT61" s="71"/>
      <c r="ADU61" s="71"/>
      <c r="ADV61" s="71"/>
      <c r="ADW61" s="71"/>
      <c r="ADX61" s="71"/>
      <c r="ADY61" s="71"/>
      <c r="ADZ61" s="71"/>
      <c r="AEA61" s="71"/>
      <c r="AEB61" s="71"/>
      <c r="AEC61" s="71"/>
      <c r="AED61" s="71"/>
      <c r="AEE61" s="71"/>
      <c r="AEF61" s="71"/>
      <c r="AEG61" s="71"/>
      <c r="AEH61" s="71"/>
      <c r="AEI61" s="71"/>
      <c r="AEJ61" s="71"/>
      <c r="AEK61" s="71"/>
      <c r="AEL61" s="71"/>
      <c r="AEM61" s="71"/>
      <c r="AEN61" s="71"/>
      <c r="AEO61" s="71"/>
      <c r="AEP61" s="71"/>
      <c r="AEQ61" s="71"/>
      <c r="AER61" s="71"/>
      <c r="AES61" s="71"/>
      <c r="AET61" s="71"/>
      <c r="AEU61" s="71"/>
      <c r="AEV61" s="71"/>
      <c r="AEW61" s="71"/>
      <c r="AEX61" s="71"/>
      <c r="AEY61" s="71"/>
      <c r="AEZ61" s="71"/>
      <c r="AFA61" s="71"/>
      <c r="AFB61" s="71"/>
      <c r="AFC61" s="71"/>
      <c r="AFD61" s="71"/>
      <c r="AFE61" s="71"/>
      <c r="AFF61" s="71"/>
      <c r="AFG61" s="71"/>
      <c r="AFH61" s="71"/>
      <c r="AFI61" s="71"/>
      <c r="AFJ61" s="71"/>
      <c r="AFK61" s="71"/>
      <c r="AFL61" s="71"/>
      <c r="AFM61" s="71"/>
      <c r="AFN61" s="71"/>
      <c r="AFO61" s="71"/>
      <c r="AFP61" s="71"/>
      <c r="AFQ61" s="71"/>
      <c r="AFR61" s="71"/>
      <c r="AFS61" s="71"/>
      <c r="AFT61" s="71"/>
      <c r="AFU61" s="71"/>
      <c r="AFV61" s="71"/>
      <c r="AFW61" s="71"/>
      <c r="AFX61" s="71"/>
      <c r="AFY61" s="71"/>
      <c r="AFZ61" s="71"/>
      <c r="AGA61" s="71"/>
      <c r="AGB61" s="71"/>
      <c r="AGC61" s="71"/>
      <c r="AGD61" s="71"/>
      <c r="AGE61" s="71"/>
      <c r="AGF61" s="71"/>
      <c r="AGG61" s="71"/>
      <c r="AGH61" s="71"/>
      <c r="AGI61" s="71"/>
      <c r="AGJ61" s="71"/>
      <c r="AGK61" s="71"/>
      <c r="AGL61" s="71"/>
      <c r="AGM61" s="71"/>
      <c r="AGN61" s="71"/>
      <c r="AGO61" s="71"/>
      <c r="AGP61" s="71"/>
      <c r="AGQ61" s="71"/>
      <c r="AGR61" s="71"/>
      <c r="AGS61" s="71"/>
      <c r="AGT61" s="71"/>
      <c r="AGU61" s="71"/>
      <c r="AGV61" s="71"/>
      <c r="AGW61" s="71"/>
      <c r="AGX61" s="71"/>
      <c r="AGY61" s="71"/>
      <c r="AGZ61" s="71"/>
      <c r="AHA61" s="71"/>
      <c r="AHB61" s="71"/>
      <c r="AHC61" s="71"/>
      <c r="AHD61" s="71"/>
      <c r="AHE61" s="71"/>
      <c r="AHF61" s="71"/>
      <c r="AHG61" s="71"/>
      <c r="AHH61" s="71"/>
      <c r="AHI61" s="71"/>
      <c r="AHJ61" s="71"/>
      <c r="AHK61" s="71"/>
      <c r="AHL61" s="71"/>
      <c r="AHM61" s="71"/>
      <c r="AHN61" s="71"/>
      <c r="AHO61" s="71"/>
      <c r="AHP61" s="71"/>
      <c r="AHQ61" s="71"/>
      <c r="AHR61" s="71"/>
      <c r="AHS61" s="71"/>
      <c r="AHT61" s="71"/>
      <c r="AHU61" s="71"/>
      <c r="AHV61" s="71"/>
      <c r="AHW61" s="71"/>
      <c r="AHX61" s="71"/>
      <c r="AHY61" s="71"/>
      <c r="AHZ61" s="71"/>
      <c r="AIA61" s="71"/>
      <c r="AIB61" s="71"/>
      <c r="AIC61" s="71"/>
      <c r="AID61" s="71"/>
      <c r="AIE61" s="71"/>
      <c r="AIF61" s="71"/>
      <c r="AIG61" s="71"/>
      <c r="AIH61" s="71"/>
      <c r="AII61" s="71"/>
      <c r="AIJ61" s="71"/>
      <c r="AIK61" s="71"/>
      <c r="AIL61" s="71"/>
      <c r="AIM61" s="71"/>
      <c r="AIN61" s="71"/>
      <c r="AIO61" s="71"/>
      <c r="AIP61" s="71"/>
      <c r="AIQ61" s="71"/>
      <c r="AIR61" s="71"/>
      <c r="AIS61" s="71"/>
      <c r="AIT61" s="71"/>
      <c r="AIU61" s="71"/>
      <c r="AIV61" s="71"/>
      <c r="AIW61" s="71"/>
      <c r="AIX61" s="71"/>
      <c r="AIY61" s="71"/>
      <c r="AIZ61" s="71"/>
      <c r="AJA61" s="71"/>
      <c r="AJB61" s="71"/>
      <c r="AJC61" s="71"/>
      <c r="AJD61" s="71"/>
      <c r="AJE61" s="71"/>
      <c r="AJF61" s="71"/>
      <c r="AJG61" s="71"/>
      <c r="AJH61" s="71"/>
      <c r="AJI61" s="71"/>
      <c r="AJJ61" s="71"/>
      <c r="AJK61" s="71"/>
      <c r="AJL61" s="71"/>
      <c r="AJM61" s="71"/>
      <c r="AJN61" s="71"/>
      <c r="AJO61" s="71"/>
      <c r="AJP61" s="71"/>
      <c r="AJQ61" s="71"/>
      <c r="AJR61" s="71"/>
      <c r="AJS61" s="71"/>
      <c r="AJT61" s="71"/>
      <c r="AJU61" s="71"/>
      <c r="AJV61" s="71"/>
      <c r="AJW61" s="71"/>
      <c r="AJX61" s="71"/>
      <c r="AJY61" s="71"/>
      <c r="AJZ61" s="71"/>
      <c r="AKA61" s="71"/>
      <c r="AKB61" s="71"/>
      <c r="AKC61" s="71"/>
      <c r="AKD61" s="71"/>
      <c r="AKE61" s="71"/>
      <c r="AKF61" s="71"/>
      <c r="AKG61" s="71"/>
      <c r="AKH61" s="71"/>
      <c r="AKI61" s="71"/>
      <c r="AKJ61" s="71"/>
      <c r="AKK61" s="71"/>
      <c r="AKL61" s="71"/>
      <c r="AKM61" s="71"/>
      <c r="AKN61" s="71"/>
      <c r="AKO61" s="71"/>
      <c r="AKP61" s="71"/>
      <c r="AKQ61" s="71"/>
      <c r="AKR61" s="71"/>
      <c r="AKS61" s="71"/>
      <c r="AKT61" s="71"/>
      <c r="AKU61" s="71"/>
      <c r="AKV61" s="71"/>
      <c r="AKW61" s="71"/>
      <c r="AKX61" s="71"/>
      <c r="AKY61" s="71"/>
      <c r="AKZ61" s="71"/>
      <c r="ALA61" s="71"/>
      <c r="ALB61" s="71"/>
      <c r="ALC61" s="71"/>
      <c r="ALD61" s="71"/>
      <c r="ALE61" s="71"/>
      <c r="ALF61" s="71"/>
      <c r="ALG61" s="71"/>
      <c r="ALH61" s="71"/>
      <c r="ALI61" s="71"/>
      <c r="ALJ61" s="71"/>
      <c r="ALK61" s="71"/>
      <c r="ALL61" s="71"/>
      <c r="ALM61" s="71"/>
      <c r="ALN61" s="71"/>
      <c r="ALO61" s="71"/>
      <c r="ALP61" s="71"/>
      <c r="ALQ61" s="71"/>
      <c r="ALR61" s="71"/>
      <c r="ALS61" s="71"/>
      <c r="ALT61" s="71"/>
      <c r="ALU61" s="71"/>
      <c r="ALV61" s="71"/>
      <c r="ALW61" s="71"/>
      <c r="ALX61" s="71"/>
      <c r="ALY61" s="71"/>
      <c r="ALZ61" s="71"/>
      <c r="AMA61" s="71"/>
      <c r="AMB61" s="71"/>
      <c r="AMC61" s="71"/>
      <c r="AMD61" s="71"/>
      <c r="AME61" s="71"/>
      <c r="AMF61" s="71"/>
      <c r="AMG61" s="71"/>
      <c r="AMH61" s="71"/>
      <c r="AMI61" s="71"/>
      <c r="AMJ61" s="71"/>
      <c r="AMK61" s="71"/>
      <c r="AML61" s="71"/>
      <c r="AMM61" s="71"/>
      <c r="AMN61" s="71"/>
      <c r="AMO61" s="71"/>
      <c r="AMP61" s="71"/>
      <c r="AMQ61" s="71"/>
      <c r="AMR61" s="71"/>
      <c r="AMS61" s="71"/>
      <c r="AMT61" s="71"/>
      <c r="AMU61" s="71"/>
      <c r="AMV61" s="71"/>
      <c r="AMW61" s="71"/>
      <c r="AMX61" s="71"/>
      <c r="AMY61" s="71"/>
      <c r="AMZ61" s="71"/>
      <c r="ANA61" s="71"/>
      <c r="ANB61" s="71"/>
      <c r="ANC61" s="71"/>
      <c r="AND61" s="71"/>
      <c r="ANE61" s="71"/>
      <c r="ANF61" s="71"/>
      <c r="ANG61" s="71"/>
      <c r="ANH61" s="71"/>
      <c r="ANI61" s="71"/>
      <c r="ANJ61" s="71"/>
      <c r="ANK61" s="71"/>
      <c r="ANL61" s="71"/>
      <c r="ANM61" s="71"/>
      <c r="ANN61" s="71"/>
      <c r="ANO61" s="71"/>
      <c r="ANP61" s="71"/>
      <c r="ANQ61" s="71"/>
      <c r="ANR61" s="71"/>
      <c r="ANS61" s="71"/>
      <c r="ANT61" s="71"/>
      <c r="ANU61" s="71"/>
      <c r="ANV61" s="71"/>
      <c r="ANW61" s="71"/>
      <c r="ANX61" s="71"/>
      <c r="ANY61" s="71"/>
      <c r="ANZ61" s="71"/>
      <c r="AOA61" s="71"/>
      <c r="AOB61" s="71"/>
      <c r="AOC61" s="71"/>
      <c r="AOD61" s="71"/>
      <c r="AOE61" s="71"/>
      <c r="AOF61" s="71"/>
      <c r="AOG61" s="71"/>
      <c r="AOH61" s="71"/>
      <c r="AOI61" s="71"/>
      <c r="AOJ61" s="71"/>
      <c r="AOK61" s="71"/>
      <c r="AOL61" s="71"/>
      <c r="AOM61" s="71"/>
      <c r="AON61" s="71"/>
      <c r="AOO61" s="71"/>
      <c r="AOP61" s="71"/>
      <c r="AOQ61" s="71"/>
      <c r="AOR61" s="71"/>
      <c r="AOS61" s="71"/>
      <c r="AOT61" s="71"/>
      <c r="AOU61" s="71"/>
      <c r="AOV61" s="71"/>
      <c r="AOW61" s="71"/>
      <c r="AOX61" s="71"/>
      <c r="AOY61" s="71"/>
      <c r="AOZ61" s="71"/>
      <c r="APA61" s="71"/>
      <c r="APB61" s="71"/>
      <c r="APC61" s="71"/>
      <c r="APD61" s="71"/>
      <c r="APE61" s="71"/>
      <c r="APF61" s="71"/>
      <c r="APG61" s="71"/>
      <c r="APH61" s="71"/>
      <c r="API61" s="71"/>
      <c r="APJ61" s="71"/>
      <c r="APK61" s="71"/>
      <c r="APL61" s="71"/>
      <c r="APM61" s="71"/>
      <c r="APN61" s="71"/>
      <c r="APO61" s="71"/>
      <c r="APP61" s="71"/>
      <c r="APQ61" s="71"/>
      <c r="APR61" s="71"/>
      <c r="APS61" s="71"/>
      <c r="APT61" s="71"/>
      <c r="APU61" s="71"/>
      <c r="APV61" s="71"/>
      <c r="APW61" s="71"/>
      <c r="APX61" s="71"/>
      <c r="APY61" s="71"/>
      <c r="APZ61" s="71"/>
      <c r="AQA61" s="71"/>
      <c r="AQB61" s="71"/>
      <c r="AQC61" s="71"/>
      <c r="AQD61" s="71"/>
      <c r="AQE61" s="71"/>
      <c r="AQF61" s="71"/>
      <c r="AQG61" s="71"/>
      <c r="AQH61" s="71"/>
      <c r="AQI61" s="71"/>
      <c r="AQJ61" s="71"/>
      <c r="AQK61" s="71"/>
      <c r="AQL61" s="71"/>
      <c r="AQM61" s="71"/>
      <c r="AQN61" s="71"/>
      <c r="AQO61" s="71"/>
      <c r="AQP61" s="71"/>
      <c r="AQQ61" s="71"/>
      <c r="AQR61" s="71"/>
      <c r="AQS61" s="71"/>
      <c r="AQT61" s="71"/>
      <c r="AQU61" s="71"/>
      <c r="AQV61" s="71"/>
      <c r="AQW61" s="71"/>
      <c r="AQX61" s="71"/>
      <c r="AQY61" s="71"/>
      <c r="AQZ61" s="71"/>
      <c r="ARA61" s="71"/>
      <c r="ARB61" s="71"/>
      <c r="ARC61" s="71"/>
      <c r="ARD61" s="71"/>
      <c r="ARE61" s="71"/>
      <c r="ARF61" s="71"/>
      <c r="ARG61" s="71"/>
      <c r="ARH61" s="71"/>
      <c r="ARI61" s="71"/>
      <c r="ARJ61" s="71"/>
      <c r="ARK61" s="71"/>
      <c r="ARL61" s="71"/>
      <c r="ARM61" s="71"/>
      <c r="ARN61" s="71"/>
      <c r="ARO61" s="71"/>
      <c r="ARP61" s="71"/>
      <c r="ARQ61" s="71"/>
      <c r="ARR61" s="71"/>
      <c r="ARS61" s="71"/>
      <c r="ART61" s="71"/>
      <c r="ARU61" s="71"/>
      <c r="ARV61" s="71"/>
      <c r="ARW61" s="71"/>
      <c r="ARX61" s="71"/>
      <c r="ARY61" s="71"/>
      <c r="ARZ61" s="71"/>
      <c r="ASA61" s="71"/>
      <c r="ASB61" s="71"/>
      <c r="ASC61" s="71"/>
      <c r="ASD61" s="71"/>
      <c r="ASE61" s="71"/>
      <c r="ASF61" s="71"/>
      <c r="ASG61" s="71"/>
      <c r="ASH61" s="71"/>
      <c r="ASI61" s="71"/>
      <c r="ASJ61" s="71"/>
      <c r="ASK61" s="71"/>
      <c r="ASL61" s="71"/>
      <c r="ASM61" s="71"/>
      <c r="ASN61" s="71"/>
      <c r="ASO61" s="71"/>
      <c r="ASP61" s="71"/>
      <c r="ASQ61" s="71"/>
      <c r="ASR61" s="71"/>
      <c r="ASS61" s="71"/>
      <c r="AST61" s="71"/>
      <c r="ASU61" s="71"/>
      <c r="ASV61" s="71"/>
      <c r="ASW61" s="71"/>
      <c r="ASX61" s="71"/>
      <c r="ASY61" s="71"/>
      <c r="ASZ61" s="71"/>
      <c r="ATA61" s="71"/>
      <c r="ATB61" s="71"/>
      <c r="ATC61" s="71"/>
      <c r="ATD61" s="71"/>
      <c r="ATE61" s="71"/>
      <c r="ATF61" s="71"/>
      <c r="ATG61" s="71"/>
      <c r="ATH61" s="71"/>
      <c r="ATI61" s="71"/>
      <c r="ATJ61" s="71"/>
      <c r="ATK61" s="71"/>
      <c r="ATL61" s="71"/>
      <c r="ATM61" s="71"/>
      <c r="ATN61" s="71"/>
      <c r="ATO61" s="71"/>
      <c r="ATP61" s="71"/>
      <c r="ATQ61" s="71"/>
      <c r="ATR61" s="71"/>
      <c r="ATS61" s="71"/>
      <c r="ATT61" s="71"/>
      <c r="ATU61" s="71"/>
      <c r="ATV61" s="71"/>
      <c r="ATW61" s="71"/>
      <c r="ATX61" s="71"/>
      <c r="ATY61" s="71"/>
      <c r="ATZ61" s="71"/>
      <c r="AUA61" s="71"/>
      <c r="AUB61" s="71"/>
      <c r="AUC61" s="71"/>
      <c r="AUD61" s="231"/>
      <c r="AUE61" s="71"/>
      <c r="AUF61" s="231"/>
      <c r="AUG61" s="231"/>
    </row>
    <row r="62" spans="1:1229" ht="30.75" customHeight="1">
      <c r="A62" s="55">
        <v>54</v>
      </c>
      <c r="B62" s="56" t="s">
        <v>308</v>
      </c>
      <c r="C62" s="57" t="s">
        <v>64</v>
      </c>
      <c r="D62" s="58" t="s">
        <v>309</v>
      </c>
      <c r="E62" s="58" t="s">
        <v>48</v>
      </c>
      <c r="F62" s="58" t="s">
        <v>209</v>
      </c>
      <c r="G62" s="58" t="s">
        <v>53</v>
      </c>
      <c r="H62" s="58" t="s">
        <v>50</v>
      </c>
      <c r="I62" s="58" t="s">
        <v>51</v>
      </c>
      <c r="J62" s="57" t="s">
        <v>210</v>
      </c>
      <c r="K62" s="57" t="s">
        <v>53</v>
      </c>
      <c r="L62" s="57" t="s">
        <v>211</v>
      </c>
      <c r="M62" s="57" t="s">
        <v>212</v>
      </c>
      <c r="N62" s="57" t="s">
        <v>56</v>
      </c>
      <c r="O62" s="59">
        <v>44857</v>
      </c>
      <c r="P62" s="59" t="s">
        <v>250</v>
      </c>
      <c r="Q62" s="167">
        <v>8718477</v>
      </c>
      <c r="R62" s="57" t="s">
        <v>57</v>
      </c>
      <c r="S62" s="61">
        <f t="shared" si="3"/>
        <v>6821008.7781063691</v>
      </c>
      <c r="T62" s="62"/>
      <c r="U62" s="232">
        <v>1.62489730058509E-2</v>
      </c>
      <c r="V62" s="373">
        <f t="shared" si="1"/>
        <v>1.271258586885329E-2</v>
      </c>
    </row>
    <row r="63" spans="1:1229" s="71" customFormat="1" ht="42.75" customHeight="1">
      <c r="A63" s="55">
        <v>55</v>
      </c>
      <c r="B63" s="56" t="s">
        <v>312</v>
      </c>
      <c r="C63" s="57" t="s">
        <v>82</v>
      </c>
      <c r="D63" s="58" t="s">
        <v>313</v>
      </c>
      <c r="E63" s="58" t="s">
        <v>95</v>
      </c>
      <c r="F63" s="58" t="s">
        <v>209</v>
      </c>
      <c r="G63" s="153" t="s">
        <v>53</v>
      </c>
      <c r="H63" s="153" t="s">
        <v>50</v>
      </c>
      <c r="I63" s="153" t="s">
        <v>97</v>
      </c>
      <c r="J63" s="57" t="s">
        <v>210</v>
      </c>
      <c r="K63" s="57" t="s">
        <v>53</v>
      </c>
      <c r="L63" s="57" t="s">
        <v>211</v>
      </c>
      <c r="M63" s="57" t="s">
        <v>212</v>
      </c>
      <c r="N63" s="57" t="s">
        <v>98</v>
      </c>
      <c r="O63" s="59">
        <v>45777</v>
      </c>
      <c r="P63" s="59">
        <v>46507</v>
      </c>
      <c r="Q63" s="60">
        <v>2009900</v>
      </c>
      <c r="R63" s="57" t="s">
        <v>89</v>
      </c>
      <c r="S63" s="61">
        <f t="shared" si="3"/>
        <v>218521.07148060284</v>
      </c>
      <c r="T63" s="62">
        <v>0</v>
      </c>
      <c r="U63" s="137"/>
      <c r="V63" s="373">
        <f t="shared" si="1"/>
        <v>0</v>
      </c>
    </row>
    <row r="64" spans="1:1229" ht="37.5" customHeight="1">
      <c r="A64" s="55">
        <v>56</v>
      </c>
      <c r="B64" s="56" t="s">
        <v>317</v>
      </c>
      <c r="C64" s="57" t="s">
        <v>82</v>
      </c>
      <c r="D64" s="58" t="s">
        <v>318</v>
      </c>
      <c r="E64" s="58" t="s">
        <v>95</v>
      </c>
      <c r="F64" s="58" t="s">
        <v>209</v>
      </c>
      <c r="G64" s="153" t="s">
        <v>53</v>
      </c>
      <c r="H64" s="153" t="s">
        <v>50</v>
      </c>
      <c r="I64" s="153" t="s">
        <v>97</v>
      </c>
      <c r="J64" s="57" t="s">
        <v>210</v>
      </c>
      <c r="K64" s="57" t="s">
        <v>53</v>
      </c>
      <c r="L64" s="57" t="s">
        <v>211</v>
      </c>
      <c r="M64" s="57" t="s">
        <v>212</v>
      </c>
      <c r="N64" s="57" t="s">
        <v>98</v>
      </c>
      <c r="O64" s="59">
        <v>45777</v>
      </c>
      <c r="P64" s="59">
        <v>46507</v>
      </c>
      <c r="Q64" s="60">
        <v>10069487</v>
      </c>
      <c r="R64" s="57" t="s">
        <v>89</v>
      </c>
      <c r="S64" s="61">
        <f t="shared" si="3"/>
        <v>1094778.3912134939</v>
      </c>
      <c r="T64" s="62"/>
      <c r="U64" s="98">
        <v>0.19389999999999999</v>
      </c>
      <c r="V64" s="373">
        <f t="shared" si="1"/>
        <v>2.1081265615248965E-2</v>
      </c>
    </row>
    <row r="65" spans="1:22" ht="30.75" customHeight="1">
      <c r="A65" s="55">
        <v>57</v>
      </c>
      <c r="B65" s="56" t="s">
        <v>319</v>
      </c>
      <c r="C65" s="57" t="s">
        <v>82</v>
      </c>
      <c r="D65" s="58" t="s">
        <v>320</v>
      </c>
      <c r="E65" s="58" t="s">
        <v>95</v>
      </c>
      <c r="F65" s="58" t="s">
        <v>209</v>
      </c>
      <c r="G65" s="58" t="s">
        <v>53</v>
      </c>
      <c r="H65" s="58" t="s">
        <v>50</v>
      </c>
      <c r="I65" s="58" t="s">
        <v>97</v>
      </c>
      <c r="J65" s="57" t="s">
        <v>210</v>
      </c>
      <c r="K65" s="57" t="s">
        <v>53</v>
      </c>
      <c r="L65" s="57" t="s">
        <v>211</v>
      </c>
      <c r="M65" s="57" t="s">
        <v>212</v>
      </c>
      <c r="N65" s="57" t="s">
        <v>98</v>
      </c>
      <c r="O65" s="59">
        <v>45777</v>
      </c>
      <c r="P65" s="59">
        <v>46507</v>
      </c>
      <c r="Q65" s="60"/>
      <c r="R65" s="57" t="s">
        <v>89</v>
      </c>
      <c r="S65" s="61">
        <f t="shared" si="3"/>
        <v>0</v>
      </c>
      <c r="T65" s="62"/>
      <c r="U65" s="137"/>
      <c r="V65" s="373">
        <f t="shared" si="1"/>
        <v>0</v>
      </c>
    </row>
    <row r="66" spans="1:22" s="252" customFormat="1" ht="30.75" customHeight="1">
      <c r="A66" s="55">
        <v>58</v>
      </c>
      <c r="B66" s="56" t="s">
        <v>322</v>
      </c>
      <c r="C66" s="57" t="s">
        <v>323</v>
      </c>
      <c r="D66" s="58" t="s">
        <v>324</v>
      </c>
      <c r="E66" s="58" t="s">
        <v>133</v>
      </c>
      <c r="F66" s="58" t="s">
        <v>209</v>
      </c>
      <c r="G66" s="58" t="s">
        <v>53</v>
      </c>
      <c r="H66" s="58" t="s">
        <v>96</v>
      </c>
      <c r="I66" s="58" t="s">
        <v>97</v>
      </c>
      <c r="J66" s="57" t="s">
        <v>210</v>
      </c>
      <c r="K66" s="57" t="s">
        <v>53</v>
      </c>
      <c r="L66" s="57" t="s">
        <v>211</v>
      </c>
      <c r="M66" s="57" t="s">
        <v>212</v>
      </c>
      <c r="N66" s="57" t="s">
        <v>98</v>
      </c>
      <c r="O66" s="59">
        <v>45620</v>
      </c>
      <c r="P66" s="59">
        <v>46350</v>
      </c>
      <c r="Q66" s="60">
        <v>7732809</v>
      </c>
      <c r="R66" s="57" t="s">
        <v>89</v>
      </c>
      <c r="S66" s="61">
        <f t="shared" si="3"/>
        <v>840729.2443578532</v>
      </c>
      <c r="T66" s="62"/>
      <c r="U66" s="98">
        <v>0.20150000000000001</v>
      </c>
      <c r="V66" s="373">
        <f t="shared" si="1"/>
        <v>2.1907555551689873E-2</v>
      </c>
    </row>
    <row r="67" spans="1:22" s="252" customFormat="1" ht="30.75" customHeight="1">
      <c r="A67" s="55">
        <v>59</v>
      </c>
      <c r="B67" s="56" t="s">
        <v>326</v>
      </c>
      <c r="C67" s="57" t="s">
        <v>323</v>
      </c>
      <c r="D67" s="58" t="s">
        <v>327</v>
      </c>
      <c r="E67" s="58" t="s">
        <v>133</v>
      </c>
      <c r="F67" s="58" t="s">
        <v>209</v>
      </c>
      <c r="G67" s="58" t="s">
        <v>53</v>
      </c>
      <c r="H67" s="58" t="s">
        <v>96</v>
      </c>
      <c r="I67" s="58" t="s">
        <v>97</v>
      </c>
      <c r="J67" s="57" t="s">
        <v>210</v>
      </c>
      <c r="K67" s="57" t="s">
        <v>53</v>
      </c>
      <c r="L67" s="57" t="s">
        <v>211</v>
      </c>
      <c r="M67" s="57" t="s">
        <v>212</v>
      </c>
      <c r="N67" s="57" t="s">
        <v>98</v>
      </c>
      <c r="O67" s="59">
        <v>45620</v>
      </c>
      <c r="P67" s="59">
        <v>46350</v>
      </c>
      <c r="Q67" s="60">
        <v>0</v>
      </c>
      <c r="R67" s="57" t="s">
        <v>89</v>
      </c>
      <c r="S67" s="61">
        <f t="shared" si="3"/>
        <v>0</v>
      </c>
      <c r="T67" s="62"/>
      <c r="U67" s="137"/>
      <c r="V67" s="373">
        <f t="shared" si="1"/>
        <v>0</v>
      </c>
    </row>
    <row r="68" spans="1:22" s="143" customFormat="1" ht="30.75" customHeight="1">
      <c r="A68" s="55">
        <v>60</v>
      </c>
      <c r="B68" s="56" t="s">
        <v>328</v>
      </c>
      <c r="C68" s="57" t="s">
        <v>138</v>
      </c>
      <c r="D68" s="58" t="s">
        <v>329</v>
      </c>
      <c r="E68" s="58" t="s">
        <v>104</v>
      </c>
      <c r="F68" s="58" t="s">
        <v>209</v>
      </c>
      <c r="G68" s="153" t="s">
        <v>53</v>
      </c>
      <c r="H68" s="153" t="s">
        <v>96</v>
      </c>
      <c r="I68" s="153" t="s">
        <v>97</v>
      </c>
      <c r="J68" s="57" t="s">
        <v>210</v>
      </c>
      <c r="K68" s="57" t="s">
        <v>53</v>
      </c>
      <c r="L68" s="57" t="s">
        <v>211</v>
      </c>
      <c r="M68" s="57" t="s">
        <v>212</v>
      </c>
      <c r="N68" s="57" t="s">
        <v>98</v>
      </c>
      <c r="O68" s="59">
        <v>45689</v>
      </c>
      <c r="P68" s="59">
        <v>46411</v>
      </c>
      <c r="Q68" s="60">
        <v>10157605</v>
      </c>
      <c r="R68" s="57" t="s">
        <v>89</v>
      </c>
      <c r="S68" s="61">
        <f t="shared" si="3"/>
        <v>1104358.788137086</v>
      </c>
      <c r="T68" s="173" t="e">
        <f>S68/#REF!</f>
        <v>#REF!</v>
      </c>
      <c r="U68" s="98">
        <v>1.9922</v>
      </c>
      <c r="V68" s="373">
        <f t="shared" si="1"/>
        <v>0.21659668570757601</v>
      </c>
    </row>
    <row r="69" spans="1:22" s="143" customFormat="1" ht="30.75" customHeight="1">
      <c r="A69" s="55">
        <v>61</v>
      </c>
      <c r="B69" s="56" t="s">
        <v>330</v>
      </c>
      <c r="C69" s="57" t="s">
        <v>138</v>
      </c>
      <c r="D69" s="58" t="s">
        <v>331</v>
      </c>
      <c r="E69" s="58" t="s">
        <v>104</v>
      </c>
      <c r="F69" s="58" t="s">
        <v>209</v>
      </c>
      <c r="G69" s="58" t="s">
        <v>53</v>
      </c>
      <c r="H69" s="58" t="s">
        <v>96</v>
      </c>
      <c r="I69" s="58" t="s">
        <v>97</v>
      </c>
      <c r="J69" s="57" t="s">
        <v>210</v>
      </c>
      <c r="K69" s="57" t="s">
        <v>53</v>
      </c>
      <c r="L69" s="57" t="s">
        <v>211</v>
      </c>
      <c r="M69" s="57" t="s">
        <v>212</v>
      </c>
      <c r="N69" s="57" t="s">
        <v>98</v>
      </c>
      <c r="O69" s="59">
        <v>45689</v>
      </c>
      <c r="P69" s="59">
        <v>46411</v>
      </c>
      <c r="Q69" s="60">
        <v>217300</v>
      </c>
      <c r="R69" s="57" t="s">
        <v>89</v>
      </c>
      <c r="S69" s="61">
        <f t="shared" si="3"/>
        <v>23625.368840606498</v>
      </c>
      <c r="T69" s="173"/>
      <c r="U69" s="137"/>
      <c r="V69" s="373">
        <f t="shared" si="1"/>
        <v>0</v>
      </c>
    </row>
    <row r="70" spans="1:22" s="143" customFormat="1" ht="30.75" customHeight="1">
      <c r="A70" s="55">
        <v>62</v>
      </c>
      <c r="B70" s="56" t="s">
        <v>332</v>
      </c>
      <c r="C70" s="57" t="s">
        <v>87</v>
      </c>
      <c r="D70" s="58" t="s">
        <v>333</v>
      </c>
      <c r="E70" s="58" t="s">
        <v>48</v>
      </c>
      <c r="F70" s="58" t="s">
        <v>209</v>
      </c>
      <c r="G70" s="153" t="s">
        <v>53</v>
      </c>
      <c r="H70" s="153" t="s">
        <v>50</v>
      </c>
      <c r="I70" s="153" t="s">
        <v>97</v>
      </c>
      <c r="J70" s="57" t="s">
        <v>250</v>
      </c>
      <c r="K70" s="57" t="s">
        <v>53</v>
      </c>
      <c r="L70" s="57" t="s">
        <v>211</v>
      </c>
      <c r="M70" s="57" t="s">
        <v>212</v>
      </c>
      <c r="N70" s="57" t="s">
        <v>98</v>
      </c>
      <c r="O70" s="59">
        <v>45352</v>
      </c>
      <c r="P70" s="59">
        <v>46082</v>
      </c>
      <c r="Q70" s="60">
        <v>98000</v>
      </c>
      <c r="R70" s="57" t="s">
        <v>89</v>
      </c>
      <c r="S70" s="61">
        <f t="shared" si="3"/>
        <v>10654.791285685396</v>
      </c>
      <c r="T70" s="62"/>
      <c r="U70" s="98">
        <v>3.062500000000079E-3</v>
      </c>
      <c r="V70" s="373">
        <f t="shared" si="1"/>
        <v>3.3296222767767724E-4</v>
      </c>
    </row>
    <row r="71" spans="1:22" s="143" customFormat="1" ht="30.75" customHeight="1">
      <c r="A71" s="55">
        <v>63</v>
      </c>
      <c r="B71" s="56" t="s">
        <v>334</v>
      </c>
      <c r="C71" s="57" t="s">
        <v>87</v>
      </c>
      <c r="D71" s="58" t="s">
        <v>335</v>
      </c>
      <c r="E71" s="58" t="s">
        <v>48</v>
      </c>
      <c r="F71" s="58" t="s">
        <v>209</v>
      </c>
      <c r="G71" s="58" t="s">
        <v>53</v>
      </c>
      <c r="H71" s="58" t="s">
        <v>50</v>
      </c>
      <c r="I71" s="58" t="s">
        <v>51</v>
      </c>
      <c r="J71" s="57" t="s">
        <v>250</v>
      </c>
      <c r="K71" s="57" t="s">
        <v>53</v>
      </c>
      <c r="L71" s="57" t="s">
        <v>211</v>
      </c>
      <c r="M71" s="57" t="s">
        <v>212</v>
      </c>
      <c r="N71" s="57" t="s">
        <v>98</v>
      </c>
      <c r="O71" s="59">
        <v>45839</v>
      </c>
      <c r="P71" s="59">
        <v>46569</v>
      </c>
      <c r="Q71" s="60">
        <v>4584750.8495575199</v>
      </c>
      <c r="R71" s="57" t="s">
        <v>89</v>
      </c>
      <c r="S71" s="61">
        <f t="shared" si="3"/>
        <v>498464.93264187942</v>
      </c>
      <c r="T71" s="62">
        <v>54607345.786414623</v>
      </c>
      <c r="U71" s="128">
        <f>Q71/T71</f>
        <v>8.395850015288836E-2</v>
      </c>
      <c r="V71" s="373">
        <f t="shared" si="1"/>
        <v>9.1281662835531741E-3</v>
      </c>
    </row>
    <row r="72" spans="1:22" s="143" customFormat="1" ht="30.75" customHeight="1">
      <c r="A72" s="55">
        <v>64</v>
      </c>
      <c r="B72" s="56" t="s">
        <v>336</v>
      </c>
      <c r="C72" s="57" t="s">
        <v>87</v>
      </c>
      <c r="D72" s="58" t="s">
        <v>337</v>
      </c>
      <c r="E72" s="58" t="s">
        <v>48</v>
      </c>
      <c r="F72" s="58" t="s">
        <v>209</v>
      </c>
      <c r="G72" s="153" t="s">
        <v>53</v>
      </c>
      <c r="H72" s="153" t="s">
        <v>50</v>
      </c>
      <c r="I72" s="153" t="s">
        <v>51</v>
      </c>
      <c r="J72" s="57" t="s">
        <v>250</v>
      </c>
      <c r="K72" s="57" t="s">
        <v>53</v>
      </c>
      <c r="L72" s="57" t="s">
        <v>211</v>
      </c>
      <c r="M72" s="57" t="s">
        <v>212</v>
      </c>
      <c r="N72" s="57" t="s">
        <v>98</v>
      </c>
      <c r="O72" s="59">
        <v>45839</v>
      </c>
      <c r="P72" s="59">
        <v>46569</v>
      </c>
      <c r="Q72" s="60">
        <v>3933456.3584070802</v>
      </c>
      <c r="R72" s="57" t="s">
        <v>89</v>
      </c>
      <c r="S72" s="61">
        <f t="shared" si="3"/>
        <v>427654.65847122011</v>
      </c>
      <c r="T72" s="62">
        <v>54607345.786414623</v>
      </c>
      <c r="U72" s="128">
        <f>Q72/T72</f>
        <v>7.2031634238221065E-2</v>
      </c>
      <c r="V72" s="373">
        <f t="shared" si="1"/>
        <v>7.8314492732150572E-3</v>
      </c>
    </row>
    <row r="73" spans="1:22" s="143" customFormat="1" ht="30.75" customHeight="1">
      <c r="A73" s="55">
        <v>65</v>
      </c>
      <c r="B73" s="56" t="s">
        <v>338</v>
      </c>
      <c r="C73" s="57" t="s">
        <v>138</v>
      </c>
      <c r="D73" s="58" t="s">
        <v>339</v>
      </c>
      <c r="E73" s="58" t="s">
        <v>104</v>
      </c>
      <c r="F73" s="58" t="s">
        <v>340</v>
      </c>
      <c r="G73" s="58" t="s">
        <v>53</v>
      </c>
      <c r="H73" s="58" t="s">
        <v>96</v>
      </c>
      <c r="I73" s="58" t="s">
        <v>97</v>
      </c>
      <c r="J73" s="57" t="s">
        <v>210</v>
      </c>
      <c r="K73" s="57" t="s">
        <v>53</v>
      </c>
      <c r="L73" s="57" t="s">
        <v>211</v>
      </c>
      <c r="M73" s="57" t="s">
        <v>341</v>
      </c>
      <c r="N73" s="57" t="s">
        <v>98</v>
      </c>
      <c r="O73" s="59">
        <v>45778</v>
      </c>
      <c r="P73" s="59">
        <v>46143</v>
      </c>
      <c r="Q73" s="60">
        <v>1359200</v>
      </c>
      <c r="R73" s="57" t="s">
        <v>89</v>
      </c>
      <c r="S73" s="61">
        <f t="shared" si="3"/>
        <v>147775.43179085298</v>
      </c>
      <c r="T73" s="62">
        <v>1000000</v>
      </c>
      <c r="U73" s="137">
        <f>Q73/T73</f>
        <v>1.3592</v>
      </c>
      <c r="V73" s="373">
        <f t="shared" si="1"/>
        <v>0.14777543179085298</v>
      </c>
    </row>
    <row r="74" spans="1:22" s="143" customFormat="1" ht="30.75" customHeight="1">
      <c r="A74" s="55">
        <v>66</v>
      </c>
      <c r="B74" s="56" t="s">
        <v>342</v>
      </c>
      <c r="C74" s="57" t="s">
        <v>343</v>
      </c>
      <c r="D74" s="58" t="s">
        <v>344</v>
      </c>
      <c r="E74" s="58" t="s">
        <v>95</v>
      </c>
      <c r="F74" s="58" t="s">
        <v>340</v>
      </c>
      <c r="G74" s="58" t="s">
        <v>53</v>
      </c>
      <c r="H74" s="58" t="s">
        <v>96</v>
      </c>
      <c r="I74" s="58" t="s">
        <v>97</v>
      </c>
      <c r="J74" s="57" t="s">
        <v>210</v>
      </c>
      <c r="K74" s="57" t="s">
        <v>53</v>
      </c>
      <c r="L74" s="57" t="s">
        <v>211</v>
      </c>
      <c r="M74" s="57" t="s">
        <v>341</v>
      </c>
      <c r="N74" s="57" t="s">
        <v>98</v>
      </c>
      <c r="O74" s="59" t="s">
        <v>345</v>
      </c>
      <c r="P74" s="59" t="s">
        <v>345</v>
      </c>
      <c r="Q74" s="60">
        <v>817400</v>
      </c>
      <c r="R74" s="57" t="s">
        <v>89</v>
      </c>
      <c r="S74" s="61">
        <f t="shared" si="3"/>
        <v>88869.657111420849</v>
      </c>
      <c r="T74" s="307" t="s">
        <v>345</v>
      </c>
      <c r="U74" s="308" t="s">
        <v>345</v>
      </c>
      <c r="V74" s="373"/>
    </row>
    <row r="75" spans="1:22" s="143" customFormat="1" ht="30.75" customHeight="1">
      <c r="A75" s="55">
        <v>67</v>
      </c>
      <c r="B75" s="56" t="s">
        <v>346</v>
      </c>
      <c r="C75" s="57" t="s">
        <v>347</v>
      </c>
      <c r="D75" s="58" t="s">
        <v>348</v>
      </c>
      <c r="E75" s="58" t="s">
        <v>95</v>
      </c>
      <c r="F75" s="58" t="s">
        <v>340</v>
      </c>
      <c r="G75" s="58" t="s">
        <v>53</v>
      </c>
      <c r="H75" s="58" t="s">
        <v>96</v>
      </c>
      <c r="I75" s="58" t="s">
        <v>97</v>
      </c>
      <c r="J75" s="57" t="s">
        <v>210</v>
      </c>
      <c r="K75" s="57" t="s">
        <v>53</v>
      </c>
      <c r="L75" s="57" t="s">
        <v>211</v>
      </c>
      <c r="M75" s="57" t="s">
        <v>341</v>
      </c>
      <c r="N75" s="57" t="s">
        <v>98</v>
      </c>
      <c r="O75" s="59" t="s">
        <v>345</v>
      </c>
      <c r="P75" s="59" t="s">
        <v>345</v>
      </c>
      <c r="Q75" s="60">
        <v>1357000</v>
      </c>
      <c r="R75" s="57" t="s">
        <v>89</v>
      </c>
      <c r="S75" s="61">
        <f t="shared" si="3"/>
        <v>147536.24259872534</v>
      </c>
      <c r="T75" s="307" t="s">
        <v>345</v>
      </c>
      <c r="U75" s="308" t="s">
        <v>345</v>
      </c>
      <c r="V75" s="373"/>
    </row>
    <row r="76" spans="1:22" s="143" customFormat="1" ht="30.75" customHeight="1">
      <c r="A76" s="55">
        <v>68</v>
      </c>
      <c r="B76" s="56" t="s">
        <v>349</v>
      </c>
      <c r="C76" s="57" t="s">
        <v>82</v>
      </c>
      <c r="D76" s="58" t="s">
        <v>350</v>
      </c>
      <c r="E76" s="58" t="s">
        <v>95</v>
      </c>
      <c r="F76" s="58" t="s">
        <v>340</v>
      </c>
      <c r="G76" s="58" t="s">
        <v>50</v>
      </c>
      <c r="H76" s="58" t="s">
        <v>50</v>
      </c>
      <c r="I76" s="58" t="s">
        <v>97</v>
      </c>
      <c r="J76"/>
      <c r="K76" s="57" t="s">
        <v>53</v>
      </c>
      <c r="L76" s="57" t="s">
        <v>211</v>
      </c>
      <c r="M76" s="57" t="s">
        <v>341</v>
      </c>
      <c r="N76" s="57" t="s">
        <v>98</v>
      </c>
      <c r="O76" s="59">
        <v>45777</v>
      </c>
      <c r="P76" s="59">
        <v>46507</v>
      </c>
      <c r="Q76" s="60">
        <v>212750</v>
      </c>
      <c r="R76" s="57" t="s">
        <v>89</v>
      </c>
      <c r="S76" s="61">
        <f t="shared" si="3"/>
        <v>23130.682102342533</v>
      </c>
      <c r="T76" s="62">
        <v>4000000</v>
      </c>
      <c r="U76" s="137">
        <f t="shared" ref="U76:U81" si="4">Q76/T76</f>
        <v>5.3187499999999999E-2</v>
      </c>
      <c r="V76" s="373">
        <f t="shared" ref="V76:V88" si="5">IF(R76="RMB",U76/$B$6,IF(R76="GBP",U76,U76/$B$5))</f>
        <v>5.7826705255856333E-3</v>
      </c>
    </row>
    <row r="77" spans="1:22" s="143" customFormat="1" ht="30.75" customHeight="1">
      <c r="A77" s="55">
        <v>69</v>
      </c>
      <c r="B77" s="56" t="s">
        <v>351</v>
      </c>
      <c r="C77" s="57" t="s">
        <v>352</v>
      </c>
      <c r="D77" s="58" t="s">
        <v>353</v>
      </c>
      <c r="E77" s="58" t="s">
        <v>133</v>
      </c>
      <c r="F77" s="58" t="s">
        <v>340</v>
      </c>
      <c r="G77" s="58" t="s">
        <v>53</v>
      </c>
      <c r="H77" s="58" t="s">
        <v>96</v>
      </c>
      <c r="I77" s="58" t="s">
        <v>97</v>
      </c>
      <c r="J77" s="57" t="s">
        <v>210</v>
      </c>
      <c r="K77" s="57" t="s">
        <v>53</v>
      </c>
      <c r="L77" s="57" t="s">
        <v>211</v>
      </c>
      <c r="M77" s="57" t="s">
        <v>341</v>
      </c>
      <c r="N77" s="57" t="s">
        <v>98</v>
      </c>
      <c r="O77" s="59">
        <v>45604</v>
      </c>
      <c r="P77" s="59">
        <v>46334</v>
      </c>
      <c r="Q77" s="60">
        <v>715900</v>
      </c>
      <c r="R77" s="57" t="s">
        <v>89</v>
      </c>
      <c r="S77" s="61">
        <f t="shared" si="3"/>
        <v>77834.337565532405</v>
      </c>
      <c r="T77" s="62">
        <v>4000000</v>
      </c>
      <c r="U77" s="137">
        <f t="shared" si="4"/>
        <v>0.178975</v>
      </c>
      <c r="V77" s="373">
        <f t="shared" si="5"/>
        <v>1.9458584391383101E-2</v>
      </c>
    </row>
    <row r="78" spans="1:22" s="143" customFormat="1" ht="30.75" customHeight="1">
      <c r="A78" s="55">
        <v>70</v>
      </c>
      <c r="B78" s="56" t="s">
        <v>354</v>
      </c>
      <c r="C78" s="57" t="s">
        <v>199</v>
      </c>
      <c r="D78" s="58" t="s">
        <v>355</v>
      </c>
      <c r="E78" s="58" t="s">
        <v>133</v>
      </c>
      <c r="F78" s="58" t="s">
        <v>340</v>
      </c>
      <c r="G78" s="58" t="s">
        <v>53</v>
      </c>
      <c r="H78" s="58" t="s">
        <v>96</v>
      </c>
      <c r="I78" s="58" t="s">
        <v>97</v>
      </c>
      <c r="J78" s="57" t="s">
        <v>210</v>
      </c>
      <c r="K78" s="57" t="s">
        <v>53</v>
      </c>
      <c r="L78" s="57" t="s">
        <v>211</v>
      </c>
      <c r="M78" s="57" t="s">
        <v>341</v>
      </c>
      <c r="N78" s="57" t="s">
        <v>98</v>
      </c>
      <c r="O78" s="59">
        <v>45761</v>
      </c>
      <c r="P78" s="59">
        <v>46491</v>
      </c>
      <c r="Q78" s="60">
        <v>824300</v>
      </c>
      <c r="R78" s="57" t="s">
        <v>89</v>
      </c>
      <c r="S78" s="61">
        <f t="shared" si="3"/>
        <v>89619.841395821146</v>
      </c>
      <c r="T78" s="62">
        <v>3000000</v>
      </c>
      <c r="U78" s="137">
        <f t="shared" si="4"/>
        <v>0.27476666666666666</v>
      </c>
      <c r="V78" s="373">
        <f t="shared" si="5"/>
        <v>2.9873280465273717E-2</v>
      </c>
    </row>
    <row r="79" spans="1:22" s="143" customFormat="1" ht="30.75" customHeight="1">
      <c r="A79" s="55">
        <v>71</v>
      </c>
      <c r="B79" s="56" t="s">
        <v>356</v>
      </c>
      <c r="C79" s="57" t="s">
        <v>357</v>
      </c>
      <c r="D79" s="58" t="s">
        <v>358</v>
      </c>
      <c r="E79" s="58" t="s">
        <v>133</v>
      </c>
      <c r="F79" s="58" t="s">
        <v>340</v>
      </c>
      <c r="G79" s="58" t="s">
        <v>53</v>
      </c>
      <c r="H79" s="58" t="s">
        <v>96</v>
      </c>
      <c r="I79" s="58" t="s">
        <v>97</v>
      </c>
      <c r="J79" s="57" t="s">
        <v>210</v>
      </c>
      <c r="K79" s="57" t="s">
        <v>53</v>
      </c>
      <c r="L79" s="57" t="s">
        <v>211</v>
      </c>
      <c r="M79" s="57" t="s">
        <v>341</v>
      </c>
      <c r="N79" s="57" t="s">
        <v>98</v>
      </c>
      <c r="O79" s="59" t="s">
        <v>188</v>
      </c>
      <c r="P79" s="59" t="s">
        <v>188</v>
      </c>
      <c r="Q79" s="60">
        <v>692800</v>
      </c>
      <c r="R79" s="57" t="s">
        <v>89</v>
      </c>
      <c r="S79" s="61">
        <f t="shared" si="3"/>
        <v>75322.851048192271</v>
      </c>
      <c r="T79" s="62">
        <v>4000000</v>
      </c>
      <c r="U79" s="137">
        <f t="shared" si="4"/>
        <v>0.17319999999999999</v>
      </c>
      <c r="V79" s="373">
        <f t="shared" si="5"/>
        <v>1.883071276204807E-2</v>
      </c>
    </row>
    <row r="80" spans="1:22" s="143" customFormat="1" ht="30.75" customHeight="1">
      <c r="A80" s="55">
        <v>72</v>
      </c>
      <c r="B80" s="56" t="s">
        <v>359</v>
      </c>
      <c r="C80" s="57" t="s">
        <v>360</v>
      </c>
      <c r="D80" s="58" t="s">
        <v>361</v>
      </c>
      <c r="E80" s="58" t="s">
        <v>48</v>
      </c>
      <c r="F80" s="58" t="s">
        <v>340</v>
      </c>
      <c r="G80" s="58" t="s">
        <v>53</v>
      </c>
      <c r="H80" s="58" t="s">
        <v>79</v>
      </c>
      <c r="I80" s="58" t="s">
        <v>97</v>
      </c>
      <c r="J80" s="57" t="s">
        <v>210</v>
      </c>
      <c r="K80" s="57" t="s">
        <v>53</v>
      </c>
      <c r="L80" s="57" t="s">
        <v>211</v>
      </c>
      <c r="M80" s="57" t="s">
        <v>341</v>
      </c>
      <c r="N80" s="57" t="s">
        <v>98</v>
      </c>
      <c r="O80" s="59" t="s">
        <v>188</v>
      </c>
      <c r="P80" s="59" t="s">
        <v>188</v>
      </c>
      <c r="Q80" s="60">
        <v>1480600</v>
      </c>
      <c r="R80" s="57" t="s">
        <v>89</v>
      </c>
      <c r="S80" s="61">
        <f t="shared" si="3"/>
        <v>160974.3263018959</v>
      </c>
      <c r="T80" s="62">
        <v>4000000</v>
      </c>
      <c r="U80" s="137">
        <f t="shared" si="4"/>
        <v>0.37014999999999998</v>
      </c>
      <c r="V80" s="373">
        <f t="shared" si="5"/>
        <v>4.0243581575473975E-2</v>
      </c>
    </row>
    <row r="81" spans="1:16167" s="143" customFormat="1" ht="30.75" customHeight="1">
      <c r="A81" s="55">
        <v>73</v>
      </c>
      <c r="B81" s="56" t="s">
        <v>362</v>
      </c>
      <c r="C81" s="57" t="s">
        <v>87</v>
      </c>
      <c r="D81" s="310" t="s">
        <v>363</v>
      </c>
      <c r="E81" s="58" t="s">
        <v>48</v>
      </c>
      <c r="F81" s="58" t="s">
        <v>49</v>
      </c>
      <c r="G81" s="144" t="s">
        <v>53</v>
      </c>
      <c r="H81" s="153" t="s">
        <v>50</v>
      </c>
      <c r="I81" s="153" t="s">
        <v>51</v>
      </c>
      <c r="J81" s="57" t="s">
        <v>250</v>
      </c>
      <c r="K81" s="57" t="s">
        <v>53</v>
      </c>
      <c r="L81" s="57" t="s">
        <v>54</v>
      </c>
      <c r="M81" s="57" t="s">
        <v>55</v>
      </c>
      <c r="N81" s="57" t="s">
        <v>56</v>
      </c>
      <c r="O81" s="59">
        <v>45839</v>
      </c>
      <c r="P81" s="59">
        <v>46569</v>
      </c>
      <c r="Q81" s="60">
        <v>1714020.46</v>
      </c>
      <c r="R81" s="57" t="s">
        <v>89</v>
      </c>
      <c r="S81" s="61">
        <f t="shared" si="3"/>
        <v>186352.34959892323</v>
      </c>
      <c r="T81" s="62">
        <v>54607345.786414623</v>
      </c>
      <c r="U81" s="128">
        <f t="shared" si="4"/>
        <v>3.1388093219253649E-2</v>
      </c>
      <c r="V81" s="373">
        <f t="shared" si="5"/>
        <v>3.4125875725182111E-3</v>
      </c>
    </row>
    <row r="82" spans="1:16167" s="143" customFormat="1" ht="30.75" customHeight="1">
      <c r="A82" s="55">
        <v>74</v>
      </c>
      <c r="B82" s="56" t="s">
        <v>364</v>
      </c>
      <c r="C82" s="57" t="s">
        <v>112</v>
      </c>
      <c r="D82" s="85" t="s">
        <v>365</v>
      </c>
      <c r="E82" s="85"/>
      <c r="F82" s="85" t="s">
        <v>114</v>
      </c>
      <c r="G82" s="85" t="s">
        <v>53</v>
      </c>
      <c r="H82" s="85" t="s">
        <v>50</v>
      </c>
      <c r="I82" s="85" t="s">
        <v>97</v>
      </c>
      <c r="J82" s="57" t="s">
        <v>366</v>
      </c>
      <c r="K82" s="57" t="s">
        <v>53</v>
      </c>
      <c r="L82" s="57" t="s">
        <v>54</v>
      </c>
      <c r="M82" s="57" t="s">
        <v>55</v>
      </c>
      <c r="N82" s="57" t="s">
        <v>98</v>
      </c>
      <c r="O82" s="59" t="s">
        <v>188</v>
      </c>
      <c r="P82" s="59" t="s">
        <v>188</v>
      </c>
      <c r="Q82" s="112">
        <v>13323188</v>
      </c>
      <c r="R82" s="57" t="s">
        <v>89</v>
      </c>
      <c r="S82" s="61">
        <f t="shared" si="3"/>
        <v>1448528.4428566149</v>
      </c>
      <c r="T82" s="60"/>
      <c r="U82" s="148"/>
      <c r="V82" s="373">
        <f t="shared" si="5"/>
        <v>0</v>
      </c>
    </row>
    <row r="83" spans="1:16167" ht="15" customHeight="1">
      <c r="A83" s="55">
        <v>76</v>
      </c>
      <c r="B83" s="56"/>
      <c r="C83" s="57" t="s">
        <v>199</v>
      </c>
      <c r="D83" s="58" t="s">
        <v>367</v>
      </c>
      <c r="E83" s="58" t="s">
        <v>95</v>
      </c>
      <c r="F83" s="58" t="s">
        <v>209</v>
      </c>
      <c r="G83" s="58" t="s">
        <v>53</v>
      </c>
      <c r="H83" s="58" t="s">
        <v>197</v>
      </c>
      <c r="I83" s="58" t="s">
        <v>97</v>
      </c>
      <c r="J83" s="57" t="s">
        <v>210</v>
      </c>
      <c r="K83" s="57" t="s">
        <v>53</v>
      </c>
      <c r="L83" s="57" t="s">
        <v>211</v>
      </c>
      <c r="M83" s="57" t="s">
        <v>212</v>
      </c>
      <c r="N83" s="57" t="s">
        <v>98</v>
      </c>
      <c r="O83" s="59">
        <v>45761</v>
      </c>
      <c r="P83" s="59">
        <v>46491</v>
      </c>
      <c r="Q83" s="60">
        <v>4711062.4000000004</v>
      </c>
      <c r="R83" s="57" t="s">
        <v>89</v>
      </c>
      <c r="S83" s="61">
        <f t="shared" si="3"/>
        <v>512197.82250857283</v>
      </c>
      <c r="T83" s="62"/>
      <c r="U83" s="137">
        <v>0.32250000000000001</v>
      </c>
      <c r="V83" s="373">
        <f t="shared" si="5"/>
        <v>3.5062961118709601E-2</v>
      </c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  <c r="BU83" s="143"/>
      <c r="BV83" s="143"/>
      <c r="BW83" s="143"/>
      <c r="BX83" s="143"/>
      <c r="BY83" s="143"/>
      <c r="BZ83" s="143"/>
      <c r="CA83" s="143"/>
      <c r="CB83" s="143"/>
      <c r="CC83" s="143"/>
      <c r="CD83" s="143"/>
      <c r="CE83" s="143"/>
      <c r="CF83" s="143"/>
      <c r="CG83" s="143"/>
      <c r="CH83" s="143"/>
      <c r="CI83" s="143"/>
      <c r="CJ83" s="143"/>
      <c r="CK83" s="143"/>
      <c r="CL83" s="143"/>
      <c r="CM83" s="143"/>
      <c r="CN83" s="143"/>
      <c r="CO83" s="143"/>
      <c r="CP83" s="143"/>
      <c r="CQ83" s="143"/>
      <c r="CR83" s="143"/>
      <c r="CS83" s="143"/>
      <c r="CT83" s="143"/>
      <c r="CU83" s="143"/>
      <c r="CV83" s="143"/>
      <c r="CW83" s="143"/>
      <c r="CX83" s="143"/>
      <c r="CY83" s="143"/>
      <c r="CZ83" s="143"/>
      <c r="DA83" s="143"/>
      <c r="DB83" s="143"/>
      <c r="DC83" s="143"/>
      <c r="DD83" s="143"/>
      <c r="DE83" s="143"/>
      <c r="DF83" s="143"/>
      <c r="DG83" s="143"/>
      <c r="DH83" s="143"/>
      <c r="DI83" s="143"/>
      <c r="DJ83" s="143"/>
      <c r="DK83" s="143"/>
      <c r="DL83" s="143"/>
      <c r="DM83" s="143"/>
      <c r="DN83" s="143"/>
      <c r="DO83" s="143"/>
      <c r="DP83" s="143"/>
      <c r="DQ83" s="143"/>
      <c r="DR83" s="143"/>
      <c r="DS83" s="143"/>
      <c r="DT83" s="143"/>
      <c r="DU83" s="143"/>
      <c r="DV83" s="143"/>
      <c r="DW83" s="143"/>
      <c r="DX83" s="143"/>
      <c r="DY83" s="143"/>
      <c r="DZ83" s="143"/>
      <c r="EA83" s="143"/>
      <c r="EB83" s="143"/>
      <c r="EC83" s="143"/>
      <c r="ED83" s="143"/>
      <c r="EE83" s="143"/>
      <c r="EF83" s="143"/>
      <c r="EG83" s="143"/>
      <c r="EH83" s="143"/>
      <c r="EI83" s="143"/>
      <c r="EJ83" s="143"/>
      <c r="EK83" s="143"/>
      <c r="EL83" s="143"/>
      <c r="EM83" s="143"/>
      <c r="EN83" s="143"/>
      <c r="EO83" s="143"/>
      <c r="EP83" s="143"/>
      <c r="EQ83" s="143"/>
      <c r="ER83" s="143"/>
      <c r="ES83" s="143"/>
      <c r="ET83" s="143"/>
      <c r="EU83" s="143"/>
      <c r="EV83" s="143"/>
      <c r="EW83" s="143"/>
      <c r="EX83" s="143"/>
      <c r="EY83" s="143"/>
      <c r="EZ83" s="143"/>
      <c r="FA83" s="143"/>
      <c r="FB83" s="143"/>
      <c r="FC83" s="143"/>
      <c r="FD83" s="143"/>
      <c r="FE83" s="143"/>
      <c r="FF83" s="143"/>
      <c r="FG83" s="143"/>
      <c r="FH83" s="143"/>
      <c r="FI83" s="143"/>
      <c r="FJ83" s="143"/>
      <c r="FK83" s="143"/>
      <c r="FL83" s="143"/>
      <c r="FM83" s="143"/>
      <c r="FN83" s="143"/>
      <c r="FO83" s="143"/>
      <c r="FP83" s="143"/>
      <c r="FQ83" s="143"/>
      <c r="FR83" s="143"/>
      <c r="FS83" s="143"/>
      <c r="FT83" s="143"/>
      <c r="FU83" s="143"/>
      <c r="FV83" s="143"/>
      <c r="FW83" s="143"/>
      <c r="FX83" s="143"/>
      <c r="FY83" s="143"/>
      <c r="FZ83" s="143"/>
      <c r="GA83" s="143"/>
      <c r="GB83" s="143"/>
      <c r="GC83" s="143"/>
      <c r="GD83" s="143"/>
      <c r="GE83" s="143"/>
      <c r="GF83" s="143"/>
      <c r="GG83" s="143"/>
      <c r="GH83" s="143"/>
      <c r="GI83" s="143"/>
      <c r="GJ83" s="143"/>
      <c r="GK83" s="143"/>
      <c r="GL83" s="143"/>
      <c r="GM83" s="143"/>
      <c r="GN83" s="143"/>
      <c r="GO83" s="143"/>
      <c r="GP83" s="143"/>
      <c r="GQ83" s="143"/>
      <c r="GR83" s="143"/>
      <c r="GS83" s="143"/>
      <c r="GT83" s="143"/>
      <c r="GU83" s="143"/>
      <c r="GV83" s="143"/>
      <c r="GW83" s="143"/>
      <c r="GX83" s="143"/>
      <c r="GY83" s="143"/>
      <c r="GZ83" s="143"/>
      <c r="HA83" s="143"/>
      <c r="HB83" s="143"/>
      <c r="HC83" s="143"/>
      <c r="HD83" s="143"/>
      <c r="HE83" s="143"/>
      <c r="HF83" s="143"/>
      <c r="HG83" s="143"/>
      <c r="HH83" s="143"/>
      <c r="HI83" s="143"/>
      <c r="HJ83" s="143"/>
      <c r="HK83" s="143"/>
      <c r="HL83" s="143"/>
      <c r="HM83" s="143"/>
      <c r="HN83" s="143"/>
      <c r="HO83" s="143"/>
      <c r="HP83" s="143"/>
      <c r="HQ83" s="143"/>
      <c r="HR83" s="143"/>
      <c r="HS83" s="143"/>
      <c r="HT83" s="143"/>
      <c r="HU83" s="143"/>
      <c r="HV83" s="143"/>
      <c r="HW83" s="143"/>
      <c r="HX83" s="143"/>
      <c r="HY83" s="143"/>
      <c r="HZ83" s="143"/>
      <c r="IA83" s="143"/>
      <c r="IB83" s="143"/>
      <c r="IC83" s="143"/>
      <c r="ID83" s="143"/>
      <c r="IE83" s="143"/>
      <c r="IF83" s="143"/>
      <c r="IG83" s="143"/>
      <c r="IH83" s="143"/>
      <c r="II83" s="143"/>
      <c r="IJ83" s="143"/>
      <c r="IK83" s="143"/>
      <c r="IL83" s="143"/>
      <c r="IM83" s="143"/>
      <c r="IN83" s="143"/>
      <c r="IO83" s="143"/>
      <c r="IP83" s="143"/>
      <c r="IQ83" s="143"/>
      <c r="IR83" s="143"/>
      <c r="IS83" s="143"/>
      <c r="IT83" s="143"/>
      <c r="IU83" s="143"/>
      <c r="IV83" s="143"/>
      <c r="IW83" s="143"/>
      <c r="IX83" s="143"/>
      <c r="IY83" s="143"/>
      <c r="IZ83" s="143"/>
      <c r="JA83" s="143"/>
      <c r="JB83" s="143"/>
      <c r="JC83" s="143"/>
      <c r="JD83" s="143"/>
      <c r="JE83" s="143"/>
      <c r="JF83" s="143"/>
      <c r="JG83" s="143"/>
      <c r="JH83" s="143"/>
      <c r="JI83" s="143"/>
      <c r="JJ83" s="143"/>
      <c r="JK83" s="143"/>
      <c r="JL83" s="143"/>
      <c r="JM83" s="143"/>
      <c r="JN83" s="143"/>
      <c r="JO83" s="143"/>
      <c r="JP83" s="143"/>
      <c r="JQ83" s="143"/>
      <c r="JR83" s="143"/>
      <c r="JS83" s="143"/>
      <c r="JT83" s="143"/>
      <c r="JU83" s="143"/>
      <c r="JV83" s="143"/>
      <c r="JW83" s="143"/>
      <c r="JX83" s="143"/>
      <c r="JY83" s="143"/>
      <c r="JZ83" s="143"/>
      <c r="KA83" s="143"/>
      <c r="KB83" s="143"/>
      <c r="KC83" s="143"/>
      <c r="KD83" s="143"/>
      <c r="KE83" s="143"/>
      <c r="KF83" s="143"/>
      <c r="KG83" s="143"/>
      <c r="KH83" s="143"/>
      <c r="KI83" s="143"/>
      <c r="KJ83" s="143"/>
      <c r="KK83" s="143"/>
      <c r="KL83" s="143"/>
      <c r="KM83" s="143"/>
      <c r="KN83" s="143"/>
      <c r="KO83" s="143"/>
      <c r="KP83" s="143"/>
      <c r="KQ83" s="143"/>
      <c r="KR83" s="143"/>
      <c r="KS83" s="143"/>
      <c r="KT83" s="143"/>
      <c r="KU83" s="143"/>
      <c r="KV83" s="143"/>
      <c r="KW83" s="143"/>
      <c r="KX83" s="143"/>
      <c r="KY83" s="143"/>
      <c r="KZ83" s="143"/>
      <c r="LA83" s="143"/>
      <c r="LB83" s="143"/>
      <c r="LC83" s="143"/>
      <c r="LD83" s="143"/>
      <c r="LE83" s="143"/>
      <c r="LF83" s="143"/>
      <c r="LG83" s="143"/>
      <c r="LH83" s="143"/>
      <c r="LI83" s="143"/>
      <c r="LJ83" s="143"/>
      <c r="LK83" s="143"/>
      <c r="LL83" s="143"/>
      <c r="LM83" s="143"/>
      <c r="LN83" s="143"/>
      <c r="LO83" s="143"/>
      <c r="LP83" s="143"/>
      <c r="LQ83" s="143"/>
      <c r="LR83" s="143"/>
      <c r="LS83" s="143"/>
      <c r="LT83" s="143"/>
      <c r="LU83" s="143"/>
      <c r="LV83" s="143"/>
      <c r="LW83" s="143"/>
      <c r="LX83" s="143"/>
      <c r="LY83" s="143"/>
      <c r="LZ83" s="143"/>
      <c r="MA83" s="143"/>
      <c r="MB83" s="143"/>
      <c r="MC83" s="143"/>
      <c r="MD83" s="143"/>
      <c r="ME83" s="143"/>
      <c r="MF83" s="143"/>
      <c r="MG83" s="143"/>
      <c r="MH83" s="143"/>
      <c r="MI83" s="143"/>
      <c r="MJ83" s="143"/>
      <c r="MK83" s="143"/>
      <c r="ML83" s="143"/>
      <c r="MM83" s="143"/>
      <c r="MN83" s="143"/>
      <c r="MO83" s="143"/>
      <c r="MP83" s="143"/>
      <c r="MQ83" s="143"/>
      <c r="MR83" s="143"/>
      <c r="MS83" s="143"/>
      <c r="MT83" s="143"/>
      <c r="MU83" s="143"/>
      <c r="MV83" s="143"/>
      <c r="MW83" s="143"/>
      <c r="MX83" s="143"/>
      <c r="MY83" s="143"/>
      <c r="MZ83" s="143"/>
      <c r="NA83" s="143"/>
      <c r="NB83" s="143"/>
      <c r="NC83" s="143"/>
      <c r="ND83" s="143"/>
      <c r="NE83" s="143"/>
      <c r="NF83" s="143"/>
      <c r="NG83" s="143"/>
      <c r="NH83" s="143"/>
      <c r="NI83" s="143"/>
      <c r="NJ83" s="143"/>
      <c r="NK83" s="143"/>
      <c r="NL83" s="143"/>
      <c r="NM83" s="143"/>
      <c r="NN83" s="143"/>
      <c r="NO83" s="143"/>
      <c r="NP83" s="143"/>
      <c r="NQ83" s="143"/>
      <c r="NR83" s="143"/>
      <c r="NS83" s="143"/>
      <c r="NT83" s="143"/>
      <c r="NU83" s="143"/>
      <c r="NV83" s="143"/>
      <c r="NW83" s="143"/>
      <c r="NX83" s="143"/>
      <c r="NY83" s="143"/>
      <c r="NZ83" s="143"/>
      <c r="OA83" s="143"/>
      <c r="OB83" s="143"/>
      <c r="OC83" s="143"/>
      <c r="OD83" s="143"/>
      <c r="OE83" s="143"/>
      <c r="OF83" s="143"/>
      <c r="OG83" s="143"/>
      <c r="OH83" s="143"/>
      <c r="OI83" s="143"/>
      <c r="OJ83" s="143"/>
      <c r="OK83" s="143"/>
      <c r="OL83" s="143"/>
      <c r="OM83" s="143"/>
      <c r="ON83" s="143"/>
      <c r="OO83" s="143"/>
      <c r="OP83" s="143"/>
      <c r="OQ83" s="143"/>
      <c r="OR83" s="143"/>
      <c r="OS83" s="143"/>
      <c r="OT83" s="143"/>
      <c r="OU83" s="143"/>
      <c r="OV83" s="143"/>
      <c r="OW83" s="143"/>
      <c r="OX83" s="143"/>
      <c r="OY83" s="143"/>
      <c r="OZ83" s="143"/>
      <c r="PA83" s="143"/>
      <c r="PB83" s="143"/>
      <c r="PC83" s="143"/>
      <c r="PD83" s="143"/>
      <c r="PE83" s="143"/>
      <c r="PF83" s="143"/>
      <c r="PG83" s="143"/>
      <c r="PH83" s="143"/>
      <c r="PI83" s="143"/>
      <c r="PJ83" s="143"/>
      <c r="PK83" s="143"/>
      <c r="PL83" s="143"/>
      <c r="PM83" s="143"/>
      <c r="PN83" s="143"/>
      <c r="PO83" s="143"/>
      <c r="PP83" s="143"/>
      <c r="PQ83" s="143"/>
      <c r="PR83" s="143"/>
      <c r="PS83" s="143"/>
      <c r="PT83" s="143"/>
      <c r="PU83" s="143"/>
      <c r="PV83" s="143"/>
      <c r="PW83" s="143"/>
      <c r="PX83" s="143"/>
      <c r="PY83" s="143"/>
      <c r="PZ83" s="143"/>
      <c r="QA83" s="143"/>
      <c r="QB83" s="143"/>
      <c r="QC83" s="143"/>
      <c r="QD83" s="143"/>
      <c r="QE83" s="143"/>
      <c r="QF83" s="143"/>
      <c r="QG83" s="143"/>
      <c r="QH83" s="143"/>
      <c r="QI83" s="143"/>
      <c r="QJ83" s="143"/>
      <c r="QK83" s="143"/>
      <c r="QL83" s="143"/>
      <c r="QM83" s="143"/>
      <c r="QN83" s="143"/>
      <c r="QO83" s="143"/>
      <c r="QP83" s="143"/>
      <c r="QQ83" s="143"/>
      <c r="QR83" s="143"/>
      <c r="QS83" s="143"/>
      <c r="QT83" s="143"/>
      <c r="QU83" s="143"/>
      <c r="QV83" s="143"/>
      <c r="QW83" s="143"/>
      <c r="QX83" s="143"/>
      <c r="QY83" s="143"/>
      <c r="QZ83" s="143"/>
      <c r="RA83" s="143"/>
      <c r="RB83" s="143"/>
      <c r="RC83" s="143"/>
      <c r="RD83" s="143"/>
      <c r="RE83" s="143"/>
      <c r="RF83" s="143"/>
      <c r="RG83" s="143"/>
      <c r="RH83" s="143"/>
      <c r="RI83" s="143"/>
      <c r="RJ83" s="143"/>
      <c r="RK83" s="143"/>
      <c r="RL83" s="143"/>
      <c r="RM83" s="143"/>
      <c r="RN83" s="143"/>
      <c r="RO83" s="143"/>
      <c r="RP83" s="143"/>
      <c r="RQ83" s="143"/>
      <c r="RR83" s="143"/>
      <c r="RS83" s="143"/>
      <c r="RT83" s="143"/>
      <c r="RU83" s="143"/>
      <c r="RV83" s="143"/>
      <c r="RW83" s="143"/>
      <c r="RX83" s="143"/>
      <c r="RY83" s="143"/>
      <c r="RZ83" s="143"/>
      <c r="SA83" s="143"/>
      <c r="SB83" s="143"/>
      <c r="SC83" s="143"/>
      <c r="SD83" s="143"/>
      <c r="SE83" s="143"/>
      <c r="SF83" s="143"/>
      <c r="SG83" s="143"/>
      <c r="SH83" s="143"/>
      <c r="SI83" s="143"/>
      <c r="SJ83" s="143"/>
      <c r="SK83" s="143"/>
      <c r="SL83" s="143"/>
      <c r="SM83" s="143"/>
      <c r="SN83" s="143"/>
      <c r="SO83" s="143"/>
      <c r="SP83" s="143"/>
      <c r="SQ83" s="143"/>
      <c r="SR83" s="143"/>
      <c r="SS83" s="143"/>
      <c r="ST83" s="143"/>
      <c r="SU83" s="143"/>
      <c r="SV83" s="143"/>
      <c r="SW83" s="143"/>
      <c r="SX83" s="143"/>
      <c r="SY83" s="143"/>
      <c r="SZ83" s="143"/>
      <c r="TA83" s="143"/>
      <c r="TB83" s="143"/>
      <c r="TC83" s="143"/>
      <c r="TD83" s="143"/>
      <c r="TE83" s="143"/>
      <c r="TF83" s="143"/>
      <c r="TG83" s="143"/>
      <c r="TH83" s="143"/>
      <c r="TI83" s="143"/>
      <c r="TJ83" s="143"/>
      <c r="TK83" s="143"/>
      <c r="TL83" s="143"/>
      <c r="TM83" s="143"/>
      <c r="TN83" s="143"/>
      <c r="TO83" s="143"/>
      <c r="TP83" s="143"/>
      <c r="TQ83" s="143"/>
      <c r="TR83" s="143"/>
      <c r="TS83" s="143"/>
      <c r="TT83" s="143"/>
      <c r="TU83" s="143"/>
      <c r="TV83" s="143"/>
      <c r="TW83" s="143"/>
      <c r="TX83" s="143"/>
      <c r="TY83" s="143"/>
      <c r="TZ83" s="143"/>
      <c r="UA83" s="143"/>
      <c r="UB83" s="143"/>
      <c r="UC83" s="143"/>
      <c r="UD83" s="143"/>
      <c r="UE83" s="143"/>
      <c r="UF83" s="143"/>
      <c r="UG83" s="143"/>
      <c r="UH83" s="143"/>
      <c r="UI83" s="143"/>
      <c r="UJ83" s="143"/>
      <c r="UK83" s="143"/>
      <c r="UL83" s="143"/>
      <c r="UM83" s="143"/>
      <c r="UN83" s="143"/>
      <c r="UO83" s="143"/>
      <c r="UP83" s="143"/>
      <c r="UQ83" s="143"/>
      <c r="UR83" s="143"/>
      <c r="US83" s="143"/>
      <c r="UT83" s="143"/>
      <c r="UU83" s="143"/>
      <c r="UV83" s="143"/>
      <c r="UW83" s="143"/>
      <c r="UX83" s="143"/>
      <c r="UY83" s="143"/>
      <c r="UZ83" s="143"/>
      <c r="VA83" s="143"/>
      <c r="VB83" s="143"/>
      <c r="VC83" s="143"/>
      <c r="VD83" s="143"/>
      <c r="VE83" s="143"/>
      <c r="VF83" s="143"/>
      <c r="VG83" s="143"/>
      <c r="VH83" s="143"/>
      <c r="VI83" s="143"/>
      <c r="VJ83" s="143"/>
      <c r="VK83" s="143"/>
      <c r="VL83" s="143"/>
      <c r="VM83" s="143"/>
      <c r="VN83" s="143"/>
      <c r="VO83" s="143"/>
      <c r="VP83" s="143"/>
      <c r="VQ83" s="143"/>
      <c r="VR83" s="143"/>
      <c r="VS83" s="143"/>
      <c r="VT83" s="143"/>
      <c r="VU83" s="143"/>
      <c r="VV83" s="143"/>
      <c r="VW83" s="143"/>
      <c r="VX83" s="143"/>
      <c r="VY83" s="143"/>
      <c r="VZ83" s="143"/>
      <c r="WA83" s="143"/>
      <c r="WB83" s="143"/>
      <c r="WC83" s="143"/>
      <c r="WD83" s="143"/>
      <c r="WE83" s="143"/>
      <c r="WF83" s="143"/>
      <c r="WG83" s="143"/>
      <c r="WH83" s="143"/>
      <c r="WI83" s="143"/>
      <c r="WJ83" s="143"/>
      <c r="WK83" s="143"/>
      <c r="WL83" s="143"/>
      <c r="WM83" s="143"/>
      <c r="WN83" s="143"/>
      <c r="WO83" s="143"/>
      <c r="WP83" s="143"/>
      <c r="WQ83" s="143"/>
      <c r="WR83" s="143"/>
      <c r="WS83" s="143"/>
      <c r="WT83" s="143"/>
      <c r="WU83" s="143"/>
      <c r="WV83" s="143"/>
      <c r="WW83" s="143"/>
      <c r="WX83" s="143"/>
      <c r="WY83" s="143"/>
      <c r="WZ83" s="143"/>
      <c r="XA83" s="143"/>
      <c r="XB83" s="143"/>
      <c r="XC83" s="143"/>
      <c r="XD83" s="143"/>
      <c r="XE83" s="143"/>
      <c r="XF83" s="143"/>
      <c r="XG83" s="143"/>
      <c r="XH83" s="143"/>
      <c r="XI83" s="143"/>
      <c r="XJ83" s="143"/>
      <c r="XK83" s="143"/>
      <c r="XL83" s="143"/>
      <c r="XM83" s="143"/>
      <c r="XN83" s="143"/>
      <c r="XO83" s="143"/>
      <c r="XP83" s="143"/>
      <c r="XQ83" s="143"/>
      <c r="XR83" s="143"/>
      <c r="XS83" s="143"/>
      <c r="XT83" s="143"/>
      <c r="XU83" s="143"/>
      <c r="XV83" s="143"/>
      <c r="XW83" s="143"/>
      <c r="XX83" s="143"/>
      <c r="XY83" s="143"/>
      <c r="XZ83" s="143"/>
      <c r="YA83" s="143"/>
      <c r="YB83" s="143"/>
      <c r="YC83" s="143"/>
      <c r="YD83" s="143"/>
      <c r="YE83" s="143"/>
      <c r="YF83" s="143"/>
      <c r="YG83" s="143"/>
      <c r="YH83" s="143"/>
      <c r="YI83" s="143"/>
      <c r="YJ83" s="143"/>
      <c r="YK83" s="143"/>
      <c r="YL83" s="143"/>
      <c r="YM83" s="143"/>
      <c r="YN83" s="143"/>
      <c r="YO83" s="143"/>
      <c r="YP83" s="143"/>
      <c r="YQ83" s="143"/>
      <c r="YR83" s="143"/>
      <c r="YS83" s="143"/>
      <c r="YT83" s="143"/>
      <c r="YU83" s="143"/>
      <c r="YV83" s="143"/>
      <c r="YW83" s="143"/>
      <c r="YX83" s="143"/>
      <c r="YY83" s="143"/>
      <c r="YZ83" s="143"/>
      <c r="ZA83" s="143"/>
      <c r="ZB83" s="143"/>
      <c r="ZC83" s="143"/>
      <c r="ZD83" s="143"/>
      <c r="ZE83" s="143"/>
      <c r="ZF83" s="143"/>
      <c r="ZG83" s="143"/>
      <c r="ZH83" s="143"/>
      <c r="ZI83" s="143"/>
      <c r="ZJ83" s="143"/>
      <c r="ZK83" s="143"/>
      <c r="ZL83" s="143"/>
      <c r="ZM83" s="143"/>
      <c r="ZN83" s="143"/>
      <c r="ZO83" s="143"/>
      <c r="ZP83" s="143"/>
      <c r="ZQ83" s="143"/>
      <c r="ZR83" s="143"/>
      <c r="ZS83" s="143"/>
      <c r="ZT83" s="143"/>
      <c r="ZU83" s="143"/>
      <c r="ZV83" s="143"/>
      <c r="ZW83" s="143"/>
      <c r="ZX83" s="143"/>
      <c r="ZY83" s="143"/>
      <c r="ZZ83" s="143"/>
      <c r="AAA83" s="143"/>
      <c r="AAB83" s="143"/>
      <c r="AAC83" s="143"/>
      <c r="AAD83" s="143"/>
      <c r="AAE83" s="143"/>
      <c r="AAF83" s="143"/>
      <c r="AAG83" s="143"/>
      <c r="AAH83" s="143"/>
      <c r="AAI83" s="143"/>
      <c r="AAJ83" s="143"/>
      <c r="AAK83" s="143"/>
      <c r="AAL83" s="143"/>
      <c r="AAM83" s="143"/>
      <c r="AAN83" s="143"/>
      <c r="AAO83" s="143"/>
      <c r="AAP83" s="143"/>
      <c r="AAQ83" s="143"/>
      <c r="AAR83" s="143"/>
      <c r="AAS83" s="143"/>
      <c r="AAT83" s="143"/>
      <c r="AAU83" s="143"/>
      <c r="AAV83" s="143"/>
      <c r="AAW83" s="143"/>
      <c r="AAX83" s="143"/>
      <c r="AAY83" s="143"/>
      <c r="AAZ83" s="143"/>
      <c r="ABA83" s="143"/>
      <c r="ABB83" s="143"/>
      <c r="ABC83" s="143"/>
      <c r="ABD83" s="143"/>
      <c r="ABE83" s="143"/>
      <c r="ABF83" s="143"/>
      <c r="ABG83" s="143"/>
      <c r="ABH83" s="143"/>
      <c r="ABI83" s="143"/>
      <c r="ABJ83" s="143"/>
      <c r="ABK83" s="143"/>
      <c r="ABL83" s="143"/>
      <c r="ABM83" s="143"/>
      <c r="ABN83" s="143"/>
      <c r="ABO83" s="143"/>
      <c r="ABP83" s="143"/>
      <c r="ABQ83" s="143"/>
      <c r="ABR83" s="143"/>
      <c r="ABS83" s="143"/>
      <c r="ABT83" s="143"/>
      <c r="ABU83" s="143"/>
      <c r="ABV83" s="143"/>
      <c r="ABW83" s="143"/>
      <c r="ABX83" s="143"/>
      <c r="ABY83" s="143"/>
      <c r="ABZ83" s="143"/>
      <c r="ACA83" s="143"/>
      <c r="ACB83" s="143"/>
      <c r="ACC83" s="143"/>
      <c r="ACD83" s="143"/>
      <c r="ACE83" s="143"/>
      <c r="ACF83" s="143"/>
      <c r="ACG83" s="143"/>
      <c r="ACH83" s="143"/>
      <c r="ACI83" s="143"/>
      <c r="ACJ83" s="143"/>
      <c r="ACK83" s="143"/>
      <c r="ACL83" s="143"/>
      <c r="ACM83" s="143"/>
      <c r="ACN83" s="143"/>
      <c r="ACO83" s="143"/>
      <c r="ACP83" s="143"/>
      <c r="ACQ83" s="143"/>
      <c r="ACR83" s="143"/>
      <c r="ACS83" s="143"/>
      <c r="ACT83" s="143"/>
      <c r="ACU83" s="143"/>
      <c r="ACV83" s="143"/>
      <c r="ACW83" s="143"/>
      <c r="ACX83" s="143"/>
      <c r="ACY83" s="143"/>
      <c r="ACZ83" s="143"/>
      <c r="ADA83" s="143"/>
      <c r="ADB83" s="143"/>
      <c r="ADC83" s="143"/>
      <c r="ADD83" s="143"/>
      <c r="ADE83" s="143"/>
      <c r="ADF83" s="143"/>
      <c r="ADG83" s="143"/>
      <c r="ADH83" s="143"/>
      <c r="ADI83" s="143"/>
      <c r="ADJ83" s="143"/>
      <c r="ADK83" s="143"/>
      <c r="ADL83" s="143"/>
      <c r="ADM83" s="143"/>
      <c r="ADN83" s="143"/>
      <c r="ADO83" s="143"/>
      <c r="ADP83" s="143"/>
      <c r="ADQ83" s="143"/>
      <c r="ADR83" s="143"/>
      <c r="ADS83" s="143"/>
      <c r="ADT83" s="143"/>
      <c r="ADU83" s="143"/>
      <c r="ADV83" s="143"/>
      <c r="ADW83" s="143"/>
      <c r="ADX83" s="143"/>
      <c r="ADY83" s="143"/>
      <c r="ADZ83" s="143"/>
      <c r="AEA83" s="143"/>
      <c r="AEB83" s="143"/>
      <c r="AEC83" s="143"/>
      <c r="AED83" s="143"/>
      <c r="AEE83" s="143"/>
      <c r="AEF83" s="143"/>
      <c r="AEG83" s="143"/>
      <c r="AEH83" s="143"/>
      <c r="AEI83" s="143"/>
      <c r="AEJ83" s="143"/>
      <c r="AEK83" s="143"/>
      <c r="AEL83" s="143"/>
      <c r="AEM83" s="143"/>
      <c r="AEN83" s="143"/>
      <c r="AEO83" s="143"/>
      <c r="AEP83" s="143"/>
      <c r="AEQ83" s="143"/>
      <c r="AER83" s="143"/>
      <c r="AES83" s="143"/>
      <c r="AET83" s="143"/>
      <c r="AEU83" s="143"/>
      <c r="AEV83" s="143"/>
      <c r="AEW83" s="143"/>
      <c r="AEX83" s="143"/>
      <c r="AEY83" s="143"/>
      <c r="AEZ83" s="143"/>
      <c r="AFA83" s="143"/>
      <c r="AFB83" s="143"/>
      <c r="AFC83" s="143"/>
      <c r="AFD83" s="143"/>
      <c r="AFE83" s="143"/>
      <c r="AFF83" s="143"/>
      <c r="AFG83" s="143"/>
      <c r="AFH83" s="143"/>
      <c r="AFI83" s="143"/>
      <c r="AFJ83" s="143"/>
      <c r="AFK83" s="143"/>
      <c r="AFL83" s="143"/>
      <c r="AFM83" s="143"/>
      <c r="AFN83" s="143"/>
      <c r="AFO83" s="143"/>
      <c r="AFP83" s="143"/>
      <c r="AFQ83" s="143"/>
      <c r="AFR83" s="143"/>
      <c r="AFS83" s="143"/>
      <c r="AFT83" s="143"/>
      <c r="AFU83" s="143"/>
      <c r="AFV83" s="143"/>
      <c r="AFW83" s="143"/>
      <c r="AFX83" s="143"/>
      <c r="AFY83" s="143"/>
      <c r="AFZ83" s="143"/>
      <c r="AGA83" s="143"/>
      <c r="AGB83" s="143"/>
      <c r="AGC83" s="143"/>
      <c r="AGD83" s="143"/>
      <c r="AGE83" s="143"/>
      <c r="AGF83" s="143"/>
      <c r="AGG83" s="143"/>
      <c r="AGH83" s="143"/>
      <c r="AGI83" s="143"/>
      <c r="AGJ83" s="143"/>
      <c r="AGK83" s="143"/>
      <c r="AGL83" s="143"/>
      <c r="AGM83" s="143"/>
      <c r="AGN83" s="143"/>
      <c r="AGO83" s="143"/>
      <c r="AGP83" s="143"/>
      <c r="AGQ83" s="143"/>
      <c r="AGR83" s="143"/>
      <c r="AGS83" s="143"/>
      <c r="AGT83" s="143"/>
      <c r="AGU83" s="143"/>
      <c r="AGV83" s="143"/>
      <c r="AGW83" s="143"/>
      <c r="AGX83" s="143"/>
      <c r="AGY83" s="143"/>
      <c r="AGZ83" s="143"/>
      <c r="AHA83" s="143"/>
      <c r="AHB83" s="143"/>
      <c r="AHC83" s="143"/>
      <c r="AHD83" s="143"/>
      <c r="AHE83" s="143"/>
      <c r="AHF83" s="143"/>
      <c r="AHG83" s="143"/>
      <c r="AHH83" s="143"/>
      <c r="AHI83" s="143"/>
      <c r="AHJ83" s="143"/>
      <c r="AHK83" s="143"/>
      <c r="AHL83" s="143"/>
      <c r="AHM83" s="143"/>
      <c r="AHN83" s="143"/>
      <c r="AHO83" s="143"/>
      <c r="AHP83" s="143"/>
      <c r="AHQ83" s="143"/>
      <c r="AHR83" s="143"/>
      <c r="AHS83" s="143"/>
      <c r="AHT83" s="143"/>
      <c r="AHU83" s="143"/>
      <c r="AHV83" s="143"/>
      <c r="AHW83" s="143"/>
      <c r="AHX83" s="143"/>
      <c r="AHY83" s="143"/>
      <c r="AHZ83" s="143"/>
      <c r="AIA83" s="143"/>
      <c r="AIB83" s="143"/>
      <c r="AIC83" s="143"/>
      <c r="AID83" s="143"/>
      <c r="AIE83" s="143"/>
      <c r="AIF83" s="143"/>
      <c r="AIG83" s="143"/>
      <c r="AIH83" s="143"/>
      <c r="AII83" s="143"/>
      <c r="AIJ83" s="143"/>
      <c r="AIK83" s="143"/>
      <c r="AIL83" s="143"/>
      <c r="AIM83" s="143"/>
      <c r="AIN83" s="143"/>
      <c r="AIO83" s="143"/>
      <c r="AIP83" s="143"/>
      <c r="AIQ83" s="143"/>
      <c r="AIR83" s="143"/>
      <c r="AIS83" s="143"/>
      <c r="AIT83" s="143"/>
      <c r="AIU83" s="143"/>
      <c r="AIV83" s="143"/>
      <c r="AIW83" s="143"/>
      <c r="AIX83" s="143"/>
      <c r="AIY83" s="143"/>
      <c r="AIZ83" s="143"/>
      <c r="AJA83" s="143"/>
      <c r="AJB83" s="143"/>
      <c r="AJC83" s="143"/>
      <c r="AJD83" s="143"/>
      <c r="AJE83" s="143"/>
      <c r="AJF83" s="143"/>
      <c r="AJG83" s="143"/>
      <c r="AJH83" s="143"/>
      <c r="AJI83" s="143"/>
      <c r="AJJ83" s="143"/>
      <c r="AJK83" s="143"/>
      <c r="AJL83" s="143"/>
      <c r="AJM83" s="143"/>
      <c r="AJN83" s="143"/>
      <c r="AJO83" s="143"/>
      <c r="AJP83" s="143"/>
      <c r="AJQ83" s="143"/>
      <c r="AJR83" s="143"/>
      <c r="AJS83" s="143"/>
      <c r="AJT83" s="143"/>
      <c r="AJU83" s="143"/>
      <c r="AJV83" s="143"/>
      <c r="AJW83" s="143"/>
      <c r="AJX83" s="143"/>
      <c r="AJY83" s="143"/>
      <c r="AJZ83" s="143"/>
      <c r="AKA83" s="143"/>
      <c r="AKB83" s="143"/>
      <c r="AKC83" s="143"/>
      <c r="AKD83" s="143"/>
      <c r="AKE83" s="143"/>
      <c r="AKF83" s="143"/>
      <c r="AKG83" s="143"/>
      <c r="AKH83" s="143"/>
      <c r="AKI83" s="143"/>
      <c r="AKJ83" s="143"/>
      <c r="AKK83" s="143"/>
      <c r="AKL83" s="143"/>
      <c r="AKM83" s="143"/>
      <c r="AKN83" s="143"/>
      <c r="AKO83" s="143"/>
      <c r="AKP83" s="143"/>
      <c r="AKQ83" s="143"/>
      <c r="AKR83" s="143"/>
      <c r="AKS83" s="143"/>
      <c r="AKT83" s="143"/>
      <c r="AKU83" s="143"/>
      <c r="AKV83" s="143"/>
      <c r="AKW83" s="143"/>
      <c r="AKX83" s="143"/>
      <c r="AKY83" s="143"/>
      <c r="AKZ83" s="143"/>
      <c r="ALA83" s="143"/>
      <c r="ALB83" s="143"/>
      <c r="ALC83" s="143"/>
      <c r="ALD83" s="143"/>
      <c r="ALE83" s="143"/>
      <c r="ALF83" s="143"/>
      <c r="ALG83" s="143"/>
      <c r="ALH83" s="143"/>
      <c r="ALI83" s="143"/>
      <c r="ALJ83" s="143"/>
      <c r="ALK83" s="143"/>
      <c r="ALL83" s="143"/>
      <c r="ALM83" s="143"/>
      <c r="ALN83" s="143"/>
      <c r="ALO83" s="143"/>
      <c r="ALP83" s="143"/>
      <c r="ALQ83" s="143"/>
      <c r="ALR83" s="143"/>
      <c r="ALS83" s="143"/>
      <c r="ALT83" s="143"/>
      <c r="ALU83" s="143"/>
      <c r="ALV83" s="143"/>
      <c r="ALW83" s="143"/>
      <c r="ALX83" s="143"/>
      <c r="ALY83" s="143"/>
      <c r="ALZ83" s="143"/>
      <c r="AMA83" s="143"/>
      <c r="AMB83" s="143"/>
      <c r="AMC83" s="143"/>
      <c r="AMD83" s="143"/>
      <c r="AME83" s="143"/>
      <c r="AMF83" s="143"/>
      <c r="AMG83" s="143"/>
      <c r="AMH83" s="143"/>
      <c r="AMI83" s="143"/>
      <c r="AMJ83" s="143"/>
      <c r="AMK83" s="143"/>
      <c r="AML83" s="143"/>
      <c r="AMM83" s="143"/>
      <c r="AMN83" s="143"/>
      <c r="AMO83" s="143"/>
      <c r="AMP83" s="143"/>
      <c r="AMQ83" s="143"/>
      <c r="AMR83" s="143"/>
      <c r="AMS83" s="143"/>
      <c r="AMT83" s="143"/>
      <c r="AMU83" s="143"/>
      <c r="AMV83" s="143"/>
      <c r="AMW83" s="143"/>
      <c r="AMX83" s="143"/>
      <c r="AMY83" s="143"/>
      <c r="AMZ83" s="143"/>
      <c r="ANA83" s="143"/>
      <c r="ANB83" s="143"/>
      <c r="ANC83" s="143"/>
      <c r="AND83" s="143"/>
      <c r="ANE83" s="143"/>
      <c r="ANF83" s="143"/>
      <c r="ANG83" s="143"/>
      <c r="ANH83" s="143"/>
      <c r="ANI83" s="143"/>
      <c r="ANJ83" s="143"/>
      <c r="ANK83" s="143"/>
      <c r="ANL83" s="143"/>
      <c r="ANM83" s="143"/>
      <c r="ANN83" s="143"/>
      <c r="ANO83" s="143"/>
      <c r="ANP83" s="143"/>
      <c r="ANQ83" s="143"/>
      <c r="ANR83" s="143"/>
      <c r="ANS83" s="143"/>
      <c r="ANT83" s="143"/>
      <c r="ANU83" s="143"/>
      <c r="ANV83" s="143"/>
      <c r="ANW83" s="143"/>
      <c r="ANX83" s="143"/>
      <c r="ANY83" s="143"/>
      <c r="ANZ83" s="143"/>
      <c r="AOA83" s="143"/>
      <c r="AOB83" s="143"/>
      <c r="AOC83" s="143"/>
      <c r="AOD83" s="143"/>
      <c r="AOE83" s="143"/>
      <c r="AOF83" s="143"/>
      <c r="AOG83" s="143"/>
      <c r="AOH83" s="143"/>
      <c r="AOI83" s="143"/>
      <c r="AOJ83" s="143"/>
      <c r="AOK83" s="143"/>
      <c r="AOL83" s="143"/>
      <c r="AOM83" s="143"/>
      <c r="AON83" s="143"/>
      <c r="AOO83" s="143"/>
      <c r="AOP83" s="143"/>
      <c r="AOQ83" s="143"/>
      <c r="AOR83" s="143"/>
      <c r="AOS83" s="143"/>
      <c r="AOT83" s="143"/>
      <c r="AOU83" s="143"/>
      <c r="AOV83" s="143"/>
      <c r="AOW83" s="143"/>
      <c r="AOX83" s="143"/>
      <c r="AOY83" s="143"/>
      <c r="AOZ83" s="143"/>
      <c r="APA83" s="143"/>
      <c r="APB83" s="143"/>
      <c r="APC83" s="143"/>
      <c r="APD83" s="143"/>
      <c r="APE83" s="143"/>
      <c r="APF83" s="143"/>
      <c r="APG83" s="143"/>
      <c r="APH83" s="143"/>
      <c r="API83" s="143"/>
      <c r="APJ83" s="143"/>
      <c r="APK83" s="143"/>
      <c r="APL83" s="143"/>
      <c r="APM83" s="143"/>
      <c r="APN83" s="143"/>
      <c r="APO83" s="143"/>
      <c r="APP83" s="143"/>
      <c r="APQ83" s="143"/>
      <c r="APR83" s="143"/>
      <c r="APS83" s="143"/>
      <c r="APT83" s="143"/>
      <c r="APU83" s="143"/>
      <c r="APV83" s="143"/>
      <c r="APW83" s="143"/>
      <c r="APX83" s="143"/>
      <c r="APY83" s="143"/>
      <c r="APZ83" s="143"/>
      <c r="AQA83" s="143"/>
      <c r="AQB83" s="143"/>
      <c r="AQC83" s="143"/>
      <c r="AQD83" s="143"/>
      <c r="AQE83" s="143"/>
      <c r="AQF83" s="143"/>
      <c r="AQG83" s="143"/>
      <c r="AQH83" s="143"/>
      <c r="AQI83" s="143"/>
      <c r="AQJ83" s="143"/>
      <c r="AQK83" s="143"/>
      <c r="AQL83" s="143"/>
      <c r="AQM83" s="143"/>
      <c r="AQN83" s="143"/>
      <c r="AQO83" s="143"/>
      <c r="AQP83" s="143"/>
      <c r="AQQ83" s="143"/>
      <c r="AQR83" s="143"/>
      <c r="AQS83" s="143"/>
      <c r="AQT83" s="143"/>
      <c r="AQU83" s="143"/>
      <c r="AQV83" s="143"/>
      <c r="AQW83" s="143"/>
      <c r="AQX83" s="143"/>
      <c r="AQY83" s="143"/>
      <c r="AQZ83" s="143"/>
      <c r="ARA83" s="143"/>
      <c r="ARB83" s="143"/>
      <c r="ARC83" s="143"/>
      <c r="ARD83" s="143"/>
      <c r="ARE83" s="143"/>
      <c r="ARF83" s="143"/>
      <c r="ARG83" s="143"/>
      <c r="ARH83" s="143"/>
      <c r="ARI83" s="143"/>
      <c r="ARJ83" s="143"/>
      <c r="ARK83" s="143"/>
      <c r="ARL83" s="143"/>
      <c r="ARM83" s="143"/>
      <c r="ARN83" s="143"/>
      <c r="ARO83" s="143"/>
      <c r="ARP83" s="143"/>
      <c r="ARQ83" s="143"/>
      <c r="ARR83" s="143"/>
      <c r="ARS83" s="143"/>
      <c r="ART83" s="143"/>
      <c r="ARU83" s="143"/>
      <c r="ARV83" s="143"/>
      <c r="ARW83" s="143"/>
      <c r="ARX83" s="143"/>
      <c r="ARY83" s="143"/>
      <c r="ARZ83" s="143"/>
      <c r="ASA83" s="143"/>
      <c r="ASB83" s="143"/>
      <c r="ASC83" s="143"/>
      <c r="ASD83" s="143"/>
      <c r="ASE83" s="143"/>
      <c r="ASF83" s="143"/>
      <c r="ASG83" s="143"/>
      <c r="ASH83" s="143"/>
      <c r="ASI83" s="143"/>
      <c r="ASJ83" s="143"/>
      <c r="ASK83" s="143"/>
      <c r="ASL83" s="143"/>
      <c r="ASM83" s="143"/>
      <c r="ASN83" s="143"/>
      <c r="ASO83" s="143"/>
      <c r="ASP83" s="143"/>
      <c r="ASQ83" s="143"/>
      <c r="ASR83" s="143"/>
      <c r="ASS83" s="143"/>
      <c r="AST83" s="143"/>
      <c r="ASU83" s="143"/>
      <c r="ASV83" s="143"/>
      <c r="ASW83" s="143"/>
      <c r="ASX83" s="143"/>
      <c r="ASY83" s="143"/>
      <c r="ASZ83" s="143"/>
      <c r="ATA83" s="143"/>
      <c r="ATB83" s="143"/>
      <c r="ATC83" s="143"/>
      <c r="ATD83" s="143"/>
      <c r="ATE83" s="143"/>
      <c r="ATF83" s="143"/>
      <c r="ATG83" s="143"/>
      <c r="ATH83" s="143"/>
      <c r="ATI83" s="143"/>
      <c r="ATJ83" s="143"/>
      <c r="ATK83" s="143"/>
      <c r="ATL83" s="143"/>
      <c r="ATM83" s="143"/>
      <c r="ATN83" s="143"/>
      <c r="ATO83" s="143"/>
      <c r="ATP83" s="143"/>
      <c r="ATQ83" s="143"/>
      <c r="ATR83" s="143"/>
      <c r="ATS83" s="143"/>
      <c r="ATT83" s="143"/>
      <c r="ATU83" s="143"/>
      <c r="ATV83" s="143"/>
      <c r="ATW83" s="143"/>
      <c r="ATX83" s="143"/>
      <c r="ATY83" s="143"/>
      <c r="ATZ83" s="143"/>
      <c r="AUA83" s="143"/>
      <c r="AUB83" s="143"/>
      <c r="AUC83" s="143"/>
      <c r="AUD83" s="143"/>
      <c r="AUE83" s="143"/>
      <c r="AUF83" s="143"/>
      <c r="AUG83" s="143"/>
      <c r="AUH83" s="143"/>
      <c r="AUI83" s="143"/>
      <c r="AUJ83" s="143"/>
      <c r="AUK83" s="143"/>
      <c r="AUL83" s="143"/>
      <c r="AUM83" s="143"/>
      <c r="AUN83" s="143"/>
      <c r="AUO83" s="143"/>
      <c r="AUP83" s="143"/>
      <c r="AUQ83" s="143"/>
      <c r="AUR83" s="143"/>
      <c r="AUS83" s="143"/>
      <c r="AUT83" s="143"/>
      <c r="AUU83" s="143"/>
      <c r="AUV83" s="143"/>
      <c r="AUW83" s="143"/>
      <c r="AUX83" s="143"/>
      <c r="AUY83" s="143"/>
      <c r="AUZ83" s="143"/>
      <c r="AVA83" s="143"/>
      <c r="AVB83" s="143"/>
      <c r="AVC83" s="143"/>
      <c r="AVD83" s="143"/>
      <c r="AVE83" s="143"/>
      <c r="AVF83" s="143"/>
      <c r="AVG83" s="143"/>
      <c r="AVH83" s="143"/>
      <c r="AVI83" s="143"/>
      <c r="AVJ83" s="143"/>
      <c r="AVK83" s="143"/>
      <c r="AVL83" s="143"/>
      <c r="AVM83" s="143"/>
      <c r="AVN83" s="143"/>
      <c r="AVO83" s="143"/>
      <c r="AVP83" s="143"/>
      <c r="AVQ83" s="143"/>
      <c r="AVR83" s="143"/>
      <c r="AVS83" s="143"/>
      <c r="AVT83" s="143"/>
      <c r="AVU83" s="143"/>
      <c r="AVV83" s="143"/>
      <c r="AVW83" s="143"/>
      <c r="AVX83" s="143"/>
      <c r="AVY83" s="143"/>
      <c r="AVZ83" s="143"/>
      <c r="AWA83" s="143"/>
      <c r="AWB83" s="143"/>
      <c r="AWC83" s="143"/>
      <c r="AWD83" s="143"/>
      <c r="AWE83" s="143"/>
      <c r="AWF83" s="143"/>
      <c r="AWG83" s="143"/>
      <c r="AWH83" s="143"/>
      <c r="AWI83" s="143"/>
      <c r="AWJ83" s="143"/>
      <c r="AWK83" s="143"/>
      <c r="AWL83" s="143"/>
      <c r="AWM83" s="143"/>
      <c r="AWN83" s="143"/>
      <c r="AWO83" s="143"/>
      <c r="AWP83" s="143"/>
      <c r="AWQ83" s="143"/>
      <c r="AWR83" s="143"/>
      <c r="AWS83" s="143"/>
      <c r="AWT83" s="143"/>
      <c r="AWU83" s="143"/>
      <c r="AWV83" s="143"/>
      <c r="AWW83" s="143"/>
      <c r="AWX83" s="143"/>
      <c r="AWY83" s="143"/>
      <c r="AWZ83" s="143"/>
      <c r="AXA83" s="143"/>
      <c r="AXB83" s="143"/>
      <c r="AXC83" s="143"/>
      <c r="AXD83" s="143"/>
      <c r="AXE83" s="143"/>
      <c r="AXF83" s="143"/>
      <c r="AXG83" s="143"/>
      <c r="AXH83" s="143"/>
      <c r="AXI83" s="143"/>
      <c r="AXJ83" s="143"/>
      <c r="AXK83" s="143"/>
      <c r="AXL83" s="143"/>
      <c r="AXM83" s="143"/>
      <c r="AXN83" s="143"/>
      <c r="AXO83" s="143"/>
      <c r="AXP83" s="143"/>
      <c r="AXQ83" s="143"/>
      <c r="AXR83" s="143"/>
      <c r="AXS83" s="143"/>
      <c r="AXT83" s="143"/>
      <c r="AXU83" s="143"/>
      <c r="AXV83" s="143"/>
      <c r="AXW83" s="143"/>
      <c r="AXX83" s="143"/>
      <c r="AXY83" s="143"/>
      <c r="AXZ83" s="143"/>
      <c r="AYA83" s="143"/>
      <c r="AYB83" s="143"/>
      <c r="AYC83" s="143"/>
      <c r="AYD83" s="143"/>
      <c r="AYE83" s="143"/>
      <c r="AYF83" s="143"/>
      <c r="AYG83" s="143"/>
      <c r="AYH83" s="143"/>
      <c r="AYI83" s="143"/>
      <c r="AYJ83" s="143"/>
      <c r="AYK83" s="143"/>
      <c r="AYL83" s="143"/>
      <c r="AYM83" s="143"/>
      <c r="AYN83" s="143"/>
      <c r="AYO83" s="143"/>
      <c r="AYP83" s="143"/>
      <c r="AYQ83" s="143"/>
      <c r="AYR83" s="143"/>
      <c r="AYS83" s="143"/>
      <c r="AYT83" s="143"/>
      <c r="AYU83" s="143"/>
      <c r="AYV83" s="143"/>
      <c r="AYW83" s="143"/>
      <c r="AYX83" s="143"/>
      <c r="AYY83" s="143"/>
      <c r="AYZ83" s="143"/>
      <c r="AZA83" s="143"/>
      <c r="AZB83" s="143"/>
      <c r="AZC83" s="143"/>
      <c r="AZD83" s="143"/>
      <c r="AZE83" s="143"/>
      <c r="AZF83" s="143"/>
      <c r="AZG83" s="143"/>
      <c r="AZH83" s="143"/>
      <c r="AZI83" s="143"/>
      <c r="AZJ83" s="143"/>
      <c r="AZK83" s="143"/>
      <c r="AZL83" s="143"/>
      <c r="AZM83" s="143"/>
      <c r="AZN83" s="143"/>
      <c r="AZO83" s="143"/>
      <c r="AZP83" s="143"/>
      <c r="AZQ83" s="143"/>
      <c r="AZR83" s="143"/>
      <c r="AZS83" s="143"/>
      <c r="AZT83" s="143"/>
      <c r="AZU83" s="143"/>
      <c r="AZV83" s="143"/>
      <c r="AZW83" s="143"/>
      <c r="AZX83" s="143"/>
      <c r="AZY83" s="143"/>
      <c r="AZZ83" s="143"/>
      <c r="BAA83" s="143"/>
      <c r="BAB83" s="143"/>
      <c r="BAC83" s="143"/>
      <c r="BAD83" s="143"/>
      <c r="BAE83" s="143"/>
      <c r="BAF83" s="143"/>
      <c r="BAG83" s="143"/>
      <c r="BAH83" s="143"/>
      <c r="BAI83" s="143"/>
      <c r="BAJ83" s="143"/>
      <c r="BAK83" s="143"/>
      <c r="BAL83" s="143"/>
      <c r="BAM83" s="143"/>
      <c r="BAN83" s="143"/>
      <c r="BAO83" s="143"/>
      <c r="BAP83" s="143"/>
      <c r="BAQ83" s="143"/>
      <c r="BAR83" s="143"/>
      <c r="BAS83" s="143"/>
      <c r="BAT83" s="143"/>
      <c r="BAU83" s="143"/>
      <c r="BAV83" s="143"/>
      <c r="BAW83" s="143"/>
      <c r="BAX83" s="143"/>
      <c r="BAY83" s="143"/>
      <c r="BAZ83" s="143"/>
      <c r="BBA83" s="143"/>
      <c r="BBB83" s="143"/>
      <c r="BBC83" s="143"/>
      <c r="BBD83" s="143"/>
      <c r="BBE83" s="143"/>
      <c r="BBF83" s="143"/>
      <c r="BBG83" s="143"/>
      <c r="BBH83" s="143"/>
      <c r="BBI83" s="143"/>
      <c r="BBJ83" s="143"/>
      <c r="BBK83" s="143"/>
      <c r="BBL83" s="143"/>
      <c r="BBM83" s="143"/>
      <c r="BBN83" s="143"/>
      <c r="BBO83" s="143"/>
      <c r="BBP83" s="143"/>
      <c r="BBQ83" s="143"/>
      <c r="BBR83" s="143"/>
      <c r="BBS83" s="143"/>
      <c r="BBT83" s="143"/>
      <c r="BBU83" s="143"/>
      <c r="BBV83" s="143"/>
      <c r="BBW83" s="143"/>
      <c r="BBX83" s="143"/>
      <c r="BBY83" s="143"/>
      <c r="BBZ83" s="143"/>
      <c r="BCA83" s="143"/>
      <c r="BCB83" s="143"/>
      <c r="BCC83" s="143"/>
      <c r="BCD83" s="143"/>
      <c r="BCE83" s="143"/>
      <c r="BCF83" s="143"/>
      <c r="BCG83" s="143"/>
      <c r="BCH83" s="143"/>
      <c r="BCI83" s="143"/>
      <c r="BCJ83" s="143"/>
      <c r="BCK83" s="143"/>
      <c r="BCL83" s="143"/>
      <c r="BCM83" s="143"/>
      <c r="BCN83" s="143"/>
      <c r="BCO83" s="143"/>
      <c r="BCP83" s="143"/>
      <c r="BCQ83" s="143"/>
      <c r="BCR83" s="143"/>
      <c r="BCS83" s="143"/>
      <c r="BCT83" s="143"/>
      <c r="BCU83" s="143"/>
      <c r="BCV83" s="143"/>
      <c r="BCW83" s="143"/>
      <c r="BCX83" s="143"/>
      <c r="BCY83" s="143"/>
      <c r="BCZ83" s="143"/>
      <c r="BDA83" s="143"/>
      <c r="BDB83" s="143"/>
      <c r="BDC83" s="143"/>
      <c r="BDD83" s="143"/>
      <c r="BDE83" s="143"/>
      <c r="BDF83" s="143"/>
      <c r="BDG83" s="143"/>
      <c r="BDH83" s="143"/>
      <c r="BDI83" s="143"/>
      <c r="BDJ83" s="143"/>
      <c r="BDK83" s="143"/>
      <c r="BDL83" s="143"/>
      <c r="BDM83" s="143"/>
      <c r="BDN83" s="143"/>
      <c r="BDO83" s="143"/>
      <c r="BDP83" s="143"/>
      <c r="BDQ83" s="143"/>
      <c r="BDR83" s="143"/>
      <c r="BDS83" s="143"/>
      <c r="BDT83" s="143"/>
      <c r="BDU83" s="143"/>
      <c r="BDV83" s="143"/>
      <c r="BDW83" s="143"/>
      <c r="BDX83" s="143"/>
      <c r="BDY83" s="143"/>
      <c r="BDZ83" s="143"/>
      <c r="BEA83" s="143"/>
      <c r="BEB83" s="143"/>
      <c r="BEC83" s="143"/>
      <c r="BED83" s="143"/>
      <c r="BEE83" s="143"/>
      <c r="BEF83" s="143"/>
      <c r="BEG83" s="143"/>
      <c r="BEH83" s="143"/>
      <c r="BEI83" s="143"/>
      <c r="BEJ83" s="143"/>
      <c r="BEK83" s="143"/>
      <c r="BEL83" s="143"/>
      <c r="BEM83" s="143"/>
      <c r="BEN83" s="143"/>
      <c r="BEO83" s="143"/>
      <c r="BEP83" s="143"/>
      <c r="BEQ83" s="143"/>
      <c r="BER83" s="143"/>
      <c r="BES83" s="143"/>
      <c r="BET83" s="143"/>
      <c r="BEU83" s="143"/>
      <c r="BEV83" s="143"/>
      <c r="BEW83" s="143"/>
      <c r="BEX83" s="143"/>
      <c r="BEY83" s="143"/>
      <c r="BEZ83" s="143"/>
      <c r="BFA83" s="143"/>
      <c r="BFB83" s="143"/>
      <c r="BFC83" s="143"/>
      <c r="BFD83" s="143"/>
      <c r="BFE83" s="143"/>
      <c r="BFF83" s="143"/>
      <c r="BFG83" s="143"/>
      <c r="BFH83" s="143"/>
      <c r="BFI83" s="143"/>
      <c r="BFJ83" s="143"/>
      <c r="BFK83" s="143"/>
      <c r="BFL83" s="143"/>
      <c r="BFM83" s="143"/>
      <c r="BFN83" s="143"/>
      <c r="BFO83" s="143"/>
      <c r="BFP83" s="143"/>
      <c r="BFQ83" s="143"/>
      <c r="BFR83" s="143"/>
      <c r="BFS83" s="143"/>
      <c r="BFT83" s="143"/>
      <c r="BFU83" s="143"/>
      <c r="BFV83" s="143"/>
      <c r="BFW83" s="143"/>
      <c r="BFX83" s="143"/>
      <c r="BFY83" s="143"/>
      <c r="BFZ83" s="143"/>
      <c r="BGA83" s="143"/>
      <c r="BGB83" s="143"/>
      <c r="BGC83" s="143"/>
      <c r="BGD83" s="143"/>
      <c r="BGE83" s="143"/>
      <c r="BGF83" s="143"/>
      <c r="BGG83" s="143"/>
      <c r="BGH83" s="143"/>
      <c r="BGI83" s="143"/>
      <c r="BGJ83" s="143"/>
      <c r="BGK83" s="143"/>
      <c r="BGL83" s="143"/>
      <c r="BGM83" s="143"/>
      <c r="BGN83" s="143"/>
      <c r="BGO83" s="143"/>
      <c r="BGP83" s="143"/>
      <c r="BGQ83" s="143"/>
      <c r="BGR83" s="143"/>
      <c r="BGS83" s="143"/>
      <c r="BGT83" s="143"/>
      <c r="BGU83" s="143"/>
      <c r="BGV83" s="143"/>
      <c r="BGW83" s="143"/>
      <c r="BGX83" s="143"/>
      <c r="BGY83" s="143"/>
      <c r="BGZ83" s="143"/>
      <c r="BHA83" s="143"/>
      <c r="BHB83" s="143"/>
      <c r="BHC83" s="143"/>
      <c r="BHD83" s="143"/>
      <c r="BHE83" s="143"/>
      <c r="BHF83" s="143"/>
      <c r="BHG83" s="143"/>
      <c r="BHH83" s="143"/>
      <c r="BHI83" s="143"/>
      <c r="BHJ83" s="143"/>
      <c r="BHK83" s="143"/>
      <c r="BHL83" s="143"/>
      <c r="BHM83" s="143"/>
      <c r="BHN83" s="143"/>
      <c r="BHO83" s="143"/>
      <c r="BHP83" s="143"/>
      <c r="BHQ83" s="143"/>
      <c r="BHR83" s="143"/>
      <c r="BHS83" s="143"/>
      <c r="BHT83" s="143"/>
      <c r="BHU83" s="143"/>
      <c r="BHV83" s="143"/>
      <c r="BHW83" s="143"/>
      <c r="BHX83" s="143"/>
      <c r="BHY83" s="143"/>
      <c r="BHZ83" s="143"/>
      <c r="BIA83" s="143"/>
      <c r="BIB83" s="143"/>
      <c r="BIC83" s="143"/>
      <c r="BID83" s="143"/>
      <c r="BIE83" s="143"/>
      <c r="BIF83" s="143"/>
      <c r="BIG83" s="143"/>
      <c r="BIH83" s="143"/>
      <c r="BII83" s="143"/>
      <c r="BIJ83" s="143"/>
      <c r="BIK83" s="143"/>
      <c r="BIL83" s="143"/>
      <c r="BIM83" s="143"/>
      <c r="BIN83" s="143"/>
      <c r="BIO83" s="143"/>
      <c r="BIP83" s="143"/>
      <c r="BIQ83" s="143"/>
      <c r="BIR83" s="143"/>
      <c r="BIS83" s="143"/>
      <c r="BIT83" s="143"/>
      <c r="BIU83" s="143"/>
      <c r="BIV83" s="143"/>
      <c r="BIW83" s="143"/>
      <c r="BIX83" s="143"/>
      <c r="BIY83" s="143"/>
      <c r="BIZ83" s="143"/>
      <c r="BJA83" s="143"/>
      <c r="BJB83" s="143"/>
      <c r="BJC83" s="143"/>
      <c r="BJD83" s="143"/>
      <c r="BJE83" s="143"/>
      <c r="BJF83" s="143"/>
      <c r="BJG83" s="143"/>
      <c r="BJH83" s="143"/>
      <c r="BJI83" s="143"/>
      <c r="BJJ83" s="143"/>
      <c r="BJK83" s="143"/>
      <c r="BJL83" s="143"/>
      <c r="BJM83" s="143"/>
      <c r="BJN83" s="143"/>
      <c r="BJO83" s="143"/>
      <c r="BJP83" s="143"/>
      <c r="BJQ83" s="143"/>
      <c r="BJR83" s="143"/>
      <c r="BJS83" s="143"/>
      <c r="BJT83" s="143"/>
      <c r="BJU83" s="143"/>
      <c r="BJV83" s="143"/>
      <c r="BJW83" s="143"/>
      <c r="BJX83" s="143"/>
      <c r="BJY83" s="143"/>
      <c r="BJZ83" s="143"/>
      <c r="BKA83" s="143"/>
      <c r="BKB83" s="143"/>
      <c r="BKC83" s="143"/>
      <c r="BKD83" s="143"/>
      <c r="BKE83" s="143"/>
      <c r="BKF83" s="143"/>
      <c r="BKG83" s="143"/>
      <c r="BKH83" s="143"/>
      <c r="BKI83" s="143"/>
      <c r="BKJ83" s="143"/>
      <c r="BKK83" s="143"/>
      <c r="BKL83" s="143"/>
      <c r="BKM83" s="143"/>
      <c r="BKN83" s="143"/>
      <c r="BKO83" s="143"/>
      <c r="BKP83" s="143"/>
      <c r="BKQ83" s="143"/>
      <c r="BKR83" s="143"/>
      <c r="BKS83" s="143"/>
      <c r="BKT83" s="143"/>
      <c r="BKU83" s="143"/>
      <c r="BKV83" s="143"/>
      <c r="BKW83" s="143"/>
      <c r="BKX83" s="143"/>
      <c r="BKY83" s="143"/>
      <c r="BKZ83" s="143"/>
      <c r="BLA83" s="143"/>
      <c r="BLB83" s="143"/>
      <c r="BLC83" s="143"/>
      <c r="BLD83" s="143"/>
      <c r="BLE83" s="143"/>
      <c r="BLF83" s="143"/>
      <c r="BLG83" s="143"/>
      <c r="BLH83" s="143"/>
      <c r="BLI83" s="143"/>
      <c r="BLJ83" s="143"/>
      <c r="BLK83" s="143"/>
      <c r="BLL83" s="143"/>
      <c r="BLM83" s="143"/>
      <c r="BLN83" s="143"/>
      <c r="BLO83" s="143"/>
      <c r="BLP83" s="143"/>
      <c r="BLQ83" s="143"/>
      <c r="BLR83" s="143"/>
      <c r="BLS83" s="143"/>
      <c r="BLT83" s="143"/>
      <c r="BLU83" s="143"/>
      <c r="BLV83" s="143"/>
      <c r="BLW83" s="143"/>
      <c r="BLX83" s="143"/>
      <c r="BLY83" s="143"/>
      <c r="BLZ83" s="143"/>
      <c r="BMA83" s="143"/>
      <c r="BMB83" s="143"/>
      <c r="BMC83" s="143"/>
      <c r="BMD83" s="143"/>
      <c r="BME83" s="143"/>
      <c r="BMF83" s="143"/>
      <c r="BMG83" s="143"/>
      <c r="BMH83" s="143"/>
      <c r="BMI83" s="143"/>
      <c r="BMJ83" s="143"/>
      <c r="BMK83" s="143"/>
      <c r="BML83" s="143"/>
      <c r="BMM83" s="143"/>
      <c r="BMN83" s="143"/>
      <c r="BMO83" s="143"/>
      <c r="BMP83" s="143"/>
      <c r="BMQ83" s="143"/>
      <c r="BMR83" s="143"/>
      <c r="BMS83" s="143"/>
      <c r="BMT83" s="143"/>
      <c r="BMU83" s="143"/>
      <c r="BMV83" s="143"/>
      <c r="BMW83" s="143"/>
      <c r="BMX83" s="143"/>
      <c r="BMY83" s="143"/>
      <c r="BMZ83" s="143"/>
      <c r="BNA83" s="143"/>
      <c r="BNB83" s="143"/>
      <c r="BNC83" s="143"/>
      <c r="BND83" s="143"/>
      <c r="BNE83" s="143"/>
      <c r="BNF83" s="143"/>
      <c r="BNG83" s="143"/>
      <c r="BNH83" s="143"/>
      <c r="BNI83" s="143"/>
      <c r="BNJ83" s="143"/>
      <c r="BNK83" s="143"/>
      <c r="BNL83" s="143"/>
      <c r="BNM83" s="143"/>
      <c r="BNN83" s="143"/>
      <c r="BNO83" s="143"/>
      <c r="BNP83" s="143"/>
      <c r="BNQ83" s="143"/>
      <c r="BNR83" s="143"/>
      <c r="BNS83" s="143"/>
      <c r="BNT83" s="143"/>
      <c r="BNU83" s="143"/>
      <c r="BNV83" s="143"/>
      <c r="BNW83" s="143"/>
      <c r="BNX83" s="143"/>
      <c r="BNY83" s="143"/>
      <c r="BNZ83" s="143"/>
      <c r="BOA83" s="143"/>
      <c r="BOB83" s="143"/>
      <c r="BOC83" s="143"/>
      <c r="BOD83" s="143"/>
      <c r="BOE83" s="143"/>
      <c r="BOF83" s="143"/>
      <c r="BOG83" s="143"/>
      <c r="BOH83" s="143"/>
      <c r="BOI83" s="143"/>
      <c r="BOJ83" s="143"/>
      <c r="BOK83" s="143"/>
      <c r="BOL83" s="143"/>
      <c r="BOM83" s="143"/>
      <c r="BON83" s="143"/>
      <c r="BOO83" s="143"/>
      <c r="BOP83" s="143"/>
      <c r="BOQ83" s="143"/>
      <c r="BOR83" s="143"/>
      <c r="BOS83" s="143"/>
      <c r="BOT83" s="143"/>
      <c r="BOU83" s="143"/>
      <c r="BOV83" s="143"/>
      <c r="BOW83" s="143"/>
      <c r="BOX83" s="143"/>
      <c r="BOY83" s="143"/>
      <c r="BOZ83" s="143"/>
      <c r="BPA83" s="143"/>
      <c r="BPB83" s="143"/>
      <c r="BPC83" s="143"/>
      <c r="BPD83" s="143"/>
      <c r="BPE83" s="143"/>
      <c r="BPF83" s="143"/>
      <c r="BPG83" s="143"/>
      <c r="BPH83" s="143"/>
      <c r="BPI83" s="143"/>
      <c r="BPJ83" s="143"/>
      <c r="BPK83" s="143"/>
      <c r="BPL83" s="143"/>
      <c r="BPM83" s="143"/>
      <c r="BPN83" s="143"/>
      <c r="BPO83" s="143"/>
      <c r="BPP83" s="143"/>
      <c r="BPQ83" s="143"/>
      <c r="BPR83" s="143"/>
      <c r="BPS83" s="143"/>
      <c r="BPT83" s="143"/>
      <c r="BPU83" s="143"/>
      <c r="BPV83" s="143"/>
      <c r="BPW83" s="143"/>
      <c r="BPX83" s="143"/>
      <c r="BPY83" s="143"/>
      <c r="BPZ83" s="143"/>
      <c r="BQA83" s="143"/>
      <c r="BQB83" s="143"/>
      <c r="BQC83" s="143"/>
      <c r="BQD83" s="143"/>
      <c r="BQE83" s="143"/>
      <c r="BQF83" s="143"/>
      <c r="BQG83" s="143"/>
      <c r="BQH83" s="143"/>
      <c r="BQI83" s="143"/>
      <c r="BQJ83" s="143"/>
      <c r="BQK83" s="143"/>
      <c r="BQL83" s="143"/>
      <c r="BQM83" s="143"/>
      <c r="BQN83" s="143"/>
      <c r="BQO83" s="143"/>
      <c r="BQP83" s="143"/>
      <c r="BQQ83" s="143"/>
      <c r="BQR83" s="143"/>
      <c r="BQS83" s="143"/>
      <c r="BQT83" s="143"/>
      <c r="BQU83" s="143"/>
      <c r="BQV83" s="143"/>
      <c r="BQW83" s="143"/>
      <c r="BQX83" s="143"/>
      <c r="BQY83" s="143"/>
      <c r="BQZ83" s="143"/>
      <c r="BRA83" s="143"/>
      <c r="BRB83" s="143"/>
      <c r="BRC83" s="143"/>
      <c r="BRD83" s="143"/>
      <c r="BRE83" s="143"/>
      <c r="BRF83" s="143"/>
      <c r="BRG83" s="143"/>
      <c r="BRH83" s="143"/>
      <c r="BRI83" s="143"/>
      <c r="BRJ83" s="143"/>
      <c r="BRK83" s="143"/>
      <c r="BRL83" s="143"/>
      <c r="BRM83" s="143"/>
      <c r="BRN83" s="143"/>
      <c r="BRO83" s="143"/>
      <c r="BRP83" s="143"/>
      <c r="BRQ83" s="143"/>
      <c r="BRR83" s="143"/>
      <c r="BRS83" s="143"/>
      <c r="BRT83" s="143"/>
      <c r="BRU83" s="143"/>
      <c r="BRV83" s="143"/>
      <c r="BRW83" s="143"/>
      <c r="BRX83" s="143"/>
      <c r="BRY83" s="143"/>
      <c r="BRZ83" s="143"/>
      <c r="BSA83" s="143"/>
      <c r="BSB83" s="143"/>
      <c r="BSC83" s="143"/>
      <c r="BSD83" s="143"/>
      <c r="BSE83" s="143"/>
      <c r="BSF83" s="143"/>
      <c r="BSG83" s="143"/>
      <c r="BSH83" s="143"/>
      <c r="BSI83" s="143"/>
      <c r="BSJ83" s="143"/>
      <c r="BSK83" s="143"/>
      <c r="BSL83" s="143"/>
      <c r="BSM83" s="143"/>
      <c r="BSN83" s="143"/>
      <c r="BSO83" s="143"/>
      <c r="BSP83" s="143"/>
      <c r="BSQ83" s="143"/>
      <c r="BSR83" s="143"/>
      <c r="BSS83" s="143"/>
      <c r="BST83" s="143"/>
      <c r="BSU83" s="143"/>
      <c r="BSV83" s="143"/>
      <c r="BSW83" s="143"/>
      <c r="BSX83" s="143"/>
      <c r="BSY83" s="143"/>
      <c r="BSZ83" s="143"/>
      <c r="BTA83" s="143"/>
      <c r="BTB83" s="143"/>
      <c r="BTC83" s="143"/>
      <c r="BTD83" s="143"/>
      <c r="BTE83" s="143"/>
      <c r="BTF83" s="143"/>
      <c r="BTG83" s="143"/>
      <c r="BTH83" s="143"/>
      <c r="BTI83" s="143"/>
      <c r="BTJ83" s="143"/>
      <c r="BTK83" s="143"/>
      <c r="BTL83" s="143"/>
      <c r="BTM83" s="143"/>
      <c r="BTN83" s="143"/>
      <c r="BTO83" s="143"/>
      <c r="BTP83" s="143"/>
      <c r="BTQ83" s="143"/>
      <c r="BTR83" s="143"/>
      <c r="BTS83" s="143"/>
      <c r="BTT83" s="143"/>
      <c r="BTU83" s="143"/>
      <c r="BTV83" s="143"/>
      <c r="BTW83" s="143"/>
      <c r="BTX83" s="143"/>
      <c r="BTY83" s="143"/>
      <c r="BTZ83" s="143"/>
      <c r="BUA83" s="143"/>
      <c r="BUB83" s="143"/>
      <c r="BUC83" s="143"/>
      <c r="BUD83" s="143"/>
      <c r="BUE83" s="143"/>
      <c r="BUF83" s="143"/>
      <c r="BUG83" s="143"/>
      <c r="BUH83" s="143"/>
      <c r="BUI83" s="143"/>
      <c r="BUJ83" s="143"/>
      <c r="BUK83" s="143"/>
      <c r="BUL83" s="143"/>
      <c r="BUM83" s="143"/>
      <c r="BUN83" s="143"/>
      <c r="BUO83" s="143"/>
      <c r="BUP83" s="143"/>
      <c r="BUQ83" s="143"/>
      <c r="BUR83" s="143"/>
      <c r="BUS83" s="143"/>
      <c r="BUT83" s="143"/>
      <c r="BUU83" s="143"/>
      <c r="BUV83" s="143"/>
      <c r="BUW83" s="143"/>
      <c r="BUX83" s="143"/>
      <c r="BUY83" s="143"/>
      <c r="BUZ83" s="143"/>
      <c r="BVA83" s="143"/>
      <c r="BVB83" s="143"/>
      <c r="BVC83" s="143"/>
      <c r="BVD83" s="143"/>
      <c r="BVE83" s="143"/>
      <c r="BVF83" s="143"/>
      <c r="BVG83" s="143"/>
      <c r="BVH83" s="143"/>
      <c r="BVI83" s="143"/>
      <c r="BVJ83" s="143"/>
      <c r="BVK83" s="143"/>
      <c r="BVL83" s="143"/>
      <c r="BVM83" s="143"/>
      <c r="BVN83" s="143"/>
      <c r="BVO83" s="143"/>
      <c r="BVP83" s="143"/>
      <c r="BVQ83" s="143"/>
      <c r="BVR83" s="143"/>
      <c r="BVS83" s="143"/>
      <c r="BVT83" s="143"/>
      <c r="BVU83" s="143"/>
      <c r="BVV83" s="143"/>
      <c r="BVW83" s="143"/>
      <c r="BVX83" s="143"/>
      <c r="BVY83" s="143"/>
      <c r="BVZ83" s="143"/>
      <c r="BWA83" s="143"/>
      <c r="BWB83" s="143"/>
      <c r="BWC83" s="143"/>
      <c r="BWD83" s="143"/>
      <c r="BWE83" s="143"/>
      <c r="BWF83" s="143"/>
      <c r="BWG83" s="143"/>
      <c r="BWH83" s="143"/>
      <c r="BWI83" s="143"/>
      <c r="BWJ83" s="143"/>
      <c r="BWK83" s="143"/>
      <c r="BWL83" s="143"/>
      <c r="BWM83" s="143"/>
      <c r="BWN83" s="143"/>
      <c r="BWO83" s="143"/>
      <c r="BWP83" s="143"/>
      <c r="BWQ83" s="143"/>
      <c r="BWR83" s="143"/>
      <c r="BWS83" s="143"/>
      <c r="BWT83" s="143"/>
      <c r="BWU83" s="143"/>
      <c r="BWV83" s="143"/>
      <c r="BWW83" s="143"/>
      <c r="BWX83" s="143"/>
      <c r="BWY83" s="143"/>
      <c r="BWZ83" s="143"/>
      <c r="BXA83" s="143"/>
      <c r="BXB83" s="143"/>
      <c r="BXC83" s="143"/>
      <c r="BXD83" s="143"/>
      <c r="BXE83" s="143"/>
      <c r="BXF83" s="143"/>
      <c r="BXG83" s="143"/>
      <c r="BXH83" s="143"/>
      <c r="BXI83" s="143"/>
      <c r="BXJ83" s="143"/>
      <c r="BXK83" s="143"/>
      <c r="BXL83" s="143"/>
      <c r="BXM83" s="143"/>
      <c r="BXN83" s="143"/>
      <c r="BXO83" s="143"/>
      <c r="BXP83" s="143"/>
      <c r="BXQ83" s="143"/>
      <c r="BXR83" s="143"/>
      <c r="BXS83" s="143"/>
      <c r="BXT83" s="143"/>
      <c r="BXU83" s="143"/>
      <c r="BXV83" s="143"/>
      <c r="BXW83" s="143"/>
      <c r="BXX83" s="143"/>
      <c r="BXY83" s="143"/>
      <c r="BXZ83" s="143"/>
      <c r="BYA83" s="143"/>
      <c r="BYB83" s="143"/>
      <c r="BYC83" s="143"/>
      <c r="BYD83" s="143"/>
      <c r="BYE83" s="143"/>
      <c r="BYF83" s="143"/>
      <c r="BYG83" s="143"/>
      <c r="BYH83" s="143"/>
      <c r="BYI83" s="143"/>
      <c r="BYJ83" s="143"/>
      <c r="BYK83" s="143"/>
      <c r="BYL83" s="143"/>
      <c r="BYM83" s="143"/>
      <c r="BYN83" s="143"/>
      <c r="BYO83" s="143"/>
      <c r="BYP83" s="143"/>
      <c r="BYQ83" s="143"/>
      <c r="BYR83" s="143"/>
      <c r="BYS83" s="143"/>
      <c r="BYT83" s="143"/>
      <c r="BYU83" s="143"/>
      <c r="BYV83" s="143"/>
      <c r="BYW83" s="143"/>
      <c r="BYX83" s="143"/>
      <c r="BYY83" s="143"/>
      <c r="BYZ83" s="143"/>
      <c r="BZA83" s="143"/>
      <c r="BZB83" s="143"/>
      <c r="BZC83" s="143"/>
      <c r="BZD83" s="143"/>
      <c r="BZE83" s="143"/>
      <c r="BZF83" s="143"/>
      <c r="BZG83" s="143"/>
      <c r="BZH83" s="143"/>
      <c r="BZI83" s="143"/>
      <c r="BZJ83" s="143"/>
      <c r="BZK83" s="143"/>
      <c r="BZL83" s="143"/>
      <c r="BZM83" s="143"/>
      <c r="BZN83" s="143"/>
      <c r="BZO83" s="143"/>
      <c r="BZP83" s="143"/>
      <c r="BZQ83" s="143"/>
      <c r="BZR83" s="143"/>
      <c r="BZS83" s="143"/>
      <c r="BZT83" s="143"/>
      <c r="BZU83" s="143"/>
      <c r="BZV83" s="143"/>
      <c r="BZW83" s="143"/>
      <c r="BZX83" s="143"/>
      <c r="BZY83" s="143"/>
      <c r="BZZ83" s="143"/>
      <c r="CAA83" s="143"/>
      <c r="CAB83" s="143"/>
      <c r="CAC83" s="143"/>
      <c r="CAD83" s="143"/>
      <c r="CAE83" s="143"/>
      <c r="CAF83" s="143"/>
      <c r="CAG83" s="143"/>
      <c r="CAH83" s="143"/>
      <c r="CAI83" s="143"/>
      <c r="CAJ83" s="143"/>
      <c r="CAK83" s="143"/>
      <c r="CAL83" s="143"/>
      <c r="CAM83" s="143"/>
      <c r="CAN83" s="143"/>
      <c r="CAO83" s="143"/>
      <c r="CAP83" s="143"/>
      <c r="CAQ83" s="143"/>
      <c r="CAR83" s="143"/>
      <c r="CAS83" s="143"/>
      <c r="CAT83" s="143"/>
      <c r="CAU83" s="143"/>
      <c r="CAV83" s="143"/>
      <c r="CAW83" s="143"/>
      <c r="CAX83" s="143"/>
      <c r="CAY83" s="143"/>
      <c r="CAZ83" s="143"/>
      <c r="CBA83" s="143"/>
      <c r="CBB83" s="143"/>
      <c r="CBC83" s="143"/>
      <c r="CBD83" s="143"/>
      <c r="CBE83" s="143"/>
      <c r="CBF83" s="143"/>
      <c r="CBG83" s="143"/>
      <c r="CBH83" s="143"/>
      <c r="CBI83" s="143"/>
      <c r="CBJ83" s="143"/>
      <c r="CBK83" s="143"/>
      <c r="CBL83" s="143"/>
      <c r="CBM83" s="143"/>
      <c r="CBN83" s="143"/>
      <c r="CBO83" s="143"/>
      <c r="CBP83" s="143"/>
      <c r="CBQ83" s="143"/>
      <c r="CBR83" s="143"/>
      <c r="CBS83" s="143"/>
      <c r="CBT83" s="143"/>
      <c r="CBU83" s="143"/>
      <c r="CBV83" s="143"/>
      <c r="CBW83" s="143"/>
      <c r="CBX83" s="143"/>
      <c r="CBY83" s="143"/>
      <c r="CBZ83" s="143"/>
      <c r="CCA83" s="143"/>
      <c r="CCB83" s="143"/>
      <c r="CCC83" s="143"/>
      <c r="CCD83" s="143"/>
      <c r="CCE83" s="143"/>
      <c r="CCF83" s="143"/>
      <c r="CCG83" s="143"/>
      <c r="CCH83" s="143"/>
      <c r="CCI83" s="143"/>
      <c r="CCJ83" s="143"/>
      <c r="CCK83" s="143"/>
      <c r="CCL83" s="143"/>
      <c r="CCM83" s="143"/>
      <c r="CCN83" s="143"/>
      <c r="CCO83" s="143"/>
      <c r="CCP83" s="143"/>
      <c r="CCQ83" s="143"/>
      <c r="CCR83" s="143"/>
      <c r="CCS83" s="143"/>
      <c r="CCT83" s="143"/>
      <c r="CCU83" s="143"/>
      <c r="CCV83" s="143"/>
      <c r="CCW83" s="143"/>
      <c r="CCX83" s="143"/>
      <c r="CCY83" s="143"/>
      <c r="CCZ83" s="143"/>
      <c r="CDA83" s="143"/>
      <c r="CDB83" s="143"/>
      <c r="CDC83" s="143"/>
      <c r="CDD83" s="143"/>
      <c r="CDE83" s="143"/>
      <c r="CDF83" s="143"/>
      <c r="CDG83" s="143"/>
      <c r="CDH83" s="143"/>
      <c r="CDI83" s="143"/>
      <c r="CDJ83" s="143"/>
      <c r="CDK83" s="143"/>
      <c r="CDL83" s="143"/>
      <c r="CDM83" s="143"/>
      <c r="CDN83" s="143"/>
      <c r="CDO83" s="143"/>
      <c r="CDP83" s="143"/>
      <c r="CDQ83" s="143"/>
      <c r="CDR83" s="143"/>
      <c r="CDS83" s="143"/>
      <c r="CDT83" s="143"/>
      <c r="CDU83" s="143"/>
      <c r="CDV83" s="143"/>
      <c r="CDW83" s="143"/>
      <c r="CDX83" s="143"/>
      <c r="CDY83" s="143"/>
      <c r="CDZ83" s="143"/>
      <c r="CEA83" s="143"/>
      <c r="CEB83" s="143"/>
      <c r="CEC83" s="143"/>
      <c r="CED83" s="143"/>
      <c r="CEE83" s="143"/>
      <c r="CEF83" s="143"/>
      <c r="CEG83" s="143"/>
      <c r="CEH83" s="143"/>
      <c r="CEI83" s="143"/>
      <c r="CEJ83" s="143"/>
      <c r="CEK83" s="143"/>
      <c r="CEL83" s="143"/>
      <c r="CEM83" s="143"/>
      <c r="CEN83" s="143"/>
      <c r="CEO83" s="143"/>
      <c r="CEP83" s="143"/>
      <c r="CEQ83" s="143"/>
      <c r="CER83" s="143"/>
      <c r="CES83" s="143"/>
      <c r="CET83" s="143"/>
      <c r="CEU83" s="143"/>
      <c r="CEV83" s="143"/>
      <c r="CEW83" s="143"/>
      <c r="CEX83" s="143"/>
      <c r="CEY83" s="143"/>
      <c r="CEZ83" s="143"/>
      <c r="CFA83" s="143"/>
      <c r="CFB83" s="143"/>
      <c r="CFC83" s="143"/>
      <c r="CFD83" s="143"/>
      <c r="CFE83" s="143"/>
      <c r="CFF83" s="143"/>
      <c r="CFG83" s="143"/>
      <c r="CFH83" s="143"/>
      <c r="CFI83" s="143"/>
      <c r="CFJ83" s="143"/>
      <c r="CFK83" s="143"/>
      <c r="CFL83" s="143"/>
      <c r="CFM83" s="143"/>
      <c r="CFN83" s="143"/>
      <c r="CFO83" s="143"/>
      <c r="CFP83" s="143"/>
      <c r="CFQ83" s="143"/>
      <c r="CFR83" s="143"/>
      <c r="CFS83" s="143"/>
      <c r="CFT83" s="143"/>
      <c r="CFU83" s="143"/>
      <c r="CFV83" s="143"/>
      <c r="CFW83" s="143"/>
      <c r="CFX83" s="143"/>
      <c r="CFY83" s="143"/>
      <c r="CFZ83" s="143"/>
      <c r="CGA83" s="143"/>
      <c r="CGB83" s="143"/>
      <c r="CGC83" s="143"/>
      <c r="CGD83" s="143"/>
      <c r="CGE83" s="143"/>
      <c r="CGF83" s="143"/>
      <c r="CGG83" s="143"/>
      <c r="CGH83" s="143"/>
      <c r="CGI83" s="143"/>
      <c r="CGJ83" s="143"/>
      <c r="CGK83" s="143"/>
      <c r="CGL83" s="143"/>
      <c r="CGM83" s="143"/>
      <c r="CGN83" s="143"/>
      <c r="CGO83" s="143"/>
      <c r="CGP83" s="143"/>
      <c r="CGQ83" s="143"/>
      <c r="CGR83" s="143"/>
      <c r="CGS83" s="143"/>
      <c r="CGT83" s="143"/>
      <c r="CGU83" s="143"/>
      <c r="CGV83" s="143"/>
      <c r="CGW83" s="143"/>
      <c r="CGX83" s="143"/>
      <c r="CGY83" s="143"/>
      <c r="CGZ83" s="143"/>
      <c r="CHA83" s="143"/>
      <c r="CHB83" s="143"/>
      <c r="CHC83" s="143"/>
      <c r="CHD83" s="143"/>
      <c r="CHE83" s="143"/>
      <c r="CHF83" s="143"/>
      <c r="CHG83" s="143"/>
      <c r="CHH83" s="143"/>
      <c r="CHI83" s="143"/>
      <c r="CHJ83" s="143"/>
      <c r="CHK83" s="143"/>
      <c r="CHL83" s="143"/>
      <c r="CHM83" s="143"/>
      <c r="CHN83" s="143"/>
      <c r="CHO83" s="143"/>
      <c r="CHP83" s="143"/>
      <c r="CHQ83" s="143"/>
      <c r="CHR83" s="143"/>
      <c r="CHS83" s="143"/>
      <c r="CHT83" s="143"/>
      <c r="CHU83" s="143"/>
      <c r="CHV83" s="143"/>
      <c r="CHW83" s="143"/>
      <c r="CHX83" s="143"/>
      <c r="CHY83" s="143"/>
      <c r="CHZ83" s="143"/>
      <c r="CIA83" s="143"/>
      <c r="CIB83" s="143"/>
      <c r="CIC83" s="143"/>
      <c r="CID83" s="143"/>
      <c r="CIE83" s="143"/>
      <c r="CIF83" s="143"/>
      <c r="CIG83" s="143"/>
      <c r="CIH83" s="143"/>
      <c r="CII83" s="143"/>
      <c r="CIJ83" s="143"/>
      <c r="CIK83" s="143"/>
      <c r="CIL83" s="143"/>
      <c r="CIM83" s="143"/>
      <c r="CIN83" s="143"/>
      <c r="CIO83" s="143"/>
      <c r="CIP83" s="143"/>
      <c r="CIQ83" s="143"/>
      <c r="CIR83" s="143"/>
      <c r="CIS83" s="143"/>
      <c r="CIT83" s="143"/>
      <c r="CIU83" s="143"/>
      <c r="CIV83" s="143"/>
      <c r="CIW83" s="143"/>
      <c r="CIX83" s="143"/>
      <c r="CIY83" s="143"/>
      <c r="CIZ83" s="143"/>
      <c r="CJA83" s="143"/>
      <c r="CJB83" s="143"/>
      <c r="CJC83" s="143"/>
      <c r="CJD83" s="143"/>
      <c r="CJE83" s="143"/>
      <c r="CJF83" s="143"/>
      <c r="CJG83" s="143"/>
      <c r="CJH83" s="143"/>
      <c r="CJI83" s="143"/>
      <c r="CJJ83" s="143"/>
      <c r="CJK83" s="143"/>
      <c r="CJL83" s="143"/>
      <c r="CJM83" s="143"/>
      <c r="CJN83" s="143"/>
      <c r="CJO83" s="143"/>
      <c r="CJP83" s="143"/>
      <c r="CJQ83" s="143"/>
      <c r="CJR83" s="143"/>
      <c r="CJS83" s="143"/>
      <c r="CJT83" s="143"/>
      <c r="CJU83" s="143"/>
      <c r="CJV83" s="143"/>
      <c r="CJW83" s="143"/>
      <c r="CJX83" s="143"/>
      <c r="CJY83" s="143"/>
      <c r="CJZ83" s="143"/>
      <c r="CKA83" s="143"/>
      <c r="CKB83" s="143"/>
      <c r="CKC83" s="143"/>
      <c r="CKD83" s="143"/>
      <c r="CKE83" s="143"/>
      <c r="CKF83" s="143"/>
      <c r="CKG83" s="143"/>
      <c r="CKH83" s="143"/>
      <c r="CKI83" s="143"/>
      <c r="CKJ83" s="143"/>
      <c r="CKK83" s="143"/>
      <c r="CKL83" s="143"/>
      <c r="CKM83" s="143"/>
      <c r="CKN83" s="143"/>
      <c r="CKO83" s="143"/>
      <c r="CKP83" s="143"/>
      <c r="CKQ83" s="143"/>
      <c r="CKR83" s="143"/>
      <c r="CKS83" s="143"/>
      <c r="CKT83" s="143"/>
      <c r="CKU83" s="143"/>
      <c r="CKV83" s="143"/>
      <c r="CKW83" s="143"/>
      <c r="CKX83" s="143"/>
      <c r="CKY83" s="143"/>
      <c r="CKZ83" s="143"/>
      <c r="CLA83" s="143"/>
      <c r="CLB83" s="143"/>
      <c r="CLC83" s="143"/>
      <c r="CLD83" s="143"/>
      <c r="CLE83" s="143"/>
      <c r="CLF83" s="143"/>
      <c r="CLG83" s="143"/>
      <c r="CLH83" s="143"/>
      <c r="CLI83" s="143"/>
      <c r="CLJ83" s="143"/>
      <c r="CLK83" s="143"/>
      <c r="CLL83" s="143"/>
      <c r="CLM83" s="143"/>
      <c r="CLN83" s="143"/>
      <c r="CLO83" s="143"/>
      <c r="CLP83" s="143"/>
      <c r="CLQ83" s="143"/>
      <c r="CLR83" s="143"/>
      <c r="CLS83" s="143"/>
      <c r="CLT83" s="143"/>
      <c r="CLU83" s="143"/>
      <c r="CLV83" s="143"/>
      <c r="CLW83" s="143"/>
      <c r="CLX83" s="143"/>
      <c r="CLY83" s="143"/>
      <c r="CLZ83" s="143"/>
      <c r="CMA83" s="143"/>
      <c r="CMB83" s="143"/>
      <c r="CMC83" s="143"/>
      <c r="CMD83" s="143"/>
      <c r="CME83" s="143"/>
      <c r="CMF83" s="143"/>
      <c r="CMG83" s="143"/>
      <c r="CMH83" s="143"/>
      <c r="CMI83" s="143"/>
      <c r="CMJ83" s="143"/>
      <c r="CMK83" s="143"/>
      <c r="CML83" s="143"/>
      <c r="CMM83" s="143"/>
      <c r="CMN83" s="143"/>
      <c r="CMO83" s="143"/>
      <c r="CMP83" s="143"/>
      <c r="CMQ83" s="143"/>
      <c r="CMR83" s="143"/>
      <c r="CMS83" s="143"/>
      <c r="CMT83" s="143"/>
      <c r="CMU83" s="143"/>
      <c r="CMV83" s="143"/>
      <c r="CMW83" s="143"/>
      <c r="CMX83" s="143"/>
      <c r="CMY83" s="143"/>
      <c r="CMZ83" s="143"/>
      <c r="CNA83" s="143"/>
      <c r="CNB83" s="143"/>
      <c r="CNC83" s="143"/>
      <c r="CND83" s="143"/>
      <c r="CNE83" s="143"/>
      <c r="CNF83" s="143"/>
      <c r="CNG83" s="143"/>
      <c r="CNH83" s="143"/>
      <c r="CNI83" s="143"/>
      <c r="CNJ83" s="143"/>
      <c r="CNK83" s="143"/>
      <c r="CNL83" s="143"/>
      <c r="CNM83" s="143"/>
      <c r="CNN83" s="143"/>
      <c r="CNO83" s="143"/>
      <c r="CNP83" s="143"/>
      <c r="CNQ83" s="143"/>
      <c r="CNR83" s="143"/>
      <c r="CNS83" s="143"/>
      <c r="CNT83" s="143"/>
      <c r="CNU83" s="143"/>
      <c r="CNV83" s="143"/>
      <c r="CNW83" s="143"/>
      <c r="CNX83" s="143"/>
      <c r="CNY83" s="143"/>
      <c r="CNZ83" s="143"/>
      <c r="COA83" s="143"/>
      <c r="COB83" s="143"/>
      <c r="COC83" s="143"/>
      <c r="COD83" s="143"/>
      <c r="COE83" s="143"/>
      <c r="COF83" s="143"/>
      <c r="COG83" s="143"/>
      <c r="COH83" s="143"/>
      <c r="COI83" s="143"/>
      <c r="COJ83" s="143"/>
      <c r="COK83" s="143"/>
      <c r="COL83" s="143"/>
      <c r="COM83" s="143"/>
      <c r="CON83" s="143"/>
      <c r="COO83" s="143"/>
      <c r="COP83" s="143"/>
      <c r="COQ83" s="143"/>
      <c r="COR83" s="143"/>
      <c r="COS83" s="143"/>
      <c r="COT83" s="143"/>
      <c r="COU83" s="143"/>
      <c r="COV83" s="143"/>
      <c r="COW83" s="143"/>
      <c r="COX83" s="143"/>
      <c r="COY83" s="143"/>
      <c r="COZ83" s="143"/>
      <c r="CPA83" s="143"/>
      <c r="CPB83" s="143"/>
      <c r="CPC83" s="143"/>
      <c r="CPD83" s="143"/>
      <c r="CPE83" s="143"/>
      <c r="CPF83" s="143"/>
      <c r="CPG83" s="143"/>
      <c r="CPH83" s="143"/>
      <c r="CPI83" s="143"/>
      <c r="CPJ83" s="143"/>
      <c r="CPK83" s="143"/>
      <c r="CPL83" s="143"/>
      <c r="CPM83" s="143"/>
      <c r="CPN83" s="143"/>
      <c r="CPO83" s="143"/>
      <c r="CPP83" s="143"/>
      <c r="CPQ83" s="143"/>
      <c r="CPR83" s="143"/>
      <c r="CPS83" s="143"/>
      <c r="CPT83" s="143"/>
      <c r="CPU83" s="143"/>
      <c r="CPV83" s="143"/>
      <c r="CPW83" s="143"/>
      <c r="CPX83" s="143"/>
      <c r="CPY83" s="143"/>
      <c r="CPZ83" s="143"/>
      <c r="CQA83" s="143"/>
      <c r="CQB83" s="143"/>
      <c r="CQC83" s="143"/>
      <c r="CQD83" s="143"/>
      <c r="CQE83" s="143"/>
      <c r="CQF83" s="143"/>
      <c r="CQG83" s="143"/>
      <c r="CQH83" s="143"/>
      <c r="CQI83" s="143"/>
      <c r="CQJ83" s="143"/>
      <c r="CQK83" s="143"/>
      <c r="CQL83" s="143"/>
      <c r="CQM83" s="143"/>
      <c r="CQN83" s="143"/>
      <c r="CQO83" s="143"/>
      <c r="CQP83" s="143"/>
      <c r="CQQ83" s="143"/>
      <c r="CQR83" s="143"/>
      <c r="CQS83" s="143"/>
      <c r="CQT83" s="143"/>
      <c r="CQU83" s="143"/>
      <c r="CQV83" s="143"/>
      <c r="CQW83" s="143"/>
      <c r="CQX83" s="143"/>
      <c r="CQY83" s="143"/>
      <c r="CQZ83" s="143"/>
      <c r="CRA83" s="143"/>
      <c r="CRB83" s="143"/>
      <c r="CRC83" s="143"/>
      <c r="CRD83" s="143"/>
      <c r="CRE83" s="143"/>
      <c r="CRF83" s="143"/>
      <c r="CRG83" s="143"/>
      <c r="CRH83" s="143"/>
      <c r="CRI83" s="143"/>
      <c r="CRJ83" s="143"/>
      <c r="CRK83" s="143"/>
      <c r="CRL83" s="143"/>
      <c r="CRM83" s="143"/>
      <c r="CRN83" s="143"/>
      <c r="CRO83" s="143"/>
      <c r="CRP83" s="143"/>
      <c r="CRQ83" s="143"/>
      <c r="CRR83" s="143"/>
      <c r="CRS83" s="143"/>
      <c r="CRT83" s="143"/>
      <c r="CRU83" s="143"/>
      <c r="CRV83" s="143"/>
      <c r="CRW83" s="143"/>
      <c r="CRX83" s="143"/>
      <c r="CRY83" s="143"/>
      <c r="CRZ83" s="143"/>
      <c r="CSA83" s="143"/>
      <c r="CSB83" s="143"/>
      <c r="CSC83" s="143"/>
      <c r="CSD83" s="143"/>
      <c r="CSE83" s="143"/>
      <c r="CSF83" s="143"/>
      <c r="CSG83" s="143"/>
      <c r="CSH83" s="143"/>
      <c r="CSI83" s="143"/>
      <c r="CSJ83" s="143"/>
      <c r="CSK83" s="143"/>
      <c r="CSL83" s="143"/>
      <c r="CSM83" s="143"/>
      <c r="CSN83" s="143"/>
      <c r="CSO83" s="143"/>
      <c r="CSP83" s="143"/>
      <c r="CSQ83" s="143"/>
      <c r="CSR83" s="143"/>
      <c r="CSS83" s="143"/>
      <c r="CST83" s="143"/>
      <c r="CSU83" s="143"/>
      <c r="CSV83" s="143"/>
      <c r="CSW83" s="143"/>
      <c r="CSX83" s="143"/>
      <c r="CSY83" s="143"/>
      <c r="CSZ83" s="143"/>
      <c r="CTA83" s="143"/>
      <c r="CTB83" s="143"/>
      <c r="CTC83" s="143"/>
      <c r="CTD83" s="143"/>
      <c r="CTE83" s="143"/>
      <c r="CTF83" s="143"/>
      <c r="CTG83" s="143"/>
      <c r="CTH83" s="143"/>
      <c r="CTI83" s="143"/>
      <c r="CTJ83" s="143"/>
      <c r="CTK83" s="143"/>
      <c r="CTL83" s="143"/>
      <c r="CTM83" s="143"/>
      <c r="CTN83" s="143"/>
      <c r="CTO83" s="143"/>
      <c r="CTP83" s="143"/>
      <c r="CTQ83" s="143"/>
      <c r="CTR83" s="143"/>
      <c r="CTS83" s="143"/>
      <c r="CTT83" s="143"/>
      <c r="CTU83" s="143"/>
      <c r="CTV83" s="143"/>
      <c r="CTW83" s="143"/>
      <c r="CTX83" s="143"/>
      <c r="CTY83" s="143"/>
      <c r="CTZ83" s="143"/>
      <c r="CUA83" s="143"/>
      <c r="CUB83" s="143"/>
      <c r="CUC83" s="143"/>
      <c r="CUD83" s="143"/>
      <c r="CUE83" s="143"/>
      <c r="CUF83" s="143"/>
      <c r="CUG83" s="143"/>
      <c r="CUH83" s="143"/>
      <c r="CUI83" s="143"/>
      <c r="CUJ83" s="143"/>
      <c r="CUK83" s="143"/>
      <c r="CUL83" s="143"/>
      <c r="CUM83" s="143"/>
      <c r="CUN83" s="143"/>
      <c r="CUO83" s="143"/>
      <c r="CUP83" s="143"/>
      <c r="CUQ83" s="143"/>
      <c r="CUR83" s="143"/>
      <c r="CUS83" s="143"/>
      <c r="CUT83" s="143"/>
      <c r="CUU83" s="143"/>
      <c r="CUV83" s="143"/>
      <c r="CUW83" s="143"/>
      <c r="CUX83" s="143"/>
      <c r="CUY83" s="143"/>
      <c r="CUZ83" s="143"/>
      <c r="CVA83" s="143"/>
      <c r="CVB83" s="143"/>
      <c r="CVC83" s="143"/>
      <c r="CVD83" s="143"/>
      <c r="CVE83" s="143"/>
      <c r="CVF83" s="143"/>
      <c r="CVG83" s="143"/>
      <c r="CVH83" s="143"/>
      <c r="CVI83" s="143"/>
      <c r="CVJ83" s="143"/>
      <c r="CVK83" s="143"/>
      <c r="CVL83" s="143"/>
      <c r="CVM83" s="143"/>
      <c r="CVN83" s="143"/>
      <c r="CVO83" s="143"/>
      <c r="CVP83" s="143"/>
      <c r="CVQ83" s="143"/>
      <c r="CVR83" s="143"/>
      <c r="CVS83" s="143"/>
      <c r="CVT83" s="143"/>
      <c r="CVU83" s="143"/>
      <c r="CVV83" s="143"/>
      <c r="CVW83" s="143"/>
      <c r="CVX83" s="143"/>
      <c r="CVY83" s="143"/>
      <c r="CVZ83" s="143"/>
      <c r="CWA83" s="143"/>
      <c r="CWB83" s="143"/>
      <c r="CWC83" s="143"/>
      <c r="CWD83" s="143"/>
      <c r="CWE83" s="143"/>
      <c r="CWF83" s="143"/>
      <c r="CWG83" s="143"/>
      <c r="CWH83" s="143"/>
      <c r="CWI83" s="143"/>
      <c r="CWJ83" s="143"/>
      <c r="CWK83" s="143"/>
      <c r="CWL83" s="143"/>
      <c r="CWM83" s="143"/>
      <c r="CWN83" s="143"/>
      <c r="CWO83" s="143"/>
      <c r="CWP83" s="143"/>
      <c r="CWQ83" s="143"/>
      <c r="CWR83" s="143"/>
      <c r="CWS83" s="143"/>
      <c r="CWT83" s="143"/>
      <c r="CWU83" s="143"/>
      <c r="CWV83" s="143"/>
      <c r="CWW83" s="143"/>
      <c r="CWX83" s="143"/>
      <c r="CWY83" s="143"/>
      <c r="CWZ83" s="143"/>
      <c r="CXA83" s="143"/>
      <c r="CXB83" s="143"/>
      <c r="CXC83" s="143"/>
      <c r="CXD83" s="143"/>
      <c r="CXE83" s="143"/>
      <c r="CXF83" s="143"/>
      <c r="CXG83" s="143"/>
      <c r="CXH83" s="143"/>
      <c r="CXI83" s="143"/>
      <c r="CXJ83" s="143"/>
      <c r="CXK83" s="143"/>
      <c r="CXL83" s="143"/>
      <c r="CXM83" s="143"/>
      <c r="CXN83" s="143"/>
      <c r="CXO83" s="143"/>
      <c r="CXP83" s="143"/>
      <c r="CXQ83" s="143"/>
      <c r="CXR83" s="143"/>
      <c r="CXS83" s="143"/>
      <c r="CXT83" s="143"/>
      <c r="CXU83" s="143"/>
      <c r="CXV83" s="143"/>
      <c r="CXW83" s="143"/>
      <c r="CXX83" s="143"/>
      <c r="CXY83" s="143"/>
      <c r="CXZ83" s="143"/>
      <c r="CYA83" s="143"/>
      <c r="CYB83" s="143"/>
      <c r="CYC83" s="143"/>
      <c r="CYD83" s="143"/>
      <c r="CYE83" s="143"/>
      <c r="CYF83" s="143"/>
      <c r="CYG83" s="143"/>
      <c r="CYH83" s="143"/>
      <c r="CYI83" s="143"/>
      <c r="CYJ83" s="143"/>
      <c r="CYK83" s="143"/>
      <c r="CYL83" s="143"/>
      <c r="CYM83" s="143"/>
      <c r="CYN83" s="143"/>
      <c r="CYO83" s="143"/>
      <c r="CYP83" s="143"/>
      <c r="CYQ83" s="143"/>
      <c r="CYR83" s="143"/>
      <c r="CYS83" s="143"/>
      <c r="CYT83" s="143"/>
      <c r="CYU83" s="143"/>
      <c r="CYV83" s="143"/>
      <c r="CYW83" s="143"/>
      <c r="CYX83" s="143"/>
      <c r="CYY83" s="143"/>
      <c r="CYZ83" s="143"/>
      <c r="CZA83" s="143"/>
      <c r="CZB83" s="143"/>
      <c r="CZC83" s="143"/>
      <c r="CZD83" s="143"/>
      <c r="CZE83" s="143"/>
      <c r="CZF83" s="143"/>
      <c r="CZG83" s="143"/>
      <c r="CZH83" s="143"/>
      <c r="CZI83" s="143"/>
      <c r="CZJ83" s="143"/>
      <c r="CZK83" s="143"/>
      <c r="CZL83" s="143"/>
      <c r="CZM83" s="143"/>
      <c r="CZN83" s="143"/>
      <c r="CZO83" s="143"/>
      <c r="CZP83" s="143"/>
      <c r="CZQ83" s="143"/>
      <c r="CZR83" s="143"/>
      <c r="CZS83" s="143"/>
      <c r="CZT83" s="143"/>
      <c r="CZU83" s="143"/>
      <c r="CZV83" s="143"/>
      <c r="CZW83" s="143"/>
      <c r="CZX83" s="143"/>
      <c r="CZY83" s="143"/>
      <c r="CZZ83" s="143"/>
      <c r="DAA83" s="143"/>
      <c r="DAB83" s="143"/>
      <c r="DAC83" s="143"/>
      <c r="DAD83" s="143"/>
      <c r="DAE83" s="143"/>
      <c r="DAF83" s="143"/>
      <c r="DAG83" s="143"/>
      <c r="DAH83" s="143"/>
      <c r="DAI83" s="143"/>
      <c r="DAJ83" s="143"/>
      <c r="DAK83" s="143"/>
      <c r="DAL83" s="143"/>
      <c r="DAM83" s="143"/>
      <c r="DAN83" s="143"/>
      <c r="DAO83" s="143"/>
      <c r="DAP83" s="143"/>
      <c r="DAQ83" s="143"/>
      <c r="DAR83" s="143"/>
      <c r="DAS83" s="143"/>
      <c r="DAT83" s="143"/>
      <c r="DAU83" s="143"/>
      <c r="DAV83" s="143"/>
      <c r="DAW83" s="143"/>
      <c r="DAX83" s="143"/>
      <c r="DAY83" s="143"/>
      <c r="DAZ83" s="143"/>
      <c r="DBA83" s="143"/>
      <c r="DBB83" s="143"/>
      <c r="DBC83" s="143"/>
      <c r="DBD83" s="143"/>
      <c r="DBE83" s="143"/>
      <c r="DBF83" s="143"/>
      <c r="DBG83" s="143"/>
      <c r="DBH83" s="143"/>
      <c r="DBI83" s="143"/>
      <c r="DBJ83" s="143"/>
      <c r="DBK83" s="143"/>
      <c r="DBL83" s="143"/>
      <c r="DBM83" s="143"/>
      <c r="DBN83" s="143"/>
      <c r="DBO83" s="143"/>
      <c r="DBP83" s="143"/>
      <c r="DBQ83" s="143"/>
      <c r="DBR83" s="143"/>
      <c r="DBS83" s="143"/>
      <c r="DBT83" s="143"/>
      <c r="DBU83" s="143"/>
      <c r="DBV83" s="143"/>
      <c r="DBW83" s="143"/>
      <c r="DBX83" s="143"/>
      <c r="DBY83" s="143"/>
      <c r="DBZ83" s="143"/>
      <c r="DCA83" s="143"/>
      <c r="DCB83" s="143"/>
      <c r="DCC83" s="143"/>
      <c r="DCD83" s="143"/>
      <c r="DCE83" s="143"/>
      <c r="DCF83" s="143"/>
      <c r="DCG83" s="143"/>
      <c r="DCH83" s="143"/>
      <c r="DCI83" s="143"/>
      <c r="DCJ83" s="143"/>
      <c r="DCK83" s="143"/>
      <c r="DCL83" s="143"/>
      <c r="DCM83" s="143"/>
      <c r="DCN83" s="143"/>
      <c r="DCO83" s="143"/>
      <c r="DCP83" s="143"/>
      <c r="DCQ83" s="143"/>
      <c r="DCR83" s="143"/>
      <c r="DCS83" s="143"/>
      <c r="DCT83" s="143"/>
      <c r="DCU83" s="143"/>
      <c r="DCV83" s="143"/>
      <c r="DCW83" s="143"/>
      <c r="DCX83" s="143"/>
      <c r="DCY83" s="143"/>
      <c r="DCZ83" s="143"/>
      <c r="DDA83" s="143"/>
      <c r="DDB83" s="143"/>
      <c r="DDC83" s="143"/>
      <c r="DDD83" s="143"/>
      <c r="DDE83" s="143"/>
      <c r="DDF83" s="143"/>
      <c r="DDG83" s="143"/>
      <c r="DDH83" s="143"/>
      <c r="DDI83" s="143"/>
      <c r="DDJ83" s="143"/>
      <c r="DDK83" s="143"/>
      <c r="DDL83" s="143"/>
      <c r="DDM83" s="143"/>
      <c r="DDN83" s="143"/>
      <c r="DDO83" s="143"/>
      <c r="DDP83" s="143"/>
      <c r="DDQ83" s="143"/>
      <c r="DDR83" s="143"/>
      <c r="DDS83" s="143"/>
      <c r="DDT83" s="143"/>
      <c r="DDU83" s="143"/>
      <c r="DDV83" s="143"/>
      <c r="DDW83" s="143"/>
      <c r="DDX83" s="143"/>
      <c r="DDY83" s="143"/>
      <c r="DDZ83" s="143"/>
      <c r="DEA83" s="143"/>
      <c r="DEB83" s="143"/>
      <c r="DEC83" s="143"/>
      <c r="DED83" s="143"/>
      <c r="DEE83" s="143"/>
      <c r="DEF83" s="143"/>
      <c r="DEG83" s="143"/>
      <c r="DEH83" s="143"/>
      <c r="DEI83" s="143"/>
      <c r="DEJ83" s="143"/>
      <c r="DEK83" s="143"/>
      <c r="DEL83" s="143"/>
      <c r="DEM83" s="143"/>
      <c r="DEN83" s="143"/>
      <c r="DEO83" s="143"/>
      <c r="DEP83" s="143"/>
      <c r="DEQ83" s="143"/>
      <c r="DER83" s="143"/>
      <c r="DES83" s="143"/>
      <c r="DET83" s="143"/>
      <c r="DEU83" s="143"/>
      <c r="DEV83" s="143"/>
      <c r="DEW83" s="143"/>
      <c r="DEX83" s="143"/>
      <c r="DEY83" s="143"/>
      <c r="DEZ83" s="143"/>
      <c r="DFA83" s="143"/>
      <c r="DFB83" s="143"/>
      <c r="DFC83" s="143"/>
      <c r="DFD83" s="143"/>
      <c r="DFE83" s="143"/>
      <c r="DFF83" s="143"/>
      <c r="DFG83" s="143"/>
      <c r="DFH83" s="143"/>
      <c r="DFI83" s="143"/>
      <c r="DFJ83" s="143"/>
      <c r="DFK83" s="143"/>
      <c r="DFL83" s="143"/>
      <c r="DFM83" s="143"/>
      <c r="DFN83" s="143"/>
      <c r="DFO83" s="143"/>
      <c r="DFP83" s="143"/>
      <c r="DFQ83" s="143"/>
      <c r="DFR83" s="143"/>
      <c r="DFS83" s="143"/>
      <c r="DFT83" s="143"/>
      <c r="DFU83" s="143"/>
      <c r="DFV83" s="143"/>
      <c r="DFW83" s="143"/>
      <c r="DFX83" s="143"/>
      <c r="DFY83" s="143"/>
      <c r="DFZ83" s="143"/>
      <c r="DGA83" s="143"/>
      <c r="DGB83" s="143"/>
      <c r="DGC83" s="143"/>
      <c r="DGD83" s="143"/>
      <c r="DGE83" s="143"/>
      <c r="DGF83" s="143"/>
      <c r="DGG83" s="143"/>
      <c r="DGH83" s="143"/>
      <c r="DGI83" s="143"/>
      <c r="DGJ83" s="143"/>
      <c r="DGK83" s="143"/>
      <c r="DGL83" s="143"/>
      <c r="DGM83" s="143"/>
      <c r="DGN83" s="143"/>
      <c r="DGO83" s="143"/>
      <c r="DGP83" s="143"/>
      <c r="DGQ83" s="143"/>
      <c r="DGR83" s="143"/>
      <c r="DGS83" s="143"/>
      <c r="DGT83" s="143"/>
      <c r="DGU83" s="143"/>
      <c r="DGV83" s="143"/>
      <c r="DGW83" s="143"/>
      <c r="DGX83" s="143"/>
      <c r="DGY83" s="143"/>
      <c r="DGZ83" s="143"/>
      <c r="DHA83" s="143"/>
      <c r="DHB83" s="143"/>
      <c r="DHC83" s="143"/>
      <c r="DHD83" s="143"/>
      <c r="DHE83" s="143"/>
      <c r="DHF83" s="143"/>
      <c r="DHG83" s="143"/>
      <c r="DHH83" s="143"/>
      <c r="DHI83" s="143"/>
      <c r="DHJ83" s="143"/>
      <c r="DHK83" s="143"/>
      <c r="DHL83" s="143"/>
      <c r="DHM83" s="143"/>
      <c r="DHN83" s="143"/>
      <c r="DHO83" s="143"/>
      <c r="DHP83" s="143"/>
      <c r="DHQ83" s="143"/>
      <c r="DHR83" s="143"/>
      <c r="DHS83" s="143"/>
      <c r="DHT83" s="143"/>
      <c r="DHU83" s="143"/>
      <c r="DHV83" s="143"/>
      <c r="DHW83" s="143"/>
      <c r="DHX83" s="143"/>
      <c r="DHY83" s="143"/>
      <c r="DHZ83" s="143"/>
      <c r="DIA83" s="143"/>
      <c r="DIB83" s="143"/>
      <c r="DIC83" s="143"/>
      <c r="DID83" s="143"/>
      <c r="DIE83" s="143"/>
      <c r="DIF83" s="143"/>
      <c r="DIG83" s="143"/>
      <c r="DIH83" s="143"/>
      <c r="DII83" s="143"/>
      <c r="DIJ83" s="143"/>
      <c r="DIK83" s="143"/>
      <c r="DIL83" s="143"/>
      <c r="DIM83" s="143"/>
      <c r="DIN83" s="143"/>
      <c r="DIO83" s="143"/>
      <c r="DIP83" s="143"/>
      <c r="DIQ83" s="143"/>
      <c r="DIR83" s="143"/>
      <c r="DIS83" s="143"/>
      <c r="DIT83" s="143"/>
      <c r="DIU83" s="143"/>
      <c r="DIV83" s="143"/>
      <c r="DIW83" s="143"/>
      <c r="DIX83" s="143"/>
      <c r="DIY83" s="143"/>
      <c r="DIZ83" s="143"/>
      <c r="DJA83" s="143"/>
      <c r="DJB83" s="143"/>
      <c r="DJC83" s="143"/>
      <c r="DJD83" s="143"/>
      <c r="DJE83" s="143"/>
      <c r="DJF83" s="143"/>
      <c r="DJG83" s="143"/>
      <c r="DJH83" s="143"/>
      <c r="DJI83" s="143"/>
      <c r="DJJ83" s="143"/>
      <c r="DJK83" s="143"/>
      <c r="DJL83" s="143"/>
      <c r="DJM83" s="143"/>
      <c r="DJN83" s="143"/>
      <c r="DJO83" s="143"/>
      <c r="DJP83" s="143"/>
      <c r="DJQ83" s="143"/>
      <c r="DJR83" s="143"/>
      <c r="DJS83" s="143"/>
      <c r="DJT83" s="143"/>
      <c r="DJU83" s="143"/>
      <c r="DJV83" s="143"/>
      <c r="DJW83" s="143"/>
      <c r="DJX83" s="143"/>
      <c r="DJY83" s="143"/>
      <c r="DJZ83" s="143"/>
      <c r="DKA83" s="143"/>
      <c r="DKB83" s="143"/>
      <c r="DKC83" s="143"/>
      <c r="DKD83" s="143"/>
      <c r="DKE83" s="143"/>
      <c r="DKF83" s="143"/>
      <c r="DKG83" s="143"/>
      <c r="DKH83" s="143"/>
      <c r="DKI83" s="143"/>
      <c r="DKJ83" s="143"/>
      <c r="DKK83" s="143"/>
      <c r="DKL83" s="143"/>
      <c r="DKM83" s="143"/>
      <c r="DKN83" s="143"/>
      <c r="DKO83" s="143"/>
      <c r="DKP83" s="143"/>
      <c r="DKQ83" s="143"/>
      <c r="DKR83" s="143"/>
      <c r="DKS83" s="143"/>
      <c r="DKT83" s="143"/>
      <c r="DKU83" s="143"/>
      <c r="DKV83" s="143"/>
      <c r="DKW83" s="143"/>
      <c r="DKX83" s="143"/>
      <c r="DKY83" s="143"/>
      <c r="DKZ83" s="143"/>
      <c r="DLA83" s="143"/>
      <c r="DLB83" s="143"/>
      <c r="DLC83" s="143"/>
      <c r="DLD83" s="143"/>
      <c r="DLE83" s="143"/>
      <c r="DLF83" s="143"/>
      <c r="DLG83" s="143"/>
      <c r="DLH83" s="143"/>
      <c r="DLI83" s="143"/>
      <c r="DLJ83" s="143"/>
      <c r="DLK83" s="143"/>
      <c r="DLL83" s="143"/>
      <c r="DLM83" s="143"/>
      <c r="DLN83" s="143"/>
      <c r="DLO83" s="143"/>
      <c r="DLP83" s="143"/>
      <c r="DLQ83" s="143"/>
      <c r="DLR83" s="143"/>
      <c r="DLS83" s="143"/>
      <c r="DLT83" s="143"/>
      <c r="DLU83" s="143"/>
      <c r="DLV83" s="143"/>
      <c r="DLW83" s="143"/>
      <c r="DLX83" s="143"/>
      <c r="DLY83" s="143"/>
      <c r="DLZ83" s="143"/>
      <c r="DMA83" s="143"/>
      <c r="DMB83" s="143"/>
      <c r="DMC83" s="143"/>
      <c r="DMD83" s="143"/>
      <c r="DME83" s="143"/>
      <c r="DMF83" s="143"/>
      <c r="DMG83" s="143"/>
      <c r="DMH83" s="143"/>
      <c r="DMI83" s="143"/>
      <c r="DMJ83" s="143"/>
      <c r="DMK83" s="143"/>
      <c r="DML83" s="143"/>
      <c r="DMM83" s="143"/>
      <c r="DMN83" s="143"/>
      <c r="DMO83" s="143"/>
      <c r="DMP83" s="143"/>
      <c r="DMQ83" s="143"/>
      <c r="DMR83" s="143"/>
      <c r="DMS83" s="143"/>
      <c r="DMT83" s="143"/>
      <c r="DMU83" s="143"/>
      <c r="DMV83" s="143"/>
      <c r="DMW83" s="143"/>
      <c r="DMX83" s="143"/>
      <c r="DMY83" s="143"/>
      <c r="DMZ83" s="143"/>
      <c r="DNA83" s="143"/>
      <c r="DNB83" s="143"/>
      <c r="DNC83" s="143"/>
      <c r="DND83" s="143"/>
      <c r="DNE83" s="143"/>
      <c r="DNF83" s="143"/>
      <c r="DNG83" s="143"/>
      <c r="DNH83" s="143"/>
      <c r="DNI83" s="143"/>
      <c r="DNJ83" s="143"/>
      <c r="DNK83" s="143"/>
      <c r="DNL83" s="143"/>
      <c r="DNM83" s="143"/>
      <c r="DNN83" s="143"/>
      <c r="DNO83" s="143"/>
      <c r="DNP83" s="143"/>
      <c r="DNQ83" s="143"/>
      <c r="DNR83" s="143"/>
      <c r="DNS83" s="143"/>
      <c r="DNT83" s="143"/>
      <c r="DNU83" s="143"/>
      <c r="DNV83" s="143"/>
      <c r="DNW83" s="143"/>
      <c r="DNX83" s="143"/>
      <c r="DNY83" s="143"/>
      <c r="DNZ83" s="143"/>
      <c r="DOA83" s="143"/>
      <c r="DOB83" s="143"/>
      <c r="DOC83" s="143"/>
      <c r="DOD83" s="143"/>
      <c r="DOE83" s="143"/>
      <c r="DOF83" s="143"/>
      <c r="DOG83" s="143"/>
      <c r="DOH83" s="143"/>
      <c r="DOI83" s="143"/>
      <c r="DOJ83" s="143"/>
      <c r="DOK83" s="143"/>
      <c r="DOL83" s="143"/>
      <c r="DOM83" s="143"/>
      <c r="DON83" s="143"/>
      <c r="DOO83" s="143"/>
      <c r="DOP83" s="143"/>
      <c r="DOQ83" s="143"/>
      <c r="DOR83" s="143"/>
      <c r="DOS83" s="143"/>
      <c r="DOT83" s="143"/>
      <c r="DOU83" s="143"/>
      <c r="DOV83" s="143"/>
      <c r="DOW83" s="143"/>
      <c r="DOX83" s="143"/>
      <c r="DOY83" s="143"/>
      <c r="DOZ83" s="143"/>
      <c r="DPA83" s="143"/>
      <c r="DPB83" s="143"/>
      <c r="DPC83" s="143"/>
      <c r="DPD83" s="143"/>
      <c r="DPE83" s="143"/>
      <c r="DPF83" s="143"/>
      <c r="DPG83" s="143"/>
      <c r="DPH83" s="143"/>
      <c r="DPI83" s="143"/>
      <c r="DPJ83" s="143"/>
      <c r="DPK83" s="143"/>
      <c r="DPL83" s="143"/>
      <c r="DPM83" s="143"/>
      <c r="DPN83" s="143"/>
      <c r="DPO83" s="143"/>
      <c r="DPP83" s="143"/>
      <c r="DPQ83" s="143"/>
      <c r="DPR83" s="143"/>
      <c r="DPS83" s="143"/>
      <c r="DPT83" s="143"/>
      <c r="DPU83" s="143"/>
      <c r="DPV83" s="143"/>
      <c r="DPW83" s="143"/>
      <c r="DPX83" s="143"/>
      <c r="DPY83" s="143"/>
      <c r="DPZ83" s="143"/>
      <c r="DQA83" s="143"/>
      <c r="DQB83" s="143"/>
      <c r="DQC83" s="143"/>
      <c r="DQD83" s="143"/>
      <c r="DQE83" s="143"/>
      <c r="DQF83" s="143"/>
      <c r="DQG83" s="143"/>
      <c r="DQH83" s="143"/>
      <c r="DQI83" s="143"/>
      <c r="DQJ83" s="143"/>
      <c r="DQK83" s="143"/>
      <c r="DQL83" s="143"/>
      <c r="DQM83" s="143"/>
      <c r="DQN83" s="143"/>
      <c r="DQO83" s="143"/>
      <c r="DQP83" s="143"/>
      <c r="DQQ83" s="143"/>
      <c r="DQR83" s="143"/>
      <c r="DQS83" s="143"/>
      <c r="DQT83" s="143"/>
      <c r="DQU83" s="143"/>
      <c r="DQV83" s="143"/>
      <c r="DQW83" s="143"/>
      <c r="DQX83" s="143"/>
      <c r="DQY83" s="143"/>
      <c r="DQZ83" s="143"/>
      <c r="DRA83" s="143"/>
      <c r="DRB83" s="143"/>
      <c r="DRC83" s="143"/>
      <c r="DRD83" s="143"/>
      <c r="DRE83" s="143"/>
      <c r="DRF83" s="143"/>
      <c r="DRG83" s="143"/>
      <c r="DRH83" s="143"/>
      <c r="DRI83" s="143"/>
      <c r="DRJ83" s="143"/>
      <c r="DRK83" s="143"/>
      <c r="DRL83" s="143"/>
      <c r="DRM83" s="143"/>
      <c r="DRN83" s="143"/>
      <c r="DRO83" s="143"/>
      <c r="DRP83" s="143"/>
      <c r="DRQ83" s="143"/>
      <c r="DRR83" s="143"/>
      <c r="DRS83" s="143"/>
      <c r="DRT83" s="143"/>
      <c r="DRU83" s="143"/>
      <c r="DRV83" s="143"/>
      <c r="DRW83" s="143"/>
      <c r="DRX83" s="143"/>
      <c r="DRY83" s="143"/>
      <c r="DRZ83" s="143"/>
      <c r="DSA83" s="143"/>
      <c r="DSB83" s="143"/>
      <c r="DSC83" s="143"/>
      <c r="DSD83" s="143"/>
      <c r="DSE83" s="143"/>
      <c r="DSF83" s="143"/>
      <c r="DSG83" s="143"/>
      <c r="DSH83" s="143"/>
      <c r="DSI83" s="143"/>
      <c r="DSJ83" s="143"/>
      <c r="DSK83" s="143"/>
      <c r="DSL83" s="143"/>
      <c r="DSM83" s="143"/>
      <c r="DSN83" s="143"/>
      <c r="DSO83" s="143"/>
      <c r="DSP83" s="143"/>
      <c r="DSQ83" s="143"/>
      <c r="DSR83" s="143"/>
      <c r="DSS83" s="143"/>
      <c r="DST83" s="143"/>
      <c r="DSU83" s="143"/>
      <c r="DSV83" s="143"/>
      <c r="DSW83" s="143"/>
      <c r="DSX83" s="143"/>
      <c r="DSY83" s="143"/>
      <c r="DSZ83" s="143"/>
      <c r="DTA83" s="143"/>
      <c r="DTB83" s="143"/>
      <c r="DTC83" s="143"/>
      <c r="DTD83" s="143"/>
      <c r="DTE83" s="143"/>
      <c r="DTF83" s="143"/>
      <c r="DTG83" s="143"/>
      <c r="DTH83" s="143"/>
      <c r="DTI83" s="143"/>
      <c r="DTJ83" s="143"/>
      <c r="DTK83" s="143"/>
      <c r="DTL83" s="143"/>
      <c r="DTM83" s="143"/>
      <c r="DTN83" s="143"/>
      <c r="DTO83" s="143"/>
      <c r="DTP83" s="143"/>
      <c r="DTQ83" s="143"/>
      <c r="DTR83" s="143"/>
      <c r="DTS83" s="143"/>
      <c r="DTT83" s="143"/>
      <c r="DTU83" s="143"/>
      <c r="DTV83" s="143"/>
      <c r="DTW83" s="143"/>
      <c r="DTX83" s="143"/>
      <c r="DTY83" s="143"/>
      <c r="DTZ83" s="143"/>
      <c r="DUA83" s="143"/>
      <c r="DUB83" s="143"/>
      <c r="DUC83" s="143"/>
      <c r="DUD83" s="143"/>
      <c r="DUE83" s="143"/>
      <c r="DUF83" s="143"/>
      <c r="DUG83" s="143"/>
      <c r="DUH83" s="143"/>
      <c r="DUI83" s="143"/>
      <c r="DUJ83" s="143"/>
      <c r="DUK83" s="143"/>
      <c r="DUL83" s="143"/>
      <c r="DUM83" s="143"/>
      <c r="DUN83" s="143"/>
      <c r="DUO83" s="143"/>
      <c r="DUP83" s="143"/>
      <c r="DUQ83" s="143"/>
      <c r="DUR83" s="143"/>
      <c r="DUS83" s="143"/>
      <c r="DUT83" s="143"/>
      <c r="DUU83" s="143"/>
      <c r="DUV83" s="143"/>
      <c r="DUW83" s="143"/>
      <c r="DUX83" s="143"/>
      <c r="DUY83" s="143"/>
      <c r="DUZ83" s="143"/>
      <c r="DVA83" s="143"/>
      <c r="DVB83" s="143"/>
      <c r="DVC83" s="143"/>
      <c r="DVD83" s="143"/>
      <c r="DVE83" s="143"/>
      <c r="DVF83" s="143"/>
      <c r="DVG83" s="143"/>
      <c r="DVH83" s="143"/>
      <c r="DVI83" s="143"/>
      <c r="DVJ83" s="143"/>
      <c r="DVK83" s="143"/>
      <c r="DVL83" s="143"/>
      <c r="DVM83" s="143"/>
      <c r="DVN83" s="143"/>
      <c r="DVO83" s="143"/>
      <c r="DVP83" s="143"/>
      <c r="DVQ83" s="143"/>
      <c r="DVR83" s="143"/>
      <c r="DVS83" s="143"/>
      <c r="DVT83" s="143"/>
      <c r="DVU83" s="143"/>
      <c r="DVV83" s="143"/>
      <c r="DVW83" s="143"/>
      <c r="DVX83" s="143"/>
      <c r="DVY83" s="143"/>
      <c r="DVZ83" s="143"/>
      <c r="DWA83" s="143"/>
      <c r="DWB83" s="143"/>
      <c r="DWC83" s="143"/>
      <c r="DWD83" s="143"/>
      <c r="DWE83" s="143"/>
      <c r="DWF83" s="143"/>
      <c r="DWG83" s="143"/>
      <c r="DWH83" s="143"/>
      <c r="DWI83" s="143"/>
      <c r="DWJ83" s="143"/>
      <c r="DWK83" s="143"/>
      <c r="DWL83" s="143"/>
      <c r="DWM83" s="143"/>
      <c r="DWN83" s="143"/>
      <c r="DWO83" s="143"/>
      <c r="DWP83" s="143"/>
      <c r="DWQ83" s="143"/>
      <c r="DWR83" s="143"/>
      <c r="DWS83" s="143"/>
      <c r="DWT83" s="143"/>
      <c r="DWU83" s="143"/>
      <c r="DWV83" s="143"/>
      <c r="DWW83" s="143"/>
      <c r="DWX83" s="143"/>
      <c r="DWY83" s="143"/>
      <c r="DWZ83" s="143"/>
      <c r="DXA83" s="143"/>
      <c r="DXB83" s="143"/>
      <c r="DXC83" s="143"/>
      <c r="DXD83" s="143"/>
      <c r="DXE83" s="143"/>
      <c r="DXF83" s="143"/>
      <c r="DXG83" s="143"/>
      <c r="DXH83" s="143"/>
      <c r="DXI83" s="143"/>
      <c r="DXJ83" s="143"/>
      <c r="DXK83" s="143"/>
      <c r="DXL83" s="143"/>
      <c r="DXM83" s="143"/>
      <c r="DXN83" s="143"/>
      <c r="DXO83" s="143"/>
      <c r="DXP83" s="143"/>
      <c r="DXQ83" s="143"/>
      <c r="DXR83" s="143"/>
      <c r="DXS83" s="143"/>
      <c r="DXT83" s="143"/>
      <c r="DXU83" s="143"/>
      <c r="DXV83" s="143"/>
      <c r="DXW83" s="143"/>
      <c r="DXX83" s="143"/>
      <c r="DXY83" s="143"/>
      <c r="DXZ83" s="143"/>
      <c r="DYA83" s="143"/>
      <c r="DYB83" s="143"/>
      <c r="DYC83" s="143"/>
      <c r="DYD83" s="143"/>
      <c r="DYE83" s="143"/>
      <c r="DYF83" s="143"/>
      <c r="DYG83" s="143"/>
      <c r="DYH83" s="143"/>
      <c r="DYI83" s="143"/>
      <c r="DYJ83" s="143"/>
      <c r="DYK83" s="143"/>
      <c r="DYL83" s="143"/>
      <c r="DYM83" s="143"/>
      <c r="DYN83" s="143"/>
      <c r="DYO83" s="143"/>
      <c r="DYP83" s="143"/>
      <c r="DYQ83" s="143"/>
      <c r="DYR83" s="143"/>
      <c r="DYS83" s="143"/>
      <c r="DYT83" s="143"/>
      <c r="DYU83" s="143"/>
      <c r="DYV83" s="143"/>
      <c r="DYW83" s="143"/>
      <c r="DYX83" s="143"/>
      <c r="DYY83" s="143"/>
      <c r="DYZ83" s="143"/>
      <c r="DZA83" s="143"/>
      <c r="DZB83" s="143"/>
      <c r="DZC83" s="143"/>
      <c r="DZD83" s="143"/>
      <c r="DZE83" s="143"/>
      <c r="DZF83" s="143"/>
      <c r="DZG83" s="143"/>
      <c r="DZH83" s="143"/>
      <c r="DZI83" s="143"/>
      <c r="DZJ83" s="143"/>
      <c r="DZK83" s="143"/>
      <c r="DZL83" s="143"/>
      <c r="DZM83" s="143"/>
      <c r="DZN83" s="143"/>
      <c r="DZO83" s="143"/>
      <c r="DZP83" s="143"/>
      <c r="DZQ83" s="143"/>
      <c r="DZR83" s="143"/>
      <c r="DZS83" s="143"/>
      <c r="DZT83" s="143"/>
      <c r="DZU83" s="143"/>
      <c r="DZV83" s="143"/>
      <c r="DZW83" s="143"/>
      <c r="DZX83" s="143"/>
      <c r="DZY83" s="143"/>
      <c r="DZZ83" s="143"/>
      <c r="EAA83" s="143"/>
      <c r="EAB83" s="143"/>
      <c r="EAC83" s="143"/>
      <c r="EAD83" s="143"/>
      <c r="EAE83" s="143"/>
      <c r="EAF83" s="143"/>
      <c r="EAG83" s="143"/>
      <c r="EAH83" s="143"/>
      <c r="EAI83" s="143"/>
      <c r="EAJ83" s="143"/>
      <c r="EAK83" s="143"/>
      <c r="EAL83" s="143"/>
      <c r="EAM83" s="143"/>
      <c r="EAN83" s="143"/>
      <c r="EAO83" s="143"/>
      <c r="EAP83" s="143"/>
      <c r="EAQ83" s="143"/>
      <c r="EAR83" s="143"/>
      <c r="EAS83" s="143"/>
      <c r="EAT83" s="143"/>
      <c r="EAU83" s="143"/>
      <c r="EAV83" s="143"/>
      <c r="EAW83" s="143"/>
      <c r="EAX83" s="143"/>
      <c r="EAY83" s="143"/>
      <c r="EAZ83" s="143"/>
      <c r="EBA83" s="143"/>
      <c r="EBB83" s="143"/>
      <c r="EBC83" s="143"/>
      <c r="EBD83" s="143"/>
      <c r="EBE83" s="143"/>
      <c r="EBF83" s="143"/>
      <c r="EBG83" s="143"/>
      <c r="EBH83" s="143"/>
      <c r="EBI83" s="143"/>
      <c r="EBJ83" s="143"/>
      <c r="EBK83" s="143"/>
      <c r="EBL83" s="143"/>
      <c r="EBM83" s="143"/>
      <c r="EBN83" s="143"/>
      <c r="EBO83" s="143"/>
      <c r="EBP83" s="143"/>
      <c r="EBQ83" s="143"/>
      <c r="EBR83" s="143"/>
      <c r="EBS83" s="143"/>
      <c r="EBT83" s="143"/>
      <c r="EBU83" s="143"/>
      <c r="EBV83" s="143"/>
      <c r="EBW83" s="143"/>
      <c r="EBX83" s="143"/>
      <c r="EBY83" s="143"/>
      <c r="EBZ83" s="143"/>
      <c r="ECA83" s="143"/>
      <c r="ECB83" s="143"/>
      <c r="ECC83" s="143"/>
      <c r="ECD83" s="143"/>
      <c r="ECE83" s="143"/>
      <c r="ECF83" s="143"/>
      <c r="ECG83" s="143"/>
      <c r="ECH83" s="143"/>
      <c r="ECI83" s="143"/>
      <c r="ECJ83" s="143"/>
      <c r="ECK83" s="143"/>
      <c r="ECL83" s="143"/>
      <c r="ECM83" s="143"/>
      <c r="ECN83" s="143"/>
      <c r="ECO83" s="143"/>
      <c r="ECP83" s="143"/>
      <c r="ECQ83" s="143"/>
      <c r="ECR83" s="143"/>
      <c r="ECS83" s="143"/>
      <c r="ECT83" s="143"/>
      <c r="ECU83" s="143"/>
      <c r="ECV83" s="143"/>
      <c r="ECW83" s="143"/>
      <c r="ECX83" s="143"/>
      <c r="ECY83" s="143"/>
      <c r="ECZ83" s="143"/>
      <c r="EDA83" s="143"/>
      <c r="EDB83" s="143"/>
      <c r="EDC83" s="143"/>
      <c r="EDD83" s="143"/>
      <c r="EDE83" s="143"/>
      <c r="EDF83" s="143"/>
      <c r="EDG83" s="143"/>
      <c r="EDH83" s="143"/>
      <c r="EDI83" s="143"/>
      <c r="EDJ83" s="143"/>
      <c r="EDK83" s="143"/>
      <c r="EDL83" s="143"/>
      <c r="EDM83" s="143"/>
      <c r="EDN83" s="143"/>
      <c r="EDO83" s="143"/>
      <c r="EDP83" s="143"/>
      <c r="EDQ83" s="143"/>
      <c r="EDR83" s="143"/>
      <c r="EDS83" s="143"/>
      <c r="EDT83" s="143"/>
      <c r="EDU83" s="143"/>
      <c r="EDV83" s="143"/>
      <c r="EDW83" s="143"/>
      <c r="EDX83" s="143"/>
      <c r="EDY83" s="143"/>
      <c r="EDZ83" s="143"/>
      <c r="EEA83" s="143"/>
      <c r="EEB83" s="143"/>
      <c r="EEC83" s="143"/>
      <c r="EED83" s="143"/>
      <c r="EEE83" s="143"/>
      <c r="EEF83" s="143"/>
      <c r="EEG83" s="143"/>
      <c r="EEH83" s="143"/>
      <c r="EEI83" s="143"/>
      <c r="EEJ83" s="143"/>
      <c r="EEK83" s="143"/>
      <c r="EEL83" s="143"/>
      <c r="EEM83" s="143"/>
      <c r="EEN83" s="143"/>
      <c r="EEO83" s="143"/>
      <c r="EEP83" s="143"/>
      <c r="EEQ83" s="143"/>
      <c r="EER83" s="143"/>
      <c r="EES83" s="143"/>
      <c r="EET83" s="143"/>
      <c r="EEU83" s="143"/>
      <c r="EEV83" s="143"/>
      <c r="EEW83" s="143"/>
      <c r="EEX83" s="143"/>
      <c r="EEY83" s="143"/>
      <c r="EEZ83" s="143"/>
      <c r="EFA83" s="143"/>
      <c r="EFB83" s="143"/>
      <c r="EFC83" s="143"/>
      <c r="EFD83" s="143"/>
      <c r="EFE83" s="143"/>
      <c r="EFF83" s="143"/>
      <c r="EFG83" s="143"/>
      <c r="EFH83" s="143"/>
      <c r="EFI83" s="143"/>
      <c r="EFJ83" s="143"/>
      <c r="EFK83" s="143"/>
      <c r="EFL83" s="143"/>
      <c r="EFM83" s="143"/>
      <c r="EFN83" s="143"/>
      <c r="EFO83" s="143"/>
      <c r="EFP83" s="143"/>
      <c r="EFQ83" s="143"/>
      <c r="EFR83" s="143"/>
      <c r="EFS83" s="143"/>
      <c r="EFT83" s="143"/>
      <c r="EFU83" s="143"/>
      <c r="EFV83" s="143"/>
      <c r="EFW83" s="143"/>
      <c r="EFX83" s="143"/>
      <c r="EFY83" s="143"/>
      <c r="EFZ83" s="143"/>
      <c r="EGA83" s="143"/>
      <c r="EGB83" s="143"/>
      <c r="EGC83" s="143"/>
      <c r="EGD83" s="143"/>
      <c r="EGE83" s="143"/>
      <c r="EGF83" s="143"/>
      <c r="EGG83" s="143"/>
      <c r="EGH83" s="143"/>
      <c r="EGI83" s="143"/>
      <c r="EGJ83" s="143"/>
      <c r="EGK83" s="143"/>
      <c r="EGL83" s="143"/>
      <c r="EGM83" s="143"/>
      <c r="EGN83" s="143"/>
      <c r="EGO83" s="143"/>
      <c r="EGP83" s="143"/>
      <c r="EGQ83" s="143"/>
      <c r="EGR83" s="143"/>
      <c r="EGS83" s="143"/>
      <c r="EGT83" s="143"/>
      <c r="EGU83" s="143"/>
      <c r="EGV83" s="143"/>
      <c r="EGW83" s="143"/>
      <c r="EGX83" s="143"/>
      <c r="EGY83" s="143"/>
      <c r="EGZ83" s="143"/>
      <c r="EHA83" s="143"/>
      <c r="EHB83" s="143"/>
      <c r="EHC83" s="143"/>
      <c r="EHD83" s="143"/>
      <c r="EHE83" s="143"/>
      <c r="EHF83" s="143"/>
      <c r="EHG83" s="143"/>
      <c r="EHH83" s="143"/>
      <c r="EHI83" s="143"/>
      <c r="EHJ83" s="143"/>
      <c r="EHK83" s="143"/>
      <c r="EHL83" s="143"/>
      <c r="EHM83" s="143"/>
      <c r="EHN83" s="143"/>
      <c r="EHO83" s="143"/>
      <c r="EHP83" s="143"/>
      <c r="EHQ83" s="143"/>
      <c r="EHR83" s="143"/>
      <c r="EHS83" s="143"/>
      <c r="EHT83" s="143"/>
      <c r="EHU83" s="143"/>
      <c r="EHV83" s="143"/>
      <c r="EHW83" s="143"/>
      <c r="EHX83" s="143"/>
      <c r="EHY83" s="143"/>
      <c r="EHZ83" s="143"/>
      <c r="EIA83" s="143"/>
      <c r="EIB83" s="143"/>
      <c r="EIC83" s="143"/>
      <c r="EID83" s="143"/>
      <c r="EIE83" s="143"/>
      <c r="EIF83" s="143"/>
      <c r="EIG83" s="143"/>
      <c r="EIH83" s="143"/>
      <c r="EII83" s="143"/>
      <c r="EIJ83" s="143"/>
      <c r="EIK83" s="143"/>
      <c r="EIL83" s="143"/>
      <c r="EIM83" s="143"/>
      <c r="EIN83" s="143"/>
      <c r="EIO83" s="143"/>
      <c r="EIP83" s="143"/>
      <c r="EIQ83" s="143"/>
      <c r="EIR83" s="143"/>
      <c r="EIS83" s="143"/>
      <c r="EIT83" s="143"/>
      <c r="EIU83" s="143"/>
      <c r="EIV83" s="143"/>
      <c r="EIW83" s="143"/>
      <c r="EIX83" s="143"/>
      <c r="EIY83" s="143"/>
      <c r="EIZ83" s="143"/>
      <c r="EJA83" s="143"/>
      <c r="EJB83" s="143"/>
      <c r="EJC83" s="143"/>
      <c r="EJD83" s="143"/>
      <c r="EJE83" s="143"/>
      <c r="EJF83" s="143"/>
      <c r="EJG83" s="143"/>
      <c r="EJH83" s="143"/>
      <c r="EJI83" s="143"/>
      <c r="EJJ83" s="143"/>
      <c r="EJK83" s="143"/>
      <c r="EJL83" s="143"/>
      <c r="EJM83" s="143"/>
      <c r="EJN83" s="143"/>
      <c r="EJO83" s="143"/>
      <c r="EJP83" s="143"/>
      <c r="EJQ83" s="143"/>
      <c r="EJR83" s="143"/>
      <c r="EJS83" s="143"/>
      <c r="EJT83" s="143"/>
      <c r="EJU83" s="143"/>
      <c r="EJV83" s="143"/>
      <c r="EJW83" s="143"/>
      <c r="EJX83" s="143"/>
      <c r="EJY83" s="143"/>
      <c r="EJZ83" s="143"/>
      <c r="EKA83" s="143"/>
      <c r="EKB83" s="143"/>
      <c r="EKC83" s="143"/>
      <c r="EKD83" s="143"/>
      <c r="EKE83" s="143"/>
      <c r="EKF83" s="143"/>
      <c r="EKG83" s="143"/>
      <c r="EKH83" s="143"/>
      <c r="EKI83" s="143"/>
      <c r="EKJ83" s="143"/>
      <c r="EKK83" s="143"/>
      <c r="EKL83" s="143"/>
      <c r="EKM83" s="143"/>
      <c r="EKN83" s="143"/>
      <c r="EKO83" s="143"/>
      <c r="EKP83" s="143"/>
      <c r="EKQ83" s="143"/>
      <c r="EKR83" s="143"/>
      <c r="EKS83" s="143"/>
      <c r="EKT83" s="143"/>
      <c r="EKU83" s="143"/>
      <c r="EKV83" s="143"/>
      <c r="EKW83" s="143"/>
      <c r="EKX83" s="143"/>
      <c r="EKY83" s="143"/>
      <c r="EKZ83" s="143"/>
      <c r="ELA83" s="143"/>
      <c r="ELB83" s="143"/>
      <c r="ELC83" s="143"/>
      <c r="ELD83" s="143"/>
      <c r="ELE83" s="143"/>
      <c r="ELF83" s="143"/>
      <c r="ELG83" s="143"/>
      <c r="ELH83" s="143"/>
      <c r="ELI83" s="143"/>
      <c r="ELJ83" s="143"/>
      <c r="ELK83" s="143"/>
      <c r="ELL83" s="143"/>
      <c r="ELM83" s="143"/>
      <c r="ELN83" s="143"/>
      <c r="ELO83" s="143"/>
      <c r="ELP83" s="143"/>
      <c r="ELQ83" s="143"/>
      <c r="ELR83" s="143"/>
      <c r="ELS83" s="143"/>
      <c r="ELT83" s="143"/>
      <c r="ELU83" s="143"/>
      <c r="ELV83" s="143"/>
      <c r="ELW83" s="143"/>
      <c r="ELX83" s="143"/>
      <c r="ELY83" s="143"/>
      <c r="ELZ83" s="143"/>
      <c r="EMA83" s="143"/>
      <c r="EMB83" s="143"/>
      <c r="EMC83" s="143"/>
      <c r="EMD83" s="143"/>
      <c r="EME83" s="143"/>
      <c r="EMF83" s="143"/>
      <c r="EMG83" s="143"/>
      <c r="EMH83" s="143"/>
      <c r="EMI83" s="143"/>
      <c r="EMJ83" s="143"/>
      <c r="EMK83" s="143"/>
      <c r="EML83" s="143"/>
      <c r="EMM83" s="143"/>
      <c r="EMN83" s="143"/>
      <c r="EMO83" s="143"/>
      <c r="EMP83" s="143"/>
      <c r="EMQ83" s="143"/>
      <c r="EMR83" s="143"/>
      <c r="EMS83" s="143"/>
      <c r="EMT83" s="143"/>
      <c r="EMU83" s="143"/>
      <c r="EMV83" s="143"/>
      <c r="EMW83" s="143"/>
      <c r="EMX83" s="143"/>
      <c r="EMY83" s="143"/>
      <c r="EMZ83" s="143"/>
      <c r="ENA83" s="143"/>
      <c r="ENB83" s="143"/>
      <c r="ENC83" s="143"/>
      <c r="END83" s="143"/>
      <c r="ENE83" s="143"/>
      <c r="ENF83" s="143"/>
      <c r="ENG83" s="143"/>
      <c r="ENH83" s="143"/>
      <c r="ENI83" s="143"/>
      <c r="ENJ83" s="143"/>
      <c r="ENK83" s="143"/>
      <c r="ENL83" s="143"/>
      <c r="ENM83" s="143"/>
      <c r="ENN83" s="143"/>
      <c r="ENO83" s="143"/>
      <c r="ENP83" s="143"/>
      <c r="ENQ83" s="143"/>
      <c r="ENR83" s="143"/>
      <c r="ENS83" s="143"/>
      <c r="ENT83" s="143"/>
      <c r="ENU83" s="143"/>
      <c r="ENV83" s="143"/>
      <c r="ENW83" s="143"/>
      <c r="ENX83" s="143"/>
      <c r="ENY83" s="143"/>
      <c r="ENZ83" s="143"/>
      <c r="EOA83" s="143"/>
      <c r="EOB83" s="143"/>
      <c r="EOC83" s="143"/>
      <c r="EOD83" s="143"/>
      <c r="EOE83" s="143"/>
      <c r="EOF83" s="143"/>
      <c r="EOG83" s="143"/>
      <c r="EOH83" s="143"/>
      <c r="EOI83" s="143"/>
      <c r="EOJ83" s="143"/>
      <c r="EOK83" s="143"/>
      <c r="EOL83" s="143"/>
      <c r="EOM83" s="143"/>
      <c r="EON83" s="143"/>
      <c r="EOO83" s="143"/>
      <c r="EOP83" s="143"/>
      <c r="EOQ83" s="143"/>
      <c r="EOR83" s="143"/>
      <c r="EOS83" s="143"/>
      <c r="EOT83" s="143"/>
      <c r="EOU83" s="143"/>
      <c r="EOV83" s="143"/>
      <c r="EOW83" s="143"/>
      <c r="EOX83" s="143"/>
      <c r="EOY83" s="143"/>
      <c r="EOZ83" s="143"/>
      <c r="EPA83" s="143"/>
      <c r="EPB83" s="143"/>
      <c r="EPC83" s="143"/>
      <c r="EPD83" s="143"/>
      <c r="EPE83" s="143"/>
      <c r="EPF83" s="143"/>
      <c r="EPG83" s="143"/>
      <c r="EPH83" s="143"/>
      <c r="EPI83" s="143"/>
      <c r="EPJ83" s="143"/>
      <c r="EPK83" s="143"/>
      <c r="EPL83" s="143"/>
      <c r="EPM83" s="143"/>
      <c r="EPN83" s="143"/>
      <c r="EPO83" s="143"/>
      <c r="EPP83" s="143"/>
      <c r="EPQ83" s="143"/>
      <c r="EPR83" s="143"/>
      <c r="EPS83" s="143"/>
      <c r="EPT83" s="143"/>
      <c r="EPU83" s="143"/>
      <c r="EPV83" s="143"/>
      <c r="EPW83" s="143"/>
      <c r="EPX83" s="143"/>
      <c r="EPY83" s="143"/>
      <c r="EPZ83" s="143"/>
      <c r="EQA83" s="143"/>
      <c r="EQB83" s="143"/>
      <c r="EQC83" s="143"/>
      <c r="EQD83" s="143"/>
      <c r="EQE83" s="143"/>
      <c r="EQF83" s="143"/>
      <c r="EQG83" s="143"/>
      <c r="EQH83" s="143"/>
      <c r="EQI83" s="143"/>
      <c r="EQJ83" s="143"/>
      <c r="EQK83" s="143"/>
      <c r="EQL83" s="143"/>
      <c r="EQM83" s="143"/>
      <c r="EQN83" s="143"/>
      <c r="EQO83" s="143"/>
      <c r="EQP83" s="143"/>
      <c r="EQQ83" s="143"/>
      <c r="EQR83" s="143"/>
      <c r="EQS83" s="143"/>
      <c r="EQT83" s="143"/>
      <c r="EQU83" s="143"/>
      <c r="EQV83" s="143"/>
      <c r="EQW83" s="143"/>
      <c r="EQX83" s="143"/>
      <c r="EQY83" s="143"/>
      <c r="EQZ83" s="143"/>
      <c r="ERA83" s="143"/>
      <c r="ERB83" s="143"/>
      <c r="ERC83" s="143"/>
      <c r="ERD83" s="143"/>
      <c r="ERE83" s="143"/>
      <c r="ERF83" s="143"/>
      <c r="ERG83" s="143"/>
      <c r="ERH83" s="143"/>
      <c r="ERI83" s="143"/>
      <c r="ERJ83" s="143"/>
      <c r="ERK83" s="143"/>
      <c r="ERL83" s="143"/>
      <c r="ERM83" s="143"/>
      <c r="ERN83" s="143"/>
      <c r="ERO83" s="143"/>
      <c r="ERP83" s="143"/>
      <c r="ERQ83" s="143"/>
      <c r="ERR83" s="143"/>
      <c r="ERS83" s="143"/>
      <c r="ERT83" s="143"/>
      <c r="ERU83" s="143"/>
      <c r="ERV83" s="143"/>
      <c r="ERW83" s="143"/>
      <c r="ERX83" s="143"/>
      <c r="ERY83" s="143"/>
      <c r="ERZ83" s="143"/>
      <c r="ESA83" s="143"/>
      <c r="ESB83" s="143"/>
      <c r="ESC83" s="143"/>
      <c r="ESD83" s="143"/>
      <c r="ESE83" s="143"/>
      <c r="ESF83" s="143"/>
      <c r="ESG83" s="143"/>
      <c r="ESH83" s="143"/>
      <c r="ESI83" s="143"/>
      <c r="ESJ83" s="143"/>
      <c r="ESK83" s="143"/>
      <c r="ESL83" s="143"/>
      <c r="ESM83" s="143"/>
      <c r="ESN83" s="143"/>
      <c r="ESO83" s="143"/>
      <c r="ESP83" s="143"/>
      <c r="ESQ83" s="143"/>
      <c r="ESR83" s="143"/>
      <c r="ESS83" s="143"/>
      <c r="EST83" s="143"/>
      <c r="ESU83" s="143"/>
      <c r="ESV83" s="143"/>
      <c r="ESW83" s="143"/>
      <c r="ESX83" s="143"/>
      <c r="ESY83" s="143"/>
      <c r="ESZ83" s="143"/>
      <c r="ETA83" s="143"/>
      <c r="ETB83" s="143"/>
      <c r="ETC83" s="143"/>
      <c r="ETD83" s="143"/>
      <c r="ETE83" s="143"/>
      <c r="ETF83" s="143"/>
      <c r="ETG83" s="143"/>
      <c r="ETH83" s="143"/>
      <c r="ETI83" s="143"/>
      <c r="ETJ83" s="143"/>
      <c r="ETK83" s="143"/>
      <c r="ETL83" s="143"/>
      <c r="ETM83" s="143"/>
      <c r="ETN83" s="143"/>
      <c r="ETO83" s="143"/>
      <c r="ETP83" s="143"/>
      <c r="ETQ83" s="143"/>
      <c r="ETR83" s="143"/>
      <c r="ETS83" s="143"/>
      <c r="ETT83" s="143"/>
      <c r="ETU83" s="143"/>
      <c r="ETV83" s="143"/>
      <c r="ETW83" s="143"/>
      <c r="ETX83" s="143"/>
      <c r="ETY83" s="143"/>
      <c r="ETZ83" s="143"/>
      <c r="EUA83" s="143"/>
      <c r="EUB83" s="143"/>
      <c r="EUC83" s="143"/>
      <c r="EUD83" s="143"/>
      <c r="EUE83" s="143"/>
      <c r="EUF83" s="143"/>
      <c r="EUG83" s="143"/>
      <c r="EUH83" s="143"/>
      <c r="EUI83" s="143"/>
      <c r="EUJ83" s="143"/>
      <c r="EUK83" s="143"/>
      <c r="EUL83" s="143"/>
      <c r="EUM83" s="143"/>
      <c r="EUN83" s="143"/>
      <c r="EUO83" s="143"/>
      <c r="EUP83" s="143"/>
      <c r="EUQ83" s="143"/>
      <c r="EUR83" s="143"/>
      <c r="EUS83" s="143"/>
      <c r="EUT83" s="143"/>
      <c r="EUU83" s="143"/>
      <c r="EUV83" s="143"/>
      <c r="EUW83" s="143"/>
      <c r="EUX83" s="143"/>
      <c r="EUY83" s="143"/>
      <c r="EUZ83" s="143"/>
      <c r="EVA83" s="143"/>
      <c r="EVB83" s="143"/>
      <c r="EVC83" s="143"/>
      <c r="EVD83" s="143"/>
      <c r="EVE83" s="143"/>
      <c r="EVF83" s="143"/>
      <c r="EVG83" s="143"/>
      <c r="EVH83" s="143"/>
      <c r="EVI83" s="143"/>
      <c r="EVJ83" s="143"/>
      <c r="EVK83" s="143"/>
      <c r="EVL83" s="143"/>
      <c r="EVM83" s="143"/>
      <c r="EVN83" s="143"/>
      <c r="EVO83" s="143"/>
      <c r="EVP83" s="143"/>
      <c r="EVQ83" s="143"/>
      <c r="EVR83" s="143"/>
      <c r="EVS83" s="143"/>
      <c r="EVT83" s="143"/>
      <c r="EVU83" s="143"/>
      <c r="EVV83" s="143"/>
      <c r="EVW83" s="143"/>
      <c r="EVX83" s="143"/>
      <c r="EVY83" s="143"/>
      <c r="EVZ83" s="143"/>
      <c r="EWA83" s="143"/>
      <c r="EWB83" s="143"/>
      <c r="EWC83" s="143"/>
      <c r="EWD83" s="143"/>
      <c r="EWE83" s="143"/>
      <c r="EWF83" s="143"/>
      <c r="EWG83" s="143"/>
      <c r="EWH83" s="143"/>
      <c r="EWI83" s="143"/>
      <c r="EWJ83" s="143"/>
      <c r="EWK83" s="143"/>
      <c r="EWL83" s="143"/>
      <c r="EWM83" s="143"/>
      <c r="EWN83" s="143"/>
      <c r="EWO83" s="143"/>
      <c r="EWP83" s="143"/>
      <c r="EWQ83" s="143"/>
      <c r="EWR83" s="143"/>
      <c r="EWS83" s="143"/>
      <c r="EWT83" s="143"/>
      <c r="EWU83" s="143"/>
      <c r="EWV83" s="143"/>
      <c r="EWW83" s="143"/>
      <c r="EWX83" s="143"/>
      <c r="EWY83" s="143"/>
      <c r="EWZ83" s="143"/>
      <c r="EXA83" s="143"/>
      <c r="EXB83" s="143"/>
      <c r="EXC83" s="143"/>
      <c r="EXD83" s="143"/>
      <c r="EXE83" s="143"/>
      <c r="EXF83" s="143"/>
      <c r="EXG83" s="143"/>
      <c r="EXH83" s="143"/>
      <c r="EXI83" s="143"/>
      <c r="EXJ83" s="143"/>
      <c r="EXK83" s="143"/>
      <c r="EXL83" s="143"/>
      <c r="EXM83" s="143"/>
      <c r="EXN83" s="143"/>
      <c r="EXO83" s="143"/>
      <c r="EXP83" s="143"/>
      <c r="EXQ83" s="143"/>
      <c r="EXR83" s="143"/>
      <c r="EXS83" s="143"/>
      <c r="EXT83" s="143"/>
      <c r="EXU83" s="143"/>
      <c r="EXV83" s="143"/>
      <c r="EXW83" s="143"/>
      <c r="EXX83" s="143"/>
      <c r="EXY83" s="143"/>
      <c r="EXZ83" s="143"/>
      <c r="EYA83" s="143"/>
      <c r="EYB83" s="143"/>
      <c r="EYC83" s="143"/>
      <c r="EYD83" s="143"/>
      <c r="EYE83" s="143"/>
      <c r="EYF83" s="143"/>
      <c r="EYG83" s="143"/>
      <c r="EYH83" s="143"/>
      <c r="EYI83" s="143"/>
      <c r="EYJ83" s="143"/>
      <c r="EYK83" s="143"/>
      <c r="EYL83" s="143"/>
      <c r="EYM83" s="143"/>
      <c r="EYN83" s="143"/>
      <c r="EYO83" s="143"/>
      <c r="EYP83" s="143"/>
      <c r="EYQ83" s="143"/>
      <c r="EYR83" s="143"/>
      <c r="EYS83" s="143"/>
      <c r="EYT83" s="143"/>
      <c r="EYU83" s="143"/>
      <c r="EYV83" s="143"/>
      <c r="EYW83" s="143"/>
      <c r="EYX83" s="143"/>
      <c r="EYY83" s="143"/>
      <c r="EYZ83" s="143"/>
      <c r="EZA83" s="143"/>
      <c r="EZB83" s="143"/>
      <c r="EZC83" s="143"/>
      <c r="EZD83" s="143"/>
      <c r="EZE83" s="143"/>
      <c r="EZF83" s="143"/>
      <c r="EZG83" s="143"/>
      <c r="EZH83" s="143"/>
      <c r="EZI83" s="143"/>
      <c r="EZJ83" s="143"/>
      <c r="EZK83" s="143"/>
      <c r="EZL83" s="143"/>
      <c r="EZM83" s="143"/>
      <c r="EZN83" s="143"/>
      <c r="EZO83" s="143"/>
      <c r="EZP83" s="143"/>
      <c r="EZQ83" s="143"/>
      <c r="EZR83" s="143"/>
      <c r="EZS83" s="143"/>
      <c r="EZT83" s="143"/>
      <c r="EZU83" s="143"/>
      <c r="EZV83" s="143"/>
      <c r="EZW83" s="143"/>
      <c r="EZX83" s="143"/>
      <c r="EZY83" s="143"/>
      <c r="EZZ83" s="143"/>
      <c r="FAA83" s="143"/>
      <c r="FAB83" s="143"/>
      <c r="FAC83" s="143"/>
      <c r="FAD83" s="143"/>
      <c r="FAE83" s="143"/>
      <c r="FAF83" s="143"/>
      <c r="FAG83" s="143"/>
      <c r="FAH83" s="143"/>
      <c r="FAI83" s="143"/>
      <c r="FAJ83" s="143"/>
      <c r="FAK83" s="143"/>
      <c r="FAL83" s="143"/>
      <c r="FAM83" s="143"/>
      <c r="FAN83" s="143"/>
      <c r="FAO83" s="143"/>
      <c r="FAP83" s="143"/>
      <c r="FAQ83" s="143"/>
      <c r="FAR83" s="143"/>
      <c r="FAS83" s="143"/>
      <c r="FAT83" s="143"/>
      <c r="FAU83" s="143"/>
      <c r="FAV83" s="143"/>
      <c r="FAW83" s="143"/>
      <c r="FAX83" s="143"/>
      <c r="FAY83" s="143"/>
      <c r="FAZ83" s="143"/>
      <c r="FBA83" s="143"/>
      <c r="FBB83" s="143"/>
      <c r="FBC83" s="143"/>
      <c r="FBD83" s="143"/>
      <c r="FBE83" s="143"/>
      <c r="FBF83" s="143"/>
      <c r="FBG83" s="143"/>
      <c r="FBH83" s="143"/>
      <c r="FBI83" s="143"/>
      <c r="FBJ83" s="143"/>
      <c r="FBK83" s="143"/>
      <c r="FBL83" s="143"/>
      <c r="FBM83" s="143"/>
      <c r="FBN83" s="143"/>
      <c r="FBO83" s="143"/>
      <c r="FBP83" s="143"/>
      <c r="FBQ83" s="143"/>
      <c r="FBR83" s="143"/>
      <c r="FBS83" s="143"/>
      <c r="FBT83" s="143"/>
      <c r="FBU83" s="143"/>
      <c r="FBV83" s="143"/>
      <c r="FBW83" s="143"/>
      <c r="FBX83" s="143"/>
      <c r="FBY83" s="143"/>
      <c r="FBZ83" s="143"/>
      <c r="FCA83" s="143"/>
      <c r="FCB83" s="143"/>
      <c r="FCC83" s="143"/>
      <c r="FCD83" s="143"/>
      <c r="FCE83" s="143"/>
      <c r="FCF83" s="143"/>
      <c r="FCG83" s="143"/>
      <c r="FCH83" s="143"/>
      <c r="FCI83" s="143"/>
      <c r="FCJ83" s="143"/>
      <c r="FCK83" s="143"/>
      <c r="FCL83" s="143"/>
      <c r="FCM83" s="143"/>
      <c r="FCN83" s="143"/>
      <c r="FCO83" s="143"/>
      <c r="FCP83" s="143"/>
      <c r="FCQ83" s="143"/>
      <c r="FCR83" s="143"/>
      <c r="FCS83" s="143"/>
      <c r="FCT83" s="143"/>
      <c r="FCU83" s="143"/>
      <c r="FCV83" s="143"/>
      <c r="FCW83" s="143"/>
      <c r="FCX83" s="143"/>
      <c r="FCY83" s="143"/>
      <c r="FCZ83" s="143"/>
      <c r="FDA83" s="143"/>
      <c r="FDB83" s="143"/>
      <c r="FDC83" s="143"/>
      <c r="FDD83" s="143"/>
      <c r="FDE83" s="143"/>
      <c r="FDF83" s="143"/>
      <c r="FDG83" s="143"/>
      <c r="FDH83" s="143"/>
      <c r="FDI83" s="143"/>
      <c r="FDJ83" s="143"/>
      <c r="FDK83" s="143"/>
      <c r="FDL83" s="143"/>
      <c r="FDM83" s="143"/>
      <c r="FDN83" s="143"/>
      <c r="FDO83" s="143"/>
      <c r="FDP83" s="143"/>
      <c r="FDQ83" s="143"/>
      <c r="FDR83" s="143"/>
      <c r="FDS83" s="143"/>
      <c r="FDT83" s="143"/>
      <c r="FDU83" s="143"/>
      <c r="FDV83" s="143"/>
      <c r="FDW83" s="143"/>
      <c r="FDX83" s="143"/>
      <c r="FDY83" s="143"/>
      <c r="FDZ83" s="143"/>
      <c r="FEA83" s="143"/>
      <c r="FEB83" s="143"/>
      <c r="FEC83" s="143"/>
      <c r="FED83" s="143"/>
      <c r="FEE83" s="143"/>
      <c r="FEF83" s="143"/>
      <c r="FEG83" s="143"/>
      <c r="FEH83" s="143"/>
      <c r="FEI83" s="143"/>
      <c r="FEJ83" s="143"/>
      <c r="FEK83" s="143"/>
      <c r="FEL83" s="143"/>
      <c r="FEM83" s="143"/>
      <c r="FEN83" s="143"/>
      <c r="FEO83" s="143"/>
      <c r="FEP83" s="143"/>
      <c r="FEQ83" s="143"/>
      <c r="FER83" s="143"/>
      <c r="FES83" s="143"/>
      <c r="FET83" s="143"/>
      <c r="FEU83" s="143"/>
      <c r="FEV83" s="143"/>
      <c r="FEW83" s="143"/>
      <c r="FEX83" s="143"/>
      <c r="FEY83" s="143"/>
      <c r="FEZ83" s="143"/>
      <c r="FFA83" s="143"/>
      <c r="FFB83" s="143"/>
      <c r="FFC83" s="143"/>
      <c r="FFD83" s="143"/>
      <c r="FFE83" s="143"/>
      <c r="FFF83" s="143"/>
      <c r="FFG83" s="143"/>
      <c r="FFH83" s="143"/>
      <c r="FFI83" s="143"/>
      <c r="FFJ83" s="143"/>
      <c r="FFK83" s="143"/>
      <c r="FFL83" s="143"/>
      <c r="FFM83" s="143"/>
      <c r="FFN83" s="143"/>
      <c r="FFO83" s="143"/>
      <c r="FFP83" s="143"/>
      <c r="FFQ83" s="143"/>
      <c r="FFR83" s="143"/>
      <c r="FFS83" s="143"/>
      <c r="FFT83" s="143"/>
      <c r="FFU83" s="143"/>
      <c r="FFV83" s="143"/>
      <c r="FFW83" s="143"/>
      <c r="FFX83" s="143"/>
      <c r="FFY83" s="143"/>
      <c r="FFZ83" s="143"/>
      <c r="FGA83" s="143"/>
      <c r="FGB83" s="143"/>
      <c r="FGC83" s="143"/>
      <c r="FGD83" s="143"/>
      <c r="FGE83" s="143"/>
      <c r="FGF83" s="143"/>
      <c r="FGG83" s="143"/>
      <c r="FGH83" s="143"/>
      <c r="FGI83" s="143"/>
      <c r="FGJ83" s="143"/>
      <c r="FGK83" s="143"/>
      <c r="FGL83" s="143"/>
      <c r="FGM83" s="143"/>
      <c r="FGN83" s="143"/>
      <c r="FGO83" s="143"/>
      <c r="FGP83" s="143"/>
      <c r="FGQ83" s="143"/>
      <c r="FGR83" s="143"/>
      <c r="FGS83" s="143"/>
      <c r="FGT83" s="143"/>
      <c r="FGU83" s="143"/>
      <c r="FGV83" s="143"/>
      <c r="FGW83" s="143"/>
      <c r="FGX83" s="143"/>
      <c r="FGY83" s="143"/>
      <c r="FGZ83" s="143"/>
      <c r="FHA83" s="143"/>
      <c r="FHB83" s="143"/>
      <c r="FHC83" s="143"/>
      <c r="FHD83" s="143"/>
      <c r="FHE83" s="143"/>
      <c r="FHF83" s="143"/>
      <c r="FHG83" s="143"/>
      <c r="FHH83" s="143"/>
      <c r="FHI83" s="143"/>
      <c r="FHJ83" s="143"/>
      <c r="FHK83" s="143"/>
      <c r="FHL83" s="143"/>
      <c r="FHM83" s="143"/>
      <c r="FHN83" s="143"/>
      <c r="FHO83" s="143"/>
      <c r="FHP83" s="143"/>
      <c r="FHQ83" s="143"/>
      <c r="FHR83" s="143"/>
      <c r="FHS83" s="143"/>
      <c r="FHT83" s="143"/>
      <c r="FHU83" s="143"/>
      <c r="FHV83" s="143"/>
      <c r="FHW83" s="143"/>
      <c r="FHX83" s="143"/>
      <c r="FHY83" s="143"/>
      <c r="FHZ83" s="143"/>
      <c r="FIA83" s="143"/>
      <c r="FIB83" s="143"/>
      <c r="FIC83" s="143"/>
      <c r="FID83" s="143"/>
      <c r="FIE83" s="143"/>
      <c r="FIF83" s="143"/>
      <c r="FIG83" s="143"/>
      <c r="FIH83" s="143"/>
      <c r="FII83" s="143"/>
      <c r="FIJ83" s="143"/>
      <c r="FIK83" s="143"/>
      <c r="FIL83" s="143"/>
      <c r="FIM83" s="143"/>
      <c r="FIN83" s="143"/>
      <c r="FIO83" s="143"/>
      <c r="FIP83" s="143"/>
      <c r="FIQ83" s="143"/>
      <c r="FIR83" s="143"/>
      <c r="FIS83" s="143"/>
      <c r="FIT83" s="143"/>
      <c r="FIU83" s="143"/>
      <c r="FIV83" s="143"/>
      <c r="FIW83" s="143"/>
      <c r="FIX83" s="143"/>
      <c r="FIY83" s="143"/>
      <c r="FIZ83" s="143"/>
      <c r="FJA83" s="143"/>
      <c r="FJB83" s="143"/>
      <c r="FJC83" s="143"/>
      <c r="FJD83" s="143"/>
      <c r="FJE83" s="143"/>
      <c r="FJF83" s="143"/>
      <c r="FJG83" s="143"/>
      <c r="FJH83" s="143"/>
      <c r="FJI83" s="143"/>
      <c r="FJJ83" s="143"/>
      <c r="FJK83" s="143"/>
      <c r="FJL83" s="143"/>
      <c r="FJM83" s="143"/>
      <c r="FJN83" s="143"/>
      <c r="FJO83" s="143"/>
      <c r="FJP83" s="143"/>
      <c r="FJQ83" s="143"/>
      <c r="FJR83" s="143"/>
      <c r="FJS83" s="143"/>
      <c r="FJT83" s="143"/>
      <c r="FJU83" s="143"/>
      <c r="FJV83" s="143"/>
      <c r="FJW83" s="143"/>
      <c r="FJX83" s="143"/>
      <c r="FJY83" s="143"/>
      <c r="FJZ83" s="143"/>
      <c r="FKA83" s="143"/>
      <c r="FKB83" s="143"/>
      <c r="FKC83" s="143"/>
      <c r="FKD83" s="143"/>
      <c r="FKE83" s="143"/>
      <c r="FKF83" s="143"/>
      <c r="FKG83" s="143"/>
      <c r="FKH83" s="143"/>
      <c r="FKI83" s="143"/>
      <c r="FKJ83" s="143"/>
      <c r="FKK83" s="143"/>
      <c r="FKL83" s="143"/>
      <c r="FKM83" s="143"/>
      <c r="FKN83" s="143"/>
      <c r="FKO83" s="143"/>
      <c r="FKP83" s="143"/>
      <c r="FKQ83" s="143"/>
      <c r="FKR83" s="143"/>
      <c r="FKS83" s="143"/>
      <c r="FKT83" s="143"/>
      <c r="FKU83" s="143"/>
      <c r="FKV83" s="143"/>
      <c r="FKW83" s="143"/>
      <c r="FKX83" s="143"/>
      <c r="FKY83" s="143"/>
      <c r="FKZ83" s="143"/>
      <c r="FLA83" s="143"/>
      <c r="FLB83" s="143"/>
      <c r="FLC83" s="143"/>
      <c r="FLD83" s="143"/>
      <c r="FLE83" s="143"/>
      <c r="FLF83" s="143"/>
      <c r="FLG83" s="143"/>
      <c r="FLH83" s="143"/>
      <c r="FLI83" s="143"/>
      <c r="FLJ83" s="143"/>
      <c r="FLK83" s="143"/>
      <c r="FLL83" s="143"/>
      <c r="FLM83" s="143"/>
      <c r="FLN83" s="143"/>
      <c r="FLO83" s="143"/>
      <c r="FLP83" s="143"/>
      <c r="FLQ83" s="143"/>
      <c r="FLR83" s="143"/>
      <c r="FLS83" s="143"/>
      <c r="FLT83" s="143"/>
      <c r="FLU83" s="143"/>
      <c r="FLV83" s="143"/>
      <c r="FLW83" s="143"/>
      <c r="FLX83" s="143"/>
      <c r="FLY83" s="143"/>
      <c r="FLZ83" s="143"/>
      <c r="FMA83" s="143"/>
      <c r="FMB83" s="143"/>
      <c r="FMC83" s="143"/>
      <c r="FMD83" s="143"/>
      <c r="FME83" s="143"/>
      <c r="FMF83" s="143"/>
      <c r="FMG83" s="143"/>
      <c r="FMH83" s="143"/>
      <c r="FMI83" s="143"/>
      <c r="FMJ83" s="143"/>
      <c r="FMK83" s="143"/>
      <c r="FML83" s="143"/>
      <c r="FMM83" s="143"/>
      <c r="FMN83" s="143"/>
      <c r="FMO83" s="143"/>
      <c r="FMP83" s="143"/>
      <c r="FMQ83" s="143"/>
      <c r="FMR83" s="143"/>
      <c r="FMS83" s="143"/>
      <c r="FMT83" s="143"/>
      <c r="FMU83" s="143"/>
      <c r="FMV83" s="143"/>
      <c r="FMW83" s="143"/>
      <c r="FMX83" s="143"/>
      <c r="FMY83" s="143"/>
      <c r="FMZ83" s="143"/>
      <c r="FNA83" s="143"/>
      <c r="FNB83" s="143"/>
      <c r="FNC83" s="143"/>
      <c r="FND83" s="143"/>
      <c r="FNE83" s="143"/>
      <c r="FNF83" s="143"/>
      <c r="FNG83" s="143"/>
      <c r="FNH83" s="143"/>
      <c r="FNI83" s="143"/>
      <c r="FNJ83" s="143"/>
      <c r="FNK83" s="143"/>
      <c r="FNL83" s="143"/>
      <c r="FNM83" s="143"/>
      <c r="FNN83" s="143"/>
      <c r="FNO83" s="143"/>
      <c r="FNP83" s="143"/>
      <c r="FNQ83" s="143"/>
      <c r="FNR83" s="143"/>
      <c r="FNS83" s="143"/>
      <c r="FNT83" s="143"/>
      <c r="FNU83" s="143"/>
      <c r="FNV83" s="143"/>
      <c r="FNW83" s="143"/>
      <c r="FNX83" s="143"/>
      <c r="FNY83" s="143"/>
      <c r="FNZ83" s="143"/>
      <c r="FOA83" s="143"/>
      <c r="FOB83" s="143"/>
      <c r="FOC83" s="143"/>
      <c r="FOD83" s="143"/>
      <c r="FOE83" s="143"/>
      <c r="FOF83" s="143"/>
      <c r="FOG83" s="143"/>
      <c r="FOH83" s="143"/>
      <c r="FOI83" s="143"/>
      <c r="FOJ83" s="143"/>
      <c r="FOK83" s="143"/>
      <c r="FOL83" s="143"/>
      <c r="FOM83" s="143"/>
      <c r="FON83" s="143"/>
      <c r="FOO83" s="143"/>
      <c r="FOP83" s="143"/>
      <c r="FOQ83" s="143"/>
      <c r="FOR83" s="143"/>
      <c r="FOS83" s="143"/>
      <c r="FOT83" s="143"/>
      <c r="FOU83" s="143"/>
      <c r="FOV83" s="143"/>
      <c r="FOW83" s="143"/>
      <c r="FOX83" s="143"/>
      <c r="FOY83" s="143"/>
      <c r="FOZ83" s="143"/>
      <c r="FPA83" s="143"/>
      <c r="FPB83" s="143"/>
      <c r="FPC83" s="143"/>
      <c r="FPD83" s="143"/>
      <c r="FPE83" s="143"/>
      <c r="FPF83" s="143"/>
      <c r="FPG83" s="143"/>
      <c r="FPH83" s="143"/>
      <c r="FPI83" s="143"/>
      <c r="FPJ83" s="143"/>
      <c r="FPK83" s="143"/>
      <c r="FPL83" s="143"/>
      <c r="FPM83" s="143"/>
      <c r="FPN83" s="143"/>
      <c r="FPO83" s="143"/>
      <c r="FPP83" s="143"/>
      <c r="FPQ83" s="143"/>
      <c r="FPR83" s="143"/>
      <c r="FPS83" s="143"/>
      <c r="FPT83" s="143"/>
      <c r="FPU83" s="143"/>
      <c r="FPV83" s="143"/>
      <c r="FPW83" s="143"/>
      <c r="FPX83" s="143"/>
      <c r="FPY83" s="143"/>
      <c r="FPZ83" s="143"/>
      <c r="FQA83" s="143"/>
      <c r="FQB83" s="143"/>
      <c r="FQC83" s="143"/>
      <c r="FQD83" s="143"/>
      <c r="FQE83" s="143"/>
      <c r="FQF83" s="143"/>
      <c r="FQG83" s="143"/>
      <c r="FQH83" s="143"/>
      <c r="FQI83" s="143"/>
      <c r="FQJ83" s="143"/>
      <c r="FQK83" s="143"/>
      <c r="FQL83" s="143"/>
      <c r="FQM83" s="143"/>
      <c r="FQN83" s="143"/>
      <c r="FQO83" s="143"/>
      <c r="FQP83" s="143"/>
      <c r="FQQ83" s="143"/>
      <c r="FQR83" s="143"/>
      <c r="FQS83" s="143"/>
      <c r="FQT83" s="143"/>
      <c r="FQU83" s="143"/>
      <c r="FQV83" s="143"/>
      <c r="FQW83" s="143"/>
      <c r="FQX83" s="143"/>
      <c r="FQY83" s="143"/>
      <c r="FQZ83" s="143"/>
      <c r="FRA83" s="143"/>
      <c r="FRB83" s="143"/>
      <c r="FRC83" s="143"/>
      <c r="FRD83" s="143"/>
      <c r="FRE83" s="143"/>
      <c r="FRF83" s="143"/>
      <c r="FRG83" s="143"/>
      <c r="FRH83" s="143"/>
      <c r="FRI83" s="143"/>
      <c r="FRJ83" s="143"/>
      <c r="FRK83" s="143"/>
      <c r="FRL83" s="143"/>
      <c r="FRM83" s="143"/>
      <c r="FRN83" s="143"/>
      <c r="FRO83" s="143"/>
      <c r="FRP83" s="143"/>
      <c r="FRQ83" s="143"/>
      <c r="FRR83" s="143"/>
      <c r="FRS83" s="143"/>
      <c r="FRT83" s="143"/>
      <c r="FRU83" s="143"/>
      <c r="FRV83" s="143"/>
      <c r="FRW83" s="143"/>
      <c r="FRX83" s="143"/>
      <c r="FRY83" s="143"/>
      <c r="FRZ83" s="143"/>
      <c r="FSA83" s="143"/>
      <c r="FSB83" s="143"/>
      <c r="FSC83" s="143"/>
      <c r="FSD83" s="143"/>
      <c r="FSE83" s="143"/>
      <c r="FSF83" s="143"/>
      <c r="FSG83" s="143"/>
      <c r="FSH83" s="143"/>
      <c r="FSI83" s="143"/>
      <c r="FSJ83" s="143"/>
      <c r="FSK83" s="143"/>
      <c r="FSL83" s="143"/>
      <c r="FSM83" s="143"/>
      <c r="FSN83" s="143"/>
      <c r="FSO83" s="143"/>
      <c r="FSP83" s="143"/>
      <c r="FSQ83" s="143"/>
      <c r="FSR83" s="143"/>
      <c r="FSS83" s="143"/>
      <c r="FST83" s="143"/>
      <c r="FSU83" s="143"/>
      <c r="FSV83" s="143"/>
      <c r="FSW83" s="143"/>
      <c r="FSX83" s="143"/>
      <c r="FSY83" s="143"/>
      <c r="FSZ83" s="143"/>
      <c r="FTA83" s="143"/>
      <c r="FTB83" s="143"/>
      <c r="FTC83" s="143"/>
      <c r="FTD83" s="143"/>
      <c r="FTE83" s="143"/>
      <c r="FTF83" s="143"/>
      <c r="FTG83" s="143"/>
      <c r="FTH83" s="143"/>
      <c r="FTI83" s="143"/>
      <c r="FTJ83" s="143"/>
      <c r="FTK83" s="143"/>
      <c r="FTL83" s="143"/>
      <c r="FTM83" s="143"/>
      <c r="FTN83" s="143"/>
      <c r="FTO83" s="143"/>
      <c r="FTP83" s="143"/>
      <c r="FTQ83" s="143"/>
      <c r="FTR83" s="143"/>
      <c r="FTS83" s="143"/>
      <c r="FTT83" s="143"/>
      <c r="FTU83" s="143"/>
      <c r="FTV83" s="143"/>
      <c r="FTW83" s="143"/>
      <c r="FTX83" s="143"/>
      <c r="FTY83" s="143"/>
      <c r="FTZ83" s="143"/>
      <c r="FUA83" s="143"/>
      <c r="FUB83" s="143"/>
      <c r="FUC83" s="143"/>
      <c r="FUD83" s="143"/>
      <c r="FUE83" s="143"/>
      <c r="FUF83" s="143"/>
      <c r="FUG83" s="143"/>
      <c r="FUH83" s="143"/>
      <c r="FUI83" s="143"/>
      <c r="FUJ83" s="143"/>
      <c r="FUK83" s="143"/>
      <c r="FUL83" s="143"/>
      <c r="FUM83" s="143"/>
      <c r="FUN83" s="143"/>
      <c r="FUO83" s="143"/>
      <c r="FUP83" s="143"/>
      <c r="FUQ83" s="143"/>
      <c r="FUR83" s="143"/>
      <c r="FUS83" s="143"/>
      <c r="FUT83" s="143"/>
      <c r="FUU83" s="143"/>
      <c r="FUV83" s="143"/>
      <c r="FUW83" s="143"/>
      <c r="FUX83" s="143"/>
      <c r="FUY83" s="143"/>
      <c r="FUZ83" s="143"/>
      <c r="FVA83" s="143"/>
      <c r="FVB83" s="143"/>
      <c r="FVC83" s="143"/>
      <c r="FVD83" s="143"/>
      <c r="FVE83" s="143"/>
      <c r="FVF83" s="143"/>
      <c r="FVG83" s="143"/>
      <c r="FVH83" s="143"/>
      <c r="FVI83" s="143"/>
      <c r="FVJ83" s="143"/>
      <c r="FVK83" s="143"/>
      <c r="FVL83" s="143"/>
      <c r="FVM83" s="143"/>
      <c r="FVN83" s="143"/>
      <c r="FVO83" s="143"/>
      <c r="FVP83" s="143"/>
      <c r="FVQ83" s="143"/>
      <c r="FVR83" s="143"/>
      <c r="FVS83" s="143"/>
      <c r="FVT83" s="143"/>
      <c r="FVU83" s="143"/>
      <c r="FVV83" s="143"/>
      <c r="FVW83" s="143"/>
      <c r="FVX83" s="143"/>
      <c r="FVY83" s="143"/>
      <c r="FVZ83" s="143"/>
      <c r="FWA83" s="143"/>
      <c r="FWB83" s="143"/>
      <c r="FWC83" s="143"/>
      <c r="FWD83" s="143"/>
      <c r="FWE83" s="143"/>
      <c r="FWF83" s="143"/>
      <c r="FWG83" s="143"/>
      <c r="FWH83" s="143"/>
      <c r="FWI83" s="143"/>
      <c r="FWJ83" s="143"/>
      <c r="FWK83" s="143"/>
      <c r="FWL83" s="143"/>
      <c r="FWM83" s="143"/>
      <c r="FWN83" s="143"/>
      <c r="FWO83" s="143"/>
      <c r="FWP83" s="143"/>
      <c r="FWQ83" s="143"/>
      <c r="FWR83" s="143"/>
      <c r="FWS83" s="143"/>
      <c r="FWT83" s="143"/>
      <c r="FWU83" s="143"/>
      <c r="FWV83" s="143"/>
      <c r="FWW83" s="143"/>
      <c r="FWX83" s="143"/>
      <c r="FWY83" s="143"/>
      <c r="FWZ83" s="143"/>
      <c r="FXA83" s="143"/>
      <c r="FXB83" s="143"/>
      <c r="FXC83" s="143"/>
      <c r="FXD83" s="143"/>
      <c r="FXE83" s="143"/>
      <c r="FXF83" s="143"/>
      <c r="FXG83" s="143"/>
      <c r="FXH83" s="143"/>
      <c r="FXI83" s="143"/>
      <c r="FXJ83" s="143"/>
      <c r="FXK83" s="143"/>
      <c r="FXL83" s="143"/>
      <c r="FXM83" s="143"/>
      <c r="FXN83" s="143"/>
      <c r="FXO83" s="143"/>
      <c r="FXP83" s="143"/>
      <c r="FXQ83" s="143"/>
      <c r="FXR83" s="143"/>
      <c r="FXS83" s="143"/>
      <c r="FXT83" s="143"/>
      <c r="FXU83" s="143"/>
      <c r="FXV83" s="143"/>
      <c r="FXW83" s="143"/>
      <c r="FXX83" s="143"/>
      <c r="FXY83" s="143"/>
      <c r="FXZ83" s="143"/>
      <c r="FYA83" s="143"/>
      <c r="FYB83" s="143"/>
      <c r="FYC83" s="143"/>
      <c r="FYD83" s="143"/>
      <c r="FYE83" s="143"/>
      <c r="FYF83" s="143"/>
      <c r="FYG83" s="143"/>
      <c r="FYH83" s="143"/>
      <c r="FYI83" s="143"/>
      <c r="FYJ83" s="143"/>
      <c r="FYK83" s="143"/>
      <c r="FYL83" s="143"/>
      <c r="FYM83" s="143"/>
      <c r="FYN83" s="143"/>
      <c r="FYO83" s="143"/>
      <c r="FYP83" s="143"/>
      <c r="FYQ83" s="143"/>
      <c r="FYR83" s="143"/>
      <c r="FYS83" s="143"/>
      <c r="FYT83" s="143"/>
      <c r="FYU83" s="143"/>
      <c r="FYV83" s="143"/>
      <c r="FYW83" s="143"/>
      <c r="FYX83" s="143"/>
      <c r="FYY83" s="143"/>
      <c r="FYZ83" s="143"/>
      <c r="FZA83" s="143"/>
      <c r="FZB83" s="143"/>
      <c r="FZC83" s="143"/>
      <c r="FZD83" s="143"/>
      <c r="FZE83" s="143"/>
      <c r="FZF83" s="143"/>
      <c r="FZG83" s="143"/>
      <c r="FZH83" s="143"/>
      <c r="FZI83" s="143"/>
      <c r="FZJ83" s="143"/>
      <c r="FZK83" s="143"/>
      <c r="FZL83" s="143"/>
      <c r="FZM83" s="143"/>
      <c r="FZN83" s="143"/>
      <c r="FZO83" s="143"/>
      <c r="FZP83" s="143"/>
      <c r="FZQ83" s="143"/>
      <c r="FZR83" s="143"/>
      <c r="FZS83" s="143"/>
      <c r="FZT83" s="143"/>
      <c r="FZU83" s="143"/>
      <c r="FZV83" s="143"/>
      <c r="FZW83" s="143"/>
      <c r="FZX83" s="143"/>
      <c r="FZY83" s="143"/>
      <c r="FZZ83" s="143"/>
      <c r="GAA83" s="143"/>
      <c r="GAB83" s="143"/>
      <c r="GAC83" s="143"/>
      <c r="GAD83" s="143"/>
      <c r="GAE83" s="143"/>
      <c r="GAF83" s="143"/>
      <c r="GAG83" s="143"/>
      <c r="GAH83" s="143"/>
      <c r="GAI83" s="143"/>
      <c r="GAJ83" s="143"/>
      <c r="GAK83" s="143"/>
      <c r="GAL83" s="143"/>
      <c r="GAM83" s="143"/>
      <c r="GAN83" s="143"/>
      <c r="GAO83" s="143"/>
      <c r="GAP83" s="143"/>
      <c r="GAQ83" s="143"/>
      <c r="GAR83" s="143"/>
      <c r="GAS83" s="143"/>
      <c r="GAT83" s="143"/>
      <c r="GAU83" s="143"/>
      <c r="GAV83" s="143"/>
      <c r="GAW83" s="143"/>
      <c r="GAX83" s="143"/>
      <c r="GAY83" s="143"/>
      <c r="GAZ83" s="143"/>
      <c r="GBA83" s="143"/>
      <c r="GBB83" s="143"/>
      <c r="GBC83" s="143"/>
      <c r="GBD83" s="143"/>
      <c r="GBE83" s="143"/>
      <c r="GBF83" s="143"/>
      <c r="GBG83" s="143"/>
      <c r="GBH83" s="143"/>
      <c r="GBI83" s="143"/>
      <c r="GBJ83" s="143"/>
      <c r="GBK83" s="143"/>
      <c r="GBL83" s="143"/>
      <c r="GBM83" s="143"/>
      <c r="GBN83" s="143"/>
      <c r="GBO83" s="143"/>
      <c r="GBP83" s="143"/>
      <c r="GBQ83" s="143"/>
      <c r="GBR83" s="143"/>
      <c r="GBS83" s="143"/>
      <c r="GBT83" s="143"/>
      <c r="GBU83" s="143"/>
      <c r="GBV83" s="143"/>
      <c r="GBW83" s="143"/>
      <c r="GBX83" s="143"/>
      <c r="GBY83" s="143"/>
      <c r="GBZ83" s="143"/>
      <c r="GCA83" s="143"/>
      <c r="GCB83" s="143"/>
      <c r="GCC83" s="143"/>
      <c r="GCD83" s="143"/>
      <c r="GCE83" s="143"/>
      <c r="GCF83" s="143"/>
      <c r="GCG83" s="143"/>
      <c r="GCH83" s="143"/>
      <c r="GCI83" s="143"/>
      <c r="GCJ83" s="143"/>
      <c r="GCK83" s="143"/>
      <c r="GCL83" s="143"/>
      <c r="GCM83" s="143"/>
      <c r="GCN83" s="143"/>
      <c r="GCO83" s="143"/>
      <c r="GCP83" s="143"/>
      <c r="GCQ83" s="143"/>
      <c r="GCR83" s="143"/>
      <c r="GCS83" s="143"/>
      <c r="GCT83" s="143"/>
      <c r="GCU83" s="143"/>
      <c r="GCV83" s="143"/>
      <c r="GCW83" s="143"/>
      <c r="GCX83" s="143"/>
      <c r="GCY83" s="143"/>
      <c r="GCZ83" s="143"/>
      <c r="GDA83" s="143"/>
      <c r="GDB83" s="143"/>
      <c r="GDC83" s="143"/>
      <c r="GDD83" s="143"/>
      <c r="GDE83" s="143"/>
      <c r="GDF83" s="143"/>
      <c r="GDG83" s="143"/>
      <c r="GDH83" s="143"/>
      <c r="GDI83" s="143"/>
      <c r="GDJ83" s="143"/>
      <c r="GDK83" s="143"/>
      <c r="GDL83" s="143"/>
      <c r="GDM83" s="143"/>
      <c r="GDN83" s="143"/>
      <c r="GDO83" s="143"/>
      <c r="GDP83" s="143"/>
      <c r="GDQ83" s="143"/>
      <c r="GDR83" s="143"/>
      <c r="GDS83" s="143"/>
      <c r="GDT83" s="143"/>
      <c r="GDU83" s="143"/>
      <c r="GDV83" s="143"/>
      <c r="GDW83" s="143"/>
      <c r="GDX83" s="143"/>
      <c r="GDY83" s="143"/>
      <c r="GDZ83" s="143"/>
      <c r="GEA83" s="143"/>
      <c r="GEB83" s="143"/>
      <c r="GEC83" s="143"/>
      <c r="GED83" s="143"/>
      <c r="GEE83" s="143"/>
      <c r="GEF83" s="143"/>
      <c r="GEG83" s="143"/>
      <c r="GEH83" s="143"/>
      <c r="GEI83" s="143"/>
      <c r="GEJ83" s="143"/>
      <c r="GEK83" s="143"/>
      <c r="GEL83" s="143"/>
      <c r="GEM83" s="143"/>
      <c r="GEN83" s="143"/>
      <c r="GEO83" s="143"/>
      <c r="GEP83" s="143"/>
      <c r="GEQ83" s="143"/>
      <c r="GER83" s="143"/>
      <c r="GES83" s="143"/>
      <c r="GET83" s="143"/>
      <c r="GEU83" s="143"/>
      <c r="GEV83" s="143"/>
      <c r="GEW83" s="143"/>
      <c r="GEX83" s="143"/>
      <c r="GEY83" s="143"/>
      <c r="GEZ83" s="143"/>
      <c r="GFA83" s="143"/>
      <c r="GFB83" s="143"/>
      <c r="GFC83" s="143"/>
      <c r="GFD83" s="143"/>
      <c r="GFE83" s="143"/>
      <c r="GFF83" s="143"/>
      <c r="GFG83" s="143"/>
      <c r="GFH83" s="143"/>
      <c r="GFI83" s="143"/>
      <c r="GFJ83" s="143"/>
      <c r="GFK83" s="143"/>
      <c r="GFL83" s="143"/>
      <c r="GFM83" s="143"/>
      <c r="GFN83" s="143"/>
      <c r="GFO83" s="143"/>
      <c r="GFP83" s="143"/>
      <c r="GFQ83" s="143"/>
      <c r="GFR83" s="143"/>
      <c r="GFS83" s="143"/>
      <c r="GFT83" s="143"/>
      <c r="GFU83" s="143"/>
      <c r="GFV83" s="143"/>
      <c r="GFW83" s="143"/>
      <c r="GFX83" s="143"/>
      <c r="GFY83" s="143"/>
      <c r="GFZ83" s="143"/>
      <c r="GGA83" s="143"/>
      <c r="GGB83" s="143"/>
      <c r="GGC83" s="143"/>
      <c r="GGD83" s="143"/>
      <c r="GGE83" s="143"/>
      <c r="GGF83" s="143"/>
      <c r="GGG83" s="143"/>
      <c r="GGH83" s="143"/>
      <c r="GGI83" s="143"/>
      <c r="GGJ83" s="143"/>
      <c r="GGK83" s="143"/>
      <c r="GGL83" s="143"/>
      <c r="GGM83" s="143"/>
      <c r="GGN83" s="143"/>
      <c r="GGO83" s="143"/>
      <c r="GGP83" s="143"/>
      <c r="GGQ83" s="143"/>
      <c r="GGR83" s="143"/>
      <c r="GGS83" s="143"/>
      <c r="GGT83" s="143"/>
      <c r="GGU83" s="143"/>
      <c r="GGV83" s="143"/>
      <c r="GGW83" s="143"/>
      <c r="GGX83" s="143"/>
      <c r="GGY83" s="143"/>
      <c r="GGZ83" s="143"/>
      <c r="GHA83" s="143"/>
      <c r="GHB83" s="143"/>
      <c r="GHC83" s="143"/>
      <c r="GHD83" s="143"/>
      <c r="GHE83" s="143"/>
      <c r="GHF83" s="143"/>
      <c r="GHG83" s="143"/>
      <c r="GHH83" s="143"/>
      <c r="GHI83" s="143"/>
      <c r="GHJ83" s="143"/>
      <c r="GHK83" s="143"/>
      <c r="GHL83" s="143"/>
      <c r="GHM83" s="143"/>
      <c r="GHN83" s="143"/>
      <c r="GHO83" s="143"/>
      <c r="GHP83" s="143"/>
      <c r="GHQ83" s="143"/>
      <c r="GHR83" s="143"/>
      <c r="GHS83" s="143"/>
      <c r="GHT83" s="143"/>
      <c r="GHU83" s="143"/>
      <c r="GHV83" s="143"/>
      <c r="GHW83" s="143"/>
      <c r="GHX83" s="143"/>
      <c r="GHY83" s="143"/>
      <c r="GHZ83" s="143"/>
      <c r="GIA83" s="143"/>
      <c r="GIB83" s="143"/>
      <c r="GIC83" s="143"/>
      <c r="GID83" s="143"/>
      <c r="GIE83" s="143"/>
      <c r="GIF83" s="143"/>
      <c r="GIG83" s="143"/>
      <c r="GIH83" s="143"/>
      <c r="GII83" s="143"/>
      <c r="GIJ83" s="143"/>
      <c r="GIK83" s="143"/>
      <c r="GIL83" s="143"/>
      <c r="GIM83" s="143"/>
      <c r="GIN83" s="143"/>
      <c r="GIO83" s="143"/>
      <c r="GIP83" s="143"/>
      <c r="GIQ83" s="143"/>
      <c r="GIR83" s="143"/>
      <c r="GIS83" s="143"/>
      <c r="GIT83" s="143"/>
      <c r="GIU83" s="143"/>
      <c r="GIV83" s="143"/>
      <c r="GIW83" s="143"/>
      <c r="GIX83" s="143"/>
      <c r="GIY83" s="143"/>
      <c r="GIZ83" s="143"/>
      <c r="GJA83" s="143"/>
      <c r="GJB83" s="143"/>
      <c r="GJC83" s="143"/>
      <c r="GJD83" s="143"/>
      <c r="GJE83" s="143"/>
      <c r="GJF83" s="143"/>
      <c r="GJG83" s="143"/>
      <c r="GJH83" s="143"/>
      <c r="GJI83" s="143"/>
      <c r="GJJ83" s="143"/>
      <c r="GJK83" s="143"/>
      <c r="GJL83" s="143"/>
      <c r="GJM83" s="143"/>
      <c r="GJN83" s="143"/>
      <c r="GJO83" s="143"/>
      <c r="GJP83" s="143"/>
      <c r="GJQ83" s="143"/>
      <c r="GJR83" s="143"/>
      <c r="GJS83" s="143"/>
      <c r="GJT83" s="143"/>
      <c r="GJU83" s="143"/>
      <c r="GJV83" s="143"/>
      <c r="GJW83" s="143"/>
      <c r="GJX83" s="143"/>
      <c r="GJY83" s="143"/>
      <c r="GJZ83" s="143"/>
      <c r="GKA83" s="143"/>
      <c r="GKB83" s="143"/>
      <c r="GKC83" s="143"/>
      <c r="GKD83" s="143"/>
      <c r="GKE83" s="143"/>
      <c r="GKF83" s="143"/>
      <c r="GKG83" s="143"/>
      <c r="GKH83" s="143"/>
      <c r="GKI83" s="143"/>
      <c r="GKJ83" s="143"/>
      <c r="GKK83" s="143"/>
      <c r="GKL83" s="143"/>
      <c r="GKM83" s="143"/>
      <c r="GKN83" s="143"/>
      <c r="GKO83" s="143"/>
      <c r="GKP83" s="143"/>
      <c r="GKQ83" s="143"/>
      <c r="GKR83" s="143"/>
      <c r="GKS83" s="143"/>
      <c r="GKT83" s="143"/>
      <c r="GKU83" s="143"/>
      <c r="GKV83" s="143"/>
      <c r="GKW83" s="143"/>
      <c r="GKX83" s="143"/>
      <c r="GKY83" s="143"/>
      <c r="GKZ83" s="143"/>
      <c r="GLA83" s="143"/>
      <c r="GLB83" s="143"/>
      <c r="GLC83" s="143"/>
      <c r="GLD83" s="143"/>
      <c r="GLE83" s="143"/>
      <c r="GLF83" s="143"/>
      <c r="GLG83" s="143"/>
      <c r="GLH83" s="143"/>
      <c r="GLI83" s="143"/>
      <c r="GLJ83" s="143"/>
      <c r="GLK83" s="143"/>
      <c r="GLL83" s="143"/>
      <c r="GLM83" s="143"/>
      <c r="GLN83" s="143"/>
      <c r="GLO83" s="143"/>
      <c r="GLP83" s="143"/>
      <c r="GLQ83" s="143"/>
      <c r="GLR83" s="143"/>
      <c r="GLS83" s="143"/>
      <c r="GLT83" s="143"/>
      <c r="GLU83" s="143"/>
      <c r="GLV83" s="143"/>
      <c r="GLW83" s="143"/>
      <c r="GLX83" s="143"/>
      <c r="GLY83" s="143"/>
      <c r="GLZ83" s="143"/>
      <c r="GMA83" s="143"/>
      <c r="GMB83" s="143"/>
      <c r="GMC83" s="143"/>
      <c r="GMD83" s="143"/>
      <c r="GME83" s="143"/>
      <c r="GMF83" s="143"/>
      <c r="GMG83" s="143"/>
      <c r="GMH83" s="143"/>
      <c r="GMI83" s="143"/>
      <c r="GMJ83" s="143"/>
      <c r="GMK83" s="143"/>
      <c r="GML83" s="143"/>
      <c r="GMM83" s="143"/>
      <c r="GMN83" s="143"/>
      <c r="GMO83" s="143"/>
      <c r="GMP83" s="143"/>
      <c r="GMQ83" s="143"/>
      <c r="GMR83" s="143"/>
      <c r="GMS83" s="143"/>
      <c r="GMT83" s="143"/>
      <c r="GMU83" s="143"/>
      <c r="GMV83" s="143"/>
      <c r="GMW83" s="143"/>
      <c r="GMX83" s="143"/>
      <c r="GMY83" s="143"/>
      <c r="GMZ83" s="143"/>
      <c r="GNA83" s="143"/>
      <c r="GNB83" s="143"/>
      <c r="GNC83" s="143"/>
      <c r="GND83" s="143"/>
      <c r="GNE83" s="143"/>
      <c r="GNF83" s="143"/>
      <c r="GNG83" s="143"/>
      <c r="GNH83" s="143"/>
      <c r="GNI83" s="143"/>
      <c r="GNJ83" s="143"/>
      <c r="GNK83" s="143"/>
      <c r="GNL83" s="143"/>
      <c r="GNM83" s="143"/>
      <c r="GNN83" s="143"/>
      <c r="GNO83" s="143"/>
      <c r="GNP83" s="143"/>
      <c r="GNQ83" s="143"/>
      <c r="GNR83" s="143"/>
      <c r="GNS83" s="143"/>
      <c r="GNT83" s="143"/>
      <c r="GNU83" s="143"/>
      <c r="GNV83" s="143"/>
      <c r="GNW83" s="143"/>
      <c r="GNX83" s="143"/>
      <c r="GNY83" s="143"/>
      <c r="GNZ83" s="143"/>
      <c r="GOA83" s="143"/>
      <c r="GOB83" s="143"/>
      <c r="GOC83" s="143"/>
      <c r="GOD83" s="143"/>
      <c r="GOE83" s="143"/>
      <c r="GOF83" s="143"/>
      <c r="GOG83" s="143"/>
      <c r="GOH83" s="143"/>
      <c r="GOI83" s="143"/>
      <c r="GOJ83" s="143"/>
      <c r="GOK83" s="143"/>
      <c r="GOL83" s="143"/>
      <c r="GOM83" s="143"/>
      <c r="GON83" s="143"/>
      <c r="GOO83" s="143"/>
      <c r="GOP83" s="143"/>
      <c r="GOQ83" s="143"/>
      <c r="GOR83" s="143"/>
      <c r="GOS83" s="143"/>
      <c r="GOT83" s="143"/>
      <c r="GOU83" s="143"/>
      <c r="GOV83" s="143"/>
      <c r="GOW83" s="143"/>
      <c r="GOX83" s="143"/>
      <c r="GOY83" s="143"/>
      <c r="GOZ83" s="143"/>
      <c r="GPA83" s="143"/>
      <c r="GPB83" s="143"/>
      <c r="GPC83" s="143"/>
      <c r="GPD83" s="143"/>
      <c r="GPE83" s="143"/>
      <c r="GPF83" s="143"/>
      <c r="GPG83" s="143"/>
      <c r="GPH83" s="143"/>
      <c r="GPI83" s="143"/>
      <c r="GPJ83" s="143"/>
      <c r="GPK83" s="143"/>
      <c r="GPL83" s="143"/>
      <c r="GPM83" s="143"/>
      <c r="GPN83" s="143"/>
      <c r="GPO83" s="143"/>
      <c r="GPP83" s="143"/>
      <c r="GPQ83" s="143"/>
      <c r="GPR83" s="143"/>
      <c r="GPS83" s="143"/>
      <c r="GPT83" s="143"/>
      <c r="GPU83" s="143"/>
      <c r="GPV83" s="143"/>
      <c r="GPW83" s="143"/>
      <c r="GPX83" s="143"/>
      <c r="GPY83" s="143"/>
      <c r="GPZ83" s="143"/>
      <c r="GQA83" s="143"/>
      <c r="GQB83" s="143"/>
      <c r="GQC83" s="143"/>
      <c r="GQD83" s="143"/>
      <c r="GQE83" s="143"/>
      <c r="GQF83" s="143"/>
      <c r="GQG83" s="143"/>
      <c r="GQH83" s="143"/>
      <c r="GQI83" s="143"/>
      <c r="GQJ83" s="143"/>
      <c r="GQK83" s="143"/>
      <c r="GQL83" s="143"/>
      <c r="GQM83" s="143"/>
      <c r="GQN83" s="143"/>
      <c r="GQO83" s="143"/>
      <c r="GQP83" s="143"/>
      <c r="GQQ83" s="143"/>
      <c r="GQR83" s="143"/>
      <c r="GQS83" s="143"/>
      <c r="GQT83" s="143"/>
      <c r="GQU83" s="143"/>
      <c r="GQV83" s="143"/>
      <c r="GQW83" s="143"/>
      <c r="GQX83" s="143"/>
      <c r="GQY83" s="143"/>
      <c r="GQZ83" s="143"/>
      <c r="GRA83" s="143"/>
      <c r="GRB83" s="143"/>
      <c r="GRC83" s="143"/>
      <c r="GRD83" s="143"/>
      <c r="GRE83" s="143"/>
      <c r="GRF83" s="143"/>
      <c r="GRG83" s="143"/>
      <c r="GRH83" s="143"/>
      <c r="GRI83" s="143"/>
      <c r="GRJ83" s="143"/>
      <c r="GRK83" s="143"/>
      <c r="GRL83" s="143"/>
      <c r="GRM83" s="143"/>
      <c r="GRN83" s="143"/>
      <c r="GRO83" s="143"/>
      <c r="GRP83" s="143"/>
      <c r="GRQ83" s="143"/>
      <c r="GRR83" s="143"/>
      <c r="GRS83" s="143"/>
      <c r="GRT83" s="143"/>
      <c r="GRU83" s="143"/>
      <c r="GRV83" s="143"/>
      <c r="GRW83" s="143"/>
      <c r="GRX83" s="143"/>
      <c r="GRY83" s="143"/>
      <c r="GRZ83" s="143"/>
      <c r="GSA83" s="143"/>
      <c r="GSB83" s="143"/>
      <c r="GSC83" s="143"/>
      <c r="GSD83" s="143"/>
      <c r="GSE83" s="143"/>
      <c r="GSF83" s="143"/>
      <c r="GSG83" s="143"/>
      <c r="GSH83" s="143"/>
      <c r="GSI83" s="143"/>
      <c r="GSJ83" s="143"/>
      <c r="GSK83" s="143"/>
      <c r="GSL83" s="143"/>
      <c r="GSM83" s="143"/>
      <c r="GSN83" s="143"/>
      <c r="GSO83" s="143"/>
      <c r="GSP83" s="143"/>
      <c r="GSQ83" s="143"/>
      <c r="GSR83" s="143"/>
      <c r="GSS83" s="143"/>
      <c r="GST83" s="143"/>
      <c r="GSU83" s="143"/>
      <c r="GSV83" s="143"/>
      <c r="GSW83" s="143"/>
      <c r="GSX83" s="143"/>
      <c r="GSY83" s="143"/>
      <c r="GSZ83" s="143"/>
      <c r="GTA83" s="143"/>
      <c r="GTB83" s="143"/>
      <c r="GTC83" s="143"/>
      <c r="GTD83" s="143"/>
      <c r="GTE83" s="143"/>
      <c r="GTF83" s="143"/>
      <c r="GTG83" s="143"/>
      <c r="GTH83" s="143"/>
      <c r="GTI83" s="143"/>
      <c r="GTJ83" s="143"/>
      <c r="GTK83" s="143"/>
      <c r="GTL83" s="143"/>
      <c r="GTM83" s="143"/>
      <c r="GTN83" s="143"/>
      <c r="GTO83" s="143"/>
      <c r="GTP83" s="143"/>
      <c r="GTQ83" s="143"/>
      <c r="GTR83" s="143"/>
      <c r="GTS83" s="143"/>
      <c r="GTT83" s="143"/>
      <c r="GTU83" s="143"/>
      <c r="GTV83" s="143"/>
      <c r="GTW83" s="143"/>
      <c r="GTX83" s="143"/>
      <c r="GTY83" s="143"/>
      <c r="GTZ83" s="143"/>
      <c r="GUA83" s="143"/>
      <c r="GUB83" s="143"/>
      <c r="GUC83" s="143"/>
      <c r="GUD83" s="143"/>
      <c r="GUE83" s="143"/>
      <c r="GUF83" s="143"/>
      <c r="GUG83" s="143"/>
      <c r="GUH83" s="143"/>
      <c r="GUI83" s="143"/>
      <c r="GUJ83" s="143"/>
      <c r="GUK83" s="143"/>
      <c r="GUL83" s="143"/>
      <c r="GUM83" s="143"/>
      <c r="GUN83" s="143"/>
      <c r="GUO83" s="143"/>
      <c r="GUP83" s="143"/>
      <c r="GUQ83" s="143"/>
      <c r="GUR83" s="143"/>
      <c r="GUS83" s="143"/>
      <c r="GUT83" s="143"/>
      <c r="GUU83" s="143"/>
      <c r="GUV83" s="143"/>
      <c r="GUW83" s="143"/>
      <c r="GUX83" s="143"/>
      <c r="GUY83" s="143"/>
      <c r="GUZ83" s="143"/>
      <c r="GVA83" s="143"/>
      <c r="GVB83" s="143"/>
      <c r="GVC83" s="143"/>
      <c r="GVD83" s="143"/>
      <c r="GVE83" s="143"/>
      <c r="GVF83" s="143"/>
      <c r="GVG83" s="143"/>
      <c r="GVH83" s="143"/>
      <c r="GVI83" s="143"/>
      <c r="GVJ83" s="143"/>
      <c r="GVK83" s="143"/>
      <c r="GVL83" s="143"/>
      <c r="GVM83" s="143"/>
      <c r="GVN83" s="143"/>
      <c r="GVO83" s="143"/>
      <c r="GVP83" s="143"/>
      <c r="GVQ83" s="143"/>
      <c r="GVR83" s="143"/>
      <c r="GVS83" s="143"/>
      <c r="GVT83" s="143"/>
      <c r="GVU83" s="143"/>
      <c r="GVV83" s="143"/>
      <c r="GVW83" s="143"/>
      <c r="GVX83" s="143"/>
      <c r="GVY83" s="143"/>
      <c r="GVZ83" s="143"/>
      <c r="GWA83" s="143"/>
      <c r="GWB83" s="143"/>
      <c r="GWC83" s="143"/>
      <c r="GWD83" s="143"/>
      <c r="GWE83" s="143"/>
      <c r="GWF83" s="143"/>
      <c r="GWG83" s="143"/>
      <c r="GWH83" s="143"/>
      <c r="GWI83" s="143"/>
      <c r="GWJ83" s="143"/>
      <c r="GWK83" s="143"/>
      <c r="GWL83" s="143"/>
      <c r="GWM83" s="143"/>
      <c r="GWN83" s="143"/>
      <c r="GWO83" s="143"/>
      <c r="GWP83" s="143"/>
      <c r="GWQ83" s="143"/>
      <c r="GWR83" s="143"/>
      <c r="GWS83" s="143"/>
      <c r="GWT83" s="143"/>
      <c r="GWU83" s="143"/>
      <c r="GWV83" s="143"/>
      <c r="GWW83" s="143"/>
      <c r="GWX83" s="143"/>
      <c r="GWY83" s="143"/>
      <c r="GWZ83" s="143"/>
      <c r="GXA83" s="143"/>
      <c r="GXB83" s="143"/>
      <c r="GXC83" s="143"/>
      <c r="GXD83" s="143"/>
      <c r="GXE83" s="143"/>
      <c r="GXF83" s="143"/>
      <c r="GXG83" s="143"/>
      <c r="GXH83" s="143"/>
      <c r="GXI83" s="143"/>
      <c r="GXJ83" s="143"/>
      <c r="GXK83" s="143"/>
      <c r="GXL83" s="143"/>
      <c r="GXM83" s="143"/>
      <c r="GXN83" s="143"/>
      <c r="GXO83" s="143"/>
      <c r="GXP83" s="143"/>
      <c r="GXQ83" s="143"/>
      <c r="GXR83" s="143"/>
      <c r="GXS83" s="143"/>
      <c r="GXT83" s="143"/>
      <c r="GXU83" s="143"/>
      <c r="GXV83" s="143"/>
      <c r="GXW83" s="143"/>
      <c r="GXX83" s="143"/>
      <c r="GXY83" s="143"/>
      <c r="GXZ83" s="143"/>
      <c r="GYA83" s="143"/>
      <c r="GYB83" s="143"/>
      <c r="GYC83" s="143"/>
      <c r="GYD83" s="143"/>
      <c r="GYE83" s="143"/>
      <c r="GYF83" s="143"/>
      <c r="GYG83" s="143"/>
      <c r="GYH83" s="143"/>
      <c r="GYI83" s="143"/>
      <c r="GYJ83" s="143"/>
      <c r="GYK83" s="143"/>
      <c r="GYL83" s="143"/>
      <c r="GYM83" s="143"/>
      <c r="GYN83" s="143"/>
      <c r="GYO83" s="143"/>
      <c r="GYP83" s="143"/>
      <c r="GYQ83" s="143"/>
      <c r="GYR83" s="143"/>
      <c r="GYS83" s="143"/>
      <c r="GYT83" s="143"/>
      <c r="GYU83" s="143"/>
      <c r="GYV83" s="143"/>
      <c r="GYW83" s="143"/>
      <c r="GYX83" s="143"/>
      <c r="GYY83" s="143"/>
      <c r="GYZ83" s="143"/>
      <c r="GZA83" s="143"/>
      <c r="GZB83" s="143"/>
      <c r="GZC83" s="143"/>
      <c r="GZD83" s="143"/>
      <c r="GZE83" s="143"/>
      <c r="GZF83" s="143"/>
      <c r="GZG83" s="143"/>
      <c r="GZH83" s="143"/>
      <c r="GZI83" s="143"/>
      <c r="GZJ83" s="143"/>
      <c r="GZK83" s="143"/>
      <c r="GZL83" s="143"/>
      <c r="GZM83" s="143"/>
      <c r="GZN83" s="143"/>
      <c r="GZO83" s="143"/>
      <c r="GZP83" s="143"/>
      <c r="GZQ83" s="143"/>
      <c r="GZR83" s="143"/>
      <c r="GZS83" s="143"/>
      <c r="GZT83" s="143"/>
      <c r="GZU83" s="143"/>
      <c r="GZV83" s="143"/>
      <c r="GZW83" s="143"/>
      <c r="GZX83" s="143"/>
      <c r="GZY83" s="143"/>
      <c r="GZZ83" s="143"/>
      <c r="HAA83" s="143"/>
      <c r="HAB83" s="143"/>
      <c r="HAC83" s="143"/>
      <c r="HAD83" s="143"/>
      <c r="HAE83" s="143"/>
      <c r="HAF83" s="143"/>
      <c r="HAG83" s="143"/>
      <c r="HAH83" s="143"/>
      <c r="HAI83" s="143"/>
      <c r="HAJ83" s="143"/>
      <c r="HAK83" s="143"/>
      <c r="HAL83" s="143"/>
      <c r="HAM83" s="143"/>
      <c r="HAN83" s="143"/>
      <c r="HAO83" s="143"/>
      <c r="HAP83" s="143"/>
      <c r="HAQ83" s="143"/>
      <c r="HAR83" s="143"/>
      <c r="HAS83" s="143"/>
      <c r="HAT83" s="143"/>
      <c r="HAU83" s="143"/>
      <c r="HAV83" s="143"/>
      <c r="HAW83" s="143"/>
      <c r="HAX83" s="143"/>
      <c r="HAY83" s="143"/>
      <c r="HAZ83" s="143"/>
      <c r="HBA83" s="143"/>
      <c r="HBB83" s="143"/>
      <c r="HBC83" s="143"/>
      <c r="HBD83" s="143"/>
      <c r="HBE83" s="143"/>
      <c r="HBF83" s="143"/>
      <c r="HBG83" s="143"/>
      <c r="HBH83" s="143"/>
      <c r="HBI83" s="143"/>
      <c r="HBJ83" s="143"/>
      <c r="HBK83" s="143"/>
      <c r="HBL83" s="143"/>
      <c r="HBM83" s="143"/>
      <c r="HBN83" s="143"/>
      <c r="HBO83" s="143"/>
      <c r="HBP83" s="143"/>
      <c r="HBQ83" s="143"/>
      <c r="HBR83" s="143"/>
      <c r="HBS83" s="143"/>
      <c r="HBT83" s="143"/>
      <c r="HBU83" s="143"/>
      <c r="HBV83" s="143"/>
      <c r="HBW83" s="143"/>
      <c r="HBX83" s="143"/>
      <c r="HBY83" s="143"/>
      <c r="HBZ83" s="143"/>
      <c r="HCA83" s="143"/>
      <c r="HCB83" s="143"/>
      <c r="HCC83" s="143"/>
      <c r="HCD83" s="143"/>
      <c r="HCE83" s="143"/>
      <c r="HCF83" s="143"/>
      <c r="HCG83" s="143"/>
      <c r="HCH83" s="143"/>
      <c r="HCI83" s="143"/>
      <c r="HCJ83" s="143"/>
      <c r="HCK83" s="143"/>
      <c r="HCL83" s="143"/>
      <c r="HCM83" s="143"/>
      <c r="HCN83" s="143"/>
      <c r="HCO83" s="143"/>
      <c r="HCP83" s="143"/>
      <c r="HCQ83" s="143"/>
      <c r="HCR83" s="143"/>
      <c r="HCS83" s="143"/>
      <c r="HCT83" s="143"/>
      <c r="HCU83" s="143"/>
      <c r="HCV83" s="143"/>
      <c r="HCW83" s="143"/>
      <c r="HCX83" s="143"/>
      <c r="HCY83" s="143"/>
      <c r="HCZ83" s="143"/>
      <c r="HDA83" s="143"/>
      <c r="HDB83" s="143"/>
      <c r="HDC83" s="143"/>
      <c r="HDD83" s="143"/>
      <c r="HDE83" s="143"/>
      <c r="HDF83" s="143"/>
      <c r="HDG83" s="143"/>
      <c r="HDH83" s="143"/>
      <c r="HDI83" s="143"/>
      <c r="HDJ83" s="143"/>
      <c r="HDK83" s="143"/>
      <c r="HDL83" s="143"/>
      <c r="HDM83" s="143"/>
      <c r="HDN83" s="143"/>
      <c r="HDO83" s="143"/>
      <c r="HDP83" s="143"/>
      <c r="HDQ83" s="143"/>
      <c r="HDR83" s="143"/>
      <c r="HDS83" s="143"/>
      <c r="HDT83" s="143"/>
      <c r="HDU83" s="143"/>
      <c r="HDV83" s="143"/>
      <c r="HDW83" s="143"/>
      <c r="HDX83" s="143"/>
      <c r="HDY83" s="143"/>
      <c r="HDZ83" s="143"/>
      <c r="HEA83" s="143"/>
      <c r="HEB83" s="143"/>
      <c r="HEC83" s="143"/>
      <c r="HED83" s="143"/>
      <c r="HEE83" s="143"/>
      <c r="HEF83" s="143"/>
      <c r="HEG83" s="143"/>
      <c r="HEH83" s="143"/>
      <c r="HEI83" s="143"/>
      <c r="HEJ83" s="143"/>
      <c r="HEK83" s="143"/>
      <c r="HEL83" s="143"/>
      <c r="HEM83" s="143"/>
      <c r="HEN83" s="143"/>
      <c r="HEO83" s="143"/>
      <c r="HEP83" s="143"/>
      <c r="HEQ83" s="143"/>
      <c r="HER83" s="143"/>
      <c r="HES83" s="143"/>
      <c r="HET83" s="143"/>
      <c r="HEU83" s="143"/>
      <c r="HEV83" s="143"/>
      <c r="HEW83" s="143"/>
      <c r="HEX83" s="143"/>
      <c r="HEY83" s="143"/>
      <c r="HEZ83" s="143"/>
      <c r="HFA83" s="143"/>
      <c r="HFB83" s="143"/>
      <c r="HFC83" s="143"/>
      <c r="HFD83" s="143"/>
      <c r="HFE83" s="143"/>
      <c r="HFF83" s="143"/>
      <c r="HFG83" s="143"/>
      <c r="HFH83" s="143"/>
      <c r="HFI83" s="143"/>
      <c r="HFJ83" s="143"/>
      <c r="HFK83" s="143"/>
      <c r="HFL83" s="143"/>
      <c r="HFM83" s="143"/>
      <c r="HFN83" s="143"/>
      <c r="HFO83" s="143"/>
      <c r="HFP83" s="143"/>
      <c r="HFQ83" s="143"/>
      <c r="HFR83" s="143"/>
      <c r="HFS83" s="143"/>
      <c r="HFT83" s="143"/>
      <c r="HFU83" s="143"/>
      <c r="HFV83" s="143"/>
      <c r="HFW83" s="143"/>
      <c r="HFX83" s="143"/>
      <c r="HFY83" s="143"/>
      <c r="HFZ83" s="143"/>
      <c r="HGA83" s="143"/>
      <c r="HGB83" s="143"/>
      <c r="HGC83" s="143"/>
      <c r="HGD83" s="143"/>
      <c r="HGE83" s="143"/>
      <c r="HGF83" s="143"/>
      <c r="HGG83" s="143"/>
      <c r="HGH83" s="143"/>
      <c r="HGI83" s="143"/>
      <c r="HGJ83" s="143"/>
      <c r="HGK83" s="143"/>
      <c r="HGL83" s="143"/>
      <c r="HGM83" s="143"/>
      <c r="HGN83" s="143"/>
      <c r="HGO83" s="143"/>
      <c r="HGP83" s="143"/>
      <c r="HGQ83" s="143"/>
      <c r="HGR83" s="143"/>
      <c r="HGS83" s="143"/>
      <c r="HGT83" s="143"/>
      <c r="HGU83" s="143"/>
      <c r="HGV83" s="143"/>
      <c r="HGW83" s="143"/>
      <c r="HGX83" s="143"/>
      <c r="HGY83" s="143"/>
      <c r="HGZ83" s="143"/>
      <c r="HHA83" s="143"/>
      <c r="HHB83" s="143"/>
      <c r="HHC83" s="143"/>
      <c r="HHD83" s="143"/>
      <c r="HHE83" s="143"/>
      <c r="HHF83" s="143"/>
      <c r="HHG83" s="143"/>
      <c r="HHH83" s="143"/>
      <c r="HHI83" s="143"/>
      <c r="HHJ83" s="143"/>
      <c r="HHK83" s="143"/>
      <c r="HHL83" s="143"/>
      <c r="HHM83" s="143"/>
      <c r="HHN83" s="143"/>
      <c r="HHO83" s="143"/>
      <c r="HHP83" s="143"/>
      <c r="HHQ83" s="143"/>
      <c r="HHR83" s="143"/>
      <c r="HHS83" s="143"/>
      <c r="HHT83" s="143"/>
      <c r="HHU83" s="143"/>
      <c r="HHV83" s="143"/>
      <c r="HHW83" s="143"/>
      <c r="HHX83" s="143"/>
      <c r="HHY83" s="143"/>
      <c r="HHZ83" s="143"/>
      <c r="HIA83" s="143"/>
      <c r="HIB83" s="143"/>
      <c r="HIC83" s="143"/>
      <c r="HID83" s="143"/>
      <c r="HIE83" s="143"/>
      <c r="HIF83" s="143"/>
      <c r="HIG83" s="143"/>
      <c r="HIH83" s="143"/>
      <c r="HII83" s="143"/>
      <c r="HIJ83" s="143"/>
      <c r="HIK83" s="143"/>
      <c r="HIL83" s="143"/>
      <c r="HIM83" s="143"/>
      <c r="HIN83" s="143"/>
      <c r="HIO83" s="143"/>
      <c r="HIP83" s="143"/>
      <c r="HIQ83" s="143"/>
      <c r="HIR83" s="143"/>
      <c r="HIS83" s="143"/>
      <c r="HIT83" s="143"/>
      <c r="HIU83" s="143"/>
      <c r="HIV83" s="143"/>
      <c r="HIW83" s="143"/>
      <c r="HIX83" s="143"/>
      <c r="HIY83" s="143"/>
      <c r="HIZ83" s="143"/>
      <c r="HJA83" s="143"/>
      <c r="HJB83" s="143"/>
      <c r="HJC83" s="143"/>
      <c r="HJD83" s="143"/>
      <c r="HJE83" s="143"/>
      <c r="HJF83" s="143"/>
      <c r="HJG83" s="143"/>
      <c r="HJH83" s="143"/>
      <c r="HJI83" s="143"/>
      <c r="HJJ83" s="143"/>
      <c r="HJK83" s="143"/>
      <c r="HJL83" s="143"/>
      <c r="HJM83" s="143"/>
      <c r="HJN83" s="143"/>
      <c r="HJO83" s="143"/>
      <c r="HJP83" s="143"/>
      <c r="HJQ83" s="143"/>
      <c r="HJR83" s="143"/>
      <c r="HJS83" s="143"/>
      <c r="HJT83" s="143"/>
      <c r="HJU83" s="143"/>
      <c r="HJV83" s="143"/>
      <c r="HJW83" s="143"/>
      <c r="HJX83" s="143"/>
      <c r="HJY83" s="143"/>
      <c r="HJZ83" s="143"/>
      <c r="HKA83" s="143"/>
      <c r="HKB83" s="143"/>
      <c r="HKC83" s="143"/>
      <c r="HKD83" s="143"/>
      <c r="HKE83" s="143"/>
      <c r="HKF83" s="143"/>
      <c r="HKG83" s="143"/>
      <c r="HKH83" s="143"/>
      <c r="HKI83" s="143"/>
      <c r="HKJ83" s="143"/>
      <c r="HKK83" s="143"/>
      <c r="HKL83" s="143"/>
      <c r="HKM83" s="143"/>
      <c r="HKN83" s="143"/>
      <c r="HKO83" s="143"/>
      <c r="HKP83" s="143"/>
      <c r="HKQ83" s="143"/>
      <c r="HKR83" s="143"/>
      <c r="HKS83" s="143"/>
      <c r="HKT83" s="143"/>
      <c r="HKU83" s="143"/>
      <c r="HKV83" s="143"/>
      <c r="HKW83" s="143"/>
      <c r="HKX83" s="143"/>
      <c r="HKY83" s="143"/>
      <c r="HKZ83" s="143"/>
      <c r="HLA83" s="143"/>
      <c r="HLB83" s="143"/>
      <c r="HLC83" s="143"/>
      <c r="HLD83" s="143"/>
      <c r="HLE83" s="143"/>
      <c r="HLF83" s="143"/>
      <c r="HLG83" s="143"/>
      <c r="HLH83" s="143"/>
      <c r="HLI83" s="143"/>
      <c r="HLJ83" s="143"/>
      <c r="HLK83" s="143"/>
      <c r="HLL83" s="143"/>
      <c r="HLM83" s="143"/>
      <c r="HLN83" s="143"/>
      <c r="HLO83" s="143"/>
      <c r="HLP83" s="143"/>
      <c r="HLQ83" s="143"/>
      <c r="HLR83" s="143"/>
      <c r="HLS83" s="143"/>
      <c r="HLT83" s="143"/>
      <c r="HLU83" s="143"/>
      <c r="HLV83" s="143"/>
      <c r="HLW83" s="143"/>
      <c r="HLX83" s="143"/>
      <c r="HLY83" s="143"/>
      <c r="HLZ83" s="143"/>
      <c r="HMA83" s="143"/>
      <c r="HMB83" s="143"/>
      <c r="HMC83" s="143"/>
      <c r="HMD83" s="143"/>
      <c r="HME83" s="143"/>
      <c r="HMF83" s="143"/>
      <c r="HMG83" s="143"/>
      <c r="HMH83" s="143"/>
      <c r="HMI83" s="143"/>
      <c r="HMJ83" s="143"/>
      <c r="HMK83" s="143"/>
      <c r="HML83" s="143"/>
      <c r="HMM83" s="143"/>
      <c r="HMN83" s="143"/>
      <c r="HMO83" s="143"/>
      <c r="HMP83" s="143"/>
      <c r="HMQ83" s="143"/>
      <c r="HMR83" s="143"/>
      <c r="HMS83" s="143"/>
      <c r="HMT83" s="143"/>
      <c r="HMU83" s="143"/>
      <c r="HMV83" s="143"/>
      <c r="HMW83" s="143"/>
      <c r="HMX83" s="143"/>
      <c r="HMY83" s="143"/>
      <c r="HMZ83" s="143"/>
      <c r="HNA83" s="143"/>
      <c r="HNB83" s="143"/>
      <c r="HNC83" s="143"/>
      <c r="HND83" s="143"/>
      <c r="HNE83" s="143"/>
      <c r="HNF83" s="143"/>
      <c r="HNG83" s="143"/>
      <c r="HNH83" s="143"/>
      <c r="HNI83" s="143"/>
      <c r="HNJ83" s="143"/>
      <c r="HNK83" s="143"/>
      <c r="HNL83" s="143"/>
      <c r="HNM83" s="143"/>
      <c r="HNN83" s="143"/>
      <c r="HNO83" s="143"/>
      <c r="HNP83" s="143"/>
      <c r="HNQ83" s="143"/>
      <c r="HNR83" s="143"/>
      <c r="HNS83" s="143"/>
      <c r="HNT83" s="143"/>
      <c r="HNU83" s="143"/>
      <c r="HNV83" s="143"/>
      <c r="HNW83" s="143"/>
      <c r="HNX83" s="143"/>
      <c r="HNY83" s="143"/>
      <c r="HNZ83" s="143"/>
      <c r="HOA83" s="143"/>
      <c r="HOB83" s="143"/>
      <c r="HOC83" s="143"/>
      <c r="HOD83" s="143"/>
      <c r="HOE83" s="143"/>
      <c r="HOF83" s="143"/>
      <c r="HOG83" s="143"/>
      <c r="HOH83" s="143"/>
      <c r="HOI83" s="143"/>
      <c r="HOJ83" s="143"/>
      <c r="HOK83" s="143"/>
      <c r="HOL83" s="143"/>
      <c r="HOM83" s="143"/>
      <c r="HON83" s="143"/>
      <c r="HOO83" s="143"/>
      <c r="HOP83" s="143"/>
      <c r="HOQ83" s="143"/>
      <c r="HOR83" s="143"/>
      <c r="HOS83" s="143"/>
      <c r="HOT83" s="143"/>
      <c r="HOU83" s="143"/>
      <c r="HOV83" s="143"/>
      <c r="HOW83" s="143"/>
      <c r="HOX83" s="143"/>
      <c r="HOY83" s="143"/>
      <c r="HOZ83" s="143"/>
      <c r="HPA83" s="143"/>
      <c r="HPB83" s="143"/>
      <c r="HPC83" s="143"/>
      <c r="HPD83" s="143"/>
      <c r="HPE83" s="143"/>
      <c r="HPF83" s="143"/>
      <c r="HPG83" s="143"/>
      <c r="HPH83" s="143"/>
      <c r="HPI83" s="143"/>
      <c r="HPJ83" s="143"/>
      <c r="HPK83" s="143"/>
      <c r="HPL83" s="143"/>
      <c r="HPM83" s="143"/>
      <c r="HPN83" s="143"/>
      <c r="HPO83" s="143"/>
      <c r="HPP83" s="143"/>
      <c r="HPQ83" s="143"/>
      <c r="HPR83" s="143"/>
      <c r="HPS83" s="143"/>
      <c r="HPT83" s="143"/>
      <c r="HPU83" s="143"/>
      <c r="HPV83" s="143"/>
      <c r="HPW83" s="143"/>
      <c r="HPX83" s="143"/>
      <c r="HPY83" s="143"/>
      <c r="HPZ83" s="143"/>
      <c r="HQA83" s="143"/>
      <c r="HQB83" s="143"/>
      <c r="HQC83" s="143"/>
      <c r="HQD83" s="143"/>
      <c r="HQE83" s="143"/>
      <c r="HQF83" s="143"/>
      <c r="HQG83" s="143"/>
      <c r="HQH83" s="143"/>
      <c r="HQI83" s="143"/>
      <c r="HQJ83" s="143"/>
      <c r="HQK83" s="143"/>
      <c r="HQL83" s="143"/>
      <c r="HQM83" s="143"/>
      <c r="HQN83" s="143"/>
      <c r="HQO83" s="143"/>
      <c r="HQP83" s="143"/>
      <c r="HQQ83" s="143"/>
      <c r="HQR83" s="143"/>
      <c r="HQS83" s="143"/>
      <c r="HQT83" s="143"/>
      <c r="HQU83" s="143"/>
      <c r="HQV83" s="143"/>
      <c r="HQW83" s="143"/>
      <c r="HQX83" s="143"/>
      <c r="HQY83" s="143"/>
      <c r="HQZ83" s="143"/>
      <c r="HRA83" s="143"/>
      <c r="HRB83" s="143"/>
      <c r="HRC83" s="143"/>
      <c r="HRD83" s="143"/>
      <c r="HRE83" s="143"/>
      <c r="HRF83" s="143"/>
      <c r="HRG83" s="143"/>
      <c r="HRH83" s="143"/>
      <c r="HRI83" s="143"/>
      <c r="HRJ83" s="143"/>
      <c r="HRK83" s="143"/>
      <c r="HRL83" s="143"/>
      <c r="HRM83" s="143"/>
      <c r="HRN83" s="143"/>
      <c r="HRO83" s="143"/>
      <c r="HRP83" s="143"/>
      <c r="HRQ83" s="143"/>
      <c r="HRR83" s="143"/>
      <c r="HRS83" s="143"/>
      <c r="HRT83" s="143"/>
      <c r="HRU83" s="143"/>
      <c r="HRV83" s="143"/>
      <c r="HRW83" s="143"/>
      <c r="HRX83" s="143"/>
      <c r="HRY83" s="143"/>
      <c r="HRZ83" s="143"/>
      <c r="HSA83" s="143"/>
      <c r="HSB83" s="143"/>
      <c r="HSC83" s="143"/>
      <c r="HSD83" s="143"/>
      <c r="HSE83" s="143"/>
      <c r="HSF83" s="143"/>
      <c r="HSG83" s="143"/>
      <c r="HSH83" s="143"/>
      <c r="HSI83" s="143"/>
      <c r="HSJ83" s="143"/>
      <c r="HSK83" s="143"/>
      <c r="HSL83" s="143"/>
      <c r="HSM83" s="143"/>
      <c r="HSN83" s="143"/>
      <c r="HSO83" s="143"/>
      <c r="HSP83" s="143"/>
      <c r="HSQ83" s="143"/>
      <c r="HSR83" s="143"/>
      <c r="HSS83" s="143"/>
      <c r="HST83" s="143"/>
      <c r="HSU83" s="143"/>
      <c r="HSV83" s="143"/>
      <c r="HSW83" s="143"/>
      <c r="HSX83" s="143"/>
      <c r="HSY83" s="143"/>
      <c r="HSZ83" s="143"/>
      <c r="HTA83" s="143"/>
      <c r="HTB83" s="143"/>
      <c r="HTC83" s="143"/>
      <c r="HTD83" s="143"/>
      <c r="HTE83" s="143"/>
      <c r="HTF83" s="143"/>
      <c r="HTG83" s="143"/>
      <c r="HTH83" s="143"/>
      <c r="HTI83" s="143"/>
      <c r="HTJ83" s="143"/>
      <c r="HTK83" s="143"/>
      <c r="HTL83" s="143"/>
      <c r="HTM83" s="143"/>
      <c r="HTN83" s="143"/>
      <c r="HTO83" s="143"/>
      <c r="HTP83" s="143"/>
      <c r="HTQ83" s="143"/>
      <c r="HTR83" s="143"/>
      <c r="HTS83" s="143"/>
      <c r="HTT83" s="143"/>
      <c r="HTU83" s="143"/>
      <c r="HTV83" s="143"/>
      <c r="HTW83" s="143"/>
      <c r="HTX83" s="143"/>
      <c r="HTY83" s="143"/>
      <c r="HTZ83" s="143"/>
      <c r="HUA83" s="143"/>
      <c r="HUB83" s="143"/>
      <c r="HUC83" s="143"/>
      <c r="HUD83" s="143"/>
      <c r="HUE83" s="143"/>
      <c r="HUF83" s="143"/>
      <c r="HUG83" s="143"/>
      <c r="HUH83" s="143"/>
      <c r="HUI83" s="143"/>
      <c r="HUJ83" s="143"/>
      <c r="HUK83" s="143"/>
      <c r="HUL83" s="143"/>
      <c r="HUM83" s="143"/>
      <c r="HUN83" s="143"/>
      <c r="HUO83" s="143"/>
      <c r="HUP83" s="143"/>
      <c r="HUQ83" s="143"/>
      <c r="HUR83" s="143"/>
      <c r="HUS83" s="143"/>
      <c r="HUT83" s="143"/>
      <c r="HUU83" s="143"/>
      <c r="HUV83" s="143"/>
      <c r="HUW83" s="143"/>
      <c r="HUX83" s="143"/>
      <c r="HUY83" s="143"/>
      <c r="HUZ83" s="143"/>
      <c r="HVA83" s="143"/>
      <c r="HVB83" s="143"/>
      <c r="HVC83" s="143"/>
      <c r="HVD83" s="143"/>
      <c r="HVE83" s="143"/>
      <c r="HVF83" s="143"/>
      <c r="HVG83" s="143"/>
      <c r="HVH83" s="143"/>
      <c r="HVI83" s="143"/>
      <c r="HVJ83" s="143"/>
      <c r="HVK83" s="143"/>
      <c r="HVL83" s="143"/>
      <c r="HVM83" s="143"/>
      <c r="HVN83" s="143"/>
      <c r="HVO83" s="143"/>
      <c r="HVP83" s="143"/>
      <c r="HVQ83" s="143"/>
      <c r="HVR83" s="143"/>
      <c r="HVS83" s="143"/>
      <c r="HVT83" s="143"/>
      <c r="HVU83" s="143"/>
      <c r="HVV83" s="143"/>
      <c r="HVW83" s="143"/>
      <c r="HVX83" s="143"/>
      <c r="HVY83" s="143"/>
      <c r="HVZ83" s="143"/>
      <c r="HWA83" s="143"/>
      <c r="HWB83" s="143"/>
      <c r="HWC83" s="143"/>
      <c r="HWD83" s="143"/>
      <c r="HWE83" s="143"/>
      <c r="HWF83" s="143"/>
      <c r="HWG83" s="143"/>
      <c r="HWH83" s="143"/>
      <c r="HWI83" s="143"/>
      <c r="HWJ83" s="143"/>
      <c r="HWK83" s="143"/>
      <c r="HWL83" s="143"/>
      <c r="HWM83" s="143"/>
      <c r="HWN83" s="143"/>
      <c r="HWO83" s="143"/>
      <c r="HWP83" s="143"/>
      <c r="HWQ83" s="143"/>
      <c r="HWR83" s="143"/>
      <c r="HWS83" s="143"/>
      <c r="HWT83" s="143"/>
      <c r="HWU83" s="143"/>
      <c r="HWV83" s="143"/>
      <c r="HWW83" s="143"/>
      <c r="HWX83" s="143"/>
      <c r="HWY83" s="143"/>
      <c r="HWZ83" s="143"/>
      <c r="HXA83" s="143"/>
      <c r="HXB83" s="143"/>
      <c r="HXC83" s="143"/>
      <c r="HXD83" s="143"/>
      <c r="HXE83" s="143"/>
      <c r="HXF83" s="143"/>
      <c r="HXG83" s="143"/>
      <c r="HXH83" s="143"/>
      <c r="HXI83" s="143"/>
      <c r="HXJ83" s="143"/>
      <c r="HXK83" s="143"/>
      <c r="HXL83" s="143"/>
      <c r="HXM83" s="143"/>
      <c r="HXN83" s="143"/>
      <c r="HXO83" s="143"/>
      <c r="HXP83" s="143"/>
      <c r="HXQ83" s="143"/>
      <c r="HXR83" s="143"/>
      <c r="HXS83" s="143"/>
      <c r="HXT83" s="143"/>
      <c r="HXU83" s="143"/>
      <c r="HXV83" s="143"/>
      <c r="HXW83" s="143"/>
      <c r="HXX83" s="143"/>
      <c r="HXY83" s="143"/>
      <c r="HXZ83" s="143"/>
      <c r="HYA83" s="143"/>
      <c r="HYB83" s="143"/>
      <c r="HYC83" s="143"/>
      <c r="HYD83" s="143"/>
      <c r="HYE83" s="143"/>
      <c r="HYF83" s="143"/>
      <c r="HYG83" s="143"/>
      <c r="HYH83" s="143"/>
      <c r="HYI83" s="143"/>
      <c r="HYJ83" s="143"/>
      <c r="HYK83" s="143"/>
      <c r="HYL83" s="143"/>
      <c r="HYM83" s="143"/>
      <c r="HYN83" s="143"/>
      <c r="HYO83" s="143"/>
      <c r="HYP83" s="143"/>
      <c r="HYQ83" s="143"/>
      <c r="HYR83" s="143"/>
      <c r="HYS83" s="143"/>
      <c r="HYT83" s="143"/>
      <c r="HYU83" s="143"/>
      <c r="HYV83" s="143"/>
      <c r="HYW83" s="143"/>
      <c r="HYX83" s="143"/>
      <c r="HYY83" s="143"/>
      <c r="HYZ83" s="143"/>
      <c r="HZA83" s="143"/>
      <c r="HZB83" s="143"/>
      <c r="HZC83" s="143"/>
      <c r="HZD83" s="143"/>
      <c r="HZE83" s="143"/>
      <c r="HZF83" s="143"/>
      <c r="HZG83" s="143"/>
      <c r="HZH83" s="143"/>
      <c r="HZI83" s="143"/>
      <c r="HZJ83" s="143"/>
      <c r="HZK83" s="143"/>
      <c r="HZL83" s="143"/>
      <c r="HZM83" s="143"/>
      <c r="HZN83" s="143"/>
      <c r="HZO83" s="143"/>
      <c r="HZP83" s="143"/>
      <c r="HZQ83" s="143"/>
      <c r="HZR83" s="143"/>
      <c r="HZS83" s="143"/>
      <c r="HZT83" s="143"/>
      <c r="HZU83" s="143"/>
      <c r="HZV83" s="143"/>
      <c r="HZW83" s="143"/>
      <c r="HZX83" s="143"/>
      <c r="HZY83" s="143"/>
      <c r="HZZ83" s="143"/>
      <c r="IAA83" s="143"/>
      <c r="IAB83" s="143"/>
      <c r="IAC83" s="143"/>
      <c r="IAD83" s="143"/>
      <c r="IAE83" s="143"/>
      <c r="IAF83" s="143"/>
      <c r="IAG83" s="143"/>
      <c r="IAH83" s="143"/>
      <c r="IAI83" s="143"/>
      <c r="IAJ83" s="143"/>
      <c r="IAK83" s="143"/>
      <c r="IAL83" s="143"/>
      <c r="IAM83" s="143"/>
      <c r="IAN83" s="143"/>
      <c r="IAO83" s="143"/>
      <c r="IAP83" s="143"/>
      <c r="IAQ83" s="143"/>
      <c r="IAR83" s="143"/>
      <c r="IAS83" s="143"/>
      <c r="IAT83" s="143"/>
      <c r="IAU83" s="143"/>
      <c r="IAV83" s="143"/>
      <c r="IAW83" s="143"/>
      <c r="IAX83" s="143"/>
      <c r="IAY83" s="143"/>
      <c r="IAZ83" s="143"/>
      <c r="IBA83" s="143"/>
      <c r="IBB83" s="143"/>
      <c r="IBC83" s="143"/>
      <c r="IBD83" s="143"/>
      <c r="IBE83" s="143"/>
      <c r="IBF83" s="143"/>
      <c r="IBG83" s="143"/>
      <c r="IBH83" s="143"/>
      <c r="IBI83" s="143"/>
      <c r="IBJ83" s="143"/>
      <c r="IBK83" s="143"/>
      <c r="IBL83" s="143"/>
      <c r="IBM83" s="143"/>
      <c r="IBN83" s="143"/>
      <c r="IBO83" s="143"/>
      <c r="IBP83" s="143"/>
      <c r="IBQ83" s="143"/>
      <c r="IBR83" s="143"/>
      <c r="IBS83" s="143"/>
      <c r="IBT83" s="143"/>
      <c r="IBU83" s="143"/>
      <c r="IBV83" s="143"/>
      <c r="IBW83" s="143"/>
      <c r="IBX83" s="143"/>
      <c r="IBY83" s="143"/>
      <c r="IBZ83" s="143"/>
      <c r="ICA83" s="143"/>
      <c r="ICB83" s="143"/>
      <c r="ICC83" s="143"/>
      <c r="ICD83" s="143"/>
      <c r="ICE83" s="143"/>
      <c r="ICF83" s="143"/>
      <c r="ICG83" s="143"/>
      <c r="ICH83" s="143"/>
      <c r="ICI83" s="143"/>
      <c r="ICJ83" s="143"/>
      <c r="ICK83" s="143"/>
      <c r="ICL83" s="143"/>
      <c r="ICM83" s="143"/>
      <c r="ICN83" s="143"/>
      <c r="ICO83" s="143"/>
      <c r="ICP83" s="143"/>
      <c r="ICQ83" s="143"/>
      <c r="ICR83" s="143"/>
      <c r="ICS83" s="143"/>
      <c r="ICT83" s="143"/>
      <c r="ICU83" s="143"/>
      <c r="ICV83" s="143"/>
      <c r="ICW83" s="143"/>
      <c r="ICX83" s="143"/>
      <c r="ICY83" s="143"/>
      <c r="ICZ83" s="143"/>
      <c r="IDA83" s="143"/>
      <c r="IDB83" s="143"/>
      <c r="IDC83" s="143"/>
      <c r="IDD83" s="143"/>
      <c r="IDE83" s="143"/>
      <c r="IDF83" s="143"/>
      <c r="IDG83" s="143"/>
      <c r="IDH83" s="143"/>
      <c r="IDI83" s="143"/>
      <c r="IDJ83" s="143"/>
      <c r="IDK83" s="143"/>
      <c r="IDL83" s="143"/>
      <c r="IDM83" s="143"/>
      <c r="IDN83" s="143"/>
      <c r="IDO83" s="143"/>
      <c r="IDP83" s="143"/>
      <c r="IDQ83" s="143"/>
      <c r="IDR83" s="143"/>
      <c r="IDS83" s="143"/>
      <c r="IDT83" s="143"/>
      <c r="IDU83" s="143"/>
      <c r="IDV83" s="143"/>
      <c r="IDW83" s="143"/>
      <c r="IDX83" s="143"/>
      <c r="IDY83" s="143"/>
      <c r="IDZ83" s="143"/>
      <c r="IEA83" s="143"/>
      <c r="IEB83" s="143"/>
      <c r="IEC83" s="143"/>
      <c r="IED83" s="143"/>
      <c r="IEE83" s="143"/>
      <c r="IEF83" s="143"/>
      <c r="IEG83" s="143"/>
      <c r="IEH83" s="143"/>
      <c r="IEI83" s="143"/>
      <c r="IEJ83" s="143"/>
      <c r="IEK83" s="143"/>
      <c r="IEL83" s="143"/>
      <c r="IEM83" s="143"/>
      <c r="IEN83" s="143"/>
      <c r="IEO83" s="143"/>
      <c r="IEP83" s="143"/>
      <c r="IEQ83" s="143"/>
      <c r="IER83" s="143"/>
      <c r="IES83" s="143"/>
      <c r="IET83" s="143"/>
      <c r="IEU83" s="143"/>
      <c r="IEV83" s="143"/>
      <c r="IEW83" s="143"/>
      <c r="IEX83" s="143"/>
      <c r="IEY83" s="143"/>
      <c r="IEZ83" s="143"/>
      <c r="IFA83" s="143"/>
      <c r="IFB83" s="143"/>
      <c r="IFC83" s="143"/>
      <c r="IFD83" s="143"/>
      <c r="IFE83" s="143"/>
      <c r="IFF83" s="143"/>
      <c r="IFG83" s="143"/>
      <c r="IFH83" s="143"/>
      <c r="IFI83" s="143"/>
      <c r="IFJ83" s="143"/>
      <c r="IFK83" s="143"/>
      <c r="IFL83" s="143"/>
      <c r="IFM83" s="143"/>
      <c r="IFN83" s="143"/>
      <c r="IFO83" s="143"/>
      <c r="IFP83" s="143"/>
      <c r="IFQ83" s="143"/>
      <c r="IFR83" s="143"/>
      <c r="IFS83" s="143"/>
      <c r="IFT83" s="143"/>
      <c r="IFU83" s="143"/>
      <c r="IFV83" s="143"/>
      <c r="IFW83" s="143"/>
      <c r="IFX83" s="143"/>
      <c r="IFY83" s="143"/>
      <c r="IFZ83" s="143"/>
      <c r="IGA83" s="143"/>
      <c r="IGB83" s="143"/>
      <c r="IGC83" s="143"/>
      <c r="IGD83" s="143"/>
      <c r="IGE83" s="143"/>
      <c r="IGF83" s="143"/>
      <c r="IGG83" s="143"/>
      <c r="IGH83" s="143"/>
      <c r="IGI83" s="143"/>
      <c r="IGJ83" s="143"/>
      <c r="IGK83" s="143"/>
      <c r="IGL83" s="143"/>
      <c r="IGM83" s="143"/>
      <c r="IGN83" s="143"/>
      <c r="IGO83" s="143"/>
      <c r="IGP83" s="143"/>
      <c r="IGQ83" s="143"/>
      <c r="IGR83" s="143"/>
      <c r="IGS83" s="143"/>
      <c r="IGT83" s="143"/>
      <c r="IGU83" s="143"/>
      <c r="IGV83" s="143"/>
      <c r="IGW83" s="143"/>
      <c r="IGX83" s="143"/>
      <c r="IGY83" s="143"/>
      <c r="IGZ83" s="143"/>
      <c r="IHA83" s="143"/>
      <c r="IHB83" s="143"/>
      <c r="IHC83" s="143"/>
      <c r="IHD83" s="143"/>
      <c r="IHE83" s="143"/>
      <c r="IHF83" s="143"/>
      <c r="IHG83" s="143"/>
      <c r="IHH83" s="143"/>
      <c r="IHI83" s="143"/>
      <c r="IHJ83" s="143"/>
      <c r="IHK83" s="143"/>
      <c r="IHL83" s="143"/>
      <c r="IHM83" s="143"/>
      <c r="IHN83" s="143"/>
      <c r="IHO83" s="143"/>
      <c r="IHP83" s="143"/>
      <c r="IHQ83" s="143"/>
      <c r="IHR83" s="143"/>
      <c r="IHS83" s="143"/>
      <c r="IHT83" s="143"/>
      <c r="IHU83" s="143"/>
      <c r="IHV83" s="143"/>
      <c r="IHW83" s="143"/>
      <c r="IHX83" s="143"/>
      <c r="IHY83" s="143"/>
      <c r="IHZ83" s="143"/>
      <c r="IIA83" s="143"/>
      <c r="IIB83" s="143"/>
      <c r="IIC83" s="143"/>
      <c r="IID83" s="143"/>
      <c r="IIE83" s="143"/>
      <c r="IIF83" s="143"/>
      <c r="IIG83" s="143"/>
      <c r="IIH83" s="143"/>
      <c r="III83" s="143"/>
      <c r="IIJ83" s="143"/>
      <c r="IIK83" s="143"/>
      <c r="IIL83" s="143"/>
      <c r="IIM83" s="143"/>
      <c r="IIN83" s="143"/>
      <c r="IIO83" s="143"/>
      <c r="IIP83" s="143"/>
      <c r="IIQ83" s="143"/>
      <c r="IIR83" s="143"/>
      <c r="IIS83" s="143"/>
      <c r="IIT83" s="143"/>
      <c r="IIU83" s="143"/>
      <c r="IIV83" s="143"/>
      <c r="IIW83" s="143"/>
      <c r="IIX83" s="143"/>
      <c r="IIY83" s="143"/>
      <c r="IIZ83" s="143"/>
      <c r="IJA83" s="143"/>
      <c r="IJB83" s="143"/>
      <c r="IJC83" s="143"/>
      <c r="IJD83" s="143"/>
      <c r="IJE83" s="143"/>
      <c r="IJF83" s="143"/>
      <c r="IJG83" s="143"/>
      <c r="IJH83" s="143"/>
      <c r="IJI83" s="143"/>
      <c r="IJJ83" s="143"/>
      <c r="IJK83" s="143"/>
      <c r="IJL83" s="143"/>
      <c r="IJM83" s="143"/>
      <c r="IJN83" s="143"/>
      <c r="IJO83" s="143"/>
      <c r="IJP83" s="143"/>
      <c r="IJQ83" s="143"/>
      <c r="IJR83" s="143"/>
      <c r="IJS83" s="143"/>
      <c r="IJT83" s="143"/>
      <c r="IJU83" s="143"/>
      <c r="IJV83" s="143"/>
      <c r="IJW83" s="143"/>
      <c r="IJX83" s="143"/>
      <c r="IJY83" s="143"/>
      <c r="IJZ83" s="143"/>
      <c r="IKA83" s="143"/>
      <c r="IKB83" s="143"/>
      <c r="IKC83" s="143"/>
      <c r="IKD83" s="143"/>
      <c r="IKE83" s="143"/>
      <c r="IKF83" s="143"/>
      <c r="IKG83" s="143"/>
      <c r="IKH83" s="143"/>
      <c r="IKI83" s="143"/>
      <c r="IKJ83" s="143"/>
      <c r="IKK83" s="143"/>
      <c r="IKL83" s="143"/>
      <c r="IKM83" s="143"/>
      <c r="IKN83" s="143"/>
      <c r="IKO83" s="143"/>
      <c r="IKP83" s="143"/>
      <c r="IKQ83" s="143"/>
      <c r="IKR83" s="143"/>
      <c r="IKS83" s="143"/>
      <c r="IKT83" s="143"/>
      <c r="IKU83" s="143"/>
      <c r="IKV83" s="143"/>
      <c r="IKW83" s="143"/>
      <c r="IKX83" s="143"/>
      <c r="IKY83" s="143"/>
      <c r="IKZ83" s="143"/>
      <c r="ILA83" s="143"/>
      <c r="ILB83" s="143"/>
      <c r="ILC83" s="143"/>
      <c r="ILD83" s="143"/>
      <c r="ILE83" s="143"/>
      <c r="ILF83" s="143"/>
      <c r="ILG83" s="143"/>
      <c r="ILH83" s="143"/>
      <c r="ILI83" s="143"/>
      <c r="ILJ83" s="143"/>
      <c r="ILK83" s="143"/>
      <c r="ILL83" s="143"/>
      <c r="ILM83" s="143"/>
      <c r="ILN83" s="143"/>
      <c r="ILO83" s="143"/>
      <c r="ILP83" s="143"/>
      <c r="ILQ83" s="143"/>
      <c r="ILR83" s="143"/>
      <c r="ILS83" s="143"/>
      <c r="ILT83" s="143"/>
      <c r="ILU83" s="143"/>
      <c r="ILV83" s="143"/>
      <c r="ILW83" s="143"/>
      <c r="ILX83" s="143"/>
      <c r="ILY83" s="143"/>
      <c r="ILZ83" s="143"/>
      <c r="IMA83" s="143"/>
      <c r="IMB83" s="143"/>
      <c r="IMC83" s="143"/>
      <c r="IMD83" s="143"/>
      <c r="IME83" s="143"/>
      <c r="IMF83" s="143"/>
      <c r="IMG83" s="143"/>
      <c r="IMH83" s="143"/>
      <c r="IMI83" s="143"/>
      <c r="IMJ83" s="143"/>
      <c r="IMK83" s="143"/>
      <c r="IML83" s="143"/>
      <c r="IMM83" s="143"/>
      <c r="IMN83" s="143"/>
      <c r="IMO83" s="143"/>
      <c r="IMP83" s="143"/>
      <c r="IMQ83" s="143"/>
      <c r="IMR83" s="143"/>
      <c r="IMS83" s="143"/>
      <c r="IMT83" s="143"/>
      <c r="IMU83" s="143"/>
      <c r="IMV83" s="143"/>
      <c r="IMW83" s="143"/>
      <c r="IMX83" s="143"/>
      <c r="IMY83" s="143"/>
      <c r="IMZ83" s="143"/>
      <c r="INA83" s="143"/>
      <c r="INB83" s="143"/>
      <c r="INC83" s="143"/>
      <c r="IND83" s="143"/>
      <c r="INE83" s="143"/>
      <c r="INF83" s="143"/>
      <c r="ING83" s="143"/>
      <c r="INH83" s="143"/>
      <c r="INI83" s="143"/>
      <c r="INJ83" s="143"/>
      <c r="INK83" s="143"/>
      <c r="INL83" s="143"/>
      <c r="INM83" s="143"/>
      <c r="INN83" s="143"/>
      <c r="INO83" s="143"/>
      <c r="INP83" s="143"/>
      <c r="INQ83" s="143"/>
      <c r="INR83" s="143"/>
      <c r="INS83" s="143"/>
      <c r="INT83" s="143"/>
      <c r="INU83" s="143"/>
      <c r="INV83" s="143"/>
      <c r="INW83" s="143"/>
      <c r="INX83" s="143"/>
      <c r="INY83" s="143"/>
      <c r="INZ83" s="143"/>
      <c r="IOA83" s="143"/>
      <c r="IOB83" s="143"/>
      <c r="IOC83" s="143"/>
      <c r="IOD83" s="143"/>
      <c r="IOE83" s="143"/>
      <c r="IOF83" s="143"/>
      <c r="IOG83" s="143"/>
      <c r="IOH83" s="143"/>
      <c r="IOI83" s="143"/>
      <c r="IOJ83" s="143"/>
      <c r="IOK83" s="143"/>
      <c r="IOL83" s="143"/>
      <c r="IOM83" s="143"/>
      <c r="ION83" s="143"/>
      <c r="IOO83" s="143"/>
      <c r="IOP83" s="143"/>
      <c r="IOQ83" s="143"/>
      <c r="IOR83" s="143"/>
      <c r="IOS83" s="143"/>
      <c r="IOT83" s="143"/>
      <c r="IOU83" s="143"/>
      <c r="IOV83" s="143"/>
      <c r="IOW83" s="143"/>
      <c r="IOX83" s="143"/>
      <c r="IOY83" s="143"/>
      <c r="IOZ83" s="143"/>
      <c r="IPA83" s="143"/>
      <c r="IPB83" s="143"/>
      <c r="IPC83" s="143"/>
      <c r="IPD83" s="143"/>
      <c r="IPE83" s="143"/>
      <c r="IPF83" s="143"/>
      <c r="IPG83" s="143"/>
      <c r="IPH83" s="143"/>
      <c r="IPI83" s="143"/>
      <c r="IPJ83" s="143"/>
      <c r="IPK83" s="143"/>
      <c r="IPL83" s="143"/>
      <c r="IPM83" s="143"/>
      <c r="IPN83" s="143"/>
      <c r="IPO83" s="143"/>
      <c r="IPP83" s="143"/>
      <c r="IPQ83" s="143"/>
      <c r="IPR83" s="143"/>
      <c r="IPS83" s="143"/>
      <c r="IPT83" s="143"/>
      <c r="IPU83" s="143"/>
      <c r="IPV83" s="143"/>
      <c r="IPW83" s="143"/>
      <c r="IPX83" s="143"/>
      <c r="IPY83" s="143"/>
      <c r="IPZ83" s="143"/>
      <c r="IQA83" s="143"/>
      <c r="IQB83" s="143"/>
      <c r="IQC83" s="143"/>
      <c r="IQD83" s="143"/>
      <c r="IQE83" s="143"/>
      <c r="IQF83" s="143"/>
      <c r="IQG83" s="143"/>
      <c r="IQH83" s="143"/>
      <c r="IQI83" s="143"/>
      <c r="IQJ83" s="143"/>
      <c r="IQK83" s="143"/>
      <c r="IQL83" s="143"/>
      <c r="IQM83" s="143"/>
      <c r="IQN83" s="143"/>
      <c r="IQO83" s="143"/>
      <c r="IQP83" s="143"/>
      <c r="IQQ83" s="143"/>
      <c r="IQR83" s="143"/>
      <c r="IQS83" s="143"/>
      <c r="IQT83" s="143"/>
      <c r="IQU83" s="143"/>
      <c r="IQV83" s="143"/>
      <c r="IQW83" s="143"/>
      <c r="IQX83" s="143"/>
      <c r="IQY83" s="143"/>
      <c r="IQZ83" s="143"/>
      <c r="IRA83" s="143"/>
      <c r="IRB83" s="143"/>
      <c r="IRC83" s="143"/>
      <c r="IRD83" s="143"/>
      <c r="IRE83" s="143"/>
      <c r="IRF83" s="143"/>
      <c r="IRG83" s="143"/>
      <c r="IRH83" s="143"/>
      <c r="IRI83" s="143"/>
      <c r="IRJ83" s="143"/>
      <c r="IRK83" s="143"/>
      <c r="IRL83" s="143"/>
      <c r="IRM83" s="143"/>
      <c r="IRN83" s="143"/>
      <c r="IRO83" s="143"/>
      <c r="IRP83" s="143"/>
      <c r="IRQ83" s="143"/>
      <c r="IRR83" s="143"/>
      <c r="IRS83" s="143"/>
      <c r="IRT83" s="143"/>
      <c r="IRU83" s="143"/>
      <c r="IRV83" s="143"/>
      <c r="IRW83" s="143"/>
      <c r="IRX83" s="143"/>
      <c r="IRY83" s="143"/>
      <c r="IRZ83" s="143"/>
      <c r="ISA83" s="143"/>
      <c r="ISB83" s="143"/>
      <c r="ISC83" s="143"/>
      <c r="ISD83" s="143"/>
      <c r="ISE83" s="143"/>
      <c r="ISF83" s="143"/>
      <c r="ISG83" s="143"/>
      <c r="ISH83" s="143"/>
      <c r="ISI83" s="143"/>
      <c r="ISJ83" s="143"/>
      <c r="ISK83" s="143"/>
      <c r="ISL83" s="143"/>
      <c r="ISM83" s="143"/>
      <c r="ISN83" s="143"/>
      <c r="ISO83" s="143"/>
      <c r="ISP83" s="143"/>
      <c r="ISQ83" s="143"/>
      <c r="ISR83" s="143"/>
      <c r="ISS83" s="143"/>
      <c r="IST83" s="143"/>
      <c r="ISU83" s="143"/>
      <c r="ISV83" s="143"/>
      <c r="ISW83" s="143"/>
      <c r="ISX83" s="143"/>
      <c r="ISY83" s="143"/>
      <c r="ISZ83" s="143"/>
      <c r="ITA83" s="143"/>
      <c r="ITB83" s="143"/>
      <c r="ITC83" s="143"/>
      <c r="ITD83" s="143"/>
      <c r="ITE83" s="143"/>
      <c r="ITF83" s="143"/>
      <c r="ITG83" s="143"/>
      <c r="ITH83" s="143"/>
      <c r="ITI83" s="143"/>
      <c r="ITJ83" s="143"/>
      <c r="ITK83" s="143"/>
      <c r="ITL83" s="143"/>
      <c r="ITM83" s="143"/>
      <c r="ITN83" s="143"/>
      <c r="ITO83" s="143"/>
      <c r="ITP83" s="143"/>
      <c r="ITQ83" s="143"/>
      <c r="ITR83" s="143"/>
      <c r="ITS83" s="143"/>
      <c r="ITT83" s="143"/>
      <c r="ITU83" s="143"/>
      <c r="ITV83" s="143"/>
      <c r="ITW83" s="143"/>
      <c r="ITX83" s="143"/>
      <c r="ITY83" s="143"/>
      <c r="ITZ83" s="143"/>
      <c r="IUA83" s="143"/>
      <c r="IUB83" s="143"/>
      <c r="IUC83" s="143"/>
      <c r="IUD83" s="143"/>
      <c r="IUE83" s="143"/>
      <c r="IUF83" s="143"/>
      <c r="IUG83" s="143"/>
      <c r="IUH83" s="143"/>
      <c r="IUI83" s="143"/>
      <c r="IUJ83" s="143"/>
      <c r="IUK83" s="143"/>
      <c r="IUL83" s="143"/>
      <c r="IUM83" s="143"/>
      <c r="IUN83" s="143"/>
      <c r="IUO83" s="143"/>
      <c r="IUP83" s="143"/>
      <c r="IUQ83" s="143"/>
      <c r="IUR83" s="143"/>
      <c r="IUS83" s="143"/>
      <c r="IUT83" s="143"/>
      <c r="IUU83" s="143"/>
      <c r="IUV83" s="143"/>
      <c r="IUW83" s="143"/>
      <c r="IUX83" s="143"/>
      <c r="IUY83" s="143"/>
      <c r="IUZ83" s="143"/>
      <c r="IVA83" s="143"/>
      <c r="IVB83" s="143"/>
      <c r="IVC83" s="143"/>
      <c r="IVD83" s="143"/>
      <c r="IVE83" s="143"/>
      <c r="IVF83" s="143"/>
      <c r="IVG83" s="143"/>
      <c r="IVH83" s="143"/>
      <c r="IVI83" s="143"/>
      <c r="IVJ83" s="143"/>
      <c r="IVK83" s="143"/>
      <c r="IVL83" s="143"/>
      <c r="IVM83" s="143"/>
      <c r="IVN83" s="143"/>
      <c r="IVO83" s="143"/>
      <c r="IVP83" s="143"/>
      <c r="IVQ83" s="143"/>
      <c r="IVR83" s="143"/>
      <c r="IVS83" s="143"/>
      <c r="IVT83" s="143"/>
      <c r="IVU83" s="143"/>
      <c r="IVV83" s="143"/>
      <c r="IVW83" s="143"/>
      <c r="IVX83" s="143"/>
      <c r="IVY83" s="143"/>
      <c r="IVZ83" s="143"/>
      <c r="IWA83" s="143"/>
      <c r="IWB83" s="143"/>
      <c r="IWC83" s="143"/>
      <c r="IWD83" s="143"/>
      <c r="IWE83" s="143"/>
      <c r="IWF83" s="143"/>
      <c r="IWG83" s="143"/>
      <c r="IWH83" s="143"/>
      <c r="IWI83" s="143"/>
      <c r="IWJ83" s="143"/>
      <c r="IWK83" s="143"/>
      <c r="IWL83" s="143"/>
      <c r="IWM83" s="143"/>
      <c r="IWN83" s="143"/>
      <c r="IWO83" s="143"/>
      <c r="IWP83" s="143"/>
      <c r="IWQ83" s="143"/>
      <c r="IWR83" s="143"/>
      <c r="IWS83" s="143"/>
      <c r="IWT83" s="143"/>
      <c r="IWU83" s="143"/>
      <c r="IWV83" s="143"/>
      <c r="IWW83" s="143"/>
      <c r="IWX83" s="143"/>
      <c r="IWY83" s="143"/>
      <c r="IWZ83" s="143"/>
      <c r="IXA83" s="143"/>
      <c r="IXB83" s="143"/>
      <c r="IXC83" s="143"/>
      <c r="IXD83" s="143"/>
      <c r="IXE83" s="143"/>
      <c r="IXF83" s="143"/>
      <c r="IXG83" s="143"/>
      <c r="IXH83" s="143"/>
      <c r="IXI83" s="143"/>
      <c r="IXJ83" s="143"/>
      <c r="IXK83" s="143"/>
      <c r="IXL83" s="143"/>
      <c r="IXM83" s="143"/>
      <c r="IXN83" s="143"/>
      <c r="IXO83" s="143"/>
      <c r="IXP83" s="143"/>
      <c r="IXQ83" s="143"/>
      <c r="IXR83" s="143"/>
      <c r="IXS83" s="143"/>
      <c r="IXT83" s="143"/>
      <c r="IXU83" s="143"/>
      <c r="IXV83" s="143"/>
      <c r="IXW83" s="143"/>
      <c r="IXX83" s="143"/>
      <c r="IXY83" s="143"/>
      <c r="IXZ83" s="143"/>
      <c r="IYA83" s="143"/>
      <c r="IYB83" s="143"/>
      <c r="IYC83" s="143"/>
      <c r="IYD83" s="143"/>
      <c r="IYE83" s="143"/>
      <c r="IYF83" s="143"/>
      <c r="IYG83" s="143"/>
      <c r="IYH83" s="143"/>
      <c r="IYI83" s="143"/>
      <c r="IYJ83" s="143"/>
      <c r="IYK83" s="143"/>
      <c r="IYL83" s="143"/>
      <c r="IYM83" s="143"/>
      <c r="IYN83" s="143"/>
      <c r="IYO83" s="143"/>
      <c r="IYP83" s="143"/>
      <c r="IYQ83" s="143"/>
      <c r="IYR83" s="143"/>
      <c r="IYS83" s="143"/>
      <c r="IYT83" s="143"/>
      <c r="IYU83" s="143"/>
      <c r="IYV83" s="143"/>
      <c r="IYW83" s="143"/>
      <c r="IYX83" s="143"/>
      <c r="IYY83" s="143"/>
      <c r="IYZ83" s="143"/>
      <c r="IZA83" s="143"/>
      <c r="IZB83" s="143"/>
      <c r="IZC83" s="143"/>
      <c r="IZD83" s="143"/>
      <c r="IZE83" s="143"/>
      <c r="IZF83" s="143"/>
      <c r="IZG83" s="143"/>
      <c r="IZH83" s="143"/>
      <c r="IZI83" s="143"/>
      <c r="IZJ83" s="143"/>
      <c r="IZK83" s="143"/>
      <c r="IZL83" s="143"/>
      <c r="IZM83" s="143"/>
      <c r="IZN83" s="143"/>
      <c r="IZO83" s="143"/>
      <c r="IZP83" s="143"/>
      <c r="IZQ83" s="143"/>
      <c r="IZR83" s="143"/>
      <c r="IZS83" s="143"/>
      <c r="IZT83" s="143"/>
      <c r="IZU83" s="143"/>
      <c r="IZV83" s="143"/>
      <c r="IZW83" s="143"/>
      <c r="IZX83" s="143"/>
      <c r="IZY83" s="143"/>
      <c r="IZZ83" s="143"/>
      <c r="JAA83" s="143"/>
      <c r="JAB83" s="143"/>
      <c r="JAC83" s="143"/>
      <c r="JAD83" s="143"/>
      <c r="JAE83" s="143"/>
      <c r="JAF83" s="143"/>
      <c r="JAG83" s="143"/>
      <c r="JAH83" s="143"/>
      <c r="JAI83" s="143"/>
      <c r="JAJ83" s="143"/>
      <c r="JAK83" s="143"/>
      <c r="JAL83" s="143"/>
      <c r="JAM83" s="143"/>
      <c r="JAN83" s="143"/>
      <c r="JAO83" s="143"/>
      <c r="JAP83" s="143"/>
      <c r="JAQ83" s="143"/>
      <c r="JAR83" s="143"/>
      <c r="JAS83" s="143"/>
      <c r="JAT83" s="143"/>
      <c r="JAU83" s="143"/>
      <c r="JAV83" s="143"/>
      <c r="JAW83" s="143"/>
      <c r="JAX83" s="143"/>
      <c r="JAY83" s="143"/>
      <c r="JAZ83" s="143"/>
      <c r="JBA83" s="143"/>
      <c r="JBB83" s="143"/>
      <c r="JBC83" s="143"/>
      <c r="JBD83" s="143"/>
      <c r="JBE83" s="143"/>
      <c r="JBF83" s="143"/>
      <c r="JBG83" s="143"/>
      <c r="JBH83" s="143"/>
      <c r="JBI83" s="143"/>
      <c r="JBJ83" s="143"/>
      <c r="JBK83" s="143"/>
      <c r="JBL83" s="143"/>
      <c r="JBM83" s="143"/>
      <c r="JBN83" s="143"/>
      <c r="JBO83" s="143"/>
      <c r="JBP83" s="143"/>
      <c r="JBQ83" s="143"/>
      <c r="JBR83" s="143"/>
      <c r="JBS83" s="143"/>
      <c r="JBT83" s="143"/>
      <c r="JBU83" s="143"/>
      <c r="JBV83" s="143"/>
      <c r="JBW83" s="143"/>
      <c r="JBX83" s="143"/>
      <c r="JBY83" s="143"/>
      <c r="JBZ83" s="143"/>
      <c r="JCA83" s="143"/>
      <c r="JCB83" s="143"/>
      <c r="JCC83" s="143"/>
      <c r="JCD83" s="143"/>
      <c r="JCE83" s="143"/>
      <c r="JCF83" s="143"/>
      <c r="JCG83" s="143"/>
      <c r="JCH83" s="143"/>
      <c r="JCI83" s="143"/>
      <c r="JCJ83" s="143"/>
      <c r="JCK83" s="143"/>
      <c r="JCL83" s="143"/>
      <c r="JCM83" s="143"/>
      <c r="JCN83" s="143"/>
      <c r="JCO83" s="143"/>
      <c r="JCP83" s="143"/>
      <c r="JCQ83" s="143"/>
      <c r="JCR83" s="143"/>
      <c r="JCS83" s="143"/>
      <c r="JCT83" s="143"/>
      <c r="JCU83" s="143"/>
      <c r="JCV83" s="143"/>
      <c r="JCW83" s="143"/>
      <c r="JCX83" s="143"/>
      <c r="JCY83" s="143"/>
      <c r="JCZ83" s="143"/>
      <c r="JDA83" s="143"/>
      <c r="JDB83" s="143"/>
      <c r="JDC83" s="143"/>
      <c r="JDD83" s="143"/>
      <c r="JDE83" s="143"/>
      <c r="JDF83" s="143"/>
      <c r="JDG83" s="143"/>
      <c r="JDH83" s="143"/>
      <c r="JDI83" s="143"/>
      <c r="JDJ83" s="143"/>
      <c r="JDK83" s="143"/>
      <c r="JDL83" s="143"/>
      <c r="JDM83" s="143"/>
      <c r="JDN83" s="143"/>
      <c r="JDO83" s="143"/>
      <c r="JDP83" s="143"/>
      <c r="JDQ83" s="143"/>
      <c r="JDR83" s="143"/>
      <c r="JDS83" s="143"/>
      <c r="JDT83" s="143"/>
      <c r="JDU83" s="143"/>
      <c r="JDV83" s="143"/>
      <c r="JDW83" s="143"/>
      <c r="JDX83" s="143"/>
      <c r="JDY83" s="143"/>
      <c r="JDZ83" s="143"/>
      <c r="JEA83" s="143"/>
      <c r="JEB83" s="143"/>
      <c r="JEC83" s="143"/>
      <c r="JED83" s="143"/>
      <c r="JEE83" s="143"/>
      <c r="JEF83" s="143"/>
      <c r="JEG83" s="143"/>
      <c r="JEH83" s="143"/>
      <c r="JEI83" s="143"/>
      <c r="JEJ83" s="143"/>
      <c r="JEK83" s="143"/>
      <c r="JEL83" s="143"/>
      <c r="JEM83" s="143"/>
      <c r="JEN83" s="143"/>
      <c r="JEO83" s="143"/>
      <c r="JEP83" s="143"/>
      <c r="JEQ83" s="143"/>
      <c r="JER83" s="143"/>
      <c r="JES83" s="143"/>
      <c r="JET83" s="143"/>
      <c r="JEU83" s="143"/>
      <c r="JEV83" s="143"/>
      <c r="JEW83" s="143"/>
      <c r="JEX83" s="143"/>
      <c r="JEY83" s="143"/>
      <c r="JEZ83" s="143"/>
      <c r="JFA83" s="143"/>
      <c r="JFB83" s="143"/>
      <c r="JFC83" s="143"/>
      <c r="JFD83" s="143"/>
      <c r="JFE83" s="143"/>
      <c r="JFF83" s="143"/>
      <c r="JFG83" s="143"/>
      <c r="JFH83" s="143"/>
      <c r="JFI83" s="143"/>
      <c r="JFJ83" s="143"/>
      <c r="JFK83" s="143"/>
      <c r="JFL83" s="143"/>
      <c r="JFM83" s="143"/>
      <c r="JFN83" s="143"/>
      <c r="JFO83" s="143"/>
      <c r="JFP83" s="143"/>
      <c r="JFQ83" s="143"/>
      <c r="JFR83" s="143"/>
      <c r="JFS83" s="143"/>
      <c r="JFT83" s="143"/>
      <c r="JFU83" s="143"/>
      <c r="JFV83" s="143"/>
      <c r="JFW83" s="143"/>
      <c r="JFX83" s="143"/>
      <c r="JFY83" s="143"/>
      <c r="JFZ83" s="143"/>
      <c r="JGA83" s="143"/>
      <c r="JGB83" s="143"/>
      <c r="JGC83" s="143"/>
      <c r="JGD83" s="143"/>
      <c r="JGE83" s="143"/>
      <c r="JGF83" s="143"/>
      <c r="JGG83" s="143"/>
      <c r="JGH83" s="143"/>
      <c r="JGI83" s="143"/>
      <c r="JGJ83" s="143"/>
      <c r="JGK83" s="143"/>
      <c r="JGL83" s="143"/>
      <c r="JGM83" s="143"/>
      <c r="JGN83" s="143"/>
      <c r="JGO83" s="143"/>
      <c r="JGP83" s="143"/>
      <c r="JGQ83" s="143"/>
      <c r="JGR83" s="143"/>
      <c r="JGS83" s="143"/>
      <c r="JGT83" s="143"/>
      <c r="JGU83" s="143"/>
      <c r="JGV83" s="143"/>
      <c r="JGW83" s="143"/>
      <c r="JGX83" s="143"/>
      <c r="JGY83" s="143"/>
      <c r="JGZ83" s="143"/>
      <c r="JHA83" s="143"/>
      <c r="JHB83" s="143"/>
      <c r="JHC83" s="143"/>
      <c r="JHD83" s="143"/>
      <c r="JHE83" s="143"/>
      <c r="JHF83" s="143"/>
      <c r="JHG83" s="143"/>
      <c r="JHH83" s="143"/>
      <c r="JHI83" s="143"/>
      <c r="JHJ83" s="143"/>
      <c r="JHK83" s="143"/>
      <c r="JHL83" s="143"/>
      <c r="JHM83" s="143"/>
      <c r="JHN83" s="143"/>
      <c r="JHO83" s="143"/>
      <c r="JHP83" s="143"/>
      <c r="JHQ83" s="143"/>
      <c r="JHR83" s="143"/>
      <c r="JHS83" s="143"/>
      <c r="JHT83" s="143"/>
      <c r="JHU83" s="143"/>
      <c r="JHV83" s="143"/>
      <c r="JHW83" s="143"/>
      <c r="JHX83" s="143"/>
      <c r="JHY83" s="143"/>
      <c r="JHZ83" s="143"/>
      <c r="JIA83" s="143"/>
      <c r="JIB83" s="143"/>
      <c r="JIC83" s="143"/>
      <c r="JID83" s="143"/>
      <c r="JIE83" s="143"/>
      <c r="JIF83" s="143"/>
      <c r="JIG83" s="143"/>
      <c r="JIH83" s="143"/>
      <c r="JII83" s="143"/>
      <c r="JIJ83" s="143"/>
      <c r="JIK83" s="143"/>
      <c r="JIL83" s="143"/>
      <c r="JIM83" s="143"/>
      <c r="JIN83" s="143"/>
      <c r="JIO83" s="143"/>
      <c r="JIP83" s="143"/>
      <c r="JIQ83" s="143"/>
      <c r="JIR83" s="143"/>
      <c r="JIS83" s="143"/>
      <c r="JIT83" s="143"/>
      <c r="JIU83" s="143"/>
      <c r="JIV83" s="143"/>
      <c r="JIW83" s="143"/>
      <c r="JIX83" s="143"/>
      <c r="JIY83" s="143"/>
      <c r="JIZ83" s="143"/>
      <c r="JJA83" s="143"/>
      <c r="JJB83" s="143"/>
      <c r="JJC83" s="143"/>
      <c r="JJD83" s="143"/>
      <c r="JJE83" s="143"/>
      <c r="JJF83" s="143"/>
      <c r="JJG83" s="143"/>
      <c r="JJH83" s="143"/>
      <c r="JJI83" s="143"/>
      <c r="JJJ83" s="143"/>
      <c r="JJK83" s="143"/>
      <c r="JJL83" s="143"/>
      <c r="JJM83" s="143"/>
      <c r="JJN83" s="143"/>
      <c r="JJO83" s="143"/>
      <c r="JJP83" s="143"/>
      <c r="JJQ83" s="143"/>
      <c r="JJR83" s="143"/>
      <c r="JJS83" s="143"/>
      <c r="JJT83" s="143"/>
      <c r="JJU83" s="143"/>
      <c r="JJV83" s="143"/>
      <c r="JJW83" s="143"/>
      <c r="JJX83" s="143"/>
      <c r="JJY83" s="143"/>
      <c r="JJZ83" s="143"/>
      <c r="JKA83" s="143"/>
      <c r="JKB83" s="143"/>
      <c r="JKC83" s="143"/>
      <c r="JKD83" s="143"/>
      <c r="JKE83" s="143"/>
      <c r="JKF83" s="143"/>
      <c r="JKG83" s="143"/>
      <c r="JKH83" s="143"/>
      <c r="JKI83" s="143"/>
      <c r="JKJ83" s="143"/>
      <c r="JKK83" s="143"/>
      <c r="JKL83" s="143"/>
      <c r="JKM83" s="143"/>
      <c r="JKN83" s="143"/>
      <c r="JKO83" s="143"/>
      <c r="JKP83" s="143"/>
      <c r="JKQ83" s="143"/>
      <c r="JKR83" s="143"/>
      <c r="JKS83" s="143"/>
      <c r="JKT83" s="143"/>
      <c r="JKU83" s="143"/>
      <c r="JKV83" s="143"/>
      <c r="JKW83" s="143"/>
      <c r="JKX83" s="143"/>
      <c r="JKY83" s="143"/>
      <c r="JKZ83" s="143"/>
      <c r="JLA83" s="143"/>
      <c r="JLB83" s="143"/>
      <c r="JLC83" s="143"/>
      <c r="JLD83" s="143"/>
      <c r="JLE83" s="143"/>
      <c r="JLF83" s="143"/>
      <c r="JLG83" s="143"/>
      <c r="JLH83" s="143"/>
      <c r="JLI83" s="143"/>
      <c r="JLJ83" s="143"/>
      <c r="JLK83" s="143"/>
      <c r="JLL83" s="143"/>
      <c r="JLM83" s="143"/>
      <c r="JLN83" s="143"/>
      <c r="JLO83" s="143"/>
      <c r="JLP83" s="143"/>
      <c r="JLQ83" s="143"/>
      <c r="JLR83" s="143"/>
      <c r="JLS83" s="143"/>
      <c r="JLT83" s="143"/>
      <c r="JLU83" s="143"/>
      <c r="JLV83" s="143"/>
      <c r="JLW83" s="143"/>
      <c r="JLX83" s="143"/>
      <c r="JLY83" s="143"/>
      <c r="JLZ83" s="143"/>
      <c r="JMA83" s="143"/>
      <c r="JMB83" s="143"/>
      <c r="JMC83" s="143"/>
      <c r="JMD83" s="143"/>
      <c r="JME83" s="143"/>
      <c r="JMF83" s="143"/>
      <c r="JMG83" s="143"/>
      <c r="JMH83" s="143"/>
      <c r="JMI83" s="143"/>
      <c r="JMJ83" s="143"/>
      <c r="JMK83" s="143"/>
      <c r="JML83" s="143"/>
      <c r="JMM83" s="143"/>
      <c r="JMN83" s="143"/>
      <c r="JMO83" s="143"/>
      <c r="JMP83" s="143"/>
      <c r="JMQ83" s="143"/>
      <c r="JMR83" s="143"/>
      <c r="JMS83" s="143"/>
      <c r="JMT83" s="143"/>
      <c r="JMU83" s="143"/>
      <c r="JMV83" s="143"/>
      <c r="JMW83" s="143"/>
      <c r="JMX83" s="143"/>
      <c r="JMY83" s="143"/>
      <c r="JMZ83" s="143"/>
      <c r="JNA83" s="143"/>
      <c r="JNB83" s="143"/>
      <c r="JNC83" s="143"/>
      <c r="JND83" s="143"/>
      <c r="JNE83" s="143"/>
      <c r="JNF83" s="143"/>
      <c r="JNG83" s="143"/>
      <c r="JNH83" s="143"/>
      <c r="JNI83" s="143"/>
      <c r="JNJ83" s="143"/>
      <c r="JNK83" s="143"/>
      <c r="JNL83" s="143"/>
      <c r="JNM83" s="143"/>
      <c r="JNN83" s="143"/>
      <c r="JNO83" s="143"/>
      <c r="JNP83" s="143"/>
      <c r="JNQ83" s="143"/>
      <c r="JNR83" s="143"/>
      <c r="JNS83" s="143"/>
      <c r="JNT83" s="143"/>
      <c r="JNU83" s="143"/>
      <c r="JNV83" s="143"/>
      <c r="JNW83" s="143"/>
      <c r="JNX83" s="143"/>
      <c r="JNY83" s="143"/>
      <c r="JNZ83" s="143"/>
      <c r="JOA83" s="143"/>
      <c r="JOB83" s="143"/>
      <c r="JOC83" s="143"/>
      <c r="JOD83" s="143"/>
      <c r="JOE83" s="143"/>
      <c r="JOF83" s="143"/>
      <c r="JOG83" s="143"/>
      <c r="JOH83" s="143"/>
      <c r="JOI83" s="143"/>
      <c r="JOJ83" s="143"/>
      <c r="JOK83" s="143"/>
      <c r="JOL83" s="143"/>
      <c r="JOM83" s="143"/>
      <c r="JON83" s="143"/>
      <c r="JOO83" s="143"/>
      <c r="JOP83" s="143"/>
      <c r="JOQ83" s="143"/>
      <c r="JOR83" s="143"/>
      <c r="JOS83" s="143"/>
      <c r="JOT83" s="143"/>
      <c r="JOU83" s="143"/>
      <c r="JOV83" s="143"/>
      <c r="JOW83" s="143"/>
      <c r="JOX83" s="143"/>
      <c r="JOY83" s="143"/>
      <c r="JOZ83" s="143"/>
      <c r="JPA83" s="143"/>
      <c r="JPB83" s="143"/>
      <c r="JPC83" s="143"/>
      <c r="JPD83" s="143"/>
      <c r="JPE83" s="143"/>
      <c r="JPF83" s="143"/>
      <c r="JPG83" s="143"/>
      <c r="JPH83" s="143"/>
      <c r="JPI83" s="143"/>
      <c r="JPJ83" s="143"/>
      <c r="JPK83" s="143"/>
      <c r="JPL83" s="143"/>
      <c r="JPM83" s="143"/>
      <c r="JPN83" s="143"/>
      <c r="JPO83" s="143"/>
      <c r="JPP83" s="143"/>
      <c r="JPQ83" s="143"/>
      <c r="JPR83" s="143"/>
      <c r="JPS83" s="143"/>
      <c r="JPT83" s="143"/>
      <c r="JPU83" s="143"/>
      <c r="JPV83" s="143"/>
      <c r="JPW83" s="143"/>
      <c r="JPX83" s="143"/>
      <c r="JPY83" s="143"/>
      <c r="JPZ83" s="143"/>
      <c r="JQA83" s="143"/>
      <c r="JQB83" s="143"/>
      <c r="JQC83" s="143"/>
      <c r="JQD83" s="143"/>
      <c r="JQE83" s="143"/>
      <c r="JQF83" s="143"/>
      <c r="JQG83" s="143"/>
      <c r="JQH83" s="143"/>
      <c r="JQI83" s="143"/>
      <c r="JQJ83" s="143"/>
      <c r="JQK83" s="143"/>
      <c r="JQL83" s="143"/>
      <c r="JQM83" s="143"/>
      <c r="JQN83" s="143"/>
      <c r="JQO83" s="143"/>
      <c r="JQP83" s="143"/>
      <c r="JQQ83" s="143"/>
      <c r="JQR83" s="143"/>
      <c r="JQS83" s="143"/>
      <c r="JQT83" s="143"/>
      <c r="JQU83" s="143"/>
      <c r="JQV83" s="143"/>
      <c r="JQW83" s="143"/>
      <c r="JQX83" s="143"/>
      <c r="JQY83" s="143"/>
      <c r="JQZ83" s="143"/>
      <c r="JRA83" s="143"/>
      <c r="JRB83" s="143"/>
      <c r="JRC83" s="143"/>
      <c r="JRD83" s="143"/>
      <c r="JRE83" s="143"/>
      <c r="JRF83" s="143"/>
      <c r="JRG83" s="143"/>
      <c r="JRH83" s="143"/>
      <c r="JRI83" s="143"/>
      <c r="JRJ83" s="143"/>
      <c r="JRK83" s="143"/>
      <c r="JRL83" s="143"/>
      <c r="JRM83" s="143"/>
      <c r="JRN83" s="143"/>
      <c r="JRO83" s="143"/>
      <c r="JRP83" s="143"/>
      <c r="JRQ83" s="143"/>
      <c r="JRR83" s="143"/>
      <c r="JRS83" s="143"/>
      <c r="JRT83" s="143"/>
      <c r="JRU83" s="143"/>
      <c r="JRV83" s="143"/>
      <c r="JRW83" s="143"/>
      <c r="JRX83" s="143"/>
      <c r="JRY83" s="143"/>
      <c r="JRZ83" s="143"/>
      <c r="JSA83" s="143"/>
      <c r="JSB83" s="143"/>
      <c r="JSC83" s="143"/>
      <c r="JSD83" s="143"/>
      <c r="JSE83" s="143"/>
      <c r="JSF83" s="143"/>
      <c r="JSG83" s="143"/>
      <c r="JSH83" s="143"/>
      <c r="JSI83" s="143"/>
      <c r="JSJ83" s="143"/>
      <c r="JSK83" s="143"/>
      <c r="JSL83" s="143"/>
      <c r="JSM83" s="143"/>
      <c r="JSN83" s="143"/>
      <c r="JSO83" s="143"/>
      <c r="JSP83" s="143"/>
      <c r="JSQ83" s="143"/>
      <c r="JSR83" s="143"/>
      <c r="JSS83" s="143"/>
      <c r="JST83" s="143"/>
      <c r="JSU83" s="143"/>
      <c r="JSV83" s="143"/>
      <c r="JSW83" s="143"/>
      <c r="JSX83" s="143"/>
      <c r="JSY83" s="143"/>
      <c r="JSZ83" s="143"/>
      <c r="JTA83" s="143"/>
      <c r="JTB83" s="143"/>
      <c r="JTC83" s="143"/>
      <c r="JTD83" s="143"/>
      <c r="JTE83" s="143"/>
      <c r="JTF83" s="143"/>
      <c r="JTG83" s="143"/>
      <c r="JTH83" s="143"/>
      <c r="JTI83" s="143"/>
      <c r="JTJ83" s="143"/>
      <c r="JTK83" s="143"/>
      <c r="JTL83" s="143"/>
      <c r="JTM83" s="143"/>
      <c r="JTN83" s="143"/>
      <c r="JTO83" s="143"/>
      <c r="JTP83" s="143"/>
      <c r="JTQ83" s="143"/>
      <c r="JTR83" s="143"/>
      <c r="JTS83" s="143"/>
      <c r="JTT83" s="143"/>
      <c r="JTU83" s="143"/>
      <c r="JTV83" s="143"/>
      <c r="JTW83" s="143"/>
      <c r="JTX83" s="143"/>
      <c r="JTY83" s="143"/>
      <c r="JTZ83" s="143"/>
      <c r="JUA83" s="143"/>
      <c r="JUB83" s="143"/>
      <c r="JUC83" s="143"/>
      <c r="JUD83" s="143"/>
      <c r="JUE83" s="143"/>
      <c r="JUF83" s="143"/>
      <c r="JUG83" s="143"/>
      <c r="JUH83" s="143"/>
      <c r="JUI83" s="143"/>
      <c r="JUJ83" s="143"/>
      <c r="JUK83" s="143"/>
      <c r="JUL83" s="143"/>
      <c r="JUM83" s="143"/>
      <c r="JUN83" s="143"/>
      <c r="JUO83" s="143"/>
      <c r="JUP83" s="143"/>
      <c r="JUQ83" s="143"/>
      <c r="JUR83" s="143"/>
      <c r="JUS83" s="143"/>
      <c r="JUT83" s="143"/>
      <c r="JUU83" s="143"/>
      <c r="JUV83" s="143"/>
      <c r="JUW83" s="143"/>
      <c r="JUX83" s="143"/>
      <c r="JUY83" s="143"/>
      <c r="JUZ83" s="143"/>
      <c r="JVA83" s="143"/>
      <c r="JVB83" s="143"/>
      <c r="JVC83" s="143"/>
      <c r="JVD83" s="143"/>
      <c r="JVE83" s="143"/>
      <c r="JVF83" s="143"/>
      <c r="JVG83" s="143"/>
      <c r="JVH83" s="143"/>
      <c r="JVI83" s="143"/>
      <c r="JVJ83" s="143"/>
      <c r="JVK83" s="143"/>
      <c r="JVL83" s="143"/>
      <c r="JVM83" s="143"/>
      <c r="JVN83" s="143"/>
      <c r="JVO83" s="143"/>
      <c r="JVP83" s="143"/>
      <c r="JVQ83" s="143"/>
      <c r="JVR83" s="143"/>
      <c r="JVS83" s="143"/>
      <c r="JVT83" s="143"/>
      <c r="JVU83" s="143"/>
      <c r="JVV83" s="143"/>
      <c r="JVW83" s="143"/>
      <c r="JVX83" s="143"/>
      <c r="JVY83" s="143"/>
      <c r="JVZ83" s="143"/>
      <c r="JWA83" s="143"/>
      <c r="JWB83" s="143"/>
      <c r="JWC83" s="143"/>
      <c r="JWD83" s="143"/>
      <c r="JWE83" s="143"/>
      <c r="JWF83" s="143"/>
      <c r="JWG83" s="143"/>
      <c r="JWH83" s="143"/>
      <c r="JWI83" s="143"/>
      <c r="JWJ83" s="143"/>
      <c r="JWK83" s="143"/>
      <c r="JWL83" s="143"/>
      <c r="JWM83" s="143"/>
      <c r="JWN83" s="143"/>
      <c r="JWO83" s="143"/>
      <c r="JWP83" s="143"/>
      <c r="JWQ83" s="143"/>
      <c r="JWR83" s="143"/>
      <c r="JWS83" s="143"/>
      <c r="JWT83" s="143"/>
      <c r="JWU83" s="143"/>
      <c r="JWV83" s="143"/>
      <c r="JWW83" s="143"/>
      <c r="JWX83" s="143"/>
      <c r="JWY83" s="143"/>
      <c r="JWZ83" s="143"/>
      <c r="JXA83" s="143"/>
      <c r="JXB83" s="143"/>
      <c r="JXC83" s="143"/>
      <c r="JXD83" s="143"/>
      <c r="JXE83" s="143"/>
      <c r="JXF83" s="143"/>
      <c r="JXG83" s="143"/>
      <c r="JXH83" s="143"/>
      <c r="JXI83" s="143"/>
      <c r="JXJ83" s="143"/>
      <c r="JXK83" s="143"/>
      <c r="JXL83" s="143"/>
      <c r="JXM83" s="143"/>
      <c r="JXN83" s="143"/>
      <c r="JXO83" s="143"/>
      <c r="JXP83" s="143"/>
      <c r="JXQ83" s="143"/>
      <c r="JXR83" s="143"/>
      <c r="JXS83" s="143"/>
      <c r="JXT83" s="143"/>
      <c r="JXU83" s="143"/>
      <c r="JXV83" s="143"/>
      <c r="JXW83" s="143"/>
      <c r="JXX83" s="143"/>
      <c r="JXY83" s="143"/>
      <c r="JXZ83" s="143"/>
      <c r="JYA83" s="143"/>
      <c r="JYB83" s="143"/>
      <c r="JYC83" s="143"/>
      <c r="JYD83" s="143"/>
      <c r="JYE83" s="143"/>
      <c r="JYF83" s="143"/>
      <c r="JYG83" s="143"/>
      <c r="JYH83" s="143"/>
      <c r="JYI83" s="143"/>
      <c r="JYJ83" s="143"/>
      <c r="JYK83" s="143"/>
      <c r="JYL83" s="143"/>
      <c r="JYM83" s="143"/>
      <c r="JYN83" s="143"/>
      <c r="JYO83" s="143"/>
      <c r="JYP83" s="143"/>
      <c r="JYQ83" s="143"/>
      <c r="JYR83" s="143"/>
      <c r="JYS83" s="143"/>
      <c r="JYT83" s="143"/>
      <c r="JYU83" s="143"/>
      <c r="JYV83" s="143"/>
      <c r="JYW83" s="143"/>
      <c r="JYX83" s="143"/>
      <c r="JYY83" s="143"/>
      <c r="JYZ83" s="143"/>
      <c r="JZA83" s="143"/>
      <c r="JZB83" s="143"/>
      <c r="JZC83" s="143"/>
      <c r="JZD83" s="143"/>
      <c r="JZE83" s="143"/>
      <c r="JZF83" s="143"/>
      <c r="JZG83" s="143"/>
      <c r="JZH83" s="143"/>
      <c r="JZI83" s="143"/>
      <c r="JZJ83" s="143"/>
      <c r="JZK83" s="143"/>
      <c r="JZL83" s="143"/>
      <c r="JZM83" s="143"/>
      <c r="JZN83" s="143"/>
      <c r="JZO83" s="143"/>
      <c r="JZP83" s="143"/>
      <c r="JZQ83" s="143"/>
      <c r="JZR83" s="143"/>
      <c r="JZS83" s="143"/>
      <c r="JZT83" s="143"/>
      <c r="JZU83" s="143"/>
      <c r="JZV83" s="143"/>
      <c r="JZW83" s="143"/>
      <c r="JZX83" s="143"/>
      <c r="JZY83" s="143"/>
      <c r="JZZ83" s="143"/>
      <c r="KAA83" s="143"/>
      <c r="KAB83" s="143"/>
      <c r="KAC83" s="143"/>
      <c r="KAD83" s="143"/>
      <c r="KAE83" s="143"/>
      <c r="KAF83" s="143"/>
      <c r="KAG83" s="143"/>
      <c r="KAH83" s="143"/>
      <c r="KAI83" s="143"/>
      <c r="KAJ83" s="143"/>
      <c r="KAK83" s="143"/>
      <c r="KAL83" s="143"/>
      <c r="KAM83" s="143"/>
      <c r="KAN83" s="143"/>
      <c r="KAO83" s="143"/>
      <c r="KAP83" s="143"/>
      <c r="KAQ83" s="143"/>
      <c r="KAR83" s="143"/>
      <c r="KAS83" s="143"/>
      <c r="KAT83" s="143"/>
      <c r="KAU83" s="143"/>
      <c r="KAV83" s="143"/>
      <c r="KAW83" s="143"/>
      <c r="KAX83" s="143"/>
      <c r="KAY83" s="143"/>
      <c r="KAZ83" s="143"/>
      <c r="KBA83" s="143"/>
      <c r="KBB83" s="143"/>
      <c r="KBC83" s="143"/>
      <c r="KBD83" s="143"/>
      <c r="KBE83" s="143"/>
      <c r="KBF83" s="143"/>
      <c r="KBG83" s="143"/>
      <c r="KBH83" s="143"/>
      <c r="KBI83" s="143"/>
      <c r="KBJ83" s="143"/>
      <c r="KBK83" s="143"/>
      <c r="KBL83" s="143"/>
      <c r="KBM83" s="143"/>
      <c r="KBN83" s="143"/>
      <c r="KBO83" s="143"/>
      <c r="KBP83" s="143"/>
      <c r="KBQ83" s="143"/>
      <c r="KBR83" s="143"/>
      <c r="KBS83" s="143"/>
      <c r="KBT83" s="143"/>
      <c r="KBU83" s="143"/>
      <c r="KBV83" s="143"/>
      <c r="KBW83" s="143"/>
      <c r="KBX83" s="143"/>
      <c r="KBY83" s="143"/>
      <c r="KBZ83" s="143"/>
      <c r="KCA83" s="143"/>
      <c r="KCB83" s="143"/>
      <c r="KCC83" s="143"/>
      <c r="KCD83" s="143"/>
      <c r="KCE83" s="143"/>
      <c r="KCF83" s="143"/>
      <c r="KCG83" s="143"/>
      <c r="KCH83" s="143"/>
      <c r="KCI83" s="143"/>
      <c r="KCJ83" s="143"/>
      <c r="KCK83" s="143"/>
      <c r="KCL83" s="143"/>
      <c r="KCM83" s="143"/>
      <c r="KCN83" s="143"/>
      <c r="KCO83" s="143"/>
      <c r="KCP83" s="143"/>
      <c r="KCQ83" s="143"/>
      <c r="KCR83" s="143"/>
      <c r="KCS83" s="143"/>
      <c r="KCT83" s="143"/>
      <c r="KCU83" s="143"/>
      <c r="KCV83" s="143"/>
      <c r="KCW83" s="143"/>
      <c r="KCX83" s="143"/>
      <c r="KCY83" s="143"/>
      <c r="KCZ83" s="143"/>
      <c r="KDA83" s="143"/>
      <c r="KDB83" s="143"/>
      <c r="KDC83" s="143"/>
      <c r="KDD83" s="143"/>
      <c r="KDE83" s="143"/>
      <c r="KDF83" s="143"/>
      <c r="KDG83" s="143"/>
      <c r="KDH83" s="143"/>
      <c r="KDI83" s="143"/>
      <c r="KDJ83" s="143"/>
      <c r="KDK83" s="143"/>
      <c r="KDL83" s="143"/>
      <c r="KDM83" s="143"/>
      <c r="KDN83" s="143"/>
      <c r="KDO83" s="143"/>
      <c r="KDP83" s="143"/>
      <c r="KDQ83" s="143"/>
      <c r="KDR83" s="143"/>
      <c r="KDS83" s="143"/>
      <c r="KDT83" s="143"/>
      <c r="KDU83" s="143"/>
      <c r="KDV83" s="143"/>
      <c r="KDW83" s="143"/>
      <c r="KDX83" s="143"/>
      <c r="KDY83" s="143"/>
      <c r="KDZ83" s="143"/>
      <c r="KEA83" s="143"/>
      <c r="KEB83" s="143"/>
      <c r="KEC83" s="143"/>
      <c r="KED83" s="143"/>
      <c r="KEE83" s="143"/>
      <c r="KEF83" s="143"/>
      <c r="KEG83" s="143"/>
      <c r="KEH83" s="143"/>
      <c r="KEI83" s="143"/>
      <c r="KEJ83" s="143"/>
      <c r="KEK83" s="143"/>
      <c r="KEL83" s="143"/>
      <c r="KEM83" s="143"/>
      <c r="KEN83" s="143"/>
      <c r="KEO83" s="143"/>
      <c r="KEP83" s="143"/>
      <c r="KEQ83" s="143"/>
      <c r="KER83" s="143"/>
      <c r="KES83" s="143"/>
      <c r="KET83" s="143"/>
      <c r="KEU83" s="143"/>
      <c r="KEV83" s="143"/>
      <c r="KEW83" s="143"/>
      <c r="KEX83" s="143"/>
      <c r="KEY83" s="143"/>
      <c r="KEZ83" s="143"/>
      <c r="KFA83" s="143"/>
      <c r="KFB83" s="143"/>
      <c r="KFC83" s="143"/>
      <c r="KFD83" s="143"/>
      <c r="KFE83" s="143"/>
      <c r="KFF83" s="143"/>
      <c r="KFG83" s="143"/>
      <c r="KFH83" s="143"/>
      <c r="KFI83" s="143"/>
      <c r="KFJ83" s="143"/>
      <c r="KFK83" s="143"/>
      <c r="KFL83" s="143"/>
      <c r="KFM83" s="143"/>
      <c r="KFN83" s="143"/>
      <c r="KFO83" s="143"/>
      <c r="KFP83" s="143"/>
      <c r="KFQ83" s="143"/>
      <c r="KFR83" s="143"/>
      <c r="KFS83" s="143"/>
      <c r="KFT83" s="143"/>
      <c r="KFU83" s="143"/>
      <c r="KFV83" s="143"/>
      <c r="KFW83" s="143"/>
      <c r="KFX83" s="143"/>
      <c r="KFY83" s="143"/>
      <c r="KFZ83" s="143"/>
      <c r="KGA83" s="143"/>
      <c r="KGB83" s="143"/>
      <c r="KGC83" s="143"/>
      <c r="KGD83" s="143"/>
      <c r="KGE83" s="143"/>
      <c r="KGF83" s="143"/>
      <c r="KGG83" s="143"/>
      <c r="KGH83" s="143"/>
      <c r="KGI83" s="143"/>
      <c r="KGJ83" s="143"/>
      <c r="KGK83" s="143"/>
      <c r="KGL83" s="143"/>
      <c r="KGM83" s="143"/>
      <c r="KGN83" s="143"/>
      <c r="KGO83" s="143"/>
      <c r="KGP83" s="143"/>
      <c r="KGQ83" s="143"/>
      <c r="KGR83" s="143"/>
      <c r="KGS83" s="143"/>
      <c r="KGT83" s="143"/>
      <c r="KGU83" s="143"/>
      <c r="KGV83" s="143"/>
      <c r="KGW83" s="143"/>
      <c r="KGX83" s="143"/>
      <c r="KGY83" s="143"/>
      <c r="KGZ83" s="143"/>
      <c r="KHA83" s="143"/>
      <c r="KHB83" s="143"/>
      <c r="KHC83" s="143"/>
      <c r="KHD83" s="143"/>
      <c r="KHE83" s="143"/>
      <c r="KHF83" s="143"/>
      <c r="KHG83" s="143"/>
      <c r="KHH83" s="143"/>
      <c r="KHI83" s="143"/>
      <c r="KHJ83" s="143"/>
      <c r="KHK83" s="143"/>
      <c r="KHL83" s="143"/>
      <c r="KHM83" s="143"/>
      <c r="KHN83" s="143"/>
      <c r="KHO83" s="143"/>
      <c r="KHP83" s="143"/>
      <c r="KHQ83" s="143"/>
      <c r="KHR83" s="143"/>
      <c r="KHS83" s="143"/>
      <c r="KHT83" s="143"/>
      <c r="KHU83" s="143"/>
      <c r="KHV83" s="143"/>
      <c r="KHW83" s="143"/>
      <c r="KHX83" s="143"/>
      <c r="KHY83" s="143"/>
      <c r="KHZ83" s="143"/>
      <c r="KIA83" s="143"/>
      <c r="KIB83" s="143"/>
      <c r="KIC83" s="143"/>
      <c r="KID83" s="143"/>
      <c r="KIE83" s="143"/>
      <c r="KIF83" s="143"/>
      <c r="KIG83" s="143"/>
      <c r="KIH83" s="143"/>
      <c r="KII83" s="143"/>
      <c r="KIJ83" s="143"/>
      <c r="KIK83" s="143"/>
      <c r="KIL83" s="143"/>
      <c r="KIM83" s="143"/>
      <c r="KIN83" s="143"/>
      <c r="KIO83" s="143"/>
      <c r="KIP83" s="143"/>
      <c r="KIQ83" s="143"/>
      <c r="KIR83" s="143"/>
      <c r="KIS83" s="143"/>
      <c r="KIT83" s="143"/>
      <c r="KIU83" s="143"/>
      <c r="KIV83" s="143"/>
      <c r="KIW83" s="143"/>
      <c r="KIX83" s="143"/>
      <c r="KIY83" s="143"/>
      <c r="KIZ83" s="143"/>
      <c r="KJA83" s="143"/>
      <c r="KJB83" s="143"/>
      <c r="KJC83" s="143"/>
      <c r="KJD83" s="143"/>
      <c r="KJE83" s="143"/>
      <c r="KJF83" s="143"/>
      <c r="KJG83" s="143"/>
      <c r="KJH83" s="143"/>
      <c r="KJI83" s="143"/>
      <c r="KJJ83" s="143"/>
      <c r="KJK83" s="143"/>
      <c r="KJL83" s="143"/>
      <c r="KJM83" s="143"/>
      <c r="KJN83" s="143"/>
      <c r="KJO83" s="143"/>
      <c r="KJP83" s="143"/>
      <c r="KJQ83" s="143"/>
      <c r="KJR83" s="143"/>
      <c r="KJS83" s="143"/>
      <c r="KJT83" s="143"/>
      <c r="KJU83" s="143"/>
      <c r="KJV83" s="143"/>
      <c r="KJW83" s="143"/>
      <c r="KJX83" s="143"/>
      <c r="KJY83" s="143"/>
      <c r="KJZ83" s="143"/>
      <c r="KKA83" s="143"/>
      <c r="KKB83" s="143"/>
      <c r="KKC83" s="143"/>
      <c r="KKD83" s="143"/>
      <c r="KKE83" s="143"/>
      <c r="KKF83" s="143"/>
      <c r="KKG83" s="143"/>
      <c r="KKH83" s="143"/>
      <c r="KKI83" s="143"/>
      <c r="KKJ83" s="143"/>
      <c r="KKK83" s="143"/>
      <c r="KKL83" s="143"/>
      <c r="KKM83" s="143"/>
      <c r="KKN83" s="143"/>
      <c r="KKO83" s="143"/>
      <c r="KKP83" s="143"/>
      <c r="KKQ83" s="143"/>
      <c r="KKR83" s="143"/>
      <c r="KKS83" s="143"/>
      <c r="KKT83" s="143"/>
      <c r="KKU83" s="143"/>
      <c r="KKV83" s="143"/>
      <c r="KKW83" s="143"/>
      <c r="KKX83" s="143"/>
      <c r="KKY83" s="143"/>
      <c r="KKZ83" s="143"/>
      <c r="KLA83" s="143"/>
      <c r="KLB83" s="143"/>
      <c r="KLC83" s="143"/>
      <c r="KLD83" s="143"/>
      <c r="KLE83" s="143"/>
      <c r="KLF83" s="143"/>
      <c r="KLG83" s="143"/>
      <c r="KLH83" s="143"/>
      <c r="KLI83" s="143"/>
      <c r="KLJ83" s="143"/>
      <c r="KLK83" s="143"/>
      <c r="KLL83" s="143"/>
      <c r="KLM83" s="143"/>
      <c r="KLN83" s="143"/>
      <c r="KLO83" s="143"/>
      <c r="KLP83" s="143"/>
      <c r="KLQ83" s="143"/>
      <c r="KLR83" s="143"/>
      <c r="KLS83" s="143"/>
      <c r="KLT83" s="143"/>
      <c r="KLU83" s="143"/>
      <c r="KLV83" s="143"/>
      <c r="KLW83" s="143"/>
      <c r="KLX83" s="143"/>
      <c r="KLY83" s="143"/>
      <c r="KLZ83" s="143"/>
      <c r="KMA83" s="143"/>
      <c r="KMB83" s="143"/>
      <c r="KMC83" s="143"/>
      <c r="KMD83" s="143"/>
      <c r="KME83" s="143"/>
      <c r="KMF83" s="143"/>
      <c r="KMG83" s="143"/>
      <c r="KMH83" s="143"/>
      <c r="KMI83" s="143"/>
      <c r="KMJ83" s="143"/>
      <c r="KMK83" s="143"/>
      <c r="KML83" s="143"/>
      <c r="KMM83" s="143"/>
      <c r="KMN83" s="143"/>
      <c r="KMO83" s="143"/>
      <c r="KMP83" s="143"/>
      <c r="KMQ83" s="143"/>
      <c r="KMR83" s="143"/>
      <c r="KMS83" s="143"/>
      <c r="KMT83" s="143"/>
      <c r="KMU83" s="143"/>
      <c r="KMV83" s="143"/>
      <c r="KMW83" s="143"/>
      <c r="KMX83" s="143"/>
      <c r="KMY83" s="143"/>
      <c r="KMZ83" s="143"/>
      <c r="KNA83" s="143"/>
      <c r="KNB83" s="143"/>
      <c r="KNC83" s="143"/>
      <c r="KND83" s="143"/>
      <c r="KNE83" s="143"/>
      <c r="KNF83" s="143"/>
      <c r="KNG83" s="143"/>
      <c r="KNH83" s="143"/>
      <c r="KNI83" s="143"/>
      <c r="KNJ83" s="143"/>
      <c r="KNK83" s="143"/>
      <c r="KNL83" s="143"/>
      <c r="KNM83" s="143"/>
      <c r="KNN83" s="143"/>
      <c r="KNO83" s="143"/>
      <c r="KNP83" s="143"/>
      <c r="KNQ83" s="143"/>
      <c r="KNR83" s="143"/>
      <c r="KNS83" s="143"/>
      <c r="KNT83" s="143"/>
      <c r="KNU83" s="143"/>
      <c r="KNV83" s="143"/>
      <c r="KNW83" s="143"/>
      <c r="KNX83" s="143"/>
      <c r="KNY83" s="143"/>
      <c r="KNZ83" s="143"/>
      <c r="KOA83" s="143"/>
      <c r="KOB83" s="143"/>
      <c r="KOC83" s="143"/>
      <c r="KOD83" s="143"/>
      <c r="KOE83" s="143"/>
      <c r="KOF83" s="143"/>
      <c r="KOG83" s="143"/>
      <c r="KOH83" s="143"/>
      <c r="KOI83" s="143"/>
      <c r="KOJ83" s="143"/>
      <c r="KOK83" s="143"/>
      <c r="KOL83" s="143"/>
      <c r="KOM83" s="143"/>
      <c r="KON83" s="143"/>
      <c r="KOO83" s="143"/>
      <c r="KOP83" s="143"/>
      <c r="KOQ83" s="143"/>
      <c r="KOR83" s="143"/>
      <c r="KOS83" s="143"/>
      <c r="KOT83" s="143"/>
      <c r="KOU83" s="143"/>
      <c r="KOV83" s="143"/>
      <c r="KOW83" s="143"/>
      <c r="KOX83" s="143"/>
      <c r="KOY83" s="143"/>
      <c r="KOZ83" s="143"/>
      <c r="KPA83" s="143"/>
      <c r="KPB83" s="143"/>
      <c r="KPC83" s="143"/>
      <c r="KPD83" s="143"/>
      <c r="KPE83" s="143"/>
      <c r="KPF83" s="143"/>
      <c r="KPG83" s="143"/>
      <c r="KPH83" s="143"/>
      <c r="KPI83" s="143"/>
      <c r="KPJ83" s="143"/>
      <c r="KPK83" s="143"/>
      <c r="KPL83" s="143"/>
      <c r="KPM83" s="143"/>
      <c r="KPN83" s="143"/>
      <c r="KPO83" s="143"/>
      <c r="KPP83" s="143"/>
      <c r="KPQ83" s="143"/>
      <c r="KPR83" s="143"/>
      <c r="KPS83" s="143"/>
      <c r="KPT83" s="143"/>
      <c r="KPU83" s="143"/>
      <c r="KPV83" s="143"/>
      <c r="KPW83" s="143"/>
      <c r="KPX83" s="143"/>
      <c r="KPY83" s="143"/>
      <c r="KPZ83" s="143"/>
      <c r="KQA83" s="143"/>
      <c r="KQB83" s="143"/>
      <c r="KQC83" s="143"/>
      <c r="KQD83" s="143"/>
      <c r="KQE83" s="143"/>
      <c r="KQF83" s="143"/>
      <c r="KQG83" s="143"/>
      <c r="KQH83" s="143"/>
      <c r="KQI83" s="143"/>
      <c r="KQJ83" s="143"/>
      <c r="KQK83" s="143"/>
      <c r="KQL83" s="143"/>
      <c r="KQM83" s="143"/>
      <c r="KQN83" s="143"/>
      <c r="KQO83" s="143"/>
      <c r="KQP83" s="143"/>
      <c r="KQQ83" s="143"/>
      <c r="KQR83" s="143"/>
      <c r="KQS83" s="143"/>
      <c r="KQT83" s="143"/>
      <c r="KQU83" s="143"/>
      <c r="KQV83" s="143"/>
      <c r="KQW83" s="143"/>
      <c r="KQX83" s="143"/>
      <c r="KQY83" s="143"/>
      <c r="KQZ83" s="143"/>
      <c r="KRA83" s="143"/>
      <c r="KRB83" s="143"/>
      <c r="KRC83" s="143"/>
      <c r="KRD83" s="143"/>
      <c r="KRE83" s="143"/>
      <c r="KRF83" s="143"/>
      <c r="KRG83" s="143"/>
      <c r="KRH83" s="143"/>
      <c r="KRI83" s="143"/>
      <c r="KRJ83" s="143"/>
      <c r="KRK83" s="143"/>
      <c r="KRL83" s="143"/>
      <c r="KRM83" s="143"/>
      <c r="KRN83" s="143"/>
      <c r="KRO83" s="143"/>
      <c r="KRP83" s="143"/>
      <c r="KRQ83" s="143"/>
      <c r="KRR83" s="143"/>
      <c r="KRS83" s="143"/>
      <c r="KRT83" s="143"/>
      <c r="KRU83" s="143"/>
      <c r="KRV83" s="143"/>
      <c r="KRW83" s="143"/>
      <c r="KRX83" s="143"/>
      <c r="KRY83" s="143"/>
      <c r="KRZ83" s="143"/>
      <c r="KSA83" s="143"/>
      <c r="KSB83" s="143"/>
      <c r="KSC83" s="143"/>
      <c r="KSD83" s="143"/>
      <c r="KSE83" s="143"/>
      <c r="KSF83" s="143"/>
      <c r="KSG83" s="143"/>
      <c r="KSH83" s="143"/>
      <c r="KSI83" s="143"/>
      <c r="KSJ83" s="143"/>
      <c r="KSK83" s="143"/>
      <c r="KSL83" s="143"/>
      <c r="KSM83" s="143"/>
      <c r="KSN83" s="143"/>
      <c r="KSO83" s="143"/>
      <c r="KSP83" s="143"/>
      <c r="KSQ83" s="143"/>
      <c r="KSR83" s="143"/>
      <c r="KSS83" s="143"/>
      <c r="KST83" s="143"/>
      <c r="KSU83" s="143"/>
      <c r="KSV83" s="143"/>
      <c r="KSW83" s="143"/>
      <c r="KSX83" s="143"/>
      <c r="KSY83" s="143"/>
      <c r="KSZ83" s="143"/>
      <c r="KTA83" s="143"/>
      <c r="KTB83" s="143"/>
      <c r="KTC83" s="143"/>
      <c r="KTD83" s="143"/>
      <c r="KTE83" s="143"/>
      <c r="KTF83" s="143"/>
      <c r="KTG83" s="143"/>
      <c r="KTH83" s="143"/>
      <c r="KTI83" s="143"/>
      <c r="KTJ83" s="143"/>
      <c r="KTK83" s="143"/>
      <c r="KTL83" s="143"/>
      <c r="KTM83" s="143"/>
      <c r="KTN83" s="143"/>
      <c r="KTO83" s="143"/>
      <c r="KTP83" s="143"/>
      <c r="KTQ83" s="143"/>
      <c r="KTR83" s="143"/>
      <c r="KTS83" s="143"/>
      <c r="KTT83" s="143"/>
      <c r="KTU83" s="143"/>
      <c r="KTV83" s="143"/>
      <c r="KTW83" s="143"/>
      <c r="KTX83" s="143"/>
      <c r="KTY83" s="143"/>
      <c r="KTZ83" s="143"/>
      <c r="KUA83" s="143"/>
      <c r="KUB83" s="143"/>
      <c r="KUC83" s="143"/>
      <c r="KUD83" s="143"/>
      <c r="KUE83" s="143"/>
      <c r="KUF83" s="143"/>
      <c r="KUG83" s="143"/>
      <c r="KUH83" s="143"/>
      <c r="KUI83" s="143"/>
      <c r="KUJ83" s="143"/>
      <c r="KUK83" s="143"/>
      <c r="KUL83" s="143"/>
      <c r="KUM83" s="143"/>
      <c r="KUN83" s="143"/>
      <c r="KUO83" s="143"/>
      <c r="KUP83" s="143"/>
      <c r="KUQ83" s="143"/>
      <c r="KUR83" s="143"/>
      <c r="KUS83" s="143"/>
      <c r="KUT83" s="143"/>
      <c r="KUU83" s="143"/>
      <c r="KUV83" s="143"/>
      <c r="KUW83" s="143"/>
      <c r="KUX83" s="143"/>
      <c r="KUY83" s="143"/>
      <c r="KUZ83" s="143"/>
      <c r="KVA83" s="143"/>
      <c r="KVB83" s="143"/>
      <c r="KVC83" s="143"/>
      <c r="KVD83" s="143"/>
      <c r="KVE83" s="143"/>
      <c r="KVF83" s="143"/>
      <c r="KVG83" s="143"/>
      <c r="KVH83" s="143"/>
      <c r="KVI83" s="143"/>
      <c r="KVJ83" s="143"/>
      <c r="KVK83" s="143"/>
      <c r="KVL83" s="143"/>
      <c r="KVM83" s="143"/>
      <c r="KVN83" s="143"/>
      <c r="KVO83" s="143"/>
      <c r="KVP83" s="143"/>
      <c r="KVQ83" s="143"/>
      <c r="KVR83" s="143"/>
      <c r="KVS83" s="143"/>
      <c r="KVT83" s="143"/>
      <c r="KVU83" s="143"/>
      <c r="KVV83" s="143"/>
      <c r="KVW83" s="143"/>
      <c r="KVX83" s="143"/>
      <c r="KVY83" s="143"/>
      <c r="KVZ83" s="143"/>
      <c r="KWA83" s="143"/>
      <c r="KWB83" s="143"/>
      <c r="KWC83" s="143"/>
      <c r="KWD83" s="143"/>
      <c r="KWE83" s="143"/>
      <c r="KWF83" s="143"/>
      <c r="KWG83" s="143"/>
      <c r="KWH83" s="143"/>
      <c r="KWI83" s="143"/>
      <c r="KWJ83" s="143"/>
      <c r="KWK83" s="143"/>
      <c r="KWL83" s="143"/>
      <c r="KWM83" s="143"/>
      <c r="KWN83" s="143"/>
      <c r="KWO83" s="143"/>
      <c r="KWP83" s="143"/>
      <c r="KWQ83" s="143"/>
      <c r="KWR83" s="143"/>
      <c r="KWS83" s="143"/>
      <c r="KWT83" s="143"/>
      <c r="KWU83" s="143"/>
      <c r="KWV83" s="143"/>
      <c r="KWW83" s="143"/>
      <c r="KWX83" s="143"/>
      <c r="KWY83" s="143"/>
      <c r="KWZ83" s="143"/>
      <c r="KXA83" s="143"/>
      <c r="KXB83" s="143"/>
      <c r="KXC83" s="143"/>
      <c r="KXD83" s="143"/>
      <c r="KXE83" s="143"/>
      <c r="KXF83" s="143"/>
      <c r="KXG83" s="143"/>
      <c r="KXH83" s="143"/>
      <c r="KXI83" s="143"/>
      <c r="KXJ83" s="143"/>
      <c r="KXK83" s="143"/>
      <c r="KXL83" s="143"/>
      <c r="KXM83" s="143"/>
      <c r="KXN83" s="143"/>
      <c r="KXO83" s="143"/>
      <c r="KXP83" s="143"/>
      <c r="KXQ83" s="143"/>
      <c r="KXR83" s="143"/>
      <c r="KXS83" s="143"/>
      <c r="KXT83" s="143"/>
      <c r="KXU83" s="143"/>
      <c r="KXV83" s="143"/>
      <c r="KXW83" s="143"/>
      <c r="KXX83" s="143"/>
      <c r="KXY83" s="143"/>
      <c r="KXZ83" s="143"/>
      <c r="KYA83" s="143"/>
      <c r="KYB83" s="143"/>
      <c r="KYC83" s="143"/>
      <c r="KYD83" s="143"/>
      <c r="KYE83" s="143"/>
      <c r="KYF83" s="143"/>
      <c r="KYG83" s="143"/>
      <c r="KYH83" s="143"/>
      <c r="KYI83" s="143"/>
      <c r="KYJ83" s="143"/>
      <c r="KYK83" s="143"/>
      <c r="KYL83" s="143"/>
      <c r="KYM83" s="143"/>
      <c r="KYN83" s="143"/>
      <c r="KYO83" s="143"/>
      <c r="KYP83" s="143"/>
      <c r="KYQ83" s="143"/>
      <c r="KYR83" s="143"/>
      <c r="KYS83" s="143"/>
      <c r="KYT83" s="143"/>
      <c r="KYU83" s="143"/>
      <c r="KYV83" s="143"/>
      <c r="KYW83" s="143"/>
      <c r="KYX83" s="143"/>
      <c r="KYY83" s="143"/>
      <c r="KYZ83" s="143"/>
      <c r="KZA83" s="143"/>
      <c r="KZB83" s="143"/>
      <c r="KZC83" s="143"/>
      <c r="KZD83" s="143"/>
      <c r="KZE83" s="143"/>
      <c r="KZF83" s="143"/>
      <c r="KZG83" s="143"/>
      <c r="KZH83" s="143"/>
      <c r="KZI83" s="143"/>
      <c r="KZJ83" s="143"/>
      <c r="KZK83" s="143"/>
      <c r="KZL83" s="143"/>
      <c r="KZM83" s="143"/>
      <c r="KZN83" s="143"/>
      <c r="KZO83" s="143"/>
      <c r="KZP83" s="143"/>
      <c r="KZQ83" s="143"/>
      <c r="KZR83" s="143"/>
      <c r="KZS83" s="143"/>
      <c r="KZT83" s="143"/>
      <c r="KZU83" s="143"/>
      <c r="KZV83" s="143"/>
      <c r="KZW83" s="143"/>
      <c r="KZX83" s="143"/>
      <c r="KZY83" s="143"/>
      <c r="KZZ83" s="143"/>
      <c r="LAA83" s="143"/>
      <c r="LAB83" s="143"/>
      <c r="LAC83" s="143"/>
      <c r="LAD83" s="143"/>
      <c r="LAE83" s="143"/>
      <c r="LAF83" s="143"/>
      <c r="LAG83" s="143"/>
      <c r="LAH83" s="143"/>
      <c r="LAI83" s="143"/>
      <c r="LAJ83" s="143"/>
      <c r="LAK83" s="143"/>
      <c r="LAL83" s="143"/>
      <c r="LAM83" s="143"/>
      <c r="LAN83" s="143"/>
      <c r="LAO83" s="143"/>
      <c r="LAP83" s="143"/>
      <c r="LAQ83" s="143"/>
      <c r="LAR83" s="143"/>
      <c r="LAS83" s="143"/>
      <c r="LAT83" s="143"/>
      <c r="LAU83" s="143"/>
      <c r="LAV83" s="143"/>
      <c r="LAW83" s="143"/>
      <c r="LAX83" s="143"/>
      <c r="LAY83" s="143"/>
      <c r="LAZ83" s="143"/>
      <c r="LBA83" s="143"/>
      <c r="LBB83" s="143"/>
      <c r="LBC83" s="143"/>
      <c r="LBD83" s="143"/>
      <c r="LBE83" s="143"/>
      <c r="LBF83" s="143"/>
      <c r="LBG83" s="143"/>
      <c r="LBH83" s="143"/>
      <c r="LBI83" s="143"/>
      <c r="LBJ83" s="143"/>
      <c r="LBK83" s="143"/>
      <c r="LBL83" s="143"/>
      <c r="LBM83" s="143"/>
      <c r="LBN83" s="143"/>
      <c r="LBO83" s="143"/>
      <c r="LBP83" s="143"/>
      <c r="LBQ83" s="143"/>
      <c r="LBR83" s="143"/>
      <c r="LBS83" s="143"/>
      <c r="LBT83" s="143"/>
      <c r="LBU83" s="143"/>
      <c r="LBV83" s="143"/>
      <c r="LBW83" s="143"/>
      <c r="LBX83" s="143"/>
      <c r="LBY83" s="143"/>
      <c r="LBZ83" s="143"/>
      <c r="LCA83" s="143"/>
      <c r="LCB83" s="143"/>
      <c r="LCC83" s="143"/>
      <c r="LCD83" s="143"/>
      <c r="LCE83" s="143"/>
      <c r="LCF83" s="143"/>
      <c r="LCG83" s="143"/>
      <c r="LCH83" s="143"/>
      <c r="LCI83" s="143"/>
      <c r="LCJ83" s="143"/>
      <c r="LCK83" s="143"/>
      <c r="LCL83" s="143"/>
      <c r="LCM83" s="143"/>
      <c r="LCN83" s="143"/>
      <c r="LCO83" s="143"/>
      <c r="LCP83" s="143"/>
      <c r="LCQ83" s="143"/>
      <c r="LCR83" s="143"/>
      <c r="LCS83" s="143"/>
      <c r="LCT83" s="143"/>
      <c r="LCU83" s="143"/>
      <c r="LCV83" s="143"/>
      <c r="LCW83" s="143"/>
      <c r="LCX83" s="143"/>
      <c r="LCY83" s="143"/>
      <c r="LCZ83" s="143"/>
      <c r="LDA83" s="143"/>
      <c r="LDB83" s="143"/>
      <c r="LDC83" s="143"/>
      <c r="LDD83" s="143"/>
      <c r="LDE83" s="143"/>
      <c r="LDF83" s="143"/>
      <c r="LDG83" s="143"/>
      <c r="LDH83" s="143"/>
      <c r="LDI83" s="143"/>
      <c r="LDJ83" s="143"/>
      <c r="LDK83" s="143"/>
      <c r="LDL83" s="143"/>
      <c r="LDM83" s="143"/>
      <c r="LDN83" s="143"/>
      <c r="LDO83" s="143"/>
      <c r="LDP83" s="143"/>
      <c r="LDQ83" s="143"/>
      <c r="LDR83" s="143"/>
      <c r="LDS83" s="143"/>
      <c r="LDT83" s="143"/>
      <c r="LDU83" s="143"/>
      <c r="LDV83" s="143"/>
      <c r="LDW83" s="143"/>
      <c r="LDX83" s="143"/>
      <c r="LDY83" s="143"/>
      <c r="LDZ83" s="143"/>
      <c r="LEA83" s="143"/>
      <c r="LEB83" s="143"/>
      <c r="LEC83" s="143"/>
      <c r="LED83" s="143"/>
      <c r="LEE83" s="143"/>
      <c r="LEF83" s="143"/>
      <c r="LEG83" s="143"/>
      <c r="LEH83" s="143"/>
      <c r="LEI83" s="143"/>
      <c r="LEJ83" s="143"/>
      <c r="LEK83" s="143"/>
      <c r="LEL83" s="143"/>
      <c r="LEM83" s="143"/>
      <c r="LEN83" s="143"/>
      <c r="LEO83" s="143"/>
      <c r="LEP83" s="143"/>
      <c r="LEQ83" s="143"/>
      <c r="LER83" s="143"/>
      <c r="LES83" s="143"/>
      <c r="LET83" s="143"/>
      <c r="LEU83" s="143"/>
      <c r="LEV83" s="143"/>
      <c r="LEW83" s="143"/>
      <c r="LEX83" s="143"/>
      <c r="LEY83" s="143"/>
      <c r="LEZ83" s="143"/>
      <c r="LFA83" s="143"/>
      <c r="LFB83" s="143"/>
      <c r="LFC83" s="143"/>
      <c r="LFD83" s="143"/>
      <c r="LFE83" s="143"/>
      <c r="LFF83" s="143"/>
      <c r="LFG83" s="143"/>
      <c r="LFH83" s="143"/>
      <c r="LFI83" s="143"/>
      <c r="LFJ83" s="143"/>
      <c r="LFK83" s="143"/>
      <c r="LFL83" s="143"/>
      <c r="LFM83" s="143"/>
      <c r="LFN83" s="143"/>
      <c r="LFO83" s="143"/>
      <c r="LFP83" s="143"/>
      <c r="LFQ83" s="143"/>
      <c r="LFR83" s="143"/>
      <c r="LFS83" s="143"/>
      <c r="LFT83" s="143"/>
      <c r="LFU83" s="143"/>
      <c r="LFV83" s="143"/>
      <c r="LFW83" s="143"/>
      <c r="LFX83" s="143"/>
      <c r="LFY83" s="143"/>
      <c r="LFZ83" s="143"/>
      <c r="LGA83" s="143"/>
      <c r="LGB83" s="143"/>
      <c r="LGC83" s="143"/>
      <c r="LGD83" s="143"/>
      <c r="LGE83" s="143"/>
      <c r="LGF83" s="143"/>
      <c r="LGG83" s="143"/>
      <c r="LGH83" s="143"/>
      <c r="LGI83" s="143"/>
      <c r="LGJ83" s="143"/>
      <c r="LGK83" s="143"/>
      <c r="LGL83" s="143"/>
      <c r="LGM83" s="143"/>
      <c r="LGN83" s="143"/>
      <c r="LGO83" s="143"/>
      <c r="LGP83" s="143"/>
      <c r="LGQ83" s="143"/>
      <c r="LGR83" s="143"/>
      <c r="LGS83" s="143"/>
      <c r="LGT83" s="143"/>
      <c r="LGU83" s="143"/>
      <c r="LGV83" s="143"/>
      <c r="LGW83" s="143"/>
      <c r="LGX83" s="143"/>
      <c r="LGY83" s="143"/>
      <c r="LGZ83" s="143"/>
      <c r="LHA83" s="143"/>
      <c r="LHB83" s="143"/>
      <c r="LHC83" s="143"/>
      <c r="LHD83" s="143"/>
      <c r="LHE83" s="143"/>
      <c r="LHF83" s="143"/>
      <c r="LHG83" s="143"/>
      <c r="LHH83" s="143"/>
      <c r="LHI83" s="143"/>
      <c r="LHJ83" s="143"/>
      <c r="LHK83" s="143"/>
      <c r="LHL83" s="143"/>
      <c r="LHM83" s="143"/>
      <c r="LHN83" s="143"/>
      <c r="LHO83" s="143"/>
      <c r="LHP83" s="143"/>
      <c r="LHQ83" s="143"/>
      <c r="LHR83" s="143"/>
      <c r="LHS83" s="143"/>
      <c r="LHT83" s="143"/>
      <c r="LHU83" s="143"/>
      <c r="LHV83" s="143"/>
      <c r="LHW83" s="143"/>
      <c r="LHX83" s="143"/>
      <c r="LHY83" s="143"/>
      <c r="LHZ83" s="143"/>
      <c r="LIA83" s="143"/>
      <c r="LIB83" s="143"/>
      <c r="LIC83" s="143"/>
      <c r="LID83" s="143"/>
      <c r="LIE83" s="143"/>
      <c r="LIF83" s="143"/>
      <c r="LIG83" s="143"/>
      <c r="LIH83" s="143"/>
      <c r="LII83" s="143"/>
      <c r="LIJ83" s="143"/>
      <c r="LIK83" s="143"/>
      <c r="LIL83" s="143"/>
      <c r="LIM83" s="143"/>
      <c r="LIN83" s="143"/>
      <c r="LIO83" s="143"/>
      <c r="LIP83" s="143"/>
      <c r="LIQ83" s="143"/>
      <c r="LIR83" s="143"/>
      <c r="LIS83" s="143"/>
      <c r="LIT83" s="143"/>
      <c r="LIU83" s="143"/>
      <c r="LIV83" s="143"/>
      <c r="LIW83" s="143"/>
      <c r="LIX83" s="143"/>
      <c r="LIY83" s="143"/>
      <c r="LIZ83" s="143"/>
      <c r="LJA83" s="143"/>
      <c r="LJB83" s="143"/>
      <c r="LJC83" s="143"/>
      <c r="LJD83" s="143"/>
      <c r="LJE83" s="143"/>
      <c r="LJF83" s="143"/>
      <c r="LJG83" s="143"/>
      <c r="LJH83" s="143"/>
      <c r="LJI83" s="143"/>
      <c r="LJJ83" s="143"/>
      <c r="LJK83" s="143"/>
      <c r="LJL83" s="143"/>
      <c r="LJM83" s="143"/>
      <c r="LJN83" s="143"/>
      <c r="LJO83" s="143"/>
      <c r="LJP83" s="143"/>
      <c r="LJQ83" s="143"/>
      <c r="LJR83" s="143"/>
      <c r="LJS83" s="143"/>
      <c r="LJT83" s="143"/>
      <c r="LJU83" s="143"/>
      <c r="LJV83" s="143"/>
      <c r="LJW83" s="143"/>
      <c r="LJX83" s="143"/>
      <c r="LJY83" s="143"/>
      <c r="LJZ83" s="143"/>
      <c r="LKA83" s="143"/>
      <c r="LKB83" s="143"/>
      <c r="LKC83" s="143"/>
      <c r="LKD83" s="143"/>
      <c r="LKE83" s="143"/>
      <c r="LKF83" s="143"/>
      <c r="LKG83" s="143"/>
      <c r="LKH83" s="143"/>
      <c r="LKI83" s="143"/>
      <c r="LKJ83" s="143"/>
      <c r="LKK83" s="143"/>
      <c r="LKL83" s="143"/>
      <c r="LKM83" s="143"/>
      <c r="LKN83" s="143"/>
      <c r="LKO83" s="143"/>
      <c r="LKP83" s="143"/>
      <c r="LKQ83" s="143"/>
      <c r="LKR83" s="143"/>
      <c r="LKS83" s="143"/>
      <c r="LKT83" s="143"/>
      <c r="LKU83" s="143"/>
      <c r="LKV83" s="143"/>
      <c r="LKW83" s="143"/>
      <c r="LKX83" s="143"/>
      <c r="LKY83" s="143"/>
      <c r="LKZ83" s="143"/>
      <c r="LLA83" s="143"/>
      <c r="LLB83" s="143"/>
      <c r="LLC83" s="143"/>
      <c r="LLD83" s="143"/>
      <c r="LLE83" s="143"/>
      <c r="LLF83" s="143"/>
      <c r="LLG83" s="143"/>
      <c r="LLH83" s="143"/>
      <c r="LLI83" s="143"/>
      <c r="LLJ83" s="143"/>
      <c r="LLK83" s="143"/>
      <c r="LLL83" s="143"/>
      <c r="LLM83" s="143"/>
      <c r="LLN83" s="143"/>
      <c r="LLO83" s="143"/>
      <c r="LLP83" s="143"/>
      <c r="LLQ83" s="143"/>
      <c r="LLR83" s="143"/>
      <c r="LLS83" s="143"/>
      <c r="LLT83" s="143"/>
      <c r="LLU83" s="143"/>
      <c r="LLV83" s="143"/>
      <c r="LLW83" s="143"/>
      <c r="LLX83" s="143"/>
      <c r="LLY83" s="143"/>
      <c r="LLZ83" s="143"/>
      <c r="LMA83" s="143"/>
      <c r="LMB83" s="143"/>
      <c r="LMC83" s="143"/>
      <c r="LMD83" s="143"/>
      <c r="LME83" s="143"/>
      <c r="LMF83" s="143"/>
      <c r="LMG83" s="143"/>
      <c r="LMH83" s="143"/>
      <c r="LMI83" s="143"/>
      <c r="LMJ83" s="143"/>
      <c r="LMK83" s="143"/>
      <c r="LML83" s="143"/>
      <c r="LMM83" s="143"/>
      <c r="LMN83" s="143"/>
      <c r="LMO83" s="143"/>
      <c r="LMP83" s="143"/>
      <c r="LMQ83" s="143"/>
      <c r="LMR83" s="143"/>
      <c r="LMS83" s="143"/>
      <c r="LMT83" s="143"/>
      <c r="LMU83" s="143"/>
      <c r="LMV83" s="143"/>
      <c r="LMW83" s="143"/>
      <c r="LMX83" s="143"/>
      <c r="LMY83" s="143"/>
      <c r="LMZ83" s="143"/>
      <c r="LNA83" s="143"/>
      <c r="LNB83" s="143"/>
      <c r="LNC83" s="143"/>
      <c r="LND83" s="143"/>
      <c r="LNE83" s="143"/>
      <c r="LNF83" s="143"/>
      <c r="LNG83" s="143"/>
      <c r="LNH83" s="143"/>
      <c r="LNI83" s="143"/>
      <c r="LNJ83" s="143"/>
      <c r="LNK83" s="143"/>
      <c r="LNL83" s="143"/>
      <c r="LNM83" s="143"/>
      <c r="LNN83" s="143"/>
      <c r="LNO83" s="143"/>
      <c r="LNP83" s="143"/>
      <c r="LNQ83" s="143"/>
      <c r="LNR83" s="143"/>
      <c r="LNS83" s="143"/>
      <c r="LNT83" s="143"/>
      <c r="LNU83" s="143"/>
      <c r="LNV83" s="143"/>
      <c r="LNW83" s="143"/>
      <c r="LNX83" s="143"/>
      <c r="LNY83" s="143"/>
      <c r="LNZ83" s="143"/>
      <c r="LOA83" s="143"/>
      <c r="LOB83" s="143"/>
      <c r="LOC83" s="143"/>
      <c r="LOD83" s="143"/>
      <c r="LOE83" s="143"/>
      <c r="LOF83" s="143"/>
      <c r="LOG83" s="143"/>
      <c r="LOH83" s="143"/>
      <c r="LOI83" s="143"/>
      <c r="LOJ83" s="143"/>
      <c r="LOK83" s="143"/>
      <c r="LOL83" s="143"/>
      <c r="LOM83" s="143"/>
      <c r="LON83" s="143"/>
      <c r="LOO83" s="143"/>
      <c r="LOP83" s="143"/>
      <c r="LOQ83" s="143"/>
      <c r="LOR83" s="143"/>
      <c r="LOS83" s="143"/>
      <c r="LOT83" s="143"/>
      <c r="LOU83" s="143"/>
      <c r="LOV83" s="143"/>
      <c r="LOW83" s="143"/>
      <c r="LOX83" s="143"/>
      <c r="LOY83" s="143"/>
      <c r="LOZ83" s="143"/>
      <c r="LPA83" s="143"/>
      <c r="LPB83" s="143"/>
      <c r="LPC83" s="143"/>
      <c r="LPD83" s="143"/>
      <c r="LPE83" s="143"/>
      <c r="LPF83" s="143"/>
      <c r="LPG83" s="143"/>
      <c r="LPH83" s="143"/>
      <c r="LPI83" s="143"/>
      <c r="LPJ83" s="143"/>
      <c r="LPK83" s="143"/>
      <c r="LPL83" s="143"/>
      <c r="LPM83" s="143"/>
      <c r="LPN83" s="143"/>
      <c r="LPO83" s="143"/>
      <c r="LPP83" s="143"/>
      <c r="LPQ83" s="143"/>
      <c r="LPR83" s="143"/>
      <c r="LPS83" s="143"/>
      <c r="LPT83" s="143"/>
      <c r="LPU83" s="143"/>
      <c r="LPV83" s="143"/>
      <c r="LPW83" s="143"/>
      <c r="LPX83" s="143"/>
      <c r="LPY83" s="143"/>
      <c r="LPZ83" s="143"/>
      <c r="LQA83" s="143"/>
      <c r="LQB83" s="143"/>
      <c r="LQC83" s="143"/>
      <c r="LQD83" s="143"/>
      <c r="LQE83" s="143"/>
      <c r="LQF83" s="143"/>
      <c r="LQG83" s="143"/>
      <c r="LQH83" s="143"/>
      <c r="LQI83" s="143"/>
      <c r="LQJ83" s="143"/>
      <c r="LQK83" s="143"/>
      <c r="LQL83" s="143"/>
      <c r="LQM83" s="143"/>
      <c r="LQN83" s="143"/>
      <c r="LQO83" s="143"/>
      <c r="LQP83" s="143"/>
      <c r="LQQ83" s="143"/>
      <c r="LQR83" s="143"/>
      <c r="LQS83" s="143"/>
      <c r="LQT83" s="143"/>
      <c r="LQU83" s="143"/>
      <c r="LQV83" s="143"/>
      <c r="LQW83" s="143"/>
      <c r="LQX83" s="143"/>
      <c r="LQY83" s="143"/>
      <c r="LQZ83" s="143"/>
      <c r="LRA83" s="143"/>
      <c r="LRB83" s="143"/>
      <c r="LRC83" s="143"/>
      <c r="LRD83" s="143"/>
      <c r="LRE83" s="143"/>
      <c r="LRF83" s="143"/>
      <c r="LRG83" s="143"/>
      <c r="LRH83" s="143"/>
      <c r="LRI83" s="143"/>
      <c r="LRJ83" s="143"/>
      <c r="LRK83" s="143"/>
      <c r="LRL83" s="143"/>
      <c r="LRM83" s="143"/>
      <c r="LRN83" s="143"/>
      <c r="LRO83" s="143"/>
      <c r="LRP83" s="143"/>
      <c r="LRQ83" s="143"/>
      <c r="LRR83" s="143"/>
      <c r="LRS83" s="143"/>
      <c r="LRT83" s="143"/>
      <c r="LRU83" s="143"/>
      <c r="LRV83" s="143"/>
      <c r="LRW83" s="143"/>
      <c r="LRX83" s="143"/>
      <c r="LRY83" s="143"/>
      <c r="LRZ83" s="143"/>
      <c r="LSA83" s="143"/>
      <c r="LSB83" s="143"/>
      <c r="LSC83" s="143"/>
      <c r="LSD83" s="143"/>
      <c r="LSE83" s="143"/>
      <c r="LSF83" s="143"/>
      <c r="LSG83" s="143"/>
      <c r="LSH83" s="143"/>
      <c r="LSI83" s="143"/>
      <c r="LSJ83" s="143"/>
      <c r="LSK83" s="143"/>
      <c r="LSL83" s="143"/>
      <c r="LSM83" s="143"/>
      <c r="LSN83" s="143"/>
      <c r="LSO83" s="143"/>
      <c r="LSP83" s="143"/>
      <c r="LSQ83" s="143"/>
      <c r="LSR83" s="143"/>
      <c r="LSS83" s="143"/>
      <c r="LST83" s="143"/>
      <c r="LSU83" s="143"/>
      <c r="LSV83" s="143"/>
      <c r="LSW83" s="143"/>
      <c r="LSX83" s="143"/>
      <c r="LSY83" s="143"/>
      <c r="LSZ83" s="143"/>
      <c r="LTA83" s="143"/>
      <c r="LTB83" s="143"/>
      <c r="LTC83" s="143"/>
      <c r="LTD83" s="143"/>
      <c r="LTE83" s="143"/>
      <c r="LTF83" s="143"/>
      <c r="LTG83" s="143"/>
      <c r="LTH83" s="143"/>
      <c r="LTI83" s="143"/>
      <c r="LTJ83" s="143"/>
      <c r="LTK83" s="143"/>
      <c r="LTL83" s="143"/>
      <c r="LTM83" s="143"/>
      <c r="LTN83" s="143"/>
      <c r="LTO83" s="143"/>
      <c r="LTP83" s="143"/>
      <c r="LTQ83" s="143"/>
      <c r="LTR83" s="143"/>
      <c r="LTS83" s="143"/>
      <c r="LTT83" s="143"/>
      <c r="LTU83" s="143"/>
      <c r="LTV83" s="143"/>
      <c r="LTW83" s="143"/>
      <c r="LTX83" s="143"/>
      <c r="LTY83" s="143"/>
      <c r="LTZ83" s="143"/>
      <c r="LUA83" s="143"/>
      <c r="LUB83" s="143"/>
      <c r="LUC83" s="143"/>
      <c r="LUD83" s="143"/>
      <c r="LUE83" s="143"/>
      <c r="LUF83" s="143"/>
      <c r="LUG83" s="143"/>
      <c r="LUH83" s="143"/>
      <c r="LUI83" s="143"/>
      <c r="LUJ83" s="143"/>
      <c r="LUK83" s="143"/>
      <c r="LUL83" s="143"/>
      <c r="LUM83" s="143"/>
      <c r="LUN83" s="143"/>
      <c r="LUO83" s="143"/>
      <c r="LUP83" s="143"/>
      <c r="LUQ83" s="143"/>
      <c r="LUR83" s="143"/>
      <c r="LUS83" s="143"/>
      <c r="LUT83" s="143"/>
      <c r="LUU83" s="143"/>
      <c r="LUV83" s="143"/>
      <c r="LUW83" s="143"/>
      <c r="LUX83" s="143"/>
      <c r="LUY83" s="143"/>
      <c r="LUZ83" s="143"/>
      <c r="LVA83" s="143"/>
      <c r="LVB83" s="143"/>
      <c r="LVC83" s="143"/>
      <c r="LVD83" s="143"/>
      <c r="LVE83" s="143"/>
      <c r="LVF83" s="143"/>
      <c r="LVG83" s="143"/>
      <c r="LVH83" s="143"/>
      <c r="LVI83" s="143"/>
      <c r="LVJ83" s="143"/>
      <c r="LVK83" s="143"/>
      <c r="LVL83" s="143"/>
      <c r="LVM83" s="143"/>
      <c r="LVN83" s="143"/>
      <c r="LVO83" s="143"/>
      <c r="LVP83" s="143"/>
      <c r="LVQ83" s="143"/>
      <c r="LVR83" s="143"/>
      <c r="LVS83" s="143"/>
      <c r="LVT83" s="143"/>
      <c r="LVU83" s="143"/>
      <c r="LVV83" s="143"/>
      <c r="LVW83" s="143"/>
      <c r="LVX83" s="143"/>
      <c r="LVY83" s="143"/>
      <c r="LVZ83" s="143"/>
      <c r="LWA83" s="143"/>
      <c r="LWB83" s="143"/>
      <c r="LWC83" s="143"/>
      <c r="LWD83" s="143"/>
      <c r="LWE83" s="143"/>
      <c r="LWF83" s="143"/>
      <c r="LWG83" s="143"/>
      <c r="LWH83" s="143"/>
      <c r="LWI83" s="143"/>
      <c r="LWJ83" s="143"/>
      <c r="LWK83" s="143"/>
      <c r="LWL83" s="143"/>
      <c r="LWM83" s="143"/>
      <c r="LWN83" s="143"/>
      <c r="LWO83" s="143"/>
      <c r="LWP83" s="143"/>
      <c r="LWQ83" s="143"/>
      <c r="LWR83" s="143"/>
      <c r="LWS83" s="143"/>
      <c r="LWT83" s="143"/>
      <c r="LWU83" s="143"/>
      <c r="LWV83" s="143"/>
      <c r="LWW83" s="143"/>
      <c r="LWX83" s="143"/>
      <c r="LWY83" s="143"/>
      <c r="LWZ83" s="143"/>
      <c r="LXA83" s="143"/>
      <c r="LXB83" s="143"/>
      <c r="LXC83" s="143"/>
      <c r="LXD83" s="143"/>
      <c r="LXE83" s="143"/>
      <c r="LXF83" s="143"/>
      <c r="LXG83" s="143"/>
      <c r="LXH83" s="143"/>
      <c r="LXI83" s="143"/>
      <c r="LXJ83" s="143"/>
      <c r="LXK83" s="143"/>
      <c r="LXL83" s="143"/>
      <c r="LXM83" s="143"/>
      <c r="LXN83" s="143"/>
      <c r="LXO83" s="143"/>
      <c r="LXP83" s="143"/>
      <c r="LXQ83" s="143"/>
      <c r="LXR83" s="143"/>
      <c r="LXS83" s="143"/>
      <c r="LXT83" s="143"/>
      <c r="LXU83" s="143"/>
      <c r="LXV83" s="143"/>
      <c r="LXW83" s="143"/>
      <c r="LXX83" s="143"/>
      <c r="LXY83" s="143"/>
      <c r="LXZ83" s="143"/>
      <c r="LYA83" s="143"/>
      <c r="LYB83" s="143"/>
      <c r="LYC83" s="143"/>
      <c r="LYD83" s="143"/>
      <c r="LYE83" s="143"/>
      <c r="LYF83" s="143"/>
      <c r="LYG83" s="143"/>
      <c r="LYH83" s="143"/>
      <c r="LYI83" s="143"/>
      <c r="LYJ83" s="143"/>
      <c r="LYK83" s="143"/>
      <c r="LYL83" s="143"/>
      <c r="LYM83" s="143"/>
      <c r="LYN83" s="143"/>
      <c r="LYO83" s="143"/>
      <c r="LYP83" s="143"/>
      <c r="LYQ83" s="143"/>
      <c r="LYR83" s="143"/>
      <c r="LYS83" s="143"/>
      <c r="LYT83" s="143"/>
      <c r="LYU83" s="143"/>
      <c r="LYV83" s="143"/>
      <c r="LYW83" s="143"/>
      <c r="LYX83" s="143"/>
      <c r="LYY83" s="143"/>
      <c r="LYZ83" s="143"/>
      <c r="LZA83" s="143"/>
      <c r="LZB83" s="143"/>
      <c r="LZC83" s="143"/>
      <c r="LZD83" s="143"/>
      <c r="LZE83" s="143"/>
      <c r="LZF83" s="143"/>
      <c r="LZG83" s="143"/>
      <c r="LZH83" s="143"/>
      <c r="LZI83" s="143"/>
      <c r="LZJ83" s="143"/>
      <c r="LZK83" s="143"/>
      <c r="LZL83" s="143"/>
      <c r="LZM83" s="143"/>
      <c r="LZN83" s="143"/>
      <c r="LZO83" s="143"/>
      <c r="LZP83" s="143"/>
      <c r="LZQ83" s="143"/>
      <c r="LZR83" s="143"/>
      <c r="LZS83" s="143"/>
      <c r="LZT83" s="143"/>
      <c r="LZU83" s="143"/>
      <c r="LZV83" s="143"/>
      <c r="LZW83" s="143"/>
      <c r="LZX83" s="143"/>
      <c r="LZY83" s="143"/>
      <c r="LZZ83" s="143"/>
      <c r="MAA83" s="143"/>
      <c r="MAB83" s="143"/>
      <c r="MAC83" s="143"/>
      <c r="MAD83" s="143"/>
      <c r="MAE83" s="143"/>
      <c r="MAF83" s="143"/>
      <c r="MAG83" s="143"/>
      <c r="MAH83" s="143"/>
      <c r="MAI83" s="143"/>
      <c r="MAJ83" s="143"/>
      <c r="MAK83" s="143"/>
      <c r="MAL83" s="143"/>
      <c r="MAM83" s="143"/>
      <c r="MAN83" s="143"/>
      <c r="MAO83" s="143"/>
      <c r="MAP83" s="143"/>
      <c r="MAQ83" s="143"/>
      <c r="MAR83" s="143"/>
      <c r="MAS83" s="143"/>
      <c r="MAT83" s="143"/>
      <c r="MAU83" s="143"/>
      <c r="MAV83" s="143"/>
      <c r="MAW83" s="143"/>
      <c r="MAX83" s="143"/>
      <c r="MAY83" s="143"/>
      <c r="MAZ83" s="143"/>
      <c r="MBA83" s="143"/>
      <c r="MBB83" s="143"/>
      <c r="MBC83" s="143"/>
      <c r="MBD83" s="143"/>
      <c r="MBE83" s="143"/>
      <c r="MBF83" s="143"/>
      <c r="MBG83" s="143"/>
      <c r="MBH83" s="143"/>
      <c r="MBI83" s="143"/>
      <c r="MBJ83" s="143"/>
      <c r="MBK83" s="143"/>
      <c r="MBL83" s="143"/>
      <c r="MBM83" s="143"/>
      <c r="MBN83" s="143"/>
      <c r="MBO83" s="143"/>
      <c r="MBP83" s="143"/>
      <c r="MBQ83" s="143"/>
      <c r="MBR83" s="143"/>
      <c r="MBS83" s="143"/>
      <c r="MBT83" s="143"/>
      <c r="MBU83" s="143"/>
      <c r="MBV83" s="143"/>
      <c r="MBW83" s="143"/>
      <c r="MBX83" s="143"/>
      <c r="MBY83" s="143"/>
      <c r="MBZ83" s="143"/>
      <c r="MCA83" s="143"/>
      <c r="MCB83" s="143"/>
      <c r="MCC83" s="143"/>
      <c r="MCD83" s="143"/>
      <c r="MCE83" s="143"/>
      <c r="MCF83" s="143"/>
      <c r="MCG83" s="143"/>
      <c r="MCH83" s="143"/>
      <c r="MCI83" s="143"/>
      <c r="MCJ83" s="143"/>
      <c r="MCK83" s="143"/>
      <c r="MCL83" s="143"/>
      <c r="MCM83" s="143"/>
      <c r="MCN83" s="143"/>
      <c r="MCO83" s="143"/>
      <c r="MCP83" s="143"/>
      <c r="MCQ83" s="143"/>
      <c r="MCR83" s="143"/>
      <c r="MCS83" s="143"/>
      <c r="MCT83" s="143"/>
      <c r="MCU83" s="143"/>
      <c r="MCV83" s="143"/>
      <c r="MCW83" s="143"/>
      <c r="MCX83" s="143"/>
      <c r="MCY83" s="143"/>
      <c r="MCZ83" s="143"/>
      <c r="MDA83" s="143"/>
      <c r="MDB83" s="143"/>
      <c r="MDC83" s="143"/>
      <c r="MDD83" s="143"/>
      <c r="MDE83" s="143"/>
      <c r="MDF83" s="143"/>
      <c r="MDG83" s="143"/>
      <c r="MDH83" s="143"/>
      <c r="MDI83" s="143"/>
      <c r="MDJ83" s="143"/>
      <c r="MDK83" s="143"/>
      <c r="MDL83" s="143"/>
      <c r="MDM83" s="143"/>
      <c r="MDN83" s="143"/>
      <c r="MDO83" s="143"/>
      <c r="MDP83" s="143"/>
      <c r="MDQ83" s="143"/>
      <c r="MDR83" s="143"/>
      <c r="MDS83" s="143"/>
      <c r="MDT83" s="143"/>
      <c r="MDU83" s="143"/>
      <c r="MDV83" s="143"/>
      <c r="MDW83" s="143"/>
      <c r="MDX83" s="143"/>
      <c r="MDY83" s="143"/>
      <c r="MDZ83" s="143"/>
      <c r="MEA83" s="143"/>
      <c r="MEB83" s="143"/>
      <c r="MEC83" s="143"/>
      <c r="MED83" s="143"/>
      <c r="MEE83" s="143"/>
      <c r="MEF83" s="143"/>
      <c r="MEG83" s="143"/>
      <c r="MEH83" s="143"/>
      <c r="MEI83" s="143"/>
      <c r="MEJ83" s="143"/>
      <c r="MEK83" s="143"/>
      <c r="MEL83" s="143"/>
      <c r="MEM83" s="143"/>
      <c r="MEN83" s="143"/>
      <c r="MEO83" s="143"/>
      <c r="MEP83" s="143"/>
      <c r="MEQ83" s="143"/>
      <c r="MER83" s="143"/>
      <c r="MES83" s="143"/>
      <c r="MET83" s="143"/>
      <c r="MEU83" s="143"/>
      <c r="MEV83" s="143"/>
      <c r="MEW83" s="143"/>
      <c r="MEX83" s="143"/>
      <c r="MEY83" s="143"/>
      <c r="MEZ83" s="143"/>
      <c r="MFA83" s="143"/>
      <c r="MFB83" s="143"/>
      <c r="MFC83" s="143"/>
      <c r="MFD83" s="143"/>
      <c r="MFE83" s="143"/>
      <c r="MFF83" s="143"/>
      <c r="MFG83" s="143"/>
      <c r="MFH83" s="143"/>
      <c r="MFI83" s="143"/>
      <c r="MFJ83" s="143"/>
      <c r="MFK83" s="143"/>
      <c r="MFL83" s="143"/>
      <c r="MFM83" s="143"/>
      <c r="MFN83" s="143"/>
      <c r="MFO83" s="143"/>
      <c r="MFP83" s="143"/>
      <c r="MFQ83" s="143"/>
      <c r="MFR83" s="143"/>
      <c r="MFS83" s="143"/>
      <c r="MFT83" s="143"/>
      <c r="MFU83" s="143"/>
      <c r="MFV83" s="143"/>
      <c r="MFW83" s="143"/>
      <c r="MFX83" s="143"/>
      <c r="MFY83" s="143"/>
      <c r="MFZ83" s="143"/>
      <c r="MGA83" s="143"/>
      <c r="MGB83" s="143"/>
      <c r="MGC83" s="143"/>
      <c r="MGD83" s="143"/>
      <c r="MGE83" s="143"/>
      <c r="MGF83" s="143"/>
      <c r="MGG83" s="143"/>
      <c r="MGH83" s="143"/>
      <c r="MGI83" s="143"/>
      <c r="MGJ83" s="143"/>
      <c r="MGK83" s="143"/>
      <c r="MGL83" s="143"/>
      <c r="MGM83" s="143"/>
      <c r="MGN83" s="143"/>
      <c r="MGO83" s="143"/>
      <c r="MGP83" s="143"/>
      <c r="MGQ83" s="143"/>
      <c r="MGR83" s="143"/>
      <c r="MGS83" s="143"/>
      <c r="MGT83" s="143"/>
      <c r="MGU83" s="143"/>
      <c r="MGV83" s="143"/>
      <c r="MGW83" s="143"/>
      <c r="MGX83" s="143"/>
      <c r="MGY83" s="143"/>
      <c r="MGZ83" s="143"/>
      <c r="MHA83" s="143"/>
      <c r="MHB83" s="143"/>
      <c r="MHC83" s="143"/>
      <c r="MHD83" s="143"/>
      <c r="MHE83" s="143"/>
      <c r="MHF83" s="143"/>
      <c r="MHG83" s="143"/>
      <c r="MHH83" s="143"/>
      <c r="MHI83" s="143"/>
      <c r="MHJ83" s="143"/>
      <c r="MHK83" s="143"/>
      <c r="MHL83" s="143"/>
      <c r="MHM83" s="143"/>
      <c r="MHN83" s="143"/>
      <c r="MHO83" s="143"/>
      <c r="MHP83" s="143"/>
      <c r="MHQ83" s="143"/>
      <c r="MHR83" s="143"/>
      <c r="MHS83" s="143"/>
      <c r="MHT83" s="143"/>
      <c r="MHU83" s="143"/>
      <c r="MHV83" s="143"/>
      <c r="MHW83" s="143"/>
      <c r="MHX83" s="143"/>
      <c r="MHY83" s="143"/>
      <c r="MHZ83" s="143"/>
      <c r="MIA83" s="143"/>
      <c r="MIB83" s="143"/>
      <c r="MIC83" s="143"/>
      <c r="MID83" s="143"/>
      <c r="MIE83" s="143"/>
      <c r="MIF83" s="143"/>
      <c r="MIG83" s="143"/>
      <c r="MIH83" s="143"/>
      <c r="MII83" s="143"/>
      <c r="MIJ83" s="143"/>
      <c r="MIK83" s="143"/>
      <c r="MIL83" s="143"/>
      <c r="MIM83" s="143"/>
      <c r="MIN83" s="143"/>
      <c r="MIO83" s="143"/>
      <c r="MIP83" s="143"/>
      <c r="MIQ83" s="143"/>
      <c r="MIR83" s="143"/>
      <c r="MIS83" s="143"/>
      <c r="MIT83" s="143"/>
      <c r="MIU83" s="143"/>
      <c r="MIV83" s="143"/>
      <c r="MIW83" s="143"/>
      <c r="MIX83" s="143"/>
      <c r="MIY83" s="143"/>
      <c r="MIZ83" s="143"/>
      <c r="MJA83" s="143"/>
      <c r="MJB83" s="143"/>
      <c r="MJC83" s="143"/>
      <c r="MJD83" s="143"/>
      <c r="MJE83" s="143"/>
      <c r="MJF83" s="143"/>
      <c r="MJG83" s="143"/>
      <c r="MJH83" s="143"/>
      <c r="MJI83" s="143"/>
      <c r="MJJ83" s="143"/>
      <c r="MJK83" s="143"/>
      <c r="MJL83" s="143"/>
      <c r="MJM83" s="143"/>
      <c r="MJN83" s="143"/>
      <c r="MJO83" s="143"/>
      <c r="MJP83" s="143"/>
      <c r="MJQ83" s="143"/>
      <c r="MJR83" s="143"/>
      <c r="MJS83" s="143"/>
      <c r="MJT83" s="143"/>
      <c r="MJU83" s="143"/>
      <c r="MJV83" s="143"/>
      <c r="MJW83" s="143"/>
      <c r="MJX83" s="143"/>
      <c r="MJY83" s="143"/>
      <c r="MJZ83" s="143"/>
      <c r="MKA83" s="143"/>
      <c r="MKB83" s="143"/>
      <c r="MKC83" s="143"/>
      <c r="MKD83" s="143"/>
      <c r="MKE83" s="143"/>
      <c r="MKF83" s="143"/>
      <c r="MKG83" s="143"/>
      <c r="MKH83" s="143"/>
      <c r="MKI83" s="143"/>
      <c r="MKJ83" s="143"/>
      <c r="MKK83" s="143"/>
      <c r="MKL83" s="143"/>
      <c r="MKM83" s="143"/>
      <c r="MKN83" s="143"/>
      <c r="MKO83" s="143"/>
      <c r="MKP83" s="143"/>
      <c r="MKQ83" s="143"/>
      <c r="MKR83" s="143"/>
      <c r="MKS83" s="143"/>
      <c r="MKT83" s="143"/>
      <c r="MKU83" s="143"/>
      <c r="MKV83" s="143"/>
      <c r="MKW83" s="143"/>
      <c r="MKX83" s="143"/>
      <c r="MKY83" s="143"/>
      <c r="MKZ83" s="143"/>
      <c r="MLA83" s="143"/>
      <c r="MLB83" s="143"/>
      <c r="MLC83" s="143"/>
      <c r="MLD83" s="143"/>
      <c r="MLE83" s="143"/>
      <c r="MLF83" s="143"/>
      <c r="MLG83" s="143"/>
      <c r="MLH83" s="143"/>
      <c r="MLI83" s="143"/>
      <c r="MLJ83" s="143"/>
      <c r="MLK83" s="143"/>
      <c r="MLL83" s="143"/>
      <c r="MLM83" s="143"/>
      <c r="MLN83" s="143"/>
      <c r="MLO83" s="143"/>
      <c r="MLP83" s="143"/>
      <c r="MLQ83" s="143"/>
      <c r="MLR83" s="143"/>
      <c r="MLS83" s="143"/>
      <c r="MLT83" s="143"/>
      <c r="MLU83" s="143"/>
      <c r="MLV83" s="143"/>
      <c r="MLW83" s="143"/>
      <c r="MLX83" s="143"/>
      <c r="MLY83" s="143"/>
      <c r="MLZ83" s="143"/>
      <c r="MMA83" s="143"/>
      <c r="MMB83" s="143"/>
      <c r="MMC83" s="143"/>
      <c r="MMD83" s="143"/>
      <c r="MME83" s="143"/>
      <c r="MMF83" s="143"/>
      <c r="MMG83" s="143"/>
      <c r="MMH83" s="143"/>
      <c r="MMI83" s="143"/>
      <c r="MMJ83" s="143"/>
      <c r="MMK83" s="143"/>
      <c r="MML83" s="143"/>
      <c r="MMM83" s="143"/>
      <c r="MMN83" s="143"/>
      <c r="MMO83" s="143"/>
      <c r="MMP83" s="143"/>
      <c r="MMQ83" s="143"/>
      <c r="MMR83" s="143"/>
      <c r="MMS83" s="143"/>
      <c r="MMT83" s="143"/>
      <c r="MMU83" s="143"/>
      <c r="MMV83" s="143"/>
      <c r="MMW83" s="143"/>
      <c r="MMX83" s="143"/>
      <c r="MMY83" s="143"/>
      <c r="MMZ83" s="143"/>
      <c r="MNA83" s="143"/>
      <c r="MNB83" s="143"/>
      <c r="MNC83" s="143"/>
      <c r="MND83" s="143"/>
      <c r="MNE83" s="143"/>
      <c r="MNF83" s="143"/>
      <c r="MNG83" s="143"/>
      <c r="MNH83" s="143"/>
      <c r="MNI83" s="143"/>
      <c r="MNJ83" s="143"/>
      <c r="MNK83" s="143"/>
      <c r="MNL83" s="143"/>
      <c r="MNM83" s="143"/>
      <c r="MNN83" s="143"/>
      <c r="MNO83" s="143"/>
      <c r="MNP83" s="143"/>
      <c r="MNQ83" s="143"/>
      <c r="MNR83" s="143"/>
      <c r="MNS83" s="143"/>
      <c r="MNT83" s="143"/>
      <c r="MNU83" s="143"/>
      <c r="MNV83" s="143"/>
      <c r="MNW83" s="143"/>
      <c r="MNX83" s="143"/>
      <c r="MNY83" s="143"/>
      <c r="MNZ83" s="143"/>
      <c r="MOA83" s="143"/>
      <c r="MOB83" s="143"/>
      <c r="MOC83" s="143"/>
      <c r="MOD83" s="143"/>
      <c r="MOE83" s="143"/>
      <c r="MOF83" s="143"/>
      <c r="MOG83" s="143"/>
      <c r="MOH83" s="143"/>
      <c r="MOI83" s="143"/>
      <c r="MOJ83" s="143"/>
      <c r="MOK83" s="143"/>
      <c r="MOL83" s="143"/>
      <c r="MOM83" s="143"/>
      <c r="MON83" s="143"/>
      <c r="MOO83" s="143"/>
      <c r="MOP83" s="143"/>
      <c r="MOQ83" s="143"/>
      <c r="MOR83" s="143"/>
      <c r="MOS83" s="143"/>
      <c r="MOT83" s="143"/>
      <c r="MOU83" s="143"/>
      <c r="MOV83" s="143"/>
      <c r="MOW83" s="143"/>
      <c r="MOX83" s="143"/>
      <c r="MOY83" s="143"/>
      <c r="MOZ83" s="143"/>
      <c r="MPA83" s="143"/>
      <c r="MPB83" s="143"/>
      <c r="MPC83" s="143"/>
      <c r="MPD83" s="143"/>
      <c r="MPE83" s="143"/>
      <c r="MPF83" s="143"/>
      <c r="MPG83" s="143"/>
      <c r="MPH83" s="143"/>
      <c r="MPI83" s="143"/>
      <c r="MPJ83" s="143"/>
      <c r="MPK83" s="143"/>
      <c r="MPL83" s="143"/>
      <c r="MPM83" s="143"/>
      <c r="MPN83" s="143"/>
      <c r="MPO83" s="143"/>
      <c r="MPP83" s="143"/>
      <c r="MPQ83" s="143"/>
      <c r="MPR83" s="143"/>
      <c r="MPS83" s="143"/>
      <c r="MPT83" s="143"/>
      <c r="MPU83" s="143"/>
      <c r="MPV83" s="143"/>
      <c r="MPW83" s="143"/>
      <c r="MPX83" s="143"/>
      <c r="MPY83" s="143"/>
      <c r="MPZ83" s="143"/>
      <c r="MQA83" s="143"/>
      <c r="MQB83" s="143"/>
      <c r="MQC83" s="143"/>
      <c r="MQD83" s="143"/>
      <c r="MQE83" s="143"/>
      <c r="MQF83" s="143"/>
      <c r="MQG83" s="143"/>
      <c r="MQH83" s="143"/>
      <c r="MQI83" s="143"/>
      <c r="MQJ83" s="143"/>
      <c r="MQK83" s="143"/>
      <c r="MQL83" s="143"/>
      <c r="MQM83" s="143"/>
      <c r="MQN83" s="143"/>
      <c r="MQO83" s="143"/>
      <c r="MQP83" s="143"/>
      <c r="MQQ83" s="143"/>
      <c r="MQR83" s="143"/>
      <c r="MQS83" s="143"/>
      <c r="MQT83" s="143"/>
      <c r="MQU83" s="143"/>
      <c r="MQV83" s="143"/>
      <c r="MQW83" s="143"/>
      <c r="MQX83" s="143"/>
      <c r="MQY83" s="143"/>
      <c r="MQZ83" s="143"/>
      <c r="MRA83" s="143"/>
      <c r="MRB83" s="143"/>
      <c r="MRC83" s="143"/>
      <c r="MRD83" s="143"/>
      <c r="MRE83" s="143"/>
      <c r="MRF83" s="143"/>
      <c r="MRG83" s="143"/>
      <c r="MRH83" s="143"/>
      <c r="MRI83" s="143"/>
      <c r="MRJ83" s="143"/>
      <c r="MRK83" s="143"/>
      <c r="MRL83" s="143"/>
      <c r="MRM83" s="143"/>
      <c r="MRN83" s="143"/>
      <c r="MRO83" s="143"/>
      <c r="MRP83" s="143"/>
      <c r="MRQ83" s="143"/>
      <c r="MRR83" s="143"/>
      <c r="MRS83" s="143"/>
      <c r="MRT83" s="143"/>
      <c r="MRU83" s="143"/>
      <c r="MRV83" s="143"/>
      <c r="MRW83" s="143"/>
      <c r="MRX83" s="143"/>
      <c r="MRY83" s="143"/>
      <c r="MRZ83" s="143"/>
      <c r="MSA83" s="143"/>
      <c r="MSB83" s="143"/>
      <c r="MSC83" s="143"/>
      <c r="MSD83" s="143"/>
      <c r="MSE83" s="143"/>
      <c r="MSF83" s="143"/>
      <c r="MSG83" s="143"/>
      <c r="MSH83" s="143"/>
      <c r="MSI83" s="143"/>
      <c r="MSJ83" s="143"/>
      <c r="MSK83" s="143"/>
      <c r="MSL83" s="143"/>
      <c r="MSM83" s="143"/>
      <c r="MSN83" s="143"/>
      <c r="MSO83" s="143"/>
      <c r="MSP83" s="143"/>
      <c r="MSQ83" s="143"/>
      <c r="MSR83" s="143"/>
      <c r="MSS83" s="143"/>
      <c r="MST83" s="143"/>
      <c r="MSU83" s="143"/>
      <c r="MSV83" s="143"/>
      <c r="MSW83" s="143"/>
      <c r="MSX83" s="143"/>
      <c r="MSY83" s="143"/>
      <c r="MSZ83" s="143"/>
      <c r="MTA83" s="143"/>
      <c r="MTB83" s="143"/>
      <c r="MTC83" s="143"/>
      <c r="MTD83" s="143"/>
      <c r="MTE83" s="143"/>
      <c r="MTF83" s="143"/>
      <c r="MTG83" s="143"/>
      <c r="MTH83" s="143"/>
      <c r="MTI83" s="143"/>
      <c r="MTJ83" s="143"/>
      <c r="MTK83" s="143"/>
      <c r="MTL83" s="143"/>
      <c r="MTM83" s="143"/>
      <c r="MTN83" s="143"/>
      <c r="MTO83" s="143"/>
      <c r="MTP83" s="143"/>
      <c r="MTQ83" s="143"/>
      <c r="MTR83" s="143"/>
      <c r="MTS83" s="143"/>
      <c r="MTT83" s="143"/>
      <c r="MTU83" s="143"/>
      <c r="MTV83" s="143"/>
      <c r="MTW83" s="143"/>
      <c r="MTX83" s="143"/>
      <c r="MTY83" s="143"/>
      <c r="MTZ83" s="143"/>
      <c r="MUA83" s="143"/>
      <c r="MUB83" s="143"/>
      <c r="MUC83" s="143"/>
      <c r="MUD83" s="143"/>
      <c r="MUE83" s="143"/>
      <c r="MUF83" s="143"/>
      <c r="MUG83" s="143"/>
      <c r="MUH83" s="143"/>
      <c r="MUI83" s="143"/>
      <c r="MUJ83" s="143"/>
      <c r="MUK83" s="143"/>
      <c r="MUL83" s="143"/>
      <c r="MUM83" s="143"/>
      <c r="MUN83" s="143"/>
      <c r="MUO83" s="143"/>
      <c r="MUP83" s="143"/>
      <c r="MUQ83" s="143"/>
      <c r="MUR83" s="143"/>
      <c r="MUS83" s="143"/>
      <c r="MUT83" s="143"/>
      <c r="MUU83" s="143"/>
      <c r="MUV83" s="143"/>
      <c r="MUW83" s="143"/>
      <c r="MUX83" s="143"/>
      <c r="MUY83" s="143"/>
      <c r="MUZ83" s="143"/>
      <c r="MVA83" s="143"/>
      <c r="MVB83" s="143"/>
      <c r="MVC83" s="143"/>
      <c r="MVD83" s="143"/>
      <c r="MVE83" s="143"/>
      <c r="MVF83" s="143"/>
      <c r="MVG83" s="143"/>
      <c r="MVH83" s="143"/>
      <c r="MVI83" s="143"/>
      <c r="MVJ83" s="143"/>
      <c r="MVK83" s="143"/>
      <c r="MVL83" s="143"/>
      <c r="MVM83" s="143"/>
      <c r="MVN83" s="143"/>
      <c r="MVO83" s="143"/>
      <c r="MVP83" s="143"/>
      <c r="MVQ83" s="143"/>
      <c r="MVR83" s="143"/>
      <c r="MVS83" s="143"/>
      <c r="MVT83" s="143"/>
      <c r="MVU83" s="143"/>
      <c r="MVV83" s="143"/>
      <c r="MVW83" s="143"/>
      <c r="MVX83" s="143"/>
      <c r="MVY83" s="143"/>
      <c r="MVZ83" s="143"/>
      <c r="MWA83" s="143"/>
      <c r="MWB83" s="143"/>
      <c r="MWC83" s="143"/>
      <c r="MWD83" s="143"/>
      <c r="MWE83" s="143"/>
      <c r="MWF83" s="143"/>
      <c r="MWG83" s="143"/>
      <c r="MWH83" s="143"/>
      <c r="MWI83" s="143"/>
      <c r="MWJ83" s="143"/>
      <c r="MWK83" s="143"/>
      <c r="MWL83" s="143"/>
      <c r="MWM83" s="143"/>
      <c r="MWN83" s="143"/>
      <c r="MWO83" s="143"/>
      <c r="MWP83" s="143"/>
      <c r="MWQ83" s="143"/>
      <c r="MWR83" s="143"/>
      <c r="MWS83" s="143"/>
      <c r="MWT83" s="143"/>
      <c r="MWU83" s="143"/>
      <c r="MWV83" s="143"/>
      <c r="MWW83" s="143"/>
      <c r="MWX83" s="143"/>
      <c r="MWY83" s="143"/>
      <c r="MWZ83" s="143"/>
      <c r="MXA83" s="143"/>
      <c r="MXB83" s="143"/>
      <c r="MXC83" s="143"/>
      <c r="MXD83" s="143"/>
      <c r="MXE83" s="143"/>
      <c r="MXF83" s="143"/>
      <c r="MXG83" s="143"/>
      <c r="MXH83" s="143"/>
      <c r="MXI83" s="143"/>
      <c r="MXJ83" s="143"/>
      <c r="MXK83" s="143"/>
      <c r="MXL83" s="143"/>
      <c r="MXM83" s="143"/>
      <c r="MXN83" s="143"/>
      <c r="MXO83" s="143"/>
      <c r="MXP83" s="143"/>
      <c r="MXQ83" s="143"/>
      <c r="MXR83" s="143"/>
      <c r="MXS83" s="143"/>
      <c r="MXT83" s="143"/>
      <c r="MXU83" s="143"/>
      <c r="MXV83" s="143"/>
      <c r="MXW83" s="143"/>
      <c r="MXX83" s="143"/>
      <c r="MXY83" s="143"/>
      <c r="MXZ83" s="143"/>
      <c r="MYA83" s="143"/>
      <c r="MYB83" s="143"/>
      <c r="MYC83" s="143"/>
      <c r="MYD83" s="143"/>
      <c r="MYE83" s="143"/>
      <c r="MYF83" s="143"/>
      <c r="MYG83" s="143"/>
      <c r="MYH83" s="143"/>
      <c r="MYI83" s="143"/>
      <c r="MYJ83" s="143"/>
      <c r="MYK83" s="143"/>
      <c r="MYL83" s="143"/>
      <c r="MYM83" s="143"/>
      <c r="MYN83" s="143"/>
      <c r="MYO83" s="143"/>
      <c r="MYP83" s="143"/>
      <c r="MYQ83" s="143"/>
      <c r="MYR83" s="143"/>
      <c r="MYS83" s="143"/>
      <c r="MYT83" s="143"/>
      <c r="MYU83" s="143"/>
      <c r="MYV83" s="143"/>
      <c r="MYW83" s="143"/>
      <c r="MYX83" s="143"/>
      <c r="MYY83" s="143"/>
      <c r="MYZ83" s="143"/>
      <c r="MZA83" s="143"/>
      <c r="MZB83" s="143"/>
      <c r="MZC83" s="143"/>
      <c r="MZD83" s="143"/>
      <c r="MZE83" s="143"/>
      <c r="MZF83" s="143"/>
      <c r="MZG83" s="143"/>
      <c r="MZH83" s="143"/>
      <c r="MZI83" s="143"/>
      <c r="MZJ83" s="143"/>
      <c r="MZK83" s="143"/>
      <c r="MZL83" s="143"/>
      <c r="MZM83" s="143"/>
      <c r="MZN83" s="143"/>
      <c r="MZO83" s="143"/>
      <c r="MZP83" s="143"/>
      <c r="MZQ83" s="143"/>
      <c r="MZR83" s="143"/>
      <c r="MZS83" s="143"/>
      <c r="MZT83" s="143"/>
      <c r="MZU83" s="143"/>
      <c r="MZV83" s="143"/>
      <c r="MZW83" s="143"/>
      <c r="MZX83" s="143"/>
      <c r="MZY83" s="143"/>
      <c r="MZZ83" s="143"/>
      <c r="NAA83" s="143"/>
      <c r="NAB83" s="143"/>
      <c r="NAC83" s="143"/>
      <c r="NAD83" s="143"/>
      <c r="NAE83" s="143"/>
      <c r="NAF83" s="143"/>
      <c r="NAG83" s="143"/>
      <c r="NAH83" s="143"/>
      <c r="NAI83" s="143"/>
      <c r="NAJ83" s="143"/>
      <c r="NAK83" s="143"/>
      <c r="NAL83" s="143"/>
      <c r="NAM83" s="143"/>
      <c r="NAN83" s="143"/>
      <c r="NAO83" s="143"/>
      <c r="NAP83" s="143"/>
      <c r="NAQ83" s="143"/>
      <c r="NAR83" s="143"/>
      <c r="NAS83" s="143"/>
      <c r="NAT83" s="143"/>
      <c r="NAU83" s="143"/>
      <c r="NAV83" s="143"/>
      <c r="NAW83" s="143"/>
      <c r="NAX83" s="143"/>
      <c r="NAY83" s="143"/>
      <c r="NAZ83" s="143"/>
      <c r="NBA83" s="143"/>
      <c r="NBB83" s="143"/>
      <c r="NBC83" s="143"/>
      <c r="NBD83" s="143"/>
      <c r="NBE83" s="143"/>
      <c r="NBF83" s="143"/>
      <c r="NBG83" s="143"/>
      <c r="NBH83" s="143"/>
      <c r="NBI83" s="143"/>
      <c r="NBJ83" s="143"/>
      <c r="NBK83" s="143"/>
      <c r="NBL83" s="143"/>
      <c r="NBM83" s="143"/>
      <c r="NBN83" s="143"/>
      <c r="NBO83" s="143"/>
      <c r="NBP83" s="143"/>
      <c r="NBQ83" s="143"/>
      <c r="NBR83" s="143"/>
      <c r="NBS83" s="143"/>
      <c r="NBT83" s="143"/>
      <c r="NBU83" s="143"/>
      <c r="NBV83" s="143"/>
      <c r="NBW83" s="143"/>
      <c r="NBX83" s="143"/>
      <c r="NBY83" s="143"/>
      <c r="NBZ83" s="143"/>
      <c r="NCA83" s="143"/>
      <c r="NCB83" s="143"/>
      <c r="NCC83" s="143"/>
      <c r="NCD83" s="143"/>
      <c r="NCE83" s="143"/>
      <c r="NCF83" s="143"/>
      <c r="NCG83" s="143"/>
      <c r="NCH83" s="143"/>
      <c r="NCI83" s="143"/>
      <c r="NCJ83" s="143"/>
      <c r="NCK83" s="143"/>
      <c r="NCL83" s="143"/>
      <c r="NCM83" s="143"/>
      <c r="NCN83" s="143"/>
      <c r="NCO83" s="143"/>
      <c r="NCP83" s="143"/>
      <c r="NCQ83" s="143"/>
      <c r="NCR83" s="143"/>
      <c r="NCS83" s="143"/>
      <c r="NCT83" s="143"/>
      <c r="NCU83" s="143"/>
      <c r="NCV83" s="143"/>
      <c r="NCW83" s="143"/>
      <c r="NCX83" s="143"/>
      <c r="NCY83" s="143"/>
      <c r="NCZ83" s="143"/>
      <c r="NDA83" s="143"/>
      <c r="NDB83" s="143"/>
      <c r="NDC83" s="143"/>
      <c r="NDD83" s="143"/>
      <c r="NDE83" s="143"/>
      <c r="NDF83" s="143"/>
      <c r="NDG83" s="143"/>
      <c r="NDH83" s="143"/>
      <c r="NDI83" s="143"/>
      <c r="NDJ83" s="143"/>
      <c r="NDK83" s="143"/>
      <c r="NDL83" s="143"/>
      <c r="NDM83" s="143"/>
      <c r="NDN83" s="143"/>
      <c r="NDO83" s="143"/>
      <c r="NDP83" s="143"/>
      <c r="NDQ83" s="143"/>
      <c r="NDR83" s="143"/>
      <c r="NDS83" s="143"/>
      <c r="NDT83" s="143"/>
      <c r="NDU83" s="143"/>
      <c r="NDV83" s="143"/>
      <c r="NDW83" s="143"/>
      <c r="NDX83" s="143"/>
      <c r="NDY83" s="143"/>
      <c r="NDZ83" s="143"/>
      <c r="NEA83" s="143"/>
      <c r="NEB83" s="143"/>
      <c r="NEC83" s="143"/>
      <c r="NED83" s="143"/>
      <c r="NEE83" s="143"/>
      <c r="NEF83" s="143"/>
      <c r="NEG83" s="143"/>
      <c r="NEH83" s="143"/>
      <c r="NEI83" s="143"/>
      <c r="NEJ83" s="143"/>
      <c r="NEK83" s="143"/>
      <c r="NEL83" s="143"/>
      <c r="NEM83" s="143"/>
      <c r="NEN83" s="143"/>
      <c r="NEO83" s="143"/>
      <c r="NEP83" s="143"/>
      <c r="NEQ83" s="143"/>
      <c r="NER83" s="143"/>
      <c r="NES83" s="143"/>
      <c r="NET83" s="143"/>
      <c r="NEU83" s="143"/>
      <c r="NEV83" s="143"/>
      <c r="NEW83" s="143"/>
      <c r="NEX83" s="143"/>
      <c r="NEY83" s="143"/>
      <c r="NEZ83" s="143"/>
      <c r="NFA83" s="143"/>
      <c r="NFB83" s="143"/>
      <c r="NFC83" s="143"/>
      <c r="NFD83" s="143"/>
      <c r="NFE83" s="143"/>
      <c r="NFF83" s="143"/>
      <c r="NFG83" s="143"/>
      <c r="NFH83" s="143"/>
      <c r="NFI83" s="143"/>
      <c r="NFJ83" s="143"/>
      <c r="NFK83" s="143"/>
      <c r="NFL83" s="143"/>
      <c r="NFM83" s="143"/>
      <c r="NFN83" s="143"/>
      <c r="NFO83" s="143"/>
      <c r="NFP83" s="143"/>
      <c r="NFQ83" s="143"/>
      <c r="NFR83" s="143"/>
      <c r="NFS83" s="143"/>
      <c r="NFT83" s="143"/>
      <c r="NFU83" s="143"/>
      <c r="NFV83" s="143"/>
      <c r="NFW83" s="143"/>
      <c r="NFX83" s="143"/>
      <c r="NFY83" s="143"/>
      <c r="NFZ83" s="143"/>
      <c r="NGA83" s="143"/>
      <c r="NGB83" s="143"/>
      <c r="NGC83" s="143"/>
      <c r="NGD83" s="143"/>
      <c r="NGE83" s="143"/>
      <c r="NGF83" s="143"/>
      <c r="NGG83" s="143"/>
      <c r="NGH83" s="143"/>
      <c r="NGI83" s="143"/>
      <c r="NGJ83" s="143"/>
      <c r="NGK83" s="143"/>
      <c r="NGL83" s="143"/>
      <c r="NGM83" s="143"/>
      <c r="NGN83" s="143"/>
      <c r="NGO83" s="143"/>
      <c r="NGP83" s="143"/>
      <c r="NGQ83" s="143"/>
      <c r="NGR83" s="143"/>
      <c r="NGS83" s="143"/>
      <c r="NGT83" s="143"/>
      <c r="NGU83" s="143"/>
      <c r="NGV83" s="143"/>
      <c r="NGW83" s="143"/>
      <c r="NGX83" s="143"/>
      <c r="NGY83" s="143"/>
      <c r="NGZ83" s="143"/>
      <c r="NHA83" s="143"/>
      <c r="NHB83" s="143"/>
      <c r="NHC83" s="143"/>
      <c r="NHD83" s="143"/>
      <c r="NHE83" s="143"/>
      <c r="NHF83" s="143"/>
      <c r="NHG83" s="143"/>
      <c r="NHH83" s="143"/>
      <c r="NHI83" s="143"/>
      <c r="NHJ83" s="143"/>
      <c r="NHK83" s="143"/>
      <c r="NHL83" s="143"/>
      <c r="NHM83" s="143"/>
      <c r="NHN83" s="143"/>
      <c r="NHO83" s="143"/>
      <c r="NHP83" s="143"/>
      <c r="NHQ83" s="143"/>
      <c r="NHR83" s="143"/>
      <c r="NHS83" s="143"/>
      <c r="NHT83" s="143"/>
      <c r="NHU83" s="143"/>
      <c r="NHV83" s="143"/>
      <c r="NHW83" s="143"/>
      <c r="NHX83" s="143"/>
      <c r="NHY83" s="143"/>
      <c r="NHZ83" s="143"/>
      <c r="NIA83" s="143"/>
      <c r="NIB83" s="143"/>
      <c r="NIC83" s="143"/>
      <c r="NID83" s="143"/>
      <c r="NIE83" s="143"/>
      <c r="NIF83" s="143"/>
      <c r="NIG83" s="143"/>
      <c r="NIH83" s="143"/>
      <c r="NII83" s="143"/>
      <c r="NIJ83" s="143"/>
      <c r="NIK83" s="143"/>
      <c r="NIL83" s="143"/>
      <c r="NIM83" s="143"/>
      <c r="NIN83" s="143"/>
      <c r="NIO83" s="143"/>
      <c r="NIP83" s="143"/>
      <c r="NIQ83" s="143"/>
      <c r="NIR83" s="143"/>
      <c r="NIS83" s="143"/>
      <c r="NIT83" s="143"/>
      <c r="NIU83" s="143"/>
      <c r="NIV83" s="143"/>
      <c r="NIW83" s="143"/>
      <c r="NIX83" s="143"/>
      <c r="NIY83" s="143"/>
      <c r="NIZ83" s="143"/>
      <c r="NJA83" s="143"/>
      <c r="NJB83" s="143"/>
      <c r="NJC83" s="143"/>
      <c r="NJD83" s="143"/>
      <c r="NJE83" s="143"/>
      <c r="NJF83" s="143"/>
      <c r="NJG83" s="143"/>
      <c r="NJH83" s="143"/>
      <c r="NJI83" s="143"/>
      <c r="NJJ83" s="143"/>
      <c r="NJK83" s="143"/>
      <c r="NJL83" s="143"/>
      <c r="NJM83" s="143"/>
      <c r="NJN83" s="143"/>
      <c r="NJO83" s="143"/>
      <c r="NJP83" s="143"/>
      <c r="NJQ83" s="143"/>
      <c r="NJR83" s="143"/>
      <c r="NJS83" s="143"/>
      <c r="NJT83" s="143"/>
      <c r="NJU83" s="143"/>
      <c r="NJV83" s="143"/>
      <c r="NJW83" s="143"/>
      <c r="NJX83" s="143"/>
      <c r="NJY83" s="143"/>
      <c r="NJZ83" s="143"/>
      <c r="NKA83" s="143"/>
      <c r="NKB83" s="143"/>
      <c r="NKC83" s="143"/>
      <c r="NKD83" s="143"/>
      <c r="NKE83" s="143"/>
      <c r="NKF83" s="143"/>
      <c r="NKG83" s="143"/>
      <c r="NKH83" s="143"/>
      <c r="NKI83" s="143"/>
      <c r="NKJ83" s="143"/>
      <c r="NKK83" s="143"/>
      <c r="NKL83" s="143"/>
      <c r="NKM83" s="143"/>
      <c r="NKN83" s="143"/>
      <c r="NKO83" s="143"/>
      <c r="NKP83" s="143"/>
      <c r="NKQ83" s="143"/>
      <c r="NKR83" s="143"/>
      <c r="NKS83" s="143"/>
      <c r="NKT83" s="143"/>
      <c r="NKU83" s="143"/>
      <c r="NKV83" s="143"/>
      <c r="NKW83" s="143"/>
      <c r="NKX83" s="143"/>
      <c r="NKY83" s="143"/>
      <c r="NKZ83" s="143"/>
      <c r="NLA83" s="143"/>
      <c r="NLB83" s="143"/>
      <c r="NLC83" s="143"/>
      <c r="NLD83" s="143"/>
      <c r="NLE83" s="143"/>
      <c r="NLF83" s="143"/>
      <c r="NLG83" s="143"/>
      <c r="NLH83" s="143"/>
      <c r="NLI83" s="143"/>
      <c r="NLJ83" s="143"/>
      <c r="NLK83" s="143"/>
      <c r="NLL83" s="143"/>
      <c r="NLM83" s="143"/>
      <c r="NLN83" s="143"/>
      <c r="NLO83" s="143"/>
      <c r="NLP83" s="143"/>
      <c r="NLQ83" s="143"/>
      <c r="NLR83" s="143"/>
      <c r="NLS83" s="143"/>
      <c r="NLT83" s="143"/>
      <c r="NLU83" s="143"/>
      <c r="NLV83" s="143"/>
      <c r="NLW83" s="143"/>
      <c r="NLX83" s="143"/>
      <c r="NLY83" s="143"/>
      <c r="NLZ83" s="143"/>
      <c r="NMA83" s="143"/>
      <c r="NMB83" s="143"/>
      <c r="NMC83" s="143"/>
      <c r="NMD83" s="143"/>
      <c r="NME83" s="143"/>
      <c r="NMF83" s="143"/>
      <c r="NMG83" s="143"/>
      <c r="NMH83" s="143"/>
      <c r="NMI83" s="143"/>
      <c r="NMJ83" s="143"/>
      <c r="NMK83" s="143"/>
      <c r="NML83" s="143"/>
      <c r="NMM83" s="143"/>
      <c r="NMN83" s="143"/>
      <c r="NMO83" s="143"/>
      <c r="NMP83" s="143"/>
      <c r="NMQ83" s="143"/>
      <c r="NMR83" s="143"/>
      <c r="NMS83" s="143"/>
      <c r="NMT83" s="143"/>
      <c r="NMU83" s="143"/>
      <c r="NMV83" s="143"/>
      <c r="NMW83" s="143"/>
      <c r="NMX83" s="143"/>
      <c r="NMY83" s="143"/>
      <c r="NMZ83" s="143"/>
      <c r="NNA83" s="143"/>
      <c r="NNB83" s="143"/>
      <c r="NNC83" s="143"/>
      <c r="NND83" s="143"/>
      <c r="NNE83" s="143"/>
      <c r="NNF83" s="143"/>
      <c r="NNG83" s="143"/>
      <c r="NNH83" s="143"/>
      <c r="NNI83" s="143"/>
      <c r="NNJ83" s="143"/>
      <c r="NNK83" s="143"/>
      <c r="NNL83" s="143"/>
      <c r="NNM83" s="143"/>
      <c r="NNN83" s="143"/>
      <c r="NNO83" s="143"/>
      <c r="NNP83" s="143"/>
      <c r="NNQ83" s="143"/>
      <c r="NNR83" s="143"/>
      <c r="NNS83" s="143"/>
      <c r="NNT83" s="143"/>
      <c r="NNU83" s="143"/>
      <c r="NNV83" s="143"/>
      <c r="NNW83" s="143"/>
      <c r="NNX83" s="143"/>
      <c r="NNY83" s="143"/>
      <c r="NNZ83" s="143"/>
      <c r="NOA83" s="143"/>
      <c r="NOB83" s="143"/>
      <c r="NOC83" s="143"/>
      <c r="NOD83" s="143"/>
      <c r="NOE83" s="143"/>
      <c r="NOF83" s="143"/>
      <c r="NOG83" s="143"/>
      <c r="NOH83" s="143"/>
      <c r="NOI83" s="143"/>
      <c r="NOJ83" s="143"/>
      <c r="NOK83" s="143"/>
      <c r="NOL83" s="143"/>
      <c r="NOM83" s="143"/>
      <c r="NON83" s="143"/>
      <c r="NOO83" s="143"/>
      <c r="NOP83" s="143"/>
      <c r="NOQ83" s="143"/>
      <c r="NOR83" s="143"/>
      <c r="NOS83" s="143"/>
      <c r="NOT83" s="143"/>
      <c r="NOU83" s="143"/>
      <c r="NOV83" s="143"/>
      <c r="NOW83" s="143"/>
      <c r="NOX83" s="143"/>
      <c r="NOY83" s="143"/>
      <c r="NOZ83" s="143"/>
      <c r="NPA83" s="143"/>
      <c r="NPB83" s="143"/>
      <c r="NPC83" s="143"/>
      <c r="NPD83" s="143"/>
      <c r="NPE83" s="143"/>
      <c r="NPF83" s="143"/>
      <c r="NPG83" s="143"/>
      <c r="NPH83" s="143"/>
      <c r="NPI83" s="143"/>
      <c r="NPJ83" s="143"/>
      <c r="NPK83" s="143"/>
      <c r="NPL83" s="143"/>
      <c r="NPM83" s="143"/>
      <c r="NPN83" s="143"/>
      <c r="NPO83" s="143"/>
      <c r="NPP83" s="143"/>
      <c r="NPQ83" s="143"/>
      <c r="NPR83" s="143"/>
      <c r="NPS83" s="143"/>
      <c r="NPT83" s="143"/>
      <c r="NPU83" s="143"/>
      <c r="NPV83" s="143"/>
      <c r="NPW83" s="143"/>
      <c r="NPX83" s="143"/>
      <c r="NPY83" s="143"/>
      <c r="NPZ83" s="143"/>
      <c r="NQA83" s="143"/>
      <c r="NQB83" s="143"/>
      <c r="NQC83" s="143"/>
      <c r="NQD83" s="143"/>
      <c r="NQE83" s="143"/>
      <c r="NQF83" s="143"/>
      <c r="NQG83" s="143"/>
      <c r="NQH83" s="143"/>
      <c r="NQI83" s="143"/>
      <c r="NQJ83" s="143"/>
      <c r="NQK83" s="143"/>
      <c r="NQL83" s="143"/>
      <c r="NQM83" s="143"/>
      <c r="NQN83" s="143"/>
      <c r="NQO83" s="143"/>
      <c r="NQP83" s="143"/>
      <c r="NQQ83" s="143"/>
      <c r="NQR83" s="143"/>
      <c r="NQS83" s="143"/>
      <c r="NQT83" s="143"/>
      <c r="NQU83" s="143"/>
      <c r="NQV83" s="143"/>
      <c r="NQW83" s="143"/>
      <c r="NQX83" s="143"/>
      <c r="NQY83" s="143"/>
      <c r="NQZ83" s="143"/>
      <c r="NRA83" s="143"/>
      <c r="NRB83" s="143"/>
      <c r="NRC83" s="143"/>
      <c r="NRD83" s="143"/>
      <c r="NRE83" s="143"/>
      <c r="NRF83" s="143"/>
      <c r="NRG83" s="143"/>
      <c r="NRH83" s="143"/>
      <c r="NRI83" s="143"/>
      <c r="NRJ83" s="143"/>
      <c r="NRK83" s="143"/>
      <c r="NRL83" s="143"/>
      <c r="NRM83" s="143"/>
      <c r="NRN83" s="143"/>
      <c r="NRO83" s="143"/>
      <c r="NRP83" s="143"/>
      <c r="NRQ83" s="143"/>
      <c r="NRR83" s="143"/>
      <c r="NRS83" s="143"/>
      <c r="NRT83" s="143"/>
      <c r="NRU83" s="143"/>
      <c r="NRV83" s="143"/>
      <c r="NRW83" s="143"/>
      <c r="NRX83" s="143"/>
      <c r="NRY83" s="143"/>
      <c r="NRZ83" s="143"/>
      <c r="NSA83" s="143"/>
      <c r="NSB83" s="143"/>
      <c r="NSC83" s="143"/>
      <c r="NSD83" s="143"/>
      <c r="NSE83" s="143"/>
      <c r="NSF83" s="143"/>
      <c r="NSG83" s="143"/>
      <c r="NSH83" s="143"/>
      <c r="NSI83" s="143"/>
      <c r="NSJ83" s="143"/>
      <c r="NSK83" s="143"/>
      <c r="NSL83" s="143"/>
      <c r="NSM83" s="143"/>
      <c r="NSN83" s="143"/>
      <c r="NSO83" s="143"/>
      <c r="NSP83" s="143"/>
      <c r="NSQ83" s="143"/>
      <c r="NSR83" s="143"/>
      <c r="NSS83" s="143"/>
      <c r="NST83" s="143"/>
      <c r="NSU83" s="143"/>
      <c r="NSV83" s="143"/>
      <c r="NSW83" s="143"/>
      <c r="NSX83" s="143"/>
      <c r="NSY83" s="143"/>
      <c r="NSZ83" s="143"/>
      <c r="NTA83" s="143"/>
      <c r="NTB83" s="143"/>
      <c r="NTC83" s="143"/>
      <c r="NTD83" s="143"/>
      <c r="NTE83" s="143"/>
      <c r="NTF83" s="143"/>
      <c r="NTG83" s="143"/>
      <c r="NTH83" s="143"/>
      <c r="NTI83" s="143"/>
      <c r="NTJ83" s="143"/>
      <c r="NTK83" s="143"/>
      <c r="NTL83" s="143"/>
      <c r="NTM83" s="143"/>
      <c r="NTN83" s="143"/>
      <c r="NTO83" s="143"/>
      <c r="NTP83" s="143"/>
      <c r="NTQ83" s="143"/>
      <c r="NTR83" s="143"/>
      <c r="NTS83" s="143"/>
      <c r="NTT83" s="143"/>
      <c r="NTU83" s="143"/>
      <c r="NTV83" s="143"/>
      <c r="NTW83" s="143"/>
      <c r="NTX83" s="143"/>
      <c r="NTY83" s="143"/>
      <c r="NTZ83" s="143"/>
      <c r="NUA83" s="143"/>
      <c r="NUB83" s="143"/>
      <c r="NUC83" s="143"/>
      <c r="NUD83" s="143"/>
      <c r="NUE83" s="143"/>
      <c r="NUF83" s="143"/>
      <c r="NUG83" s="143"/>
      <c r="NUH83" s="143"/>
      <c r="NUI83" s="143"/>
      <c r="NUJ83" s="143"/>
      <c r="NUK83" s="143"/>
      <c r="NUL83" s="143"/>
      <c r="NUM83" s="143"/>
      <c r="NUN83" s="143"/>
      <c r="NUO83" s="143"/>
      <c r="NUP83" s="143"/>
      <c r="NUQ83" s="143"/>
      <c r="NUR83" s="143"/>
      <c r="NUS83" s="143"/>
      <c r="NUT83" s="143"/>
      <c r="NUU83" s="143"/>
      <c r="NUV83" s="143"/>
      <c r="NUW83" s="143"/>
      <c r="NUX83" s="143"/>
      <c r="NUY83" s="143"/>
      <c r="NUZ83" s="143"/>
      <c r="NVA83" s="143"/>
      <c r="NVB83" s="143"/>
      <c r="NVC83" s="143"/>
      <c r="NVD83" s="143"/>
      <c r="NVE83" s="143"/>
      <c r="NVF83" s="143"/>
      <c r="NVG83" s="143"/>
      <c r="NVH83" s="143"/>
      <c r="NVI83" s="143"/>
      <c r="NVJ83" s="143"/>
      <c r="NVK83" s="143"/>
      <c r="NVL83" s="143"/>
      <c r="NVM83" s="143"/>
      <c r="NVN83" s="143"/>
      <c r="NVO83" s="143"/>
      <c r="NVP83" s="143"/>
      <c r="NVQ83" s="143"/>
      <c r="NVR83" s="143"/>
      <c r="NVS83" s="143"/>
      <c r="NVT83" s="143"/>
      <c r="NVU83" s="143"/>
      <c r="NVV83" s="143"/>
      <c r="NVW83" s="143"/>
      <c r="NVX83" s="143"/>
      <c r="NVY83" s="143"/>
      <c r="NVZ83" s="143"/>
      <c r="NWA83" s="143"/>
      <c r="NWB83" s="143"/>
      <c r="NWC83" s="143"/>
      <c r="NWD83" s="143"/>
      <c r="NWE83" s="143"/>
      <c r="NWF83" s="143"/>
      <c r="NWG83" s="143"/>
      <c r="NWH83" s="143"/>
      <c r="NWI83" s="143"/>
      <c r="NWJ83" s="143"/>
      <c r="NWK83" s="143"/>
      <c r="NWL83" s="143"/>
      <c r="NWM83" s="143"/>
      <c r="NWN83" s="143"/>
      <c r="NWO83" s="143"/>
      <c r="NWP83" s="143"/>
      <c r="NWQ83" s="143"/>
      <c r="NWR83" s="143"/>
      <c r="NWS83" s="143"/>
      <c r="NWT83" s="143"/>
      <c r="NWU83" s="143"/>
      <c r="NWV83" s="143"/>
      <c r="NWW83" s="143"/>
      <c r="NWX83" s="143"/>
      <c r="NWY83" s="143"/>
      <c r="NWZ83" s="143"/>
      <c r="NXA83" s="143"/>
      <c r="NXB83" s="143"/>
      <c r="NXC83" s="143"/>
      <c r="NXD83" s="143"/>
      <c r="NXE83" s="143"/>
      <c r="NXF83" s="143"/>
      <c r="NXG83" s="143"/>
      <c r="NXH83" s="143"/>
      <c r="NXI83" s="143"/>
      <c r="NXJ83" s="143"/>
      <c r="NXK83" s="143"/>
      <c r="NXL83" s="143"/>
      <c r="NXM83" s="143"/>
      <c r="NXN83" s="143"/>
      <c r="NXO83" s="143"/>
      <c r="NXP83" s="143"/>
      <c r="NXQ83" s="143"/>
      <c r="NXR83" s="143"/>
      <c r="NXS83" s="143"/>
      <c r="NXT83" s="143"/>
      <c r="NXU83" s="143"/>
      <c r="NXV83" s="143"/>
      <c r="NXW83" s="143"/>
      <c r="NXX83" s="143"/>
      <c r="NXY83" s="143"/>
      <c r="NXZ83" s="143"/>
      <c r="NYA83" s="143"/>
      <c r="NYB83" s="143"/>
      <c r="NYC83" s="143"/>
      <c r="NYD83" s="143"/>
      <c r="NYE83" s="143"/>
      <c r="NYF83" s="143"/>
      <c r="NYG83" s="143"/>
      <c r="NYH83" s="143"/>
      <c r="NYI83" s="143"/>
      <c r="NYJ83" s="143"/>
      <c r="NYK83" s="143"/>
      <c r="NYL83" s="143"/>
      <c r="NYM83" s="143"/>
      <c r="NYN83" s="143"/>
      <c r="NYO83" s="143"/>
      <c r="NYP83" s="143"/>
      <c r="NYQ83" s="143"/>
      <c r="NYR83" s="143"/>
      <c r="NYS83" s="143"/>
      <c r="NYT83" s="143"/>
      <c r="NYU83" s="143"/>
      <c r="NYV83" s="143"/>
      <c r="NYW83" s="143"/>
      <c r="NYX83" s="143"/>
      <c r="NYY83" s="143"/>
      <c r="NYZ83" s="143"/>
      <c r="NZA83" s="143"/>
      <c r="NZB83" s="143"/>
      <c r="NZC83" s="143"/>
      <c r="NZD83" s="143"/>
      <c r="NZE83" s="143"/>
      <c r="NZF83" s="143"/>
      <c r="NZG83" s="143"/>
      <c r="NZH83" s="143"/>
      <c r="NZI83" s="143"/>
      <c r="NZJ83" s="143"/>
      <c r="NZK83" s="143"/>
      <c r="NZL83" s="143"/>
      <c r="NZM83" s="143"/>
      <c r="NZN83" s="143"/>
      <c r="NZO83" s="143"/>
      <c r="NZP83" s="143"/>
      <c r="NZQ83" s="143"/>
      <c r="NZR83" s="143"/>
      <c r="NZS83" s="143"/>
      <c r="NZT83" s="143"/>
      <c r="NZU83" s="143"/>
      <c r="NZV83" s="143"/>
      <c r="NZW83" s="143"/>
      <c r="NZX83" s="143"/>
      <c r="NZY83" s="143"/>
      <c r="NZZ83" s="143"/>
      <c r="OAA83" s="143"/>
      <c r="OAB83" s="143"/>
      <c r="OAC83" s="143"/>
      <c r="OAD83" s="143"/>
      <c r="OAE83" s="143"/>
      <c r="OAF83" s="143"/>
      <c r="OAG83" s="143"/>
      <c r="OAH83" s="143"/>
      <c r="OAI83" s="143"/>
      <c r="OAJ83" s="143"/>
      <c r="OAK83" s="143"/>
      <c r="OAL83" s="143"/>
      <c r="OAM83" s="143"/>
      <c r="OAN83" s="143"/>
      <c r="OAO83" s="143"/>
      <c r="OAP83" s="143"/>
      <c r="OAQ83" s="143"/>
      <c r="OAR83" s="143"/>
      <c r="OAS83" s="143"/>
      <c r="OAT83" s="143"/>
      <c r="OAU83" s="143"/>
      <c r="OAV83" s="143"/>
      <c r="OAW83" s="143"/>
      <c r="OAX83" s="143"/>
      <c r="OAY83" s="143"/>
      <c r="OAZ83" s="143"/>
      <c r="OBA83" s="143"/>
      <c r="OBB83" s="143"/>
      <c r="OBC83" s="143"/>
      <c r="OBD83" s="143"/>
      <c r="OBE83" s="143"/>
      <c r="OBF83" s="143"/>
      <c r="OBG83" s="143"/>
      <c r="OBH83" s="143"/>
      <c r="OBI83" s="143"/>
      <c r="OBJ83" s="143"/>
      <c r="OBK83" s="143"/>
      <c r="OBL83" s="143"/>
      <c r="OBM83" s="143"/>
      <c r="OBN83" s="143"/>
      <c r="OBO83" s="143"/>
      <c r="OBP83" s="143"/>
      <c r="OBQ83" s="143"/>
      <c r="OBR83" s="143"/>
      <c r="OBS83" s="143"/>
      <c r="OBT83" s="143"/>
      <c r="OBU83" s="143"/>
      <c r="OBV83" s="143"/>
      <c r="OBW83" s="143"/>
      <c r="OBX83" s="143"/>
      <c r="OBY83" s="143"/>
      <c r="OBZ83" s="143"/>
      <c r="OCA83" s="143"/>
      <c r="OCB83" s="143"/>
      <c r="OCC83" s="143"/>
      <c r="OCD83" s="143"/>
      <c r="OCE83" s="143"/>
      <c r="OCF83" s="143"/>
      <c r="OCG83" s="143"/>
      <c r="OCH83" s="143"/>
      <c r="OCI83" s="143"/>
      <c r="OCJ83" s="143"/>
      <c r="OCK83" s="143"/>
      <c r="OCL83" s="143"/>
      <c r="OCM83" s="143"/>
      <c r="OCN83" s="143"/>
      <c r="OCO83" s="143"/>
      <c r="OCP83" s="143"/>
      <c r="OCQ83" s="143"/>
      <c r="OCR83" s="143"/>
      <c r="OCS83" s="143"/>
      <c r="OCT83" s="143"/>
      <c r="OCU83" s="143"/>
      <c r="OCV83" s="143"/>
      <c r="OCW83" s="143"/>
      <c r="OCX83" s="143"/>
      <c r="OCY83" s="143"/>
      <c r="OCZ83" s="143"/>
      <c r="ODA83" s="143"/>
      <c r="ODB83" s="143"/>
      <c r="ODC83" s="143"/>
      <c r="ODD83" s="143"/>
      <c r="ODE83" s="143"/>
      <c r="ODF83" s="143"/>
      <c r="ODG83" s="143"/>
      <c r="ODH83" s="143"/>
      <c r="ODI83" s="143"/>
      <c r="ODJ83" s="143"/>
      <c r="ODK83" s="143"/>
      <c r="ODL83" s="143"/>
      <c r="ODM83" s="143"/>
      <c r="ODN83" s="143"/>
      <c r="ODO83" s="143"/>
      <c r="ODP83" s="143"/>
      <c r="ODQ83" s="143"/>
      <c r="ODR83" s="143"/>
      <c r="ODS83" s="143"/>
      <c r="ODT83" s="143"/>
      <c r="ODU83" s="143"/>
      <c r="ODV83" s="143"/>
      <c r="ODW83" s="143"/>
      <c r="ODX83" s="143"/>
      <c r="ODY83" s="143"/>
      <c r="ODZ83" s="143"/>
      <c r="OEA83" s="143"/>
      <c r="OEB83" s="143"/>
      <c r="OEC83" s="143"/>
      <c r="OED83" s="143"/>
      <c r="OEE83" s="143"/>
      <c r="OEF83" s="143"/>
      <c r="OEG83" s="143"/>
      <c r="OEH83" s="143"/>
      <c r="OEI83" s="143"/>
      <c r="OEJ83" s="143"/>
      <c r="OEK83" s="143"/>
      <c r="OEL83" s="143"/>
      <c r="OEM83" s="143"/>
      <c r="OEN83" s="143"/>
      <c r="OEO83" s="143"/>
      <c r="OEP83" s="143"/>
      <c r="OEQ83" s="143"/>
      <c r="OER83" s="143"/>
      <c r="OES83" s="143"/>
      <c r="OET83" s="143"/>
      <c r="OEU83" s="143"/>
      <c r="OEV83" s="143"/>
      <c r="OEW83" s="143"/>
      <c r="OEX83" s="143"/>
      <c r="OEY83" s="143"/>
      <c r="OEZ83" s="143"/>
      <c r="OFA83" s="143"/>
      <c r="OFB83" s="143"/>
      <c r="OFC83" s="143"/>
      <c r="OFD83" s="143"/>
      <c r="OFE83" s="143"/>
      <c r="OFF83" s="143"/>
      <c r="OFG83" s="143"/>
      <c r="OFH83" s="143"/>
      <c r="OFI83" s="143"/>
      <c r="OFJ83" s="143"/>
      <c r="OFK83" s="143"/>
      <c r="OFL83" s="143"/>
      <c r="OFM83" s="143"/>
      <c r="OFN83" s="143"/>
      <c r="OFO83" s="143"/>
      <c r="OFP83" s="143"/>
      <c r="OFQ83" s="143"/>
      <c r="OFR83" s="143"/>
      <c r="OFS83" s="143"/>
      <c r="OFT83" s="143"/>
      <c r="OFU83" s="143"/>
      <c r="OFV83" s="143"/>
      <c r="OFW83" s="143"/>
      <c r="OFX83" s="143"/>
      <c r="OFY83" s="143"/>
      <c r="OFZ83" s="143"/>
      <c r="OGA83" s="143"/>
      <c r="OGB83" s="143"/>
      <c r="OGC83" s="143"/>
      <c r="OGD83" s="143"/>
      <c r="OGE83" s="143"/>
      <c r="OGF83" s="143"/>
      <c r="OGG83" s="143"/>
      <c r="OGH83" s="143"/>
      <c r="OGI83" s="143"/>
      <c r="OGJ83" s="143"/>
      <c r="OGK83" s="143"/>
      <c r="OGL83" s="143"/>
      <c r="OGM83" s="143"/>
      <c r="OGN83" s="143"/>
      <c r="OGO83" s="143"/>
      <c r="OGP83" s="143"/>
      <c r="OGQ83" s="143"/>
      <c r="OGR83" s="143"/>
      <c r="OGS83" s="143"/>
      <c r="OGT83" s="143"/>
      <c r="OGU83" s="143"/>
      <c r="OGV83" s="143"/>
      <c r="OGW83" s="143"/>
      <c r="OGX83" s="143"/>
      <c r="OGY83" s="143"/>
      <c r="OGZ83" s="143"/>
      <c r="OHA83" s="143"/>
      <c r="OHB83" s="143"/>
      <c r="OHC83" s="143"/>
      <c r="OHD83" s="143"/>
      <c r="OHE83" s="143"/>
      <c r="OHF83" s="143"/>
      <c r="OHG83" s="143"/>
      <c r="OHH83" s="143"/>
      <c r="OHI83" s="143"/>
      <c r="OHJ83" s="143"/>
      <c r="OHK83" s="143"/>
      <c r="OHL83" s="143"/>
      <c r="OHM83" s="143"/>
      <c r="OHN83" s="143"/>
      <c r="OHO83" s="143"/>
      <c r="OHP83" s="143"/>
      <c r="OHQ83" s="143"/>
      <c r="OHR83" s="143"/>
      <c r="OHS83" s="143"/>
      <c r="OHT83" s="143"/>
      <c r="OHU83" s="143"/>
      <c r="OHV83" s="143"/>
      <c r="OHW83" s="143"/>
      <c r="OHX83" s="143"/>
      <c r="OHY83" s="143"/>
      <c r="OHZ83" s="143"/>
      <c r="OIA83" s="143"/>
      <c r="OIB83" s="143"/>
      <c r="OIC83" s="143"/>
      <c r="OID83" s="143"/>
      <c r="OIE83" s="143"/>
      <c r="OIF83" s="143"/>
      <c r="OIG83" s="143"/>
      <c r="OIH83" s="143"/>
      <c r="OII83" s="143"/>
      <c r="OIJ83" s="143"/>
      <c r="OIK83" s="143"/>
      <c r="OIL83" s="143"/>
      <c r="OIM83" s="143"/>
      <c r="OIN83" s="143"/>
      <c r="OIO83" s="143"/>
      <c r="OIP83" s="143"/>
      <c r="OIQ83" s="143"/>
      <c r="OIR83" s="143"/>
      <c r="OIS83" s="143"/>
      <c r="OIT83" s="143"/>
      <c r="OIU83" s="143"/>
      <c r="OIV83" s="143"/>
      <c r="OIW83" s="143"/>
      <c r="OIX83" s="143"/>
      <c r="OIY83" s="143"/>
      <c r="OIZ83" s="143"/>
      <c r="OJA83" s="143"/>
      <c r="OJB83" s="143"/>
      <c r="OJC83" s="143"/>
      <c r="OJD83" s="143"/>
      <c r="OJE83" s="143"/>
      <c r="OJF83" s="143"/>
      <c r="OJG83" s="143"/>
      <c r="OJH83" s="143"/>
      <c r="OJI83" s="143"/>
      <c r="OJJ83" s="143"/>
      <c r="OJK83" s="143"/>
      <c r="OJL83" s="143"/>
      <c r="OJM83" s="143"/>
      <c r="OJN83" s="143"/>
      <c r="OJO83" s="143"/>
      <c r="OJP83" s="143"/>
      <c r="OJQ83" s="143"/>
      <c r="OJR83" s="143"/>
      <c r="OJS83" s="143"/>
      <c r="OJT83" s="143"/>
      <c r="OJU83" s="143"/>
      <c r="OJV83" s="143"/>
      <c r="OJW83" s="143"/>
      <c r="OJX83" s="143"/>
      <c r="OJY83" s="143"/>
      <c r="OJZ83" s="143"/>
      <c r="OKA83" s="143"/>
      <c r="OKB83" s="143"/>
      <c r="OKC83" s="143"/>
      <c r="OKD83" s="143"/>
      <c r="OKE83" s="143"/>
      <c r="OKF83" s="143"/>
      <c r="OKG83" s="143"/>
      <c r="OKH83" s="143"/>
      <c r="OKI83" s="143"/>
      <c r="OKJ83" s="143"/>
      <c r="OKK83" s="143"/>
      <c r="OKL83" s="143"/>
      <c r="OKM83" s="143"/>
      <c r="OKN83" s="143"/>
      <c r="OKO83" s="143"/>
      <c r="OKP83" s="143"/>
      <c r="OKQ83" s="143"/>
      <c r="OKR83" s="143"/>
      <c r="OKS83" s="143"/>
      <c r="OKT83" s="143"/>
      <c r="OKU83" s="143"/>
      <c r="OKV83" s="143"/>
      <c r="OKW83" s="143"/>
      <c r="OKX83" s="143"/>
      <c r="OKY83" s="143"/>
      <c r="OKZ83" s="143"/>
      <c r="OLA83" s="143"/>
      <c r="OLB83" s="143"/>
      <c r="OLC83" s="143"/>
      <c r="OLD83" s="143"/>
      <c r="OLE83" s="143"/>
      <c r="OLF83" s="143"/>
      <c r="OLG83" s="143"/>
      <c r="OLH83" s="143"/>
      <c r="OLI83" s="143"/>
      <c r="OLJ83" s="143"/>
      <c r="OLK83" s="143"/>
      <c r="OLL83" s="143"/>
      <c r="OLM83" s="143"/>
      <c r="OLN83" s="143"/>
      <c r="OLO83" s="143"/>
      <c r="OLP83" s="143"/>
      <c r="OLQ83" s="143"/>
      <c r="OLR83" s="143"/>
      <c r="OLS83" s="143"/>
      <c r="OLT83" s="143"/>
      <c r="OLU83" s="143"/>
      <c r="OLV83" s="143"/>
      <c r="OLW83" s="143"/>
      <c r="OLX83" s="143"/>
      <c r="OLY83" s="143"/>
      <c r="OLZ83" s="143"/>
      <c r="OMA83" s="143"/>
      <c r="OMB83" s="143"/>
      <c r="OMC83" s="143"/>
      <c r="OMD83" s="143"/>
      <c r="OME83" s="143"/>
      <c r="OMF83" s="143"/>
      <c r="OMG83" s="143"/>
      <c r="OMH83" s="143"/>
      <c r="OMI83" s="143"/>
      <c r="OMJ83" s="143"/>
      <c r="OMK83" s="143"/>
      <c r="OML83" s="143"/>
      <c r="OMM83" s="143"/>
      <c r="OMN83" s="143"/>
      <c r="OMO83" s="143"/>
      <c r="OMP83" s="143"/>
      <c r="OMQ83" s="143"/>
      <c r="OMR83" s="143"/>
      <c r="OMS83" s="143"/>
      <c r="OMT83" s="143"/>
      <c r="OMU83" s="143"/>
      <c r="OMV83" s="143"/>
      <c r="OMW83" s="143"/>
      <c r="OMX83" s="143"/>
      <c r="OMY83" s="143"/>
      <c r="OMZ83" s="143"/>
      <c r="ONA83" s="143"/>
      <c r="ONB83" s="143"/>
      <c r="ONC83" s="143"/>
      <c r="OND83" s="143"/>
      <c r="ONE83" s="143"/>
      <c r="ONF83" s="143"/>
      <c r="ONG83" s="143"/>
      <c r="ONH83" s="143"/>
      <c r="ONI83" s="143"/>
      <c r="ONJ83" s="143"/>
      <c r="ONK83" s="143"/>
      <c r="ONL83" s="143"/>
      <c r="ONM83" s="143"/>
      <c r="ONN83" s="143"/>
      <c r="ONO83" s="143"/>
      <c r="ONP83" s="143"/>
      <c r="ONQ83" s="143"/>
      <c r="ONR83" s="143"/>
      <c r="ONS83" s="143"/>
      <c r="ONT83" s="143"/>
      <c r="ONU83" s="143"/>
      <c r="ONV83" s="143"/>
      <c r="ONW83" s="143"/>
      <c r="ONX83" s="143"/>
      <c r="ONY83" s="143"/>
      <c r="ONZ83" s="143"/>
      <c r="OOA83" s="143"/>
      <c r="OOB83" s="143"/>
      <c r="OOC83" s="143"/>
      <c r="OOD83" s="143"/>
      <c r="OOE83" s="143"/>
      <c r="OOF83" s="143"/>
      <c r="OOG83" s="143"/>
      <c r="OOH83" s="143"/>
      <c r="OOI83" s="143"/>
      <c r="OOJ83" s="143"/>
      <c r="OOK83" s="143"/>
      <c r="OOL83" s="143"/>
      <c r="OOM83" s="143"/>
      <c r="OON83" s="143"/>
      <c r="OOO83" s="143"/>
      <c r="OOP83" s="143"/>
      <c r="OOQ83" s="143"/>
      <c r="OOR83" s="143"/>
      <c r="OOS83" s="143"/>
      <c r="OOT83" s="143"/>
      <c r="OOU83" s="143"/>
      <c r="OOV83" s="143"/>
      <c r="OOW83" s="143"/>
      <c r="OOX83" s="143"/>
      <c r="OOY83" s="143"/>
      <c r="OOZ83" s="143"/>
      <c r="OPA83" s="143"/>
      <c r="OPB83" s="143"/>
      <c r="OPC83" s="143"/>
      <c r="OPD83" s="143"/>
      <c r="OPE83" s="143"/>
      <c r="OPF83" s="143"/>
      <c r="OPG83" s="143"/>
      <c r="OPH83" s="143"/>
      <c r="OPI83" s="143"/>
      <c r="OPJ83" s="143"/>
      <c r="OPK83" s="143"/>
      <c r="OPL83" s="143"/>
      <c r="OPM83" s="143"/>
      <c r="OPN83" s="143"/>
      <c r="OPO83" s="143"/>
      <c r="OPP83" s="143"/>
      <c r="OPQ83" s="143"/>
      <c r="OPR83" s="143"/>
      <c r="OPS83" s="143"/>
      <c r="OPT83" s="143"/>
      <c r="OPU83" s="143"/>
      <c r="OPV83" s="143"/>
      <c r="OPW83" s="143"/>
      <c r="OPX83" s="143"/>
      <c r="OPY83" s="143"/>
      <c r="OPZ83" s="143"/>
      <c r="OQA83" s="143"/>
      <c r="OQB83" s="143"/>
      <c r="OQC83" s="143"/>
      <c r="OQD83" s="143"/>
      <c r="OQE83" s="143"/>
      <c r="OQF83" s="143"/>
      <c r="OQG83" s="143"/>
      <c r="OQH83" s="143"/>
      <c r="OQI83" s="143"/>
      <c r="OQJ83" s="143"/>
      <c r="OQK83" s="143"/>
      <c r="OQL83" s="143"/>
      <c r="OQM83" s="143"/>
      <c r="OQN83" s="143"/>
      <c r="OQO83" s="143"/>
      <c r="OQP83" s="143"/>
      <c r="OQQ83" s="143"/>
      <c r="OQR83" s="143"/>
      <c r="OQS83" s="143"/>
      <c r="OQT83" s="143"/>
      <c r="OQU83" s="143"/>
      <c r="OQV83" s="143"/>
      <c r="OQW83" s="143"/>
      <c r="OQX83" s="143"/>
      <c r="OQY83" s="143"/>
      <c r="OQZ83" s="143"/>
      <c r="ORA83" s="143"/>
      <c r="ORB83" s="143"/>
      <c r="ORC83" s="143"/>
      <c r="ORD83" s="143"/>
      <c r="ORE83" s="143"/>
      <c r="ORF83" s="143"/>
      <c r="ORG83" s="143"/>
      <c r="ORH83" s="143"/>
      <c r="ORI83" s="143"/>
      <c r="ORJ83" s="143"/>
      <c r="ORK83" s="143"/>
      <c r="ORL83" s="143"/>
      <c r="ORM83" s="143"/>
      <c r="ORN83" s="143"/>
      <c r="ORO83" s="143"/>
      <c r="ORP83" s="143"/>
      <c r="ORQ83" s="143"/>
      <c r="ORR83" s="143"/>
      <c r="ORS83" s="143"/>
      <c r="ORT83" s="143"/>
      <c r="ORU83" s="143"/>
      <c r="ORV83" s="143"/>
      <c r="ORW83" s="143"/>
      <c r="ORX83" s="143"/>
      <c r="ORY83" s="143"/>
      <c r="ORZ83" s="143"/>
      <c r="OSA83" s="143"/>
      <c r="OSB83" s="143"/>
      <c r="OSC83" s="143"/>
      <c r="OSD83" s="143"/>
      <c r="OSE83" s="143"/>
      <c r="OSF83" s="143"/>
      <c r="OSG83" s="143"/>
      <c r="OSH83" s="143"/>
      <c r="OSI83" s="143"/>
      <c r="OSJ83" s="143"/>
      <c r="OSK83" s="143"/>
      <c r="OSL83" s="143"/>
      <c r="OSM83" s="143"/>
      <c r="OSN83" s="143"/>
      <c r="OSO83" s="143"/>
      <c r="OSP83" s="143"/>
      <c r="OSQ83" s="143"/>
      <c r="OSR83" s="143"/>
      <c r="OSS83" s="143"/>
      <c r="OST83" s="143"/>
      <c r="OSU83" s="143"/>
      <c r="OSV83" s="143"/>
      <c r="OSW83" s="143"/>
      <c r="OSX83" s="143"/>
      <c r="OSY83" s="143"/>
      <c r="OSZ83" s="143"/>
      <c r="OTA83" s="143"/>
      <c r="OTB83" s="143"/>
      <c r="OTC83" s="143"/>
      <c r="OTD83" s="143"/>
      <c r="OTE83" s="143"/>
      <c r="OTF83" s="143"/>
      <c r="OTG83" s="143"/>
      <c r="OTH83" s="143"/>
      <c r="OTI83" s="143"/>
      <c r="OTJ83" s="143"/>
      <c r="OTK83" s="143"/>
      <c r="OTL83" s="143"/>
      <c r="OTM83" s="143"/>
      <c r="OTN83" s="143"/>
      <c r="OTO83" s="143"/>
      <c r="OTP83" s="143"/>
      <c r="OTQ83" s="143"/>
      <c r="OTR83" s="143"/>
      <c r="OTS83" s="143"/>
      <c r="OTT83" s="143"/>
      <c r="OTU83" s="143"/>
      <c r="OTV83" s="143"/>
      <c r="OTW83" s="143"/>
      <c r="OTX83" s="143"/>
      <c r="OTY83" s="143"/>
      <c r="OTZ83" s="143"/>
      <c r="OUA83" s="143"/>
      <c r="OUB83" s="143"/>
      <c r="OUC83" s="143"/>
      <c r="OUD83" s="143"/>
      <c r="OUE83" s="143"/>
      <c r="OUF83" s="143"/>
      <c r="OUG83" s="143"/>
      <c r="OUH83" s="143"/>
      <c r="OUI83" s="143"/>
      <c r="OUJ83" s="143"/>
      <c r="OUK83" s="143"/>
      <c r="OUL83" s="143"/>
      <c r="OUM83" s="143"/>
      <c r="OUN83" s="143"/>
      <c r="OUO83" s="143"/>
      <c r="OUP83" s="143"/>
      <c r="OUQ83" s="143"/>
      <c r="OUR83" s="143"/>
      <c r="OUS83" s="143"/>
      <c r="OUT83" s="143"/>
      <c r="OUU83" s="143"/>
      <c r="OUV83" s="143"/>
      <c r="OUW83" s="143"/>
      <c r="OUX83" s="143"/>
      <c r="OUY83" s="143"/>
      <c r="OUZ83" s="143"/>
      <c r="OVA83" s="143"/>
      <c r="OVB83" s="143"/>
      <c r="OVC83" s="143"/>
      <c r="OVD83" s="143"/>
      <c r="OVE83" s="143"/>
      <c r="OVF83" s="143"/>
      <c r="OVG83" s="143"/>
      <c r="OVH83" s="143"/>
      <c r="OVI83" s="143"/>
      <c r="OVJ83" s="143"/>
      <c r="OVK83" s="143"/>
      <c r="OVL83" s="143"/>
      <c r="OVM83" s="143"/>
      <c r="OVN83" s="143"/>
      <c r="OVO83" s="143"/>
      <c r="OVP83" s="143"/>
      <c r="OVQ83" s="143"/>
      <c r="OVR83" s="143"/>
      <c r="OVS83" s="143"/>
      <c r="OVT83" s="143"/>
      <c r="OVU83" s="143"/>
      <c r="OVV83" s="143"/>
      <c r="OVW83" s="143"/>
      <c r="OVX83" s="143"/>
      <c r="OVY83" s="143"/>
      <c r="OVZ83" s="143"/>
      <c r="OWA83" s="143"/>
      <c r="OWB83" s="143"/>
      <c r="OWC83" s="143"/>
      <c r="OWD83" s="143"/>
      <c r="OWE83" s="143"/>
      <c r="OWF83" s="143"/>
      <c r="OWG83" s="143"/>
      <c r="OWH83" s="143"/>
      <c r="OWI83" s="143"/>
      <c r="OWJ83" s="143"/>
      <c r="OWK83" s="143"/>
      <c r="OWL83" s="143"/>
      <c r="OWM83" s="143"/>
      <c r="OWN83" s="143"/>
      <c r="OWO83" s="143"/>
      <c r="OWP83" s="143"/>
      <c r="OWQ83" s="143"/>
      <c r="OWR83" s="143"/>
      <c r="OWS83" s="143"/>
      <c r="OWT83" s="143"/>
      <c r="OWU83" s="143"/>
      <c r="OWV83" s="143"/>
      <c r="OWW83" s="143"/>
      <c r="OWX83" s="143"/>
      <c r="OWY83" s="143"/>
      <c r="OWZ83" s="143"/>
      <c r="OXA83" s="143"/>
      <c r="OXB83" s="143"/>
      <c r="OXC83" s="143"/>
      <c r="OXD83" s="143"/>
      <c r="OXE83" s="143"/>
      <c r="OXF83" s="143"/>
      <c r="OXG83" s="143"/>
      <c r="OXH83" s="143"/>
      <c r="OXI83" s="143"/>
      <c r="OXJ83" s="143"/>
      <c r="OXK83" s="143"/>
      <c r="OXL83" s="143"/>
      <c r="OXM83" s="143"/>
      <c r="OXN83" s="143"/>
      <c r="OXO83" s="143"/>
      <c r="OXP83" s="143"/>
      <c r="OXQ83" s="143"/>
      <c r="OXR83" s="143"/>
      <c r="OXS83" s="143"/>
      <c r="OXT83" s="143"/>
      <c r="OXU83" s="143"/>
      <c r="OXV83" s="143"/>
      <c r="OXW83" s="143"/>
      <c r="OXX83" s="143"/>
      <c r="OXY83" s="143"/>
      <c r="OXZ83" s="143"/>
      <c r="OYA83" s="143"/>
      <c r="OYB83" s="143"/>
      <c r="OYC83" s="143"/>
      <c r="OYD83" s="143"/>
      <c r="OYE83" s="143"/>
      <c r="OYF83" s="143"/>
      <c r="OYG83" s="143"/>
      <c r="OYH83" s="143"/>
      <c r="OYI83" s="143"/>
      <c r="OYJ83" s="143"/>
      <c r="OYK83" s="143"/>
      <c r="OYL83" s="143"/>
      <c r="OYM83" s="143"/>
      <c r="OYN83" s="143"/>
      <c r="OYO83" s="143"/>
      <c r="OYP83" s="143"/>
      <c r="OYQ83" s="143"/>
      <c r="OYR83" s="143"/>
      <c r="OYS83" s="143"/>
      <c r="OYT83" s="143"/>
      <c r="OYU83" s="143"/>
      <c r="OYV83" s="143"/>
      <c r="OYW83" s="143"/>
      <c r="OYX83" s="143"/>
      <c r="OYY83" s="143"/>
      <c r="OYZ83" s="143"/>
      <c r="OZA83" s="143"/>
      <c r="OZB83" s="143"/>
      <c r="OZC83" s="143"/>
      <c r="OZD83" s="143"/>
      <c r="OZE83" s="143"/>
      <c r="OZF83" s="143"/>
      <c r="OZG83" s="143"/>
      <c r="OZH83" s="143"/>
      <c r="OZI83" s="143"/>
      <c r="OZJ83" s="143"/>
      <c r="OZK83" s="143"/>
      <c r="OZL83" s="143"/>
      <c r="OZM83" s="143"/>
      <c r="OZN83" s="143"/>
      <c r="OZO83" s="143"/>
      <c r="OZP83" s="143"/>
      <c r="OZQ83" s="143"/>
      <c r="OZR83" s="143"/>
      <c r="OZS83" s="143"/>
      <c r="OZT83" s="143"/>
      <c r="OZU83" s="143"/>
      <c r="OZV83" s="143"/>
      <c r="OZW83" s="143"/>
      <c r="OZX83" s="143"/>
      <c r="OZY83" s="143"/>
      <c r="OZZ83" s="143"/>
      <c r="PAA83" s="143"/>
      <c r="PAB83" s="143"/>
      <c r="PAC83" s="143"/>
      <c r="PAD83" s="143"/>
      <c r="PAE83" s="143"/>
      <c r="PAF83" s="143"/>
      <c r="PAG83" s="143"/>
      <c r="PAH83" s="143"/>
      <c r="PAI83" s="143"/>
      <c r="PAJ83" s="143"/>
      <c r="PAK83" s="143"/>
      <c r="PAL83" s="143"/>
      <c r="PAM83" s="143"/>
      <c r="PAN83" s="143"/>
      <c r="PAO83" s="143"/>
      <c r="PAP83" s="143"/>
      <c r="PAQ83" s="143"/>
      <c r="PAR83" s="143"/>
      <c r="PAS83" s="143"/>
      <c r="PAT83" s="143"/>
      <c r="PAU83" s="143"/>
      <c r="PAV83" s="143"/>
      <c r="PAW83" s="143"/>
      <c r="PAX83" s="143"/>
      <c r="PAY83" s="143"/>
      <c r="PAZ83" s="143"/>
      <c r="PBA83" s="143"/>
      <c r="PBB83" s="143"/>
      <c r="PBC83" s="143"/>
      <c r="PBD83" s="143"/>
      <c r="PBE83" s="143"/>
      <c r="PBF83" s="143"/>
      <c r="PBG83" s="143"/>
      <c r="PBH83" s="143"/>
      <c r="PBI83" s="143"/>
      <c r="PBJ83" s="143"/>
      <c r="PBK83" s="143"/>
      <c r="PBL83" s="143"/>
      <c r="PBM83" s="143"/>
      <c r="PBN83" s="143"/>
      <c r="PBO83" s="143"/>
      <c r="PBP83" s="143"/>
      <c r="PBQ83" s="143"/>
      <c r="PBR83" s="143"/>
      <c r="PBS83" s="143"/>
      <c r="PBT83" s="143"/>
      <c r="PBU83" s="143"/>
      <c r="PBV83" s="143"/>
      <c r="PBW83" s="143"/>
      <c r="PBX83" s="143"/>
      <c r="PBY83" s="143"/>
      <c r="PBZ83" s="143"/>
      <c r="PCA83" s="143"/>
      <c r="PCB83" s="143"/>
      <c r="PCC83" s="143"/>
      <c r="PCD83" s="143"/>
      <c r="PCE83" s="143"/>
      <c r="PCF83" s="143"/>
      <c r="PCG83" s="143"/>
      <c r="PCH83" s="143"/>
      <c r="PCI83" s="143"/>
      <c r="PCJ83" s="143"/>
      <c r="PCK83" s="143"/>
      <c r="PCL83" s="143"/>
      <c r="PCM83" s="143"/>
      <c r="PCN83" s="143"/>
      <c r="PCO83" s="143"/>
      <c r="PCP83" s="143"/>
      <c r="PCQ83" s="143"/>
      <c r="PCR83" s="143"/>
      <c r="PCS83" s="143"/>
      <c r="PCT83" s="143"/>
      <c r="PCU83" s="143"/>
      <c r="PCV83" s="143"/>
      <c r="PCW83" s="143"/>
      <c r="PCX83" s="143"/>
      <c r="PCY83" s="143"/>
      <c r="PCZ83" s="143"/>
      <c r="PDA83" s="143"/>
      <c r="PDB83" s="143"/>
      <c r="PDC83" s="143"/>
      <c r="PDD83" s="143"/>
      <c r="PDE83" s="143"/>
      <c r="PDF83" s="143"/>
      <c r="PDG83" s="143"/>
      <c r="PDH83" s="143"/>
      <c r="PDI83" s="143"/>
      <c r="PDJ83" s="143"/>
      <c r="PDK83" s="143"/>
      <c r="PDL83" s="143"/>
      <c r="PDM83" s="143"/>
      <c r="PDN83" s="143"/>
      <c r="PDO83" s="143"/>
      <c r="PDP83" s="143"/>
      <c r="PDQ83" s="143"/>
      <c r="PDR83" s="143"/>
      <c r="PDS83" s="143"/>
      <c r="PDT83" s="143"/>
      <c r="PDU83" s="143"/>
      <c r="PDV83" s="143"/>
      <c r="PDW83" s="143"/>
      <c r="PDX83" s="143"/>
      <c r="PDY83" s="143"/>
      <c r="PDZ83" s="143"/>
      <c r="PEA83" s="143"/>
      <c r="PEB83" s="143"/>
      <c r="PEC83" s="143"/>
      <c r="PED83" s="143"/>
      <c r="PEE83" s="143"/>
      <c r="PEF83" s="143"/>
      <c r="PEG83" s="143"/>
      <c r="PEH83" s="143"/>
      <c r="PEI83" s="143"/>
      <c r="PEJ83" s="143"/>
      <c r="PEK83" s="143"/>
      <c r="PEL83" s="143"/>
      <c r="PEM83" s="143"/>
      <c r="PEN83" s="143"/>
      <c r="PEO83" s="143"/>
      <c r="PEP83" s="143"/>
      <c r="PEQ83" s="143"/>
      <c r="PER83" s="143"/>
      <c r="PES83" s="143"/>
      <c r="PET83" s="143"/>
      <c r="PEU83" s="143"/>
      <c r="PEV83" s="143"/>
      <c r="PEW83" s="143"/>
      <c r="PEX83" s="143"/>
      <c r="PEY83" s="143"/>
      <c r="PEZ83" s="143"/>
      <c r="PFA83" s="143"/>
      <c r="PFB83" s="143"/>
      <c r="PFC83" s="143"/>
      <c r="PFD83" s="143"/>
      <c r="PFE83" s="143"/>
      <c r="PFF83" s="143"/>
      <c r="PFG83" s="143"/>
      <c r="PFH83" s="143"/>
      <c r="PFI83" s="143"/>
      <c r="PFJ83" s="143"/>
      <c r="PFK83" s="143"/>
      <c r="PFL83" s="143"/>
      <c r="PFM83" s="143"/>
      <c r="PFN83" s="143"/>
      <c r="PFO83" s="143"/>
      <c r="PFP83" s="143"/>
      <c r="PFQ83" s="143"/>
      <c r="PFR83" s="143"/>
      <c r="PFS83" s="143"/>
      <c r="PFT83" s="143"/>
      <c r="PFU83" s="143"/>
      <c r="PFV83" s="143"/>
      <c r="PFW83" s="143"/>
      <c r="PFX83" s="143"/>
      <c r="PFY83" s="143"/>
      <c r="PFZ83" s="143"/>
      <c r="PGA83" s="143"/>
      <c r="PGB83" s="143"/>
      <c r="PGC83" s="143"/>
      <c r="PGD83" s="143"/>
      <c r="PGE83" s="143"/>
      <c r="PGF83" s="143"/>
      <c r="PGG83" s="143"/>
      <c r="PGH83" s="143"/>
      <c r="PGI83" s="143"/>
      <c r="PGJ83" s="143"/>
      <c r="PGK83" s="143"/>
      <c r="PGL83" s="143"/>
      <c r="PGM83" s="143"/>
      <c r="PGN83" s="143"/>
      <c r="PGO83" s="143"/>
      <c r="PGP83" s="143"/>
      <c r="PGQ83" s="143"/>
      <c r="PGR83" s="143"/>
      <c r="PGS83" s="143"/>
      <c r="PGT83" s="143"/>
      <c r="PGU83" s="143"/>
      <c r="PGV83" s="143"/>
      <c r="PGW83" s="143"/>
      <c r="PGX83" s="143"/>
      <c r="PGY83" s="143"/>
      <c r="PGZ83" s="143"/>
      <c r="PHA83" s="143"/>
      <c r="PHB83" s="143"/>
      <c r="PHC83" s="143"/>
      <c r="PHD83" s="143"/>
      <c r="PHE83" s="143"/>
      <c r="PHF83" s="143"/>
      <c r="PHG83" s="143"/>
      <c r="PHH83" s="143"/>
      <c r="PHI83" s="143"/>
      <c r="PHJ83" s="143"/>
      <c r="PHK83" s="143"/>
      <c r="PHL83" s="143"/>
      <c r="PHM83" s="143"/>
      <c r="PHN83" s="143"/>
      <c r="PHO83" s="143"/>
      <c r="PHP83" s="143"/>
      <c r="PHQ83" s="143"/>
      <c r="PHR83" s="143"/>
      <c r="PHS83" s="143"/>
      <c r="PHT83" s="143"/>
      <c r="PHU83" s="143"/>
      <c r="PHV83" s="143"/>
      <c r="PHW83" s="143"/>
      <c r="PHX83" s="143"/>
      <c r="PHY83" s="143"/>
      <c r="PHZ83" s="143"/>
      <c r="PIA83" s="143"/>
      <c r="PIB83" s="143"/>
      <c r="PIC83" s="143"/>
      <c r="PID83" s="143"/>
      <c r="PIE83" s="143"/>
      <c r="PIF83" s="143"/>
      <c r="PIG83" s="143"/>
      <c r="PIH83" s="143"/>
      <c r="PII83" s="143"/>
      <c r="PIJ83" s="143"/>
      <c r="PIK83" s="143"/>
      <c r="PIL83" s="143"/>
      <c r="PIM83" s="143"/>
      <c r="PIN83" s="143"/>
      <c r="PIO83" s="143"/>
      <c r="PIP83" s="143"/>
      <c r="PIQ83" s="143"/>
      <c r="PIR83" s="143"/>
      <c r="PIS83" s="143"/>
      <c r="PIT83" s="143"/>
      <c r="PIU83" s="143"/>
      <c r="PIV83" s="143"/>
      <c r="PIW83" s="143"/>
      <c r="PIX83" s="143"/>
      <c r="PIY83" s="143"/>
      <c r="PIZ83" s="143"/>
      <c r="PJA83" s="143"/>
      <c r="PJB83" s="143"/>
      <c r="PJC83" s="143"/>
      <c r="PJD83" s="143"/>
      <c r="PJE83" s="143"/>
      <c r="PJF83" s="143"/>
      <c r="PJG83" s="143"/>
      <c r="PJH83" s="143"/>
      <c r="PJI83" s="143"/>
      <c r="PJJ83" s="143"/>
      <c r="PJK83" s="143"/>
      <c r="PJL83" s="143"/>
      <c r="PJM83" s="143"/>
      <c r="PJN83" s="143"/>
      <c r="PJO83" s="143"/>
      <c r="PJP83" s="143"/>
      <c r="PJQ83" s="143"/>
      <c r="PJR83" s="143"/>
      <c r="PJS83" s="143"/>
      <c r="PJT83" s="143"/>
      <c r="PJU83" s="143"/>
      <c r="PJV83" s="143"/>
      <c r="PJW83" s="143"/>
      <c r="PJX83" s="143"/>
      <c r="PJY83" s="143"/>
      <c r="PJZ83" s="143"/>
      <c r="PKA83" s="143"/>
      <c r="PKB83" s="143"/>
      <c r="PKC83" s="143"/>
      <c r="PKD83" s="143"/>
      <c r="PKE83" s="143"/>
      <c r="PKF83" s="143"/>
      <c r="PKG83" s="143"/>
      <c r="PKH83" s="143"/>
      <c r="PKI83" s="143"/>
      <c r="PKJ83" s="143"/>
      <c r="PKK83" s="143"/>
      <c r="PKL83" s="143"/>
      <c r="PKM83" s="143"/>
      <c r="PKN83" s="143"/>
      <c r="PKO83" s="143"/>
      <c r="PKP83" s="143"/>
      <c r="PKQ83" s="143"/>
      <c r="PKR83" s="143"/>
      <c r="PKS83" s="143"/>
      <c r="PKT83" s="143"/>
      <c r="PKU83" s="143"/>
      <c r="PKV83" s="143"/>
      <c r="PKW83" s="143"/>
      <c r="PKX83" s="143"/>
      <c r="PKY83" s="143"/>
      <c r="PKZ83" s="143"/>
      <c r="PLA83" s="143"/>
      <c r="PLB83" s="143"/>
      <c r="PLC83" s="143"/>
      <c r="PLD83" s="143"/>
      <c r="PLE83" s="143"/>
      <c r="PLF83" s="143"/>
      <c r="PLG83" s="143"/>
      <c r="PLH83" s="143"/>
      <c r="PLI83" s="143"/>
      <c r="PLJ83" s="143"/>
      <c r="PLK83" s="143"/>
      <c r="PLL83" s="143"/>
      <c r="PLM83" s="143"/>
      <c r="PLN83" s="143"/>
      <c r="PLO83" s="143"/>
      <c r="PLP83" s="143"/>
      <c r="PLQ83" s="143"/>
      <c r="PLR83" s="143"/>
      <c r="PLS83" s="143"/>
      <c r="PLT83" s="143"/>
      <c r="PLU83" s="143"/>
      <c r="PLV83" s="143"/>
      <c r="PLW83" s="143"/>
      <c r="PLX83" s="143"/>
      <c r="PLY83" s="143"/>
      <c r="PLZ83" s="143"/>
      <c r="PMA83" s="143"/>
      <c r="PMB83" s="143"/>
      <c r="PMC83" s="143"/>
      <c r="PMD83" s="143"/>
      <c r="PME83" s="143"/>
      <c r="PMF83" s="143"/>
      <c r="PMG83" s="143"/>
      <c r="PMH83" s="143"/>
      <c r="PMI83" s="143"/>
      <c r="PMJ83" s="143"/>
      <c r="PMK83" s="143"/>
      <c r="PML83" s="143"/>
      <c r="PMM83" s="143"/>
      <c r="PMN83" s="143"/>
      <c r="PMO83" s="143"/>
      <c r="PMP83" s="143"/>
      <c r="PMQ83" s="143"/>
      <c r="PMR83" s="143"/>
      <c r="PMS83" s="143"/>
      <c r="PMT83" s="143"/>
      <c r="PMU83" s="143"/>
      <c r="PMV83" s="143"/>
      <c r="PMW83" s="143"/>
      <c r="PMX83" s="143"/>
      <c r="PMY83" s="143"/>
      <c r="PMZ83" s="143"/>
      <c r="PNA83" s="143"/>
      <c r="PNB83" s="143"/>
      <c r="PNC83" s="143"/>
      <c r="PND83" s="143"/>
      <c r="PNE83" s="143"/>
      <c r="PNF83" s="143"/>
      <c r="PNG83" s="143"/>
      <c r="PNH83" s="143"/>
      <c r="PNI83" s="143"/>
      <c r="PNJ83" s="143"/>
      <c r="PNK83" s="143"/>
      <c r="PNL83" s="143"/>
      <c r="PNM83" s="143"/>
      <c r="PNN83" s="143"/>
      <c r="PNO83" s="143"/>
      <c r="PNP83" s="143"/>
      <c r="PNQ83" s="143"/>
      <c r="PNR83" s="143"/>
      <c r="PNS83" s="143"/>
      <c r="PNT83" s="143"/>
      <c r="PNU83" s="143"/>
      <c r="PNV83" s="143"/>
      <c r="PNW83" s="143"/>
      <c r="PNX83" s="143"/>
      <c r="PNY83" s="143"/>
      <c r="PNZ83" s="143"/>
      <c r="POA83" s="143"/>
      <c r="POB83" s="143"/>
      <c r="POC83" s="143"/>
      <c r="POD83" s="143"/>
      <c r="POE83" s="143"/>
      <c r="POF83" s="143"/>
      <c r="POG83" s="143"/>
      <c r="POH83" s="143"/>
      <c r="POI83" s="143"/>
      <c r="POJ83" s="143"/>
      <c r="POK83" s="143"/>
      <c r="POL83" s="143"/>
      <c r="POM83" s="143"/>
      <c r="PON83" s="143"/>
      <c r="POO83" s="143"/>
      <c r="POP83" s="143"/>
      <c r="POQ83" s="143"/>
      <c r="POR83" s="143"/>
      <c r="POS83" s="143"/>
      <c r="POT83" s="143"/>
      <c r="POU83" s="143"/>
      <c r="POV83" s="143"/>
      <c r="POW83" s="143"/>
      <c r="POX83" s="143"/>
      <c r="POY83" s="143"/>
      <c r="POZ83" s="143"/>
      <c r="PPA83" s="143"/>
      <c r="PPB83" s="143"/>
      <c r="PPC83" s="143"/>
      <c r="PPD83" s="143"/>
      <c r="PPE83" s="143"/>
      <c r="PPF83" s="143"/>
      <c r="PPG83" s="143"/>
      <c r="PPH83" s="143"/>
      <c r="PPI83" s="143"/>
      <c r="PPJ83" s="143"/>
      <c r="PPK83" s="143"/>
      <c r="PPL83" s="143"/>
      <c r="PPM83" s="143"/>
      <c r="PPN83" s="143"/>
      <c r="PPO83" s="143"/>
      <c r="PPP83" s="143"/>
      <c r="PPQ83" s="143"/>
      <c r="PPR83" s="143"/>
      <c r="PPS83" s="143"/>
      <c r="PPT83" s="143"/>
      <c r="PPU83" s="143"/>
      <c r="PPV83" s="143"/>
      <c r="PPW83" s="143"/>
      <c r="PPX83" s="143"/>
      <c r="PPY83" s="143"/>
      <c r="PPZ83" s="143"/>
      <c r="PQA83" s="143"/>
      <c r="PQB83" s="143"/>
      <c r="PQC83" s="143"/>
      <c r="PQD83" s="143"/>
      <c r="PQE83" s="143"/>
      <c r="PQF83" s="143"/>
      <c r="PQG83" s="143"/>
      <c r="PQH83" s="143"/>
      <c r="PQI83" s="143"/>
      <c r="PQJ83" s="143"/>
      <c r="PQK83" s="143"/>
      <c r="PQL83" s="143"/>
      <c r="PQM83" s="143"/>
      <c r="PQN83" s="143"/>
      <c r="PQO83" s="143"/>
      <c r="PQP83" s="143"/>
      <c r="PQQ83" s="143"/>
      <c r="PQR83" s="143"/>
      <c r="PQS83" s="143"/>
      <c r="PQT83" s="143"/>
      <c r="PQU83" s="143"/>
      <c r="PQV83" s="143"/>
      <c r="PQW83" s="143"/>
      <c r="PQX83" s="143"/>
      <c r="PQY83" s="143"/>
      <c r="PQZ83" s="143"/>
      <c r="PRA83" s="143"/>
      <c r="PRB83" s="143"/>
      <c r="PRC83" s="143"/>
      <c r="PRD83" s="143"/>
      <c r="PRE83" s="143"/>
      <c r="PRF83" s="143"/>
      <c r="PRG83" s="143"/>
      <c r="PRH83" s="143"/>
      <c r="PRI83" s="143"/>
      <c r="PRJ83" s="143"/>
      <c r="PRK83" s="143"/>
      <c r="PRL83" s="143"/>
      <c r="PRM83" s="143"/>
      <c r="PRN83" s="143"/>
      <c r="PRO83" s="143"/>
      <c r="PRP83" s="143"/>
      <c r="PRQ83" s="143"/>
      <c r="PRR83" s="143"/>
      <c r="PRS83" s="143"/>
      <c r="PRT83" s="143"/>
      <c r="PRU83" s="143"/>
      <c r="PRV83" s="143"/>
      <c r="PRW83" s="143"/>
      <c r="PRX83" s="143"/>
      <c r="PRY83" s="143"/>
      <c r="PRZ83" s="143"/>
      <c r="PSA83" s="143"/>
      <c r="PSB83" s="143"/>
      <c r="PSC83" s="143"/>
      <c r="PSD83" s="143"/>
      <c r="PSE83" s="143"/>
      <c r="PSF83" s="143"/>
      <c r="PSG83" s="143"/>
      <c r="PSH83" s="143"/>
      <c r="PSI83" s="143"/>
      <c r="PSJ83" s="143"/>
      <c r="PSK83" s="143"/>
      <c r="PSL83" s="143"/>
      <c r="PSM83" s="143"/>
      <c r="PSN83" s="143"/>
      <c r="PSO83" s="143"/>
      <c r="PSP83" s="143"/>
      <c r="PSQ83" s="143"/>
      <c r="PSR83" s="143"/>
      <c r="PSS83" s="143"/>
      <c r="PST83" s="143"/>
      <c r="PSU83" s="143"/>
      <c r="PSV83" s="143"/>
      <c r="PSW83" s="143"/>
      <c r="PSX83" s="143"/>
      <c r="PSY83" s="143"/>
      <c r="PSZ83" s="143"/>
      <c r="PTA83" s="143"/>
      <c r="PTB83" s="143"/>
      <c r="PTC83" s="143"/>
      <c r="PTD83" s="143"/>
      <c r="PTE83" s="143"/>
      <c r="PTF83" s="143"/>
      <c r="PTG83" s="143"/>
      <c r="PTH83" s="143"/>
      <c r="PTI83" s="143"/>
      <c r="PTJ83" s="143"/>
      <c r="PTK83" s="143"/>
      <c r="PTL83" s="143"/>
      <c r="PTM83" s="143"/>
      <c r="PTN83" s="143"/>
      <c r="PTO83" s="143"/>
      <c r="PTP83" s="143"/>
      <c r="PTQ83" s="143"/>
      <c r="PTR83" s="143"/>
      <c r="PTS83" s="143"/>
      <c r="PTT83" s="143"/>
      <c r="PTU83" s="143"/>
      <c r="PTV83" s="143"/>
      <c r="PTW83" s="143"/>
      <c r="PTX83" s="143"/>
      <c r="PTY83" s="143"/>
      <c r="PTZ83" s="143"/>
      <c r="PUA83" s="143"/>
      <c r="PUB83" s="143"/>
      <c r="PUC83" s="143"/>
      <c r="PUD83" s="143"/>
      <c r="PUE83" s="143"/>
      <c r="PUF83" s="143"/>
      <c r="PUG83" s="143"/>
      <c r="PUH83" s="143"/>
      <c r="PUI83" s="143"/>
      <c r="PUJ83" s="143"/>
      <c r="PUK83" s="143"/>
      <c r="PUL83" s="143"/>
      <c r="PUM83" s="143"/>
      <c r="PUN83" s="143"/>
      <c r="PUO83" s="143"/>
      <c r="PUP83" s="143"/>
      <c r="PUQ83" s="143"/>
      <c r="PUR83" s="143"/>
      <c r="PUS83" s="143"/>
      <c r="PUT83" s="143"/>
      <c r="PUU83" s="143"/>
      <c r="PUV83" s="143"/>
      <c r="PUW83" s="143"/>
      <c r="PUX83" s="143"/>
      <c r="PUY83" s="143"/>
      <c r="PUZ83" s="143"/>
      <c r="PVA83" s="143"/>
      <c r="PVB83" s="143"/>
      <c r="PVC83" s="143"/>
      <c r="PVD83" s="143"/>
      <c r="PVE83" s="143"/>
      <c r="PVF83" s="143"/>
      <c r="PVG83" s="143"/>
      <c r="PVH83" s="143"/>
      <c r="PVI83" s="143"/>
      <c r="PVJ83" s="143"/>
      <c r="PVK83" s="143"/>
      <c r="PVL83" s="143"/>
      <c r="PVM83" s="143"/>
      <c r="PVN83" s="143"/>
      <c r="PVO83" s="143"/>
      <c r="PVP83" s="143"/>
      <c r="PVQ83" s="143"/>
      <c r="PVR83" s="143"/>
      <c r="PVS83" s="143"/>
      <c r="PVT83" s="143"/>
      <c r="PVU83" s="143"/>
      <c r="PVV83" s="143"/>
      <c r="PVW83" s="143"/>
      <c r="PVX83" s="143"/>
      <c r="PVY83" s="143"/>
      <c r="PVZ83" s="143"/>
      <c r="PWA83" s="143"/>
      <c r="PWB83" s="143"/>
      <c r="PWC83" s="143"/>
      <c r="PWD83" s="143"/>
      <c r="PWE83" s="143"/>
      <c r="PWF83" s="143"/>
      <c r="PWG83" s="143"/>
      <c r="PWH83" s="143"/>
      <c r="PWI83" s="143"/>
      <c r="PWJ83" s="143"/>
      <c r="PWK83" s="143"/>
      <c r="PWL83" s="143"/>
      <c r="PWM83" s="143"/>
      <c r="PWN83" s="143"/>
      <c r="PWO83" s="143"/>
      <c r="PWP83" s="143"/>
      <c r="PWQ83" s="143"/>
      <c r="PWR83" s="143"/>
      <c r="PWS83" s="143"/>
      <c r="PWT83" s="143"/>
      <c r="PWU83" s="143"/>
      <c r="PWV83" s="143"/>
      <c r="PWW83" s="143"/>
      <c r="PWX83" s="143"/>
      <c r="PWY83" s="143"/>
      <c r="PWZ83" s="143"/>
      <c r="PXA83" s="143"/>
      <c r="PXB83" s="143"/>
      <c r="PXC83" s="143"/>
      <c r="PXD83" s="143"/>
      <c r="PXE83" s="143"/>
      <c r="PXF83" s="143"/>
      <c r="PXG83" s="143"/>
      <c r="PXH83" s="143"/>
      <c r="PXI83" s="143"/>
      <c r="PXJ83" s="143"/>
      <c r="PXK83" s="143"/>
      <c r="PXL83" s="143"/>
      <c r="PXM83" s="143"/>
      <c r="PXN83" s="143"/>
      <c r="PXO83" s="143"/>
      <c r="PXP83" s="143"/>
      <c r="PXQ83" s="143"/>
      <c r="PXR83" s="143"/>
      <c r="PXS83" s="143"/>
      <c r="PXT83" s="143"/>
      <c r="PXU83" s="143"/>
      <c r="PXV83" s="143"/>
      <c r="PXW83" s="143"/>
      <c r="PXX83" s="143"/>
      <c r="PXY83" s="143"/>
      <c r="PXZ83" s="143"/>
      <c r="PYA83" s="143"/>
      <c r="PYB83" s="143"/>
      <c r="PYC83" s="143"/>
      <c r="PYD83" s="143"/>
      <c r="PYE83" s="143"/>
      <c r="PYF83" s="143"/>
      <c r="PYG83" s="143"/>
      <c r="PYH83" s="143"/>
      <c r="PYI83" s="143"/>
      <c r="PYJ83" s="143"/>
      <c r="PYK83" s="143"/>
      <c r="PYL83" s="143"/>
      <c r="PYM83" s="143"/>
      <c r="PYN83" s="143"/>
      <c r="PYO83" s="143"/>
      <c r="PYP83" s="143"/>
      <c r="PYQ83" s="143"/>
      <c r="PYR83" s="143"/>
      <c r="PYS83" s="143"/>
      <c r="PYT83" s="143"/>
      <c r="PYU83" s="143"/>
      <c r="PYV83" s="143"/>
      <c r="PYW83" s="143"/>
      <c r="PYX83" s="143"/>
      <c r="PYY83" s="143"/>
      <c r="PYZ83" s="143"/>
      <c r="PZA83" s="143"/>
      <c r="PZB83" s="143"/>
      <c r="PZC83" s="143"/>
      <c r="PZD83" s="143"/>
      <c r="PZE83" s="143"/>
      <c r="PZF83" s="143"/>
      <c r="PZG83" s="143"/>
      <c r="PZH83" s="143"/>
      <c r="PZI83" s="143"/>
      <c r="PZJ83" s="143"/>
      <c r="PZK83" s="143"/>
      <c r="PZL83" s="143"/>
      <c r="PZM83" s="143"/>
      <c r="PZN83" s="143"/>
      <c r="PZO83" s="143"/>
      <c r="PZP83" s="143"/>
      <c r="PZQ83" s="143"/>
      <c r="PZR83" s="143"/>
      <c r="PZS83" s="143"/>
      <c r="PZT83" s="143"/>
      <c r="PZU83" s="143"/>
      <c r="PZV83" s="143"/>
      <c r="PZW83" s="143"/>
      <c r="PZX83" s="143"/>
      <c r="PZY83" s="143"/>
      <c r="PZZ83" s="143"/>
      <c r="QAA83" s="143"/>
      <c r="QAB83" s="143"/>
      <c r="QAC83" s="143"/>
      <c r="QAD83" s="143"/>
      <c r="QAE83" s="143"/>
      <c r="QAF83" s="143"/>
      <c r="QAG83" s="143"/>
      <c r="QAH83" s="143"/>
      <c r="QAI83" s="143"/>
      <c r="QAJ83" s="143"/>
      <c r="QAK83" s="143"/>
      <c r="QAL83" s="143"/>
      <c r="QAM83" s="143"/>
      <c r="QAN83" s="143"/>
      <c r="QAO83" s="143"/>
      <c r="QAP83" s="143"/>
      <c r="QAQ83" s="143"/>
      <c r="QAR83" s="143"/>
      <c r="QAS83" s="143"/>
      <c r="QAT83" s="143"/>
      <c r="QAU83" s="143"/>
      <c r="QAV83" s="143"/>
      <c r="QAW83" s="143"/>
      <c r="QAX83" s="143"/>
      <c r="QAY83" s="143"/>
      <c r="QAZ83" s="143"/>
      <c r="QBA83" s="143"/>
      <c r="QBB83" s="143"/>
      <c r="QBC83" s="143"/>
      <c r="QBD83" s="143"/>
      <c r="QBE83" s="143"/>
      <c r="QBF83" s="143"/>
      <c r="QBG83" s="143"/>
      <c r="QBH83" s="143"/>
      <c r="QBI83" s="143"/>
      <c r="QBJ83" s="143"/>
      <c r="QBK83" s="143"/>
      <c r="QBL83" s="143"/>
      <c r="QBM83" s="143"/>
      <c r="QBN83" s="143"/>
      <c r="QBO83" s="143"/>
      <c r="QBP83" s="143"/>
      <c r="QBQ83" s="143"/>
      <c r="QBR83" s="143"/>
      <c r="QBS83" s="143"/>
      <c r="QBT83" s="143"/>
      <c r="QBU83" s="143"/>
      <c r="QBV83" s="143"/>
      <c r="QBW83" s="143"/>
      <c r="QBX83" s="143"/>
      <c r="QBY83" s="143"/>
      <c r="QBZ83" s="143"/>
      <c r="QCA83" s="143"/>
      <c r="QCB83" s="143"/>
      <c r="QCC83" s="143"/>
      <c r="QCD83" s="143"/>
      <c r="QCE83" s="143"/>
      <c r="QCF83" s="143"/>
      <c r="QCG83" s="143"/>
      <c r="QCH83" s="143"/>
      <c r="QCI83" s="143"/>
      <c r="QCJ83" s="143"/>
      <c r="QCK83" s="143"/>
      <c r="QCL83" s="143"/>
      <c r="QCM83" s="143"/>
      <c r="QCN83" s="143"/>
      <c r="QCO83" s="143"/>
      <c r="QCP83" s="143"/>
      <c r="QCQ83" s="143"/>
      <c r="QCR83" s="143"/>
      <c r="QCS83" s="143"/>
      <c r="QCT83" s="143"/>
      <c r="QCU83" s="143"/>
      <c r="QCV83" s="143"/>
      <c r="QCW83" s="143"/>
      <c r="QCX83" s="143"/>
      <c r="QCY83" s="143"/>
      <c r="QCZ83" s="143"/>
      <c r="QDA83" s="143"/>
      <c r="QDB83" s="143"/>
      <c r="QDC83" s="143"/>
      <c r="QDD83" s="143"/>
      <c r="QDE83" s="143"/>
      <c r="QDF83" s="143"/>
      <c r="QDG83" s="143"/>
      <c r="QDH83" s="143"/>
      <c r="QDI83" s="143"/>
      <c r="QDJ83" s="143"/>
      <c r="QDK83" s="143"/>
      <c r="QDL83" s="143"/>
      <c r="QDM83" s="143"/>
      <c r="QDN83" s="143"/>
      <c r="QDO83" s="143"/>
      <c r="QDP83" s="143"/>
      <c r="QDQ83" s="143"/>
      <c r="QDR83" s="143"/>
      <c r="QDS83" s="143"/>
      <c r="QDT83" s="143"/>
      <c r="QDU83" s="143"/>
      <c r="QDV83" s="143"/>
      <c r="QDW83" s="143"/>
      <c r="QDX83" s="143"/>
      <c r="QDY83" s="143"/>
      <c r="QDZ83" s="143"/>
      <c r="QEA83" s="143"/>
      <c r="QEB83" s="143"/>
      <c r="QEC83" s="143"/>
      <c r="QED83" s="143"/>
      <c r="QEE83" s="143"/>
      <c r="QEF83" s="143"/>
      <c r="QEG83" s="143"/>
      <c r="QEH83" s="143"/>
      <c r="QEI83" s="143"/>
      <c r="QEJ83" s="143"/>
      <c r="QEK83" s="143"/>
      <c r="QEL83" s="143"/>
      <c r="QEM83" s="143"/>
      <c r="QEN83" s="143"/>
      <c r="QEO83" s="143"/>
      <c r="QEP83" s="143"/>
      <c r="QEQ83" s="143"/>
      <c r="QER83" s="143"/>
      <c r="QES83" s="143"/>
      <c r="QET83" s="143"/>
      <c r="QEU83" s="143"/>
      <c r="QEV83" s="143"/>
      <c r="QEW83" s="143"/>
      <c r="QEX83" s="143"/>
      <c r="QEY83" s="143"/>
      <c r="QEZ83" s="143"/>
      <c r="QFA83" s="143"/>
      <c r="QFB83" s="143"/>
      <c r="QFC83" s="143"/>
      <c r="QFD83" s="143"/>
      <c r="QFE83" s="143"/>
      <c r="QFF83" s="143"/>
      <c r="QFG83" s="143"/>
      <c r="QFH83" s="143"/>
      <c r="QFI83" s="143"/>
      <c r="QFJ83" s="143"/>
      <c r="QFK83" s="143"/>
      <c r="QFL83" s="143"/>
      <c r="QFM83" s="143"/>
      <c r="QFN83" s="143"/>
      <c r="QFO83" s="143"/>
      <c r="QFP83" s="143"/>
      <c r="QFQ83" s="143"/>
      <c r="QFR83" s="143"/>
      <c r="QFS83" s="143"/>
      <c r="QFT83" s="143"/>
      <c r="QFU83" s="143"/>
      <c r="QFV83" s="143"/>
      <c r="QFW83" s="143"/>
      <c r="QFX83" s="143"/>
      <c r="QFY83" s="143"/>
      <c r="QFZ83" s="143"/>
      <c r="QGA83" s="143"/>
      <c r="QGB83" s="143"/>
      <c r="QGC83" s="143"/>
      <c r="QGD83" s="143"/>
      <c r="QGE83" s="143"/>
      <c r="QGF83" s="143"/>
      <c r="QGG83" s="143"/>
      <c r="QGH83" s="143"/>
      <c r="QGI83" s="143"/>
      <c r="QGJ83" s="143"/>
      <c r="QGK83" s="143"/>
      <c r="QGL83" s="143"/>
      <c r="QGM83" s="143"/>
      <c r="QGN83" s="143"/>
      <c r="QGO83" s="143"/>
      <c r="QGP83" s="143"/>
      <c r="QGQ83" s="143"/>
      <c r="QGR83" s="143"/>
      <c r="QGS83" s="143"/>
      <c r="QGT83" s="143"/>
      <c r="QGU83" s="143"/>
      <c r="QGV83" s="143"/>
      <c r="QGW83" s="143"/>
      <c r="QGX83" s="143"/>
      <c r="QGY83" s="143"/>
      <c r="QGZ83" s="143"/>
      <c r="QHA83" s="143"/>
      <c r="QHB83" s="143"/>
      <c r="QHC83" s="143"/>
      <c r="QHD83" s="143"/>
      <c r="QHE83" s="143"/>
      <c r="QHF83" s="143"/>
      <c r="QHG83" s="143"/>
      <c r="QHH83" s="143"/>
      <c r="QHI83" s="143"/>
      <c r="QHJ83" s="143"/>
      <c r="QHK83" s="143"/>
      <c r="QHL83" s="143"/>
      <c r="QHM83" s="143"/>
      <c r="QHN83" s="143"/>
      <c r="QHO83" s="143"/>
      <c r="QHP83" s="143"/>
      <c r="QHQ83" s="143"/>
      <c r="QHR83" s="143"/>
      <c r="QHS83" s="143"/>
      <c r="QHT83" s="143"/>
      <c r="QHU83" s="143"/>
      <c r="QHV83" s="143"/>
      <c r="QHW83" s="143"/>
      <c r="QHX83" s="143"/>
      <c r="QHY83" s="143"/>
      <c r="QHZ83" s="143"/>
      <c r="QIA83" s="143"/>
      <c r="QIB83" s="143"/>
      <c r="QIC83" s="143"/>
      <c r="QID83" s="143"/>
      <c r="QIE83" s="143"/>
      <c r="QIF83" s="143"/>
      <c r="QIG83" s="143"/>
      <c r="QIH83" s="143"/>
      <c r="QII83" s="143"/>
      <c r="QIJ83" s="143"/>
      <c r="QIK83" s="143"/>
      <c r="QIL83" s="143"/>
      <c r="QIM83" s="143"/>
      <c r="QIN83" s="143"/>
      <c r="QIO83" s="143"/>
      <c r="QIP83" s="143"/>
      <c r="QIQ83" s="143"/>
      <c r="QIR83" s="143"/>
      <c r="QIS83" s="143"/>
      <c r="QIT83" s="143"/>
      <c r="QIU83" s="143"/>
      <c r="QIV83" s="143"/>
      <c r="QIW83" s="143"/>
      <c r="QIX83" s="143"/>
      <c r="QIY83" s="143"/>
      <c r="QIZ83" s="143"/>
      <c r="QJA83" s="143"/>
      <c r="QJB83" s="143"/>
      <c r="QJC83" s="143"/>
      <c r="QJD83" s="143"/>
      <c r="QJE83" s="143"/>
      <c r="QJF83" s="143"/>
      <c r="QJG83" s="143"/>
      <c r="QJH83" s="143"/>
      <c r="QJI83" s="143"/>
      <c r="QJJ83" s="143"/>
      <c r="QJK83" s="143"/>
      <c r="QJL83" s="143"/>
      <c r="QJM83" s="143"/>
      <c r="QJN83" s="143"/>
      <c r="QJO83" s="143"/>
      <c r="QJP83" s="143"/>
      <c r="QJQ83" s="143"/>
      <c r="QJR83" s="143"/>
      <c r="QJS83" s="143"/>
      <c r="QJT83" s="143"/>
      <c r="QJU83" s="143"/>
      <c r="QJV83" s="143"/>
      <c r="QJW83" s="143"/>
      <c r="QJX83" s="143"/>
      <c r="QJY83" s="143"/>
      <c r="QJZ83" s="143"/>
      <c r="QKA83" s="143"/>
      <c r="QKB83" s="143"/>
      <c r="QKC83" s="143"/>
      <c r="QKD83" s="143"/>
      <c r="QKE83" s="143"/>
      <c r="QKF83" s="143"/>
      <c r="QKG83" s="143"/>
      <c r="QKH83" s="143"/>
      <c r="QKI83" s="143"/>
      <c r="QKJ83" s="143"/>
      <c r="QKK83" s="143"/>
      <c r="QKL83" s="143"/>
      <c r="QKM83" s="143"/>
      <c r="QKN83" s="143"/>
      <c r="QKO83" s="143"/>
      <c r="QKP83" s="143"/>
      <c r="QKQ83" s="143"/>
      <c r="QKR83" s="143"/>
      <c r="QKS83" s="143"/>
      <c r="QKT83" s="143"/>
      <c r="QKU83" s="143"/>
      <c r="QKV83" s="143"/>
      <c r="QKW83" s="143"/>
      <c r="QKX83" s="143"/>
      <c r="QKY83" s="143"/>
      <c r="QKZ83" s="143"/>
      <c r="QLA83" s="143"/>
      <c r="QLB83" s="143"/>
      <c r="QLC83" s="143"/>
      <c r="QLD83" s="143"/>
      <c r="QLE83" s="143"/>
      <c r="QLF83" s="143"/>
      <c r="QLG83" s="143"/>
      <c r="QLH83" s="143"/>
      <c r="QLI83" s="143"/>
      <c r="QLJ83" s="143"/>
      <c r="QLK83" s="143"/>
      <c r="QLL83" s="143"/>
      <c r="QLM83" s="143"/>
      <c r="QLN83" s="143"/>
      <c r="QLO83" s="143"/>
      <c r="QLP83" s="143"/>
      <c r="QLQ83" s="143"/>
      <c r="QLR83" s="143"/>
      <c r="QLS83" s="143"/>
      <c r="QLT83" s="143"/>
      <c r="QLU83" s="143"/>
      <c r="QLV83" s="143"/>
      <c r="QLW83" s="143"/>
      <c r="QLX83" s="143"/>
      <c r="QLY83" s="143"/>
      <c r="QLZ83" s="143"/>
      <c r="QMA83" s="143"/>
      <c r="QMB83" s="143"/>
      <c r="QMC83" s="143"/>
      <c r="QMD83" s="143"/>
      <c r="QME83" s="143"/>
      <c r="QMF83" s="143"/>
      <c r="QMG83" s="143"/>
      <c r="QMH83" s="143"/>
      <c r="QMI83" s="143"/>
      <c r="QMJ83" s="143"/>
      <c r="QMK83" s="143"/>
      <c r="QML83" s="143"/>
      <c r="QMM83" s="143"/>
      <c r="QMN83" s="143"/>
      <c r="QMO83" s="143"/>
      <c r="QMP83" s="143"/>
      <c r="QMQ83" s="143"/>
      <c r="QMR83" s="143"/>
      <c r="QMS83" s="143"/>
      <c r="QMT83" s="143"/>
      <c r="QMU83" s="143"/>
      <c r="QMV83" s="143"/>
      <c r="QMW83" s="143"/>
      <c r="QMX83" s="143"/>
      <c r="QMY83" s="143"/>
      <c r="QMZ83" s="143"/>
      <c r="QNA83" s="143"/>
      <c r="QNB83" s="143"/>
      <c r="QNC83" s="143"/>
      <c r="QND83" s="143"/>
      <c r="QNE83" s="143"/>
      <c r="QNF83" s="143"/>
      <c r="QNG83" s="143"/>
      <c r="QNH83" s="143"/>
      <c r="QNI83" s="143"/>
      <c r="QNJ83" s="143"/>
      <c r="QNK83" s="143"/>
      <c r="QNL83" s="143"/>
      <c r="QNM83" s="143"/>
      <c r="QNN83" s="143"/>
      <c r="QNO83" s="143"/>
      <c r="QNP83" s="143"/>
      <c r="QNQ83" s="143"/>
      <c r="QNR83" s="143"/>
      <c r="QNS83" s="143"/>
      <c r="QNT83" s="143"/>
      <c r="QNU83" s="143"/>
      <c r="QNV83" s="143"/>
      <c r="QNW83" s="143"/>
      <c r="QNX83" s="143"/>
      <c r="QNY83" s="143"/>
      <c r="QNZ83" s="143"/>
      <c r="QOA83" s="143"/>
      <c r="QOB83" s="143"/>
      <c r="QOC83" s="143"/>
      <c r="QOD83" s="143"/>
      <c r="QOE83" s="143"/>
      <c r="QOF83" s="143"/>
      <c r="QOG83" s="143"/>
      <c r="QOH83" s="143"/>
      <c r="QOI83" s="143"/>
      <c r="QOJ83" s="143"/>
      <c r="QOK83" s="143"/>
      <c r="QOL83" s="143"/>
      <c r="QOM83" s="143"/>
      <c r="QON83" s="143"/>
      <c r="QOO83" s="143"/>
      <c r="QOP83" s="143"/>
      <c r="QOQ83" s="143"/>
      <c r="QOR83" s="143"/>
      <c r="QOS83" s="143"/>
      <c r="QOT83" s="143"/>
      <c r="QOU83" s="143"/>
      <c r="QOV83" s="143"/>
      <c r="QOW83" s="143"/>
      <c r="QOX83" s="143"/>
      <c r="QOY83" s="143"/>
      <c r="QOZ83" s="143"/>
      <c r="QPA83" s="143"/>
      <c r="QPB83" s="143"/>
      <c r="QPC83" s="143"/>
      <c r="QPD83" s="143"/>
      <c r="QPE83" s="143"/>
      <c r="QPF83" s="143"/>
      <c r="QPG83" s="143"/>
      <c r="QPH83" s="143"/>
      <c r="QPI83" s="143"/>
      <c r="QPJ83" s="143"/>
      <c r="QPK83" s="143"/>
      <c r="QPL83" s="143"/>
      <c r="QPM83" s="143"/>
      <c r="QPN83" s="143"/>
      <c r="QPO83" s="143"/>
      <c r="QPP83" s="143"/>
      <c r="QPQ83" s="143"/>
      <c r="QPR83" s="143"/>
      <c r="QPS83" s="143"/>
      <c r="QPT83" s="143"/>
      <c r="QPU83" s="143"/>
      <c r="QPV83" s="143"/>
      <c r="QPW83" s="143"/>
      <c r="QPX83" s="143"/>
      <c r="QPY83" s="143"/>
      <c r="QPZ83" s="143"/>
      <c r="QQA83" s="143"/>
      <c r="QQB83" s="143"/>
      <c r="QQC83" s="143"/>
      <c r="QQD83" s="143"/>
      <c r="QQE83" s="143"/>
      <c r="QQF83" s="143"/>
      <c r="QQG83" s="143"/>
      <c r="QQH83" s="143"/>
      <c r="QQI83" s="143"/>
      <c r="QQJ83" s="143"/>
      <c r="QQK83" s="143"/>
      <c r="QQL83" s="143"/>
      <c r="QQM83" s="143"/>
      <c r="QQN83" s="143"/>
      <c r="QQO83" s="143"/>
      <c r="QQP83" s="143"/>
      <c r="QQQ83" s="143"/>
      <c r="QQR83" s="143"/>
      <c r="QQS83" s="143"/>
      <c r="QQT83" s="143"/>
      <c r="QQU83" s="143"/>
      <c r="QQV83" s="143"/>
      <c r="QQW83" s="143"/>
      <c r="QQX83" s="143"/>
      <c r="QQY83" s="143"/>
      <c r="QQZ83" s="143"/>
      <c r="QRA83" s="143"/>
      <c r="QRB83" s="143"/>
      <c r="QRC83" s="143"/>
      <c r="QRD83" s="143"/>
      <c r="QRE83" s="143"/>
      <c r="QRF83" s="143"/>
      <c r="QRG83" s="143"/>
      <c r="QRH83" s="143"/>
      <c r="QRI83" s="143"/>
      <c r="QRJ83" s="143"/>
      <c r="QRK83" s="143"/>
      <c r="QRL83" s="143"/>
      <c r="QRM83" s="143"/>
      <c r="QRN83" s="143"/>
      <c r="QRO83" s="143"/>
      <c r="QRP83" s="143"/>
      <c r="QRQ83" s="143"/>
      <c r="QRR83" s="143"/>
      <c r="QRS83" s="143"/>
      <c r="QRT83" s="143"/>
      <c r="QRU83" s="143"/>
      <c r="QRV83" s="143"/>
      <c r="QRW83" s="143"/>
      <c r="QRX83" s="143"/>
      <c r="QRY83" s="143"/>
      <c r="QRZ83" s="143"/>
      <c r="QSA83" s="143"/>
      <c r="QSB83" s="143"/>
      <c r="QSC83" s="143"/>
      <c r="QSD83" s="143"/>
      <c r="QSE83" s="143"/>
      <c r="QSF83" s="143"/>
      <c r="QSG83" s="143"/>
      <c r="QSH83" s="143"/>
      <c r="QSI83" s="143"/>
      <c r="QSJ83" s="143"/>
      <c r="QSK83" s="143"/>
      <c r="QSL83" s="143"/>
      <c r="QSM83" s="143"/>
      <c r="QSN83" s="143"/>
      <c r="QSO83" s="143"/>
      <c r="QSP83" s="143"/>
      <c r="QSQ83" s="143"/>
      <c r="QSR83" s="143"/>
      <c r="QSS83" s="143"/>
      <c r="QST83" s="143"/>
      <c r="QSU83" s="143"/>
      <c r="QSV83" s="143"/>
      <c r="QSW83" s="143"/>
      <c r="QSX83" s="143"/>
      <c r="QSY83" s="143"/>
      <c r="QSZ83" s="143"/>
      <c r="QTA83" s="143"/>
      <c r="QTB83" s="143"/>
      <c r="QTC83" s="143"/>
      <c r="QTD83" s="143"/>
      <c r="QTE83" s="143"/>
      <c r="QTF83" s="143"/>
      <c r="QTG83" s="143"/>
      <c r="QTH83" s="143"/>
      <c r="QTI83" s="143"/>
      <c r="QTJ83" s="143"/>
      <c r="QTK83" s="143"/>
      <c r="QTL83" s="143"/>
      <c r="QTM83" s="143"/>
      <c r="QTN83" s="143"/>
      <c r="QTO83" s="143"/>
      <c r="QTP83" s="143"/>
      <c r="QTQ83" s="143"/>
      <c r="QTR83" s="143"/>
      <c r="QTS83" s="143"/>
      <c r="QTT83" s="143"/>
      <c r="QTU83" s="143"/>
      <c r="QTV83" s="143"/>
      <c r="QTW83" s="143"/>
      <c r="QTX83" s="143"/>
      <c r="QTY83" s="143"/>
      <c r="QTZ83" s="143"/>
      <c r="QUA83" s="143"/>
      <c r="QUB83" s="143"/>
      <c r="QUC83" s="143"/>
      <c r="QUD83" s="143"/>
      <c r="QUE83" s="143"/>
      <c r="QUF83" s="143"/>
      <c r="QUG83" s="143"/>
      <c r="QUH83" s="143"/>
      <c r="QUI83" s="143"/>
      <c r="QUJ83" s="143"/>
      <c r="QUK83" s="143"/>
      <c r="QUL83" s="143"/>
      <c r="QUM83" s="143"/>
      <c r="QUN83" s="143"/>
      <c r="QUO83" s="143"/>
      <c r="QUP83" s="143"/>
      <c r="QUQ83" s="143"/>
      <c r="QUR83" s="143"/>
      <c r="QUS83" s="143"/>
      <c r="QUT83" s="143"/>
      <c r="QUU83" s="143"/>
      <c r="QUV83" s="143"/>
      <c r="QUW83" s="143"/>
      <c r="QUX83" s="143"/>
      <c r="QUY83" s="143"/>
      <c r="QUZ83" s="143"/>
      <c r="QVA83" s="143"/>
      <c r="QVB83" s="143"/>
      <c r="QVC83" s="143"/>
      <c r="QVD83" s="143"/>
      <c r="QVE83" s="143"/>
      <c r="QVF83" s="143"/>
      <c r="QVG83" s="143"/>
      <c r="QVH83" s="143"/>
      <c r="QVI83" s="143"/>
      <c r="QVJ83" s="143"/>
      <c r="QVK83" s="143"/>
      <c r="QVL83" s="143"/>
      <c r="QVM83" s="143"/>
      <c r="QVN83" s="143"/>
      <c r="QVO83" s="143"/>
      <c r="QVP83" s="143"/>
      <c r="QVQ83" s="143"/>
      <c r="QVR83" s="143"/>
      <c r="QVS83" s="143"/>
      <c r="QVT83" s="143"/>
      <c r="QVU83" s="143"/>
      <c r="QVV83" s="143"/>
      <c r="QVW83" s="143"/>
      <c r="QVX83" s="143"/>
      <c r="QVY83" s="143"/>
      <c r="QVZ83" s="143"/>
      <c r="QWA83" s="143"/>
      <c r="QWB83" s="143"/>
      <c r="QWC83" s="143"/>
      <c r="QWD83" s="143"/>
      <c r="QWE83" s="143"/>
      <c r="QWF83" s="143"/>
      <c r="QWG83" s="143"/>
      <c r="QWH83" s="143"/>
      <c r="QWI83" s="143"/>
      <c r="QWJ83" s="143"/>
      <c r="QWK83" s="143"/>
      <c r="QWL83" s="143"/>
      <c r="QWM83" s="143"/>
      <c r="QWN83" s="143"/>
      <c r="QWO83" s="143"/>
      <c r="QWP83" s="143"/>
      <c r="QWQ83" s="143"/>
      <c r="QWR83" s="143"/>
      <c r="QWS83" s="143"/>
      <c r="QWT83" s="143"/>
      <c r="QWU83" s="143"/>
      <c r="QWV83" s="143"/>
      <c r="QWW83" s="143"/>
      <c r="QWX83" s="143"/>
      <c r="QWY83" s="143"/>
      <c r="QWZ83" s="143"/>
      <c r="QXA83" s="143"/>
      <c r="QXB83" s="143"/>
      <c r="QXC83" s="143"/>
      <c r="QXD83" s="143"/>
      <c r="QXE83" s="143"/>
      <c r="QXF83" s="143"/>
      <c r="QXG83" s="143"/>
      <c r="QXH83" s="143"/>
      <c r="QXI83" s="143"/>
      <c r="QXJ83" s="143"/>
      <c r="QXK83" s="143"/>
      <c r="QXL83" s="143"/>
      <c r="QXM83" s="143"/>
      <c r="QXN83" s="143"/>
      <c r="QXO83" s="143"/>
      <c r="QXP83" s="143"/>
      <c r="QXQ83" s="143"/>
      <c r="QXR83" s="143"/>
      <c r="QXS83" s="143"/>
      <c r="QXT83" s="143"/>
      <c r="QXU83" s="143"/>
      <c r="QXV83" s="143"/>
      <c r="QXW83" s="143"/>
      <c r="QXX83" s="143"/>
      <c r="QXY83" s="143"/>
      <c r="QXZ83" s="143"/>
      <c r="QYA83" s="143"/>
      <c r="QYB83" s="143"/>
      <c r="QYC83" s="143"/>
      <c r="QYD83" s="143"/>
      <c r="QYE83" s="143"/>
      <c r="QYF83" s="143"/>
      <c r="QYG83" s="143"/>
      <c r="QYH83" s="143"/>
      <c r="QYI83" s="143"/>
      <c r="QYJ83" s="143"/>
      <c r="QYK83" s="143"/>
      <c r="QYL83" s="143"/>
      <c r="QYM83" s="143"/>
      <c r="QYN83" s="143"/>
      <c r="QYO83" s="143"/>
      <c r="QYP83" s="143"/>
      <c r="QYQ83" s="143"/>
      <c r="QYR83" s="143"/>
      <c r="QYS83" s="143"/>
      <c r="QYT83" s="143"/>
      <c r="QYU83" s="143"/>
      <c r="QYV83" s="143"/>
      <c r="QYW83" s="143"/>
      <c r="QYX83" s="143"/>
      <c r="QYY83" s="143"/>
      <c r="QYZ83" s="143"/>
      <c r="QZA83" s="143"/>
      <c r="QZB83" s="143"/>
      <c r="QZC83" s="143"/>
      <c r="QZD83" s="143"/>
      <c r="QZE83" s="143"/>
      <c r="QZF83" s="143"/>
      <c r="QZG83" s="143"/>
      <c r="QZH83" s="143"/>
      <c r="QZI83" s="143"/>
      <c r="QZJ83" s="143"/>
      <c r="QZK83" s="143"/>
      <c r="QZL83" s="143"/>
      <c r="QZM83" s="143"/>
      <c r="QZN83" s="143"/>
      <c r="QZO83" s="143"/>
      <c r="QZP83" s="143"/>
      <c r="QZQ83" s="143"/>
      <c r="QZR83" s="143"/>
      <c r="QZS83" s="143"/>
      <c r="QZT83" s="143"/>
      <c r="QZU83" s="143"/>
      <c r="QZV83" s="143"/>
      <c r="QZW83" s="143"/>
      <c r="QZX83" s="143"/>
      <c r="QZY83" s="143"/>
      <c r="QZZ83" s="143"/>
      <c r="RAA83" s="143"/>
      <c r="RAB83" s="143"/>
      <c r="RAC83" s="143"/>
      <c r="RAD83" s="143"/>
      <c r="RAE83" s="143"/>
      <c r="RAF83" s="143"/>
      <c r="RAG83" s="143"/>
      <c r="RAH83" s="143"/>
      <c r="RAI83" s="143"/>
      <c r="RAJ83" s="143"/>
      <c r="RAK83" s="143"/>
      <c r="RAL83" s="143"/>
      <c r="RAM83" s="143"/>
      <c r="RAN83" s="143"/>
      <c r="RAO83" s="143"/>
      <c r="RAP83" s="143"/>
      <c r="RAQ83" s="143"/>
      <c r="RAR83" s="143"/>
      <c r="RAS83" s="143"/>
      <c r="RAT83" s="143"/>
      <c r="RAU83" s="143"/>
      <c r="RAV83" s="143"/>
      <c r="RAW83" s="143"/>
      <c r="RAX83" s="143"/>
      <c r="RAY83" s="143"/>
      <c r="RAZ83" s="143"/>
      <c r="RBA83" s="143"/>
      <c r="RBB83" s="143"/>
      <c r="RBC83" s="143"/>
      <c r="RBD83" s="143"/>
      <c r="RBE83" s="143"/>
      <c r="RBF83" s="143"/>
      <c r="RBG83" s="143"/>
      <c r="RBH83" s="143"/>
      <c r="RBI83" s="143"/>
      <c r="RBJ83" s="143"/>
      <c r="RBK83" s="143"/>
      <c r="RBL83" s="143"/>
      <c r="RBM83" s="143"/>
      <c r="RBN83" s="143"/>
      <c r="RBO83" s="143"/>
      <c r="RBP83" s="143"/>
      <c r="RBQ83" s="143"/>
      <c r="RBR83" s="143"/>
      <c r="RBS83" s="143"/>
      <c r="RBT83" s="143"/>
      <c r="RBU83" s="143"/>
      <c r="RBV83" s="143"/>
      <c r="RBW83" s="143"/>
      <c r="RBX83" s="143"/>
      <c r="RBY83" s="143"/>
      <c r="RBZ83" s="143"/>
      <c r="RCA83" s="143"/>
      <c r="RCB83" s="143"/>
      <c r="RCC83" s="143"/>
      <c r="RCD83" s="143"/>
      <c r="RCE83" s="143"/>
      <c r="RCF83" s="143"/>
      <c r="RCG83" s="143"/>
      <c r="RCH83" s="143"/>
      <c r="RCI83" s="143"/>
      <c r="RCJ83" s="143"/>
      <c r="RCK83" s="143"/>
      <c r="RCL83" s="143"/>
      <c r="RCM83" s="143"/>
      <c r="RCN83" s="143"/>
      <c r="RCO83" s="143"/>
      <c r="RCP83" s="143"/>
      <c r="RCQ83" s="143"/>
      <c r="RCR83" s="143"/>
      <c r="RCS83" s="143"/>
      <c r="RCT83" s="143"/>
      <c r="RCU83" s="143"/>
      <c r="RCV83" s="143"/>
      <c r="RCW83" s="143"/>
      <c r="RCX83" s="143"/>
      <c r="RCY83" s="143"/>
      <c r="RCZ83" s="143"/>
      <c r="RDA83" s="143"/>
      <c r="RDB83" s="143"/>
      <c r="RDC83" s="143"/>
      <c r="RDD83" s="143"/>
      <c r="RDE83" s="143"/>
      <c r="RDF83" s="143"/>
      <c r="RDG83" s="143"/>
      <c r="RDH83" s="143"/>
      <c r="RDI83" s="143"/>
      <c r="RDJ83" s="143"/>
      <c r="RDK83" s="143"/>
      <c r="RDL83" s="143"/>
      <c r="RDM83" s="143"/>
      <c r="RDN83" s="143"/>
      <c r="RDO83" s="143"/>
      <c r="RDP83" s="143"/>
      <c r="RDQ83" s="143"/>
      <c r="RDR83" s="143"/>
      <c r="RDS83" s="143"/>
      <c r="RDT83" s="143"/>
      <c r="RDU83" s="143"/>
      <c r="RDV83" s="143"/>
      <c r="RDW83" s="143"/>
      <c r="RDX83" s="143"/>
      <c r="RDY83" s="143"/>
      <c r="RDZ83" s="143"/>
      <c r="REA83" s="143"/>
      <c r="REB83" s="143"/>
      <c r="REC83" s="143"/>
      <c r="RED83" s="143"/>
      <c r="REE83" s="143"/>
      <c r="REF83" s="143"/>
      <c r="REG83" s="143"/>
      <c r="REH83" s="143"/>
      <c r="REI83" s="143"/>
      <c r="REJ83" s="143"/>
      <c r="REK83" s="143"/>
      <c r="REL83" s="143"/>
      <c r="REM83" s="143"/>
      <c r="REN83" s="143"/>
      <c r="REO83" s="143"/>
      <c r="REP83" s="143"/>
      <c r="REQ83" s="143"/>
      <c r="RER83" s="143"/>
      <c r="RES83" s="143"/>
      <c r="RET83" s="143"/>
      <c r="REU83" s="143"/>
      <c r="REV83" s="143"/>
      <c r="REW83" s="143"/>
      <c r="REX83" s="143"/>
      <c r="REY83" s="143"/>
      <c r="REZ83" s="143"/>
      <c r="RFA83" s="143"/>
      <c r="RFB83" s="143"/>
      <c r="RFC83" s="143"/>
      <c r="RFD83" s="143"/>
      <c r="RFE83" s="143"/>
      <c r="RFF83" s="143"/>
      <c r="RFG83" s="143"/>
      <c r="RFH83" s="143"/>
      <c r="RFI83" s="143"/>
      <c r="RFJ83" s="143"/>
      <c r="RFK83" s="143"/>
      <c r="RFL83" s="143"/>
      <c r="RFM83" s="143"/>
      <c r="RFN83" s="143"/>
      <c r="RFO83" s="143"/>
      <c r="RFP83" s="143"/>
      <c r="RFQ83" s="143"/>
      <c r="RFR83" s="143"/>
      <c r="RFS83" s="143"/>
      <c r="RFT83" s="143"/>
      <c r="RFU83" s="143"/>
      <c r="RFV83" s="143"/>
      <c r="RFW83" s="143"/>
      <c r="RFX83" s="143"/>
      <c r="RFY83" s="143"/>
      <c r="RFZ83" s="143"/>
      <c r="RGA83" s="143"/>
      <c r="RGB83" s="143"/>
      <c r="RGC83" s="143"/>
      <c r="RGD83" s="143"/>
      <c r="RGE83" s="143"/>
      <c r="RGF83" s="143"/>
      <c r="RGG83" s="143"/>
      <c r="RGH83" s="143"/>
      <c r="RGI83" s="143"/>
      <c r="RGJ83" s="143"/>
      <c r="RGK83" s="143"/>
      <c r="RGL83" s="143"/>
      <c r="RGM83" s="143"/>
      <c r="RGN83" s="143"/>
      <c r="RGO83" s="143"/>
      <c r="RGP83" s="143"/>
      <c r="RGQ83" s="143"/>
      <c r="RGR83" s="143"/>
      <c r="RGS83" s="143"/>
      <c r="RGT83" s="143"/>
      <c r="RGU83" s="143"/>
      <c r="RGV83" s="143"/>
      <c r="RGW83" s="143"/>
      <c r="RGX83" s="143"/>
      <c r="RGY83" s="143"/>
      <c r="RGZ83" s="143"/>
      <c r="RHA83" s="143"/>
      <c r="RHB83" s="143"/>
      <c r="RHC83" s="143"/>
      <c r="RHD83" s="143"/>
      <c r="RHE83" s="143"/>
      <c r="RHF83" s="143"/>
      <c r="RHG83" s="143"/>
      <c r="RHH83" s="143"/>
      <c r="RHI83" s="143"/>
      <c r="RHJ83" s="143"/>
      <c r="RHK83" s="143"/>
      <c r="RHL83" s="143"/>
      <c r="RHM83" s="143"/>
      <c r="RHN83" s="143"/>
      <c r="RHO83" s="143"/>
      <c r="RHP83" s="143"/>
      <c r="RHQ83" s="143"/>
      <c r="RHR83" s="143"/>
      <c r="RHS83" s="143"/>
      <c r="RHT83" s="143"/>
      <c r="RHU83" s="143"/>
      <c r="RHV83" s="143"/>
      <c r="RHW83" s="143"/>
      <c r="RHX83" s="143"/>
      <c r="RHY83" s="143"/>
      <c r="RHZ83" s="143"/>
      <c r="RIA83" s="143"/>
      <c r="RIB83" s="143"/>
      <c r="RIC83" s="143"/>
      <c r="RID83" s="143"/>
      <c r="RIE83" s="143"/>
      <c r="RIF83" s="143"/>
      <c r="RIG83" s="143"/>
      <c r="RIH83" s="143"/>
      <c r="RII83" s="143"/>
      <c r="RIJ83" s="143"/>
      <c r="RIK83" s="143"/>
      <c r="RIL83" s="143"/>
      <c r="RIM83" s="143"/>
      <c r="RIN83" s="143"/>
      <c r="RIO83" s="143"/>
      <c r="RIP83" s="143"/>
      <c r="RIQ83" s="143"/>
      <c r="RIR83" s="143"/>
      <c r="RIS83" s="143"/>
      <c r="RIT83" s="143"/>
      <c r="RIU83" s="143"/>
      <c r="RIV83" s="143"/>
      <c r="RIW83" s="143"/>
      <c r="RIX83" s="143"/>
      <c r="RIY83" s="143"/>
      <c r="RIZ83" s="143"/>
      <c r="RJA83" s="143"/>
      <c r="RJB83" s="143"/>
      <c r="RJC83" s="143"/>
      <c r="RJD83" s="143"/>
      <c r="RJE83" s="143"/>
      <c r="RJF83" s="143"/>
      <c r="RJG83" s="143"/>
      <c r="RJH83" s="143"/>
      <c r="RJI83" s="143"/>
      <c r="RJJ83" s="143"/>
      <c r="RJK83" s="143"/>
      <c r="RJL83" s="143"/>
      <c r="RJM83" s="143"/>
      <c r="RJN83" s="143"/>
      <c r="RJO83" s="143"/>
      <c r="RJP83" s="143"/>
      <c r="RJQ83" s="143"/>
      <c r="RJR83" s="143"/>
      <c r="RJS83" s="143"/>
      <c r="RJT83" s="143"/>
      <c r="RJU83" s="143"/>
      <c r="RJV83" s="143"/>
      <c r="RJW83" s="143"/>
      <c r="RJX83" s="143"/>
      <c r="RJY83" s="143"/>
      <c r="RJZ83" s="143"/>
      <c r="RKA83" s="143"/>
      <c r="RKB83" s="143"/>
      <c r="RKC83" s="143"/>
      <c r="RKD83" s="143"/>
      <c r="RKE83" s="143"/>
      <c r="RKF83" s="143"/>
      <c r="RKG83" s="143"/>
      <c r="RKH83" s="143"/>
      <c r="RKI83" s="143"/>
      <c r="RKJ83" s="143"/>
      <c r="RKK83" s="143"/>
      <c r="RKL83" s="143"/>
      <c r="RKM83" s="143"/>
      <c r="RKN83" s="143"/>
      <c r="RKO83" s="143"/>
      <c r="RKP83" s="143"/>
      <c r="RKQ83" s="143"/>
      <c r="RKR83" s="143"/>
      <c r="RKS83" s="143"/>
      <c r="RKT83" s="143"/>
      <c r="RKU83" s="143"/>
      <c r="RKV83" s="143"/>
      <c r="RKW83" s="143"/>
      <c r="RKX83" s="143"/>
      <c r="RKY83" s="143"/>
      <c r="RKZ83" s="143"/>
      <c r="RLA83" s="143"/>
      <c r="RLB83" s="143"/>
      <c r="RLC83" s="143"/>
      <c r="RLD83" s="143"/>
      <c r="RLE83" s="143"/>
      <c r="RLF83" s="143"/>
      <c r="RLG83" s="143"/>
      <c r="RLH83" s="143"/>
      <c r="RLI83" s="143"/>
      <c r="RLJ83" s="143"/>
      <c r="RLK83" s="143"/>
      <c r="RLL83" s="143"/>
      <c r="RLM83" s="143"/>
      <c r="RLN83" s="143"/>
      <c r="RLO83" s="143"/>
      <c r="RLP83" s="143"/>
      <c r="RLQ83" s="143"/>
      <c r="RLR83" s="143"/>
      <c r="RLS83" s="143"/>
      <c r="RLT83" s="143"/>
      <c r="RLU83" s="143"/>
      <c r="RLV83" s="143"/>
      <c r="RLW83" s="143"/>
      <c r="RLX83" s="143"/>
      <c r="RLY83" s="143"/>
      <c r="RLZ83" s="143"/>
      <c r="RMA83" s="143"/>
      <c r="RMB83" s="143"/>
      <c r="RMC83" s="143"/>
      <c r="RMD83" s="143"/>
      <c r="RME83" s="143"/>
      <c r="RMF83" s="143"/>
      <c r="RMG83" s="143"/>
      <c r="RMH83" s="143"/>
      <c r="RMI83" s="143"/>
      <c r="RMJ83" s="143"/>
      <c r="RMK83" s="143"/>
      <c r="RML83" s="143"/>
      <c r="RMM83" s="143"/>
      <c r="RMN83" s="143"/>
      <c r="RMO83" s="143"/>
      <c r="RMP83" s="143"/>
      <c r="RMQ83" s="143"/>
      <c r="RMR83" s="143"/>
      <c r="RMS83" s="143"/>
      <c r="RMT83" s="143"/>
      <c r="RMU83" s="143"/>
      <c r="RMV83" s="143"/>
      <c r="RMW83" s="143"/>
      <c r="RMX83" s="143"/>
      <c r="RMY83" s="143"/>
      <c r="RMZ83" s="143"/>
      <c r="RNA83" s="143"/>
      <c r="RNB83" s="143"/>
      <c r="RNC83" s="143"/>
      <c r="RND83" s="143"/>
      <c r="RNE83" s="143"/>
      <c r="RNF83" s="143"/>
      <c r="RNG83" s="143"/>
      <c r="RNH83" s="143"/>
      <c r="RNI83" s="143"/>
      <c r="RNJ83" s="143"/>
      <c r="RNK83" s="143"/>
      <c r="RNL83" s="143"/>
      <c r="RNM83" s="143"/>
      <c r="RNN83" s="143"/>
      <c r="RNO83" s="143"/>
      <c r="RNP83" s="143"/>
      <c r="RNQ83" s="143"/>
      <c r="RNR83" s="143"/>
      <c r="RNS83" s="143"/>
      <c r="RNT83" s="143"/>
      <c r="RNU83" s="143"/>
      <c r="RNV83" s="143"/>
      <c r="RNW83" s="143"/>
      <c r="RNX83" s="143"/>
      <c r="RNY83" s="143"/>
      <c r="RNZ83" s="143"/>
      <c r="ROA83" s="143"/>
      <c r="ROB83" s="143"/>
      <c r="ROC83" s="143"/>
      <c r="ROD83" s="143"/>
      <c r="ROE83" s="143"/>
      <c r="ROF83" s="143"/>
      <c r="ROG83" s="143"/>
      <c r="ROH83" s="143"/>
      <c r="ROI83" s="143"/>
      <c r="ROJ83" s="143"/>
      <c r="ROK83" s="143"/>
      <c r="ROL83" s="143"/>
      <c r="ROM83" s="143"/>
      <c r="RON83" s="143"/>
      <c r="ROO83" s="143"/>
      <c r="ROP83" s="143"/>
      <c r="ROQ83" s="143"/>
      <c r="ROR83" s="143"/>
      <c r="ROS83" s="143"/>
      <c r="ROT83" s="143"/>
      <c r="ROU83" s="143"/>
      <c r="ROV83" s="143"/>
      <c r="ROW83" s="143"/>
      <c r="ROX83" s="143"/>
      <c r="ROY83" s="143"/>
      <c r="ROZ83" s="143"/>
      <c r="RPA83" s="143"/>
      <c r="RPB83" s="143"/>
      <c r="RPC83" s="143"/>
      <c r="RPD83" s="143"/>
      <c r="RPE83" s="143"/>
      <c r="RPF83" s="143"/>
      <c r="RPG83" s="143"/>
      <c r="RPH83" s="143"/>
      <c r="RPI83" s="143"/>
      <c r="RPJ83" s="143"/>
      <c r="RPK83" s="143"/>
      <c r="RPL83" s="143"/>
      <c r="RPM83" s="143"/>
      <c r="RPN83" s="143"/>
      <c r="RPO83" s="143"/>
      <c r="RPP83" s="143"/>
      <c r="RPQ83" s="143"/>
      <c r="RPR83" s="143"/>
      <c r="RPS83" s="143"/>
      <c r="RPT83" s="143"/>
      <c r="RPU83" s="143"/>
      <c r="RPV83" s="143"/>
      <c r="RPW83" s="143"/>
      <c r="RPX83" s="143"/>
      <c r="RPY83" s="143"/>
      <c r="RPZ83" s="143"/>
      <c r="RQA83" s="143"/>
      <c r="RQB83" s="143"/>
      <c r="RQC83" s="143"/>
      <c r="RQD83" s="143"/>
      <c r="RQE83" s="143"/>
      <c r="RQF83" s="143"/>
      <c r="RQG83" s="143"/>
      <c r="RQH83" s="143"/>
      <c r="RQI83" s="143"/>
      <c r="RQJ83" s="143"/>
      <c r="RQK83" s="143"/>
      <c r="RQL83" s="143"/>
      <c r="RQM83" s="143"/>
      <c r="RQN83" s="143"/>
      <c r="RQO83" s="143"/>
      <c r="RQP83" s="143"/>
      <c r="RQQ83" s="143"/>
      <c r="RQR83" s="143"/>
      <c r="RQS83" s="143"/>
      <c r="RQT83" s="143"/>
      <c r="RQU83" s="143"/>
      <c r="RQV83" s="143"/>
      <c r="RQW83" s="143"/>
      <c r="RQX83" s="143"/>
      <c r="RQY83" s="143"/>
      <c r="RQZ83" s="143"/>
      <c r="RRA83" s="143"/>
      <c r="RRB83" s="143"/>
      <c r="RRC83" s="143"/>
      <c r="RRD83" s="143"/>
      <c r="RRE83" s="143"/>
      <c r="RRF83" s="143"/>
      <c r="RRG83" s="143"/>
      <c r="RRH83" s="143"/>
      <c r="RRI83" s="143"/>
      <c r="RRJ83" s="143"/>
      <c r="RRK83" s="143"/>
      <c r="RRL83" s="143"/>
      <c r="RRM83" s="143"/>
      <c r="RRN83" s="143"/>
      <c r="RRO83" s="143"/>
      <c r="RRP83" s="143"/>
      <c r="RRQ83" s="143"/>
      <c r="RRR83" s="143"/>
      <c r="RRS83" s="143"/>
      <c r="RRT83" s="143"/>
      <c r="RRU83" s="143"/>
      <c r="RRV83" s="143"/>
      <c r="RRW83" s="143"/>
      <c r="RRX83" s="143"/>
      <c r="RRY83" s="143"/>
      <c r="RRZ83" s="143"/>
      <c r="RSA83" s="143"/>
      <c r="RSB83" s="143"/>
      <c r="RSC83" s="143"/>
      <c r="RSD83" s="143"/>
      <c r="RSE83" s="143"/>
      <c r="RSF83" s="143"/>
      <c r="RSG83" s="143"/>
      <c r="RSH83" s="143"/>
      <c r="RSI83" s="143"/>
      <c r="RSJ83" s="143"/>
      <c r="RSK83" s="143"/>
      <c r="RSL83" s="143"/>
      <c r="RSM83" s="143"/>
      <c r="RSN83" s="143"/>
      <c r="RSO83" s="143"/>
      <c r="RSP83" s="143"/>
      <c r="RSQ83" s="143"/>
      <c r="RSR83" s="143"/>
      <c r="RSS83" s="143"/>
      <c r="RST83" s="143"/>
      <c r="RSU83" s="143"/>
      <c r="RSV83" s="143"/>
      <c r="RSW83" s="143"/>
      <c r="RSX83" s="143"/>
      <c r="RSY83" s="143"/>
      <c r="RSZ83" s="143"/>
      <c r="RTA83" s="143"/>
      <c r="RTB83" s="143"/>
      <c r="RTC83" s="143"/>
      <c r="RTD83" s="143"/>
      <c r="RTE83" s="143"/>
      <c r="RTF83" s="143"/>
      <c r="RTG83" s="143"/>
      <c r="RTH83" s="143"/>
      <c r="RTI83" s="143"/>
      <c r="RTJ83" s="143"/>
      <c r="RTK83" s="143"/>
      <c r="RTL83" s="143"/>
      <c r="RTM83" s="143"/>
      <c r="RTN83" s="143"/>
      <c r="RTO83" s="143"/>
      <c r="RTP83" s="143"/>
      <c r="RTQ83" s="143"/>
      <c r="RTR83" s="143"/>
      <c r="RTS83" s="143"/>
      <c r="RTT83" s="143"/>
      <c r="RTU83" s="143"/>
      <c r="RTV83" s="143"/>
      <c r="RTW83" s="143"/>
      <c r="RTX83" s="143"/>
      <c r="RTY83" s="143"/>
      <c r="RTZ83" s="143"/>
      <c r="RUA83" s="143"/>
      <c r="RUB83" s="143"/>
      <c r="RUC83" s="143"/>
      <c r="RUD83" s="143"/>
      <c r="RUE83" s="143"/>
      <c r="RUF83" s="143"/>
      <c r="RUG83" s="143"/>
      <c r="RUH83" s="143"/>
      <c r="RUI83" s="143"/>
      <c r="RUJ83" s="143"/>
      <c r="RUK83" s="143"/>
      <c r="RUL83" s="143"/>
      <c r="RUM83" s="143"/>
      <c r="RUN83" s="143"/>
      <c r="RUO83" s="143"/>
      <c r="RUP83" s="143"/>
      <c r="RUQ83" s="143"/>
      <c r="RUR83" s="143"/>
      <c r="RUS83" s="143"/>
      <c r="RUT83" s="143"/>
      <c r="RUU83" s="143"/>
      <c r="RUV83" s="143"/>
      <c r="RUW83" s="143"/>
      <c r="RUX83" s="143"/>
      <c r="RUY83" s="143"/>
      <c r="RUZ83" s="143"/>
      <c r="RVA83" s="143"/>
      <c r="RVB83" s="143"/>
      <c r="RVC83" s="143"/>
      <c r="RVD83" s="143"/>
      <c r="RVE83" s="143"/>
      <c r="RVF83" s="143"/>
      <c r="RVG83" s="143"/>
      <c r="RVH83" s="143"/>
      <c r="RVI83" s="143"/>
      <c r="RVJ83" s="143"/>
      <c r="RVK83" s="143"/>
      <c r="RVL83" s="143"/>
      <c r="RVM83" s="143"/>
      <c r="RVN83" s="143"/>
      <c r="RVO83" s="143"/>
      <c r="RVP83" s="143"/>
      <c r="RVQ83" s="143"/>
      <c r="RVR83" s="143"/>
      <c r="RVS83" s="143"/>
      <c r="RVT83" s="143"/>
      <c r="RVU83" s="143"/>
      <c r="RVV83" s="143"/>
      <c r="RVW83" s="143"/>
      <c r="RVX83" s="143"/>
      <c r="RVY83" s="143"/>
      <c r="RVZ83" s="143"/>
      <c r="RWA83" s="143"/>
      <c r="RWB83" s="143"/>
      <c r="RWC83" s="143"/>
      <c r="RWD83" s="143"/>
      <c r="RWE83" s="143"/>
      <c r="RWF83" s="143"/>
      <c r="RWG83" s="143"/>
      <c r="RWH83" s="143"/>
      <c r="RWI83" s="143"/>
      <c r="RWJ83" s="143"/>
      <c r="RWK83" s="143"/>
      <c r="RWL83" s="143"/>
      <c r="RWM83" s="143"/>
      <c r="RWN83" s="143"/>
      <c r="RWO83" s="143"/>
      <c r="RWP83" s="143"/>
      <c r="RWQ83" s="143"/>
      <c r="RWR83" s="143"/>
      <c r="RWS83" s="143"/>
      <c r="RWT83" s="143"/>
      <c r="RWU83" s="143"/>
      <c r="RWV83" s="143"/>
      <c r="RWW83" s="143"/>
      <c r="RWX83" s="143"/>
      <c r="RWY83" s="143"/>
      <c r="RWZ83" s="143"/>
      <c r="RXA83" s="143"/>
      <c r="RXB83" s="143"/>
      <c r="RXC83" s="143"/>
      <c r="RXD83" s="143"/>
      <c r="RXE83" s="143"/>
      <c r="RXF83" s="143"/>
      <c r="RXG83" s="143"/>
      <c r="RXH83" s="143"/>
      <c r="RXI83" s="143"/>
      <c r="RXJ83" s="143"/>
      <c r="RXK83" s="143"/>
      <c r="RXL83" s="143"/>
      <c r="RXM83" s="143"/>
      <c r="RXN83" s="143"/>
      <c r="RXO83" s="143"/>
      <c r="RXP83" s="143"/>
      <c r="RXQ83" s="143"/>
      <c r="RXR83" s="143"/>
      <c r="RXS83" s="143"/>
      <c r="RXT83" s="143"/>
      <c r="RXU83" s="143"/>
      <c r="RXV83" s="143"/>
      <c r="RXW83" s="143"/>
      <c r="RXX83" s="143"/>
      <c r="RXY83" s="143"/>
      <c r="RXZ83" s="143"/>
      <c r="RYA83" s="143"/>
      <c r="RYB83" s="143"/>
      <c r="RYC83" s="143"/>
      <c r="RYD83" s="143"/>
      <c r="RYE83" s="143"/>
      <c r="RYF83" s="143"/>
      <c r="RYG83" s="143"/>
      <c r="RYH83" s="143"/>
      <c r="RYI83" s="143"/>
      <c r="RYJ83" s="143"/>
      <c r="RYK83" s="143"/>
      <c r="RYL83" s="143"/>
      <c r="RYM83" s="143"/>
      <c r="RYN83" s="143"/>
      <c r="RYO83" s="143"/>
      <c r="RYP83" s="143"/>
      <c r="RYQ83" s="143"/>
      <c r="RYR83" s="143"/>
      <c r="RYS83" s="143"/>
      <c r="RYT83" s="143"/>
      <c r="RYU83" s="143"/>
      <c r="RYV83" s="143"/>
      <c r="RYW83" s="143"/>
      <c r="RYX83" s="143"/>
      <c r="RYY83" s="143"/>
      <c r="RYZ83" s="143"/>
      <c r="RZA83" s="143"/>
      <c r="RZB83" s="143"/>
      <c r="RZC83" s="143"/>
      <c r="RZD83" s="143"/>
      <c r="RZE83" s="143"/>
      <c r="RZF83" s="143"/>
      <c r="RZG83" s="143"/>
      <c r="RZH83" s="143"/>
      <c r="RZI83" s="143"/>
      <c r="RZJ83" s="143"/>
      <c r="RZK83" s="143"/>
      <c r="RZL83" s="143"/>
      <c r="RZM83" s="143"/>
      <c r="RZN83" s="143"/>
      <c r="RZO83" s="143"/>
      <c r="RZP83" s="143"/>
      <c r="RZQ83" s="143"/>
      <c r="RZR83" s="143"/>
      <c r="RZS83" s="143"/>
      <c r="RZT83" s="143"/>
      <c r="RZU83" s="143"/>
      <c r="RZV83" s="143"/>
      <c r="RZW83" s="143"/>
      <c r="RZX83" s="143"/>
      <c r="RZY83" s="143"/>
      <c r="RZZ83" s="143"/>
      <c r="SAA83" s="143"/>
      <c r="SAB83" s="143"/>
      <c r="SAC83" s="143"/>
      <c r="SAD83" s="143"/>
      <c r="SAE83" s="143"/>
      <c r="SAF83" s="143"/>
      <c r="SAG83" s="143"/>
      <c r="SAH83" s="143"/>
      <c r="SAI83" s="143"/>
      <c r="SAJ83" s="143"/>
      <c r="SAK83" s="143"/>
      <c r="SAL83" s="143"/>
      <c r="SAM83" s="143"/>
      <c r="SAN83" s="143"/>
      <c r="SAO83" s="143"/>
      <c r="SAP83" s="143"/>
      <c r="SAQ83" s="143"/>
      <c r="SAR83" s="143"/>
      <c r="SAS83" s="143"/>
      <c r="SAT83" s="143"/>
      <c r="SAU83" s="143"/>
      <c r="SAV83" s="143"/>
      <c r="SAW83" s="143"/>
      <c r="SAX83" s="143"/>
      <c r="SAY83" s="143"/>
      <c r="SAZ83" s="143"/>
      <c r="SBA83" s="143"/>
      <c r="SBB83" s="143"/>
      <c r="SBC83" s="143"/>
      <c r="SBD83" s="143"/>
      <c r="SBE83" s="143"/>
      <c r="SBF83" s="143"/>
      <c r="SBG83" s="143"/>
      <c r="SBH83" s="143"/>
      <c r="SBI83" s="143"/>
      <c r="SBJ83" s="143"/>
      <c r="SBK83" s="143"/>
      <c r="SBL83" s="143"/>
      <c r="SBM83" s="143"/>
      <c r="SBN83" s="143"/>
      <c r="SBO83" s="143"/>
      <c r="SBP83" s="143"/>
      <c r="SBQ83" s="143"/>
      <c r="SBR83" s="143"/>
      <c r="SBS83" s="143"/>
      <c r="SBT83" s="143"/>
      <c r="SBU83" s="143"/>
      <c r="SBV83" s="143"/>
      <c r="SBW83" s="143"/>
      <c r="SBX83" s="143"/>
      <c r="SBY83" s="143"/>
      <c r="SBZ83" s="143"/>
      <c r="SCA83" s="143"/>
      <c r="SCB83" s="143"/>
      <c r="SCC83" s="143"/>
      <c r="SCD83" s="143"/>
      <c r="SCE83" s="143"/>
      <c r="SCF83" s="143"/>
      <c r="SCG83" s="143"/>
      <c r="SCH83" s="143"/>
      <c r="SCI83" s="143"/>
      <c r="SCJ83" s="143"/>
      <c r="SCK83" s="143"/>
      <c r="SCL83" s="143"/>
      <c r="SCM83" s="143"/>
      <c r="SCN83" s="143"/>
      <c r="SCO83" s="143"/>
      <c r="SCP83" s="143"/>
      <c r="SCQ83" s="143"/>
      <c r="SCR83" s="143"/>
      <c r="SCS83" s="143"/>
      <c r="SCT83" s="143"/>
      <c r="SCU83" s="143"/>
      <c r="SCV83" s="143"/>
      <c r="SCW83" s="143"/>
      <c r="SCX83" s="143"/>
      <c r="SCY83" s="143"/>
      <c r="SCZ83" s="143"/>
      <c r="SDA83" s="143"/>
      <c r="SDB83" s="143"/>
      <c r="SDC83" s="143"/>
      <c r="SDD83" s="143"/>
      <c r="SDE83" s="143"/>
      <c r="SDF83" s="143"/>
      <c r="SDG83" s="143"/>
      <c r="SDH83" s="143"/>
      <c r="SDI83" s="143"/>
      <c r="SDJ83" s="143"/>
      <c r="SDK83" s="143"/>
      <c r="SDL83" s="143"/>
      <c r="SDM83" s="143"/>
      <c r="SDN83" s="143"/>
      <c r="SDO83" s="143"/>
      <c r="SDP83" s="143"/>
      <c r="SDQ83" s="143"/>
      <c r="SDR83" s="143"/>
      <c r="SDS83" s="143"/>
      <c r="SDT83" s="143"/>
      <c r="SDU83" s="143"/>
      <c r="SDV83" s="143"/>
      <c r="SDW83" s="143"/>
      <c r="SDX83" s="143"/>
      <c r="SDY83" s="143"/>
      <c r="SDZ83" s="143"/>
      <c r="SEA83" s="143"/>
      <c r="SEB83" s="143"/>
      <c r="SEC83" s="143"/>
      <c r="SED83" s="143"/>
      <c r="SEE83" s="143"/>
      <c r="SEF83" s="143"/>
      <c r="SEG83" s="143"/>
      <c r="SEH83" s="143"/>
      <c r="SEI83" s="143"/>
      <c r="SEJ83" s="143"/>
      <c r="SEK83" s="143"/>
      <c r="SEL83" s="143"/>
      <c r="SEM83" s="143"/>
      <c r="SEN83" s="143"/>
      <c r="SEO83" s="143"/>
      <c r="SEP83" s="143"/>
      <c r="SEQ83" s="143"/>
      <c r="SER83" s="143"/>
      <c r="SES83" s="143"/>
      <c r="SET83" s="143"/>
      <c r="SEU83" s="143"/>
      <c r="SEV83" s="143"/>
      <c r="SEW83" s="143"/>
      <c r="SEX83" s="143"/>
      <c r="SEY83" s="143"/>
      <c r="SEZ83" s="143"/>
      <c r="SFA83" s="143"/>
      <c r="SFB83" s="143"/>
      <c r="SFC83" s="143"/>
      <c r="SFD83" s="143"/>
      <c r="SFE83" s="143"/>
      <c r="SFF83" s="143"/>
      <c r="SFG83" s="143"/>
      <c r="SFH83" s="143"/>
      <c r="SFI83" s="143"/>
      <c r="SFJ83" s="143"/>
      <c r="SFK83" s="143"/>
      <c r="SFL83" s="143"/>
      <c r="SFM83" s="143"/>
      <c r="SFN83" s="143"/>
      <c r="SFO83" s="143"/>
      <c r="SFP83" s="143"/>
      <c r="SFQ83" s="143"/>
      <c r="SFR83" s="143"/>
      <c r="SFS83" s="143"/>
      <c r="SFT83" s="143"/>
      <c r="SFU83" s="143"/>
      <c r="SFV83" s="143"/>
      <c r="SFW83" s="143"/>
      <c r="SFX83" s="143"/>
      <c r="SFY83" s="143"/>
      <c r="SFZ83" s="143"/>
      <c r="SGA83" s="143"/>
      <c r="SGB83" s="143"/>
      <c r="SGC83" s="143"/>
      <c r="SGD83" s="143"/>
      <c r="SGE83" s="143"/>
      <c r="SGF83" s="143"/>
      <c r="SGG83" s="143"/>
      <c r="SGH83" s="143"/>
      <c r="SGI83" s="143"/>
      <c r="SGJ83" s="143"/>
      <c r="SGK83" s="143"/>
      <c r="SGL83" s="143"/>
      <c r="SGM83" s="143"/>
      <c r="SGN83" s="143"/>
      <c r="SGO83" s="143"/>
      <c r="SGP83" s="143"/>
      <c r="SGQ83" s="143"/>
      <c r="SGR83" s="143"/>
      <c r="SGS83" s="143"/>
      <c r="SGT83" s="143"/>
      <c r="SGU83" s="143"/>
      <c r="SGV83" s="143"/>
      <c r="SGW83" s="143"/>
      <c r="SGX83" s="143"/>
      <c r="SGY83" s="143"/>
      <c r="SGZ83" s="143"/>
      <c r="SHA83" s="143"/>
      <c r="SHB83" s="143"/>
      <c r="SHC83" s="143"/>
      <c r="SHD83" s="143"/>
      <c r="SHE83" s="143"/>
      <c r="SHF83" s="143"/>
      <c r="SHG83" s="143"/>
      <c r="SHH83" s="143"/>
      <c r="SHI83" s="143"/>
      <c r="SHJ83" s="143"/>
      <c r="SHK83" s="143"/>
      <c r="SHL83" s="143"/>
      <c r="SHM83" s="143"/>
      <c r="SHN83" s="143"/>
      <c r="SHO83" s="143"/>
      <c r="SHP83" s="143"/>
      <c r="SHQ83" s="143"/>
      <c r="SHR83" s="143"/>
      <c r="SHS83" s="143"/>
      <c r="SHT83" s="143"/>
      <c r="SHU83" s="143"/>
      <c r="SHV83" s="143"/>
      <c r="SHW83" s="143"/>
      <c r="SHX83" s="143"/>
      <c r="SHY83" s="143"/>
      <c r="SHZ83" s="143"/>
      <c r="SIA83" s="143"/>
      <c r="SIB83" s="143"/>
      <c r="SIC83" s="143"/>
      <c r="SID83" s="143"/>
      <c r="SIE83" s="143"/>
      <c r="SIF83" s="143"/>
      <c r="SIG83" s="143"/>
      <c r="SIH83" s="143"/>
      <c r="SII83" s="143"/>
      <c r="SIJ83" s="143"/>
      <c r="SIK83" s="143"/>
      <c r="SIL83" s="143"/>
      <c r="SIM83" s="143"/>
      <c r="SIN83" s="143"/>
      <c r="SIO83" s="143"/>
      <c r="SIP83" s="143"/>
      <c r="SIQ83" s="143"/>
      <c r="SIR83" s="143"/>
      <c r="SIS83" s="143"/>
      <c r="SIT83" s="143"/>
      <c r="SIU83" s="143"/>
      <c r="SIV83" s="143"/>
      <c r="SIW83" s="143"/>
      <c r="SIX83" s="143"/>
      <c r="SIY83" s="143"/>
      <c r="SIZ83" s="143"/>
      <c r="SJA83" s="143"/>
      <c r="SJB83" s="143"/>
      <c r="SJC83" s="143"/>
      <c r="SJD83" s="143"/>
      <c r="SJE83" s="143"/>
      <c r="SJF83" s="143"/>
      <c r="SJG83" s="143"/>
      <c r="SJH83" s="143"/>
      <c r="SJI83" s="143"/>
      <c r="SJJ83" s="143"/>
      <c r="SJK83" s="143"/>
      <c r="SJL83" s="143"/>
      <c r="SJM83" s="143"/>
      <c r="SJN83" s="143"/>
      <c r="SJO83" s="143"/>
      <c r="SJP83" s="143"/>
      <c r="SJQ83" s="143"/>
      <c r="SJR83" s="143"/>
      <c r="SJS83" s="143"/>
      <c r="SJT83" s="143"/>
      <c r="SJU83" s="143"/>
      <c r="SJV83" s="143"/>
      <c r="SJW83" s="143"/>
      <c r="SJX83" s="143"/>
      <c r="SJY83" s="143"/>
      <c r="SJZ83" s="143"/>
      <c r="SKA83" s="143"/>
      <c r="SKB83" s="143"/>
      <c r="SKC83" s="143"/>
      <c r="SKD83" s="143"/>
      <c r="SKE83" s="143"/>
      <c r="SKF83" s="143"/>
      <c r="SKG83" s="143"/>
      <c r="SKH83" s="143"/>
      <c r="SKI83" s="143"/>
      <c r="SKJ83" s="143"/>
      <c r="SKK83" s="143"/>
      <c r="SKL83" s="143"/>
      <c r="SKM83" s="143"/>
      <c r="SKN83" s="143"/>
      <c r="SKO83" s="143"/>
      <c r="SKP83" s="143"/>
      <c r="SKQ83" s="143"/>
      <c r="SKR83" s="143"/>
      <c r="SKS83" s="143"/>
      <c r="SKT83" s="143"/>
      <c r="SKU83" s="143"/>
      <c r="SKV83" s="143"/>
      <c r="SKW83" s="143"/>
      <c r="SKX83" s="143"/>
      <c r="SKY83" s="143"/>
      <c r="SKZ83" s="143"/>
      <c r="SLA83" s="143"/>
      <c r="SLB83" s="143"/>
      <c r="SLC83" s="143"/>
      <c r="SLD83" s="143"/>
      <c r="SLE83" s="143"/>
      <c r="SLF83" s="143"/>
      <c r="SLG83" s="143"/>
      <c r="SLH83" s="143"/>
      <c r="SLI83" s="143"/>
      <c r="SLJ83" s="143"/>
      <c r="SLK83" s="143"/>
      <c r="SLL83" s="143"/>
      <c r="SLM83" s="143"/>
      <c r="SLN83" s="143"/>
      <c r="SLO83" s="143"/>
      <c r="SLP83" s="143"/>
      <c r="SLQ83" s="143"/>
      <c r="SLR83" s="143"/>
      <c r="SLS83" s="143"/>
      <c r="SLT83" s="143"/>
      <c r="SLU83" s="143"/>
      <c r="SLV83" s="143"/>
      <c r="SLW83" s="143"/>
      <c r="SLX83" s="143"/>
      <c r="SLY83" s="143"/>
      <c r="SLZ83" s="143"/>
      <c r="SMA83" s="143"/>
      <c r="SMB83" s="143"/>
      <c r="SMC83" s="143"/>
      <c r="SMD83" s="143"/>
      <c r="SME83" s="143"/>
      <c r="SMF83" s="143"/>
      <c r="SMG83" s="143"/>
      <c r="SMH83" s="143"/>
      <c r="SMI83" s="143"/>
      <c r="SMJ83" s="143"/>
      <c r="SMK83" s="143"/>
      <c r="SML83" s="143"/>
      <c r="SMM83" s="143"/>
      <c r="SMN83" s="143"/>
      <c r="SMO83" s="143"/>
      <c r="SMP83" s="143"/>
      <c r="SMQ83" s="143"/>
      <c r="SMR83" s="143"/>
      <c r="SMS83" s="143"/>
      <c r="SMT83" s="143"/>
      <c r="SMU83" s="143"/>
      <c r="SMV83" s="143"/>
      <c r="SMW83" s="143"/>
      <c r="SMX83" s="143"/>
      <c r="SMY83" s="143"/>
      <c r="SMZ83" s="143"/>
      <c r="SNA83" s="143"/>
      <c r="SNB83" s="143"/>
      <c r="SNC83" s="143"/>
      <c r="SND83" s="143"/>
      <c r="SNE83" s="143"/>
      <c r="SNF83" s="143"/>
      <c r="SNG83" s="143"/>
      <c r="SNH83" s="143"/>
      <c r="SNI83" s="143"/>
      <c r="SNJ83" s="143"/>
      <c r="SNK83" s="143"/>
      <c r="SNL83" s="143"/>
      <c r="SNM83" s="143"/>
      <c r="SNN83" s="143"/>
      <c r="SNO83" s="143"/>
      <c r="SNP83" s="143"/>
      <c r="SNQ83" s="143"/>
      <c r="SNR83" s="143"/>
      <c r="SNS83" s="143"/>
      <c r="SNT83" s="143"/>
      <c r="SNU83" s="143"/>
      <c r="SNV83" s="143"/>
      <c r="SNW83" s="143"/>
      <c r="SNX83" s="143"/>
      <c r="SNY83" s="143"/>
      <c r="SNZ83" s="143"/>
      <c r="SOA83" s="143"/>
      <c r="SOB83" s="143"/>
      <c r="SOC83" s="143"/>
      <c r="SOD83" s="143"/>
      <c r="SOE83" s="143"/>
      <c r="SOF83" s="143"/>
      <c r="SOG83" s="143"/>
      <c r="SOH83" s="143"/>
      <c r="SOI83" s="143"/>
      <c r="SOJ83" s="143"/>
      <c r="SOK83" s="143"/>
      <c r="SOL83" s="143"/>
      <c r="SOM83" s="143"/>
      <c r="SON83" s="143"/>
      <c r="SOO83" s="143"/>
      <c r="SOP83" s="143"/>
      <c r="SOQ83" s="143"/>
      <c r="SOR83" s="143"/>
      <c r="SOS83" s="143"/>
      <c r="SOT83" s="143"/>
      <c r="SOU83" s="143"/>
      <c r="SOV83" s="143"/>
      <c r="SOW83" s="143"/>
      <c r="SOX83" s="143"/>
      <c r="SOY83" s="143"/>
      <c r="SOZ83" s="143"/>
      <c r="SPA83" s="143"/>
      <c r="SPB83" s="143"/>
      <c r="SPC83" s="143"/>
      <c r="SPD83" s="143"/>
      <c r="SPE83" s="143"/>
      <c r="SPF83" s="143"/>
      <c r="SPG83" s="143"/>
      <c r="SPH83" s="143"/>
      <c r="SPI83" s="143"/>
      <c r="SPJ83" s="143"/>
      <c r="SPK83" s="143"/>
      <c r="SPL83" s="143"/>
      <c r="SPM83" s="143"/>
      <c r="SPN83" s="143"/>
      <c r="SPO83" s="143"/>
      <c r="SPP83" s="143"/>
      <c r="SPQ83" s="143"/>
      <c r="SPR83" s="143"/>
      <c r="SPS83" s="143"/>
      <c r="SPT83" s="143"/>
      <c r="SPU83" s="143"/>
      <c r="SPV83" s="143"/>
      <c r="SPW83" s="143"/>
      <c r="SPX83" s="143"/>
      <c r="SPY83" s="143"/>
      <c r="SPZ83" s="143"/>
      <c r="SQA83" s="143"/>
      <c r="SQB83" s="143"/>
      <c r="SQC83" s="143"/>
      <c r="SQD83" s="143"/>
      <c r="SQE83" s="143"/>
      <c r="SQF83" s="143"/>
      <c r="SQG83" s="143"/>
      <c r="SQH83" s="143"/>
      <c r="SQI83" s="143"/>
      <c r="SQJ83" s="143"/>
      <c r="SQK83" s="143"/>
      <c r="SQL83" s="143"/>
      <c r="SQM83" s="143"/>
      <c r="SQN83" s="143"/>
      <c r="SQO83" s="143"/>
      <c r="SQP83" s="143"/>
      <c r="SQQ83" s="143"/>
      <c r="SQR83" s="143"/>
      <c r="SQS83" s="143"/>
      <c r="SQT83" s="143"/>
      <c r="SQU83" s="143"/>
      <c r="SQV83" s="143"/>
      <c r="SQW83" s="143"/>
      <c r="SQX83" s="143"/>
      <c r="SQY83" s="143"/>
      <c r="SQZ83" s="143"/>
      <c r="SRA83" s="143"/>
      <c r="SRB83" s="143"/>
      <c r="SRC83" s="143"/>
      <c r="SRD83" s="143"/>
      <c r="SRE83" s="143"/>
      <c r="SRF83" s="143"/>
      <c r="SRG83" s="143"/>
      <c r="SRH83" s="143"/>
      <c r="SRI83" s="143"/>
      <c r="SRJ83" s="143"/>
      <c r="SRK83" s="143"/>
      <c r="SRL83" s="143"/>
      <c r="SRM83" s="143"/>
      <c r="SRN83" s="143"/>
      <c r="SRO83" s="143"/>
      <c r="SRP83" s="143"/>
      <c r="SRQ83" s="143"/>
      <c r="SRR83" s="143"/>
      <c r="SRS83" s="143"/>
      <c r="SRT83" s="143"/>
      <c r="SRU83" s="143"/>
      <c r="SRV83" s="143"/>
      <c r="SRW83" s="143"/>
      <c r="SRX83" s="143"/>
      <c r="SRY83" s="143"/>
      <c r="SRZ83" s="143"/>
      <c r="SSA83" s="143"/>
      <c r="SSB83" s="143"/>
      <c r="SSC83" s="143"/>
      <c r="SSD83" s="143"/>
      <c r="SSE83" s="143"/>
      <c r="SSF83" s="143"/>
      <c r="SSG83" s="143"/>
      <c r="SSH83" s="143"/>
      <c r="SSI83" s="143"/>
      <c r="SSJ83" s="143"/>
      <c r="SSK83" s="143"/>
      <c r="SSL83" s="143"/>
      <c r="SSM83" s="143"/>
      <c r="SSN83" s="143"/>
      <c r="SSO83" s="143"/>
      <c r="SSP83" s="143"/>
      <c r="SSQ83" s="143"/>
      <c r="SSR83" s="143"/>
      <c r="SSS83" s="143"/>
      <c r="SST83" s="143"/>
      <c r="SSU83" s="143"/>
      <c r="SSV83" s="143"/>
      <c r="SSW83" s="143"/>
      <c r="SSX83" s="143"/>
      <c r="SSY83" s="143"/>
      <c r="SSZ83" s="143"/>
      <c r="STA83" s="143"/>
      <c r="STB83" s="143"/>
      <c r="STC83" s="143"/>
      <c r="STD83" s="143"/>
      <c r="STE83" s="143"/>
      <c r="STF83" s="143"/>
      <c r="STG83" s="143"/>
      <c r="STH83" s="143"/>
      <c r="STI83" s="143"/>
      <c r="STJ83" s="143"/>
      <c r="STK83" s="143"/>
      <c r="STL83" s="143"/>
      <c r="STM83" s="143"/>
      <c r="STN83" s="143"/>
      <c r="STO83" s="143"/>
      <c r="STP83" s="143"/>
      <c r="STQ83" s="143"/>
      <c r="STR83" s="143"/>
      <c r="STS83" s="143"/>
      <c r="STT83" s="143"/>
      <c r="STU83" s="143"/>
      <c r="STV83" s="143"/>
      <c r="STW83" s="143"/>
      <c r="STX83" s="143"/>
      <c r="STY83" s="143"/>
      <c r="STZ83" s="143"/>
      <c r="SUA83" s="143"/>
      <c r="SUB83" s="143"/>
      <c r="SUC83" s="143"/>
      <c r="SUD83" s="143"/>
      <c r="SUE83" s="143"/>
      <c r="SUF83" s="143"/>
      <c r="SUG83" s="143"/>
      <c r="SUH83" s="143"/>
      <c r="SUI83" s="143"/>
      <c r="SUJ83" s="143"/>
      <c r="SUK83" s="143"/>
      <c r="SUL83" s="143"/>
      <c r="SUM83" s="143"/>
      <c r="SUN83" s="143"/>
      <c r="SUO83" s="143"/>
      <c r="SUP83" s="143"/>
      <c r="SUQ83" s="143"/>
      <c r="SUR83" s="143"/>
      <c r="SUS83" s="143"/>
      <c r="SUT83" s="143"/>
      <c r="SUU83" s="143"/>
      <c r="SUV83" s="143"/>
      <c r="SUW83" s="143"/>
      <c r="SUX83" s="143"/>
      <c r="SUY83" s="143"/>
      <c r="SUZ83" s="143"/>
      <c r="SVA83" s="143"/>
      <c r="SVB83" s="143"/>
      <c r="SVC83" s="143"/>
      <c r="SVD83" s="143"/>
      <c r="SVE83" s="143"/>
      <c r="SVF83" s="143"/>
      <c r="SVG83" s="143"/>
      <c r="SVH83" s="143"/>
      <c r="SVI83" s="143"/>
      <c r="SVJ83" s="143"/>
      <c r="SVK83" s="143"/>
      <c r="SVL83" s="143"/>
      <c r="SVM83" s="143"/>
      <c r="SVN83" s="143"/>
      <c r="SVO83" s="143"/>
      <c r="SVP83" s="143"/>
      <c r="SVQ83" s="143"/>
      <c r="SVR83" s="143"/>
      <c r="SVS83" s="143"/>
      <c r="SVT83" s="143"/>
      <c r="SVU83" s="143"/>
      <c r="SVV83" s="143"/>
      <c r="SVW83" s="143"/>
      <c r="SVX83" s="143"/>
      <c r="SVY83" s="143"/>
      <c r="SVZ83" s="143"/>
      <c r="SWA83" s="143"/>
      <c r="SWB83" s="143"/>
      <c r="SWC83" s="143"/>
      <c r="SWD83" s="143"/>
      <c r="SWE83" s="143"/>
      <c r="SWF83" s="143"/>
      <c r="SWG83" s="143"/>
      <c r="SWH83" s="143"/>
      <c r="SWI83" s="143"/>
      <c r="SWJ83" s="143"/>
      <c r="SWK83" s="143"/>
      <c r="SWL83" s="143"/>
      <c r="SWM83" s="143"/>
      <c r="SWN83" s="143"/>
      <c r="SWO83" s="143"/>
      <c r="SWP83" s="143"/>
      <c r="SWQ83" s="143"/>
      <c r="SWR83" s="143"/>
      <c r="SWS83" s="143"/>
      <c r="SWT83" s="143"/>
      <c r="SWU83" s="143"/>
      <c r="SWV83" s="143"/>
      <c r="SWW83" s="143"/>
      <c r="SWX83" s="143"/>
      <c r="SWY83" s="143"/>
      <c r="SWZ83" s="143"/>
      <c r="SXA83" s="143"/>
      <c r="SXB83" s="143"/>
      <c r="SXC83" s="143"/>
      <c r="SXD83" s="143"/>
      <c r="SXE83" s="143"/>
      <c r="SXF83" s="143"/>
      <c r="SXG83" s="143"/>
      <c r="SXH83" s="143"/>
      <c r="SXI83" s="143"/>
      <c r="SXJ83" s="143"/>
      <c r="SXK83" s="143"/>
      <c r="SXL83" s="143"/>
      <c r="SXM83" s="143"/>
      <c r="SXN83" s="143"/>
      <c r="SXO83" s="143"/>
      <c r="SXP83" s="143"/>
      <c r="SXQ83" s="143"/>
      <c r="SXR83" s="143"/>
      <c r="SXS83" s="143"/>
      <c r="SXT83" s="143"/>
      <c r="SXU83" s="143"/>
      <c r="SXV83" s="143"/>
      <c r="SXW83" s="143"/>
      <c r="SXX83" s="143"/>
      <c r="SXY83" s="143"/>
      <c r="SXZ83" s="143"/>
      <c r="SYA83" s="143"/>
      <c r="SYB83" s="143"/>
      <c r="SYC83" s="143"/>
      <c r="SYD83" s="143"/>
      <c r="SYE83" s="143"/>
      <c r="SYF83" s="143"/>
      <c r="SYG83" s="143"/>
      <c r="SYH83" s="143"/>
      <c r="SYI83" s="143"/>
      <c r="SYJ83" s="143"/>
      <c r="SYK83" s="143"/>
      <c r="SYL83" s="143"/>
      <c r="SYM83" s="143"/>
      <c r="SYN83" s="143"/>
      <c r="SYO83" s="143"/>
      <c r="SYP83" s="143"/>
      <c r="SYQ83" s="143"/>
      <c r="SYR83" s="143"/>
      <c r="SYS83" s="143"/>
      <c r="SYT83" s="143"/>
      <c r="SYU83" s="143"/>
      <c r="SYV83" s="143"/>
      <c r="SYW83" s="143"/>
      <c r="SYX83" s="143"/>
      <c r="SYY83" s="143"/>
      <c r="SYZ83" s="143"/>
      <c r="SZA83" s="143"/>
      <c r="SZB83" s="143"/>
      <c r="SZC83" s="143"/>
      <c r="SZD83" s="143"/>
      <c r="SZE83" s="143"/>
      <c r="SZF83" s="143"/>
      <c r="SZG83" s="143"/>
      <c r="SZH83" s="143"/>
      <c r="SZI83" s="143"/>
      <c r="SZJ83" s="143"/>
      <c r="SZK83" s="143"/>
      <c r="SZL83" s="143"/>
      <c r="SZM83" s="143"/>
      <c r="SZN83" s="143"/>
      <c r="SZO83" s="143"/>
      <c r="SZP83" s="143"/>
      <c r="SZQ83" s="143"/>
      <c r="SZR83" s="143"/>
      <c r="SZS83" s="143"/>
      <c r="SZT83" s="143"/>
      <c r="SZU83" s="143"/>
      <c r="SZV83" s="143"/>
      <c r="SZW83" s="143"/>
      <c r="SZX83" s="143"/>
      <c r="SZY83" s="143"/>
      <c r="SZZ83" s="143"/>
      <c r="TAA83" s="143"/>
      <c r="TAB83" s="143"/>
      <c r="TAC83" s="143"/>
      <c r="TAD83" s="143"/>
      <c r="TAE83" s="143"/>
      <c r="TAF83" s="143"/>
      <c r="TAG83" s="143"/>
      <c r="TAH83" s="143"/>
      <c r="TAI83" s="143"/>
      <c r="TAJ83" s="143"/>
      <c r="TAK83" s="143"/>
      <c r="TAL83" s="143"/>
      <c r="TAM83" s="143"/>
      <c r="TAN83" s="143"/>
      <c r="TAO83" s="143"/>
      <c r="TAP83" s="143"/>
      <c r="TAQ83" s="143"/>
      <c r="TAR83" s="143"/>
      <c r="TAS83" s="143"/>
      <c r="TAT83" s="143"/>
      <c r="TAU83" s="143"/>
      <c r="TAV83" s="143"/>
      <c r="TAW83" s="143"/>
      <c r="TAX83" s="143"/>
      <c r="TAY83" s="143"/>
      <c r="TAZ83" s="143"/>
      <c r="TBA83" s="143"/>
      <c r="TBB83" s="143"/>
      <c r="TBC83" s="143"/>
      <c r="TBD83" s="143"/>
      <c r="TBE83" s="143"/>
      <c r="TBF83" s="143"/>
      <c r="TBG83" s="143"/>
      <c r="TBH83" s="143"/>
      <c r="TBI83" s="143"/>
      <c r="TBJ83" s="143"/>
      <c r="TBK83" s="143"/>
      <c r="TBL83" s="143"/>
      <c r="TBM83" s="143"/>
      <c r="TBN83" s="143"/>
      <c r="TBO83" s="143"/>
      <c r="TBP83" s="143"/>
      <c r="TBQ83" s="143"/>
      <c r="TBR83" s="143"/>
      <c r="TBS83" s="143"/>
      <c r="TBT83" s="143"/>
      <c r="TBU83" s="143"/>
      <c r="TBV83" s="143"/>
      <c r="TBW83" s="143"/>
      <c r="TBX83" s="143"/>
      <c r="TBY83" s="143"/>
      <c r="TBZ83" s="143"/>
      <c r="TCA83" s="143"/>
      <c r="TCB83" s="143"/>
      <c r="TCC83" s="143"/>
      <c r="TCD83" s="143"/>
      <c r="TCE83" s="143"/>
      <c r="TCF83" s="143"/>
      <c r="TCG83" s="143"/>
      <c r="TCH83" s="143"/>
      <c r="TCI83" s="143"/>
      <c r="TCJ83" s="143"/>
      <c r="TCK83" s="143"/>
      <c r="TCL83" s="143"/>
      <c r="TCM83" s="143"/>
      <c r="TCN83" s="143"/>
      <c r="TCO83" s="143"/>
      <c r="TCP83" s="143"/>
      <c r="TCQ83" s="143"/>
      <c r="TCR83" s="143"/>
      <c r="TCS83" s="143"/>
      <c r="TCT83" s="143"/>
      <c r="TCU83" s="143"/>
      <c r="TCV83" s="143"/>
      <c r="TCW83" s="143"/>
      <c r="TCX83" s="143"/>
      <c r="TCY83" s="143"/>
      <c r="TCZ83" s="143"/>
      <c r="TDA83" s="143"/>
      <c r="TDB83" s="143"/>
      <c r="TDC83" s="143"/>
      <c r="TDD83" s="143"/>
      <c r="TDE83" s="143"/>
      <c r="TDF83" s="143"/>
      <c r="TDG83" s="143"/>
      <c r="TDH83" s="143"/>
      <c r="TDI83" s="143"/>
      <c r="TDJ83" s="143"/>
      <c r="TDK83" s="143"/>
      <c r="TDL83" s="143"/>
      <c r="TDM83" s="143"/>
      <c r="TDN83" s="143"/>
      <c r="TDO83" s="143"/>
      <c r="TDP83" s="143"/>
      <c r="TDQ83" s="143"/>
      <c r="TDR83" s="143"/>
      <c r="TDS83" s="143"/>
      <c r="TDT83" s="143"/>
      <c r="TDU83" s="143"/>
      <c r="TDV83" s="143"/>
      <c r="TDW83" s="143"/>
      <c r="TDX83" s="143"/>
      <c r="TDY83" s="143"/>
      <c r="TDZ83" s="143"/>
      <c r="TEA83" s="143"/>
      <c r="TEB83" s="143"/>
      <c r="TEC83" s="143"/>
      <c r="TED83" s="143"/>
      <c r="TEE83" s="143"/>
      <c r="TEF83" s="143"/>
      <c r="TEG83" s="143"/>
      <c r="TEH83" s="143"/>
      <c r="TEI83" s="143"/>
      <c r="TEJ83" s="143"/>
      <c r="TEK83" s="143"/>
      <c r="TEL83" s="143"/>
      <c r="TEM83" s="143"/>
      <c r="TEN83" s="143"/>
      <c r="TEO83" s="143"/>
      <c r="TEP83" s="143"/>
      <c r="TEQ83" s="143"/>
      <c r="TER83" s="143"/>
      <c r="TES83" s="143"/>
      <c r="TET83" s="143"/>
      <c r="TEU83" s="143"/>
      <c r="TEV83" s="143"/>
      <c r="TEW83" s="143"/>
      <c r="TEX83" s="143"/>
      <c r="TEY83" s="143"/>
      <c r="TEZ83" s="143"/>
      <c r="TFA83" s="143"/>
      <c r="TFB83" s="143"/>
      <c r="TFC83" s="143"/>
      <c r="TFD83" s="143"/>
      <c r="TFE83" s="143"/>
      <c r="TFF83" s="143"/>
      <c r="TFG83" s="143"/>
      <c r="TFH83" s="143"/>
      <c r="TFI83" s="143"/>
      <c r="TFJ83" s="143"/>
      <c r="TFK83" s="143"/>
      <c r="TFL83" s="143"/>
      <c r="TFM83" s="143"/>
      <c r="TFN83" s="143"/>
      <c r="TFO83" s="143"/>
      <c r="TFP83" s="143"/>
      <c r="TFQ83" s="143"/>
      <c r="TFR83" s="143"/>
      <c r="TFS83" s="143"/>
      <c r="TFT83" s="143"/>
      <c r="TFU83" s="143"/>
      <c r="TFV83" s="143"/>
      <c r="TFW83" s="143"/>
      <c r="TFX83" s="143"/>
      <c r="TFY83" s="143"/>
      <c r="TFZ83" s="143"/>
      <c r="TGA83" s="143"/>
      <c r="TGB83" s="143"/>
      <c r="TGC83" s="143"/>
      <c r="TGD83" s="143"/>
      <c r="TGE83" s="143"/>
      <c r="TGF83" s="143"/>
      <c r="TGG83" s="143"/>
      <c r="TGH83" s="143"/>
      <c r="TGI83" s="143"/>
      <c r="TGJ83" s="143"/>
      <c r="TGK83" s="143"/>
      <c r="TGL83" s="143"/>
      <c r="TGM83" s="143"/>
      <c r="TGN83" s="143"/>
      <c r="TGO83" s="143"/>
      <c r="TGP83" s="143"/>
      <c r="TGQ83" s="143"/>
      <c r="TGR83" s="143"/>
      <c r="TGS83" s="143"/>
      <c r="TGT83" s="143"/>
      <c r="TGU83" s="143"/>
      <c r="TGV83" s="143"/>
      <c r="TGW83" s="143"/>
      <c r="TGX83" s="143"/>
      <c r="TGY83" s="143"/>
      <c r="TGZ83" s="143"/>
      <c r="THA83" s="143"/>
      <c r="THB83" s="143"/>
      <c r="THC83" s="143"/>
      <c r="THD83" s="143"/>
      <c r="THE83" s="143"/>
      <c r="THF83" s="143"/>
      <c r="THG83" s="143"/>
      <c r="THH83" s="143"/>
      <c r="THI83" s="143"/>
      <c r="THJ83" s="143"/>
      <c r="THK83" s="143"/>
      <c r="THL83" s="143"/>
      <c r="THM83" s="143"/>
      <c r="THN83" s="143"/>
      <c r="THO83" s="143"/>
      <c r="THP83" s="143"/>
      <c r="THQ83" s="143"/>
      <c r="THR83" s="143"/>
      <c r="THS83" s="143"/>
      <c r="THT83" s="143"/>
      <c r="THU83" s="143"/>
      <c r="THV83" s="143"/>
      <c r="THW83" s="143"/>
      <c r="THX83" s="143"/>
      <c r="THY83" s="143"/>
      <c r="THZ83" s="143"/>
      <c r="TIA83" s="143"/>
      <c r="TIB83" s="143"/>
      <c r="TIC83" s="143"/>
      <c r="TID83" s="143"/>
      <c r="TIE83" s="143"/>
      <c r="TIF83" s="143"/>
      <c r="TIG83" s="143"/>
      <c r="TIH83" s="143"/>
      <c r="TII83" s="143"/>
      <c r="TIJ83" s="143"/>
      <c r="TIK83" s="143"/>
      <c r="TIL83" s="143"/>
      <c r="TIM83" s="143"/>
      <c r="TIN83" s="143"/>
      <c r="TIO83" s="143"/>
      <c r="TIP83" s="143"/>
      <c r="TIQ83" s="143"/>
      <c r="TIR83" s="143"/>
      <c r="TIS83" s="143"/>
      <c r="TIT83" s="143"/>
      <c r="TIU83" s="143"/>
      <c r="TIV83" s="143"/>
      <c r="TIW83" s="143"/>
      <c r="TIX83" s="143"/>
      <c r="TIY83" s="143"/>
      <c r="TIZ83" s="143"/>
      <c r="TJA83" s="143"/>
      <c r="TJB83" s="143"/>
      <c r="TJC83" s="143"/>
      <c r="TJD83" s="143"/>
      <c r="TJE83" s="143"/>
      <c r="TJF83" s="143"/>
      <c r="TJG83" s="143"/>
      <c r="TJH83" s="143"/>
      <c r="TJI83" s="143"/>
      <c r="TJJ83" s="143"/>
      <c r="TJK83" s="143"/>
      <c r="TJL83" s="143"/>
      <c r="TJM83" s="143"/>
      <c r="TJN83" s="143"/>
      <c r="TJO83" s="143"/>
      <c r="TJP83" s="143"/>
      <c r="TJQ83" s="143"/>
      <c r="TJR83" s="143"/>
      <c r="TJS83" s="143"/>
      <c r="TJT83" s="143"/>
      <c r="TJU83" s="143"/>
      <c r="TJV83" s="143"/>
      <c r="TJW83" s="143"/>
      <c r="TJX83" s="143"/>
      <c r="TJY83" s="143"/>
      <c r="TJZ83" s="143"/>
      <c r="TKA83" s="143"/>
      <c r="TKB83" s="143"/>
      <c r="TKC83" s="143"/>
      <c r="TKD83" s="143"/>
      <c r="TKE83" s="143"/>
      <c r="TKF83" s="143"/>
      <c r="TKG83" s="143"/>
      <c r="TKH83" s="143"/>
      <c r="TKI83" s="143"/>
      <c r="TKJ83" s="143"/>
      <c r="TKK83" s="143"/>
      <c r="TKL83" s="143"/>
      <c r="TKM83" s="143"/>
      <c r="TKN83" s="143"/>
      <c r="TKO83" s="143"/>
      <c r="TKP83" s="143"/>
      <c r="TKQ83" s="143"/>
      <c r="TKR83" s="143"/>
      <c r="TKS83" s="143"/>
      <c r="TKT83" s="143"/>
      <c r="TKU83" s="143"/>
      <c r="TKV83" s="143"/>
      <c r="TKW83" s="143"/>
      <c r="TKX83" s="143"/>
      <c r="TKY83" s="143"/>
      <c r="TKZ83" s="143"/>
      <c r="TLA83" s="143"/>
      <c r="TLB83" s="143"/>
      <c r="TLC83" s="143"/>
      <c r="TLD83" s="143"/>
      <c r="TLE83" s="143"/>
      <c r="TLF83" s="143"/>
      <c r="TLG83" s="143"/>
      <c r="TLH83" s="143"/>
      <c r="TLI83" s="143"/>
      <c r="TLJ83" s="143"/>
      <c r="TLK83" s="143"/>
      <c r="TLL83" s="143"/>
      <c r="TLM83" s="143"/>
      <c r="TLN83" s="143"/>
      <c r="TLO83" s="143"/>
      <c r="TLP83" s="143"/>
      <c r="TLQ83" s="143"/>
      <c r="TLR83" s="143"/>
      <c r="TLS83" s="143"/>
      <c r="TLT83" s="143"/>
      <c r="TLU83" s="143"/>
      <c r="TLV83" s="143"/>
      <c r="TLW83" s="143"/>
      <c r="TLX83" s="143"/>
      <c r="TLY83" s="143"/>
      <c r="TLZ83" s="143"/>
      <c r="TMA83" s="143"/>
      <c r="TMB83" s="143"/>
      <c r="TMC83" s="143"/>
      <c r="TMD83" s="143"/>
      <c r="TME83" s="143"/>
      <c r="TMF83" s="143"/>
      <c r="TMG83" s="143"/>
      <c r="TMH83" s="143"/>
      <c r="TMI83" s="143"/>
      <c r="TMJ83" s="143"/>
      <c r="TMK83" s="143"/>
      <c r="TML83" s="143"/>
      <c r="TMM83" s="143"/>
      <c r="TMN83" s="143"/>
      <c r="TMO83" s="143"/>
      <c r="TMP83" s="143"/>
      <c r="TMQ83" s="143"/>
      <c r="TMR83" s="143"/>
      <c r="TMS83" s="143"/>
      <c r="TMT83" s="143"/>
      <c r="TMU83" s="143"/>
      <c r="TMV83" s="143"/>
      <c r="TMW83" s="143"/>
      <c r="TMX83" s="143"/>
      <c r="TMY83" s="143"/>
      <c r="TMZ83" s="143"/>
      <c r="TNA83" s="143"/>
      <c r="TNB83" s="143"/>
      <c r="TNC83" s="143"/>
      <c r="TND83" s="143"/>
      <c r="TNE83" s="143"/>
      <c r="TNF83" s="143"/>
      <c r="TNG83" s="143"/>
      <c r="TNH83" s="143"/>
      <c r="TNI83" s="143"/>
      <c r="TNJ83" s="143"/>
      <c r="TNK83" s="143"/>
      <c r="TNL83" s="143"/>
      <c r="TNM83" s="143"/>
      <c r="TNN83" s="143"/>
      <c r="TNO83" s="143"/>
      <c r="TNP83" s="143"/>
      <c r="TNQ83" s="143"/>
      <c r="TNR83" s="143"/>
      <c r="TNS83" s="143"/>
      <c r="TNT83" s="143"/>
      <c r="TNU83" s="143"/>
      <c r="TNV83" s="143"/>
      <c r="TNW83" s="143"/>
      <c r="TNX83" s="143"/>
      <c r="TNY83" s="143"/>
      <c r="TNZ83" s="143"/>
      <c r="TOA83" s="143"/>
      <c r="TOB83" s="143"/>
      <c r="TOC83" s="143"/>
      <c r="TOD83" s="143"/>
      <c r="TOE83" s="143"/>
      <c r="TOF83" s="143"/>
      <c r="TOG83" s="143"/>
      <c r="TOH83" s="143"/>
      <c r="TOI83" s="143"/>
      <c r="TOJ83" s="143"/>
      <c r="TOK83" s="143"/>
      <c r="TOL83" s="143"/>
      <c r="TOM83" s="143"/>
      <c r="TON83" s="143"/>
      <c r="TOO83" s="143"/>
      <c r="TOP83" s="143"/>
      <c r="TOQ83" s="143"/>
      <c r="TOR83" s="143"/>
      <c r="TOS83" s="143"/>
      <c r="TOT83" s="143"/>
      <c r="TOU83" s="143"/>
      <c r="TOV83" s="143"/>
      <c r="TOW83" s="143"/>
      <c r="TOX83" s="143"/>
      <c r="TOY83" s="143"/>
      <c r="TOZ83" s="143"/>
      <c r="TPA83" s="143"/>
      <c r="TPB83" s="143"/>
      <c r="TPC83" s="143"/>
      <c r="TPD83" s="143"/>
      <c r="TPE83" s="143"/>
      <c r="TPF83" s="143"/>
      <c r="TPG83" s="143"/>
      <c r="TPH83" s="143"/>
      <c r="TPI83" s="143"/>
      <c r="TPJ83" s="143"/>
      <c r="TPK83" s="143"/>
      <c r="TPL83" s="143"/>
      <c r="TPM83" s="143"/>
      <c r="TPN83" s="143"/>
      <c r="TPO83" s="143"/>
      <c r="TPP83" s="143"/>
      <c r="TPQ83" s="143"/>
      <c r="TPR83" s="143"/>
      <c r="TPS83" s="143"/>
      <c r="TPT83" s="143"/>
      <c r="TPU83" s="143"/>
      <c r="TPV83" s="143"/>
      <c r="TPW83" s="143"/>
      <c r="TPX83" s="143"/>
      <c r="TPY83" s="143"/>
      <c r="TPZ83" s="143"/>
      <c r="TQA83" s="143"/>
      <c r="TQB83" s="143"/>
      <c r="TQC83" s="143"/>
      <c r="TQD83" s="143"/>
      <c r="TQE83" s="143"/>
      <c r="TQF83" s="143"/>
      <c r="TQG83" s="143"/>
      <c r="TQH83" s="143"/>
      <c r="TQI83" s="143"/>
      <c r="TQJ83" s="143"/>
      <c r="TQK83" s="143"/>
      <c r="TQL83" s="143"/>
      <c r="TQM83" s="143"/>
      <c r="TQN83" s="143"/>
      <c r="TQO83" s="143"/>
      <c r="TQP83" s="143"/>
      <c r="TQQ83" s="143"/>
      <c r="TQR83" s="143"/>
      <c r="TQS83" s="143"/>
      <c r="TQT83" s="143"/>
      <c r="TQU83" s="143"/>
      <c r="TQV83" s="143"/>
      <c r="TQW83" s="143"/>
      <c r="TQX83" s="143"/>
      <c r="TQY83" s="143"/>
      <c r="TQZ83" s="143"/>
      <c r="TRA83" s="143"/>
      <c r="TRB83" s="143"/>
      <c r="TRC83" s="143"/>
      <c r="TRD83" s="143"/>
      <c r="TRE83" s="143"/>
      <c r="TRF83" s="143"/>
      <c r="TRG83" s="143"/>
      <c r="TRH83" s="143"/>
      <c r="TRI83" s="143"/>
      <c r="TRJ83" s="143"/>
      <c r="TRK83" s="143"/>
      <c r="TRL83" s="143"/>
      <c r="TRM83" s="143"/>
      <c r="TRN83" s="143"/>
      <c r="TRO83" s="143"/>
      <c r="TRP83" s="143"/>
      <c r="TRQ83" s="143"/>
      <c r="TRR83" s="143"/>
      <c r="TRS83" s="143"/>
      <c r="TRT83" s="143"/>
      <c r="TRU83" s="143"/>
      <c r="TRV83" s="143"/>
      <c r="TRW83" s="143"/>
      <c r="TRX83" s="143"/>
      <c r="TRY83" s="143"/>
      <c r="TRZ83" s="143"/>
      <c r="TSA83" s="143"/>
      <c r="TSB83" s="143"/>
      <c r="TSC83" s="143"/>
      <c r="TSD83" s="143"/>
      <c r="TSE83" s="143"/>
      <c r="TSF83" s="143"/>
      <c r="TSG83" s="143"/>
      <c r="TSH83" s="143"/>
      <c r="TSI83" s="143"/>
      <c r="TSJ83" s="143"/>
      <c r="TSK83" s="143"/>
      <c r="TSL83" s="143"/>
      <c r="TSM83" s="143"/>
      <c r="TSN83" s="143"/>
      <c r="TSO83" s="143"/>
      <c r="TSP83" s="143"/>
      <c r="TSQ83" s="143"/>
      <c r="TSR83" s="143"/>
      <c r="TSS83" s="143"/>
      <c r="TST83" s="143"/>
      <c r="TSU83" s="143"/>
      <c r="TSV83" s="143"/>
      <c r="TSW83" s="143"/>
      <c r="TSX83" s="143"/>
      <c r="TSY83" s="143"/>
      <c r="TSZ83" s="143"/>
      <c r="TTA83" s="143"/>
      <c r="TTB83" s="143"/>
      <c r="TTC83" s="143"/>
      <c r="TTD83" s="143"/>
      <c r="TTE83" s="143"/>
      <c r="TTF83" s="143"/>
      <c r="TTG83" s="143"/>
      <c r="TTH83" s="143"/>
      <c r="TTI83" s="143"/>
      <c r="TTJ83" s="143"/>
      <c r="TTK83" s="143"/>
      <c r="TTL83" s="143"/>
      <c r="TTM83" s="143"/>
      <c r="TTN83" s="143"/>
      <c r="TTO83" s="143"/>
      <c r="TTP83" s="143"/>
      <c r="TTQ83" s="143"/>
      <c r="TTR83" s="143"/>
      <c r="TTS83" s="143"/>
      <c r="TTT83" s="143"/>
      <c r="TTU83" s="143"/>
      <c r="TTV83" s="143"/>
      <c r="TTW83" s="143"/>
      <c r="TTX83" s="143"/>
      <c r="TTY83" s="143"/>
      <c r="TTZ83" s="143"/>
      <c r="TUA83" s="143"/>
      <c r="TUB83" s="143"/>
      <c r="TUC83" s="143"/>
      <c r="TUD83" s="143"/>
      <c r="TUE83" s="143"/>
      <c r="TUF83" s="143"/>
      <c r="TUG83" s="143"/>
      <c r="TUH83" s="143"/>
      <c r="TUI83" s="143"/>
      <c r="TUJ83" s="143"/>
      <c r="TUK83" s="143"/>
      <c r="TUL83" s="143"/>
      <c r="TUM83" s="143"/>
      <c r="TUN83" s="143"/>
      <c r="TUO83" s="143"/>
      <c r="TUP83" s="143"/>
      <c r="TUQ83" s="143"/>
      <c r="TUR83" s="143"/>
      <c r="TUS83" s="143"/>
      <c r="TUT83" s="143"/>
      <c r="TUU83" s="143"/>
      <c r="TUV83" s="143"/>
      <c r="TUW83" s="143"/>
      <c r="TUX83" s="143"/>
      <c r="TUY83" s="143"/>
      <c r="TUZ83" s="143"/>
      <c r="TVA83" s="143"/>
      <c r="TVB83" s="143"/>
      <c r="TVC83" s="143"/>
      <c r="TVD83" s="143"/>
      <c r="TVE83" s="143"/>
      <c r="TVF83" s="143"/>
      <c r="TVG83" s="143"/>
      <c r="TVH83" s="143"/>
      <c r="TVI83" s="143"/>
      <c r="TVJ83" s="143"/>
      <c r="TVK83" s="143"/>
      <c r="TVL83" s="143"/>
      <c r="TVM83" s="143"/>
      <c r="TVN83" s="143"/>
      <c r="TVO83" s="143"/>
      <c r="TVP83" s="143"/>
      <c r="TVQ83" s="143"/>
      <c r="TVR83" s="143"/>
      <c r="TVS83" s="143"/>
      <c r="TVT83" s="143"/>
      <c r="TVU83" s="143"/>
      <c r="TVV83" s="143"/>
      <c r="TVW83" s="143"/>
      <c r="TVX83" s="143"/>
      <c r="TVY83" s="143"/>
      <c r="TVZ83" s="143"/>
      <c r="TWA83" s="143"/>
      <c r="TWB83" s="143"/>
      <c r="TWC83" s="143"/>
      <c r="TWD83" s="143"/>
      <c r="TWE83" s="143"/>
      <c r="TWF83" s="143"/>
      <c r="TWG83" s="143"/>
      <c r="TWH83" s="143"/>
      <c r="TWI83" s="143"/>
      <c r="TWJ83" s="143"/>
      <c r="TWK83" s="143"/>
      <c r="TWL83" s="143"/>
      <c r="TWM83" s="143"/>
      <c r="TWN83" s="143"/>
      <c r="TWO83" s="143"/>
      <c r="TWP83" s="143"/>
      <c r="TWQ83" s="143"/>
      <c r="TWR83" s="143"/>
      <c r="TWS83" s="143"/>
      <c r="TWT83" s="143"/>
      <c r="TWU83" s="143"/>
      <c r="TWV83" s="143"/>
      <c r="TWW83" s="143"/>
      <c r="TWX83" s="143"/>
      <c r="TWY83" s="143"/>
      <c r="TWZ83" s="143"/>
      <c r="TXA83" s="143"/>
      <c r="TXB83" s="143"/>
      <c r="TXC83" s="143"/>
      <c r="TXD83" s="143"/>
      <c r="TXE83" s="143"/>
      <c r="TXF83" s="143"/>
      <c r="TXG83" s="143"/>
      <c r="TXH83" s="143"/>
      <c r="TXI83" s="143"/>
      <c r="TXJ83" s="143"/>
      <c r="TXK83" s="143"/>
      <c r="TXL83" s="143"/>
      <c r="TXM83" s="143"/>
      <c r="TXN83" s="143"/>
      <c r="TXO83" s="143"/>
      <c r="TXP83" s="143"/>
      <c r="TXQ83" s="143"/>
      <c r="TXR83" s="143"/>
      <c r="TXS83" s="143"/>
      <c r="TXT83" s="143"/>
      <c r="TXU83" s="143"/>
      <c r="TXV83" s="143"/>
      <c r="TXW83" s="143"/>
      <c r="TXX83" s="143"/>
      <c r="TXY83" s="143"/>
      <c r="TXZ83" s="143"/>
      <c r="TYA83" s="143"/>
      <c r="TYB83" s="143"/>
      <c r="TYC83" s="143"/>
      <c r="TYD83" s="143"/>
      <c r="TYE83" s="143"/>
      <c r="TYF83" s="143"/>
      <c r="TYG83" s="143"/>
      <c r="TYH83" s="143"/>
      <c r="TYI83" s="143"/>
      <c r="TYJ83" s="143"/>
      <c r="TYK83" s="143"/>
      <c r="TYL83" s="143"/>
      <c r="TYM83" s="143"/>
      <c r="TYN83" s="143"/>
      <c r="TYO83" s="143"/>
      <c r="TYP83" s="143"/>
      <c r="TYQ83" s="143"/>
      <c r="TYR83" s="143"/>
      <c r="TYS83" s="143"/>
      <c r="TYT83" s="143"/>
      <c r="TYU83" s="143"/>
      <c r="TYV83" s="143"/>
      <c r="TYW83" s="143"/>
      <c r="TYX83" s="143"/>
      <c r="TYY83" s="143"/>
      <c r="TYZ83" s="143"/>
      <c r="TZA83" s="143"/>
      <c r="TZB83" s="143"/>
      <c r="TZC83" s="143"/>
      <c r="TZD83" s="143"/>
      <c r="TZE83" s="143"/>
      <c r="TZF83" s="143"/>
      <c r="TZG83" s="143"/>
      <c r="TZH83" s="143"/>
      <c r="TZI83" s="143"/>
      <c r="TZJ83" s="143"/>
      <c r="TZK83" s="143"/>
      <c r="TZL83" s="143"/>
      <c r="TZM83" s="143"/>
      <c r="TZN83" s="143"/>
      <c r="TZO83" s="143"/>
      <c r="TZP83" s="143"/>
      <c r="TZQ83" s="143"/>
      <c r="TZR83" s="143"/>
      <c r="TZS83" s="143"/>
      <c r="TZT83" s="143"/>
      <c r="TZU83" s="143"/>
      <c r="TZV83" s="143"/>
      <c r="TZW83" s="143"/>
      <c r="TZX83" s="143"/>
      <c r="TZY83" s="143"/>
      <c r="TZZ83" s="143"/>
      <c r="UAA83" s="143"/>
      <c r="UAB83" s="143"/>
      <c r="UAC83" s="143"/>
      <c r="UAD83" s="143"/>
      <c r="UAE83" s="143"/>
      <c r="UAF83" s="143"/>
      <c r="UAG83" s="143"/>
      <c r="UAH83" s="143"/>
      <c r="UAI83" s="143"/>
      <c r="UAJ83" s="143"/>
      <c r="UAK83" s="143"/>
      <c r="UAL83" s="143"/>
      <c r="UAM83" s="143"/>
      <c r="UAN83" s="143"/>
      <c r="UAO83" s="143"/>
      <c r="UAP83" s="143"/>
      <c r="UAQ83" s="143"/>
      <c r="UAR83" s="143"/>
      <c r="UAS83" s="143"/>
      <c r="UAT83" s="143"/>
      <c r="UAU83" s="143"/>
      <c r="UAV83" s="143"/>
      <c r="UAW83" s="143"/>
      <c r="UAX83" s="143"/>
      <c r="UAY83" s="143"/>
      <c r="UAZ83" s="143"/>
      <c r="UBA83" s="143"/>
      <c r="UBB83" s="143"/>
      <c r="UBC83" s="143"/>
      <c r="UBD83" s="143"/>
      <c r="UBE83" s="143"/>
      <c r="UBF83" s="143"/>
      <c r="UBG83" s="143"/>
      <c r="UBH83" s="143"/>
      <c r="UBI83" s="143"/>
      <c r="UBJ83" s="143"/>
      <c r="UBK83" s="143"/>
      <c r="UBL83" s="143"/>
      <c r="UBM83" s="143"/>
      <c r="UBN83" s="143"/>
      <c r="UBO83" s="143"/>
      <c r="UBP83" s="143"/>
      <c r="UBQ83" s="143"/>
      <c r="UBR83" s="143"/>
      <c r="UBS83" s="143"/>
      <c r="UBT83" s="143"/>
      <c r="UBU83" s="143"/>
      <c r="UBV83" s="143"/>
      <c r="UBW83" s="143"/>
      <c r="UBX83" s="143"/>
      <c r="UBY83" s="143"/>
      <c r="UBZ83" s="143"/>
      <c r="UCA83" s="143"/>
      <c r="UCB83" s="143"/>
      <c r="UCC83" s="143"/>
      <c r="UCD83" s="143"/>
      <c r="UCE83" s="143"/>
      <c r="UCF83" s="143"/>
      <c r="UCG83" s="143"/>
      <c r="UCH83" s="143"/>
      <c r="UCI83" s="143"/>
      <c r="UCJ83" s="143"/>
      <c r="UCK83" s="143"/>
      <c r="UCL83" s="143"/>
      <c r="UCM83" s="143"/>
      <c r="UCN83" s="143"/>
      <c r="UCO83" s="143"/>
      <c r="UCP83" s="143"/>
      <c r="UCQ83" s="143"/>
      <c r="UCR83" s="143"/>
      <c r="UCS83" s="143"/>
      <c r="UCT83" s="143"/>
      <c r="UCU83" s="143"/>
      <c r="UCV83" s="143"/>
      <c r="UCW83" s="143"/>
      <c r="UCX83" s="143"/>
      <c r="UCY83" s="143"/>
      <c r="UCZ83" s="143"/>
      <c r="UDA83" s="143"/>
      <c r="UDB83" s="143"/>
      <c r="UDC83" s="143"/>
      <c r="UDD83" s="143"/>
      <c r="UDE83" s="143"/>
      <c r="UDF83" s="143"/>
      <c r="UDG83" s="143"/>
      <c r="UDH83" s="143"/>
      <c r="UDI83" s="143"/>
      <c r="UDJ83" s="143"/>
      <c r="UDK83" s="143"/>
      <c r="UDL83" s="143"/>
      <c r="UDM83" s="143"/>
      <c r="UDN83" s="143"/>
      <c r="UDO83" s="143"/>
      <c r="UDP83" s="143"/>
      <c r="UDQ83" s="143"/>
      <c r="UDR83" s="143"/>
      <c r="UDS83" s="143"/>
      <c r="UDT83" s="143"/>
      <c r="UDU83" s="143"/>
      <c r="UDV83" s="143"/>
      <c r="UDW83" s="143"/>
      <c r="UDX83" s="143"/>
      <c r="UDY83" s="143"/>
      <c r="UDZ83" s="143"/>
      <c r="UEA83" s="143"/>
      <c r="UEB83" s="143"/>
      <c r="UEC83" s="143"/>
      <c r="UED83" s="143"/>
      <c r="UEE83" s="143"/>
      <c r="UEF83" s="143"/>
      <c r="UEG83" s="143"/>
      <c r="UEH83" s="143"/>
      <c r="UEI83" s="143"/>
      <c r="UEJ83" s="143"/>
      <c r="UEK83" s="143"/>
      <c r="UEL83" s="143"/>
      <c r="UEM83" s="143"/>
      <c r="UEN83" s="143"/>
      <c r="UEO83" s="143"/>
      <c r="UEP83" s="143"/>
      <c r="UEQ83" s="143"/>
      <c r="UER83" s="143"/>
      <c r="UES83" s="143"/>
      <c r="UET83" s="143"/>
      <c r="UEU83" s="143"/>
      <c r="UEV83" s="143"/>
      <c r="UEW83" s="143"/>
      <c r="UEX83" s="143"/>
      <c r="UEY83" s="143"/>
      <c r="UEZ83" s="143"/>
      <c r="UFA83" s="143"/>
      <c r="UFB83" s="143"/>
      <c r="UFC83" s="143"/>
      <c r="UFD83" s="143"/>
      <c r="UFE83" s="143"/>
      <c r="UFF83" s="143"/>
      <c r="UFG83" s="143"/>
      <c r="UFH83" s="143"/>
      <c r="UFI83" s="143"/>
      <c r="UFJ83" s="143"/>
      <c r="UFK83" s="143"/>
      <c r="UFL83" s="143"/>
      <c r="UFM83" s="143"/>
      <c r="UFN83" s="143"/>
      <c r="UFO83" s="143"/>
      <c r="UFP83" s="143"/>
      <c r="UFQ83" s="143"/>
      <c r="UFR83" s="143"/>
      <c r="UFS83" s="143"/>
      <c r="UFT83" s="143"/>
      <c r="UFU83" s="143"/>
      <c r="UFV83" s="143"/>
      <c r="UFW83" s="143"/>
      <c r="UFX83" s="143"/>
      <c r="UFY83" s="143"/>
      <c r="UFZ83" s="143"/>
      <c r="UGA83" s="143"/>
      <c r="UGB83" s="143"/>
      <c r="UGC83" s="143"/>
      <c r="UGD83" s="143"/>
      <c r="UGE83" s="143"/>
      <c r="UGF83" s="143"/>
      <c r="UGG83" s="143"/>
      <c r="UGH83" s="143"/>
      <c r="UGI83" s="143"/>
      <c r="UGJ83" s="143"/>
      <c r="UGK83" s="143"/>
      <c r="UGL83" s="143"/>
      <c r="UGM83" s="143"/>
      <c r="UGN83" s="143"/>
      <c r="UGO83" s="143"/>
      <c r="UGP83" s="143"/>
      <c r="UGQ83" s="143"/>
      <c r="UGR83" s="143"/>
      <c r="UGS83" s="143"/>
      <c r="UGT83" s="143"/>
      <c r="UGU83" s="143"/>
      <c r="UGV83" s="143"/>
      <c r="UGW83" s="143"/>
      <c r="UGX83" s="143"/>
      <c r="UGY83" s="143"/>
      <c r="UGZ83" s="143"/>
      <c r="UHA83" s="143"/>
      <c r="UHB83" s="143"/>
      <c r="UHC83" s="143"/>
      <c r="UHD83" s="143"/>
      <c r="UHE83" s="143"/>
      <c r="UHF83" s="143"/>
      <c r="UHG83" s="143"/>
      <c r="UHH83" s="143"/>
      <c r="UHI83" s="143"/>
      <c r="UHJ83" s="143"/>
      <c r="UHK83" s="143"/>
      <c r="UHL83" s="143"/>
      <c r="UHM83" s="143"/>
      <c r="UHN83" s="143"/>
      <c r="UHO83" s="143"/>
      <c r="UHP83" s="143"/>
      <c r="UHQ83" s="143"/>
      <c r="UHR83" s="143"/>
      <c r="UHS83" s="143"/>
      <c r="UHT83" s="143"/>
      <c r="UHU83" s="143"/>
      <c r="UHV83" s="143"/>
      <c r="UHW83" s="143"/>
      <c r="UHX83" s="143"/>
      <c r="UHY83" s="143"/>
      <c r="UHZ83" s="143"/>
      <c r="UIA83" s="143"/>
      <c r="UIB83" s="143"/>
      <c r="UIC83" s="143"/>
      <c r="UID83" s="143"/>
      <c r="UIE83" s="143"/>
      <c r="UIF83" s="143"/>
      <c r="UIG83" s="143"/>
      <c r="UIH83" s="143"/>
      <c r="UII83" s="143"/>
      <c r="UIJ83" s="143"/>
      <c r="UIK83" s="143"/>
      <c r="UIL83" s="143"/>
      <c r="UIM83" s="143"/>
      <c r="UIN83" s="143"/>
      <c r="UIO83" s="143"/>
      <c r="UIP83" s="143"/>
      <c r="UIQ83" s="143"/>
      <c r="UIR83" s="143"/>
      <c r="UIS83" s="143"/>
      <c r="UIT83" s="143"/>
      <c r="UIU83" s="143"/>
      <c r="UIV83" s="143"/>
      <c r="UIW83" s="143"/>
      <c r="UIX83" s="143"/>
      <c r="UIY83" s="143"/>
      <c r="UIZ83" s="143"/>
      <c r="UJA83" s="143"/>
      <c r="UJB83" s="143"/>
      <c r="UJC83" s="143"/>
      <c r="UJD83" s="143"/>
      <c r="UJE83" s="143"/>
      <c r="UJF83" s="143"/>
      <c r="UJG83" s="143"/>
      <c r="UJH83" s="143"/>
      <c r="UJI83" s="143"/>
      <c r="UJJ83" s="143"/>
      <c r="UJK83" s="143"/>
      <c r="UJL83" s="143"/>
      <c r="UJM83" s="143"/>
      <c r="UJN83" s="143"/>
      <c r="UJO83" s="143"/>
      <c r="UJP83" s="143"/>
      <c r="UJQ83" s="143"/>
      <c r="UJR83" s="143"/>
      <c r="UJS83" s="143"/>
      <c r="UJT83" s="143"/>
      <c r="UJU83" s="143"/>
      <c r="UJV83" s="143"/>
      <c r="UJW83" s="143"/>
      <c r="UJX83" s="143"/>
      <c r="UJY83" s="143"/>
      <c r="UJZ83" s="143"/>
      <c r="UKA83" s="143"/>
      <c r="UKB83" s="143"/>
      <c r="UKC83" s="143"/>
      <c r="UKD83" s="143"/>
      <c r="UKE83" s="143"/>
      <c r="UKF83" s="143"/>
      <c r="UKG83" s="143"/>
      <c r="UKH83" s="143"/>
      <c r="UKI83" s="143"/>
      <c r="UKJ83" s="143"/>
      <c r="UKK83" s="143"/>
      <c r="UKL83" s="143"/>
      <c r="UKM83" s="143"/>
      <c r="UKN83" s="143"/>
      <c r="UKO83" s="143"/>
      <c r="UKP83" s="143"/>
      <c r="UKQ83" s="143"/>
      <c r="UKR83" s="143"/>
      <c r="UKS83" s="143"/>
      <c r="UKT83" s="143"/>
      <c r="UKU83" s="143"/>
      <c r="UKV83" s="143"/>
      <c r="UKW83" s="143"/>
      <c r="UKX83" s="143"/>
      <c r="UKY83" s="143"/>
      <c r="UKZ83" s="143"/>
      <c r="ULA83" s="143"/>
      <c r="ULB83" s="143"/>
      <c r="ULC83" s="143"/>
      <c r="ULD83" s="143"/>
      <c r="ULE83" s="143"/>
      <c r="ULF83" s="143"/>
      <c r="ULG83" s="143"/>
      <c r="ULH83" s="143"/>
      <c r="ULI83" s="143"/>
      <c r="ULJ83" s="143"/>
      <c r="ULK83" s="143"/>
      <c r="ULL83" s="143"/>
      <c r="ULM83" s="143"/>
      <c r="ULN83" s="143"/>
      <c r="ULO83" s="143"/>
      <c r="ULP83" s="143"/>
      <c r="ULQ83" s="143"/>
      <c r="ULR83" s="143"/>
      <c r="ULS83" s="143"/>
      <c r="ULT83" s="143"/>
      <c r="ULU83" s="143"/>
      <c r="ULV83" s="143"/>
      <c r="ULW83" s="143"/>
      <c r="ULX83" s="143"/>
      <c r="ULY83" s="143"/>
      <c r="ULZ83" s="143"/>
      <c r="UMA83" s="143"/>
      <c r="UMB83" s="143"/>
      <c r="UMC83" s="143"/>
      <c r="UMD83" s="143"/>
      <c r="UME83" s="143"/>
      <c r="UMF83" s="143"/>
      <c r="UMG83" s="143"/>
      <c r="UMH83" s="143"/>
      <c r="UMI83" s="143"/>
      <c r="UMJ83" s="143"/>
      <c r="UMK83" s="143"/>
      <c r="UML83" s="143"/>
      <c r="UMM83" s="143"/>
      <c r="UMN83" s="143"/>
      <c r="UMO83" s="143"/>
      <c r="UMP83" s="143"/>
      <c r="UMQ83" s="143"/>
      <c r="UMR83" s="143"/>
      <c r="UMS83" s="143"/>
      <c r="UMT83" s="143"/>
      <c r="UMU83" s="143"/>
      <c r="UMV83" s="143"/>
      <c r="UMW83" s="143"/>
      <c r="UMX83" s="143"/>
      <c r="UMY83" s="143"/>
      <c r="UMZ83" s="143"/>
      <c r="UNA83" s="143"/>
      <c r="UNB83" s="143"/>
      <c r="UNC83" s="143"/>
      <c r="UND83" s="143"/>
      <c r="UNE83" s="143"/>
      <c r="UNF83" s="143"/>
      <c r="UNG83" s="143"/>
      <c r="UNH83" s="143"/>
      <c r="UNI83" s="143"/>
      <c r="UNJ83" s="143"/>
      <c r="UNK83" s="143"/>
      <c r="UNL83" s="143"/>
      <c r="UNM83" s="143"/>
      <c r="UNN83" s="143"/>
      <c r="UNO83" s="143"/>
      <c r="UNP83" s="143"/>
      <c r="UNQ83" s="143"/>
      <c r="UNR83" s="143"/>
      <c r="UNS83" s="143"/>
      <c r="UNT83" s="143"/>
      <c r="UNU83" s="143"/>
      <c r="UNV83" s="143"/>
      <c r="UNW83" s="143"/>
      <c r="UNX83" s="143"/>
      <c r="UNY83" s="143"/>
      <c r="UNZ83" s="143"/>
      <c r="UOA83" s="143"/>
      <c r="UOB83" s="143"/>
      <c r="UOC83" s="143"/>
      <c r="UOD83" s="143"/>
      <c r="UOE83" s="143"/>
      <c r="UOF83" s="143"/>
      <c r="UOG83" s="143"/>
      <c r="UOH83" s="143"/>
      <c r="UOI83" s="143"/>
      <c r="UOJ83" s="143"/>
      <c r="UOK83" s="143"/>
      <c r="UOL83" s="143"/>
      <c r="UOM83" s="143"/>
      <c r="UON83" s="143"/>
      <c r="UOO83" s="143"/>
      <c r="UOP83" s="143"/>
      <c r="UOQ83" s="143"/>
      <c r="UOR83" s="143"/>
      <c r="UOS83" s="143"/>
      <c r="UOT83" s="143"/>
      <c r="UOU83" s="143"/>
      <c r="UOV83" s="143"/>
      <c r="UOW83" s="143"/>
      <c r="UOX83" s="143"/>
      <c r="UOY83" s="143"/>
      <c r="UOZ83" s="143"/>
      <c r="UPA83" s="143"/>
      <c r="UPB83" s="143"/>
      <c r="UPC83" s="143"/>
      <c r="UPD83" s="143"/>
      <c r="UPE83" s="143"/>
      <c r="UPF83" s="143"/>
      <c r="UPG83" s="143"/>
      <c r="UPH83" s="143"/>
      <c r="UPI83" s="143"/>
      <c r="UPJ83" s="143"/>
      <c r="UPK83" s="143"/>
      <c r="UPL83" s="143"/>
      <c r="UPM83" s="143"/>
      <c r="UPN83" s="143"/>
      <c r="UPO83" s="143"/>
      <c r="UPP83" s="143"/>
      <c r="UPQ83" s="143"/>
      <c r="UPR83" s="143"/>
      <c r="UPS83" s="143"/>
      <c r="UPT83" s="143"/>
      <c r="UPU83" s="143"/>
      <c r="UPV83" s="143"/>
      <c r="UPW83" s="143"/>
      <c r="UPX83" s="143"/>
      <c r="UPY83" s="143"/>
      <c r="UPZ83" s="143"/>
      <c r="UQA83" s="143"/>
      <c r="UQB83" s="143"/>
      <c r="UQC83" s="143"/>
      <c r="UQD83" s="143"/>
      <c r="UQE83" s="143"/>
      <c r="UQF83" s="143"/>
      <c r="UQG83" s="143"/>
      <c r="UQH83" s="143"/>
      <c r="UQI83" s="143"/>
      <c r="UQJ83" s="143"/>
      <c r="UQK83" s="143"/>
      <c r="UQL83" s="143"/>
      <c r="UQM83" s="143"/>
      <c r="UQN83" s="143"/>
      <c r="UQO83" s="143"/>
      <c r="UQP83" s="143"/>
      <c r="UQQ83" s="143"/>
      <c r="UQR83" s="143"/>
      <c r="UQS83" s="143"/>
      <c r="UQT83" s="143"/>
      <c r="UQU83" s="143"/>
      <c r="UQV83" s="143"/>
      <c r="UQW83" s="143"/>
      <c r="UQX83" s="143"/>
      <c r="UQY83" s="143"/>
      <c r="UQZ83" s="143"/>
      <c r="URA83" s="143"/>
      <c r="URB83" s="143"/>
      <c r="URC83" s="143"/>
      <c r="URD83" s="143"/>
      <c r="URE83" s="143"/>
      <c r="URF83" s="143"/>
      <c r="URG83" s="143"/>
      <c r="URH83" s="143"/>
      <c r="URI83" s="143"/>
      <c r="URJ83" s="143"/>
      <c r="URK83" s="143"/>
      <c r="URL83" s="143"/>
      <c r="URM83" s="143"/>
      <c r="URN83" s="143"/>
      <c r="URO83" s="143"/>
      <c r="URP83" s="143"/>
      <c r="URQ83" s="143"/>
      <c r="URR83" s="143"/>
      <c r="URS83" s="143"/>
      <c r="URT83" s="143"/>
      <c r="URU83" s="143"/>
      <c r="URV83" s="143"/>
      <c r="URW83" s="143"/>
      <c r="URX83" s="143"/>
      <c r="URY83" s="143"/>
      <c r="URZ83" s="143"/>
      <c r="USA83" s="143"/>
      <c r="USB83" s="143"/>
      <c r="USC83" s="143"/>
      <c r="USD83" s="143"/>
      <c r="USE83" s="143"/>
      <c r="USF83" s="143"/>
      <c r="USG83" s="143"/>
      <c r="USH83" s="143"/>
      <c r="USI83" s="143"/>
      <c r="USJ83" s="143"/>
      <c r="USK83" s="143"/>
      <c r="USL83" s="143"/>
      <c r="USM83" s="143"/>
      <c r="USN83" s="143"/>
      <c r="USO83" s="143"/>
      <c r="USP83" s="143"/>
      <c r="USQ83" s="143"/>
      <c r="USR83" s="143"/>
      <c r="USS83" s="143"/>
      <c r="UST83" s="143"/>
      <c r="USU83" s="143"/>
      <c r="USV83" s="143"/>
      <c r="USW83" s="143"/>
      <c r="USX83" s="143"/>
      <c r="USY83" s="143"/>
      <c r="USZ83" s="143"/>
      <c r="UTA83" s="143"/>
      <c r="UTB83" s="143"/>
      <c r="UTC83" s="143"/>
      <c r="UTD83" s="143"/>
      <c r="UTE83" s="143"/>
      <c r="UTF83" s="143"/>
      <c r="UTG83" s="143"/>
      <c r="UTH83" s="143"/>
      <c r="UTI83" s="143"/>
      <c r="UTJ83" s="143"/>
      <c r="UTK83" s="143"/>
      <c r="UTL83" s="143"/>
      <c r="UTM83" s="143"/>
      <c r="UTN83" s="143"/>
      <c r="UTO83" s="143"/>
      <c r="UTP83" s="143"/>
      <c r="UTQ83" s="143"/>
      <c r="UTR83" s="143"/>
      <c r="UTS83" s="143"/>
      <c r="UTT83" s="143"/>
      <c r="UTU83" s="143"/>
      <c r="UTV83" s="143"/>
      <c r="UTW83" s="143"/>
      <c r="UTX83" s="143"/>
      <c r="UTY83" s="143"/>
      <c r="UTZ83" s="143"/>
      <c r="UUA83" s="143"/>
      <c r="UUB83" s="143"/>
      <c r="UUC83" s="143"/>
      <c r="UUD83" s="143"/>
      <c r="UUE83" s="143"/>
      <c r="UUF83" s="143"/>
      <c r="UUG83" s="143"/>
      <c r="UUH83" s="143"/>
      <c r="UUI83" s="143"/>
      <c r="UUJ83" s="143"/>
      <c r="UUK83" s="143"/>
      <c r="UUL83" s="143"/>
      <c r="UUM83" s="143"/>
      <c r="UUN83" s="143"/>
      <c r="UUO83" s="143"/>
      <c r="UUP83" s="143"/>
      <c r="UUQ83" s="143"/>
      <c r="UUR83" s="143"/>
      <c r="UUS83" s="143"/>
      <c r="UUT83" s="143"/>
      <c r="UUU83" s="143"/>
      <c r="UUV83" s="143"/>
      <c r="UUW83" s="143"/>
      <c r="UUX83" s="143"/>
      <c r="UUY83" s="143"/>
      <c r="UUZ83" s="143"/>
      <c r="UVA83" s="143"/>
      <c r="UVB83" s="143"/>
      <c r="UVC83" s="143"/>
      <c r="UVD83" s="143"/>
      <c r="UVE83" s="143"/>
      <c r="UVF83" s="143"/>
      <c r="UVG83" s="143"/>
      <c r="UVH83" s="143"/>
      <c r="UVI83" s="143"/>
      <c r="UVJ83" s="143"/>
      <c r="UVK83" s="143"/>
      <c r="UVL83" s="143"/>
      <c r="UVM83" s="143"/>
      <c r="UVN83" s="143"/>
      <c r="UVO83" s="143"/>
      <c r="UVP83" s="143"/>
      <c r="UVQ83" s="143"/>
      <c r="UVR83" s="143"/>
      <c r="UVS83" s="143"/>
      <c r="UVT83" s="143"/>
      <c r="UVU83" s="143"/>
      <c r="UVV83" s="143"/>
      <c r="UVW83" s="143"/>
      <c r="UVX83" s="143"/>
      <c r="UVY83" s="143"/>
      <c r="UVZ83" s="143"/>
      <c r="UWA83" s="143"/>
      <c r="UWB83" s="143"/>
      <c r="UWC83" s="143"/>
      <c r="UWD83" s="143"/>
      <c r="UWE83" s="143"/>
      <c r="UWF83" s="143"/>
      <c r="UWG83" s="143"/>
      <c r="UWH83" s="143"/>
      <c r="UWI83" s="143"/>
      <c r="UWJ83" s="143"/>
      <c r="UWK83" s="143"/>
      <c r="UWL83" s="143"/>
      <c r="UWM83" s="143"/>
      <c r="UWN83" s="143"/>
      <c r="UWO83" s="143"/>
      <c r="UWP83" s="143"/>
      <c r="UWQ83" s="143"/>
      <c r="UWR83" s="143"/>
      <c r="UWS83" s="143"/>
      <c r="UWT83" s="143"/>
      <c r="UWU83" s="143"/>
      <c r="UWV83" s="143"/>
      <c r="UWW83" s="143"/>
      <c r="UWX83" s="143"/>
      <c r="UWY83" s="143"/>
      <c r="UWZ83" s="143"/>
      <c r="UXA83" s="143"/>
      <c r="UXB83" s="143"/>
      <c r="UXC83" s="143"/>
      <c r="UXD83" s="143"/>
      <c r="UXE83" s="143"/>
      <c r="UXF83" s="143"/>
      <c r="UXG83" s="143"/>
      <c r="UXH83" s="143"/>
      <c r="UXI83" s="143"/>
      <c r="UXJ83" s="143"/>
      <c r="UXK83" s="143"/>
      <c r="UXL83" s="143"/>
      <c r="UXM83" s="143"/>
      <c r="UXN83" s="143"/>
      <c r="UXO83" s="143"/>
      <c r="UXP83" s="143"/>
      <c r="UXQ83" s="143"/>
      <c r="UXR83" s="143"/>
      <c r="UXS83" s="143"/>
      <c r="UXT83" s="143"/>
      <c r="UXU83" s="143"/>
      <c r="UXV83" s="143"/>
      <c r="UXW83" s="143"/>
      <c r="UXX83" s="143"/>
      <c r="UXY83" s="143"/>
      <c r="UXZ83" s="143"/>
      <c r="UYA83" s="143"/>
      <c r="UYB83" s="143"/>
      <c r="UYC83" s="143"/>
      <c r="UYD83" s="143"/>
      <c r="UYE83" s="143"/>
      <c r="UYF83" s="143"/>
      <c r="UYG83" s="143"/>
      <c r="UYH83" s="143"/>
      <c r="UYI83" s="143"/>
      <c r="UYJ83" s="143"/>
      <c r="UYK83" s="143"/>
      <c r="UYL83" s="143"/>
      <c r="UYM83" s="143"/>
      <c r="UYN83" s="143"/>
      <c r="UYO83" s="143"/>
      <c r="UYP83" s="143"/>
      <c r="UYQ83" s="143"/>
      <c r="UYR83" s="143"/>
      <c r="UYS83" s="143"/>
      <c r="UYT83" s="143"/>
      <c r="UYU83" s="143"/>
      <c r="UYV83" s="143"/>
      <c r="UYW83" s="143"/>
      <c r="UYX83" s="143"/>
      <c r="UYY83" s="143"/>
      <c r="UYZ83" s="143"/>
      <c r="UZA83" s="143"/>
      <c r="UZB83" s="143"/>
      <c r="UZC83" s="143"/>
      <c r="UZD83" s="143"/>
      <c r="UZE83" s="143"/>
      <c r="UZF83" s="143"/>
      <c r="UZG83" s="143"/>
      <c r="UZH83" s="143"/>
      <c r="UZI83" s="143"/>
      <c r="UZJ83" s="143"/>
      <c r="UZK83" s="143"/>
      <c r="UZL83" s="143"/>
      <c r="UZM83" s="143"/>
      <c r="UZN83" s="143"/>
      <c r="UZO83" s="143"/>
      <c r="UZP83" s="143"/>
      <c r="UZQ83" s="143"/>
      <c r="UZR83" s="143"/>
      <c r="UZS83" s="143"/>
      <c r="UZT83" s="143"/>
      <c r="UZU83" s="143"/>
      <c r="UZV83" s="143"/>
      <c r="UZW83" s="143"/>
      <c r="UZX83" s="143"/>
      <c r="UZY83" s="143"/>
      <c r="UZZ83" s="143"/>
      <c r="VAA83" s="143"/>
      <c r="VAB83" s="143"/>
      <c r="VAC83" s="143"/>
      <c r="VAD83" s="143"/>
      <c r="VAE83" s="143"/>
      <c r="VAF83" s="143"/>
      <c r="VAG83" s="143"/>
      <c r="VAH83" s="143"/>
      <c r="VAI83" s="143"/>
      <c r="VAJ83" s="143"/>
      <c r="VAK83" s="143"/>
      <c r="VAL83" s="143"/>
      <c r="VAM83" s="143"/>
      <c r="VAN83" s="143"/>
      <c r="VAO83" s="143"/>
      <c r="VAP83" s="143"/>
      <c r="VAQ83" s="143"/>
      <c r="VAR83" s="143"/>
      <c r="VAS83" s="143"/>
      <c r="VAT83" s="143"/>
      <c r="VAU83" s="143"/>
      <c r="VAV83" s="143"/>
      <c r="VAW83" s="143"/>
      <c r="VAX83" s="143"/>
      <c r="VAY83" s="143"/>
      <c r="VAZ83" s="143"/>
      <c r="VBA83" s="143"/>
      <c r="VBB83" s="143"/>
      <c r="VBC83" s="143"/>
      <c r="VBD83" s="143"/>
      <c r="VBE83" s="143"/>
      <c r="VBF83" s="143"/>
      <c r="VBG83" s="143"/>
      <c r="VBH83" s="143"/>
      <c r="VBI83" s="143"/>
      <c r="VBJ83" s="143"/>
      <c r="VBK83" s="143"/>
      <c r="VBL83" s="143"/>
      <c r="VBM83" s="143"/>
      <c r="VBN83" s="143"/>
      <c r="VBO83" s="143"/>
      <c r="VBP83" s="143"/>
      <c r="VBQ83" s="143"/>
      <c r="VBR83" s="143"/>
      <c r="VBS83" s="143"/>
      <c r="VBT83" s="143"/>
      <c r="VBU83" s="143"/>
      <c r="VBV83" s="143"/>
      <c r="VBW83" s="143"/>
      <c r="VBX83" s="143"/>
      <c r="VBY83" s="143"/>
      <c r="VBZ83" s="143"/>
      <c r="VCA83" s="143"/>
      <c r="VCB83" s="143"/>
      <c r="VCC83" s="143"/>
      <c r="VCD83" s="143"/>
      <c r="VCE83" s="143"/>
      <c r="VCF83" s="143"/>
      <c r="VCG83" s="143"/>
      <c r="VCH83" s="143"/>
      <c r="VCI83" s="143"/>
      <c r="VCJ83" s="143"/>
      <c r="VCK83" s="143"/>
      <c r="VCL83" s="143"/>
      <c r="VCM83" s="143"/>
      <c r="VCN83" s="143"/>
      <c r="VCO83" s="143"/>
      <c r="VCP83" s="143"/>
      <c r="VCQ83" s="143"/>
      <c r="VCR83" s="143"/>
      <c r="VCS83" s="143"/>
      <c r="VCT83" s="143"/>
      <c r="VCU83" s="143"/>
      <c r="VCV83" s="143"/>
      <c r="VCW83" s="143"/>
      <c r="VCX83" s="143"/>
      <c r="VCY83" s="143"/>
      <c r="VCZ83" s="143"/>
      <c r="VDA83" s="143"/>
      <c r="VDB83" s="143"/>
      <c r="VDC83" s="143"/>
      <c r="VDD83" s="143"/>
      <c r="VDE83" s="143"/>
      <c r="VDF83" s="143"/>
      <c r="VDG83" s="143"/>
      <c r="VDH83" s="143"/>
      <c r="VDI83" s="143"/>
      <c r="VDJ83" s="143"/>
      <c r="VDK83" s="143"/>
      <c r="VDL83" s="143"/>
      <c r="VDM83" s="143"/>
      <c r="VDN83" s="143"/>
      <c r="VDO83" s="143"/>
      <c r="VDP83" s="143"/>
      <c r="VDQ83" s="143"/>
      <c r="VDR83" s="143"/>
      <c r="VDS83" s="143"/>
      <c r="VDT83" s="143"/>
      <c r="VDU83" s="143"/>
      <c r="VDV83" s="143"/>
      <c r="VDW83" s="143"/>
      <c r="VDX83" s="143"/>
      <c r="VDY83" s="143"/>
      <c r="VDZ83" s="143"/>
      <c r="VEA83" s="143"/>
      <c r="VEB83" s="143"/>
      <c r="VEC83" s="143"/>
      <c r="VED83" s="143"/>
      <c r="VEE83" s="143"/>
      <c r="VEF83" s="143"/>
      <c r="VEG83" s="143"/>
      <c r="VEH83" s="143"/>
      <c r="VEI83" s="143"/>
      <c r="VEJ83" s="143"/>
      <c r="VEK83" s="143"/>
      <c r="VEL83" s="143"/>
      <c r="VEM83" s="143"/>
      <c r="VEN83" s="143"/>
      <c r="VEO83" s="143"/>
      <c r="VEP83" s="143"/>
      <c r="VEQ83" s="143"/>
      <c r="VER83" s="143"/>
      <c r="VES83" s="143"/>
      <c r="VET83" s="143"/>
      <c r="VEU83" s="143"/>
      <c r="VEV83" s="143"/>
      <c r="VEW83" s="143"/>
      <c r="VEX83" s="143"/>
      <c r="VEY83" s="143"/>
      <c r="VEZ83" s="143"/>
      <c r="VFA83" s="143"/>
      <c r="VFB83" s="143"/>
      <c r="VFC83" s="143"/>
      <c r="VFD83" s="143"/>
      <c r="VFE83" s="143"/>
      <c r="VFF83" s="143"/>
      <c r="VFG83" s="143"/>
      <c r="VFH83" s="143"/>
      <c r="VFI83" s="143"/>
      <c r="VFJ83" s="143"/>
      <c r="VFK83" s="143"/>
      <c r="VFL83" s="143"/>
      <c r="VFM83" s="143"/>
      <c r="VFN83" s="143"/>
      <c r="VFO83" s="143"/>
      <c r="VFP83" s="143"/>
      <c r="VFQ83" s="143"/>
      <c r="VFR83" s="143"/>
      <c r="VFS83" s="143"/>
      <c r="VFT83" s="143"/>
      <c r="VFU83" s="143"/>
      <c r="VFV83" s="143"/>
      <c r="VFW83" s="143"/>
      <c r="VFX83" s="143"/>
      <c r="VFY83" s="143"/>
      <c r="VFZ83" s="143"/>
      <c r="VGA83" s="143"/>
      <c r="VGB83" s="143"/>
      <c r="VGC83" s="143"/>
      <c r="VGD83" s="143"/>
      <c r="VGE83" s="143"/>
      <c r="VGF83" s="143"/>
      <c r="VGG83" s="143"/>
      <c r="VGH83" s="143"/>
      <c r="VGI83" s="143"/>
      <c r="VGJ83" s="143"/>
      <c r="VGK83" s="143"/>
      <c r="VGL83" s="143"/>
      <c r="VGM83" s="143"/>
      <c r="VGN83" s="143"/>
      <c r="VGO83" s="143"/>
      <c r="VGP83" s="143"/>
      <c r="VGQ83" s="143"/>
      <c r="VGR83" s="143"/>
      <c r="VGS83" s="143"/>
      <c r="VGT83" s="143"/>
      <c r="VGU83" s="143"/>
      <c r="VGV83" s="143"/>
      <c r="VGW83" s="143"/>
      <c r="VGX83" s="143"/>
      <c r="VGY83" s="143"/>
      <c r="VGZ83" s="143"/>
      <c r="VHA83" s="143"/>
      <c r="VHB83" s="143"/>
      <c r="VHC83" s="143"/>
      <c r="VHD83" s="143"/>
      <c r="VHE83" s="143"/>
      <c r="VHF83" s="143"/>
      <c r="VHG83" s="143"/>
      <c r="VHH83" s="143"/>
      <c r="VHI83" s="143"/>
      <c r="VHJ83" s="143"/>
      <c r="VHK83" s="143"/>
      <c r="VHL83" s="143"/>
      <c r="VHM83" s="143"/>
      <c r="VHN83" s="143"/>
      <c r="VHO83" s="143"/>
      <c r="VHP83" s="143"/>
      <c r="VHQ83" s="143"/>
      <c r="VHR83" s="143"/>
      <c r="VHS83" s="143"/>
      <c r="VHT83" s="143"/>
      <c r="VHU83" s="143"/>
      <c r="VHV83" s="143"/>
      <c r="VHW83" s="143"/>
      <c r="VHX83" s="143"/>
      <c r="VHY83" s="143"/>
      <c r="VHZ83" s="143"/>
      <c r="VIA83" s="143"/>
      <c r="VIB83" s="143"/>
      <c r="VIC83" s="143"/>
      <c r="VID83" s="143"/>
      <c r="VIE83" s="143"/>
      <c r="VIF83" s="143"/>
      <c r="VIG83" s="143"/>
      <c r="VIH83" s="143"/>
      <c r="VII83" s="143"/>
      <c r="VIJ83" s="143"/>
      <c r="VIK83" s="143"/>
      <c r="VIL83" s="143"/>
      <c r="VIM83" s="143"/>
      <c r="VIN83" s="143"/>
      <c r="VIO83" s="143"/>
      <c r="VIP83" s="143"/>
      <c r="VIQ83" s="143"/>
      <c r="VIR83" s="143"/>
      <c r="VIS83" s="143"/>
      <c r="VIT83" s="143"/>
      <c r="VIU83" s="143"/>
      <c r="VIV83" s="143"/>
      <c r="VIW83" s="143"/>
      <c r="VIX83" s="143"/>
      <c r="VIY83" s="143"/>
      <c r="VIZ83" s="143"/>
      <c r="VJA83" s="143"/>
      <c r="VJB83" s="143"/>
      <c r="VJC83" s="143"/>
      <c r="VJD83" s="143"/>
      <c r="VJE83" s="143"/>
      <c r="VJF83" s="143"/>
      <c r="VJG83" s="143"/>
      <c r="VJH83" s="143"/>
      <c r="VJI83" s="143"/>
      <c r="VJJ83" s="143"/>
      <c r="VJK83" s="143"/>
      <c r="VJL83" s="143"/>
      <c r="VJM83" s="143"/>
      <c r="VJN83" s="143"/>
      <c r="VJO83" s="143"/>
      <c r="VJP83" s="143"/>
      <c r="VJQ83" s="143"/>
      <c r="VJR83" s="143"/>
      <c r="VJS83" s="143"/>
      <c r="VJT83" s="143"/>
      <c r="VJU83" s="143"/>
      <c r="VJV83" s="143"/>
      <c r="VJW83" s="143"/>
      <c r="VJX83" s="143"/>
      <c r="VJY83" s="143"/>
      <c r="VJZ83" s="143"/>
      <c r="VKA83" s="143"/>
      <c r="VKB83" s="143"/>
      <c r="VKC83" s="143"/>
      <c r="VKD83" s="143"/>
      <c r="VKE83" s="143"/>
      <c r="VKF83" s="143"/>
      <c r="VKG83" s="143"/>
      <c r="VKH83" s="143"/>
      <c r="VKI83" s="143"/>
      <c r="VKJ83" s="143"/>
      <c r="VKK83" s="143"/>
      <c r="VKL83" s="143"/>
      <c r="VKM83" s="143"/>
      <c r="VKN83" s="143"/>
      <c r="VKO83" s="143"/>
      <c r="VKP83" s="143"/>
      <c r="VKQ83" s="143"/>
      <c r="VKR83" s="143"/>
      <c r="VKS83" s="143"/>
      <c r="VKT83" s="143"/>
      <c r="VKU83" s="143"/>
      <c r="VKV83" s="143"/>
      <c r="VKW83" s="143"/>
      <c r="VKX83" s="143"/>
      <c r="VKY83" s="143"/>
      <c r="VKZ83" s="143"/>
      <c r="VLA83" s="143"/>
      <c r="VLB83" s="143"/>
      <c r="VLC83" s="143"/>
      <c r="VLD83" s="143"/>
      <c r="VLE83" s="143"/>
      <c r="VLF83" s="143"/>
      <c r="VLG83" s="143"/>
      <c r="VLH83" s="143"/>
      <c r="VLI83" s="143"/>
      <c r="VLJ83" s="143"/>
      <c r="VLK83" s="143"/>
      <c r="VLL83" s="143"/>
      <c r="VLM83" s="143"/>
      <c r="VLN83" s="143"/>
      <c r="VLO83" s="143"/>
      <c r="VLP83" s="143"/>
      <c r="VLQ83" s="143"/>
      <c r="VLR83" s="143"/>
      <c r="VLS83" s="143"/>
      <c r="VLT83" s="143"/>
      <c r="VLU83" s="143"/>
      <c r="VLV83" s="143"/>
      <c r="VLW83" s="143"/>
      <c r="VLX83" s="143"/>
      <c r="VLY83" s="143"/>
      <c r="VLZ83" s="143"/>
      <c r="VMA83" s="143"/>
      <c r="VMB83" s="143"/>
      <c r="VMC83" s="143"/>
      <c r="VMD83" s="143"/>
      <c r="VME83" s="143"/>
      <c r="VMF83" s="143"/>
      <c r="VMG83" s="143"/>
      <c r="VMH83" s="143"/>
      <c r="VMI83" s="143"/>
      <c r="VMJ83" s="143"/>
      <c r="VMK83" s="143"/>
      <c r="VML83" s="143"/>
      <c r="VMM83" s="143"/>
      <c r="VMN83" s="143"/>
      <c r="VMO83" s="143"/>
      <c r="VMP83" s="143"/>
      <c r="VMQ83" s="143"/>
      <c r="VMR83" s="143"/>
      <c r="VMS83" s="143"/>
      <c r="VMT83" s="143"/>
      <c r="VMU83" s="143"/>
      <c r="VMV83" s="143"/>
      <c r="VMW83" s="143"/>
      <c r="VMX83" s="143"/>
      <c r="VMY83" s="143"/>
      <c r="VMZ83" s="143"/>
      <c r="VNA83" s="143"/>
      <c r="VNB83" s="143"/>
      <c r="VNC83" s="143"/>
      <c r="VND83" s="143"/>
      <c r="VNE83" s="143"/>
      <c r="VNF83" s="143"/>
      <c r="VNG83" s="143"/>
      <c r="VNH83" s="143"/>
      <c r="VNI83" s="143"/>
      <c r="VNJ83" s="143"/>
      <c r="VNK83" s="143"/>
      <c r="VNL83" s="143"/>
      <c r="VNM83" s="143"/>
      <c r="VNN83" s="143"/>
      <c r="VNO83" s="143"/>
      <c r="VNP83" s="143"/>
      <c r="VNQ83" s="143"/>
      <c r="VNR83" s="143"/>
      <c r="VNS83" s="143"/>
      <c r="VNT83" s="143"/>
      <c r="VNU83" s="143"/>
      <c r="VNV83" s="143"/>
      <c r="VNW83" s="143"/>
      <c r="VNX83" s="143"/>
      <c r="VNY83" s="143"/>
      <c r="VNZ83" s="143"/>
      <c r="VOA83" s="143"/>
      <c r="VOB83" s="143"/>
      <c r="VOC83" s="143"/>
      <c r="VOD83" s="143"/>
      <c r="VOE83" s="143"/>
      <c r="VOF83" s="143"/>
      <c r="VOG83" s="143"/>
      <c r="VOH83" s="143"/>
      <c r="VOI83" s="143"/>
      <c r="VOJ83" s="143"/>
      <c r="VOK83" s="143"/>
      <c r="VOL83" s="143"/>
      <c r="VOM83" s="143"/>
      <c r="VON83" s="143"/>
      <c r="VOO83" s="143"/>
      <c r="VOP83" s="143"/>
      <c r="VOQ83" s="143"/>
      <c r="VOR83" s="143"/>
      <c r="VOS83" s="143"/>
      <c r="VOT83" s="143"/>
      <c r="VOU83" s="143"/>
      <c r="VOV83" s="143"/>
      <c r="VOW83" s="143"/>
      <c r="VOX83" s="143"/>
      <c r="VOY83" s="143"/>
      <c r="VOZ83" s="143"/>
      <c r="VPA83" s="143"/>
      <c r="VPB83" s="143"/>
      <c r="VPC83" s="143"/>
      <c r="VPD83" s="143"/>
      <c r="VPE83" s="143"/>
      <c r="VPF83" s="143"/>
      <c r="VPG83" s="143"/>
      <c r="VPH83" s="143"/>
      <c r="VPI83" s="143"/>
      <c r="VPJ83" s="143"/>
      <c r="VPK83" s="143"/>
      <c r="VPL83" s="143"/>
      <c r="VPM83" s="143"/>
      <c r="VPN83" s="143"/>
      <c r="VPO83" s="143"/>
      <c r="VPP83" s="143"/>
      <c r="VPQ83" s="143"/>
      <c r="VPR83" s="143"/>
      <c r="VPS83" s="143"/>
      <c r="VPT83" s="143"/>
      <c r="VPU83" s="143"/>
      <c r="VPV83" s="143"/>
      <c r="VPW83" s="143"/>
      <c r="VPX83" s="143"/>
      <c r="VPY83" s="143"/>
      <c r="VPZ83" s="143"/>
      <c r="VQA83" s="143"/>
      <c r="VQB83" s="143"/>
      <c r="VQC83" s="143"/>
      <c r="VQD83" s="143"/>
      <c r="VQE83" s="143"/>
      <c r="VQF83" s="143"/>
      <c r="VQG83" s="143"/>
      <c r="VQH83" s="143"/>
      <c r="VQI83" s="143"/>
      <c r="VQJ83" s="143"/>
      <c r="VQK83" s="143"/>
      <c r="VQL83" s="143"/>
      <c r="VQM83" s="143"/>
      <c r="VQN83" s="143"/>
      <c r="VQO83" s="143"/>
      <c r="VQP83" s="143"/>
      <c r="VQQ83" s="143"/>
      <c r="VQR83" s="143"/>
      <c r="VQS83" s="143"/>
      <c r="VQT83" s="143"/>
      <c r="VQU83" s="143"/>
      <c r="VQV83" s="143"/>
      <c r="VQW83" s="143"/>
      <c r="VQX83" s="143"/>
      <c r="VQY83" s="143"/>
      <c r="VQZ83" s="143"/>
      <c r="VRA83" s="143"/>
      <c r="VRB83" s="143"/>
      <c r="VRC83" s="143"/>
      <c r="VRD83" s="143"/>
      <c r="VRE83" s="143"/>
      <c r="VRF83" s="143"/>
      <c r="VRG83" s="143"/>
      <c r="VRH83" s="143"/>
      <c r="VRI83" s="143"/>
      <c r="VRJ83" s="143"/>
      <c r="VRK83" s="143"/>
      <c r="VRL83" s="143"/>
      <c r="VRM83" s="143"/>
      <c r="VRN83" s="143"/>
      <c r="VRO83" s="143"/>
      <c r="VRP83" s="143"/>
      <c r="VRQ83" s="143"/>
      <c r="VRR83" s="143"/>
      <c r="VRS83" s="143"/>
      <c r="VRT83" s="143"/>
      <c r="VRU83" s="143"/>
      <c r="VRV83" s="143"/>
      <c r="VRW83" s="143"/>
      <c r="VRX83" s="143"/>
      <c r="VRY83" s="143"/>
      <c r="VRZ83" s="143"/>
      <c r="VSA83" s="143"/>
      <c r="VSB83" s="143"/>
      <c r="VSC83" s="143"/>
      <c r="VSD83" s="143"/>
      <c r="VSE83" s="143"/>
      <c r="VSF83" s="143"/>
      <c r="VSG83" s="143"/>
      <c r="VSH83" s="143"/>
      <c r="VSI83" s="143"/>
      <c r="VSJ83" s="143"/>
      <c r="VSK83" s="143"/>
      <c r="VSL83" s="143"/>
      <c r="VSM83" s="143"/>
      <c r="VSN83" s="143"/>
      <c r="VSO83" s="143"/>
      <c r="VSP83" s="143"/>
      <c r="VSQ83" s="143"/>
      <c r="VSR83" s="143"/>
      <c r="VSS83" s="143"/>
      <c r="VST83" s="143"/>
      <c r="VSU83" s="143"/>
      <c r="VSV83" s="143"/>
      <c r="VSW83" s="143"/>
      <c r="VSX83" s="143"/>
      <c r="VSY83" s="143"/>
      <c r="VSZ83" s="143"/>
      <c r="VTA83" s="143"/>
      <c r="VTB83" s="143"/>
      <c r="VTC83" s="143"/>
      <c r="VTD83" s="143"/>
      <c r="VTE83" s="143"/>
      <c r="VTF83" s="143"/>
      <c r="VTG83" s="143"/>
      <c r="VTH83" s="143"/>
      <c r="VTI83" s="143"/>
      <c r="VTJ83" s="143"/>
      <c r="VTK83" s="143"/>
      <c r="VTL83" s="143"/>
      <c r="VTM83" s="143"/>
      <c r="VTN83" s="143"/>
      <c r="VTO83" s="143"/>
      <c r="VTP83" s="143"/>
      <c r="VTQ83" s="143"/>
      <c r="VTR83" s="143"/>
      <c r="VTS83" s="143"/>
      <c r="VTT83" s="143"/>
      <c r="VTU83" s="143"/>
      <c r="VTV83" s="143"/>
      <c r="VTW83" s="143"/>
      <c r="VTX83" s="143"/>
      <c r="VTY83" s="143"/>
      <c r="VTZ83" s="143"/>
      <c r="VUA83" s="143"/>
      <c r="VUB83" s="143"/>
      <c r="VUC83" s="143"/>
      <c r="VUD83" s="143"/>
      <c r="VUE83" s="143"/>
      <c r="VUF83" s="143"/>
      <c r="VUG83" s="143"/>
      <c r="VUH83" s="143"/>
      <c r="VUI83" s="143"/>
      <c r="VUJ83" s="143"/>
      <c r="VUK83" s="143"/>
      <c r="VUL83" s="143"/>
      <c r="VUM83" s="143"/>
      <c r="VUN83" s="143"/>
      <c r="VUO83" s="143"/>
      <c r="VUP83" s="143"/>
      <c r="VUQ83" s="143"/>
      <c r="VUR83" s="143"/>
      <c r="VUS83" s="143"/>
      <c r="VUT83" s="143"/>
      <c r="VUU83" s="143"/>
      <c r="VUV83" s="143"/>
      <c r="VUW83" s="143"/>
      <c r="VUX83" s="143"/>
      <c r="VUY83" s="143"/>
      <c r="VUZ83" s="143"/>
      <c r="VVA83" s="143"/>
      <c r="VVB83" s="143"/>
      <c r="VVC83" s="143"/>
      <c r="VVD83" s="143"/>
      <c r="VVE83" s="143"/>
      <c r="VVF83" s="143"/>
      <c r="VVG83" s="143"/>
      <c r="VVH83" s="143"/>
      <c r="VVI83" s="143"/>
      <c r="VVJ83" s="143"/>
      <c r="VVK83" s="143"/>
      <c r="VVL83" s="143"/>
      <c r="VVM83" s="143"/>
      <c r="VVN83" s="143"/>
      <c r="VVO83" s="143"/>
      <c r="VVP83" s="143"/>
      <c r="VVQ83" s="143"/>
      <c r="VVR83" s="143"/>
      <c r="VVS83" s="143"/>
      <c r="VVT83" s="143"/>
      <c r="VVU83" s="143"/>
      <c r="VVV83" s="143"/>
      <c r="VVW83" s="143"/>
      <c r="VVX83" s="143"/>
      <c r="VVY83" s="143"/>
      <c r="VVZ83" s="143"/>
      <c r="VWA83" s="143"/>
      <c r="VWB83" s="143"/>
      <c r="VWC83" s="143"/>
      <c r="VWD83" s="143"/>
      <c r="VWE83" s="143"/>
      <c r="VWF83" s="143"/>
      <c r="VWG83" s="143"/>
      <c r="VWH83" s="143"/>
      <c r="VWI83" s="143"/>
      <c r="VWJ83" s="143"/>
      <c r="VWK83" s="143"/>
      <c r="VWL83" s="143"/>
      <c r="VWM83" s="143"/>
      <c r="VWN83" s="143"/>
      <c r="VWO83" s="143"/>
      <c r="VWP83" s="143"/>
      <c r="VWQ83" s="143"/>
      <c r="VWR83" s="143"/>
      <c r="VWS83" s="143"/>
      <c r="VWT83" s="143"/>
      <c r="VWU83" s="143"/>
      <c r="VWV83" s="143"/>
      <c r="VWW83" s="143"/>
      <c r="VWX83" s="143"/>
      <c r="VWY83" s="143"/>
      <c r="VWZ83" s="143"/>
      <c r="VXA83" s="143"/>
      <c r="VXB83" s="143"/>
      <c r="VXC83" s="143"/>
      <c r="VXD83" s="143"/>
      <c r="VXE83" s="143"/>
      <c r="VXF83" s="143"/>
      <c r="VXG83" s="143"/>
      <c r="VXH83" s="143"/>
      <c r="VXI83" s="143"/>
      <c r="VXJ83" s="143"/>
      <c r="VXK83" s="143"/>
      <c r="VXL83" s="143"/>
      <c r="VXM83" s="143"/>
      <c r="VXN83" s="143"/>
      <c r="VXO83" s="143"/>
      <c r="VXP83" s="143"/>
      <c r="VXQ83" s="143"/>
      <c r="VXR83" s="143"/>
      <c r="VXS83" s="143"/>
      <c r="VXT83" s="143"/>
      <c r="VXU83" s="143"/>
      <c r="VXV83" s="143"/>
      <c r="VXW83" s="143"/>
      <c r="VXX83" s="143"/>
      <c r="VXY83" s="143"/>
      <c r="VXZ83" s="143"/>
      <c r="VYA83" s="143"/>
      <c r="VYB83" s="143"/>
      <c r="VYC83" s="143"/>
      <c r="VYD83" s="143"/>
      <c r="VYE83" s="143"/>
      <c r="VYF83" s="143"/>
      <c r="VYG83" s="143"/>
      <c r="VYH83" s="143"/>
      <c r="VYI83" s="143"/>
      <c r="VYJ83" s="143"/>
      <c r="VYK83" s="143"/>
      <c r="VYL83" s="143"/>
      <c r="VYM83" s="143"/>
      <c r="VYN83" s="143"/>
      <c r="VYO83" s="143"/>
      <c r="VYP83" s="143"/>
      <c r="VYQ83" s="143"/>
      <c r="VYR83" s="143"/>
      <c r="VYS83" s="143"/>
      <c r="VYT83" s="143"/>
      <c r="VYU83" s="143"/>
      <c r="VYV83" s="143"/>
      <c r="VYW83" s="143"/>
      <c r="VYX83" s="143"/>
      <c r="VYY83" s="143"/>
      <c r="VYZ83" s="143"/>
      <c r="VZA83" s="143"/>
      <c r="VZB83" s="143"/>
      <c r="VZC83" s="143"/>
      <c r="VZD83" s="143"/>
      <c r="VZE83" s="143"/>
      <c r="VZF83" s="143"/>
      <c r="VZG83" s="143"/>
      <c r="VZH83" s="143"/>
      <c r="VZI83" s="143"/>
      <c r="VZJ83" s="143"/>
      <c r="VZK83" s="143"/>
      <c r="VZL83" s="143"/>
      <c r="VZM83" s="143"/>
      <c r="VZN83" s="143"/>
      <c r="VZO83" s="143"/>
      <c r="VZP83" s="143"/>
      <c r="VZQ83" s="143"/>
      <c r="VZR83" s="143"/>
      <c r="VZS83" s="143"/>
      <c r="VZT83" s="143"/>
      <c r="VZU83" s="143"/>
      <c r="VZV83" s="143"/>
      <c r="VZW83" s="143"/>
      <c r="VZX83" s="143"/>
      <c r="VZY83" s="143"/>
      <c r="VZZ83" s="143"/>
      <c r="WAA83" s="143"/>
      <c r="WAB83" s="143"/>
      <c r="WAC83" s="143"/>
      <c r="WAD83" s="143"/>
      <c r="WAE83" s="143"/>
      <c r="WAF83" s="143"/>
      <c r="WAG83" s="143"/>
      <c r="WAH83" s="143"/>
      <c r="WAI83" s="143"/>
      <c r="WAJ83" s="143"/>
      <c r="WAK83" s="143"/>
      <c r="WAL83" s="143"/>
      <c r="WAM83" s="143"/>
      <c r="WAN83" s="143"/>
      <c r="WAO83" s="143"/>
      <c r="WAP83" s="143"/>
      <c r="WAQ83" s="143"/>
      <c r="WAR83" s="143"/>
      <c r="WAS83" s="143"/>
      <c r="WAT83" s="143"/>
      <c r="WAU83" s="143"/>
      <c r="WAV83" s="143"/>
      <c r="WAW83" s="143"/>
      <c r="WAX83" s="143"/>
      <c r="WAY83" s="143"/>
      <c r="WAZ83" s="143"/>
      <c r="WBA83" s="143"/>
      <c r="WBB83" s="143"/>
      <c r="WBC83" s="143"/>
      <c r="WBD83" s="143"/>
      <c r="WBE83" s="143"/>
      <c r="WBF83" s="143"/>
      <c r="WBG83" s="143"/>
      <c r="WBH83" s="143"/>
      <c r="WBI83" s="143"/>
      <c r="WBJ83" s="143"/>
      <c r="WBK83" s="143"/>
      <c r="WBL83" s="143"/>
      <c r="WBM83" s="143"/>
      <c r="WBN83" s="143"/>
      <c r="WBO83" s="143"/>
      <c r="WBP83" s="143"/>
      <c r="WBQ83" s="143"/>
      <c r="WBR83" s="143"/>
      <c r="WBS83" s="143"/>
      <c r="WBT83" s="143"/>
      <c r="WBU83" s="143"/>
      <c r="WBV83" s="143"/>
      <c r="WBW83" s="143"/>
      <c r="WBX83" s="143"/>
      <c r="WBY83" s="143"/>
      <c r="WBZ83" s="143"/>
      <c r="WCA83" s="143"/>
      <c r="WCB83" s="143"/>
      <c r="WCC83" s="143"/>
      <c r="WCD83" s="143"/>
      <c r="WCE83" s="143"/>
      <c r="WCF83" s="143"/>
      <c r="WCG83" s="143"/>
      <c r="WCH83" s="143"/>
      <c r="WCI83" s="143"/>
      <c r="WCJ83" s="143"/>
      <c r="WCK83" s="143"/>
      <c r="WCL83" s="143"/>
      <c r="WCM83" s="143"/>
      <c r="WCN83" s="143"/>
      <c r="WCO83" s="143"/>
      <c r="WCP83" s="143"/>
      <c r="WCQ83" s="143"/>
      <c r="WCR83" s="143"/>
      <c r="WCS83" s="143"/>
      <c r="WCT83" s="143"/>
      <c r="WCU83" s="143"/>
      <c r="WCV83" s="143"/>
      <c r="WCW83" s="143"/>
      <c r="WCX83" s="143"/>
      <c r="WCY83" s="143"/>
      <c r="WCZ83" s="143"/>
      <c r="WDA83" s="143"/>
      <c r="WDB83" s="143"/>
      <c r="WDC83" s="143"/>
      <c r="WDD83" s="143"/>
      <c r="WDE83" s="143"/>
      <c r="WDF83" s="143"/>
      <c r="WDG83" s="143"/>
      <c r="WDH83" s="143"/>
      <c r="WDI83" s="143"/>
      <c r="WDJ83" s="143"/>
      <c r="WDK83" s="143"/>
      <c r="WDL83" s="143"/>
      <c r="WDM83" s="143"/>
      <c r="WDN83" s="143"/>
      <c r="WDO83" s="143"/>
      <c r="WDP83" s="143"/>
      <c r="WDQ83" s="143"/>
      <c r="WDR83" s="143"/>
      <c r="WDS83" s="143"/>
      <c r="WDT83" s="143"/>
      <c r="WDU83" s="143"/>
      <c r="WDV83" s="143"/>
      <c r="WDW83" s="143"/>
      <c r="WDX83" s="143"/>
      <c r="WDY83" s="143"/>
      <c r="WDZ83" s="143"/>
      <c r="WEA83" s="143"/>
      <c r="WEB83" s="143"/>
      <c r="WEC83" s="143"/>
      <c r="WED83" s="143"/>
      <c r="WEE83" s="143"/>
      <c r="WEF83" s="143"/>
      <c r="WEG83" s="143"/>
      <c r="WEH83" s="143"/>
      <c r="WEI83" s="143"/>
      <c r="WEJ83" s="143"/>
      <c r="WEK83" s="143"/>
      <c r="WEL83" s="143"/>
      <c r="WEM83" s="143"/>
      <c r="WEN83" s="143"/>
      <c r="WEO83" s="143"/>
      <c r="WEP83" s="143"/>
      <c r="WEQ83" s="143"/>
      <c r="WER83" s="143"/>
      <c r="WES83" s="143"/>
      <c r="WET83" s="143"/>
      <c r="WEU83" s="143"/>
      <c r="WEV83" s="143"/>
      <c r="WEW83" s="143"/>
      <c r="WEX83" s="143"/>
      <c r="WEY83" s="143"/>
      <c r="WEZ83" s="143"/>
      <c r="WFA83" s="143"/>
      <c r="WFB83" s="143"/>
      <c r="WFC83" s="143"/>
      <c r="WFD83" s="143"/>
      <c r="WFE83" s="143"/>
      <c r="WFF83" s="143"/>
      <c r="WFG83" s="143"/>
      <c r="WFH83" s="143"/>
      <c r="WFI83" s="143"/>
      <c r="WFJ83" s="143"/>
      <c r="WFK83" s="143"/>
      <c r="WFL83" s="143"/>
      <c r="WFM83" s="143"/>
      <c r="WFN83" s="143"/>
      <c r="WFO83" s="143"/>
      <c r="WFP83" s="143"/>
      <c r="WFQ83" s="143"/>
      <c r="WFR83" s="143"/>
      <c r="WFS83" s="143"/>
      <c r="WFT83" s="143"/>
      <c r="WFU83" s="143"/>
      <c r="WFV83" s="143"/>
      <c r="WFW83" s="143"/>
      <c r="WFX83" s="143"/>
      <c r="WFY83" s="143"/>
      <c r="WFZ83" s="143"/>
      <c r="WGA83" s="143"/>
      <c r="WGB83" s="143"/>
      <c r="WGC83" s="143"/>
      <c r="WGD83" s="143"/>
      <c r="WGE83" s="143"/>
      <c r="WGF83" s="143"/>
      <c r="WGG83" s="143"/>
      <c r="WGH83" s="143"/>
      <c r="WGI83" s="143"/>
      <c r="WGJ83" s="143"/>
      <c r="WGK83" s="143"/>
      <c r="WGL83" s="143"/>
      <c r="WGM83" s="143"/>
      <c r="WGN83" s="143"/>
      <c r="WGO83" s="143"/>
      <c r="WGP83" s="143"/>
      <c r="WGQ83" s="143"/>
      <c r="WGR83" s="143"/>
      <c r="WGS83" s="143"/>
      <c r="WGT83" s="143"/>
      <c r="WGU83" s="143"/>
      <c r="WGV83" s="143"/>
      <c r="WGW83" s="143"/>
      <c r="WGX83" s="143"/>
      <c r="WGY83" s="143"/>
      <c r="WGZ83" s="143"/>
      <c r="WHA83" s="143"/>
      <c r="WHB83" s="143"/>
      <c r="WHC83" s="143"/>
      <c r="WHD83" s="143"/>
      <c r="WHE83" s="143"/>
      <c r="WHF83" s="143"/>
      <c r="WHG83" s="143"/>
      <c r="WHH83" s="143"/>
      <c r="WHI83" s="143"/>
      <c r="WHJ83" s="143"/>
      <c r="WHK83" s="143"/>
      <c r="WHL83" s="143"/>
      <c r="WHM83" s="143"/>
      <c r="WHN83" s="143"/>
      <c r="WHO83" s="143"/>
      <c r="WHP83" s="143"/>
      <c r="WHQ83" s="143"/>
      <c r="WHR83" s="143"/>
      <c r="WHS83" s="143"/>
      <c r="WHT83" s="143"/>
      <c r="WHU83" s="143"/>
      <c r="WHV83" s="143"/>
      <c r="WHW83" s="143"/>
      <c r="WHX83" s="143"/>
      <c r="WHY83" s="143"/>
      <c r="WHZ83" s="143"/>
      <c r="WIA83" s="143"/>
      <c r="WIB83" s="143"/>
      <c r="WIC83" s="143"/>
      <c r="WID83" s="143"/>
      <c r="WIE83" s="143"/>
      <c r="WIF83" s="143"/>
      <c r="WIG83" s="143"/>
      <c r="WIH83" s="143"/>
      <c r="WII83" s="143"/>
      <c r="WIJ83" s="143"/>
      <c r="WIK83" s="143"/>
      <c r="WIL83" s="143"/>
      <c r="WIM83" s="143"/>
      <c r="WIN83" s="143"/>
      <c r="WIO83" s="143"/>
      <c r="WIP83" s="143"/>
      <c r="WIQ83" s="143"/>
      <c r="WIR83" s="143"/>
      <c r="WIS83" s="143"/>
      <c r="WIT83" s="143"/>
      <c r="WIU83" s="143"/>
      <c r="WIV83" s="143"/>
      <c r="WIW83" s="143"/>
      <c r="WIX83" s="143"/>
      <c r="WIY83" s="143"/>
      <c r="WIZ83" s="143"/>
      <c r="WJA83" s="143"/>
      <c r="WJB83" s="143"/>
      <c r="WJC83" s="143"/>
      <c r="WJD83" s="143"/>
      <c r="WJE83" s="143"/>
      <c r="WJF83" s="143"/>
      <c r="WJG83" s="143"/>
      <c r="WJH83" s="143"/>
      <c r="WJI83" s="143"/>
      <c r="WJJ83" s="143"/>
      <c r="WJK83" s="143"/>
      <c r="WJL83" s="143"/>
      <c r="WJM83" s="143"/>
      <c r="WJN83" s="143"/>
      <c r="WJO83" s="143"/>
      <c r="WJP83" s="143"/>
      <c r="WJQ83" s="143"/>
      <c r="WJR83" s="143"/>
      <c r="WJS83" s="143"/>
      <c r="WJT83" s="143"/>
      <c r="WJU83" s="143"/>
      <c r="WJV83" s="143"/>
      <c r="WJW83" s="143"/>
      <c r="WJX83" s="143"/>
      <c r="WJY83" s="143"/>
      <c r="WJZ83" s="143"/>
      <c r="WKA83" s="143"/>
      <c r="WKB83" s="143"/>
      <c r="WKC83" s="143"/>
      <c r="WKD83" s="143"/>
      <c r="WKE83" s="143"/>
      <c r="WKF83" s="143"/>
      <c r="WKG83" s="143"/>
      <c r="WKH83" s="143"/>
      <c r="WKI83" s="143"/>
      <c r="WKJ83" s="143"/>
      <c r="WKK83" s="143"/>
      <c r="WKL83" s="143"/>
      <c r="WKM83" s="143"/>
      <c r="WKN83" s="143"/>
      <c r="WKO83" s="143"/>
      <c r="WKP83" s="143"/>
      <c r="WKQ83" s="143"/>
      <c r="WKR83" s="143"/>
      <c r="WKS83" s="143"/>
      <c r="WKT83" s="143"/>
      <c r="WKU83" s="143"/>
      <c r="WKV83" s="143"/>
      <c r="WKW83" s="143"/>
      <c r="WKX83" s="143"/>
      <c r="WKY83" s="143"/>
      <c r="WKZ83" s="143"/>
      <c r="WLA83" s="143"/>
      <c r="WLB83" s="143"/>
      <c r="WLC83" s="143"/>
      <c r="WLD83" s="143"/>
      <c r="WLE83" s="143"/>
      <c r="WLF83" s="143"/>
      <c r="WLG83" s="143"/>
      <c r="WLH83" s="143"/>
      <c r="WLI83" s="143"/>
      <c r="WLJ83" s="143"/>
      <c r="WLK83" s="143"/>
      <c r="WLL83" s="143"/>
      <c r="WLM83" s="143"/>
      <c r="WLN83" s="143"/>
      <c r="WLO83" s="143"/>
      <c r="WLP83" s="143"/>
      <c r="WLQ83" s="143"/>
      <c r="WLR83" s="143"/>
      <c r="WLS83" s="143"/>
      <c r="WLT83" s="143"/>
      <c r="WLU83" s="143"/>
      <c r="WLV83" s="143"/>
      <c r="WLW83" s="143"/>
      <c r="WLX83" s="143"/>
      <c r="WLY83" s="143"/>
      <c r="WLZ83" s="143"/>
      <c r="WMA83" s="143"/>
      <c r="WMB83" s="143"/>
      <c r="WMC83" s="143"/>
      <c r="WMD83" s="143"/>
      <c r="WME83" s="143"/>
      <c r="WMF83" s="143"/>
      <c r="WMG83" s="143"/>
      <c r="WMH83" s="143"/>
      <c r="WMI83" s="143"/>
      <c r="WMJ83" s="143"/>
      <c r="WMK83" s="143"/>
      <c r="WML83" s="143"/>
      <c r="WMM83" s="143"/>
      <c r="WMN83" s="143"/>
      <c r="WMO83" s="143"/>
      <c r="WMP83" s="143"/>
      <c r="WMQ83" s="143"/>
      <c r="WMR83" s="143"/>
      <c r="WMS83" s="143"/>
      <c r="WMT83" s="143"/>
      <c r="WMU83" s="143"/>
      <c r="WMV83" s="143"/>
      <c r="WMW83" s="143"/>
      <c r="WMX83" s="143"/>
      <c r="WMY83" s="143"/>
      <c r="WMZ83" s="143"/>
      <c r="WNA83" s="143"/>
      <c r="WNB83" s="143"/>
      <c r="WNC83" s="143"/>
      <c r="WND83" s="143"/>
      <c r="WNE83" s="143"/>
      <c r="WNF83" s="143"/>
      <c r="WNG83" s="143"/>
      <c r="WNH83" s="143"/>
      <c r="WNI83" s="143"/>
      <c r="WNJ83" s="143"/>
      <c r="WNK83" s="143"/>
      <c r="WNL83" s="143"/>
      <c r="WNM83" s="143"/>
      <c r="WNN83" s="143"/>
      <c r="WNO83" s="143"/>
      <c r="WNP83" s="143"/>
      <c r="WNQ83" s="143"/>
      <c r="WNR83" s="143"/>
      <c r="WNS83" s="143"/>
      <c r="WNT83" s="143"/>
      <c r="WNU83" s="143"/>
      <c r="WNV83" s="143"/>
      <c r="WNW83" s="143"/>
      <c r="WNX83" s="143"/>
      <c r="WNY83" s="143"/>
      <c r="WNZ83" s="143"/>
      <c r="WOA83" s="143"/>
      <c r="WOB83" s="143"/>
      <c r="WOC83" s="143"/>
      <c r="WOD83" s="143"/>
      <c r="WOE83" s="143"/>
      <c r="WOF83" s="143"/>
      <c r="WOG83" s="143"/>
      <c r="WOH83" s="143"/>
      <c r="WOI83" s="143"/>
      <c r="WOJ83" s="143"/>
      <c r="WOK83" s="143"/>
      <c r="WOL83" s="143"/>
      <c r="WOM83" s="143"/>
      <c r="WON83" s="143"/>
      <c r="WOO83" s="143"/>
      <c r="WOP83" s="143"/>
      <c r="WOQ83" s="143"/>
      <c r="WOR83" s="143"/>
      <c r="WOS83" s="143"/>
      <c r="WOT83" s="143"/>
      <c r="WOU83" s="143"/>
      <c r="WOV83" s="143"/>
      <c r="WOW83" s="143"/>
      <c r="WOX83" s="143"/>
      <c r="WOY83" s="143"/>
      <c r="WOZ83" s="143"/>
      <c r="WPA83" s="143"/>
      <c r="WPB83" s="143"/>
      <c r="WPC83" s="143"/>
      <c r="WPD83" s="143"/>
      <c r="WPE83" s="143"/>
      <c r="WPF83" s="143"/>
      <c r="WPG83" s="143"/>
      <c r="WPH83" s="143"/>
      <c r="WPI83" s="143"/>
      <c r="WPJ83" s="143"/>
      <c r="WPK83" s="143"/>
      <c r="WPL83" s="143"/>
      <c r="WPM83" s="143"/>
      <c r="WPN83" s="143"/>
      <c r="WPO83" s="143"/>
      <c r="WPP83" s="143"/>
      <c r="WPQ83" s="143"/>
      <c r="WPR83" s="143"/>
      <c r="WPS83" s="143"/>
      <c r="WPT83" s="143"/>
      <c r="WPU83" s="143"/>
      <c r="WPV83" s="143"/>
      <c r="WPW83" s="143"/>
      <c r="WPX83" s="143"/>
      <c r="WPY83" s="143"/>
      <c r="WPZ83" s="143"/>
      <c r="WQA83" s="143"/>
      <c r="WQB83" s="143"/>
      <c r="WQC83" s="143"/>
      <c r="WQD83" s="143"/>
      <c r="WQE83" s="143"/>
      <c r="WQF83" s="143"/>
      <c r="WQG83" s="143"/>
      <c r="WQH83" s="143"/>
      <c r="WQI83" s="143"/>
      <c r="WQJ83" s="143"/>
      <c r="WQK83" s="143"/>
      <c r="WQL83" s="143"/>
      <c r="WQM83" s="143"/>
      <c r="WQN83" s="143"/>
      <c r="WQO83" s="143"/>
      <c r="WQP83" s="143"/>
      <c r="WQQ83" s="143"/>
      <c r="WQR83" s="143"/>
      <c r="WQS83" s="143"/>
      <c r="WQT83" s="143"/>
      <c r="WQU83" s="143"/>
      <c r="WQV83" s="143"/>
      <c r="WQW83" s="143"/>
      <c r="WQX83" s="143"/>
      <c r="WQY83" s="143"/>
      <c r="WQZ83" s="143"/>
      <c r="WRA83" s="143"/>
      <c r="WRB83" s="143"/>
      <c r="WRC83" s="143"/>
      <c r="WRD83" s="143"/>
      <c r="WRE83" s="143"/>
      <c r="WRF83" s="143"/>
      <c r="WRG83" s="143"/>
      <c r="WRH83" s="143"/>
      <c r="WRI83" s="143"/>
      <c r="WRJ83" s="143"/>
      <c r="WRK83" s="143"/>
      <c r="WRL83" s="143"/>
      <c r="WRM83" s="143"/>
      <c r="WRN83" s="143"/>
      <c r="WRO83" s="143"/>
      <c r="WRP83" s="143"/>
      <c r="WRQ83" s="143"/>
      <c r="WRR83" s="143"/>
      <c r="WRS83" s="143"/>
      <c r="WRT83" s="143"/>
      <c r="WRU83" s="143"/>
      <c r="WRV83" s="143"/>
      <c r="WRW83" s="143"/>
      <c r="WRX83" s="143"/>
      <c r="WRY83" s="143"/>
      <c r="WRZ83" s="143"/>
      <c r="WSA83" s="143"/>
      <c r="WSB83" s="143"/>
      <c r="WSC83" s="143"/>
      <c r="WSD83" s="143"/>
      <c r="WSE83" s="143"/>
      <c r="WSF83" s="143"/>
      <c r="WSG83" s="143"/>
      <c r="WSH83" s="143"/>
      <c r="WSI83" s="143"/>
      <c r="WSJ83" s="143"/>
      <c r="WSK83" s="143"/>
      <c r="WSL83" s="143"/>
      <c r="WSM83" s="143"/>
      <c r="WSN83" s="143"/>
      <c r="WSO83" s="143"/>
      <c r="WSP83" s="143"/>
      <c r="WSQ83" s="143"/>
      <c r="WSR83" s="143"/>
      <c r="WSS83" s="143"/>
      <c r="WST83" s="143"/>
      <c r="WSU83" s="143"/>
      <c r="WSV83" s="143"/>
      <c r="WSW83" s="143"/>
      <c r="WSX83" s="143"/>
      <c r="WSY83" s="143"/>
      <c r="WSZ83" s="143"/>
      <c r="WTA83" s="143"/>
      <c r="WTB83" s="143"/>
      <c r="WTC83" s="143"/>
      <c r="WTD83" s="143"/>
      <c r="WTE83" s="143"/>
      <c r="WTF83" s="143"/>
      <c r="WTG83" s="143"/>
      <c r="WTH83" s="143"/>
      <c r="WTI83" s="143"/>
      <c r="WTJ83" s="143"/>
      <c r="WTK83" s="143"/>
      <c r="WTL83" s="143"/>
      <c r="WTM83" s="143"/>
      <c r="WTN83" s="143"/>
      <c r="WTO83" s="143"/>
      <c r="WTP83" s="143"/>
      <c r="WTQ83" s="143"/>
      <c r="WTR83" s="143"/>
      <c r="WTS83" s="143"/>
      <c r="WTT83" s="143"/>
      <c r="WTU83" s="143"/>
      <c r="WTV83" s="143"/>
      <c r="WTW83" s="143"/>
      <c r="WTX83" s="143"/>
      <c r="WTY83" s="143"/>
      <c r="WTZ83" s="143"/>
      <c r="WUA83" s="143"/>
      <c r="WUB83" s="143"/>
      <c r="WUC83" s="143"/>
      <c r="WUD83" s="143"/>
      <c r="WUE83" s="143"/>
      <c r="WUF83" s="143"/>
      <c r="WUG83" s="143"/>
      <c r="WUH83" s="143"/>
      <c r="WUI83" s="143"/>
      <c r="WUJ83" s="143"/>
      <c r="WUK83" s="143"/>
      <c r="WUL83" s="143"/>
      <c r="WUM83" s="143"/>
      <c r="WUN83" s="143"/>
      <c r="WUO83" s="143"/>
      <c r="WUP83" s="143"/>
      <c r="WUQ83" s="143"/>
      <c r="WUR83" s="143"/>
      <c r="WUS83" s="143"/>
      <c r="WUT83" s="143"/>
      <c r="WUU83" s="143"/>
      <c r="WUV83" s="143"/>
      <c r="WUW83" s="143"/>
      <c r="WUX83" s="143"/>
      <c r="WUY83" s="143"/>
      <c r="WUZ83" s="143"/>
      <c r="WVA83" s="143"/>
      <c r="WVB83" s="143"/>
      <c r="WVC83" s="143"/>
      <c r="WVD83" s="143"/>
      <c r="WVE83" s="143"/>
      <c r="WVF83" s="143"/>
      <c r="WVG83" s="143"/>
      <c r="WVH83" s="143"/>
      <c r="WVI83" s="143"/>
      <c r="WVJ83" s="143"/>
      <c r="WVK83" s="143"/>
      <c r="WVL83" s="143"/>
      <c r="WVM83" s="143"/>
      <c r="WVN83" s="143"/>
      <c r="WVO83" s="143"/>
      <c r="WVP83" s="143"/>
      <c r="WVQ83" s="143"/>
      <c r="WVR83" s="143"/>
      <c r="WVS83" s="143"/>
      <c r="WVT83" s="143"/>
      <c r="WVU83" s="143"/>
      <c r="WVV83" s="143"/>
      <c r="WVW83" s="143"/>
      <c r="WVX83" s="143"/>
      <c r="WVY83" s="143"/>
      <c r="WVZ83" s="143"/>
      <c r="WWA83" s="143"/>
      <c r="WWB83" s="143"/>
      <c r="WWC83" s="143"/>
      <c r="WWD83" s="143"/>
      <c r="WWE83" s="143"/>
      <c r="WWF83" s="143"/>
      <c r="WWG83" s="143"/>
      <c r="WWH83" s="143"/>
      <c r="WWI83" s="143"/>
      <c r="WWJ83" s="143"/>
      <c r="WWK83" s="143"/>
      <c r="WWL83" s="143"/>
      <c r="WWM83" s="143"/>
      <c r="WWN83" s="143"/>
      <c r="WWO83" s="143"/>
      <c r="WWP83" s="143"/>
      <c r="WWQ83" s="143"/>
      <c r="WWR83" s="143"/>
      <c r="WWS83" s="143"/>
      <c r="WWT83" s="143"/>
      <c r="WWU83" s="143"/>
    </row>
    <row r="84" spans="1:16167" s="143" customFormat="1" ht="30.75" customHeight="1">
      <c r="A84" s="143">
        <v>77</v>
      </c>
      <c r="B84" s="56"/>
      <c r="C84" s="142" t="s">
        <v>368</v>
      </c>
      <c r="D84" s="310" t="s">
        <v>369</v>
      </c>
      <c r="E84" s="58" t="s">
        <v>48</v>
      </c>
      <c r="F84" s="58" t="s">
        <v>49</v>
      </c>
      <c r="G84" s="144" t="s">
        <v>53</v>
      </c>
      <c r="H84" s="153" t="s">
        <v>50</v>
      </c>
      <c r="I84" s="153" t="s">
        <v>51</v>
      </c>
      <c r="J84" s="57" t="s">
        <v>250</v>
      </c>
      <c r="K84" s="57" t="s">
        <v>53</v>
      </c>
      <c r="L84" s="57" t="s">
        <v>54</v>
      </c>
      <c r="M84" s="57" t="s">
        <v>55</v>
      </c>
      <c r="N84" s="57" t="s">
        <v>56</v>
      </c>
      <c r="O84" s="59">
        <v>45839</v>
      </c>
      <c r="P84" s="59">
        <v>46569</v>
      </c>
      <c r="Q84" s="311">
        <v>116400</v>
      </c>
      <c r="R84" s="142" t="s">
        <v>57</v>
      </c>
      <c r="S84" s="61">
        <f t="shared" si="3"/>
        <v>91066.985870534656</v>
      </c>
      <c r="T84" s="312">
        <v>2400000</v>
      </c>
      <c r="U84" s="128">
        <f>Q84/T84</f>
        <v>4.8500000000000001E-2</v>
      </c>
      <c r="V84" s="373">
        <f t="shared" si="5"/>
        <v>3.7944577446056109E-2</v>
      </c>
    </row>
    <row r="85" spans="1:16167" s="143" customFormat="1" ht="30.75" customHeight="1">
      <c r="C85" s="57" t="s">
        <v>370</v>
      </c>
      <c r="D85" s="58" t="s">
        <v>371</v>
      </c>
      <c r="E85" s="142"/>
      <c r="F85" s="58" t="s">
        <v>340</v>
      </c>
      <c r="G85" s="144" t="s">
        <v>53</v>
      </c>
      <c r="H85" s="58" t="s">
        <v>197</v>
      </c>
      <c r="I85" s="58" t="s">
        <v>97</v>
      </c>
      <c r="J85" s="142" t="s">
        <v>210</v>
      </c>
      <c r="K85" s="142" t="s">
        <v>53</v>
      </c>
      <c r="L85" s="142" t="s">
        <v>211</v>
      </c>
      <c r="M85" s="57" t="s">
        <v>341</v>
      </c>
      <c r="N85" s="57" t="s">
        <v>98</v>
      </c>
      <c r="O85" s="59">
        <v>45778</v>
      </c>
      <c r="P85" s="59">
        <v>46508</v>
      </c>
      <c r="Q85" s="313">
        <v>1668455.6</v>
      </c>
      <c r="R85" s="314" t="s">
        <v>89</v>
      </c>
      <c r="S85" s="61">
        <f t="shared" si="3"/>
        <v>181398.43048401023</v>
      </c>
      <c r="T85" s="312">
        <v>3000000</v>
      </c>
      <c r="U85" s="128">
        <f>Q85/T85</f>
        <v>0.55615186666666672</v>
      </c>
      <c r="V85" s="373">
        <f t="shared" si="5"/>
        <v>6.0466143494670076E-2</v>
      </c>
    </row>
    <row r="86" spans="1:16167" s="143" customFormat="1" ht="30.75" customHeight="1">
      <c r="C86" s="315" t="s">
        <v>372</v>
      </c>
      <c r="D86" s="316" t="s">
        <v>373</v>
      </c>
      <c r="E86" s="142" t="s">
        <v>48</v>
      </c>
      <c r="F86" s="58" t="s">
        <v>114</v>
      </c>
      <c r="G86" s="310" t="s">
        <v>106</v>
      </c>
      <c r="H86" s="142"/>
      <c r="I86" s="142"/>
      <c r="J86" s="142" t="s">
        <v>374</v>
      </c>
      <c r="K86" s="57" t="s">
        <v>109</v>
      </c>
      <c r="L86" s="57" t="s">
        <v>54</v>
      </c>
      <c r="M86" s="142" t="s">
        <v>375</v>
      </c>
      <c r="N86" s="315" t="s">
        <v>98</v>
      </c>
      <c r="O86" s="317">
        <v>45139</v>
      </c>
      <c r="P86" s="317">
        <v>45566</v>
      </c>
      <c r="Q86" s="60">
        <v>31179700</v>
      </c>
      <c r="R86" s="315" t="s">
        <v>89</v>
      </c>
      <c r="S86" s="61">
        <f t="shared" si="3"/>
        <v>3389930.5699008671</v>
      </c>
      <c r="T86" s="62">
        <v>40000000</v>
      </c>
      <c r="U86" s="318">
        <v>0</v>
      </c>
      <c r="V86" s="373">
        <f t="shared" si="5"/>
        <v>0</v>
      </c>
    </row>
    <row r="87" spans="1:16167" s="143" customFormat="1" ht="30.75" customHeight="1">
      <c r="C87" s="315" t="s">
        <v>372</v>
      </c>
      <c r="D87" s="316" t="s">
        <v>376</v>
      </c>
      <c r="E87" s="142" t="s">
        <v>48</v>
      </c>
      <c r="F87" s="58" t="s">
        <v>114</v>
      </c>
      <c r="G87" s="310" t="s">
        <v>106</v>
      </c>
      <c r="H87" s="142"/>
      <c r="I87" s="142"/>
      <c r="J87" s="142" t="s">
        <v>377</v>
      </c>
      <c r="K87" s="57" t="s">
        <v>143</v>
      </c>
      <c r="L87" s="57" t="s">
        <v>54</v>
      </c>
      <c r="M87" s="142" t="s">
        <v>375</v>
      </c>
      <c r="N87" s="315" t="s">
        <v>98</v>
      </c>
      <c r="O87" s="317">
        <v>45231</v>
      </c>
      <c r="P87" s="317">
        <v>45474</v>
      </c>
      <c r="Q87" s="60">
        <v>340000</v>
      </c>
      <c r="R87" s="315" t="s">
        <v>89</v>
      </c>
      <c r="S87" s="61">
        <f t="shared" si="3"/>
        <v>36965.602419724848</v>
      </c>
      <c r="T87" s="62">
        <v>2000000</v>
      </c>
      <c r="U87" s="318">
        <v>0.17</v>
      </c>
      <c r="V87" s="373">
        <f t="shared" si="5"/>
        <v>1.8482801209862426E-2</v>
      </c>
    </row>
    <row r="88" spans="1:16167" s="143" customFormat="1" ht="30.75" customHeight="1">
      <c r="C88" s="315" t="s">
        <v>372</v>
      </c>
      <c r="D88" s="316" t="s">
        <v>378</v>
      </c>
      <c r="E88" s="142" t="s">
        <v>48</v>
      </c>
      <c r="F88" s="58" t="s">
        <v>114</v>
      </c>
      <c r="G88" s="310" t="s">
        <v>106</v>
      </c>
      <c r="H88" s="142"/>
      <c r="I88" s="142"/>
      <c r="J88" s="142" t="s">
        <v>210</v>
      </c>
      <c r="K88" s="57" t="s">
        <v>109</v>
      </c>
      <c r="L88" s="57" t="s">
        <v>211</v>
      </c>
      <c r="M88" s="142" t="s">
        <v>379</v>
      </c>
      <c r="N88" s="315" t="s">
        <v>98</v>
      </c>
      <c r="O88" s="317">
        <v>45017</v>
      </c>
      <c r="P88" s="317">
        <v>45566</v>
      </c>
      <c r="Q88" s="60">
        <v>39733460</v>
      </c>
      <c r="R88" s="315" t="s">
        <v>89</v>
      </c>
      <c r="S88" s="61">
        <f t="shared" si="3"/>
        <v>4319915.544470707</v>
      </c>
      <c r="T88" s="62"/>
      <c r="U88" s="319">
        <v>0.1792</v>
      </c>
      <c r="V88" s="373">
        <f t="shared" si="5"/>
        <v>1.9483046922396153E-2</v>
      </c>
    </row>
    <row r="89" spans="1:16167" s="143" customFormat="1" ht="30.75" customHeight="1">
      <c r="C89" s="57" t="s">
        <v>357</v>
      </c>
      <c r="D89" s="320" t="s">
        <v>380</v>
      </c>
      <c r="E89" s="85" t="s">
        <v>133</v>
      </c>
      <c r="F89" s="85" t="s">
        <v>340</v>
      </c>
      <c r="G89" s="85" t="s">
        <v>53</v>
      </c>
      <c r="H89" s="85" t="s">
        <v>96</v>
      </c>
      <c r="I89" s="85" t="s">
        <v>97</v>
      </c>
      <c r="J89" s="57" t="s">
        <v>210</v>
      </c>
      <c r="K89" s="57" t="s">
        <v>53</v>
      </c>
      <c r="L89" s="57" t="s">
        <v>211</v>
      </c>
      <c r="M89" s="57" t="s">
        <v>212</v>
      </c>
      <c r="N89" s="57" t="s">
        <v>98</v>
      </c>
      <c r="P89" s="321"/>
      <c r="Q89" s="322"/>
    </row>
    <row r="90" spans="1:16167" s="143" customFormat="1" ht="30.75" customHeight="1">
      <c r="P90" s="321"/>
      <c r="Q90" s="322"/>
    </row>
    <row r="91" spans="1:16167" s="143" customFormat="1" ht="30.75" customHeight="1">
      <c r="P91" s="321"/>
      <c r="Q91" s="322"/>
    </row>
    <row r="92" spans="1:16167" s="143" customFormat="1" ht="30.75" customHeight="1">
      <c r="P92" s="321"/>
      <c r="Q92" s="322"/>
    </row>
    <row r="93" spans="1:16167" s="143" customFormat="1" ht="30.75" customHeight="1">
      <c r="P93" s="321"/>
      <c r="Q93" s="322"/>
    </row>
    <row r="94" spans="1:16167" s="143" customFormat="1" ht="30.75" customHeight="1"/>
    <row r="95" spans="1:16167" s="143" customFormat="1" ht="14"/>
    <row r="96" spans="1:16167" s="143" customFormat="1" ht="14"/>
    <row r="97" spans="16:16" s="143" customFormat="1" ht="14"/>
    <row r="98" spans="16:16" s="143" customFormat="1" ht="14">
      <c r="P98" s="143" t="s">
        <v>381</v>
      </c>
    </row>
    <row r="99" spans="16:16" s="143" customFormat="1" ht="14"/>
    <row r="100" spans="16:16" s="143" customFormat="1" ht="14"/>
    <row r="101" spans="16:16" s="143" customFormat="1" ht="14"/>
    <row r="102" spans="16:16" s="143" customFormat="1" ht="14"/>
    <row r="103" spans="16:16" s="143" customFormat="1" ht="14"/>
    <row r="104" spans="16:16" s="143" customFormat="1" ht="14"/>
    <row r="105" spans="16:16" s="143" customFormat="1" ht="14"/>
    <row r="106" spans="16:16" s="143" customFormat="1" ht="14"/>
    <row r="107" spans="16:16" s="143" customFormat="1" ht="14"/>
    <row r="108" spans="16:16" s="143" customFormat="1" ht="14"/>
    <row r="109" spans="16:16" s="143" customFormat="1" ht="14"/>
    <row r="110" spans="16:16" s="143" customFormat="1" ht="14"/>
    <row r="111" spans="16:16" s="143" customFormat="1" ht="14"/>
    <row r="112" spans="16:16" s="143" customFormat="1" ht="14"/>
    <row r="113" s="143" customFormat="1" ht="14"/>
    <row r="114" s="143" customFormat="1" ht="14"/>
    <row r="115" s="143" customFormat="1" ht="14"/>
    <row r="116" s="143" customFormat="1" ht="14"/>
    <row r="117" s="143" customFormat="1" ht="14"/>
    <row r="118" s="143" customFormat="1" ht="14"/>
    <row r="119" s="143" customFormat="1" ht="14"/>
    <row r="120" s="143" customFormat="1" ht="14"/>
    <row r="121" s="143" customFormat="1" ht="14"/>
    <row r="122" s="143" customFormat="1" ht="14"/>
    <row r="123" s="143" customFormat="1" ht="14"/>
    <row r="124" s="143" customFormat="1" ht="14"/>
    <row r="125" s="143" customFormat="1" ht="14"/>
    <row r="126" s="143" customFormat="1" ht="14"/>
    <row r="127" s="143" customFormat="1" ht="14"/>
    <row r="128" s="143" customFormat="1" ht="14"/>
    <row r="129" s="143" customFormat="1" ht="14"/>
    <row r="130" s="143" customFormat="1" ht="14"/>
    <row r="131" s="143" customFormat="1" ht="14"/>
    <row r="132" s="143" customFormat="1" ht="14"/>
    <row r="133" s="143" customFormat="1" ht="14"/>
    <row r="134" s="143" customFormat="1" ht="14"/>
    <row r="135" s="143" customFormat="1" ht="14"/>
    <row r="136" s="143" customFormat="1" ht="14"/>
    <row r="137" s="143" customFormat="1" ht="14"/>
    <row r="138" s="143" customFormat="1" ht="14"/>
    <row r="139" s="143" customFormat="1" ht="14"/>
    <row r="140" s="143" customFormat="1" ht="14"/>
    <row r="141" s="143" customFormat="1" ht="14"/>
    <row r="142" s="143" customFormat="1" ht="14"/>
    <row r="143" s="143" customFormat="1" ht="14"/>
    <row r="144" s="143" customFormat="1" ht="14"/>
    <row r="145" s="143" customFormat="1" ht="14"/>
    <row r="146" s="143" customFormat="1" ht="14"/>
    <row r="147" s="143" customFormat="1" ht="14"/>
    <row r="148" s="143" customFormat="1" ht="14"/>
    <row r="149" s="143" customFormat="1" ht="14"/>
    <row r="150" s="143" customFormat="1" ht="14"/>
    <row r="151" s="143" customFormat="1" ht="14"/>
    <row r="152" s="143" customFormat="1" ht="14"/>
    <row r="153" s="143" customFormat="1" ht="14"/>
    <row r="154" s="143" customFormat="1" ht="14"/>
    <row r="155" s="143" customFormat="1" ht="14"/>
    <row r="199" spans="4:21" s="143" customFormat="1" ht="15" customHeight="1">
      <c r="D199" s="369"/>
      <c r="E199" s="369"/>
      <c r="F199" s="369"/>
      <c r="G199" s="369"/>
      <c r="H199" s="369"/>
      <c r="I199" s="369"/>
      <c r="L199" s="55"/>
      <c r="Q199" s="156"/>
      <c r="S199" s="370"/>
      <c r="T199" s="156"/>
      <c r="U199" s="145"/>
    </row>
  </sheetData>
  <phoneticPr fontId="4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5E1D-D189-4D9E-84F9-CE2665C16FDE}">
  <sheetPr>
    <tabColor theme="1"/>
  </sheetPr>
  <dimension ref="A1:XBY199"/>
  <sheetViews>
    <sheetView showGridLines="0" topLeftCell="A5" zoomScale="70" zoomScaleNormal="70" zoomScaleSheetLayoutView="70" workbookViewId="0">
      <selection activeCell="H17" sqref="H17"/>
    </sheetView>
  </sheetViews>
  <sheetFormatPr defaultColWidth="8.4140625" defaultRowHeight="15" customHeight="1" outlineLevelCol="1"/>
  <cols>
    <col min="1" max="1" width="13.25" style="143" customWidth="1"/>
    <col min="2" max="2" width="23.75" style="143" bestFit="1" customWidth="1"/>
    <col min="3" max="3" width="22.1640625" style="143" customWidth="1"/>
    <col min="4" max="4" width="53.4140625" style="369" customWidth="1"/>
    <col min="5" max="5" width="36.5" style="145" customWidth="1"/>
    <col min="6" max="6" width="14.4140625" style="145" customWidth="1"/>
    <col min="7" max="7" width="19.1640625" style="145" customWidth="1"/>
    <col min="8" max="8" width="19.4140625" style="145" customWidth="1" outlineLevel="1"/>
    <col min="9" max="9" width="19.5" style="145" customWidth="1" outlineLevel="1"/>
    <col min="10" max="10" width="20.1640625" style="145" customWidth="1" outlineLevel="1"/>
    <col min="11" max="11" width="19.83203125" style="145" customWidth="1" outlineLevel="1"/>
    <col min="12" max="12" width="20.4140625" style="145" customWidth="1" outlineLevel="1"/>
    <col min="13" max="13" width="19.5" style="145" customWidth="1" outlineLevel="1"/>
    <col min="14" max="14" width="19.1640625" style="145" customWidth="1" outlineLevel="1"/>
    <col min="15" max="15" width="20.4140625" style="145" customWidth="1" outlineLevel="1"/>
    <col min="16" max="16" width="19.5" style="145" customWidth="1" outlineLevel="1"/>
    <col min="17" max="17" width="19.83203125" style="145" customWidth="1" outlineLevel="1"/>
    <col min="18" max="18" width="20.4140625" style="145" customWidth="1" outlineLevel="1"/>
    <col min="19" max="19" width="17.5" style="146" customWidth="1" outlineLevel="1"/>
    <col min="20" max="20" width="16.5" style="145" customWidth="1"/>
    <col min="21" max="21" width="16.75" style="145" customWidth="1"/>
    <col min="22" max="22" width="17.1640625" style="145" customWidth="1"/>
    <col min="23" max="23" width="16.75" style="145" customWidth="1"/>
    <col min="24" max="24" width="17.4140625" style="145" customWidth="1"/>
    <col min="25" max="25" width="16.75" style="145" customWidth="1"/>
    <col min="26" max="26" width="16.1640625" style="145" customWidth="1"/>
    <col min="27" max="27" width="17.25" style="145" customWidth="1"/>
    <col min="28" max="28" width="16.83203125" style="145" customWidth="1"/>
    <col min="29" max="29" width="16.75" style="145" customWidth="1"/>
    <col min="30" max="30" width="17.25" style="145" customWidth="1"/>
    <col min="31" max="31" width="17.1640625" style="145" customWidth="1"/>
    <col min="32" max="32" width="14.1640625" style="145" bestFit="1" customWidth="1"/>
    <col min="33" max="33" width="8.4140625" style="145" customWidth="1"/>
    <col min="34" max="34" width="23.4140625" style="145" customWidth="1"/>
    <col min="35" max="35" width="14.4140625" style="145" customWidth="1"/>
    <col min="36" max="36" width="8.4140625" style="145" customWidth="1"/>
    <col min="37" max="37" width="12.1640625" style="145" customWidth="1"/>
    <col min="38" max="38" width="23.75" style="145" customWidth="1"/>
    <col min="39" max="42" width="13.1640625" style="371" customWidth="1"/>
    <col min="43" max="91" width="8.4140625" style="145" hidden="1" customWidth="1" outlineLevel="1"/>
    <col min="92" max="92" width="11.5" style="145" customWidth="1" collapsed="1"/>
    <col min="93" max="103" width="11.5" style="145" customWidth="1"/>
    <col min="104" max="104" width="8.4140625" style="145"/>
    <col min="105" max="105" width="14.83203125" style="145" customWidth="1"/>
    <col min="106" max="106" width="9" style="145" bestFit="1" customWidth="1"/>
    <col min="107" max="16384" width="8.4140625" style="145"/>
  </cols>
  <sheetData>
    <row r="1" spans="1:106" s="6" customFormat="1" ht="17.5" hidden="1">
      <c r="A1" s="1"/>
      <c r="B1" s="1"/>
      <c r="C1" s="1"/>
      <c r="D1" s="2"/>
      <c r="S1" s="7"/>
      <c r="AM1" s="8"/>
      <c r="AN1" s="8"/>
      <c r="AO1" s="8"/>
      <c r="AP1" s="8"/>
    </row>
    <row r="2" spans="1:106" s="6" customFormat="1" ht="35" hidden="1">
      <c r="A2" s="1"/>
      <c r="B2" s="1"/>
      <c r="C2" s="9" t="s">
        <v>2</v>
      </c>
      <c r="D2" s="2"/>
      <c r="S2" s="7"/>
      <c r="AM2" s="8"/>
      <c r="AN2" s="8"/>
      <c r="AO2" s="8"/>
      <c r="AP2" s="8"/>
    </row>
    <row r="3" spans="1:106" s="6" customFormat="1" ht="18" hidden="1" customHeight="1">
      <c r="A3" s="12"/>
      <c r="B3" s="12"/>
      <c r="C3" s="13" t="s">
        <v>3</v>
      </c>
      <c r="D3" s="2"/>
      <c r="S3" s="7"/>
      <c r="AM3" s="8"/>
      <c r="AN3" s="8"/>
      <c r="AO3" s="8"/>
      <c r="AP3" s="8"/>
    </row>
    <row r="4" spans="1:106" s="6" customFormat="1" ht="17.5" hidden="1">
      <c r="A4" s="14"/>
      <c r="B4" s="14"/>
      <c r="C4" s="15"/>
      <c r="D4" s="2"/>
      <c r="S4" s="7"/>
      <c r="AM4" s="8"/>
      <c r="AN4" s="8"/>
      <c r="AO4" s="8"/>
      <c r="AP4" s="8"/>
    </row>
    <row r="5" spans="1:106" s="6" customFormat="1" ht="22.5" customHeight="1">
      <c r="A5" s="16" t="s">
        <v>4</v>
      </c>
      <c r="B5" s="17">
        <v>1.2781800000000001</v>
      </c>
      <c r="D5" s="2"/>
      <c r="E5" s="18"/>
      <c r="S5" s="7"/>
      <c r="T5" s="19"/>
      <c r="AM5" s="8"/>
      <c r="AN5" s="8"/>
      <c r="AO5" s="8"/>
      <c r="AP5" s="8"/>
    </row>
    <row r="6" spans="1:106" s="6" customFormat="1" ht="22.5" customHeight="1">
      <c r="A6" s="16" t="s">
        <v>5</v>
      </c>
      <c r="B6" s="17">
        <v>9.1977399999999996</v>
      </c>
      <c r="C6" s="2">
        <v>2.5813403670167399E-2</v>
      </c>
      <c r="S6" s="7" t="s">
        <v>6</v>
      </c>
      <c r="T6" s="19"/>
      <c r="AM6" s="8"/>
      <c r="AN6" s="8"/>
      <c r="AO6" s="8"/>
      <c r="AP6" s="8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</row>
    <row r="7" spans="1:106" s="6" customFormat="1" ht="22.5" customHeight="1" thickBot="1">
      <c r="A7" s="1"/>
      <c r="B7" s="22" t="s">
        <v>7</v>
      </c>
      <c r="C7" s="1"/>
      <c r="D7" s="2"/>
      <c r="E7" s="374" t="s">
        <v>8</v>
      </c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6" t="s">
        <v>9</v>
      </c>
      <c r="U7" s="377"/>
      <c r="V7" s="377"/>
      <c r="W7" s="377"/>
      <c r="X7" s="377"/>
      <c r="Y7" s="377"/>
      <c r="Z7" s="377"/>
      <c r="AA7" s="377"/>
      <c r="AB7" s="377"/>
      <c r="AC7" s="377"/>
      <c r="AD7" s="377"/>
      <c r="AE7" s="377"/>
      <c r="AH7" s="26" t="s">
        <v>10</v>
      </c>
      <c r="AI7" s="27"/>
      <c r="AJ7" s="27"/>
      <c r="AK7" s="27"/>
      <c r="AL7" s="27"/>
      <c r="AM7" s="28"/>
      <c r="AN7" s="28"/>
      <c r="AO7" s="28"/>
      <c r="AP7" s="28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</row>
    <row r="8" spans="1:106" s="6" customFormat="1" ht="22.5" customHeight="1" thickTop="1" thickBot="1">
      <c r="A8" s="1"/>
      <c r="B8" s="22"/>
      <c r="C8" s="1"/>
      <c r="D8" s="2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1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H8" s="26"/>
      <c r="AI8" s="27"/>
      <c r="AJ8" s="27"/>
      <c r="AK8" s="27"/>
      <c r="AL8" s="27"/>
      <c r="AM8" s="28"/>
      <c r="AN8" s="28"/>
      <c r="AO8" s="28"/>
      <c r="AP8" s="28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</row>
    <row r="9" spans="1:106" s="48" customFormat="1" ht="51" customHeight="1" thickTop="1" thickBot="1">
      <c r="A9" s="33" t="s">
        <v>11</v>
      </c>
      <c r="B9" s="34" t="s">
        <v>12</v>
      </c>
      <c r="C9" s="35" t="s">
        <v>13</v>
      </c>
      <c r="D9" s="35" t="s">
        <v>14</v>
      </c>
      <c r="E9" s="43" t="s">
        <v>32</v>
      </c>
      <c r="F9" s="43" t="s">
        <v>33</v>
      </c>
      <c r="G9" s="43" t="s">
        <v>34</v>
      </c>
      <c r="H9" s="44">
        <v>45292</v>
      </c>
      <c r="I9" s="44">
        <v>45323</v>
      </c>
      <c r="J9" s="44">
        <v>45352</v>
      </c>
      <c r="K9" s="44">
        <v>45383</v>
      </c>
      <c r="L9" s="44">
        <v>45413</v>
      </c>
      <c r="M9" s="44">
        <v>45444</v>
      </c>
      <c r="N9" s="44">
        <v>45474</v>
      </c>
      <c r="O9" s="44">
        <v>45505</v>
      </c>
      <c r="P9" s="45">
        <v>45536</v>
      </c>
      <c r="Q9" s="45">
        <v>45566</v>
      </c>
      <c r="R9" s="45">
        <v>45597</v>
      </c>
      <c r="S9" s="45">
        <v>45627</v>
      </c>
      <c r="T9" s="46">
        <v>45658</v>
      </c>
      <c r="U9" s="46">
        <v>45689</v>
      </c>
      <c r="V9" s="45">
        <v>45717</v>
      </c>
      <c r="W9" s="45">
        <v>45748</v>
      </c>
      <c r="X9" s="45">
        <v>45778</v>
      </c>
      <c r="Y9" s="45">
        <v>45809</v>
      </c>
      <c r="Z9" s="45">
        <v>45839</v>
      </c>
      <c r="AA9" s="45">
        <v>45870</v>
      </c>
      <c r="AB9" s="45">
        <v>45901</v>
      </c>
      <c r="AC9" s="45">
        <v>45931</v>
      </c>
      <c r="AD9" s="45">
        <v>45962</v>
      </c>
      <c r="AE9" s="45">
        <v>45992</v>
      </c>
      <c r="AF9" s="47" t="s">
        <v>35</v>
      </c>
      <c r="AH9" s="49" t="s">
        <v>36</v>
      </c>
      <c r="AI9" s="49" t="s">
        <v>37</v>
      </c>
      <c r="AJ9" s="50" t="s">
        <v>38</v>
      </c>
      <c r="AK9" s="49" t="s">
        <v>39</v>
      </c>
      <c r="AL9" s="49" t="s">
        <v>40</v>
      </c>
      <c r="AM9" s="51" t="s">
        <v>41</v>
      </c>
      <c r="AN9" s="51" t="s">
        <v>42</v>
      </c>
      <c r="AO9" s="51" t="s">
        <v>43</v>
      </c>
      <c r="AP9" s="51" t="s">
        <v>44</v>
      </c>
      <c r="AQ9" s="52">
        <v>44197</v>
      </c>
      <c r="AR9" s="52">
        <v>44228</v>
      </c>
      <c r="AS9" s="52">
        <v>44256</v>
      </c>
      <c r="AT9" s="52">
        <v>44287</v>
      </c>
      <c r="AU9" s="52">
        <v>44317</v>
      </c>
      <c r="AV9" s="52">
        <v>44348</v>
      </c>
      <c r="AW9" s="52">
        <v>44378</v>
      </c>
      <c r="AX9" s="52">
        <v>44409</v>
      </c>
      <c r="AY9" s="52">
        <v>44440</v>
      </c>
      <c r="AZ9" s="52">
        <v>44470</v>
      </c>
      <c r="BA9" s="52">
        <v>44501</v>
      </c>
      <c r="BB9" s="52">
        <v>44531</v>
      </c>
      <c r="BC9" s="52"/>
      <c r="BD9" s="52">
        <v>44562</v>
      </c>
      <c r="BE9" s="52">
        <v>44593</v>
      </c>
      <c r="BF9" s="52">
        <v>44621</v>
      </c>
      <c r="BG9" s="52">
        <v>44652</v>
      </c>
      <c r="BH9" s="52">
        <v>44682</v>
      </c>
      <c r="BI9" s="52">
        <v>44713</v>
      </c>
      <c r="BJ9" s="52">
        <v>44743</v>
      </c>
      <c r="BK9" s="52">
        <v>44774</v>
      </c>
      <c r="BL9" s="52">
        <v>44805</v>
      </c>
      <c r="BM9" s="52">
        <v>44835</v>
      </c>
      <c r="BN9" s="52">
        <v>44866</v>
      </c>
      <c r="BO9" s="52">
        <v>44896</v>
      </c>
      <c r="BP9" s="52">
        <v>44927</v>
      </c>
      <c r="BQ9" s="52">
        <v>44958</v>
      </c>
      <c r="BR9" s="52">
        <v>44986</v>
      </c>
      <c r="BS9" s="52">
        <v>45017</v>
      </c>
      <c r="BT9" s="52">
        <v>45047</v>
      </c>
      <c r="BU9" s="52">
        <v>45078</v>
      </c>
      <c r="BV9" s="52">
        <v>45108</v>
      </c>
      <c r="BW9" s="52">
        <v>45139</v>
      </c>
      <c r="BX9" s="52">
        <v>45170</v>
      </c>
      <c r="BY9" s="52">
        <v>45200</v>
      </c>
      <c r="BZ9" s="52">
        <v>45231</v>
      </c>
      <c r="CA9" s="52">
        <v>45261</v>
      </c>
      <c r="CB9" s="53">
        <v>45292</v>
      </c>
      <c r="CC9" s="53">
        <v>45323</v>
      </c>
      <c r="CD9" s="53">
        <v>45352</v>
      </c>
      <c r="CE9" s="54">
        <v>45383</v>
      </c>
      <c r="CF9" s="54">
        <v>45413</v>
      </c>
      <c r="CG9" s="54">
        <v>45444</v>
      </c>
      <c r="CH9" s="54">
        <v>45474</v>
      </c>
      <c r="CI9" s="54">
        <v>45505</v>
      </c>
      <c r="CJ9" s="54">
        <v>45536</v>
      </c>
      <c r="CK9" s="54">
        <v>45566</v>
      </c>
      <c r="CL9" s="49">
        <v>45597</v>
      </c>
      <c r="CM9" s="49">
        <v>45627</v>
      </c>
      <c r="CN9" s="49">
        <v>45658</v>
      </c>
      <c r="CO9" s="49">
        <v>45689</v>
      </c>
      <c r="CP9" s="49">
        <v>45717</v>
      </c>
      <c r="CQ9" s="49">
        <v>45748</v>
      </c>
      <c r="CR9" s="49">
        <v>45778</v>
      </c>
      <c r="CS9" s="49">
        <v>45809</v>
      </c>
      <c r="CT9" s="49">
        <v>45839</v>
      </c>
      <c r="CU9" s="49">
        <v>45870</v>
      </c>
      <c r="CV9" s="49">
        <v>45901</v>
      </c>
      <c r="CW9" s="49">
        <v>45931</v>
      </c>
      <c r="CX9" s="49">
        <v>45962</v>
      </c>
      <c r="CY9" s="49">
        <v>45992</v>
      </c>
      <c r="DA9" s="6"/>
      <c r="DB9" s="6"/>
    </row>
    <row r="10" spans="1:106" s="71" customFormat="1" ht="30.75" customHeight="1" thickTop="1" thickBot="1">
      <c r="A10" s="55">
        <v>1</v>
      </c>
      <c r="B10" s="56" t="s">
        <v>45</v>
      </c>
      <c r="C10" s="57" t="s">
        <v>46</v>
      </c>
      <c r="D10" s="58" t="s">
        <v>47</v>
      </c>
      <c r="E10" s="66">
        <v>523716080</v>
      </c>
      <c r="F10" s="66">
        <v>471530346</v>
      </c>
      <c r="G10" s="66">
        <v>404870290</v>
      </c>
      <c r="H10" s="66">
        <v>34094250</v>
      </c>
      <c r="I10" s="66">
        <v>27982380</v>
      </c>
      <c r="J10" s="66">
        <v>35881250</v>
      </c>
      <c r="K10" s="66">
        <v>33715264</v>
      </c>
      <c r="L10" s="66">
        <v>49761762</v>
      </c>
      <c r="M10" s="66">
        <v>49968522</v>
      </c>
      <c r="N10" s="66">
        <v>46294918</v>
      </c>
      <c r="O10" s="66">
        <v>57860634</v>
      </c>
      <c r="P10" s="66">
        <v>36903554</v>
      </c>
      <c r="Q10" s="66">
        <v>32308514</v>
      </c>
      <c r="R10" s="66">
        <v>34612990</v>
      </c>
      <c r="S10" s="67">
        <v>28195840</v>
      </c>
      <c r="T10" s="68">
        <f>Volume!CN10+Volume!CN11+Volume!CN22+Volume!CN34+Volume!CN59+Volume!CN62</f>
        <v>48220474</v>
      </c>
      <c r="U10" s="69">
        <f>Volume!CO10+Volume!CO11+Volume!CO22+Volume!CO34+Volume!CO59+Volume!CO62</f>
        <v>24769050</v>
      </c>
      <c r="V10" s="69">
        <f>Volume!CP10+Volume!CP11+Volume!CP22+Volume!CP34+Volume!CP59+Volume!CP62</f>
        <v>67126382</v>
      </c>
      <c r="W10" s="69">
        <f>Volume!CQ10+Volume!CQ11+Volume!CQ22+Volume!CQ34+Volume!CQ59+Volume!CQ62</f>
        <v>61797920</v>
      </c>
      <c r="X10" s="69">
        <f>Volume!CR10+Volume!CR11+Volume!CR22+Volume!CR34+Volume!CR59+Volume!CR62</f>
        <v>42129688</v>
      </c>
      <c r="Y10" s="69">
        <f>Volume!CS10+Volume!CS11+Volume!CS22+Volume!CS34+Volume!CS59+Volume!CS62</f>
        <v>42064887.618000001</v>
      </c>
      <c r="Z10" s="69">
        <f>Volume!CT10+Volume!CT11+Volume!CT22+Volume!CT34+Volume!CT59+Volume!CT62</f>
        <v>45832073.739999995</v>
      </c>
      <c r="AA10" s="69">
        <f>Volume!CU10+Volume!CU11+Volume!CU22+Volume!CU34+Volume!CU59+Volume!CU62</f>
        <v>50460345.017999992</v>
      </c>
      <c r="AB10" s="69">
        <f>Volume!CV10+Volume!CV11+Volume!CV22+Volume!CV34+Volume!CV59+Volume!CV62</f>
        <v>45728988.276999995</v>
      </c>
      <c r="AC10" s="69">
        <f>Volume!CW10+Volume!CW11+Volume!CW22+Volume!CW34+Volume!CW59+Volume!CW62</f>
        <v>48585657.946000002</v>
      </c>
      <c r="AD10" s="69">
        <f>Volume!CX10+Volume!CX11+Volume!CX22+Volume!CX34+Volume!CX59+Volume!CX62</f>
        <v>49071239.120999992</v>
      </c>
      <c r="AE10" s="69">
        <f>Volume!CY10+Volume!CY11+Volume!CY22+Volume!CY34+Volume!CY59+Volume!CY62</f>
        <v>46771803.361999989</v>
      </c>
      <c r="AF10" s="70">
        <f>SUM(V10:AE10)</f>
        <v>499568985.08199996</v>
      </c>
      <c r="AH10" s="72" t="s">
        <v>59</v>
      </c>
      <c r="AI10" s="73" t="s">
        <v>60</v>
      </c>
      <c r="AJ10" s="74" t="s">
        <v>61</v>
      </c>
      <c r="AK10" s="75">
        <v>45698</v>
      </c>
      <c r="AL10" s="76" t="s">
        <v>62</v>
      </c>
      <c r="AM10" s="77">
        <v>150444920</v>
      </c>
      <c r="AN10" s="77">
        <v>202559713</v>
      </c>
      <c r="AO10" s="77">
        <v>91785440</v>
      </c>
      <c r="AP10" s="77">
        <v>12656900</v>
      </c>
      <c r="AQ10" s="78">
        <v>9366300</v>
      </c>
      <c r="AR10" s="78">
        <v>5088060</v>
      </c>
      <c r="AS10" s="78">
        <v>10606320</v>
      </c>
      <c r="AT10" s="78">
        <v>9598860</v>
      </c>
      <c r="AU10" s="78">
        <v>14671980</v>
      </c>
      <c r="AV10" s="78">
        <v>14349580</v>
      </c>
      <c r="AW10" s="78">
        <v>12979220</v>
      </c>
      <c r="AX10" s="78">
        <v>15256580</v>
      </c>
      <c r="AY10" s="78">
        <v>15964420</v>
      </c>
      <c r="AZ10" s="78">
        <v>12569000</v>
      </c>
      <c r="BA10" s="78">
        <v>15497160</v>
      </c>
      <c r="BB10" s="78">
        <v>14497440</v>
      </c>
      <c r="BC10" s="78"/>
      <c r="BD10" s="78">
        <v>15559440</v>
      </c>
      <c r="BE10" s="78">
        <v>12012360</v>
      </c>
      <c r="BF10" s="78">
        <v>18465130</v>
      </c>
      <c r="BG10" s="78">
        <v>19798430</v>
      </c>
      <c r="BH10" s="78">
        <v>20944920</v>
      </c>
      <c r="BI10" s="78">
        <v>17632262</v>
      </c>
      <c r="BJ10" s="78">
        <v>15720521</v>
      </c>
      <c r="BK10" s="78">
        <v>13104480</v>
      </c>
      <c r="BL10" s="78">
        <v>29618660</v>
      </c>
      <c r="BM10" s="78">
        <v>11285460</v>
      </c>
      <c r="BN10" s="78">
        <v>13803750</v>
      </c>
      <c r="BO10" s="78">
        <v>14614300</v>
      </c>
      <c r="BP10" s="78">
        <v>8764100</v>
      </c>
      <c r="BQ10" s="78">
        <v>8606700</v>
      </c>
      <c r="BR10" s="78">
        <v>16334000</v>
      </c>
      <c r="BS10" s="78">
        <v>12069960</v>
      </c>
      <c r="BT10" s="78">
        <v>7439980</v>
      </c>
      <c r="BU10" s="78">
        <v>7699880</v>
      </c>
      <c r="BV10" s="78">
        <v>3856460</v>
      </c>
      <c r="BW10" s="78">
        <v>4664000</v>
      </c>
      <c r="BX10" s="78">
        <v>6591860</v>
      </c>
      <c r="BY10" s="78">
        <v>4137070</v>
      </c>
      <c r="BZ10" s="78">
        <v>7758370</v>
      </c>
      <c r="CA10" s="78">
        <v>3863060</v>
      </c>
      <c r="CB10" s="78">
        <v>4132280</v>
      </c>
      <c r="CC10" s="78">
        <v>2737600</v>
      </c>
      <c r="CD10" s="78">
        <v>3241380</v>
      </c>
      <c r="CE10" s="78">
        <v>839240</v>
      </c>
      <c r="CF10" s="78">
        <v>607680</v>
      </c>
      <c r="CG10" s="78">
        <v>543780</v>
      </c>
      <c r="CH10" s="78">
        <v>136620</v>
      </c>
      <c r="CI10" s="78">
        <v>20160</v>
      </c>
      <c r="CJ10" s="78">
        <v>20160</v>
      </c>
      <c r="CK10" s="78">
        <v>0</v>
      </c>
      <c r="CL10" s="78">
        <v>216720.00000000003</v>
      </c>
      <c r="CM10" s="78">
        <v>161280</v>
      </c>
      <c r="CN10" s="79">
        <v>0</v>
      </c>
      <c r="CO10" s="79">
        <v>15119.999999999998</v>
      </c>
      <c r="CP10" s="80">
        <v>20159.999999999996</v>
      </c>
      <c r="CQ10" s="80">
        <v>65520.000000000007</v>
      </c>
      <c r="CR10" s="80">
        <v>0</v>
      </c>
      <c r="CS10" s="80">
        <v>0</v>
      </c>
      <c r="CT10" s="80">
        <v>0</v>
      </c>
      <c r="CU10" s="80">
        <v>0</v>
      </c>
      <c r="CV10" s="80">
        <v>0</v>
      </c>
      <c r="CW10" s="80">
        <v>0</v>
      </c>
      <c r="CX10" s="80">
        <v>0</v>
      </c>
      <c r="CY10" s="80">
        <v>0</v>
      </c>
      <c r="DA10" s="6"/>
      <c r="DB10" s="6"/>
    </row>
    <row r="11" spans="1:106" s="71" customFormat="1" ht="30.75" customHeight="1" thickTop="1" thickBot="1">
      <c r="A11" s="55">
        <v>2</v>
      </c>
      <c r="B11" s="56" t="s">
        <v>63</v>
      </c>
      <c r="C11" s="57" t="s">
        <v>64</v>
      </c>
      <c r="D11" s="58" t="s">
        <v>65</v>
      </c>
      <c r="F11" s="66">
        <v>195500900</v>
      </c>
      <c r="G11" s="66">
        <v>255515000</v>
      </c>
      <c r="H11" s="66">
        <v>22785000</v>
      </c>
      <c r="I11" s="66">
        <v>22092200</v>
      </c>
      <c r="J11" s="66">
        <v>25589000</v>
      </c>
      <c r="K11" s="66">
        <v>18498600</v>
      </c>
      <c r="L11" s="66">
        <v>30742700</v>
      </c>
      <c r="M11" s="66">
        <v>18494250</v>
      </c>
      <c r="N11" s="66">
        <v>25532300</v>
      </c>
      <c r="O11" s="66">
        <v>28932600</v>
      </c>
      <c r="P11" s="66">
        <v>11088600</v>
      </c>
      <c r="Q11" s="66">
        <v>14612550</v>
      </c>
      <c r="R11" s="66">
        <v>17543850</v>
      </c>
      <c r="S11" s="67">
        <v>18060400</v>
      </c>
      <c r="T11" s="68">
        <f t="shared" ref="T11:AE11" si="0">CN59+CN62</f>
        <v>29540200</v>
      </c>
      <c r="U11" s="70">
        <f t="shared" si="0"/>
        <v>15991900</v>
      </c>
      <c r="V11" s="82">
        <f t="shared" si="0"/>
        <v>46417950</v>
      </c>
      <c r="W11" s="70">
        <f t="shared" si="0"/>
        <v>39955200</v>
      </c>
      <c r="X11" s="70">
        <f t="shared" si="0"/>
        <v>25506950</v>
      </c>
      <c r="Y11" s="70">
        <f t="shared" si="0"/>
        <v>21583600</v>
      </c>
      <c r="Z11" s="70">
        <f t="shared" si="0"/>
        <v>27502550</v>
      </c>
      <c r="AA11" s="70">
        <f t="shared" si="0"/>
        <v>22651600</v>
      </c>
      <c r="AB11" s="70">
        <f t="shared" si="0"/>
        <v>21130550</v>
      </c>
      <c r="AC11" s="70">
        <f t="shared" si="0"/>
        <v>25683600</v>
      </c>
      <c r="AD11" s="70">
        <f t="shared" si="0"/>
        <v>20246400</v>
      </c>
      <c r="AE11" s="70">
        <f t="shared" si="0"/>
        <v>25626000</v>
      </c>
      <c r="AF11" s="70">
        <f>SUM(V11:AE11)</f>
        <v>276304400</v>
      </c>
      <c r="AH11" s="72" t="s">
        <v>67</v>
      </c>
      <c r="AI11" s="83" t="s">
        <v>68</v>
      </c>
      <c r="AJ11" s="84" t="s">
        <v>61</v>
      </c>
      <c r="AK11" s="75">
        <v>45698</v>
      </c>
      <c r="AL11" s="76" t="s">
        <v>69</v>
      </c>
      <c r="AM11" s="77">
        <v>0</v>
      </c>
      <c r="AN11" s="77">
        <v>0</v>
      </c>
      <c r="AO11" s="77">
        <v>49538050</v>
      </c>
      <c r="AP11" s="77">
        <v>52288270</v>
      </c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>
        <v>0</v>
      </c>
      <c r="BE11" s="78">
        <v>0</v>
      </c>
      <c r="BF11" s="78">
        <v>0</v>
      </c>
      <c r="BG11" s="78">
        <v>0</v>
      </c>
      <c r="BH11" s="78">
        <v>0</v>
      </c>
      <c r="BI11" s="78">
        <v>0</v>
      </c>
      <c r="BJ11" s="78">
        <v>0</v>
      </c>
      <c r="BK11" s="78">
        <v>0</v>
      </c>
      <c r="BL11" s="78">
        <v>0</v>
      </c>
      <c r="BM11" s="78">
        <v>0</v>
      </c>
      <c r="BN11" s="78">
        <v>0</v>
      </c>
      <c r="BO11" s="78">
        <v>0</v>
      </c>
      <c r="BP11" s="78">
        <v>0</v>
      </c>
      <c r="BQ11" s="78">
        <v>0</v>
      </c>
      <c r="BR11" s="78">
        <v>136620</v>
      </c>
      <c r="BS11" s="78">
        <v>1201500</v>
      </c>
      <c r="BT11" s="78">
        <v>2856870</v>
      </c>
      <c r="BU11" s="78">
        <v>5365530</v>
      </c>
      <c r="BV11" s="78">
        <v>6736500</v>
      </c>
      <c r="BW11" s="78">
        <v>6646410</v>
      </c>
      <c r="BX11" s="78">
        <v>9393120</v>
      </c>
      <c r="BY11" s="78">
        <v>8034750</v>
      </c>
      <c r="BZ11" s="78">
        <v>6721830</v>
      </c>
      <c r="CA11" s="78">
        <v>2444920</v>
      </c>
      <c r="CB11" s="78">
        <v>7133770</v>
      </c>
      <c r="CC11" s="78">
        <v>3013380</v>
      </c>
      <c r="CD11" s="78">
        <v>6978870</v>
      </c>
      <c r="CE11" s="78">
        <v>4888410</v>
      </c>
      <c r="CF11" s="78">
        <v>4624920</v>
      </c>
      <c r="CG11" s="78">
        <v>6254730</v>
      </c>
      <c r="CH11" s="78">
        <v>5871600</v>
      </c>
      <c r="CI11" s="78">
        <v>5959710</v>
      </c>
      <c r="CJ11" s="78">
        <v>5151780</v>
      </c>
      <c r="CK11" s="78">
        <v>2354220</v>
      </c>
      <c r="CL11" s="78">
        <v>56879.999999999993</v>
      </c>
      <c r="CM11" s="78">
        <v>0</v>
      </c>
      <c r="CN11" s="79">
        <v>196560</v>
      </c>
      <c r="CO11" s="79">
        <v>0</v>
      </c>
      <c r="CP11" s="80">
        <v>0</v>
      </c>
      <c r="CQ11" s="80">
        <v>0</v>
      </c>
      <c r="CR11" s="80">
        <v>0</v>
      </c>
      <c r="CS11" s="80">
        <v>0</v>
      </c>
      <c r="CT11" s="80">
        <v>0</v>
      </c>
      <c r="CU11" s="80">
        <v>0</v>
      </c>
      <c r="CV11" s="80">
        <v>0</v>
      </c>
      <c r="CW11" s="80">
        <v>0</v>
      </c>
      <c r="CX11" s="80">
        <v>0</v>
      </c>
      <c r="CY11" s="80">
        <v>0</v>
      </c>
      <c r="DA11" s="6"/>
      <c r="DB11" s="6"/>
    </row>
    <row r="12" spans="1:106" s="71" customFormat="1" ht="30.75" customHeight="1" thickTop="1" thickBot="1">
      <c r="A12" s="55">
        <v>4</v>
      </c>
      <c r="B12" s="56" t="s">
        <v>70</v>
      </c>
      <c r="C12" s="57" t="s">
        <v>64</v>
      </c>
      <c r="D12" s="85" t="s">
        <v>71</v>
      </c>
      <c r="G12" s="66"/>
      <c r="S12" s="57"/>
      <c r="AF12" s="70">
        <f>SUM(V12:AE12)</f>
        <v>0</v>
      </c>
      <c r="AH12" s="87" t="s">
        <v>75</v>
      </c>
      <c r="AI12" s="83" t="s">
        <v>68</v>
      </c>
      <c r="AJ12" s="84" t="s">
        <v>61</v>
      </c>
      <c r="AK12" s="75">
        <v>45698</v>
      </c>
      <c r="AL12" s="88" t="s">
        <v>76</v>
      </c>
      <c r="AM12" s="89">
        <v>0</v>
      </c>
      <c r="AN12" s="89">
        <v>0</v>
      </c>
      <c r="AO12" s="89">
        <v>0</v>
      </c>
      <c r="AP12" s="89">
        <v>119534880</v>
      </c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>
        <v>0</v>
      </c>
      <c r="BE12" s="90">
        <v>0</v>
      </c>
      <c r="BF12" s="90">
        <v>0</v>
      </c>
      <c r="BG12" s="90">
        <v>0</v>
      </c>
      <c r="BH12" s="90">
        <v>0</v>
      </c>
      <c r="BI12" s="90">
        <v>0</v>
      </c>
      <c r="BJ12" s="90">
        <v>0</v>
      </c>
      <c r="BK12" s="90">
        <v>0</v>
      </c>
      <c r="BL12" s="90">
        <v>0</v>
      </c>
      <c r="BM12" s="90">
        <v>0</v>
      </c>
      <c r="BN12" s="90">
        <v>0</v>
      </c>
      <c r="BO12" s="90">
        <v>0</v>
      </c>
      <c r="BP12" s="90">
        <v>0</v>
      </c>
      <c r="BQ12" s="90">
        <v>0</v>
      </c>
      <c r="BR12" s="90">
        <v>0</v>
      </c>
      <c r="BS12" s="90">
        <v>0</v>
      </c>
      <c r="BT12" s="90">
        <v>0</v>
      </c>
      <c r="BU12" s="90">
        <v>0</v>
      </c>
      <c r="BV12" s="90">
        <v>0</v>
      </c>
      <c r="BW12" s="90">
        <v>0</v>
      </c>
      <c r="BX12" s="90">
        <v>0</v>
      </c>
      <c r="BY12" s="90">
        <v>0</v>
      </c>
      <c r="BZ12" s="90">
        <v>0</v>
      </c>
      <c r="CA12" s="90">
        <v>0</v>
      </c>
      <c r="CB12" s="91">
        <v>0</v>
      </c>
      <c r="CC12" s="91">
        <v>0</v>
      </c>
      <c r="CD12" s="91">
        <v>0</v>
      </c>
      <c r="CE12" s="91">
        <v>4141170</v>
      </c>
      <c r="CF12" s="91">
        <v>10303470</v>
      </c>
      <c r="CG12" s="91">
        <v>18112860</v>
      </c>
      <c r="CH12" s="91">
        <v>12666060</v>
      </c>
      <c r="CI12" s="91">
        <v>17188320</v>
      </c>
      <c r="CJ12" s="91">
        <v>15151590</v>
      </c>
      <c r="CK12" s="91">
        <v>12838860</v>
      </c>
      <c r="CL12" s="91">
        <v>13199850.000000004</v>
      </c>
      <c r="CM12" s="92">
        <v>15932699.999999998</v>
      </c>
      <c r="CN12" s="79">
        <v>17350470</v>
      </c>
      <c r="CO12" s="79">
        <v>7948259.9999999991</v>
      </c>
      <c r="CP12" s="80">
        <v>19106539.999999996</v>
      </c>
      <c r="CQ12" s="80">
        <v>20397590.000000004</v>
      </c>
      <c r="CR12" s="80">
        <v>14871759.999999998</v>
      </c>
      <c r="CS12" s="80">
        <v>18739530.000000004</v>
      </c>
      <c r="CT12" s="80">
        <v>17118809.999999996</v>
      </c>
      <c r="CU12" s="80">
        <v>26215829.999999996</v>
      </c>
      <c r="CV12" s="80">
        <v>23149369.999999996</v>
      </c>
      <c r="CW12" s="80">
        <v>21619420.000000004</v>
      </c>
      <c r="CX12" s="80">
        <v>27275259.999999996</v>
      </c>
      <c r="CY12" s="80">
        <v>19757019.999999993</v>
      </c>
      <c r="DA12" s="6"/>
      <c r="DB12" s="6"/>
    </row>
    <row r="13" spans="1:106" s="71" customFormat="1" ht="30.75" customHeight="1" thickTop="1" thickBot="1">
      <c r="A13" s="55">
        <v>5</v>
      </c>
      <c r="B13" s="56" t="s">
        <v>77</v>
      </c>
      <c r="C13" s="57" t="s">
        <v>64</v>
      </c>
      <c r="D13" s="58" t="s">
        <v>78</v>
      </c>
      <c r="I13" s="94">
        <v>816200</v>
      </c>
      <c r="J13" s="94">
        <v>663600</v>
      </c>
      <c r="K13" s="94">
        <v>138600</v>
      </c>
      <c r="L13" s="94">
        <v>662000</v>
      </c>
      <c r="M13" s="94">
        <v>213750</v>
      </c>
      <c r="N13" s="94">
        <v>845900</v>
      </c>
      <c r="O13" s="94">
        <v>950400</v>
      </c>
      <c r="P13" s="94">
        <v>1489800</v>
      </c>
      <c r="Q13" s="94">
        <v>1329750</v>
      </c>
      <c r="R13" s="94">
        <v>886650</v>
      </c>
      <c r="S13" s="95">
        <v>1550250</v>
      </c>
      <c r="T13" s="68">
        <f>Volume!CN57+Volume!CN58</f>
        <v>1243800</v>
      </c>
      <c r="U13" s="70">
        <f>Volume!CO57+Volume!CO58</f>
        <v>898800</v>
      </c>
      <c r="V13" s="70">
        <f>Volume!CP57+Volume!CP58</f>
        <v>924150</v>
      </c>
      <c r="W13" s="70">
        <f>Volume!CQ57+Volume!CQ58</f>
        <v>466200</v>
      </c>
      <c r="X13" s="70">
        <f>Volume!CR57+Volume!CR58</f>
        <v>1068350</v>
      </c>
      <c r="Y13" s="70">
        <f>Volume!CS57+Volume!CS58</f>
        <v>721000</v>
      </c>
      <c r="Z13" s="70">
        <f>Volume!CT57+Volume!CT58</f>
        <v>869750</v>
      </c>
      <c r="AA13" s="70">
        <f>Volume!CU57+Volume!CU58</f>
        <v>750400</v>
      </c>
      <c r="AB13" s="70">
        <f>Volume!CV57+Volume!CV58</f>
        <v>1012550</v>
      </c>
      <c r="AC13" s="70">
        <f>Volume!CW57+Volume!CW58</f>
        <v>772800</v>
      </c>
      <c r="AD13" s="70">
        <f>Volume!CX57+Volume!CX58</f>
        <v>630000</v>
      </c>
      <c r="AE13" s="70">
        <f>Volume!CY57+Volume!CY58</f>
        <v>802200</v>
      </c>
      <c r="AF13" s="70">
        <f>SUM(V13:AE13)</f>
        <v>8017400</v>
      </c>
      <c r="AH13" s="87" t="s">
        <v>81</v>
      </c>
      <c r="AI13" s="83" t="s">
        <v>68</v>
      </c>
      <c r="AJ13" s="84" t="s">
        <v>61</v>
      </c>
      <c r="AK13" s="75">
        <v>45698</v>
      </c>
      <c r="AL13" s="88" t="s">
        <v>82</v>
      </c>
      <c r="AM13" s="89">
        <v>0</v>
      </c>
      <c r="AN13" s="89">
        <v>0</v>
      </c>
      <c r="AO13" s="89">
        <v>0</v>
      </c>
      <c r="AP13" s="89">
        <v>0</v>
      </c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1">
        <v>0</v>
      </c>
      <c r="CC13" s="91">
        <v>0</v>
      </c>
      <c r="CD13" s="91">
        <v>0</v>
      </c>
      <c r="CE13" s="91">
        <v>0</v>
      </c>
      <c r="CF13" s="91">
        <v>0</v>
      </c>
      <c r="CG13" s="91">
        <v>0</v>
      </c>
      <c r="CH13" s="91">
        <v>0</v>
      </c>
      <c r="CI13" s="91">
        <v>0</v>
      </c>
      <c r="CJ13" s="91">
        <v>0</v>
      </c>
      <c r="CK13" s="91">
        <v>0</v>
      </c>
      <c r="CL13" s="91">
        <v>0</v>
      </c>
      <c r="CM13" s="92">
        <v>0</v>
      </c>
      <c r="CN13" s="79">
        <v>0</v>
      </c>
      <c r="CO13" s="79">
        <v>0</v>
      </c>
      <c r="CP13" s="80">
        <v>0</v>
      </c>
      <c r="CQ13" s="80">
        <v>0</v>
      </c>
      <c r="CR13" s="80">
        <v>0</v>
      </c>
      <c r="CS13" s="80">
        <v>0</v>
      </c>
      <c r="CT13" s="80">
        <v>0</v>
      </c>
      <c r="CU13" s="80">
        <v>0</v>
      </c>
      <c r="CV13" s="80">
        <v>0</v>
      </c>
      <c r="CW13" s="80">
        <v>0</v>
      </c>
      <c r="CX13" s="80">
        <v>0</v>
      </c>
      <c r="CY13" s="80">
        <v>0</v>
      </c>
      <c r="DA13" s="6"/>
      <c r="DB13" s="6"/>
    </row>
    <row r="14" spans="1:106" s="71" customFormat="1" ht="30.75" customHeight="1" thickTop="1" thickBot="1">
      <c r="A14" s="55">
        <v>6</v>
      </c>
      <c r="B14" s="56" t="s">
        <v>83</v>
      </c>
      <c r="C14" s="57" t="s">
        <v>64</v>
      </c>
      <c r="D14" s="58" t="s">
        <v>84</v>
      </c>
      <c r="R14" s="94">
        <v>16056000</v>
      </c>
      <c r="S14" s="95">
        <v>13005000</v>
      </c>
      <c r="T14" s="68">
        <v>30684600</v>
      </c>
      <c r="U14" s="82">
        <v>16846200</v>
      </c>
      <c r="V14" s="70">
        <f>Volume!CP59*98%</f>
        <v>45442551</v>
      </c>
      <c r="W14" s="70">
        <f>Volume!CQ59*98%</f>
        <v>39156096</v>
      </c>
      <c r="X14" s="70">
        <f>Volume!CR59*98%</f>
        <v>24996811</v>
      </c>
      <c r="Y14" s="70">
        <f>Volume!CS59*98%</f>
        <v>21151928</v>
      </c>
      <c r="Z14" s="70">
        <f>Volume!CT59*98%</f>
        <v>26787859</v>
      </c>
      <c r="AA14" s="70">
        <f>Volume!CU59*98%</f>
        <v>22033928</v>
      </c>
      <c r="AB14" s="70">
        <f>Volume!CV59*98%</f>
        <v>20502139</v>
      </c>
      <c r="AC14" s="70">
        <f>Volume!CW59*98%</f>
        <v>24815952</v>
      </c>
      <c r="AD14" s="70">
        <f>Volume!CX59*98%</f>
        <v>19545120</v>
      </c>
      <c r="AE14" s="70">
        <f>Volume!CY59*98%</f>
        <v>24784200</v>
      </c>
      <c r="AF14" s="70">
        <f>SUM(V14:AE14)</f>
        <v>269216584</v>
      </c>
      <c r="AH14" s="87" t="s">
        <v>85</v>
      </c>
      <c r="AI14" s="83" t="s">
        <v>68</v>
      </c>
      <c r="AJ14" s="84" t="s">
        <v>61</v>
      </c>
      <c r="AK14" s="75">
        <v>45698</v>
      </c>
      <c r="AL14" s="88" t="s">
        <v>85</v>
      </c>
      <c r="AM14" s="89">
        <v>0</v>
      </c>
      <c r="AN14" s="89">
        <v>0</v>
      </c>
      <c r="AO14" s="89">
        <v>0</v>
      </c>
      <c r="AP14" s="89">
        <v>0</v>
      </c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1">
        <v>0</v>
      </c>
      <c r="CC14" s="91">
        <v>0</v>
      </c>
      <c r="CD14" s="91">
        <v>0</v>
      </c>
      <c r="CE14" s="91">
        <v>0</v>
      </c>
      <c r="CF14" s="91">
        <v>0</v>
      </c>
      <c r="CG14" s="91">
        <v>0</v>
      </c>
      <c r="CH14" s="91">
        <v>0</v>
      </c>
      <c r="CI14" s="91">
        <v>0</v>
      </c>
      <c r="CJ14" s="91">
        <v>0</v>
      </c>
      <c r="CK14" s="91">
        <v>0</v>
      </c>
      <c r="CL14" s="91">
        <v>0</v>
      </c>
      <c r="CM14" s="92">
        <v>0</v>
      </c>
      <c r="CN14" s="79">
        <v>0</v>
      </c>
      <c r="CO14" s="79">
        <v>29969.999999999993</v>
      </c>
      <c r="CP14" s="80">
        <v>576000</v>
      </c>
      <c r="CQ14" s="80">
        <v>811149.99999999988</v>
      </c>
      <c r="CR14" s="80">
        <v>1104659.9999999998</v>
      </c>
      <c r="CS14" s="80">
        <v>817540.00000000012</v>
      </c>
      <c r="CT14" s="80">
        <v>476460</v>
      </c>
      <c r="CU14" s="80">
        <v>606300</v>
      </c>
      <c r="CV14" s="80">
        <v>610230</v>
      </c>
      <c r="CW14" s="80">
        <v>481710</v>
      </c>
      <c r="CX14" s="80">
        <v>582030</v>
      </c>
      <c r="CY14" s="80">
        <v>613260</v>
      </c>
      <c r="DA14" s="6"/>
      <c r="DB14" s="6"/>
    </row>
    <row r="15" spans="1:106" s="71" customFormat="1" ht="30.75" customHeight="1" thickTop="1" thickBot="1">
      <c r="A15" s="55">
        <v>7</v>
      </c>
      <c r="B15" s="56" t="s">
        <v>86</v>
      </c>
      <c r="C15" s="57" t="s">
        <v>87</v>
      </c>
      <c r="D15" s="85" t="s">
        <v>88</v>
      </c>
      <c r="S15" s="57"/>
      <c r="AF15" s="70">
        <f t="shared" ref="AF15:AF74" si="1">SUM(V15:AE15)</f>
        <v>0</v>
      </c>
      <c r="AH15" s="87" t="s">
        <v>90</v>
      </c>
      <c r="AI15" s="83" t="s">
        <v>68</v>
      </c>
      <c r="AJ15" s="84" t="s">
        <v>61</v>
      </c>
      <c r="AK15" s="75">
        <v>45698</v>
      </c>
      <c r="AL15" s="88" t="s">
        <v>91</v>
      </c>
      <c r="AM15" s="89">
        <v>0</v>
      </c>
      <c r="AN15" s="89">
        <v>0</v>
      </c>
      <c r="AO15" s="89">
        <v>0</v>
      </c>
      <c r="AP15" s="89">
        <v>4452220</v>
      </c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>
        <v>0</v>
      </c>
      <c r="BE15" s="90">
        <v>0</v>
      </c>
      <c r="BF15" s="90">
        <v>0</v>
      </c>
      <c r="BG15" s="90">
        <v>0</v>
      </c>
      <c r="BH15" s="90">
        <v>0</v>
      </c>
      <c r="BI15" s="90">
        <v>0</v>
      </c>
      <c r="BJ15" s="90">
        <v>0</v>
      </c>
      <c r="BK15" s="90">
        <v>0</v>
      </c>
      <c r="BL15" s="90">
        <v>0</v>
      </c>
      <c r="BM15" s="90">
        <v>0</v>
      </c>
      <c r="BN15" s="90">
        <v>0</v>
      </c>
      <c r="BO15" s="90">
        <v>0</v>
      </c>
      <c r="BP15" s="90">
        <v>0</v>
      </c>
      <c r="BQ15" s="90">
        <v>0</v>
      </c>
      <c r="BR15" s="90">
        <v>0</v>
      </c>
      <c r="BS15" s="90">
        <v>0</v>
      </c>
      <c r="BT15" s="90">
        <v>0</v>
      </c>
      <c r="BU15" s="90">
        <v>0</v>
      </c>
      <c r="BV15" s="90">
        <v>0</v>
      </c>
      <c r="BW15" s="90">
        <v>0</v>
      </c>
      <c r="BX15" s="90">
        <v>0</v>
      </c>
      <c r="BY15" s="90">
        <v>0</v>
      </c>
      <c r="BZ15" s="90">
        <v>0</v>
      </c>
      <c r="CA15" s="90">
        <v>0</v>
      </c>
      <c r="CB15" s="91">
        <v>0</v>
      </c>
      <c r="CC15" s="91">
        <v>0</v>
      </c>
      <c r="CD15" s="91">
        <v>0</v>
      </c>
      <c r="CE15" s="91">
        <v>146304</v>
      </c>
      <c r="CF15" s="91">
        <v>793652</v>
      </c>
      <c r="CG15" s="91">
        <v>1209610</v>
      </c>
      <c r="CH15" s="91">
        <v>417742</v>
      </c>
      <c r="CI15" s="91">
        <v>338164</v>
      </c>
      <c r="CJ15" s="91">
        <v>665900</v>
      </c>
      <c r="CK15" s="91">
        <v>479376</v>
      </c>
      <c r="CL15" s="91">
        <v>184320</v>
      </c>
      <c r="CM15" s="92">
        <v>217152</v>
      </c>
      <c r="CN15" s="79">
        <v>522432</v>
      </c>
      <c r="CO15" s="79">
        <v>149760</v>
      </c>
      <c r="CP15" s="80">
        <v>207792.00000000003</v>
      </c>
      <c r="CQ15" s="80">
        <v>87840</v>
      </c>
      <c r="CR15" s="80">
        <v>66240</v>
      </c>
      <c r="CS15" s="80">
        <v>111600</v>
      </c>
      <c r="CT15" s="80">
        <v>65519.999999999993</v>
      </c>
      <c r="CU15" s="80">
        <v>60480</v>
      </c>
      <c r="CV15" s="80">
        <v>40320</v>
      </c>
      <c r="CW15" s="80">
        <v>40320</v>
      </c>
      <c r="CX15" s="80">
        <v>65519.999999999993</v>
      </c>
      <c r="CY15" s="80">
        <v>35280</v>
      </c>
      <c r="DA15" s="6"/>
      <c r="DB15" s="6"/>
    </row>
    <row r="16" spans="1:106" s="101" customFormat="1" ht="30.75" customHeight="1" thickTop="1" thickBot="1">
      <c r="A16" s="97">
        <v>8</v>
      </c>
      <c r="B16" s="56" t="s">
        <v>92</v>
      </c>
      <c r="C16" s="57" t="s">
        <v>93</v>
      </c>
      <c r="D16" s="58" t="s">
        <v>94</v>
      </c>
      <c r="E16" s="71"/>
      <c r="F16" s="71"/>
      <c r="G16" s="99">
        <v>25920</v>
      </c>
      <c r="H16" s="99">
        <v>322380</v>
      </c>
      <c r="I16" s="99">
        <v>336240</v>
      </c>
      <c r="J16" s="99">
        <v>1478340</v>
      </c>
      <c r="K16" s="99">
        <v>229680</v>
      </c>
      <c r="L16" s="99">
        <v>1008810</v>
      </c>
      <c r="M16" s="99">
        <v>993150</v>
      </c>
      <c r="N16" s="99"/>
      <c r="O16" s="99">
        <v>36540</v>
      </c>
      <c r="P16" s="100">
        <v>178380</v>
      </c>
      <c r="Q16" s="100">
        <v>5040</v>
      </c>
      <c r="S16" s="99"/>
      <c r="T16" s="68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70">
        <v>0</v>
      </c>
      <c r="AC16" s="70">
        <v>0</v>
      </c>
      <c r="AD16" s="70">
        <v>0</v>
      </c>
      <c r="AE16" s="70">
        <v>0</v>
      </c>
      <c r="AF16" s="70">
        <f t="shared" si="1"/>
        <v>0</v>
      </c>
      <c r="AG16" s="71"/>
      <c r="AH16" s="102" t="s">
        <v>99</v>
      </c>
      <c r="AI16" s="83" t="s">
        <v>68</v>
      </c>
      <c r="AJ16" s="84" t="s">
        <v>61</v>
      </c>
      <c r="AK16" s="75">
        <v>45698</v>
      </c>
      <c r="AL16" s="103" t="s">
        <v>100</v>
      </c>
      <c r="AM16" s="104">
        <v>0</v>
      </c>
      <c r="AN16" s="104">
        <v>0</v>
      </c>
      <c r="AO16" s="104">
        <v>0</v>
      </c>
      <c r="AP16" s="104">
        <v>622560</v>
      </c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>
        <v>0</v>
      </c>
      <c r="BE16" s="105">
        <v>0</v>
      </c>
      <c r="BF16" s="105">
        <v>0</v>
      </c>
      <c r="BG16" s="105">
        <v>0</v>
      </c>
      <c r="BH16" s="105">
        <v>0</v>
      </c>
      <c r="BI16" s="105">
        <v>0</v>
      </c>
      <c r="BJ16" s="105">
        <v>0</v>
      </c>
      <c r="BK16" s="105">
        <v>0</v>
      </c>
      <c r="BL16" s="105">
        <v>0</v>
      </c>
      <c r="BM16" s="105">
        <v>0</v>
      </c>
      <c r="BN16" s="105">
        <v>0</v>
      </c>
      <c r="BO16" s="105">
        <v>0</v>
      </c>
      <c r="BP16" s="105">
        <v>0</v>
      </c>
      <c r="BQ16" s="105">
        <v>0</v>
      </c>
      <c r="BR16" s="105">
        <v>0</v>
      </c>
      <c r="BS16" s="105">
        <v>0</v>
      </c>
      <c r="BT16" s="105">
        <v>0</v>
      </c>
      <c r="BU16" s="105">
        <v>0</v>
      </c>
      <c r="BV16" s="105">
        <v>0</v>
      </c>
      <c r="BW16" s="105">
        <v>0</v>
      </c>
      <c r="BX16" s="105">
        <v>0</v>
      </c>
      <c r="BY16" s="105">
        <v>0</v>
      </c>
      <c r="BZ16" s="105">
        <v>0</v>
      </c>
      <c r="CA16" s="105">
        <v>0</v>
      </c>
      <c r="CB16" s="106">
        <v>0</v>
      </c>
      <c r="CC16" s="106">
        <v>150000</v>
      </c>
      <c r="CD16" s="106">
        <v>115200</v>
      </c>
      <c r="CE16" s="106">
        <v>24000</v>
      </c>
      <c r="CF16" s="106">
        <v>0</v>
      </c>
      <c r="CG16" s="106">
        <v>222480</v>
      </c>
      <c r="CH16" s="106">
        <v>45360</v>
      </c>
      <c r="CI16" s="106">
        <v>65520</v>
      </c>
      <c r="CJ16" s="106">
        <v>0</v>
      </c>
      <c r="CK16" s="106">
        <v>0</v>
      </c>
      <c r="CL16" s="106">
        <v>0</v>
      </c>
      <c r="CM16" s="107">
        <v>0</v>
      </c>
      <c r="CN16" s="79">
        <v>0</v>
      </c>
      <c r="CO16" s="79">
        <v>0</v>
      </c>
      <c r="CP16" s="80">
        <v>0</v>
      </c>
      <c r="CQ16" s="80">
        <v>0</v>
      </c>
      <c r="CR16" s="80">
        <v>0</v>
      </c>
      <c r="CS16" s="80">
        <v>0</v>
      </c>
      <c r="CT16" s="80">
        <v>0</v>
      </c>
      <c r="CU16" s="80">
        <v>0</v>
      </c>
      <c r="CV16" s="80">
        <v>0</v>
      </c>
      <c r="CW16" s="80">
        <v>0</v>
      </c>
      <c r="CX16" s="80">
        <v>0</v>
      </c>
      <c r="CY16" s="80">
        <v>0</v>
      </c>
      <c r="DA16" s="6"/>
      <c r="DB16" s="6"/>
    </row>
    <row r="17" spans="1:106" s="101" customFormat="1" ht="60.75" customHeight="1" thickTop="1" thickBot="1">
      <c r="A17" s="97">
        <v>9</v>
      </c>
      <c r="B17" s="56" t="s">
        <v>101</v>
      </c>
      <c r="C17" s="57" t="s">
        <v>102</v>
      </c>
      <c r="D17" s="58" t="s">
        <v>103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100">
        <v>705120</v>
      </c>
      <c r="Q17" s="100">
        <v>8166540</v>
      </c>
      <c r="R17" s="100">
        <v>7083240</v>
      </c>
      <c r="S17" s="108">
        <v>2347320</v>
      </c>
      <c r="T17" s="109">
        <f>Volume!CN44+Volume!CN45+Volume!CN46</f>
        <v>3342680</v>
      </c>
      <c r="U17" s="71">
        <f>Volume!CO44+Volume!CO45+Volume!CO46</f>
        <v>2225760</v>
      </c>
      <c r="V17" s="71">
        <f>Volume!CP44+Volume!CP45+Volume!CP46</f>
        <v>5941991.9999999991</v>
      </c>
      <c r="W17" s="71">
        <f>Volume!CQ44+Volume!CQ45+Volume!CQ46</f>
        <v>5851739.9999999991</v>
      </c>
      <c r="X17" s="71">
        <f>Volume!CR44+Volume!CR45+Volume!CR46</f>
        <v>3951300</v>
      </c>
      <c r="Y17" s="71">
        <f>Volume!CS44+Volume!CS45+Volume!CS46</f>
        <v>4293600</v>
      </c>
      <c r="Z17" s="71">
        <f>Volume!CT44+Volume!CT45+Volume!CT46</f>
        <v>3621000</v>
      </c>
      <c r="AA17" s="71">
        <f>Volume!CU44+Volume!CU45+Volume!CU46</f>
        <v>5416620</v>
      </c>
      <c r="AB17" s="71">
        <f>Volume!CV44+Volume!CV45+Volume!CV46</f>
        <v>5249160.0000000009</v>
      </c>
      <c r="AC17" s="71">
        <f>Volume!CW44+Volume!CW45+Volume!CW46</f>
        <v>5974260</v>
      </c>
      <c r="AD17" s="71">
        <f>Volume!CX44+Volume!CX45+Volume!CX46</f>
        <v>7574160</v>
      </c>
      <c r="AE17" s="71">
        <f>Volume!CY44+Volume!CY45+Volume!CY46</f>
        <v>5507580</v>
      </c>
      <c r="AF17" s="70">
        <f t="shared" si="1"/>
        <v>53381412</v>
      </c>
      <c r="AG17" s="71"/>
      <c r="AH17" s="102" t="s">
        <v>110</v>
      </c>
      <c r="AI17" s="83" t="s">
        <v>68</v>
      </c>
      <c r="AJ17" s="84" t="s">
        <v>61</v>
      </c>
      <c r="AK17" s="75">
        <v>45698</v>
      </c>
      <c r="AL17" s="103" t="s">
        <v>110</v>
      </c>
      <c r="AM17" s="104"/>
      <c r="AN17" s="104"/>
      <c r="AO17" s="104"/>
      <c r="AP17" s="104">
        <v>0</v>
      </c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6">
        <v>0</v>
      </c>
      <c r="CC17" s="106">
        <v>0</v>
      </c>
      <c r="CD17" s="106">
        <v>0</v>
      </c>
      <c r="CE17" s="106">
        <v>0</v>
      </c>
      <c r="CF17" s="106">
        <v>0</v>
      </c>
      <c r="CG17" s="106">
        <v>0</v>
      </c>
      <c r="CH17" s="106">
        <v>0</v>
      </c>
      <c r="CI17" s="106">
        <v>0</v>
      </c>
      <c r="CJ17" s="106">
        <v>0</v>
      </c>
      <c r="CK17" s="106">
        <v>0</v>
      </c>
      <c r="CL17" s="106">
        <v>0</v>
      </c>
      <c r="CM17" s="107">
        <v>0</v>
      </c>
      <c r="CN17" s="110">
        <v>0</v>
      </c>
      <c r="CO17" s="110">
        <v>0</v>
      </c>
      <c r="CP17" s="111">
        <v>0</v>
      </c>
      <c r="CQ17" s="111">
        <v>155360</v>
      </c>
      <c r="CR17" s="111">
        <v>294600</v>
      </c>
      <c r="CS17" s="111">
        <v>250560</v>
      </c>
      <c r="CT17" s="111">
        <v>142560</v>
      </c>
      <c r="CU17" s="111">
        <v>289405.94999999995</v>
      </c>
      <c r="CV17" s="111">
        <v>173563.25399999999</v>
      </c>
      <c r="CW17" s="111">
        <v>172374.76200000002</v>
      </c>
      <c r="CX17" s="111">
        <v>244507.11000000002</v>
      </c>
      <c r="CY17" s="111">
        <v>191572.986</v>
      </c>
      <c r="DA17" s="6"/>
      <c r="DB17" s="6"/>
    </row>
    <row r="18" spans="1:106" s="71" customFormat="1" ht="81" customHeight="1" thickTop="1" thickBot="1">
      <c r="A18" s="55">
        <v>10</v>
      </c>
      <c r="B18" s="56" t="s">
        <v>111</v>
      </c>
      <c r="C18" s="57" t="s">
        <v>112</v>
      </c>
      <c r="D18" s="85" t="s">
        <v>113</v>
      </c>
      <c r="K18" s="94">
        <v>4374450</v>
      </c>
      <c r="L18" s="94">
        <v>10070190</v>
      </c>
      <c r="M18" s="94">
        <v>20708100</v>
      </c>
      <c r="N18" s="94">
        <v>10070820</v>
      </c>
      <c r="O18" s="94">
        <v>17188320</v>
      </c>
      <c r="P18" s="94">
        <v>15151590</v>
      </c>
      <c r="Q18" s="94">
        <v>12838860</v>
      </c>
      <c r="R18" s="94">
        <v>15197040</v>
      </c>
      <c r="S18" s="95">
        <v>8947260</v>
      </c>
      <c r="T18" s="68">
        <f>Volume!CN12</f>
        <v>17350470</v>
      </c>
      <c r="U18" s="70">
        <f>Volume!CO12</f>
        <v>7948259.9999999991</v>
      </c>
      <c r="V18" s="70">
        <f>Volume!CP12</f>
        <v>19106539.999999996</v>
      </c>
      <c r="W18" s="70">
        <f>Volume!CQ12</f>
        <v>20397590.000000004</v>
      </c>
      <c r="X18" s="70">
        <f>Volume!CR12</f>
        <v>14871759.999999998</v>
      </c>
      <c r="Y18" s="70">
        <f>Volume!CS12</f>
        <v>18739530.000000004</v>
      </c>
      <c r="Z18" s="70">
        <f>Volume!CT12</f>
        <v>17118809.999999996</v>
      </c>
      <c r="AA18" s="70">
        <f>Volume!CU12</f>
        <v>26215829.999999996</v>
      </c>
      <c r="AB18" s="70">
        <f>Volume!CV12</f>
        <v>23149369.999999996</v>
      </c>
      <c r="AC18" s="70">
        <f>Volume!CW12</f>
        <v>21619420.000000004</v>
      </c>
      <c r="AD18" s="70">
        <f>Volume!CX12</f>
        <v>27275259.999999996</v>
      </c>
      <c r="AE18" s="70">
        <f>Volume!CY12</f>
        <v>19757019.999999993</v>
      </c>
      <c r="AF18" s="70">
        <f t="shared" si="1"/>
        <v>208251130</v>
      </c>
      <c r="AH18" s="87" t="s">
        <v>116</v>
      </c>
      <c r="AI18" s="83" t="s">
        <v>68</v>
      </c>
      <c r="AJ18" s="84" t="s">
        <v>61</v>
      </c>
      <c r="AK18" s="75">
        <v>45698</v>
      </c>
      <c r="AL18" s="113" t="s">
        <v>117</v>
      </c>
      <c r="AM18" s="114">
        <v>0</v>
      </c>
      <c r="AN18" s="114">
        <v>0</v>
      </c>
      <c r="AO18" s="114">
        <v>0</v>
      </c>
      <c r="AP18" s="114">
        <v>1741320</v>
      </c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>
        <v>0</v>
      </c>
      <c r="BE18" s="115">
        <v>0</v>
      </c>
      <c r="BF18" s="115">
        <v>0</v>
      </c>
      <c r="BG18" s="115">
        <v>0</v>
      </c>
      <c r="BH18" s="115">
        <v>0</v>
      </c>
      <c r="BI18" s="115">
        <v>0</v>
      </c>
      <c r="BJ18" s="115">
        <v>0</v>
      </c>
      <c r="BK18" s="115">
        <v>0</v>
      </c>
      <c r="BL18" s="115">
        <v>0</v>
      </c>
      <c r="BM18" s="115">
        <v>0</v>
      </c>
      <c r="BN18" s="115">
        <v>0</v>
      </c>
      <c r="BO18" s="115">
        <v>0</v>
      </c>
      <c r="BP18" s="115">
        <v>0</v>
      </c>
      <c r="BQ18" s="115">
        <v>0</v>
      </c>
      <c r="BR18" s="115">
        <v>0</v>
      </c>
      <c r="BS18" s="115">
        <v>0</v>
      </c>
      <c r="BT18" s="115">
        <v>0</v>
      </c>
      <c r="BU18" s="115">
        <v>0</v>
      </c>
      <c r="BV18" s="115">
        <v>0</v>
      </c>
      <c r="BW18" s="115">
        <v>0</v>
      </c>
      <c r="BX18" s="115">
        <v>0</v>
      </c>
      <c r="BY18" s="115">
        <v>0</v>
      </c>
      <c r="BZ18" s="115">
        <v>0</v>
      </c>
      <c r="CA18" s="115">
        <v>0</v>
      </c>
      <c r="CB18" s="116">
        <v>0</v>
      </c>
      <c r="CC18" s="116">
        <v>0</v>
      </c>
      <c r="CD18" s="116">
        <v>0</v>
      </c>
      <c r="CE18" s="116">
        <v>0</v>
      </c>
      <c r="CF18" s="116">
        <v>0</v>
      </c>
      <c r="CG18" s="116">
        <v>0</v>
      </c>
      <c r="CH18" s="116">
        <v>39600</v>
      </c>
      <c r="CI18" s="116">
        <v>31860</v>
      </c>
      <c r="CJ18" s="116">
        <v>532440</v>
      </c>
      <c r="CK18" s="116">
        <v>709740</v>
      </c>
      <c r="CL18" s="116">
        <v>275219.99999999994</v>
      </c>
      <c r="CM18" s="117">
        <v>152460</v>
      </c>
      <c r="CN18" s="79">
        <v>0</v>
      </c>
      <c r="CO18" s="79">
        <v>0</v>
      </c>
      <c r="CP18" s="80">
        <v>0</v>
      </c>
      <c r="CQ18" s="80">
        <v>0</v>
      </c>
      <c r="CR18" s="80">
        <v>0</v>
      </c>
      <c r="CS18" s="80">
        <v>0</v>
      </c>
      <c r="CT18" s="80">
        <v>0</v>
      </c>
      <c r="CU18" s="80">
        <v>0</v>
      </c>
      <c r="CV18" s="80">
        <v>0</v>
      </c>
      <c r="CW18" s="80">
        <v>0</v>
      </c>
      <c r="CX18" s="80">
        <v>0</v>
      </c>
      <c r="CY18" s="80">
        <v>0</v>
      </c>
      <c r="DA18" s="6"/>
      <c r="DB18" s="6"/>
    </row>
    <row r="19" spans="1:106" s="71" customFormat="1" ht="30.75" customHeight="1" thickTop="1" thickBot="1">
      <c r="A19" s="55">
        <v>11</v>
      </c>
      <c r="B19" s="56" t="s">
        <v>118</v>
      </c>
      <c r="C19" s="57" t="s">
        <v>112</v>
      </c>
      <c r="D19" s="85" t="s">
        <v>119</v>
      </c>
      <c r="S19" s="57"/>
      <c r="AF19" s="70">
        <f t="shared" si="1"/>
        <v>0</v>
      </c>
      <c r="AH19" s="87" t="s">
        <v>120</v>
      </c>
      <c r="AI19" s="83" t="s">
        <v>68</v>
      </c>
      <c r="AJ19" s="84" t="s">
        <v>61</v>
      </c>
      <c r="AK19" s="75">
        <v>45698</v>
      </c>
      <c r="AL19" s="88" t="s">
        <v>120</v>
      </c>
      <c r="AM19" s="89">
        <v>0</v>
      </c>
      <c r="AN19" s="89">
        <v>0</v>
      </c>
      <c r="AO19" s="89">
        <v>0</v>
      </c>
      <c r="AP19" s="89">
        <v>107460</v>
      </c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>
        <v>0</v>
      </c>
      <c r="BE19" s="90">
        <v>0</v>
      </c>
      <c r="BF19" s="90">
        <v>0</v>
      </c>
      <c r="BG19" s="90">
        <v>0</v>
      </c>
      <c r="BH19" s="90">
        <v>0</v>
      </c>
      <c r="BI19" s="90">
        <v>0</v>
      </c>
      <c r="BJ19" s="90">
        <v>0</v>
      </c>
      <c r="BK19" s="90">
        <v>0</v>
      </c>
      <c r="BL19" s="90">
        <v>0</v>
      </c>
      <c r="BM19" s="90">
        <v>0</v>
      </c>
      <c r="BN19" s="90">
        <v>0</v>
      </c>
      <c r="BO19" s="90">
        <v>0</v>
      </c>
      <c r="BP19" s="90"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1">
        <v>0</v>
      </c>
      <c r="CC19" s="91">
        <v>0</v>
      </c>
      <c r="CD19" s="91">
        <v>0</v>
      </c>
      <c r="CE19" s="91">
        <v>0</v>
      </c>
      <c r="CF19" s="91">
        <v>0</v>
      </c>
      <c r="CG19" s="91">
        <v>0</v>
      </c>
      <c r="CH19" s="91">
        <v>0</v>
      </c>
      <c r="CI19" s="91">
        <v>0</v>
      </c>
      <c r="CJ19" s="91">
        <v>0</v>
      </c>
      <c r="CK19" s="91">
        <v>0</v>
      </c>
      <c r="CL19" s="91">
        <v>50040</v>
      </c>
      <c r="CM19" s="92">
        <v>57420</v>
      </c>
      <c r="CN19" s="79">
        <v>25200</v>
      </c>
      <c r="CO19" s="79">
        <v>440</v>
      </c>
      <c r="CP19" s="80">
        <v>171720.00000000003</v>
      </c>
      <c r="CQ19" s="80">
        <v>208799.99999999997</v>
      </c>
      <c r="CR19" s="80">
        <v>170817.99999999997</v>
      </c>
      <c r="CS19" s="80">
        <v>382597.61800000002</v>
      </c>
      <c r="CT19" s="80">
        <v>356973.74000000005</v>
      </c>
      <c r="CU19" s="80">
        <v>489469.06799999985</v>
      </c>
      <c r="CV19" s="80">
        <v>481795.02299999999</v>
      </c>
      <c r="CW19" s="80">
        <v>459653.18400000001</v>
      </c>
      <c r="CX19" s="80">
        <v>540842.01100000006</v>
      </c>
      <c r="CY19" s="80">
        <v>405790.37599999999</v>
      </c>
      <c r="DA19" s="6"/>
      <c r="DB19" s="6"/>
    </row>
    <row r="20" spans="1:106" s="71" customFormat="1" ht="30.75" customHeight="1" thickTop="1" thickBot="1">
      <c r="A20" s="55">
        <v>12</v>
      </c>
      <c r="B20" s="56" t="s">
        <v>121</v>
      </c>
      <c r="C20" s="57" t="s">
        <v>122</v>
      </c>
      <c r="D20" s="58" t="s">
        <v>123</v>
      </c>
      <c r="E20" s="94">
        <v>845920</v>
      </c>
      <c r="F20" s="94">
        <v>72773897</v>
      </c>
      <c r="G20" s="94">
        <v>63660929</v>
      </c>
      <c r="H20" s="94">
        <v>5439052</v>
      </c>
      <c r="I20" s="94">
        <v>806095</v>
      </c>
      <c r="J20" s="94">
        <v>321239</v>
      </c>
      <c r="K20" s="94">
        <v>481119</v>
      </c>
      <c r="L20" s="94">
        <v>497616</v>
      </c>
      <c r="M20" s="94">
        <v>40638</v>
      </c>
      <c r="N20" s="94"/>
      <c r="O20" s="94"/>
      <c r="P20" s="94"/>
      <c r="Q20" s="94"/>
      <c r="R20" s="94"/>
      <c r="S20" s="95"/>
      <c r="T20" s="119">
        <v>0</v>
      </c>
      <c r="U20" s="94"/>
      <c r="V20" s="94"/>
      <c r="W20" s="94"/>
      <c r="X20" s="94"/>
      <c r="Y20" s="94"/>
      <c r="AF20" s="70">
        <f t="shared" si="1"/>
        <v>0</v>
      </c>
      <c r="AH20" s="87" t="s">
        <v>116</v>
      </c>
      <c r="AI20" s="83" t="s">
        <v>68</v>
      </c>
      <c r="AJ20" s="84" t="s">
        <v>61</v>
      </c>
      <c r="AK20" s="75">
        <v>45698</v>
      </c>
      <c r="AL20" s="88" t="s">
        <v>125</v>
      </c>
      <c r="AM20" s="89">
        <v>0</v>
      </c>
      <c r="AN20" s="89">
        <v>0</v>
      </c>
      <c r="AO20" s="89">
        <v>0</v>
      </c>
      <c r="AP20" s="89">
        <v>3020760</v>
      </c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>
        <v>0</v>
      </c>
      <c r="BE20" s="90">
        <v>0</v>
      </c>
      <c r="BF20" s="90">
        <v>0</v>
      </c>
      <c r="BG20" s="90">
        <v>0</v>
      </c>
      <c r="BH20" s="90">
        <v>0</v>
      </c>
      <c r="BI20" s="90">
        <v>0</v>
      </c>
      <c r="BJ20" s="90">
        <v>0</v>
      </c>
      <c r="BK20" s="90">
        <v>0</v>
      </c>
      <c r="BL20" s="90">
        <v>0</v>
      </c>
      <c r="BM20" s="90">
        <v>0</v>
      </c>
      <c r="BN20" s="90">
        <v>0</v>
      </c>
      <c r="BO20" s="90">
        <v>0</v>
      </c>
      <c r="BP20" s="90">
        <v>0</v>
      </c>
      <c r="BQ20" s="90">
        <v>0</v>
      </c>
      <c r="BR20" s="90">
        <v>0</v>
      </c>
      <c r="BS20" s="90">
        <v>0</v>
      </c>
      <c r="BT20" s="90">
        <v>0</v>
      </c>
      <c r="BU20" s="90">
        <v>0</v>
      </c>
      <c r="BV20" s="90">
        <v>0</v>
      </c>
      <c r="BW20" s="90">
        <v>0</v>
      </c>
      <c r="BX20" s="90">
        <v>0</v>
      </c>
      <c r="BY20" s="90">
        <v>0</v>
      </c>
      <c r="BZ20" s="90">
        <v>0</v>
      </c>
      <c r="CA20" s="90">
        <v>0</v>
      </c>
      <c r="CB20" s="91">
        <v>0</v>
      </c>
      <c r="CC20" s="91">
        <v>0</v>
      </c>
      <c r="CD20" s="91">
        <v>0</v>
      </c>
      <c r="CE20" s="91">
        <v>0</v>
      </c>
      <c r="CF20" s="91">
        <v>0</v>
      </c>
      <c r="CG20" s="91">
        <v>0</v>
      </c>
      <c r="CH20" s="91">
        <v>0</v>
      </c>
      <c r="CI20" s="91">
        <v>862920</v>
      </c>
      <c r="CJ20" s="91">
        <v>623880</v>
      </c>
      <c r="CK20" s="91">
        <v>567720</v>
      </c>
      <c r="CL20" s="91">
        <v>660240</v>
      </c>
      <c r="CM20" s="92">
        <v>306000</v>
      </c>
      <c r="CN20" s="79">
        <v>574020</v>
      </c>
      <c r="CO20" s="79">
        <v>633599.99999999988</v>
      </c>
      <c r="CP20" s="80">
        <v>626219.99999999988</v>
      </c>
      <c r="CQ20" s="80">
        <v>116460</v>
      </c>
      <c r="CR20" s="80">
        <v>114660.00000000001</v>
      </c>
      <c r="CS20" s="80">
        <v>179460</v>
      </c>
      <c r="CT20" s="80">
        <v>169200</v>
      </c>
      <c r="CU20" s="80">
        <v>147260</v>
      </c>
      <c r="CV20" s="80">
        <v>143160.00000000003</v>
      </c>
      <c r="CW20" s="80">
        <v>128579.99999999999</v>
      </c>
      <c r="CX20" s="80">
        <v>116680</v>
      </c>
      <c r="CY20" s="80">
        <v>142880</v>
      </c>
      <c r="DA20" s="6"/>
      <c r="DB20" s="6"/>
    </row>
    <row r="21" spans="1:106" s="71" customFormat="1" ht="52.5" customHeight="1" thickTop="1" thickBot="1">
      <c r="A21" s="55">
        <v>13</v>
      </c>
      <c r="B21" s="56" t="s">
        <v>126</v>
      </c>
      <c r="C21" s="57" t="s">
        <v>127</v>
      </c>
      <c r="D21" s="58" t="s">
        <v>128</v>
      </c>
      <c r="G21" s="94">
        <v>12285257</v>
      </c>
      <c r="H21" s="94">
        <v>1074798</v>
      </c>
      <c r="I21" s="94">
        <v>65733</v>
      </c>
      <c r="J21" s="94">
        <v>894985</v>
      </c>
      <c r="K21" s="94">
        <v>906260</v>
      </c>
      <c r="L21" s="94">
        <v>1097616</v>
      </c>
      <c r="M21" s="94">
        <v>617546</v>
      </c>
      <c r="N21" s="94">
        <v>612910</v>
      </c>
      <c r="O21" s="94">
        <v>277678</v>
      </c>
      <c r="P21" s="94">
        <v>193824</v>
      </c>
      <c r="Q21" s="120"/>
      <c r="R21" s="120"/>
      <c r="S21" s="121"/>
      <c r="AF21" s="70">
        <f>SUM(V21:AE21)</f>
        <v>0</v>
      </c>
      <c r="AH21" s="87"/>
      <c r="AI21" s="83" t="s">
        <v>68</v>
      </c>
      <c r="AJ21" s="84" t="s">
        <v>61</v>
      </c>
      <c r="AK21" s="75">
        <v>45698</v>
      </c>
      <c r="AL21" s="88" t="s">
        <v>129</v>
      </c>
      <c r="AM21" s="89"/>
      <c r="AN21" s="89"/>
      <c r="AO21" s="89"/>
      <c r="AP21" s="89">
        <v>0</v>
      </c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3"/>
      <c r="BE21" s="123"/>
      <c r="BF21" s="123"/>
      <c r="BG21" s="123"/>
      <c r="BH21" s="124"/>
      <c r="BI21" s="124"/>
      <c r="BJ21" s="122"/>
      <c r="BK21" s="122"/>
      <c r="BL21" s="122"/>
      <c r="BM21" s="122"/>
      <c r="BN21" s="122"/>
      <c r="BO21" s="122"/>
      <c r="BP21" s="91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91">
        <v>0</v>
      </c>
      <c r="CC21" s="91">
        <v>0</v>
      </c>
      <c r="CD21" s="91">
        <v>0</v>
      </c>
      <c r="CE21" s="91">
        <v>0</v>
      </c>
      <c r="CF21" s="91">
        <v>0</v>
      </c>
      <c r="CG21" s="91">
        <v>0</v>
      </c>
      <c r="CH21" s="91">
        <v>0</v>
      </c>
      <c r="CI21" s="91">
        <v>0</v>
      </c>
      <c r="CJ21" s="91">
        <v>0</v>
      </c>
      <c r="CK21" s="91">
        <v>0</v>
      </c>
      <c r="CL21" s="91">
        <v>0</v>
      </c>
      <c r="CM21" s="92">
        <v>0</v>
      </c>
      <c r="CN21" s="79">
        <v>0</v>
      </c>
      <c r="CO21" s="79">
        <v>0</v>
      </c>
      <c r="CP21" s="80">
        <v>0</v>
      </c>
      <c r="CQ21" s="80">
        <v>0</v>
      </c>
      <c r="CR21" s="80">
        <v>0</v>
      </c>
      <c r="CS21" s="80">
        <v>0</v>
      </c>
      <c r="CT21" s="80">
        <v>0</v>
      </c>
      <c r="CU21" s="80">
        <v>0</v>
      </c>
      <c r="CV21" s="80">
        <v>0</v>
      </c>
      <c r="CW21" s="80">
        <v>0</v>
      </c>
      <c r="CX21" s="80">
        <v>0</v>
      </c>
      <c r="CY21" s="80">
        <v>0</v>
      </c>
      <c r="DA21" s="6"/>
      <c r="DB21" s="6"/>
    </row>
    <row r="22" spans="1:106" s="71" customFormat="1" ht="40.5" customHeight="1" thickTop="1" thickBot="1">
      <c r="A22" s="55">
        <v>14</v>
      </c>
      <c r="B22" s="56" t="s">
        <v>130</v>
      </c>
      <c r="C22" s="57" t="s">
        <v>131</v>
      </c>
      <c r="D22" s="58" t="s">
        <v>132</v>
      </c>
      <c r="K22" s="94">
        <v>146304</v>
      </c>
      <c r="L22" s="94">
        <v>793652</v>
      </c>
      <c r="M22" s="94">
        <v>1209610</v>
      </c>
      <c r="N22" s="94">
        <v>417742</v>
      </c>
      <c r="O22" s="94">
        <v>338164</v>
      </c>
      <c r="P22" s="94">
        <v>665900</v>
      </c>
      <c r="Q22" s="94">
        <v>479376</v>
      </c>
      <c r="R22" s="66">
        <v>160272</v>
      </c>
      <c r="S22" s="67">
        <v>139680</v>
      </c>
      <c r="T22" s="68">
        <f>Volume!CN15</f>
        <v>522432</v>
      </c>
      <c r="U22" s="70">
        <f>Volume!CO15</f>
        <v>149760</v>
      </c>
      <c r="V22" s="70">
        <f>Volume!CP15</f>
        <v>207792.00000000003</v>
      </c>
      <c r="W22" s="70">
        <f>Volume!CQ15</f>
        <v>87840</v>
      </c>
      <c r="X22" s="70">
        <f>Volume!CR15</f>
        <v>66240</v>
      </c>
      <c r="Y22" s="70">
        <f>Volume!CS15</f>
        <v>111600</v>
      </c>
      <c r="Z22" s="70">
        <f>Volume!CT15</f>
        <v>65519.999999999993</v>
      </c>
      <c r="AA22" s="70">
        <f>Volume!CU15</f>
        <v>60480</v>
      </c>
      <c r="AB22" s="70">
        <f>Volume!CV15</f>
        <v>40320</v>
      </c>
      <c r="AC22" s="70">
        <f>Volume!CW15</f>
        <v>40320</v>
      </c>
      <c r="AD22" s="70">
        <f>Volume!CX15</f>
        <v>65519.999999999993</v>
      </c>
      <c r="AE22" s="70">
        <f>Volume!CY15</f>
        <v>35280</v>
      </c>
      <c r="AF22" s="70">
        <f t="shared" si="1"/>
        <v>780912</v>
      </c>
      <c r="AH22" s="72" t="s">
        <v>134</v>
      </c>
      <c r="AI22" s="83" t="s">
        <v>68</v>
      </c>
      <c r="AJ22" s="84" t="s">
        <v>61</v>
      </c>
      <c r="AK22" s="75">
        <v>45698</v>
      </c>
      <c r="AL22" s="76" t="s">
        <v>135</v>
      </c>
      <c r="AM22" s="77">
        <v>0</v>
      </c>
      <c r="AN22" s="77">
        <v>0</v>
      </c>
      <c r="AO22" s="77">
        <v>0</v>
      </c>
      <c r="AP22" s="77">
        <v>128856640</v>
      </c>
      <c r="AQ22" s="78">
        <v>0</v>
      </c>
      <c r="AR22" s="78">
        <v>0</v>
      </c>
      <c r="AS22" s="78">
        <v>0</v>
      </c>
      <c r="AT22" s="78">
        <v>0</v>
      </c>
      <c r="AU22" s="78">
        <v>0</v>
      </c>
      <c r="AV22" s="78">
        <v>0</v>
      </c>
      <c r="AW22" s="78">
        <v>0</v>
      </c>
      <c r="AX22" s="78">
        <v>0</v>
      </c>
      <c r="AY22" s="78">
        <v>0</v>
      </c>
      <c r="AZ22" s="78">
        <v>0</v>
      </c>
      <c r="BA22" s="78">
        <v>0</v>
      </c>
      <c r="BB22" s="78">
        <v>0</v>
      </c>
      <c r="BC22" s="78"/>
      <c r="BD22" s="78">
        <v>0</v>
      </c>
      <c r="BE22" s="78">
        <v>0</v>
      </c>
      <c r="BF22" s="78">
        <v>0</v>
      </c>
      <c r="BG22" s="78">
        <v>0</v>
      </c>
      <c r="BH22" s="78">
        <v>0</v>
      </c>
      <c r="BI22" s="78">
        <v>0</v>
      </c>
      <c r="BJ22" s="78">
        <v>0</v>
      </c>
      <c r="BK22" s="78">
        <v>0</v>
      </c>
      <c r="BL22" s="78">
        <v>0</v>
      </c>
      <c r="BM22" s="78">
        <v>0</v>
      </c>
      <c r="BN22" s="78">
        <v>0</v>
      </c>
      <c r="BO22" s="78">
        <v>0</v>
      </c>
      <c r="BP22" s="78">
        <v>0</v>
      </c>
      <c r="BQ22" s="78">
        <v>0</v>
      </c>
      <c r="BR22" s="78">
        <v>0</v>
      </c>
      <c r="BS22" s="78">
        <v>0</v>
      </c>
      <c r="BT22" s="78">
        <v>0</v>
      </c>
      <c r="BU22" s="78">
        <v>0</v>
      </c>
      <c r="BV22" s="78">
        <v>0</v>
      </c>
      <c r="BW22" s="78">
        <v>0</v>
      </c>
      <c r="BX22" s="78">
        <v>0</v>
      </c>
      <c r="BY22" s="78">
        <v>0</v>
      </c>
      <c r="BZ22" s="78">
        <v>0</v>
      </c>
      <c r="CA22" s="78">
        <v>0</v>
      </c>
      <c r="CB22" s="126">
        <v>0</v>
      </c>
      <c r="CC22" s="126">
        <v>0</v>
      </c>
      <c r="CD22" s="126">
        <v>0</v>
      </c>
      <c r="CE22" s="126">
        <v>4287474</v>
      </c>
      <c r="CF22" s="126">
        <v>11097122</v>
      </c>
      <c r="CG22" s="126">
        <v>19322470</v>
      </c>
      <c r="CH22" s="126">
        <v>13123402</v>
      </c>
      <c r="CI22" s="126">
        <v>18421264</v>
      </c>
      <c r="CJ22" s="126">
        <v>16973810</v>
      </c>
      <c r="CK22" s="126">
        <v>14595696</v>
      </c>
      <c r="CL22" s="126">
        <v>14369670.000000004</v>
      </c>
      <c r="CM22" s="127">
        <v>16665731.999999998</v>
      </c>
      <c r="CN22" s="79">
        <v>18472122</v>
      </c>
      <c r="CO22" s="79">
        <v>8762029.9999999981</v>
      </c>
      <c r="CP22" s="80">
        <v>20688271.999999996</v>
      </c>
      <c r="CQ22" s="80">
        <v>21777200.000000004</v>
      </c>
      <c r="CR22" s="80">
        <v>16622737.999999998</v>
      </c>
      <c r="CS22" s="80">
        <v>20481287.618000004</v>
      </c>
      <c r="CT22" s="80">
        <v>18329523.739999995</v>
      </c>
      <c r="CU22" s="80">
        <v>27808745.017999995</v>
      </c>
      <c r="CV22" s="80">
        <v>24598438.276999995</v>
      </c>
      <c r="CW22" s="80">
        <v>22902057.946000002</v>
      </c>
      <c r="CX22" s="80">
        <v>28824839.120999996</v>
      </c>
      <c r="CY22" s="80">
        <v>21145803.361999992</v>
      </c>
      <c r="DA22" s="6"/>
      <c r="DB22" s="6"/>
    </row>
    <row r="23" spans="1:106" s="71" customFormat="1" ht="45" customHeight="1" thickTop="1" thickBot="1">
      <c r="A23" s="55">
        <v>15</v>
      </c>
      <c r="B23" s="56" t="s">
        <v>136</v>
      </c>
      <c r="C23" s="57" t="s">
        <v>131</v>
      </c>
      <c r="D23" s="85" t="s">
        <v>137</v>
      </c>
      <c r="N23" s="94">
        <v>39600</v>
      </c>
      <c r="O23" s="94">
        <v>894780</v>
      </c>
      <c r="P23" s="94">
        <v>1156320</v>
      </c>
      <c r="Q23" s="94">
        <v>1277460</v>
      </c>
      <c r="R23" s="94">
        <v>950580</v>
      </c>
      <c r="S23" s="95">
        <v>453600</v>
      </c>
      <c r="T23" s="129">
        <f>Volume!CN18+Volume!CN20</f>
        <v>574020</v>
      </c>
      <c r="U23" s="70">
        <f>Volume!CO18+Volume!CO20</f>
        <v>633599.99999999988</v>
      </c>
      <c r="V23" s="70">
        <f>Volume!CP18+Volume!CP20</f>
        <v>626219.99999999988</v>
      </c>
      <c r="W23" s="70">
        <f>Volume!CQ18+Volume!CQ20</f>
        <v>116460</v>
      </c>
      <c r="X23" s="70">
        <f>Volume!CR18+Volume!CR20</f>
        <v>114660.00000000001</v>
      </c>
      <c r="Y23" s="70">
        <f>Volume!CS18+Volume!CS20</f>
        <v>179460</v>
      </c>
      <c r="Z23" s="70">
        <f>Volume!CT18+Volume!CT20</f>
        <v>169200</v>
      </c>
      <c r="AA23" s="70">
        <f>Volume!CU18+Volume!CU20</f>
        <v>147260</v>
      </c>
      <c r="AB23" s="70">
        <f>Volume!CV18+Volume!CV20</f>
        <v>143160.00000000003</v>
      </c>
      <c r="AC23" s="70">
        <f>Volume!CW18+Volume!CW20</f>
        <v>128579.99999999999</v>
      </c>
      <c r="AD23" s="70">
        <f>Volume!CX18+Volume!CX20</f>
        <v>116680</v>
      </c>
      <c r="AE23" s="70">
        <f>Volume!CY18+Volume!CY20</f>
        <v>142880</v>
      </c>
      <c r="AF23" s="70">
        <f t="shared" si="1"/>
        <v>1884560</v>
      </c>
      <c r="AH23" s="87" t="s">
        <v>138</v>
      </c>
      <c r="AI23" s="83" t="s">
        <v>68</v>
      </c>
      <c r="AJ23" s="84" t="s">
        <v>61</v>
      </c>
      <c r="AK23" s="75">
        <v>45698</v>
      </c>
      <c r="AL23" s="88" t="s">
        <v>139</v>
      </c>
      <c r="AM23" s="89">
        <v>0</v>
      </c>
      <c r="AN23" s="89">
        <v>0</v>
      </c>
      <c r="AO23" s="89">
        <v>0</v>
      </c>
      <c r="AP23" s="89">
        <v>0</v>
      </c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>
        <v>0</v>
      </c>
      <c r="BE23" s="130">
        <v>0</v>
      </c>
      <c r="BF23" s="130">
        <v>0</v>
      </c>
      <c r="BG23" s="130">
        <v>0</v>
      </c>
      <c r="BH23" s="130">
        <v>0</v>
      </c>
      <c r="BI23" s="130">
        <v>0</v>
      </c>
      <c r="BJ23" s="130">
        <v>0</v>
      </c>
      <c r="BK23" s="130">
        <v>0</v>
      </c>
      <c r="BL23" s="130">
        <v>0</v>
      </c>
      <c r="BM23" s="130">
        <v>0</v>
      </c>
      <c r="BN23" s="130">
        <v>0</v>
      </c>
      <c r="BO23" s="130">
        <v>0</v>
      </c>
      <c r="BP23" s="130">
        <v>0</v>
      </c>
      <c r="BQ23" s="130">
        <v>0</v>
      </c>
      <c r="BR23" s="130">
        <v>0</v>
      </c>
      <c r="BS23" s="130">
        <v>0</v>
      </c>
      <c r="BT23" s="130">
        <v>0</v>
      </c>
      <c r="BU23" s="130">
        <v>0</v>
      </c>
      <c r="BV23" s="130">
        <v>0</v>
      </c>
      <c r="BW23" s="130">
        <v>0</v>
      </c>
      <c r="BX23" s="130">
        <v>0</v>
      </c>
      <c r="BY23" s="130">
        <v>0</v>
      </c>
      <c r="BZ23" s="130">
        <v>0</v>
      </c>
      <c r="CA23" s="130">
        <v>0</v>
      </c>
      <c r="CB23" s="91">
        <v>0</v>
      </c>
      <c r="CC23" s="91">
        <v>0</v>
      </c>
      <c r="CD23" s="91">
        <v>0</v>
      </c>
      <c r="CE23" s="91">
        <v>0</v>
      </c>
      <c r="CF23" s="91">
        <v>0</v>
      </c>
      <c r="CG23" s="91">
        <v>0</v>
      </c>
      <c r="CH23" s="91">
        <v>0</v>
      </c>
      <c r="CI23" s="91">
        <v>0</v>
      </c>
      <c r="CJ23" s="91">
        <v>0</v>
      </c>
      <c r="CK23" s="91">
        <v>0</v>
      </c>
      <c r="CL23" s="91">
        <v>0</v>
      </c>
      <c r="CM23" s="131">
        <v>0</v>
      </c>
      <c r="CN23" s="132">
        <v>0</v>
      </c>
      <c r="CO23" s="132">
        <v>3744</v>
      </c>
      <c r="CP23" s="132">
        <v>72000</v>
      </c>
      <c r="CQ23" s="132">
        <v>153000</v>
      </c>
      <c r="CR23" s="132">
        <v>99000</v>
      </c>
      <c r="CS23" s="132">
        <v>18000</v>
      </c>
      <c r="CT23" s="132">
        <v>36336</v>
      </c>
      <c r="CU23" s="132">
        <v>56016.000000000007</v>
      </c>
      <c r="CV23" s="132">
        <v>38736.000000000007</v>
      </c>
      <c r="CW23" s="132">
        <v>46032</v>
      </c>
      <c r="CX23" s="132">
        <v>44928.000000000007</v>
      </c>
      <c r="CY23" s="132">
        <v>43776</v>
      </c>
      <c r="DA23" s="6"/>
      <c r="DB23" s="6"/>
    </row>
    <row r="24" spans="1:106" s="101" customFormat="1" ht="54" customHeight="1" thickTop="1" thickBot="1">
      <c r="A24" s="97">
        <v>16</v>
      </c>
      <c r="B24" s="56" t="s">
        <v>140</v>
      </c>
      <c r="C24" s="57" t="s">
        <v>141</v>
      </c>
      <c r="D24" s="58" t="s">
        <v>142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100">
        <v>36060</v>
      </c>
      <c r="Q24" s="100">
        <v>4722360</v>
      </c>
      <c r="R24" s="100">
        <v>3286440</v>
      </c>
      <c r="S24" s="108">
        <v>398760</v>
      </c>
      <c r="T24" s="109">
        <v>1150380</v>
      </c>
      <c r="U24" s="71">
        <v>231420.00000000003</v>
      </c>
      <c r="V24" s="71">
        <v>1771920</v>
      </c>
      <c r="W24" s="71">
        <v>3593399.9999999991</v>
      </c>
      <c r="X24" s="71">
        <v>1748639.9999999998</v>
      </c>
      <c r="Y24" s="71">
        <v>752880</v>
      </c>
      <c r="Z24" s="71">
        <v>1156800.0000000002</v>
      </c>
      <c r="AA24" s="71">
        <v>1870560.0000000005</v>
      </c>
      <c r="AB24" s="71">
        <v>1795919.9999999998</v>
      </c>
      <c r="AC24" s="71">
        <v>2130480</v>
      </c>
      <c r="AD24" s="71">
        <v>3526799.9999999995</v>
      </c>
      <c r="AE24" s="71">
        <v>2150400</v>
      </c>
      <c r="AF24" s="70">
        <f t="shared" si="1"/>
        <v>20497800</v>
      </c>
      <c r="AG24" s="71"/>
      <c r="AH24" s="102" t="s">
        <v>144</v>
      </c>
      <c r="AI24" s="83" t="s">
        <v>68</v>
      </c>
      <c r="AJ24" s="84" t="s">
        <v>61</v>
      </c>
      <c r="AK24" s="75">
        <v>45698</v>
      </c>
      <c r="AL24" s="103" t="s">
        <v>145</v>
      </c>
      <c r="AM24" s="104">
        <v>6919526</v>
      </c>
      <c r="AN24" s="104">
        <v>6734445</v>
      </c>
      <c r="AO24" s="104">
        <v>973700</v>
      </c>
      <c r="AP24" s="104">
        <v>301000</v>
      </c>
      <c r="AQ24" s="133">
        <v>355400</v>
      </c>
      <c r="AR24" s="133">
        <v>376900</v>
      </c>
      <c r="AS24" s="133">
        <v>329800</v>
      </c>
      <c r="AT24" s="133">
        <v>514000</v>
      </c>
      <c r="AU24" s="133">
        <v>392100</v>
      </c>
      <c r="AV24" s="133">
        <v>672345</v>
      </c>
      <c r="AW24" s="133">
        <v>790600</v>
      </c>
      <c r="AX24" s="133">
        <v>581700</v>
      </c>
      <c r="AY24" s="133">
        <v>493100</v>
      </c>
      <c r="AZ24" s="133">
        <v>766581</v>
      </c>
      <c r="BA24" s="133">
        <v>791000</v>
      </c>
      <c r="BB24" s="133">
        <v>856000</v>
      </c>
      <c r="BC24" s="133"/>
      <c r="BD24" s="133">
        <v>617400</v>
      </c>
      <c r="BE24" s="133">
        <v>565400</v>
      </c>
      <c r="BF24" s="133">
        <v>918400</v>
      </c>
      <c r="BG24" s="133">
        <v>1007400.0000000001</v>
      </c>
      <c r="BH24" s="133">
        <v>723600</v>
      </c>
      <c r="BI24" s="133">
        <v>752700</v>
      </c>
      <c r="BJ24" s="133">
        <v>589200</v>
      </c>
      <c r="BK24" s="133">
        <v>591300.00000000012</v>
      </c>
      <c r="BL24" s="133">
        <v>636055</v>
      </c>
      <c r="BM24" s="133">
        <v>45000</v>
      </c>
      <c r="BN24" s="133">
        <v>163790</v>
      </c>
      <c r="BO24" s="133">
        <v>124200</v>
      </c>
      <c r="BP24" s="133">
        <v>95000</v>
      </c>
      <c r="BQ24" s="133">
        <v>309300</v>
      </c>
      <c r="BR24" s="133">
        <v>98600</v>
      </c>
      <c r="BS24" s="133">
        <v>18000</v>
      </c>
      <c r="BT24" s="133">
        <v>41000</v>
      </c>
      <c r="BU24" s="133">
        <v>16000</v>
      </c>
      <c r="BV24" s="133">
        <v>30000</v>
      </c>
      <c r="BW24" s="133">
        <v>43800</v>
      </c>
      <c r="BX24" s="133">
        <v>72900</v>
      </c>
      <c r="BY24" s="133">
        <v>75600</v>
      </c>
      <c r="BZ24" s="133">
        <v>48400</v>
      </c>
      <c r="CA24" s="133">
        <v>125100</v>
      </c>
      <c r="CB24" s="106">
        <v>19300</v>
      </c>
      <c r="CC24" s="106">
        <v>72900</v>
      </c>
      <c r="CD24" s="106">
        <v>30200</v>
      </c>
      <c r="CE24" s="106">
        <v>21700</v>
      </c>
      <c r="CF24" s="106">
        <v>24900</v>
      </c>
      <c r="CG24" s="106">
        <v>19800</v>
      </c>
      <c r="CH24" s="106">
        <v>0</v>
      </c>
      <c r="CI24" s="106">
        <v>0</v>
      </c>
      <c r="CJ24" s="106">
        <v>0</v>
      </c>
      <c r="CK24" s="106">
        <v>69000</v>
      </c>
      <c r="CL24" s="106">
        <v>43200</v>
      </c>
      <c r="CM24" s="107">
        <v>0</v>
      </c>
      <c r="CN24" s="134">
        <v>0</v>
      </c>
      <c r="CO24" s="134">
        <v>0</v>
      </c>
      <c r="CP24" s="134">
        <v>0</v>
      </c>
      <c r="CQ24" s="134">
        <v>0</v>
      </c>
      <c r="CR24" s="134">
        <v>0</v>
      </c>
      <c r="CS24" s="134">
        <v>0</v>
      </c>
      <c r="CT24" s="134">
        <v>0</v>
      </c>
      <c r="CU24" s="134">
        <v>0</v>
      </c>
      <c r="CV24" s="134">
        <v>0</v>
      </c>
      <c r="CW24" s="134">
        <v>0</v>
      </c>
      <c r="CX24" s="134">
        <v>0</v>
      </c>
      <c r="CY24" s="134">
        <v>0</v>
      </c>
      <c r="DA24" s="6"/>
      <c r="DB24" s="6"/>
    </row>
    <row r="25" spans="1:106" s="101" customFormat="1" ht="30.75" customHeight="1" thickTop="1" thickBot="1">
      <c r="A25" s="97">
        <v>17</v>
      </c>
      <c r="B25" s="56" t="s">
        <v>146</v>
      </c>
      <c r="C25" s="57" t="s">
        <v>147</v>
      </c>
      <c r="D25" s="58" t="s">
        <v>148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S25" s="57"/>
      <c r="T25" s="109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0">
        <f t="shared" si="1"/>
        <v>0</v>
      </c>
      <c r="AG25" s="71"/>
      <c r="AH25" s="102"/>
      <c r="AI25" s="135" t="s">
        <v>150</v>
      </c>
      <c r="AJ25" s="102" t="s">
        <v>151</v>
      </c>
      <c r="AK25" s="136">
        <v>0</v>
      </c>
      <c r="AL25" s="103" t="s">
        <v>145</v>
      </c>
      <c r="AM25" s="104">
        <v>6503406</v>
      </c>
      <c r="AN25" s="104">
        <v>7074939</v>
      </c>
      <c r="AO25" s="104">
        <v>0</v>
      </c>
      <c r="AP25" s="104">
        <v>0</v>
      </c>
      <c r="AQ25" s="133">
        <v>355400</v>
      </c>
      <c r="AR25" s="133">
        <v>376900</v>
      </c>
      <c r="AS25" s="133">
        <v>329800</v>
      </c>
      <c r="AT25" s="133">
        <v>514000</v>
      </c>
      <c r="AU25" s="133">
        <v>392100</v>
      </c>
      <c r="AV25" s="133">
        <v>672345</v>
      </c>
      <c r="AW25" s="133">
        <v>790600</v>
      </c>
      <c r="AX25" s="133">
        <v>581700</v>
      </c>
      <c r="AY25" s="133">
        <v>493100</v>
      </c>
      <c r="AZ25" s="133">
        <v>766581</v>
      </c>
      <c r="BA25" s="133">
        <v>695680</v>
      </c>
      <c r="BB25" s="133">
        <v>535200</v>
      </c>
      <c r="BC25" s="133"/>
      <c r="BD25" s="133">
        <v>845094</v>
      </c>
      <c r="BE25" s="133">
        <v>464000</v>
      </c>
      <c r="BF25" s="133">
        <v>918400</v>
      </c>
      <c r="BG25" s="133">
        <v>1206700</v>
      </c>
      <c r="BH25" s="133">
        <v>786300</v>
      </c>
      <c r="BI25" s="133">
        <v>752700</v>
      </c>
      <c r="BJ25" s="133">
        <v>589200</v>
      </c>
      <c r="BK25" s="133">
        <v>543500</v>
      </c>
      <c r="BL25" s="133">
        <v>636055</v>
      </c>
      <c r="BM25" s="133">
        <v>45000</v>
      </c>
      <c r="BN25" s="133">
        <v>163790</v>
      </c>
      <c r="BO25" s="133">
        <v>124200</v>
      </c>
      <c r="BP25" s="106">
        <v>0</v>
      </c>
      <c r="BQ25" s="133">
        <v>0</v>
      </c>
      <c r="BR25" s="133">
        <v>0</v>
      </c>
      <c r="BS25" s="133">
        <v>0</v>
      </c>
      <c r="BT25" s="133">
        <v>0</v>
      </c>
      <c r="BU25" s="133">
        <v>0</v>
      </c>
      <c r="BV25" s="133">
        <v>0</v>
      </c>
      <c r="BW25" s="133">
        <v>0</v>
      </c>
      <c r="BX25" s="133">
        <v>0</v>
      </c>
      <c r="BY25" s="133">
        <v>0</v>
      </c>
      <c r="BZ25" s="133">
        <v>0</v>
      </c>
      <c r="CA25" s="133">
        <v>0</v>
      </c>
      <c r="CB25" s="106">
        <v>0</v>
      </c>
      <c r="CC25" s="106">
        <v>0</v>
      </c>
      <c r="CD25" s="106">
        <v>0</v>
      </c>
      <c r="CE25" s="106">
        <v>0</v>
      </c>
      <c r="CF25" s="106">
        <v>0</v>
      </c>
      <c r="CG25" s="106">
        <v>0</v>
      </c>
      <c r="CH25" s="106">
        <v>0</v>
      </c>
      <c r="CI25" s="106">
        <v>0</v>
      </c>
      <c r="CJ25" s="106">
        <v>0</v>
      </c>
      <c r="CK25" s="106">
        <v>0</v>
      </c>
      <c r="CL25" s="106">
        <v>0</v>
      </c>
      <c r="CM25" s="107">
        <v>0</v>
      </c>
      <c r="CN25" s="134">
        <v>0</v>
      </c>
      <c r="CO25" s="134">
        <v>0</v>
      </c>
      <c r="CP25" s="134">
        <v>0</v>
      </c>
      <c r="CQ25" s="134">
        <v>0</v>
      </c>
      <c r="CR25" s="134">
        <v>0</v>
      </c>
      <c r="CS25" s="134">
        <v>0</v>
      </c>
      <c r="CT25" s="134">
        <v>0</v>
      </c>
      <c r="CU25" s="134">
        <v>0</v>
      </c>
      <c r="CV25" s="134">
        <v>0</v>
      </c>
      <c r="CW25" s="134">
        <v>0</v>
      </c>
      <c r="CX25" s="134">
        <v>0</v>
      </c>
      <c r="CY25" s="134">
        <v>0</v>
      </c>
      <c r="DA25" s="6"/>
      <c r="DB25" s="6"/>
    </row>
    <row r="26" spans="1:106" s="101" customFormat="1" ht="30.75" customHeight="1" thickTop="1" thickBot="1">
      <c r="A26" s="97">
        <v>18</v>
      </c>
      <c r="B26" s="56" t="s">
        <v>152</v>
      </c>
      <c r="C26" s="57" t="s">
        <v>147</v>
      </c>
      <c r="D26" s="58" t="s">
        <v>153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S26" s="57"/>
      <c r="T26" s="109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0">
        <f t="shared" si="1"/>
        <v>0</v>
      </c>
      <c r="AG26" s="71"/>
      <c r="AH26" s="102"/>
      <c r="AI26" s="135">
        <v>0</v>
      </c>
      <c r="AJ26" s="102" t="s">
        <v>151</v>
      </c>
      <c r="AK26" s="136">
        <v>0</v>
      </c>
      <c r="AL26" s="103" t="s">
        <v>145</v>
      </c>
      <c r="AM26" s="104">
        <v>6503406</v>
      </c>
      <c r="AN26" s="104">
        <v>6529023</v>
      </c>
      <c r="AO26" s="104">
        <v>0</v>
      </c>
      <c r="AP26" s="104">
        <v>0</v>
      </c>
      <c r="AQ26" s="133">
        <v>355400</v>
      </c>
      <c r="AR26" s="133">
        <v>376900</v>
      </c>
      <c r="AS26" s="133">
        <v>329800</v>
      </c>
      <c r="AT26" s="133">
        <v>514000</v>
      </c>
      <c r="AU26" s="133">
        <v>392100</v>
      </c>
      <c r="AV26" s="133">
        <v>672345</v>
      </c>
      <c r="AW26" s="133">
        <v>790600</v>
      </c>
      <c r="AX26" s="133">
        <v>581700</v>
      </c>
      <c r="AY26" s="133">
        <v>493100</v>
      </c>
      <c r="AZ26" s="133">
        <v>766581</v>
      </c>
      <c r="BA26" s="133">
        <v>695680</v>
      </c>
      <c r="BB26" s="133">
        <v>535200</v>
      </c>
      <c r="BC26" s="133"/>
      <c r="BD26" s="133">
        <v>845094</v>
      </c>
      <c r="BE26" s="133">
        <v>464000</v>
      </c>
      <c r="BF26" s="133">
        <v>884050</v>
      </c>
      <c r="BG26" s="133">
        <v>1206700</v>
      </c>
      <c r="BH26" s="133">
        <v>484575</v>
      </c>
      <c r="BI26" s="133">
        <v>935984</v>
      </c>
      <c r="BJ26" s="133">
        <v>432680</v>
      </c>
      <c r="BK26" s="133">
        <v>306895</v>
      </c>
      <c r="BL26" s="133">
        <v>636055</v>
      </c>
      <c r="BM26" s="133">
        <v>45000</v>
      </c>
      <c r="BN26" s="133">
        <v>163790</v>
      </c>
      <c r="BO26" s="133">
        <v>124200</v>
      </c>
      <c r="BP26" s="106">
        <v>0</v>
      </c>
      <c r="BQ26" s="133">
        <v>0</v>
      </c>
      <c r="BR26" s="133">
        <v>0</v>
      </c>
      <c r="BS26" s="133">
        <v>0</v>
      </c>
      <c r="BT26" s="133">
        <v>0</v>
      </c>
      <c r="BU26" s="133">
        <v>0</v>
      </c>
      <c r="BV26" s="133">
        <v>0</v>
      </c>
      <c r="BW26" s="133">
        <v>0</v>
      </c>
      <c r="BX26" s="133">
        <v>0</v>
      </c>
      <c r="BY26" s="133">
        <v>0</v>
      </c>
      <c r="BZ26" s="133">
        <v>0</v>
      </c>
      <c r="CA26" s="133">
        <v>0</v>
      </c>
      <c r="CB26" s="106">
        <v>0</v>
      </c>
      <c r="CC26" s="106">
        <v>0</v>
      </c>
      <c r="CD26" s="106">
        <v>0</v>
      </c>
      <c r="CE26" s="106">
        <v>0</v>
      </c>
      <c r="CF26" s="106">
        <v>0</v>
      </c>
      <c r="CG26" s="106">
        <v>0</v>
      </c>
      <c r="CH26" s="106">
        <v>0</v>
      </c>
      <c r="CI26" s="106">
        <v>0</v>
      </c>
      <c r="CJ26" s="106">
        <v>0</v>
      </c>
      <c r="CK26" s="106">
        <v>0</v>
      </c>
      <c r="CL26" s="106">
        <v>0</v>
      </c>
      <c r="CM26" s="107">
        <v>0</v>
      </c>
      <c r="CN26" s="134">
        <v>0</v>
      </c>
      <c r="CO26" s="134">
        <v>0</v>
      </c>
      <c r="CP26" s="134">
        <v>0</v>
      </c>
      <c r="CQ26" s="134">
        <v>0</v>
      </c>
      <c r="CR26" s="134">
        <v>0</v>
      </c>
      <c r="CS26" s="134">
        <v>0</v>
      </c>
      <c r="CT26" s="134">
        <v>0</v>
      </c>
      <c r="CU26" s="134">
        <v>0</v>
      </c>
      <c r="CV26" s="134">
        <v>0</v>
      </c>
      <c r="CW26" s="134">
        <v>0</v>
      </c>
      <c r="CX26" s="134">
        <v>0</v>
      </c>
      <c r="CY26" s="134">
        <v>0</v>
      </c>
      <c r="DA26" s="6"/>
      <c r="DB26" s="6"/>
    </row>
    <row r="27" spans="1:106" s="101" customFormat="1" ht="45.75" customHeight="1" thickTop="1" thickBot="1">
      <c r="A27" s="97">
        <v>19</v>
      </c>
      <c r="B27" s="56" t="s">
        <v>154</v>
      </c>
      <c r="C27" s="57" t="s">
        <v>143</v>
      </c>
      <c r="D27" s="58" t="s">
        <v>155</v>
      </c>
      <c r="E27" s="71"/>
      <c r="F27" s="71"/>
      <c r="G27" s="99">
        <v>549000</v>
      </c>
      <c r="H27" s="99">
        <v>3000</v>
      </c>
      <c r="I27" s="99"/>
      <c r="J27" s="99"/>
      <c r="K27" s="99"/>
      <c r="L27" s="99"/>
      <c r="M27" s="99"/>
      <c r="N27" s="99"/>
      <c r="O27" s="99"/>
      <c r="P27" s="100"/>
      <c r="Q27" s="100"/>
      <c r="R27" s="100"/>
      <c r="S27" s="99"/>
      <c r="T27" s="138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Z27" s="99">
        <v>0</v>
      </c>
      <c r="AA27" s="99">
        <v>0</v>
      </c>
      <c r="AB27" s="99">
        <v>0</v>
      </c>
      <c r="AC27" s="99">
        <v>0</v>
      </c>
      <c r="AD27" s="99">
        <v>0</v>
      </c>
      <c r="AE27" s="99">
        <v>0</v>
      </c>
      <c r="AF27" s="70">
        <f t="shared" si="1"/>
        <v>0</v>
      </c>
      <c r="AG27" s="71"/>
      <c r="AH27" s="102"/>
      <c r="AI27" s="135">
        <v>0</v>
      </c>
      <c r="AJ27" s="102" t="s">
        <v>151</v>
      </c>
      <c r="AK27" s="136" t="s">
        <v>157</v>
      </c>
      <c r="AL27" s="103" t="s">
        <v>158</v>
      </c>
      <c r="AM27" s="104">
        <v>45200</v>
      </c>
      <c r="AN27" s="104">
        <v>21040</v>
      </c>
      <c r="AO27" s="104">
        <v>32160</v>
      </c>
      <c r="AP27" s="104">
        <v>0</v>
      </c>
      <c r="AQ27" s="133"/>
      <c r="AR27" s="133">
        <v>17760</v>
      </c>
      <c r="AS27" s="133"/>
      <c r="AT27" s="133">
        <v>14320</v>
      </c>
      <c r="AU27" s="133"/>
      <c r="AV27" s="133">
        <v>4400</v>
      </c>
      <c r="AW27" s="133">
        <v>8720</v>
      </c>
      <c r="AX27" s="133"/>
      <c r="AY27" s="133"/>
      <c r="AZ27" s="133"/>
      <c r="BA27" s="133"/>
      <c r="BB27" s="133"/>
      <c r="BC27" s="133"/>
      <c r="BD27" s="133">
        <v>6000</v>
      </c>
      <c r="BE27" s="133"/>
      <c r="BF27" s="133">
        <v>3000</v>
      </c>
      <c r="BG27" s="133">
        <v>0</v>
      </c>
      <c r="BH27" s="133">
        <v>4000</v>
      </c>
      <c r="BI27" s="139">
        <v>0</v>
      </c>
      <c r="BJ27" s="133">
        <v>5040</v>
      </c>
      <c r="BK27" s="133">
        <v>3000</v>
      </c>
      <c r="BL27" s="133">
        <v>0</v>
      </c>
      <c r="BM27" s="133">
        <v>0</v>
      </c>
      <c r="BN27" s="133">
        <v>0</v>
      </c>
      <c r="BO27" s="133">
        <v>0</v>
      </c>
      <c r="BP27" s="106">
        <v>0</v>
      </c>
      <c r="BQ27" s="133">
        <v>3000</v>
      </c>
      <c r="BR27" s="133">
        <v>5040</v>
      </c>
      <c r="BS27" s="133">
        <v>0</v>
      </c>
      <c r="BT27" s="133">
        <v>3000</v>
      </c>
      <c r="BU27" s="133">
        <v>5040</v>
      </c>
      <c r="BV27" s="133">
        <v>0</v>
      </c>
      <c r="BW27" s="133">
        <v>0</v>
      </c>
      <c r="BX27" s="133">
        <v>8039.9999999999991</v>
      </c>
      <c r="BY27" s="133">
        <v>0</v>
      </c>
      <c r="BZ27" s="133">
        <v>0</v>
      </c>
      <c r="CA27" s="133">
        <v>8039.9999999999991</v>
      </c>
      <c r="CB27" s="106"/>
      <c r="CC27" s="106"/>
      <c r="CD27" s="106"/>
      <c r="CE27" s="106"/>
      <c r="CF27" s="106"/>
      <c r="CG27" s="106"/>
      <c r="CH27" s="106"/>
      <c r="CI27" s="106"/>
      <c r="CJ27" s="106"/>
      <c r="CK27" s="106"/>
      <c r="CL27" s="106"/>
      <c r="CM27" s="107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DA27" s="6"/>
      <c r="DB27" s="6"/>
    </row>
    <row r="28" spans="1:106" s="101" customFormat="1" ht="66.75" customHeight="1" thickTop="1" thickBot="1">
      <c r="A28" s="97">
        <v>20</v>
      </c>
      <c r="B28" s="56" t="s">
        <v>159</v>
      </c>
      <c r="C28" s="57" t="s">
        <v>143</v>
      </c>
      <c r="D28" s="58" t="s">
        <v>160</v>
      </c>
      <c r="E28" s="71"/>
      <c r="F28" s="71"/>
      <c r="G28" s="99"/>
      <c r="H28" s="99"/>
      <c r="I28" s="99"/>
      <c r="J28" s="99"/>
      <c r="K28" s="99"/>
      <c r="L28" s="99"/>
      <c r="M28" s="99"/>
      <c r="N28" s="99"/>
      <c r="O28" s="99"/>
      <c r="P28" s="100"/>
      <c r="Q28" s="100"/>
      <c r="R28" s="100"/>
      <c r="S28" s="99"/>
      <c r="T28" s="138">
        <v>0</v>
      </c>
      <c r="U28" s="99">
        <v>0</v>
      </c>
      <c r="V28" s="99">
        <v>0</v>
      </c>
      <c r="W28" s="99">
        <v>0</v>
      </c>
      <c r="X28" s="99">
        <v>0</v>
      </c>
      <c r="Y28" s="99">
        <v>0</v>
      </c>
      <c r="Z28" s="99">
        <v>0</v>
      </c>
      <c r="AA28" s="99">
        <v>0</v>
      </c>
      <c r="AB28" s="99">
        <v>0</v>
      </c>
      <c r="AC28" s="99">
        <v>0</v>
      </c>
      <c r="AD28" s="99">
        <v>0</v>
      </c>
      <c r="AE28" s="99">
        <v>0</v>
      </c>
      <c r="AF28" s="70">
        <f t="shared" si="1"/>
        <v>0</v>
      </c>
      <c r="AG28" s="71"/>
      <c r="AH28" s="102"/>
      <c r="AI28" s="135" t="s">
        <v>161</v>
      </c>
      <c r="AJ28" s="102" t="s">
        <v>151</v>
      </c>
      <c r="AK28" s="136">
        <v>44805</v>
      </c>
      <c r="AL28" s="103" t="s">
        <v>162</v>
      </c>
      <c r="AM28" s="104">
        <v>511000</v>
      </c>
      <c r="AN28" s="104">
        <v>40500</v>
      </c>
      <c r="AO28" s="104">
        <v>0</v>
      </c>
      <c r="AP28" s="104">
        <v>0</v>
      </c>
      <c r="AQ28" s="133"/>
      <c r="AR28" s="133">
        <v>181500</v>
      </c>
      <c r="AS28" s="133"/>
      <c r="AT28" s="133">
        <v>77000</v>
      </c>
      <c r="AU28" s="133"/>
      <c r="AV28" s="133">
        <v>85000</v>
      </c>
      <c r="AW28" s="133">
        <v>167500</v>
      </c>
      <c r="AX28" s="133"/>
      <c r="AY28" s="133"/>
      <c r="AZ28" s="133"/>
      <c r="BA28" s="133"/>
      <c r="BB28" s="133"/>
      <c r="BC28" s="133"/>
      <c r="BD28" s="133">
        <v>3000</v>
      </c>
      <c r="BE28" s="133"/>
      <c r="BF28" s="133">
        <v>0</v>
      </c>
      <c r="BG28" s="133">
        <v>0</v>
      </c>
      <c r="BH28" s="133"/>
      <c r="BI28" s="139">
        <v>0</v>
      </c>
      <c r="BJ28" s="133">
        <v>12500</v>
      </c>
      <c r="BK28" s="133">
        <v>0</v>
      </c>
      <c r="BL28" s="133">
        <v>0</v>
      </c>
      <c r="BM28" s="133">
        <v>12500</v>
      </c>
      <c r="BN28" s="133">
        <v>12500</v>
      </c>
      <c r="BO28" s="133"/>
      <c r="BP28" s="106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7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DA28" s="6"/>
      <c r="DB28" s="6"/>
    </row>
    <row r="29" spans="1:106" s="101" customFormat="1" ht="88.5" customHeight="1" thickTop="1" thickBot="1">
      <c r="A29" s="97">
        <v>21</v>
      </c>
      <c r="B29" s="56" t="s">
        <v>163</v>
      </c>
      <c r="C29" s="57" t="s">
        <v>143</v>
      </c>
      <c r="D29" s="85" t="s">
        <v>164</v>
      </c>
      <c r="E29" s="71"/>
      <c r="F29" s="71"/>
      <c r="G29" s="99"/>
      <c r="H29" s="99"/>
      <c r="I29" s="99"/>
      <c r="J29" s="99"/>
      <c r="K29" s="99"/>
      <c r="L29" s="99"/>
      <c r="M29" s="99"/>
      <c r="N29" s="99"/>
      <c r="O29" s="99"/>
      <c r="P29" s="100"/>
      <c r="Q29" s="100"/>
      <c r="R29" s="100"/>
      <c r="S29" s="99"/>
      <c r="T29" s="138">
        <v>0</v>
      </c>
      <c r="U29" s="99">
        <v>4680</v>
      </c>
      <c r="V29" s="99">
        <v>72000</v>
      </c>
      <c r="W29" s="99">
        <v>0</v>
      </c>
      <c r="X29" s="99">
        <v>0</v>
      </c>
      <c r="Y29" s="99">
        <v>0</v>
      </c>
      <c r="Z29" s="99">
        <v>0</v>
      </c>
      <c r="AA29" s="99">
        <v>0</v>
      </c>
      <c r="AB29" s="99">
        <v>0</v>
      </c>
      <c r="AC29" s="99">
        <v>0</v>
      </c>
      <c r="AD29" s="99">
        <v>0</v>
      </c>
      <c r="AE29" s="99">
        <v>0</v>
      </c>
      <c r="AF29" s="70">
        <f t="shared" si="1"/>
        <v>72000</v>
      </c>
      <c r="AG29" s="71"/>
      <c r="AH29" s="102"/>
      <c r="AI29" s="135">
        <v>44805</v>
      </c>
      <c r="AJ29" s="102" t="s">
        <v>151</v>
      </c>
      <c r="AK29" s="136" t="s">
        <v>165</v>
      </c>
      <c r="AL29" s="103" t="s">
        <v>166</v>
      </c>
      <c r="AM29" s="104">
        <v>0</v>
      </c>
      <c r="AN29" s="104">
        <v>1724245.5</v>
      </c>
      <c r="AO29" s="104">
        <v>650254.5</v>
      </c>
      <c r="AP29" s="104">
        <v>0</v>
      </c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>
        <v>135000</v>
      </c>
      <c r="BE29" s="133">
        <v>135000</v>
      </c>
      <c r="BF29" s="133">
        <v>136696.5</v>
      </c>
      <c r="BG29" s="133">
        <v>108378</v>
      </c>
      <c r="BH29" s="133">
        <v>181110</v>
      </c>
      <c r="BI29" s="133">
        <v>121848</v>
      </c>
      <c r="BJ29" s="133">
        <v>156642</v>
      </c>
      <c r="BK29" s="133">
        <v>131443.5</v>
      </c>
      <c r="BL29" s="133">
        <v>186801</v>
      </c>
      <c r="BM29" s="133">
        <v>203887.5</v>
      </c>
      <c r="BN29" s="133">
        <v>157320</v>
      </c>
      <c r="BO29" s="133">
        <v>70119</v>
      </c>
      <c r="BP29" s="106">
        <v>75019.5</v>
      </c>
      <c r="BQ29" s="133">
        <v>79714.5</v>
      </c>
      <c r="BR29" s="133">
        <v>164461.5</v>
      </c>
      <c r="BS29" s="133">
        <v>165529.5</v>
      </c>
      <c r="BT29" s="133">
        <v>165529.5</v>
      </c>
      <c r="BU29" s="133"/>
      <c r="BV29" s="133"/>
      <c r="BW29" s="133"/>
      <c r="BX29" s="133"/>
      <c r="BY29" s="133"/>
      <c r="BZ29" s="133"/>
      <c r="CA29" s="133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7"/>
      <c r="CN29" s="134"/>
      <c r="CO29" s="134"/>
      <c r="CP29" s="134"/>
      <c r="CQ29" s="134"/>
      <c r="CR29" s="134"/>
      <c r="CS29" s="134"/>
      <c r="CT29" s="134"/>
      <c r="CU29" s="134"/>
      <c r="CV29" s="134"/>
      <c r="CW29" s="134"/>
      <c r="CX29" s="134"/>
      <c r="CY29" s="134"/>
      <c r="DA29" s="6"/>
      <c r="DB29" s="6"/>
    </row>
    <row r="30" spans="1:106" s="101" customFormat="1" ht="68.25" customHeight="1" thickTop="1" thickBot="1">
      <c r="A30" s="97">
        <v>22</v>
      </c>
      <c r="B30" s="56" t="s">
        <v>167</v>
      </c>
      <c r="C30" s="57" t="s">
        <v>143</v>
      </c>
      <c r="D30" s="85" t="s">
        <v>168</v>
      </c>
      <c r="E30" s="71"/>
      <c r="F30" s="71"/>
      <c r="G30" s="99"/>
      <c r="H30" s="99"/>
      <c r="I30" s="99"/>
      <c r="J30" s="99"/>
      <c r="K30" s="99"/>
      <c r="L30" s="99"/>
      <c r="M30" s="99"/>
      <c r="N30" s="99"/>
      <c r="O30" s="99"/>
      <c r="P30" s="100"/>
      <c r="Q30" s="100"/>
      <c r="R30" s="100"/>
      <c r="S30" s="99"/>
      <c r="T30" s="138">
        <v>0</v>
      </c>
      <c r="U30" s="99">
        <v>0</v>
      </c>
      <c r="V30" s="99">
        <v>0</v>
      </c>
      <c r="W30" s="99">
        <v>0</v>
      </c>
      <c r="X30" s="99">
        <v>0</v>
      </c>
      <c r="Y30" s="99">
        <v>0</v>
      </c>
      <c r="Z30" s="99">
        <v>0</v>
      </c>
      <c r="AA30" s="99">
        <v>0</v>
      </c>
      <c r="AB30" s="99">
        <v>0</v>
      </c>
      <c r="AC30" s="99">
        <v>0</v>
      </c>
      <c r="AD30" s="99">
        <v>0</v>
      </c>
      <c r="AE30" s="99">
        <v>0</v>
      </c>
      <c r="AF30" s="70">
        <f t="shared" si="1"/>
        <v>0</v>
      </c>
      <c r="AG30" s="71"/>
      <c r="AH30" s="102"/>
      <c r="AI30" s="135" t="s">
        <v>165</v>
      </c>
      <c r="AJ30" s="102" t="s">
        <v>151</v>
      </c>
      <c r="AK30" s="136" t="s">
        <v>169</v>
      </c>
      <c r="AL30" s="103" t="s">
        <v>166</v>
      </c>
      <c r="AM30" s="104">
        <v>0</v>
      </c>
      <c r="AN30" s="104">
        <v>1541050</v>
      </c>
      <c r="AO30" s="104">
        <v>235000</v>
      </c>
      <c r="AP30" s="104">
        <v>0</v>
      </c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>
        <v>0</v>
      </c>
      <c r="BE30" s="133">
        <v>64548.999999999993</v>
      </c>
      <c r="BF30" s="133">
        <v>127047.99999999999</v>
      </c>
      <c r="BG30" s="133">
        <v>181303.00000000003</v>
      </c>
      <c r="BH30" s="133">
        <v>24200</v>
      </c>
      <c r="BI30" s="133">
        <v>254800</v>
      </c>
      <c r="BJ30" s="133">
        <v>211000</v>
      </c>
      <c r="BK30" s="133">
        <v>214000</v>
      </c>
      <c r="BL30" s="133">
        <v>215000</v>
      </c>
      <c r="BM30" s="133">
        <v>81000</v>
      </c>
      <c r="BN30" s="133">
        <v>48150</v>
      </c>
      <c r="BO30" s="133">
        <v>120000</v>
      </c>
      <c r="BP30" s="106">
        <v>175000</v>
      </c>
      <c r="BQ30" s="133">
        <v>60000</v>
      </c>
      <c r="BR30" s="133">
        <v>0</v>
      </c>
      <c r="BS30" s="133">
        <v>0</v>
      </c>
      <c r="BT30" s="133">
        <v>0</v>
      </c>
      <c r="BU30" s="133">
        <v>0</v>
      </c>
      <c r="BV30" s="133">
        <v>0</v>
      </c>
      <c r="BW30" s="133">
        <v>0</v>
      </c>
      <c r="BX30" s="133">
        <v>0</v>
      </c>
      <c r="BY30" s="133">
        <v>0</v>
      </c>
      <c r="BZ30" s="133">
        <v>0</v>
      </c>
      <c r="CA30" s="133">
        <v>0</v>
      </c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7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DA30" s="6"/>
      <c r="DB30" s="6"/>
    </row>
    <row r="31" spans="1:106" s="101" customFormat="1" ht="47.25" customHeight="1" thickTop="1" thickBot="1">
      <c r="A31" s="97">
        <v>23</v>
      </c>
      <c r="B31" s="56" t="s">
        <v>170</v>
      </c>
      <c r="C31" s="57" t="s">
        <v>143</v>
      </c>
      <c r="D31" s="58" t="s">
        <v>171</v>
      </c>
      <c r="E31" s="71"/>
      <c r="F31" s="71"/>
      <c r="G31" s="99">
        <v>116160</v>
      </c>
      <c r="H31" s="99">
        <v>15840</v>
      </c>
      <c r="I31" s="99"/>
      <c r="J31" s="99"/>
      <c r="K31" s="99">
        <v>5400</v>
      </c>
      <c r="L31" s="99"/>
      <c r="M31" s="99"/>
      <c r="N31" s="99"/>
      <c r="O31" s="99"/>
      <c r="P31" s="100"/>
      <c r="Q31" s="100"/>
      <c r="R31" s="100"/>
      <c r="S31" s="99"/>
      <c r="T31" s="138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Z31" s="99">
        <v>0</v>
      </c>
      <c r="AA31" s="99">
        <v>0</v>
      </c>
      <c r="AB31" s="99">
        <v>0</v>
      </c>
      <c r="AC31" s="99">
        <v>0</v>
      </c>
      <c r="AD31" s="99">
        <v>0</v>
      </c>
      <c r="AE31" s="99">
        <v>0</v>
      </c>
      <c r="AF31" s="70">
        <f t="shared" si="1"/>
        <v>0</v>
      </c>
      <c r="AG31" s="71"/>
      <c r="AH31" s="102"/>
      <c r="AI31" s="135" t="s">
        <v>172</v>
      </c>
      <c r="AJ31" s="102" t="s">
        <v>151</v>
      </c>
      <c r="AK31" s="136" t="s">
        <v>173</v>
      </c>
      <c r="AL31" s="103" t="s">
        <v>166</v>
      </c>
      <c r="AM31" s="104">
        <v>0</v>
      </c>
      <c r="AN31" s="104">
        <v>1650011</v>
      </c>
      <c r="AO31" s="104">
        <v>235000</v>
      </c>
      <c r="AP31" s="104">
        <v>0</v>
      </c>
      <c r="AQ31" s="133">
        <v>0</v>
      </c>
      <c r="AR31" s="133">
        <v>0</v>
      </c>
      <c r="AS31" s="133">
        <v>0</v>
      </c>
      <c r="AT31" s="133">
        <v>0</v>
      </c>
      <c r="AU31" s="133">
        <v>0</v>
      </c>
      <c r="AV31" s="133">
        <v>0</v>
      </c>
      <c r="AW31" s="133">
        <v>0</v>
      </c>
      <c r="AX31" s="133">
        <v>0</v>
      </c>
      <c r="AY31" s="133">
        <v>0</v>
      </c>
      <c r="AZ31" s="133">
        <v>0</v>
      </c>
      <c r="BA31" s="133">
        <v>0</v>
      </c>
      <c r="BB31" s="133">
        <v>0</v>
      </c>
      <c r="BC31" s="133"/>
      <c r="BD31" s="133">
        <v>0</v>
      </c>
      <c r="BE31" s="133">
        <v>80000</v>
      </c>
      <c r="BF31" s="133">
        <v>148648</v>
      </c>
      <c r="BG31" s="133">
        <v>181303.00000000003</v>
      </c>
      <c r="BH31" s="133">
        <v>24200</v>
      </c>
      <c r="BI31" s="133">
        <v>326710</v>
      </c>
      <c r="BJ31" s="133">
        <v>211000</v>
      </c>
      <c r="BK31" s="133">
        <v>214000</v>
      </c>
      <c r="BL31" s="133">
        <v>215000</v>
      </c>
      <c r="BM31" s="133">
        <v>81000</v>
      </c>
      <c r="BN31" s="133">
        <v>48150</v>
      </c>
      <c r="BO31" s="133">
        <v>120000</v>
      </c>
      <c r="BP31" s="106">
        <v>175000</v>
      </c>
      <c r="BQ31" s="133">
        <v>60000</v>
      </c>
      <c r="BR31" s="133">
        <v>0</v>
      </c>
      <c r="BS31" s="133">
        <v>0</v>
      </c>
      <c r="BT31" s="133">
        <v>0</v>
      </c>
      <c r="BU31" s="133">
        <v>0</v>
      </c>
      <c r="BV31" s="133">
        <v>0</v>
      </c>
      <c r="BW31" s="133">
        <v>0</v>
      </c>
      <c r="BX31" s="133">
        <v>0</v>
      </c>
      <c r="BY31" s="133">
        <v>0</v>
      </c>
      <c r="BZ31" s="133">
        <v>0</v>
      </c>
      <c r="CA31" s="133">
        <v>0</v>
      </c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7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DA31" s="6"/>
      <c r="DB31" s="6"/>
    </row>
    <row r="32" spans="1:106" s="101" customFormat="1" ht="62.25" customHeight="1" thickTop="1" thickBot="1">
      <c r="A32" s="97">
        <v>24</v>
      </c>
      <c r="B32" s="56" t="s">
        <v>174</v>
      </c>
      <c r="C32" s="57" t="s">
        <v>143</v>
      </c>
      <c r="D32" s="85" t="s">
        <v>175</v>
      </c>
      <c r="E32" s="71"/>
      <c r="F32" s="71"/>
      <c r="G32" s="99"/>
      <c r="H32" s="108"/>
      <c r="I32" s="99"/>
      <c r="J32" s="99"/>
      <c r="K32" s="108"/>
      <c r="L32" s="99"/>
      <c r="M32" s="99"/>
      <c r="N32" s="99"/>
      <c r="O32" s="99"/>
      <c r="P32" s="100"/>
      <c r="Q32" s="100"/>
      <c r="R32" s="100"/>
      <c r="S32" s="99"/>
      <c r="T32" s="138">
        <v>0</v>
      </c>
      <c r="U32" s="99">
        <v>4680.00000000001</v>
      </c>
      <c r="V32" s="99">
        <v>72000</v>
      </c>
      <c r="W32" s="99">
        <v>0</v>
      </c>
      <c r="X32" s="99">
        <v>0</v>
      </c>
      <c r="Y32" s="99">
        <v>0</v>
      </c>
      <c r="Z32" s="99">
        <v>0</v>
      </c>
      <c r="AA32" s="99">
        <v>0</v>
      </c>
      <c r="AB32" s="99">
        <v>0</v>
      </c>
      <c r="AC32" s="99">
        <v>0</v>
      </c>
      <c r="AD32" s="99">
        <v>0</v>
      </c>
      <c r="AE32" s="99">
        <v>0</v>
      </c>
      <c r="AF32" s="70">
        <f t="shared" si="1"/>
        <v>72000</v>
      </c>
      <c r="AG32" s="71"/>
      <c r="AH32" s="102"/>
      <c r="AI32" s="135" t="s">
        <v>176</v>
      </c>
      <c r="AJ32" s="102" t="s">
        <v>151</v>
      </c>
      <c r="AK32" s="136" t="s">
        <v>177</v>
      </c>
      <c r="AL32" s="103" t="s">
        <v>166</v>
      </c>
      <c r="AM32" s="104">
        <v>0</v>
      </c>
      <c r="AN32" s="104">
        <v>1542297</v>
      </c>
      <c r="AO32" s="104">
        <v>235000</v>
      </c>
      <c r="AP32" s="104">
        <v>0</v>
      </c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>
        <v>69349</v>
      </c>
      <c r="BF32" s="133">
        <v>148648</v>
      </c>
      <c r="BG32" s="133">
        <v>160000</v>
      </c>
      <c r="BH32" s="133">
        <v>20000</v>
      </c>
      <c r="BI32" s="133">
        <v>326710</v>
      </c>
      <c r="BJ32" s="133">
        <v>139440</v>
      </c>
      <c r="BK32" s="133">
        <v>214000</v>
      </c>
      <c r="BL32" s="133">
        <v>215000</v>
      </c>
      <c r="BM32" s="133">
        <v>81000</v>
      </c>
      <c r="BN32" s="133">
        <v>48150</v>
      </c>
      <c r="BO32" s="133">
        <v>120000</v>
      </c>
      <c r="BP32" s="106">
        <v>175000</v>
      </c>
      <c r="BQ32" s="133">
        <v>60000</v>
      </c>
      <c r="BR32" s="133">
        <v>0</v>
      </c>
      <c r="BS32" s="133">
        <v>0</v>
      </c>
      <c r="BT32" s="133">
        <v>0</v>
      </c>
      <c r="BU32" s="133">
        <v>0</v>
      </c>
      <c r="BV32" s="133">
        <v>0</v>
      </c>
      <c r="BW32" s="133">
        <v>0</v>
      </c>
      <c r="BX32" s="133">
        <v>0</v>
      </c>
      <c r="BY32" s="133">
        <v>0</v>
      </c>
      <c r="BZ32" s="133">
        <v>0</v>
      </c>
      <c r="CA32" s="133">
        <v>0</v>
      </c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7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DA32" s="6"/>
      <c r="DB32" s="6"/>
    </row>
    <row r="33" spans="1:1363" s="101" customFormat="1" ht="87" customHeight="1" thickTop="1" thickBot="1">
      <c r="A33" s="97">
        <v>25</v>
      </c>
      <c r="B33" s="56" t="s">
        <v>178</v>
      </c>
      <c r="C33" s="57" t="s">
        <v>143</v>
      </c>
      <c r="D33" s="85" t="s">
        <v>179</v>
      </c>
      <c r="E33" s="71"/>
      <c r="F33" s="71"/>
      <c r="G33" s="99"/>
      <c r="H33" s="99"/>
      <c r="I33" s="99"/>
      <c r="J33" s="99"/>
      <c r="K33" s="99"/>
      <c r="L33" s="99"/>
      <c r="M33" s="99"/>
      <c r="N33" s="99"/>
      <c r="O33" s="99"/>
      <c r="P33" s="100"/>
      <c r="Q33" s="100"/>
      <c r="R33" s="100"/>
      <c r="S33" s="99"/>
      <c r="T33" s="138">
        <v>0</v>
      </c>
      <c r="U33" s="99">
        <v>4680</v>
      </c>
      <c r="V33" s="99">
        <v>72000</v>
      </c>
      <c r="W33" s="99">
        <v>0</v>
      </c>
      <c r="X33" s="99">
        <v>0</v>
      </c>
      <c r="Y33" s="99">
        <v>0</v>
      </c>
      <c r="Z33" s="99">
        <v>0</v>
      </c>
      <c r="AA33" s="99">
        <v>0</v>
      </c>
      <c r="AB33" s="99">
        <v>0</v>
      </c>
      <c r="AC33" s="99">
        <v>0</v>
      </c>
      <c r="AD33" s="99">
        <v>0</v>
      </c>
      <c r="AE33" s="99">
        <v>0</v>
      </c>
      <c r="AF33" s="70">
        <f t="shared" si="1"/>
        <v>72000</v>
      </c>
      <c r="AG33" s="71"/>
      <c r="AH33" s="102" t="s">
        <v>180</v>
      </c>
      <c r="AI33" s="83" t="s">
        <v>68</v>
      </c>
      <c r="AJ33" s="84" t="s">
        <v>61</v>
      </c>
      <c r="AK33" s="75">
        <v>45698</v>
      </c>
      <c r="AL33" s="103" t="s">
        <v>181</v>
      </c>
      <c r="AM33" s="104">
        <v>0</v>
      </c>
      <c r="AN33" s="104">
        <v>0</v>
      </c>
      <c r="AO33" s="104">
        <v>283400</v>
      </c>
      <c r="AP33" s="104">
        <v>540400</v>
      </c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>
        <v>0</v>
      </c>
      <c r="BE33" s="133">
        <v>0</v>
      </c>
      <c r="BF33" s="133">
        <v>0</v>
      </c>
      <c r="BG33" s="133">
        <v>0</v>
      </c>
      <c r="BH33" s="133">
        <v>0</v>
      </c>
      <c r="BI33" s="133">
        <v>0</v>
      </c>
      <c r="BJ33" s="133">
        <v>0</v>
      </c>
      <c r="BK33" s="133">
        <v>0</v>
      </c>
      <c r="BL33" s="133">
        <v>0</v>
      </c>
      <c r="BM33" s="133">
        <v>0</v>
      </c>
      <c r="BN33" s="133">
        <v>0</v>
      </c>
      <c r="BO33" s="133">
        <v>0</v>
      </c>
      <c r="BP33" s="133">
        <v>0</v>
      </c>
      <c r="BQ33" s="133">
        <v>0</v>
      </c>
      <c r="BR33" s="133">
        <v>0</v>
      </c>
      <c r="BS33" s="133">
        <v>0</v>
      </c>
      <c r="BT33" s="133">
        <v>61500</v>
      </c>
      <c r="BU33" s="133">
        <v>95000</v>
      </c>
      <c r="BV33" s="133">
        <v>0</v>
      </c>
      <c r="BW33" s="133">
        <v>0</v>
      </c>
      <c r="BX33" s="133">
        <v>54300</v>
      </c>
      <c r="BY33" s="133">
        <v>29900</v>
      </c>
      <c r="BZ33" s="133">
        <v>3600</v>
      </c>
      <c r="CA33" s="133">
        <v>39100</v>
      </c>
      <c r="CB33" s="106">
        <v>101800</v>
      </c>
      <c r="CC33" s="106">
        <v>40000</v>
      </c>
      <c r="CD33" s="106">
        <v>56600</v>
      </c>
      <c r="CE33" s="106">
        <v>163900</v>
      </c>
      <c r="CF33" s="106">
        <v>57700</v>
      </c>
      <c r="CG33" s="106">
        <v>37200</v>
      </c>
      <c r="CH33" s="106">
        <v>4000</v>
      </c>
      <c r="CI33" s="106">
        <v>12200</v>
      </c>
      <c r="CJ33" s="106">
        <v>38200</v>
      </c>
      <c r="CK33" s="106">
        <v>20800</v>
      </c>
      <c r="CL33" s="106">
        <v>0</v>
      </c>
      <c r="CM33" s="107">
        <v>8000</v>
      </c>
      <c r="CN33" s="140">
        <v>27600</v>
      </c>
      <c r="CO33" s="140">
        <v>17000</v>
      </c>
      <c r="CP33" s="134">
        <v>11000</v>
      </c>
      <c r="CQ33" s="134">
        <v>18200</v>
      </c>
      <c r="CR33" s="134">
        <v>14400</v>
      </c>
      <c r="CS33" s="134">
        <v>32400</v>
      </c>
      <c r="CT33" s="134">
        <v>12300</v>
      </c>
      <c r="CU33" s="134">
        <v>17299.999999999996</v>
      </c>
      <c r="CV33" s="134">
        <v>28200.000000000004</v>
      </c>
      <c r="CW33" s="134">
        <v>21099.999999999996</v>
      </c>
      <c r="CX33" s="134">
        <v>24799.999999999996</v>
      </c>
      <c r="CY33" s="134">
        <v>24800.000000000004</v>
      </c>
      <c r="DA33" s="6"/>
      <c r="DB33" s="6"/>
    </row>
    <row r="34" spans="1:1363" s="71" customFormat="1" ht="30.75" customHeight="1" thickTop="1" thickBot="1">
      <c r="A34" s="55">
        <v>27</v>
      </c>
      <c r="B34" s="56" t="s">
        <v>182</v>
      </c>
      <c r="C34" s="57" t="s">
        <v>112</v>
      </c>
      <c r="D34" s="85" t="s">
        <v>183</v>
      </c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70">
        <f t="shared" si="1"/>
        <v>0</v>
      </c>
      <c r="AH34" s="72" t="s">
        <v>184</v>
      </c>
      <c r="AI34" s="83" t="s">
        <v>68</v>
      </c>
      <c r="AJ34" s="84" t="s">
        <v>61</v>
      </c>
      <c r="AK34" s="75">
        <v>45698</v>
      </c>
      <c r="AL34" s="76" t="s">
        <v>185</v>
      </c>
      <c r="AM34" s="77">
        <v>0</v>
      </c>
      <c r="AN34" s="77">
        <v>0</v>
      </c>
      <c r="AO34" s="77">
        <v>319800</v>
      </c>
      <c r="AP34" s="77">
        <v>617536</v>
      </c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>
        <v>0</v>
      </c>
      <c r="BE34" s="78">
        <v>0</v>
      </c>
      <c r="BF34" s="78">
        <v>0</v>
      </c>
      <c r="BG34" s="78">
        <v>0</v>
      </c>
      <c r="BH34" s="78">
        <v>0</v>
      </c>
      <c r="BI34" s="78">
        <v>0</v>
      </c>
      <c r="BJ34" s="78">
        <v>0</v>
      </c>
      <c r="BK34" s="78">
        <v>0</v>
      </c>
      <c r="BL34" s="78">
        <v>0</v>
      </c>
      <c r="BM34" s="78">
        <v>0</v>
      </c>
      <c r="BN34" s="78">
        <v>0</v>
      </c>
      <c r="BO34" s="78">
        <v>0</v>
      </c>
      <c r="BP34" s="78">
        <v>0</v>
      </c>
      <c r="BQ34" s="78">
        <v>0</v>
      </c>
      <c r="BR34" s="78">
        <v>0</v>
      </c>
      <c r="BS34" s="78">
        <v>0</v>
      </c>
      <c r="BT34" s="78">
        <v>0</v>
      </c>
      <c r="BU34" s="78">
        <v>0</v>
      </c>
      <c r="BV34" s="78">
        <v>0</v>
      </c>
      <c r="BW34" s="78">
        <v>0</v>
      </c>
      <c r="BX34" s="78">
        <v>0</v>
      </c>
      <c r="BY34" s="78">
        <v>0</v>
      </c>
      <c r="BZ34" s="78">
        <v>110800</v>
      </c>
      <c r="CA34" s="78">
        <v>209000</v>
      </c>
      <c r="CB34" s="126">
        <v>43200</v>
      </c>
      <c r="CC34" s="126">
        <v>7200</v>
      </c>
      <c r="CD34" s="126">
        <v>10800</v>
      </c>
      <c r="CE34" s="126">
        <v>147920</v>
      </c>
      <c r="CF34" s="126">
        <v>44600</v>
      </c>
      <c r="CG34" s="126">
        <v>19440</v>
      </c>
      <c r="CH34" s="126">
        <v>295576</v>
      </c>
      <c r="CI34" s="126">
        <v>28640</v>
      </c>
      <c r="CJ34" s="126">
        <v>20160</v>
      </c>
      <c r="CK34" s="126">
        <v>0</v>
      </c>
      <c r="CL34" s="126">
        <v>0</v>
      </c>
      <c r="CM34" s="127">
        <v>0</v>
      </c>
      <c r="CN34" s="140">
        <v>11592</v>
      </c>
      <c r="CO34" s="140">
        <v>0</v>
      </c>
      <c r="CP34" s="134">
        <v>0</v>
      </c>
      <c r="CQ34" s="134">
        <v>0</v>
      </c>
      <c r="CR34" s="134">
        <v>0</v>
      </c>
      <c r="CS34" s="134">
        <v>0</v>
      </c>
      <c r="CT34" s="134">
        <v>0</v>
      </c>
      <c r="CU34" s="134">
        <v>0</v>
      </c>
      <c r="CV34" s="134">
        <v>0</v>
      </c>
      <c r="CW34" s="134">
        <v>0</v>
      </c>
      <c r="CX34" s="134">
        <v>0</v>
      </c>
      <c r="CY34" s="134">
        <v>0</v>
      </c>
      <c r="DA34" s="5"/>
      <c r="DB34" s="5"/>
    </row>
    <row r="35" spans="1:1363" s="71" customFormat="1" ht="30.75" customHeight="1" thickTop="1" thickBot="1">
      <c r="A35" s="55">
        <v>26</v>
      </c>
      <c r="B35" s="56" t="s">
        <v>186</v>
      </c>
      <c r="C35" s="57" t="s">
        <v>82</v>
      </c>
      <c r="D35" s="85" t="s">
        <v>187</v>
      </c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5"/>
      <c r="Q35" s="145"/>
      <c r="R35" s="145"/>
      <c r="S35" s="146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70">
        <f t="shared" si="1"/>
        <v>0</v>
      </c>
      <c r="AH35" s="87" t="s">
        <v>189</v>
      </c>
      <c r="AI35" s="83" t="s">
        <v>68</v>
      </c>
      <c r="AJ35" s="84" t="s">
        <v>61</v>
      </c>
      <c r="AK35" s="75">
        <v>45698</v>
      </c>
      <c r="AL35" s="88" t="s">
        <v>190</v>
      </c>
      <c r="AM35" s="89">
        <v>0</v>
      </c>
      <c r="AN35" s="89">
        <v>0</v>
      </c>
      <c r="AO35" s="89">
        <v>2085900</v>
      </c>
      <c r="AP35" s="89">
        <v>1135900</v>
      </c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>
        <v>0</v>
      </c>
      <c r="BE35" s="122">
        <v>0</v>
      </c>
      <c r="BF35" s="122">
        <v>0</v>
      </c>
      <c r="BG35" s="122">
        <v>0</v>
      </c>
      <c r="BH35" s="122">
        <v>0</v>
      </c>
      <c r="BI35" s="122">
        <v>0</v>
      </c>
      <c r="BJ35" s="122">
        <v>0</v>
      </c>
      <c r="BK35" s="122">
        <v>0</v>
      </c>
      <c r="BL35" s="122">
        <v>0</v>
      </c>
      <c r="BM35" s="122">
        <v>0</v>
      </c>
      <c r="BN35" s="122">
        <v>0</v>
      </c>
      <c r="BO35" s="122">
        <v>0</v>
      </c>
      <c r="BP35" s="122">
        <v>0</v>
      </c>
      <c r="BQ35" s="122">
        <v>0</v>
      </c>
      <c r="BR35" s="122">
        <v>21600</v>
      </c>
      <c r="BS35" s="122">
        <v>227600</v>
      </c>
      <c r="BT35" s="122">
        <v>447400</v>
      </c>
      <c r="BU35" s="122">
        <v>285400</v>
      </c>
      <c r="BV35" s="122">
        <v>200900</v>
      </c>
      <c r="BW35" s="122">
        <v>353700</v>
      </c>
      <c r="BX35" s="122">
        <v>307000</v>
      </c>
      <c r="BY35" s="122">
        <v>121200</v>
      </c>
      <c r="BZ35" s="122">
        <v>77500</v>
      </c>
      <c r="CA35" s="122">
        <v>43600</v>
      </c>
      <c r="CB35" s="91">
        <v>46800</v>
      </c>
      <c r="CC35" s="91">
        <v>29400</v>
      </c>
      <c r="CD35" s="91">
        <v>229500</v>
      </c>
      <c r="CE35" s="91">
        <v>111600</v>
      </c>
      <c r="CF35" s="91">
        <v>154900</v>
      </c>
      <c r="CG35" s="91">
        <v>79300</v>
      </c>
      <c r="CH35" s="91">
        <v>21600</v>
      </c>
      <c r="CI35" s="91">
        <v>105200</v>
      </c>
      <c r="CJ35" s="91">
        <v>52400</v>
      </c>
      <c r="CK35" s="91">
        <v>91800</v>
      </c>
      <c r="CL35" s="91">
        <v>75600.000000000015</v>
      </c>
      <c r="CM35" s="92">
        <v>137799.99999999997</v>
      </c>
      <c r="CN35" s="140">
        <v>77900</v>
      </c>
      <c r="CO35" s="140">
        <v>36900.000000000007</v>
      </c>
      <c r="CP35" s="132">
        <v>51000</v>
      </c>
      <c r="CQ35" s="132">
        <v>42100</v>
      </c>
      <c r="CR35" s="132">
        <v>32600</v>
      </c>
      <c r="CS35" s="132">
        <v>49400.000000000007</v>
      </c>
      <c r="CT35" s="132">
        <v>40000</v>
      </c>
      <c r="CU35" s="132">
        <v>48800.000000000015</v>
      </c>
      <c r="CV35" s="132">
        <v>48400</v>
      </c>
      <c r="CW35" s="132">
        <v>34700</v>
      </c>
      <c r="CX35" s="132">
        <v>23800.000000000004</v>
      </c>
      <c r="CY35" s="132">
        <v>25200.000000000004</v>
      </c>
      <c r="DA35" s="6"/>
      <c r="DB35" s="6"/>
    </row>
    <row r="36" spans="1:1363" s="71" customFormat="1" ht="30.75" customHeight="1" thickTop="1" thickBot="1">
      <c r="A36" s="55">
        <v>28</v>
      </c>
      <c r="B36" s="56" t="s">
        <v>191</v>
      </c>
      <c r="C36" s="57" t="s">
        <v>112</v>
      </c>
      <c r="D36" s="85" t="s">
        <v>192</v>
      </c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70">
        <f t="shared" si="1"/>
        <v>0</v>
      </c>
      <c r="AH36" s="87" t="s">
        <v>193</v>
      </c>
      <c r="AI36" s="149" t="s">
        <v>150</v>
      </c>
      <c r="AJ36" s="150" t="s">
        <v>151</v>
      </c>
      <c r="AK36" s="151">
        <v>45635</v>
      </c>
      <c r="AL36" s="88" t="s">
        <v>193</v>
      </c>
      <c r="AM36" s="152">
        <v>0</v>
      </c>
      <c r="AN36" s="152">
        <v>81177917</v>
      </c>
      <c r="AO36" s="152">
        <v>45566346</v>
      </c>
      <c r="AP36" s="152">
        <v>12000</v>
      </c>
      <c r="AQ36" s="122">
        <v>0</v>
      </c>
      <c r="AR36" s="122">
        <v>0</v>
      </c>
      <c r="AS36" s="122">
        <v>0</v>
      </c>
      <c r="AT36" s="122">
        <v>0</v>
      </c>
      <c r="AU36" s="122">
        <v>0</v>
      </c>
      <c r="AV36" s="122">
        <v>0</v>
      </c>
      <c r="AW36" s="122">
        <v>0</v>
      </c>
      <c r="AX36" s="122">
        <v>0</v>
      </c>
      <c r="AY36" s="122">
        <v>0</v>
      </c>
      <c r="AZ36" s="122">
        <v>0</v>
      </c>
      <c r="BA36" s="122">
        <v>0</v>
      </c>
      <c r="BB36" s="122">
        <v>0</v>
      </c>
      <c r="BC36" s="122"/>
      <c r="BD36" s="122">
        <v>0</v>
      </c>
      <c r="BE36" s="122">
        <v>0</v>
      </c>
      <c r="BF36" s="122">
        <v>0</v>
      </c>
      <c r="BG36" s="122">
        <v>932000</v>
      </c>
      <c r="BH36" s="122">
        <v>2904000</v>
      </c>
      <c r="BI36" s="122">
        <v>6345360</v>
      </c>
      <c r="BJ36" s="122">
        <v>12084000</v>
      </c>
      <c r="BK36" s="122">
        <v>12364000</v>
      </c>
      <c r="BL36" s="122">
        <v>14666000</v>
      </c>
      <c r="BM36" s="122">
        <v>7120798</v>
      </c>
      <c r="BN36" s="122">
        <v>16391759</v>
      </c>
      <c r="BO36" s="122">
        <v>8370000</v>
      </c>
      <c r="BP36" s="122">
        <v>7091800</v>
      </c>
      <c r="BQ36" s="122">
        <v>7861600</v>
      </c>
      <c r="BR36" s="122">
        <v>8626600</v>
      </c>
      <c r="BS36" s="122">
        <v>11847400</v>
      </c>
      <c r="BT36" s="122">
        <v>4344600</v>
      </c>
      <c r="BU36" s="122">
        <v>2568000</v>
      </c>
      <c r="BV36" s="122">
        <v>972000</v>
      </c>
      <c r="BW36" s="122">
        <v>905946</v>
      </c>
      <c r="BX36" s="122">
        <v>912200</v>
      </c>
      <c r="BY36" s="122">
        <v>252000</v>
      </c>
      <c r="BZ36" s="122">
        <v>48000</v>
      </c>
      <c r="CA36" s="122">
        <v>136200</v>
      </c>
      <c r="CB36" s="91">
        <v>12000</v>
      </c>
      <c r="CC36" s="91">
        <v>0</v>
      </c>
      <c r="CD36" s="91">
        <v>0</v>
      </c>
      <c r="CE36" s="91">
        <v>0</v>
      </c>
      <c r="CF36" s="91">
        <v>0</v>
      </c>
      <c r="CG36" s="91">
        <v>0</v>
      </c>
      <c r="CH36" s="91">
        <v>0</v>
      </c>
      <c r="CI36" s="91">
        <v>0</v>
      </c>
      <c r="CJ36" s="91">
        <v>0</v>
      </c>
      <c r="CK36" s="91">
        <v>0</v>
      </c>
      <c r="CL36" s="91">
        <v>0</v>
      </c>
      <c r="CM36" s="92">
        <v>0</v>
      </c>
      <c r="CN36" s="132">
        <v>0</v>
      </c>
      <c r="CO36" s="132">
        <v>0</v>
      </c>
      <c r="CP36" s="132">
        <v>0</v>
      </c>
      <c r="CQ36" s="132">
        <v>0</v>
      </c>
      <c r="CR36" s="132">
        <v>0</v>
      </c>
      <c r="CS36" s="132">
        <v>0</v>
      </c>
      <c r="CT36" s="132">
        <v>0</v>
      </c>
      <c r="CU36" s="132">
        <v>0</v>
      </c>
      <c r="CV36" s="132">
        <v>0</v>
      </c>
      <c r="CW36" s="132">
        <v>0</v>
      </c>
      <c r="CX36" s="132">
        <v>0</v>
      </c>
      <c r="CY36" s="132">
        <v>0</v>
      </c>
      <c r="DA36" s="6"/>
      <c r="DB36" s="6"/>
    </row>
    <row r="37" spans="1:1363" s="71" customFormat="1" ht="30.75" customHeight="1" thickTop="1" thickBot="1">
      <c r="A37" s="55">
        <v>29</v>
      </c>
      <c r="B37" s="56" t="s">
        <v>194</v>
      </c>
      <c r="C37" s="57" t="s">
        <v>195</v>
      </c>
      <c r="D37" s="58" t="s">
        <v>196</v>
      </c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3"/>
      <c r="Q37" s="143"/>
      <c r="R37" s="143"/>
      <c r="S37" s="143"/>
      <c r="T37" s="155">
        <f>CN19</f>
        <v>25200</v>
      </c>
      <c r="U37" s="156">
        <f>CO19</f>
        <v>440</v>
      </c>
      <c r="V37" s="157">
        <f>CP19</f>
        <v>171720.00000000003</v>
      </c>
      <c r="W37" s="157">
        <f t="shared" ref="W37:AE37" si="2">CQ19</f>
        <v>208799.99999999997</v>
      </c>
      <c r="X37" s="157">
        <f t="shared" si="2"/>
        <v>170817.99999999997</v>
      </c>
      <c r="Y37" s="157">
        <f t="shared" si="2"/>
        <v>382597.61800000002</v>
      </c>
      <c r="Z37" s="157">
        <f t="shared" si="2"/>
        <v>356973.74000000005</v>
      </c>
      <c r="AA37" s="157">
        <f t="shared" si="2"/>
        <v>489469.06799999985</v>
      </c>
      <c r="AB37" s="157">
        <f t="shared" si="2"/>
        <v>481795.02299999999</v>
      </c>
      <c r="AC37" s="157">
        <f t="shared" si="2"/>
        <v>459653.18400000001</v>
      </c>
      <c r="AD37" s="157">
        <f t="shared" si="2"/>
        <v>540842.01100000006</v>
      </c>
      <c r="AE37" s="157">
        <f t="shared" si="2"/>
        <v>405790.37599999999</v>
      </c>
      <c r="AF37" s="70">
        <f t="shared" si="1"/>
        <v>3668459.02</v>
      </c>
      <c r="AH37" s="87"/>
      <c r="AI37" s="158" t="s">
        <v>150</v>
      </c>
      <c r="AJ37" s="159" t="s">
        <v>151</v>
      </c>
      <c r="AK37" s="160">
        <v>0</v>
      </c>
      <c r="AL37" s="88" t="s">
        <v>193</v>
      </c>
      <c r="AM37" s="152">
        <v>0</v>
      </c>
      <c r="AN37" s="152">
        <v>81177917</v>
      </c>
      <c r="AO37" s="152">
        <v>0</v>
      </c>
      <c r="AP37" s="152">
        <v>0</v>
      </c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>
        <v>932000</v>
      </c>
      <c r="BH37" s="122">
        <v>2904000</v>
      </c>
      <c r="BI37" s="122">
        <v>6345360</v>
      </c>
      <c r="BJ37" s="122">
        <v>12084000</v>
      </c>
      <c r="BK37" s="122">
        <v>12364000</v>
      </c>
      <c r="BL37" s="122">
        <v>14666000</v>
      </c>
      <c r="BM37" s="122">
        <v>7120798</v>
      </c>
      <c r="BN37" s="122">
        <v>16391759</v>
      </c>
      <c r="BO37" s="122">
        <v>8370000</v>
      </c>
      <c r="BP37" s="91">
        <v>0</v>
      </c>
      <c r="BQ37" s="122">
        <v>0</v>
      </c>
      <c r="BR37" s="122">
        <v>0</v>
      </c>
      <c r="BS37" s="122">
        <v>0</v>
      </c>
      <c r="BT37" s="122">
        <v>0</v>
      </c>
      <c r="BU37" s="122">
        <v>0</v>
      </c>
      <c r="BV37" s="122">
        <v>0</v>
      </c>
      <c r="BW37" s="122">
        <v>0</v>
      </c>
      <c r="BX37" s="122">
        <v>0</v>
      </c>
      <c r="BY37" s="122">
        <v>0</v>
      </c>
      <c r="BZ37" s="122">
        <v>0</v>
      </c>
      <c r="CA37" s="122">
        <v>0</v>
      </c>
      <c r="CB37" s="91">
        <v>0</v>
      </c>
      <c r="CC37" s="91">
        <v>0</v>
      </c>
      <c r="CD37" s="91">
        <v>0</v>
      </c>
      <c r="CE37" s="91">
        <v>0</v>
      </c>
      <c r="CF37" s="91">
        <v>0</v>
      </c>
      <c r="CG37" s="91">
        <v>0</v>
      </c>
      <c r="CH37" s="91">
        <v>0</v>
      </c>
      <c r="CI37" s="91">
        <v>0</v>
      </c>
      <c r="CJ37" s="91">
        <v>0</v>
      </c>
      <c r="CK37" s="91">
        <v>0</v>
      </c>
      <c r="CL37" s="91">
        <v>0</v>
      </c>
      <c r="CM37" s="92">
        <v>0</v>
      </c>
      <c r="CN37" s="132">
        <v>0</v>
      </c>
      <c r="CO37" s="132">
        <v>0</v>
      </c>
      <c r="CP37" s="132">
        <v>0</v>
      </c>
      <c r="CQ37" s="132">
        <v>0</v>
      </c>
      <c r="CR37" s="132">
        <v>0</v>
      </c>
      <c r="CS37" s="132">
        <v>0</v>
      </c>
      <c r="CT37" s="132">
        <v>0</v>
      </c>
      <c r="CU37" s="132">
        <v>0</v>
      </c>
      <c r="CV37" s="132">
        <v>0</v>
      </c>
      <c r="CW37" s="132">
        <v>0</v>
      </c>
      <c r="CX37" s="132">
        <v>0</v>
      </c>
      <c r="CY37" s="132">
        <v>0</v>
      </c>
      <c r="DA37" s="6"/>
      <c r="DB37" s="6"/>
    </row>
    <row r="38" spans="1:1363" s="71" customFormat="1" ht="62.25" customHeight="1" thickTop="1" thickBot="1">
      <c r="A38" s="55">
        <v>30</v>
      </c>
      <c r="B38" s="56" t="s">
        <v>198</v>
      </c>
      <c r="C38" s="57" t="s">
        <v>199</v>
      </c>
      <c r="D38" s="58" t="s">
        <v>200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70">
        <f t="shared" si="1"/>
        <v>0</v>
      </c>
      <c r="AH38" s="87"/>
      <c r="AI38" s="158">
        <v>0</v>
      </c>
      <c r="AJ38" s="159" t="s">
        <v>151</v>
      </c>
      <c r="AK38" s="160">
        <v>0</v>
      </c>
      <c r="AL38" s="88" t="s">
        <v>193</v>
      </c>
      <c r="AM38" s="152">
        <v>0</v>
      </c>
      <c r="AN38" s="152">
        <v>78480075</v>
      </c>
      <c r="AO38" s="152">
        <v>0</v>
      </c>
      <c r="AP38" s="152">
        <v>0</v>
      </c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>
        <v>0</v>
      </c>
      <c r="BG38" s="122">
        <v>932000</v>
      </c>
      <c r="BH38" s="122">
        <v>2904000</v>
      </c>
      <c r="BI38" s="122">
        <v>6344000</v>
      </c>
      <c r="BJ38" s="122">
        <v>10214553</v>
      </c>
      <c r="BK38" s="122">
        <v>11960620</v>
      </c>
      <c r="BL38" s="122">
        <v>14242345</v>
      </c>
      <c r="BM38" s="122">
        <v>7120798</v>
      </c>
      <c r="BN38" s="122">
        <v>16391759</v>
      </c>
      <c r="BO38" s="122">
        <v>8370000</v>
      </c>
      <c r="BP38" s="91">
        <v>0</v>
      </c>
      <c r="BQ38" s="122">
        <v>0</v>
      </c>
      <c r="BR38" s="122">
        <v>0</v>
      </c>
      <c r="BS38" s="122">
        <v>0</v>
      </c>
      <c r="BT38" s="122">
        <v>0</v>
      </c>
      <c r="BU38" s="122">
        <v>0</v>
      </c>
      <c r="BV38" s="122">
        <v>0</v>
      </c>
      <c r="BW38" s="122">
        <v>0</v>
      </c>
      <c r="BX38" s="122">
        <v>0</v>
      </c>
      <c r="BY38" s="122">
        <v>0</v>
      </c>
      <c r="BZ38" s="122">
        <v>0</v>
      </c>
      <c r="CA38" s="122">
        <v>0</v>
      </c>
      <c r="CB38" s="91">
        <v>0</v>
      </c>
      <c r="CC38" s="91">
        <v>0</v>
      </c>
      <c r="CD38" s="91">
        <v>0</v>
      </c>
      <c r="CE38" s="91">
        <v>0</v>
      </c>
      <c r="CF38" s="91">
        <v>0</v>
      </c>
      <c r="CG38" s="91">
        <v>0</v>
      </c>
      <c r="CH38" s="91">
        <v>0</v>
      </c>
      <c r="CI38" s="91">
        <v>0</v>
      </c>
      <c r="CJ38" s="91">
        <v>0</v>
      </c>
      <c r="CK38" s="91">
        <v>0</v>
      </c>
      <c r="CL38" s="91">
        <v>0</v>
      </c>
      <c r="CM38" s="92">
        <v>0</v>
      </c>
      <c r="CN38" s="132">
        <v>0</v>
      </c>
      <c r="CO38" s="132">
        <v>0</v>
      </c>
      <c r="CP38" s="132">
        <v>0</v>
      </c>
      <c r="CQ38" s="132">
        <v>0</v>
      </c>
      <c r="CR38" s="132">
        <v>0</v>
      </c>
      <c r="CS38" s="132">
        <v>0</v>
      </c>
      <c r="CT38" s="132">
        <v>0</v>
      </c>
      <c r="CU38" s="132">
        <v>0</v>
      </c>
      <c r="CV38" s="132">
        <v>0</v>
      </c>
      <c r="CW38" s="132">
        <v>0</v>
      </c>
      <c r="CX38" s="132">
        <v>0</v>
      </c>
      <c r="CY38" s="132">
        <v>0</v>
      </c>
      <c r="DA38" s="6"/>
      <c r="DB38" s="6"/>
    </row>
    <row r="39" spans="1:1363" s="71" customFormat="1" ht="30.75" customHeight="1" thickTop="1" thickBot="1">
      <c r="A39" s="55">
        <v>31</v>
      </c>
      <c r="B39" s="56" t="s">
        <v>201</v>
      </c>
      <c r="C39" s="57" t="s">
        <v>138</v>
      </c>
      <c r="D39" s="58" t="s">
        <v>202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3"/>
      <c r="Q39" s="143"/>
      <c r="R39" s="143"/>
      <c r="S39" s="143"/>
      <c r="T39" s="163">
        <v>0</v>
      </c>
      <c r="U39" s="143">
        <v>3744</v>
      </c>
      <c r="V39" s="142">
        <v>72000</v>
      </c>
      <c r="W39" s="142">
        <v>153000</v>
      </c>
      <c r="X39" s="142">
        <v>99000</v>
      </c>
      <c r="Y39" s="142">
        <v>18000</v>
      </c>
      <c r="Z39" s="142">
        <v>36336</v>
      </c>
      <c r="AA39" s="142">
        <v>56016.000000000007</v>
      </c>
      <c r="AB39" s="142">
        <v>38736.000000000007</v>
      </c>
      <c r="AC39" s="142">
        <v>46032</v>
      </c>
      <c r="AD39" s="142">
        <v>44928.000000000007</v>
      </c>
      <c r="AE39" s="142">
        <v>43776</v>
      </c>
      <c r="AF39" s="70">
        <f t="shared" si="1"/>
        <v>607824</v>
      </c>
      <c r="AH39" s="87" t="s">
        <v>203</v>
      </c>
      <c r="AI39" s="149">
        <v>0</v>
      </c>
      <c r="AJ39" s="150" t="s">
        <v>151</v>
      </c>
      <c r="AK39" s="151">
        <v>45635</v>
      </c>
      <c r="AL39" s="88" t="s">
        <v>203</v>
      </c>
      <c r="AM39" s="152">
        <v>0</v>
      </c>
      <c r="AN39" s="152">
        <v>5012030</v>
      </c>
      <c r="AO39" s="152">
        <v>13033000</v>
      </c>
      <c r="AP39" s="152">
        <v>3795000</v>
      </c>
      <c r="AQ39" s="122">
        <v>0</v>
      </c>
      <c r="AR39" s="122">
        <v>0</v>
      </c>
      <c r="AS39" s="122">
        <v>0</v>
      </c>
      <c r="AT39" s="122">
        <v>0</v>
      </c>
      <c r="AU39" s="122">
        <v>0</v>
      </c>
      <c r="AV39" s="122">
        <v>0</v>
      </c>
      <c r="AW39" s="122">
        <v>0</v>
      </c>
      <c r="AX39" s="122">
        <v>0</v>
      </c>
      <c r="AY39" s="122">
        <v>0</v>
      </c>
      <c r="AZ39" s="122">
        <v>0</v>
      </c>
      <c r="BA39" s="122">
        <v>0</v>
      </c>
      <c r="BB39" s="122">
        <v>0</v>
      </c>
      <c r="BC39" s="122"/>
      <c r="BD39" s="122">
        <v>0</v>
      </c>
      <c r="BE39" s="122">
        <v>0</v>
      </c>
      <c r="BF39" s="122">
        <v>0</v>
      </c>
      <c r="BG39" s="122">
        <v>0</v>
      </c>
      <c r="BH39" s="122">
        <v>0</v>
      </c>
      <c r="BI39" s="122">
        <v>0</v>
      </c>
      <c r="BJ39" s="122">
        <v>0</v>
      </c>
      <c r="BK39" s="122">
        <v>0</v>
      </c>
      <c r="BL39" s="122">
        <v>0</v>
      </c>
      <c r="BM39" s="122">
        <v>0</v>
      </c>
      <c r="BN39" s="122">
        <v>1812030</v>
      </c>
      <c r="BO39" s="122">
        <v>3200000</v>
      </c>
      <c r="BP39" s="122">
        <v>1984000</v>
      </c>
      <c r="BQ39" s="122">
        <v>576000</v>
      </c>
      <c r="BR39" s="122">
        <v>1716000</v>
      </c>
      <c r="BS39" s="122">
        <v>1409000</v>
      </c>
      <c r="BT39" s="122">
        <v>636000</v>
      </c>
      <c r="BU39" s="122">
        <v>1406600</v>
      </c>
      <c r="BV39" s="122">
        <v>1608000</v>
      </c>
      <c r="BW39" s="122">
        <v>840000</v>
      </c>
      <c r="BX39" s="122">
        <v>1418400</v>
      </c>
      <c r="BY39" s="122">
        <v>647000</v>
      </c>
      <c r="BZ39" s="122">
        <v>420000</v>
      </c>
      <c r="CA39" s="122">
        <v>372000</v>
      </c>
      <c r="CB39" s="91">
        <v>204000</v>
      </c>
      <c r="CC39" s="91">
        <v>279000</v>
      </c>
      <c r="CD39" s="91">
        <v>324000</v>
      </c>
      <c r="CE39" s="91">
        <v>984000</v>
      </c>
      <c r="CF39" s="91">
        <v>276000</v>
      </c>
      <c r="CG39" s="91">
        <v>862000</v>
      </c>
      <c r="CH39" s="91">
        <v>60000</v>
      </c>
      <c r="CI39" s="91">
        <v>264000</v>
      </c>
      <c r="CJ39" s="91">
        <v>242000</v>
      </c>
      <c r="CK39" s="91">
        <v>180000</v>
      </c>
      <c r="CL39" s="91">
        <v>24000</v>
      </c>
      <c r="CM39" s="92">
        <v>96000</v>
      </c>
      <c r="CN39" s="132">
        <v>96000</v>
      </c>
      <c r="CO39" s="132">
        <v>0</v>
      </c>
      <c r="CP39" s="132">
        <v>0</v>
      </c>
      <c r="CQ39" s="132">
        <v>0</v>
      </c>
      <c r="CR39" s="132">
        <v>0</v>
      </c>
      <c r="CS39" s="132">
        <v>0</v>
      </c>
      <c r="CT39" s="132">
        <v>0</v>
      </c>
      <c r="CU39" s="132">
        <v>0</v>
      </c>
      <c r="CV39" s="132">
        <v>0</v>
      </c>
      <c r="CW39" s="132">
        <v>0</v>
      </c>
      <c r="CX39" s="132">
        <v>0</v>
      </c>
      <c r="CY39" s="132">
        <v>0</v>
      </c>
      <c r="CZ39" s="147"/>
      <c r="DA39" s="6"/>
      <c r="DB39" s="6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147"/>
      <c r="FD39" s="147"/>
      <c r="FE39" s="147"/>
      <c r="FF39" s="147"/>
      <c r="FG39" s="147"/>
      <c r="FH39" s="147"/>
      <c r="FI39" s="147"/>
      <c r="FJ39" s="147"/>
      <c r="FK39" s="147"/>
      <c r="FL39" s="147"/>
      <c r="FM39" s="147"/>
      <c r="FN39" s="147"/>
      <c r="FO39" s="147"/>
      <c r="FP39" s="147"/>
      <c r="FQ39" s="147"/>
      <c r="FR39" s="147"/>
      <c r="FS39" s="147"/>
      <c r="FT39" s="147"/>
      <c r="FU39" s="147"/>
      <c r="FV39" s="147"/>
      <c r="FW39" s="147"/>
      <c r="FX39" s="147"/>
      <c r="FY39" s="147"/>
      <c r="FZ39" s="147"/>
      <c r="GA39" s="147"/>
      <c r="GB39" s="147"/>
      <c r="GC39" s="147"/>
      <c r="GD39" s="147"/>
      <c r="GE39" s="147"/>
      <c r="GF39" s="147"/>
      <c r="GG39" s="147"/>
      <c r="GH39" s="147"/>
      <c r="GI39" s="147"/>
      <c r="GJ39" s="147"/>
      <c r="GK39" s="147"/>
      <c r="GL39" s="147"/>
      <c r="GM39" s="147"/>
      <c r="GN39" s="147"/>
      <c r="GO39" s="147"/>
      <c r="GP39" s="147"/>
      <c r="GQ39" s="147"/>
      <c r="GR39" s="147"/>
      <c r="GS39" s="147"/>
      <c r="GT39" s="147"/>
      <c r="GU39" s="147"/>
      <c r="GV39" s="147"/>
      <c r="GW39" s="147"/>
      <c r="GX39" s="147"/>
      <c r="GY39" s="147"/>
      <c r="GZ39" s="147"/>
      <c r="HA39" s="147"/>
      <c r="HB39" s="147"/>
      <c r="HC39" s="147"/>
      <c r="HD39" s="147"/>
      <c r="HE39" s="147"/>
      <c r="HF39" s="147"/>
      <c r="HG39" s="147"/>
      <c r="HH39" s="147"/>
      <c r="HI39" s="147"/>
      <c r="HJ39" s="147"/>
      <c r="HK39" s="147"/>
      <c r="HL39" s="147"/>
      <c r="HM39" s="147"/>
      <c r="HN39" s="147"/>
      <c r="HO39" s="147"/>
      <c r="HP39" s="147"/>
      <c r="HQ39" s="147"/>
      <c r="HR39" s="147"/>
      <c r="HS39" s="147"/>
      <c r="HT39" s="147"/>
      <c r="HU39" s="147"/>
      <c r="HV39" s="147"/>
      <c r="HW39" s="147"/>
      <c r="HX39" s="147"/>
      <c r="HY39" s="147"/>
      <c r="HZ39" s="147"/>
      <c r="IA39" s="147"/>
      <c r="IB39" s="147"/>
      <c r="IC39" s="147"/>
      <c r="ID39" s="147"/>
      <c r="IE39" s="147"/>
      <c r="IF39" s="147"/>
      <c r="IG39" s="147"/>
      <c r="IH39" s="147"/>
      <c r="II39" s="147"/>
      <c r="IJ39" s="147"/>
      <c r="IK39" s="147"/>
      <c r="IL39" s="147"/>
      <c r="IM39" s="147"/>
      <c r="IN39" s="147"/>
      <c r="IO39" s="147"/>
      <c r="IP39" s="147"/>
      <c r="IQ39" s="147"/>
      <c r="IR39" s="147"/>
      <c r="IS39" s="147"/>
      <c r="IT39" s="147"/>
      <c r="IU39" s="147"/>
      <c r="IV39" s="147"/>
      <c r="IW39" s="147"/>
      <c r="IX39" s="147"/>
      <c r="IY39" s="147"/>
      <c r="IZ39" s="147"/>
      <c r="JA39" s="147"/>
      <c r="JB39" s="147"/>
      <c r="JC39" s="147"/>
      <c r="JD39" s="147"/>
      <c r="JE39" s="147"/>
      <c r="JF39" s="147"/>
      <c r="JG39" s="147"/>
      <c r="JH39" s="147"/>
      <c r="JI39" s="147"/>
      <c r="JJ39" s="147"/>
      <c r="JK39" s="147"/>
      <c r="JL39" s="147"/>
      <c r="JM39" s="147"/>
      <c r="JN39" s="147"/>
      <c r="JO39" s="147"/>
      <c r="JP39" s="147"/>
      <c r="JQ39" s="147"/>
      <c r="JR39" s="147"/>
      <c r="JS39" s="147"/>
      <c r="JT39" s="147"/>
      <c r="JU39" s="147"/>
      <c r="JV39" s="147"/>
      <c r="JW39" s="147"/>
      <c r="JX39" s="147"/>
      <c r="JY39" s="147"/>
      <c r="JZ39" s="147"/>
      <c r="KA39" s="147"/>
      <c r="KB39" s="147"/>
      <c r="KC39" s="147"/>
      <c r="KD39" s="147"/>
      <c r="KE39" s="147"/>
      <c r="KF39" s="147"/>
      <c r="KG39" s="147"/>
      <c r="KH39" s="147"/>
      <c r="KI39" s="147"/>
      <c r="KJ39" s="147"/>
      <c r="KK39" s="147"/>
      <c r="KL39" s="147"/>
      <c r="KM39" s="147"/>
      <c r="KN39" s="147"/>
      <c r="KO39" s="147"/>
      <c r="KP39" s="147"/>
      <c r="KQ39" s="147"/>
      <c r="KR39" s="147"/>
      <c r="KS39" s="147"/>
      <c r="KT39" s="147"/>
      <c r="KU39" s="147"/>
      <c r="KV39" s="147"/>
      <c r="KW39" s="147"/>
      <c r="KX39" s="147"/>
      <c r="KY39" s="147"/>
      <c r="KZ39" s="147"/>
      <c r="LA39" s="147"/>
      <c r="LB39" s="147"/>
      <c r="LC39" s="147"/>
      <c r="LD39" s="147"/>
      <c r="LE39" s="147"/>
      <c r="LF39" s="147"/>
      <c r="LG39" s="147"/>
      <c r="LH39" s="147"/>
      <c r="LI39" s="147"/>
      <c r="LJ39" s="147"/>
      <c r="LK39" s="147"/>
      <c r="LL39" s="147"/>
      <c r="LM39" s="147"/>
      <c r="LN39" s="147"/>
      <c r="LO39" s="147"/>
      <c r="LP39" s="147"/>
      <c r="LQ39" s="147"/>
      <c r="LR39" s="147"/>
      <c r="LS39" s="147"/>
      <c r="LT39" s="147"/>
      <c r="LU39" s="147"/>
      <c r="LV39" s="147"/>
      <c r="LW39" s="147"/>
      <c r="LX39" s="147"/>
      <c r="LY39" s="147"/>
      <c r="LZ39" s="147"/>
      <c r="MA39" s="147"/>
      <c r="MB39" s="147"/>
      <c r="MC39" s="147"/>
      <c r="MD39" s="147"/>
      <c r="ME39" s="147"/>
      <c r="MF39" s="147"/>
      <c r="MG39" s="147"/>
      <c r="MH39" s="147"/>
      <c r="MI39" s="147"/>
      <c r="MJ39" s="147"/>
      <c r="MK39" s="147"/>
      <c r="ML39" s="147"/>
      <c r="MM39" s="147"/>
      <c r="MN39" s="147"/>
      <c r="MO39" s="147"/>
      <c r="MP39" s="147"/>
      <c r="MQ39" s="147"/>
      <c r="MR39" s="147"/>
      <c r="MS39" s="147"/>
      <c r="MT39" s="147"/>
      <c r="MU39" s="147"/>
      <c r="MV39" s="147"/>
      <c r="MW39" s="147"/>
      <c r="MX39" s="147"/>
      <c r="MY39" s="147"/>
      <c r="MZ39" s="147"/>
      <c r="NA39" s="147"/>
      <c r="NB39" s="147"/>
      <c r="NC39" s="147"/>
      <c r="ND39" s="147"/>
      <c r="NE39" s="147"/>
      <c r="NF39" s="147"/>
      <c r="NG39" s="147"/>
      <c r="NH39" s="147"/>
      <c r="NI39" s="147"/>
      <c r="NJ39" s="147"/>
      <c r="NK39" s="147"/>
      <c r="NL39" s="147"/>
      <c r="NM39" s="147"/>
      <c r="NN39" s="147"/>
      <c r="NO39" s="147"/>
      <c r="NP39" s="147"/>
      <c r="NQ39" s="147"/>
      <c r="NR39" s="147"/>
      <c r="NS39" s="147"/>
      <c r="NT39" s="147"/>
      <c r="NU39" s="147"/>
      <c r="NV39" s="147"/>
      <c r="NW39" s="147"/>
      <c r="NX39" s="147"/>
      <c r="NY39" s="147"/>
      <c r="NZ39" s="147"/>
      <c r="OA39" s="147"/>
      <c r="OB39" s="147"/>
      <c r="OC39" s="147"/>
      <c r="OD39" s="147"/>
      <c r="OE39" s="147"/>
      <c r="OF39" s="147"/>
      <c r="OG39" s="147"/>
      <c r="OH39" s="147"/>
      <c r="OI39" s="147"/>
      <c r="OJ39" s="147"/>
      <c r="OK39" s="147"/>
      <c r="OL39" s="147"/>
      <c r="OM39" s="147"/>
      <c r="ON39" s="147"/>
      <c r="OO39" s="147"/>
      <c r="OP39" s="147"/>
      <c r="OQ39" s="147"/>
      <c r="OR39" s="147"/>
      <c r="OS39" s="147"/>
      <c r="OT39" s="147"/>
      <c r="OU39" s="147"/>
      <c r="OV39" s="147"/>
      <c r="OW39" s="147"/>
      <c r="OX39" s="147"/>
      <c r="OY39" s="147"/>
      <c r="OZ39" s="147"/>
      <c r="PA39" s="147"/>
      <c r="PB39" s="147"/>
      <c r="PC39" s="147"/>
      <c r="PD39" s="147"/>
      <c r="PE39" s="147"/>
      <c r="PF39" s="147"/>
      <c r="PG39" s="147"/>
      <c r="PH39" s="147"/>
      <c r="PI39" s="147"/>
      <c r="PJ39" s="147"/>
      <c r="PK39" s="147"/>
      <c r="PL39" s="147"/>
      <c r="PM39" s="147"/>
      <c r="PN39" s="147"/>
      <c r="PO39" s="147"/>
      <c r="PP39" s="147"/>
      <c r="PQ39" s="147"/>
      <c r="PR39" s="147"/>
      <c r="PS39" s="147"/>
      <c r="PT39" s="147"/>
      <c r="PU39" s="147"/>
      <c r="PV39" s="147"/>
      <c r="PW39" s="147"/>
      <c r="PX39" s="147"/>
      <c r="PY39" s="147"/>
      <c r="PZ39" s="147"/>
      <c r="QA39" s="147"/>
      <c r="QB39" s="147"/>
      <c r="QC39" s="147"/>
      <c r="QD39" s="147"/>
      <c r="QE39" s="147"/>
      <c r="QF39" s="147"/>
      <c r="QG39" s="147"/>
      <c r="QH39" s="147"/>
      <c r="QI39" s="147"/>
      <c r="QJ39" s="147"/>
      <c r="QK39" s="147"/>
      <c r="QL39" s="147"/>
      <c r="QM39" s="147"/>
      <c r="QN39" s="147"/>
      <c r="QO39" s="147"/>
      <c r="QP39" s="147"/>
      <c r="QQ39" s="147"/>
      <c r="QR39" s="147"/>
      <c r="QS39" s="147"/>
      <c r="QT39" s="147"/>
      <c r="QU39" s="147"/>
      <c r="QV39" s="147"/>
      <c r="QW39" s="147"/>
      <c r="QX39" s="147"/>
      <c r="QY39" s="147"/>
      <c r="QZ39" s="147"/>
      <c r="RA39" s="147"/>
      <c r="RB39" s="147"/>
      <c r="RC39" s="147"/>
      <c r="RD39" s="147"/>
      <c r="RE39" s="147"/>
      <c r="RF39" s="147"/>
      <c r="RG39" s="147"/>
      <c r="RH39" s="147"/>
      <c r="RI39" s="147"/>
      <c r="RJ39" s="147"/>
      <c r="RK39" s="147"/>
      <c r="RL39" s="147"/>
      <c r="RM39" s="147"/>
      <c r="RN39" s="147"/>
      <c r="RO39" s="147"/>
      <c r="RP39" s="147"/>
      <c r="RQ39" s="147"/>
      <c r="RR39" s="147"/>
      <c r="RS39" s="147"/>
      <c r="RT39" s="147"/>
      <c r="RU39" s="147"/>
      <c r="RV39" s="147"/>
      <c r="RW39" s="147"/>
      <c r="RX39" s="147"/>
      <c r="RY39" s="147"/>
      <c r="RZ39" s="147"/>
      <c r="SA39" s="147"/>
      <c r="SB39" s="147"/>
      <c r="SC39" s="147"/>
      <c r="SD39" s="147"/>
      <c r="SE39" s="147"/>
      <c r="SF39" s="147"/>
      <c r="SG39" s="147"/>
      <c r="SH39" s="147"/>
      <c r="SI39" s="147"/>
      <c r="SJ39" s="147"/>
      <c r="SK39" s="147"/>
      <c r="SL39" s="147"/>
      <c r="SM39" s="147"/>
      <c r="SN39" s="147"/>
      <c r="SO39" s="147"/>
      <c r="SP39" s="147"/>
      <c r="SQ39" s="147"/>
      <c r="SR39" s="147"/>
      <c r="SS39" s="147"/>
      <c r="ST39" s="147"/>
      <c r="SU39" s="147"/>
      <c r="SV39" s="147"/>
      <c r="SW39" s="147"/>
      <c r="SX39" s="147"/>
      <c r="SY39" s="147"/>
      <c r="SZ39" s="147"/>
      <c r="TA39" s="147"/>
      <c r="TB39" s="147"/>
      <c r="TC39" s="147"/>
      <c r="TD39" s="147"/>
      <c r="TE39" s="147"/>
      <c r="TF39" s="147"/>
      <c r="TG39" s="147"/>
      <c r="TH39" s="147"/>
      <c r="TI39" s="147"/>
      <c r="TJ39" s="147"/>
      <c r="TK39" s="147"/>
      <c r="TL39" s="147"/>
      <c r="TM39" s="147"/>
      <c r="TN39" s="147"/>
      <c r="TO39" s="147"/>
      <c r="TP39" s="147"/>
      <c r="TQ39" s="147"/>
      <c r="TR39" s="147"/>
      <c r="TS39" s="147"/>
      <c r="TT39" s="147"/>
      <c r="TU39" s="147"/>
      <c r="TV39" s="147"/>
      <c r="TW39" s="147"/>
      <c r="TX39" s="147"/>
      <c r="TY39" s="147"/>
      <c r="TZ39" s="147"/>
      <c r="UA39" s="147"/>
      <c r="UB39" s="147"/>
      <c r="UC39" s="147"/>
      <c r="UD39" s="147"/>
      <c r="UE39" s="147"/>
      <c r="UF39" s="147"/>
      <c r="UG39" s="147"/>
      <c r="UH39" s="147"/>
      <c r="UI39" s="147"/>
      <c r="UJ39" s="147"/>
      <c r="UK39" s="147"/>
      <c r="UL39" s="147"/>
      <c r="UM39" s="147"/>
      <c r="UN39" s="147"/>
      <c r="UO39" s="147"/>
      <c r="UP39" s="147"/>
      <c r="UQ39" s="147"/>
      <c r="UR39" s="147"/>
      <c r="US39" s="147"/>
      <c r="UT39" s="147"/>
      <c r="UU39" s="147"/>
      <c r="UV39" s="147"/>
      <c r="UW39" s="147"/>
      <c r="UX39" s="147"/>
      <c r="UY39" s="147"/>
      <c r="UZ39" s="147"/>
      <c r="VA39" s="147"/>
      <c r="VB39" s="147"/>
      <c r="VC39" s="147"/>
      <c r="VD39" s="147"/>
      <c r="VE39" s="147"/>
      <c r="VF39" s="147"/>
      <c r="VG39" s="147"/>
      <c r="VH39" s="147"/>
      <c r="VI39" s="147"/>
      <c r="VJ39" s="147"/>
      <c r="VK39" s="147"/>
      <c r="VL39" s="147"/>
      <c r="VM39" s="147"/>
      <c r="VN39" s="147"/>
      <c r="VO39" s="147"/>
      <c r="VP39" s="147"/>
      <c r="VQ39" s="147"/>
      <c r="VR39" s="147"/>
      <c r="VS39" s="147"/>
      <c r="VT39" s="147"/>
      <c r="VU39" s="147"/>
      <c r="VV39" s="147"/>
      <c r="VW39" s="147"/>
      <c r="VX39" s="147"/>
      <c r="VY39" s="147"/>
      <c r="VZ39" s="147"/>
      <c r="WA39" s="147"/>
      <c r="WB39" s="147"/>
      <c r="WC39" s="147"/>
      <c r="WD39" s="147"/>
      <c r="WE39" s="147"/>
      <c r="WF39" s="147"/>
      <c r="WG39" s="147"/>
      <c r="WH39" s="147"/>
      <c r="WI39" s="147"/>
      <c r="WJ39" s="147"/>
      <c r="WK39" s="147"/>
      <c r="WL39" s="147"/>
      <c r="WM39" s="147"/>
      <c r="WN39" s="147"/>
      <c r="WO39" s="147"/>
      <c r="WP39" s="147"/>
      <c r="WQ39" s="147"/>
      <c r="WR39" s="147"/>
      <c r="WS39" s="147"/>
      <c r="WT39" s="147"/>
      <c r="WU39" s="147"/>
      <c r="WV39" s="147"/>
      <c r="WW39" s="147"/>
      <c r="WX39" s="147"/>
      <c r="WY39" s="147"/>
      <c r="WZ39" s="147"/>
      <c r="XA39" s="147"/>
      <c r="XB39" s="147"/>
      <c r="XC39" s="147"/>
      <c r="XD39" s="147"/>
      <c r="XE39" s="147"/>
      <c r="XF39" s="147"/>
      <c r="XG39" s="147"/>
      <c r="XH39" s="147"/>
      <c r="XI39" s="147"/>
      <c r="XJ39" s="147"/>
      <c r="XK39" s="147"/>
      <c r="XL39" s="147"/>
      <c r="XM39" s="147"/>
      <c r="XN39" s="147"/>
      <c r="XO39" s="147"/>
      <c r="XP39" s="147"/>
      <c r="XQ39" s="147"/>
      <c r="XR39" s="147"/>
      <c r="XS39" s="147"/>
      <c r="XT39" s="147"/>
      <c r="XU39" s="147"/>
      <c r="XV39" s="147"/>
      <c r="XW39" s="147"/>
      <c r="XX39" s="147"/>
      <c r="XY39" s="147"/>
      <c r="XZ39" s="147"/>
      <c r="YA39" s="147"/>
      <c r="YB39" s="147"/>
      <c r="YC39" s="147"/>
      <c r="YD39" s="147"/>
      <c r="YE39" s="147"/>
      <c r="YF39" s="147"/>
      <c r="YG39" s="147"/>
      <c r="YH39" s="147"/>
      <c r="YI39" s="147"/>
      <c r="YJ39" s="147"/>
      <c r="YK39" s="147"/>
      <c r="YL39" s="147"/>
      <c r="YM39" s="147"/>
      <c r="YN39" s="147"/>
      <c r="YO39" s="147"/>
      <c r="YP39" s="147"/>
      <c r="YQ39" s="147"/>
      <c r="YR39" s="147"/>
      <c r="YS39" s="147"/>
      <c r="YT39" s="147"/>
      <c r="YU39" s="147"/>
      <c r="YV39" s="147"/>
      <c r="YW39" s="147"/>
      <c r="YX39" s="147"/>
      <c r="YY39" s="147"/>
      <c r="YZ39" s="147"/>
      <c r="ZA39" s="147"/>
      <c r="ZB39" s="147"/>
      <c r="ZC39" s="147"/>
      <c r="ZD39" s="147"/>
      <c r="ZE39" s="147"/>
      <c r="ZF39" s="147"/>
      <c r="ZG39" s="147"/>
      <c r="ZH39" s="147"/>
      <c r="ZI39" s="147"/>
      <c r="ZJ39" s="147"/>
      <c r="ZK39" s="147"/>
      <c r="ZL39" s="147"/>
      <c r="ZM39" s="147"/>
      <c r="ZN39" s="147"/>
      <c r="ZO39" s="147"/>
      <c r="ZP39" s="147"/>
      <c r="ZQ39" s="147"/>
      <c r="ZR39" s="147"/>
      <c r="ZS39" s="147"/>
      <c r="ZT39" s="147"/>
      <c r="ZU39" s="147"/>
      <c r="ZV39" s="147"/>
      <c r="ZW39" s="147"/>
      <c r="ZX39" s="147"/>
      <c r="ZY39" s="147"/>
      <c r="ZZ39" s="147"/>
      <c r="AAA39" s="147"/>
      <c r="AAB39" s="147"/>
      <c r="AAC39" s="147"/>
      <c r="AAD39" s="147"/>
      <c r="AAE39" s="147"/>
      <c r="AAF39" s="147"/>
      <c r="AAG39" s="147"/>
      <c r="AAH39" s="147"/>
      <c r="AAI39" s="147"/>
      <c r="AAJ39" s="147"/>
      <c r="AAK39" s="147"/>
      <c r="AAL39" s="147"/>
      <c r="AAM39" s="147"/>
      <c r="AAN39" s="147"/>
      <c r="AAO39" s="147"/>
      <c r="AAP39" s="147"/>
      <c r="AAQ39" s="147"/>
      <c r="AAR39" s="147"/>
      <c r="AAS39" s="147"/>
      <c r="AAT39" s="147"/>
      <c r="AAU39" s="147"/>
      <c r="AAV39" s="147"/>
      <c r="AAW39" s="147"/>
      <c r="AAX39" s="147"/>
      <c r="AAY39" s="147"/>
      <c r="AAZ39" s="147"/>
      <c r="ABA39" s="147"/>
      <c r="ABB39" s="147"/>
      <c r="ABC39" s="147"/>
      <c r="ABD39" s="147"/>
      <c r="ABE39" s="147"/>
      <c r="ABF39" s="147"/>
      <c r="ABG39" s="147"/>
      <c r="ABH39" s="147"/>
      <c r="ABI39" s="147"/>
      <c r="ABJ39" s="147"/>
      <c r="ABK39" s="147"/>
      <c r="ABL39" s="147"/>
      <c r="ABM39" s="147"/>
      <c r="ABN39" s="147"/>
      <c r="ABO39" s="147"/>
      <c r="ABP39" s="147"/>
      <c r="ABQ39" s="147"/>
      <c r="ABR39" s="147"/>
      <c r="ABS39" s="147"/>
      <c r="ABT39" s="147"/>
      <c r="ABU39" s="147"/>
      <c r="ABV39" s="147"/>
      <c r="ABW39" s="147"/>
      <c r="ABX39" s="147"/>
      <c r="ABY39" s="147"/>
      <c r="ABZ39" s="147"/>
      <c r="ACA39" s="147"/>
      <c r="ACB39" s="147"/>
      <c r="ACC39" s="147"/>
      <c r="ACD39" s="147"/>
      <c r="ACE39" s="147"/>
      <c r="ACF39" s="147"/>
      <c r="ACG39" s="147"/>
      <c r="ACH39" s="147"/>
      <c r="ACI39" s="147"/>
      <c r="ACJ39" s="147"/>
      <c r="ACK39" s="147"/>
      <c r="ACL39" s="147"/>
      <c r="ACM39" s="147"/>
      <c r="ACN39" s="147"/>
      <c r="ACO39" s="147"/>
      <c r="ACP39" s="147"/>
      <c r="ACQ39" s="147"/>
      <c r="ACR39" s="147"/>
      <c r="ACS39" s="147"/>
      <c r="ACT39" s="147"/>
      <c r="ACU39" s="147"/>
      <c r="ACV39" s="147"/>
      <c r="ACW39" s="147"/>
      <c r="ACX39" s="147"/>
      <c r="ACY39" s="147"/>
      <c r="ACZ39" s="147"/>
      <c r="ADA39" s="147"/>
      <c r="ADB39" s="147"/>
      <c r="ADC39" s="147"/>
      <c r="ADD39" s="147"/>
      <c r="ADE39" s="147"/>
      <c r="ADF39" s="147"/>
      <c r="ADG39" s="147"/>
      <c r="ADH39" s="147"/>
      <c r="ADI39" s="147"/>
      <c r="ADJ39" s="147"/>
      <c r="ADK39" s="147"/>
      <c r="ADL39" s="147"/>
      <c r="ADM39" s="147"/>
      <c r="ADN39" s="147"/>
      <c r="ADO39" s="147"/>
      <c r="ADP39" s="147"/>
      <c r="ADQ39" s="147"/>
      <c r="ADR39" s="147"/>
      <c r="ADS39" s="147"/>
      <c r="ADT39" s="147"/>
      <c r="ADU39" s="147"/>
      <c r="ADV39" s="147"/>
      <c r="ADW39" s="147"/>
      <c r="ADX39" s="147"/>
      <c r="ADY39" s="147"/>
      <c r="ADZ39" s="147"/>
      <c r="AEA39" s="147"/>
      <c r="AEB39" s="147"/>
      <c r="AEC39" s="147"/>
      <c r="AED39" s="147"/>
      <c r="AEE39" s="147"/>
      <c r="AEF39" s="147"/>
      <c r="AEG39" s="147"/>
      <c r="AEH39" s="147"/>
      <c r="AEI39" s="147"/>
      <c r="AEJ39" s="147"/>
      <c r="AEK39" s="147"/>
      <c r="AEL39" s="147"/>
      <c r="AEM39" s="147"/>
      <c r="AEN39" s="147"/>
      <c r="AEO39" s="147"/>
      <c r="AEP39" s="147"/>
      <c r="AEQ39" s="147"/>
      <c r="AER39" s="147"/>
      <c r="AES39" s="147"/>
      <c r="AET39" s="147"/>
      <c r="AEU39" s="147"/>
      <c r="AEV39" s="147"/>
      <c r="AEW39" s="147"/>
      <c r="AEX39" s="147"/>
      <c r="AEY39" s="147"/>
      <c r="AEZ39" s="147"/>
      <c r="AFA39" s="147"/>
      <c r="AFB39" s="147"/>
      <c r="AFC39" s="147"/>
      <c r="AFD39" s="147"/>
      <c r="AFE39" s="147"/>
      <c r="AFF39" s="147"/>
      <c r="AFG39" s="147"/>
      <c r="AFH39" s="147"/>
      <c r="AFI39" s="147"/>
      <c r="AFJ39" s="147"/>
      <c r="AFK39" s="147"/>
      <c r="AFL39" s="147"/>
      <c r="AFM39" s="147"/>
      <c r="AFN39" s="147"/>
      <c r="AFO39" s="147"/>
      <c r="AFP39" s="147"/>
      <c r="AFQ39" s="147"/>
      <c r="AFR39" s="147"/>
      <c r="AFS39" s="147"/>
      <c r="AFT39" s="147"/>
      <c r="AFU39" s="147"/>
      <c r="AFV39" s="147"/>
      <c r="AFW39" s="147"/>
      <c r="AFX39" s="147"/>
      <c r="AFY39" s="147"/>
      <c r="AFZ39" s="147"/>
      <c r="AGA39" s="147"/>
      <c r="AGB39" s="147"/>
      <c r="AGC39" s="147"/>
      <c r="AGD39" s="147"/>
      <c r="AGE39" s="147"/>
      <c r="AGF39" s="147"/>
      <c r="AGG39" s="147"/>
      <c r="AGH39" s="147"/>
      <c r="AGI39" s="147"/>
      <c r="AGJ39" s="147"/>
      <c r="AGK39" s="147"/>
      <c r="AGL39" s="147"/>
      <c r="AGM39" s="147"/>
      <c r="AGN39" s="147"/>
      <c r="AGO39" s="147"/>
      <c r="AGP39" s="147"/>
      <c r="AGQ39" s="147"/>
      <c r="AGR39" s="147"/>
      <c r="AGS39" s="147"/>
      <c r="AGT39" s="147"/>
      <c r="AGU39" s="147"/>
      <c r="AGV39" s="147"/>
      <c r="AGW39" s="147"/>
      <c r="AGX39" s="147"/>
      <c r="AGY39" s="147"/>
      <c r="AGZ39" s="147"/>
      <c r="AHA39" s="147"/>
      <c r="AHB39" s="147"/>
      <c r="AHC39" s="147"/>
      <c r="AHD39" s="147"/>
      <c r="AHE39" s="147"/>
      <c r="AHF39" s="147"/>
      <c r="AHG39" s="147"/>
      <c r="AHH39" s="147"/>
      <c r="AHI39" s="147"/>
      <c r="AHJ39" s="147"/>
      <c r="AHK39" s="147"/>
      <c r="AHL39" s="147"/>
      <c r="AHM39" s="147"/>
      <c r="AHN39" s="147"/>
      <c r="AHO39" s="147"/>
      <c r="AHP39" s="147"/>
      <c r="AHQ39" s="147"/>
      <c r="AHR39" s="147"/>
      <c r="AHS39" s="147"/>
      <c r="AHT39" s="147"/>
      <c r="AHU39" s="147"/>
      <c r="AHV39" s="147"/>
      <c r="AHW39" s="147"/>
      <c r="AHX39" s="147"/>
      <c r="AHY39" s="147"/>
      <c r="AHZ39" s="147"/>
      <c r="AIA39" s="147"/>
      <c r="AIB39" s="147"/>
      <c r="AIC39" s="147"/>
      <c r="AID39" s="147"/>
      <c r="AIE39" s="147"/>
      <c r="AIF39" s="147"/>
      <c r="AIG39" s="147"/>
      <c r="AIH39" s="147"/>
      <c r="AII39" s="147"/>
      <c r="AIJ39" s="147"/>
      <c r="AIK39" s="147"/>
      <c r="AIL39" s="147"/>
      <c r="AIM39" s="147"/>
      <c r="AIN39" s="147"/>
      <c r="AIO39" s="147"/>
      <c r="AIP39" s="147"/>
      <c r="AIQ39" s="147"/>
      <c r="AIR39" s="147"/>
      <c r="AIS39" s="147"/>
      <c r="AIT39" s="147"/>
      <c r="AIU39" s="147"/>
      <c r="AIV39" s="147"/>
      <c r="AIW39" s="147"/>
      <c r="AIX39" s="147"/>
      <c r="AIY39" s="147"/>
      <c r="AIZ39" s="147"/>
      <c r="AJA39" s="147"/>
      <c r="AJB39" s="147"/>
      <c r="AJC39" s="147"/>
      <c r="AJD39" s="147"/>
      <c r="AJE39" s="147"/>
      <c r="AJF39" s="147"/>
      <c r="AJG39" s="147"/>
      <c r="AJH39" s="147"/>
      <c r="AJI39" s="147"/>
      <c r="AJJ39" s="147"/>
      <c r="AJK39" s="147"/>
      <c r="AJL39" s="147"/>
      <c r="AJM39" s="147"/>
      <c r="AJN39" s="147"/>
      <c r="AJO39" s="147"/>
      <c r="AJP39" s="147"/>
      <c r="AJQ39" s="147"/>
      <c r="AJR39" s="147"/>
      <c r="AJS39" s="147"/>
      <c r="AJT39" s="147"/>
      <c r="AJU39" s="147"/>
      <c r="AJV39" s="147"/>
      <c r="AJW39" s="147"/>
      <c r="AJX39" s="147"/>
      <c r="AJY39" s="147"/>
      <c r="AJZ39" s="147"/>
      <c r="AKA39" s="147"/>
      <c r="AKB39" s="147"/>
      <c r="AKC39" s="147"/>
      <c r="AKD39" s="147"/>
      <c r="AKE39" s="147"/>
      <c r="AKF39" s="147"/>
      <c r="AKG39" s="147"/>
      <c r="AKH39" s="147"/>
      <c r="AKI39" s="147"/>
      <c r="AKJ39" s="147"/>
      <c r="AKK39" s="147"/>
      <c r="AKL39" s="147"/>
      <c r="AKM39" s="147"/>
      <c r="AKN39" s="147"/>
      <c r="AKO39" s="147"/>
      <c r="AKP39" s="147"/>
      <c r="AKQ39" s="147"/>
      <c r="AKR39" s="147"/>
      <c r="AKS39" s="147"/>
      <c r="AKT39" s="147"/>
      <c r="AKU39" s="147"/>
      <c r="AKV39" s="147"/>
      <c r="AKW39" s="147"/>
      <c r="AKX39" s="147"/>
      <c r="AKY39" s="147"/>
      <c r="AKZ39" s="147"/>
      <c r="ALA39" s="147"/>
      <c r="ALB39" s="147"/>
      <c r="ALC39" s="147"/>
      <c r="ALD39" s="147"/>
      <c r="ALE39" s="147"/>
      <c r="ALF39" s="147"/>
      <c r="ALG39" s="147"/>
      <c r="ALH39" s="147"/>
      <c r="ALI39" s="147"/>
      <c r="ALJ39" s="147"/>
      <c r="ALK39" s="147"/>
      <c r="ALL39" s="147"/>
      <c r="ALM39" s="147"/>
      <c r="ALN39" s="147"/>
      <c r="ALO39" s="147"/>
      <c r="ALP39" s="147"/>
      <c r="ALQ39" s="147"/>
      <c r="ALR39" s="147"/>
      <c r="ALS39" s="147"/>
      <c r="ALT39" s="147"/>
      <c r="ALU39" s="147"/>
      <c r="ALV39" s="147"/>
      <c r="ALW39" s="147"/>
      <c r="ALX39" s="147"/>
      <c r="ALY39" s="147"/>
      <c r="ALZ39" s="147"/>
      <c r="AMA39" s="147"/>
      <c r="AMB39" s="147"/>
      <c r="AMC39" s="147"/>
      <c r="AMD39" s="147"/>
      <c r="AME39" s="147"/>
      <c r="AMF39" s="147"/>
      <c r="AMG39" s="147"/>
      <c r="AMH39" s="147"/>
      <c r="AMI39" s="147"/>
      <c r="AMJ39" s="147"/>
      <c r="AMK39" s="147"/>
      <c r="AML39" s="147"/>
      <c r="AMM39" s="147"/>
      <c r="AMN39" s="147"/>
      <c r="AMO39" s="147"/>
      <c r="AMP39" s="147"/>
      <c r="AMQ39" s="147"/>
      <c r="AMR39" s="147"/>
      <c r="AMS39" s="147"/>
      <c r="AMT39" s="147"/>
      <c r="AMU39" s="147"/>
      <c r="AMV39" s="147"/>
      <c r="AMW39" s="147"/>
      <c r="AMX39" s="147"/>
      <c r="AMY39" s="147"/>
      <c r="AMZ39" s="147"/>
      <c r="ANA39" s="147"/>
      <c r="ANB39" s="147"/>
      <c r="ANC39" s="147"/>
      <c r="AND39" s="147"/>
      <c r="ANE39" s="147"/>
      <c r="ANF39" s="147"/>
      <c r="ANG39" s="147"/>
      <c r="ANH39" s="147"/>
      <c r="ANI39" s="147"/>
      <c r="ANJ39" s="147"/>
      <c r="ANK39" s="147"/>
      <c r="ANL39" s="147"/>
      <c r="ANM39" s="147"/>
      <c r="ANN39" s="147"/>
      <c r="ANO39" s="147"/>
      <c r="ANP39" s="147"/>
      <c r="ANQ39" s="147"/>
      <c r="ANR39" s="147"/>
      <c r="ANS39" s="147"/>
      <c r="ANT39" s="147"/>
      <c r="ANU39" s="147"/>
      <c r="ANV39" s="147"/>
      <c r="ANW39" s="147"/>
      <c r="ANX39" s="147"/>
      <c r="ANY39" s="147"/>
      <c r="ANZ39" s="147"/>
      <c r="AOA39" s="147"/>
      <c r="AOB39" s="147"/>
      <c r="AOC39" s="147"/>
      <c r="AOD39" s="147"/>
      <c r="AOE39" s="147"/>
      <c r="AOF39" s="147"/>
      <c r="AOG39" s="147"/>
      <c r="AOH39" s="147"/>
      <c r="AOI39" s="147"/>
      <c r="AOJ39" s="147"/>
      <c r="AOK39" s="147"/>
      <c r="AOL39" s="147"/>
      <c r="AOM39" s="147"/>
      <c r="AON39" s="147"/>
      <c r="AOO39" s="147"/>
      <c r="AOP39" s="147"/>
      <c r="AOQ39" s="147"/>
      <c r="AOR39" s="147"/>
      <c r="AOS39" s="147"/>
      <c r="AOT39" s="147"/>
      <c r="AOU39" s="147"/>
      <c r="AOV39" s="147"/>
      <c r="AOW39" s="147"/>
      <c r="AOX39" s="147"/>
      <c r="AOY39" s="147"/>
      <c r="AOZ39" s="147"/>
      <c r="APA39" s="147"/>
      <c r="APB39" s="147"/>
      <c r="APC39" s="147"/>
      <c r="APD39" s="147"/>
      <c r="APE39" s="147"/>
      <c r="APF39" s="147"/>
      <c r="APG39" s="147"/>
      <c r="APH39" s="147"/>
      <c r="API39" s="147"/>
      <c r="APJ39" s="147"/>
      <c r="APK39" s="147"/>
      <c r="APL39" s="147"/>
      <c r="APM39" s="147"/>
      <c r="APN39" s="147"/>
      <c r="APO39" s="147"/>
      <c r="APP39" s="147"/>
      <c r="APQ39" s="147"/>
      <c r="APR39" s="147"/>
      <c r="APS39" s="147"/>
      <c r="APT39" s="147"/>
      <c r="APU39" s="147"/>
      <c r="APV39" s="147"/>
      <c r="APW39" s="147"/>
      <c r="APX39" s="147"/>
      <c r="APY39" s="147"/>
      <c r="APZ39" s="147"/>
      <c r="AQA39" s="147"/>
      <c r="AQB39" s="147"/>
      <c r="AQC39" s="147"/>
      <c r="AQD39" s="147"/>
      <c r="AQE39" s="147"/>
      <c r="AQF39" s="147"/>
      <c r="AQG39" s="147"/>
      <c r="AQH39" s="147"/>
      <c r="AQI39" s="147"/>
      <c r="AQJ39" s="147"/>
      <c r="AQK39" s="147"/>
      <c r="AQL39" s="147"/>
      <c r="AQM39" s="147"/>
      <c r="AQN39" s="147"/>
      <c r="AQO39" s="147"/>
      <c r="AQP39" s="147"/>
      <c r="AQQ39" s="147"/>
      <c r="AQR39" s="147"/>
      <c r="AQS39" s="147"/>
      <c r="AQT39" s="147"/>
      <c r="AQU39" s="147"/>
      <c r="AQV39" s="147"/>
      <c r="AQW39" s="147"/>
      <c r="AQX39" s="147"/>
      <c r="AQY39" s="147"/>
      <c r="AQZ39" s="147"/>
      <c r="ARA39" s="147"/>
      <c r="ARB39" s="147"/>
      <c r="ARC39" s="147"/>
      <c r="ARD39" s="147"/>
      <c r="ARE39" s="147"/>
      <c r="ARF39" s="147"/>
      <c r="ARG39" s="147"/>
      <c r="ARH39" s="147"/>
      <c r="ARI39" s="147"/>
      <c r="ARJ39" s="147"/>
      <c r="ARK39" s="147"/>
      <c r="ARL39" s="147"/>
      <c r="ARM39" s="147"/>
      <c r="ARN39" s="147"/>
      <c r="ARO39" s="147"/>
      <c r="ARP39" s="147"/>
      <c r="ARQ39" s="147"/>
      <c r="ARR39" s="147"/>
      <c r="ARS39" s="147"/>
      <c r="ART39" s="147"/>
      <c r="ARU39" s="147"/>
      <c r="ARV39" s="147"/>
      <c r="ARW39" s="147"/>
      <c r="ARX39" s="147"/>
      <c r="ARY39" s="147"/>
      <c r="ARZ39" s="147"/>
      <c r="ASA39" s="147"/>
      <c r="ASB39" s="147"/>
      <c r="ASC39" s="147"/>
      <c r="ASD39" s="147"/>
      <c r="ASE39" s="147"/>
      <c r="ASF39" s="147"/>
      <c r="ASG39" s="147"/>
      <c r="ASH39" s="147"/>
      <c r="ASI39" s="147"/>
      <c r="ASJ39" s="147"/>
      <c r="ASK39" s="147"/>
      <c r="ASL39" s="147"/>
      <c r="ASM39" s="147"/>
      <c r="ASN39" s="147"/>
      <c r="ASO39" s="147"/>
      <c r="ASP39" s="147"/>
      <c r="ASQ39" s="147"/>
      <c r="ASR39" s="147"/>
      <c r="ASS39" s="147"/>
      <c r="AST39" s="147"/>
      <c r="ASU39" s="147"/>
      <c r="ASV39" s="147"/>
      <c r="ASW39" s="147"/>
      <c r="ASX39" s="147"/>
      <c r="ASY39" s="147"/>
      <c r="ASZ39" s="147"/>
      <c r="ATA39" s="147"/>
      <c r="ATB39" s="147"/>
      <c r="ATC39" s="147"/>
      <c r="ATD39" s="147"/>
      <c r="ATE39" s="147"/>
      <c r="ATF39" s="147"/>
      <c r="ATG39" s="147"/>
      <c r="ATH39" s="147"/>
      <c r="ATI39" s="147"/>
      <c r="ATJ39" s="147"/>
      <c r="ATK39" s="147"/>
      <c r="ATL39" s="147"/>
      <c r="ATM39" s="147"/>
      <c r="ATN39" s="147"/>
      <c r="ATO39" s="147"/>
      <c r="ATP39" s="147"/>
      <c r="ATQ39" s="147"/>
      <c r="ATR39" s="147"/>
      <c r="ATS39" s="147"/>
      <c r="ATT39" s="147"/>
      <c r="ATU39" s="147"/>
      <c r="ATV39" s="147"/>
      <c r="ATW39" s="147"/>
      <c r="ATX39" s="147"/>
      <c r="ATY39" s="147"/>
      <c r="ATZ39" s="147"/>
      <c r="AUA39" s="147"/>
      <c r="AUB39" s="147"/>
      <c r="AUC39" s="147"/>
      <c r="AUD39" s="147"/>
      <c r="AUE39" s="147"/>
      <c r="AUF39" s="147"/>
      <c r="AUG39" s="147"/>
      <c r="AUH39" s="147"/>
      <c r="AUI39" s="147"/>
      <c r="AUJ39" s="147"/>
      <c r="AUK39" s="147"/>
      <c r="AUL39" s="147"/>
      <c r="AUM39" s="147"/>
      <c r="AUN39" s="147"/>
      <c r="AUO39" s="147"/>
      <c r="AUP39" s="147"/>
      <c r="AUQ39" s="147"/>
      <c r="AUR39" s="147"/>
      <c r="AUS39" s="147"/>
      <c r="AUT39" s="147"/>
      <c r="AUU39" s="147"/>
      <c r="AUV39" s="147"/>
      <c r="AUW39" s="147"/>
      <c r="AUX39" s="147"/>
      <c r="AUY39" s="147"/>
      <c r="AUZ39" s="147"/>
      <c r="AVA39" s="147"/>
      <c r="AVB39" s="147"/>
      <c r="AVC39" s="147"/>
      <c r="AVD39" s="147"/>
      <c r="AVE39" s="147"/>
      <c r="AVF39" s="147"/>
      <c r="AVG39" s="147"/>
      <c r="AVH39" s="147"/>
      <c r="AVI39" s="147"/>
      <c r="AVJ39" s="147"/>
      <c r="AVK39" s="147"/>
      <c r="AVL39" s="147"/>
      <c r="AVM39" s="147"/>
      <c r="AVN39" s="147"/>
      <c r="AVO39" s="147"/>
      <c r="AVP39" s="147"/>
      <c r="AVQ39" s="147"/>
      <c r="AVR39" s="147"/>
      <c r="AVS39" s="147"/>
      <c r="AVT39" s="147"/>
      <c r="AVU39" s="147"/>
      <c r="AVV39" s="147"/>
      <c r="AVW39" s="147"/>
      <c r="AVX39" s="147"/>
      <c r="AVY39" s="147"/>
      <c r="AVZ39" s="147"/>
      <c r="AWA39" s="147"/>
      <c r="AWB39" s="147"/>
      <c r="AWC39" s="147"/>
      <c r="AWD39" s="147"/>
      <c r="AWE39" s="147"/>
      <c r="AWF39" s="147"/>
      <c r="AWG39" s="147"/>
      <c r="AWH39" s="147"/>
      <c r="AWI39" s="147"/>
      <c r="AWJ39" s="147"/>
      <c r="AWK39" s="147"/>
      <c r="AWL39" s="147"/>
      <c r="AWM39" s="147"/>
      <c r="AWN39" s="147"/>
      <c r="AWO39" s="147"/>
      <c r="AWP39" s="147"/>
      <c r="AWQ39" s="147"/>
      <c r="AWR39" s="147"/>
      <c r="AWS39" s="147"/>
      <c r="AWT39" s="147"/>
      <c r="AWU39" s="147"/>
      <c r="AWV39" s="147"/>
      <c r="AWW39" s="147"/>
      <c r="AWX39" s="147"/>
      <c r="AWY39" s="147"/>
      <c r="AWZ39" s="147"/>
      <c r="AXA39" s="147"/>
      <c r="AXB39" s="147"/>
      <c r="AXC39" s="147"/>
      <c r="AXD39" s="147"/>
      <c r="AXE39" s="147"/>
      <c r="AXF39" s="147"/>
      <c r="AXG39" s="147"/>
      <c r="AXH39" s="147"/>
      <c r="AXI39" s="147"/>
      <c r="AXJ39" s="147"/>
      <c r="AXK39" s="147"/>
      <c r="AXL39" s="147"/>
      <c r="AXM39" s="147"/>
      <c r="AXN39" s="147"/>
      <c r="AXO39" s="147"/>
      <c r="AXP39" s="147"/>
      <c r="AXQ39" s="147"/>
      <c r="AXR39" s="147"/>
      <c r="AXS39" s="147"/>
      <c r="AXT39" s="147"/>
      <c r="AXU39" s="147"/>
      <c r="AXV39" s="147"/>
      <c r="AXW39" s="147"/>
      <c r="AXX39" s="147"/>
      <c r="AXY39" s="147"/>
      <c r="AXZ39" s="147"/>
      <c r="AYA39" s="147"/>
      <c r="AYB39" s="147"/>
      <c r="AYC39" s="147"/>
      <c r="AYD39" s="147"/>
      <c r="AYE39" s="147"/>
      <c r="AYF39" s="147"/>
      <c r="AYG39" s="147"/>
      <c r="AYH39" s="147"/>
      <c r="AYI39" s="147"/>
      <c r="AYJ39" s="147"/>
      <c r="AYK39" s="147"/>
      <c r="AYL39" s="147"/>
      <c r="AYM39" s="147"/>
      <c r="AYN39" s="147"/>
      <c r="AYO39" s="147"/>
      <c r="AYP39" s="147"/>
      <c r="AYQ39" s="147"/>
      <c r="AYR39" s="147"/>
      <c r="AYS39" s="147"/>
      <c r="AYT39" s="147"/>
      <c r="AYU39" s="147"/>
      <c r="AYV39" s="147"/>
      <c r="AYW39" s="147"/>
      <c r="AYX39" s="147"/>
      <c r="AYY39" s="147"/>
      <c r="AYZ39" s="147"/>
      <c r="AZA39" s="147"/>
      <c r="AZB39" s="147"/>
      <c r="AZC39" s="147"/>
      <c r="AZD39" s="147"/>
      <c r="AZE39" s="147"/>
      <c r="AZF39" s="147"/>
      <c r="AZG39" s="147"/>
      <c r="AZH39" s="147"/>
      <c r="AZI39" s="147"/>
      <c r="AZJ39" s="147"/>
      <c r="AZK39" s="147"/>
    </row>
    <row r="40" spans="1:1363" s="71" customFormat="1" ht="30.75" customHeight="1" thickTop="1" thickBot="1">
      <c r="A40" s="55">
        <v>32</v>
      </c>
      <c r="B40" s="56" t="s">
        <v>204</v>
      </c>
      <c r="C40" s="57" t="s">
        <v>112</v>
      </c>
      <c r="D40" s="85" t="s">
        <v>205</v>
      </c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3"/>
      <c r="Q40" s="143"/>
      <c r="R40" s="165">
        <v>252540</v>
      </c>
      <c r="S40" s="165">
        <v>208440</v>
      </c>
      <c r="T40" s="166">
        <v>2761020</v>
      </c>
      <c r="U40" s="143">
        <v>2766600</v>
      </c>
      <c r="V40" s="143">
        <v>3869820</v>
      </c>
      <c r="W40" s="143">
        <f>1762020+2693340</f>
        <v>4455360</v>
      </c>
      <c r="X40" s="143">
        <v>2013299.9999999993</v>
      </c>
      <c r="Y40" s="143">
        <v>2991599.9999999991</v>
      </c>
      <c r="Z40" s="143">
        <v>2957040</v>
      </c>
      <c r="AA40" s="143">
        <v>3942179.9999999995</v>
      </c>
      <c r="AB40" s="143">
        <v>3335760.0000000005</v>
      </c>
      <c r="AC40" s="143">
        <v>3791340.0000000005</v>
      </c>
      <c r="AD40" s="143">
        <v>5151240.0000000019</v>
      </c>
      <c r="AE40" s="143">
        <v>3408300</v>
      </c>
      <c r="AF40" s="70">
        <f t="shared" si="1"/>
        <v>35915940</v>
      </c>
      <c r="AH40" s="87"/>
      <c r="AI40" s="158" t="s">
        <v>150</v>
      </c>
      <c r="AJ40" s="159" t="s">
        <v>151</v>
      </c>
      <c r="AK40" s="160" t="s">
        <v>206</v>
      </c>
      <c r="AL40" s="88" t="s">
        <v>203</v>
      </c>
      <c r="AM40" s="152">
        <v>0</v>
      </c>
      <c r="AN40" s="152">
        <v>5012030</v>
      </c>
      <c r="AO40" s="152">
        <v>0</v>
      </c>
      <c r="AP40" s="152">
        <v>0</v>
      </c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>
        <v>0</v>
      </c>
      <c r="BG40" s="122"/>
      <c r="BH40" s="92"/>
      <c r="BI40" s="92"/>
      <c r="BJ40" s="92"/>
      <c r="BK40" s="122">
        <v>0</v>
      </c>
      <c r="BL40" s="122">
        <v>0</v>
      </c>
      <c r="BM40" s="122"/>
      <c r="BN40" s="122">
        <v>1812030</v>
      </c>
      <c r="BO40" s="122">
        <v>3200000</v>
      </c>
      <c r="BP40" s="91">
        <v>0</v>
      </c>
      <c r="BQ40" s="122">
        <v>0</v>
      </c>
      <c r="BR40" s="122">
        <v>0</v>
      </c>
      <c r="BS40" s="122">
        <v>0</v>
      </c>
      <c r="BT40" s="122">
        <v>0</v>
      </c>
      <c r="BU40" s="122">
        <v>0</v>
      </c>
      <c r="BV40" s="122">
        <v>0</v>
      </c>
      <c r="BW40" s="122">
        <v>0</v>
      </c>
      <c r="BX40" s="122">
        <v>0</v>
      </c>
      <c r="BY40" s="122">
        <v>0</v>
      </c>
      <c r="BZ40" s="122">
        <v>0</v>
      </c>
      <c r="CA40" s="122">
        <v>0</v>
      </c>
      <c r="CB40" s="91">
        <v>0</v>
      </c>
      <c r="CC40" s="91">
        <v>0</v>
      </c>
      <c r="CD40" s="91">
        <v>0</v>
      </c>
      <c r="CE40" s="91">
        <v>0</v>
      </c>
      <c r="CF40" s="91">
        <v>0</v>
      </c>
      <c r="CG40" s="91">
        <v>0</v>
      </c>
      <c r="CH40" s="91">
        <v>0</v>
      </c>
      <c r="CI40" s="91">
        <v>0</v>
      </c>
      <c r="CJ40" s="91">
        <v>0</v>
      </c>
      <c r="CK40" s="91">
        <v>0</v>
      </c>
      <c r="CL40" s="91">
        <v>0</v>
      </c>
      <c r="CM40" s="92">
        <v>0</v>
      </c>
      <c r="CN40" s="132">
        <v>0</v>
      </c>
      <c r="CO40" s="132">
        <v>0</v>
      </c>
      <c r="CP40" s="132">
        <v>0</v>
      </c>
      <c r="CQ40" s="132">
        <v>0</v>
      </c>
      <c r="CR40" s="132">
        <v>0</v>
      </c>
      <c r="CS40" s="132">
        <v>0</v>
      </c>
      <c r="CT40" s="132">
        <v>0</v>
      </c>
      <c r="CU40" s="132">
        <v>0</v>
      </c>
      <c r="CV40" s="132">
        <v>0</v>
      </c>
      <c r="CW40" s="132">
        <v>0</v>
      </c>
      <c r="CX40" s="132">
        <v>0</v>
      </c>
      <c r="CY40" s="132">
        <v>0</v>
      </c>
      <c r="DA40" s="6"/>
      <c r="DB40" s="6"/>
    </row>
    <row r="41" spans="1:1363" s="71" customFormat="1" ht="30.75" customHeight="1" thickTop="1" thickBot="1">
      <c r="A41" s="55">
        <v>33</v>
      </c>
      <c r="B41" s="56" t="s">
        <v>207</v>
      </c>
      <c r="C41" s="57" t="s">
        <v>64</v>
      </c>
      <c r="D41" s="58" t="s">
        <v>208</v>
      </c>
      <c r="G41" s="70">
        <v>224601000</v>
      </c>
      <c r="H41" s="66">
        <v>22785000</v>
      </c>
      <c r="I41" s="66">
        <v>22092200</v>
      </c>
      <c r="J41" s="66">
        <v>25589000</v>
      </c>
      <c r="K41" s="66">
        <v>18498600</v>
      </c>
      <c r="L41" s="66">
        <v>30742700</v>
      </c>
      <c r="M41" s="66">
        <v>18494250</v>
      </c>
      <c r="N41" s="66">
        <v>25532300</v>
      </c>
      <c r="O41" s="66">
        <v>28932600</v>
      </c>
      <c r="P41" s="66">
        <v>11088600</v>
      </c>
      <c r="Q41" s="66">
        <v>14612550</v>
      </c>
      <c r="R41" s="66">
        <v>17543850</v>
      </c>
      <c r="S41" s="168">
        <v>18060400</v>
      </c>
      <c r="T41" s="70">
        <f>Volume!CN59</f>
        <v>29540200</v>
      </c>
      <c r="U41" s="70">
        <f>Volume!CO59</f>
        <v>15516400</v>
      </c>
      <c r="V41" s="70">
        <f>Volume!CP59</f>
        <v>46369950</v>
      </c>
      <c r="W41" s="70">
        <f>Volume!CQ59</f>
        <v>39955200</v>
      </c>
      <c r="X41" s="70">
        <f>Volume!CR59</f>
        <v>25506950</v>
      </c>
      <c r="Y41" s="70">
        <f>Volume!CS59</f>
        <v>21583600</v>
      </c>
      <c r="Z41" s="70">
        <f>Volume!CT59</f>
        <v>27334550</v>
      </c>
      <c r="AA41" s="70">
        <f>Volume!CU59</f>
        <v>22483600</v>
      </c>
      <c r="AB41" s="70">
        <f>Volume!CV59</f>
        <v>20920550</v>
      </c>
      <c r="AC41" s="70">
        <f>Volume!CW59</f>
        <v>25322400</v>
      </c>
      <c r="AD41" s="70">
        <f>Volume!CX59</f>
        <v>19944000</v>
      </c>
      <c r="AE41" s="70">
        <f>Volume!CY59</f>
        <v>25290000</v>
      </c>
      <c r="AF41" s="70">
        <f t="shared" si="1"/>
        <v>274710800</v>
      </c>
      <c r="AH41" s="87"/>
      <c r="AI41" s="158" t="s">
        <v>213</v>
      </c>
      <c r="AJ41" s="159" t="s">
        <v>151</v>
      </c>
      <c r="AK41" s="160" t="s">
        <v>214</v>
      </c>
      <c r="AL41" s="88" t="s">
        <v>203</v>
      </c>
      <c r="AM41" s="152">
        <v>0</v>
      </c>
      <c r="AN41" s="152">
        <v>5012030</v>
      </c>
      <c r="AO41" s="152">
        <v>0</v>
      </c>
      <c r="AP41" s="152">
        <v>0</v>
      </c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>
        <v>0</v>
      </c>
      <c r="BG41" s="122"/>
      <c r="BH41" s="92"/>
      <c r="BI41" s="92"/>
      <c r="BJ41" s="92"/>
      <c r="BK41" s="122">
        <v>0</v>
      </c>
      <c r="BL41" s="122">
        <v>0</v>
      </c>
      <c r="BM41" s="122"/>
      <c r="BN41" s="122">
        <v>1812030</v>
      </c>
      <c r="BO41" s="122">
        <v>3200000</v>
      </c>
      <c r="BP41" s="91">
        <v>0</v>
      </c>
      <c r="BQ41" s="122">
        <v>0</v>
      </c>
      <c r="BR41" s="122">
        <v>0</v>
      </c>
      <c r="BS41" s="122">
        <v>0</v>
      </c>
      <c r="BT41" s="122">
        <v>0</v>
      </c>
      <c r="BU41" s="122">
        <v>0</v>
      </c>
      <c r="BV41" s="122">
        <v>0</v>
      </c>
      <c r="BW41" s="122">
        <v>0</v>
      </c>
      <c r="BX41" s="122">
        <v>0</v>
      </c>
      <c r="BY41" s="122">
        <v>0</v>
      </c>
      <c r="BZ41" s="122">
        <v>0</v>
      </c>
      <c r="CA41" s="122">
        <v>0</v>
      </c>
      <c r="CB41" s="91">
        <v>0</v>
      </c>
      <c r="CC41" s="91">
        <v>0</v>
      </c>
      <c r="CD41" s="91">
        <v>0</v>
      </c>
      <c r="CE41" s="91">
        <v>0</v>
      </c>
      <c r="CF41" s="91">
        <v>0</v>
      </c>
      <c r="CG41" s="91">
        <v>0</v>
      </c>
      <c r="CH41" s="91">
        <v>0</v>
      </c>
      <c r="CI41" s="91">
        <v>0</v>
      </c>
      <c r="CJ41" s="91">
        <v>0</v>
      </c>
      <c r="CK41" s="91">
        <v>0</v>
      </c>
      <c r="CL41" s="91">
        <v>0</v>
      </c>
      <c r="CM41" s="92">
        <v>0</v>
      </c>
      <c r="CN41" s="132">
        <v>0</v>
      </c>
      <c r="CO41" s="132">
        <v>0</v>
      </c>
      <c r="CP41" s="132">
        <v>0</v>
      </c>
      <c r="CQ41" s="132">
        <v>0</v>
      </c>
      <c r="CR41" s="132">
        <v>0</v>
      </c>
      <c r="CS41" s="132">
        <v>0</v>
      </c>
      <c r="CT41" s="132">
        <v>0</v>
      </c>
      <c r="CU41" s="132">
        <v>0</v>
      </c>
      <c r="CV41" s="132">
        <v>0</v>
      </c>
      <c r="CW41" s="132">
        <v>0</v>
      </c>
      <c r="CX41" s="132">
        <v>0</v>
      </c>
      <c r="CY41" s="132">
        <v>0</v>
      </c>
      <c r="DA41" s="6"/>
      <c r="DB41" s="6"/>
    </row>
    <row r="42" spans="1:1363" s="71" customFormat="1" ht="30.75" customHeight="1" thickTop="1" thickBot="1">
      <c r="A42" s="55">
        <v>34</v>
      </c>
      <c r="B42" s="56" t="s">
        <v>215</v>
      </c>
      <c r="C42" s="57" t="s">
        <v>216</v>
      </c>
      <c r="D42" s="58" t="s">
        <v>216</v>
      </c>
      <c r="E42" s="66">
        <v>240587935.5</v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57"/>
      <c r="AF42" s="70">
        <f t="shared" si="1"/>
        <v>0</v>
      </c>
      <c r="AH42" s="87" t="s">
        <v>217</v>
      </c>
      <c r="AI42" s="149" t="s">
        <v>218</v>
      </c>
      <c r="AJ42" s="150" t="s">
        <v>151</v>
      </c>
      <c r="AK42" s="151">
        <v>45635</v>
      </c>
      <c r="AL42" s="88" t="s">
        <v>219</v>
      </c>
      <c r="AM42" s="152">
        <v>0</v>
      </c>
      <c r="AN42" s="152">
        <v>0</v>
      </c>
      <c r="AO42" s="152">
        <v>35856000</v>
      </c>
      <c r="AP42" s="152">
        <v>7897176</v>
      </c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>
        <v>0</v>
      </c>
      <c r="BE42" s="122">
        <v>0</v>
      </c>
      <c r="BF42" s="122">
        <v>0</v>
      </c>
      <c r="BG42" s="122">
        <v>0</v>
      </c>
      <c r="BH42" s="122">
        <v>0</v>
      </c>
      <c r="BI42" s="122">
        <v>0</v>
      </c>
      <c r="BJ42" s="122">
        <v>0</v>
      </c>
      <c r="BK42" s="122">
        <v>0</v>
      </c>
      <c r="BL42" s="122">
        <v>0</v>
      </c>
      <c r="BM42" s="122">
        <v>0</v>
      </c>
      <c r="BN42" s="122">
        <v>0</v>
      </c>
      <c r="BO42" s="122">
        <v>0</v>
      </c>
      <c r="BP42" s="122">
        <v>0</v>
      </c>
      <c r="BQ42" s="122">
        <v>0</v>
      </c>
      <c r="BR42" s="122">
        <v>0</v>
      </c>
      <c r="BS42" s="122">
        <v>1208800</v>
      </c>
      <c r="BT42" s="122">
        <v>3315200</v>
      </c>
      <c r="BU42" s="122">
        <v>3036000</v>
      </c>
      <c r="BV42" s="122">
        <v>3184800</v>
      </c>
      <c r="BW42" s="122">
        <v>4384600</v>
      </c>
      <c r="BX42" s="122">
        <v>4778600</v>
      </c>
      <c r="BY42" s="122">
        <v>6900000</v>
      </c>
      <c r="BZ42" s="122">
        <v>7176000</v>
      </c>
      <c r="CA42" s="122">
        <v>1872000</v>
      </c>
      <c r="CB42" s="91">
        <v>2317344</v>
      </c>
      <c r="CC42" s="91">
        <v>915144</v>
      </c>
      <c r="CD42" s="91">
        <v>2029776</v>
      </c>
      <c r="CE42" s="91">
        <v>1251648</v>
      </c>
      <c r="CF42" s="91">
        <v>647600</v>
      </c>
      <c r="CG42" s="91">
        <v>387088</v>
      </c>
      <c r="CH42" s="91">
        <v>216480</v>
      </c>
      <c r="CI42" s="91">
        <v>108000</v>
      </c>
      <c r="CJ42" s="91">
        <v>24096</v>
      </c>
      <c r="CK42" s="91">
        <v>0</v>
      </c>
      <c r="CL42" s="91">
        <v>0</v>
      </c>
      <c r="CM42" s="92">
        <v>0</v>
      </c>
      <c r="CN42" s="132">
        <v>0</v>
      </c>
      <c r="CO42" s="132">
        <v>0</v>
      </c>
      <c r="CP42" s="132">
        <v>0</v>
      </c>
      <c r="CQ42" s="132">
        <v>0</v>
      </c>
      <c r="CR42" s="132">
        <v>0</v>
      </c>
      <c r="CS42" s="132">
        <v>0</v>
      </c>
      <c r="CT42" s="132">
        <v>0</v>
      </c>
      <c r="CU42" s="132">
        <v>0</v>
      </c>
      <c r="CV42" s="132">
        <v>0</v>
      </c>
      <c r="CW42" s="132">
        <v>0</v>
      </c>
      <c r="CX42" s="132">
        <v>0</v>
      </c>
      <c r="CY42" s="132">
        <v>0</v>
      </c>
      <c r="DA42" s="6"/>
      <c r="DB42" s="6"/>
    </row>
    <row r="43" spans="1:1363" s="71" customFormat="1" ht="30.75" customHeight="1" thickTop="1" thickBot="1">
      <c r="A43" s="55">
        <v>35</v>
      </c>
      <c r="B43" s="56" t="s">
        <v>220</v>
      </c>
      <c r="C43" s="57" t="s">
        <v>221</v>
      </c>
      <c r="D43" s="58" t="s">
        <v>222</v>
      </c>
      <c r="S43" s="57"/>
      <c r="AF43" s="70">
        <f t="shared" si="1"/>
        <v>0</v>
      </c>
      <c r="AH43" s="87" t="s">
        <v>224</v>
      </c>
      <c r="AI43" s="149" t="s">
        <v>150</v>
      </c>
      <c r="AJ43" s="150" t="s">
        <v>151</v>
      </c>
      <c r="AK43" s="151">
        <v>45635</v>
      </c>
      <c r="AL43" s="88" t="s">
        <v>225</v>
      </c>
      <c r="AM43" s="152">
        <v>0</v>
      </c>
      <c r="AN43" s="152">
        <v>0</v>
      </c>
      <c r="AO43" s="152">
        <v>0</v>
      </c>
      <c r="AP43" s="152">
        <v>9427392</v>
      </c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>
        <v>0</v>
      </c>
      <c r="BE43" s="122">
        <v>0</v>
      </c>
      <c r="BF43" s="122">
        <v>0</v>
      </c>
      <c r="BG43" s="122">
        <v>0</v>
      </c>
      <c r="BH43" s="122">
        <v>0</v>
      </c>
      <c r="BI43" s="122">
        <v>0</v>
      </c>
      <c r="BJ43" s="122">
        <v>0</v>
      </c>
      <c r="BK43" s="122">
        <v>0</v>
      </c>
      <c r="BL43" s="122">
        <v>0</v>
      </c>
      <c r="BM43" s="122">
        <v>0</v>
      </c>
      <c r="BN43" s="122">
        <v>0</v>
      </c>
      <c r="BO43" s="122">
        <v>0</v>
      </c>
      <c r="BP43" s="122">
        <v>0</v>
      </c>
      <c r="BQ43" s="122">
        <v>0</v>
      </c>
      <c r="BR43" s="122">
        <v>0</v>
      </c>
      <c r="BS43" s="122">
        <v>0</v>
      </c>
      <c r="BT43" s="122">
        <v>0</v>
      </c>
      <c r="BU43" s="122">
        <v>0</v>
      </c>
      <c r="BV43" s="122">
        <v>0</v>
      </c>
      <c r="BW43" s="122">
        <v>0</v>
      </c>
      <c r="BX43" s="122">
        <v>0</v>
      </c>
      <c r="BY43" s="122">
        <v>0</v>
      </c>
      <c r="BZ43" s="122">
        <v>0</v>
      </c>
      <c r="CA43" s="122">
        <v>0</v>
      </c>
      <c r="CB43" s="91">
        <v>0</v>
      </c>
      <c r="CC43" s="91">
        <v>0</v>
      </c>
      <c r="CD43" s="91">
        <v>0</v>
      </c>
      <c r="CE43" s="91">
        <v>36000</v>
      </c>
      <c r="CF43" s="91">
        <v>1370520</v>
      </c>
      <c r="CG43" s="91">
        <v>1201056</v>
      </c>
      <c r="CH43" s="91">
        <v>1603776</v>
      </c>
      <c r="CI43" s="91">
        <v>2123328</v>
      </c>
      <c r="CJ43" s="91">
        <v>1403904</v>
      </c>
      <c r="CK43" s="91">
        <v>677400</v>
      </c>
      <c r="CL43" s="91">
        <v>819168.00000000012</v>
      </c>
      <c r="CM43" s="92">
        <v>192240</v>
      </c>
      <c r="CN43" s="132">
        <v>319991.99999999994</v>
      </c>
      <c r="CO43" s="132">
        <v>419400</v>
      </c>
      <c r="CP43" s="132">
        <v>478200</v>
      </c>
      <c r="CQ43" s="132">
        <v>342768</v>
      </c>
      <c r="CR43" s="132">
        <v>336443.99999999994</v>
      </c>
      <c r="CS43" s="132">
        <v>439644</v>
      </c>
      <c r="CT43" s="132">
        <v>412488.00000000006</v>
      </c>
      <c r="CU43" s="132">
        <v>453144.00000000012</v>
      </c>
      <c r="CV43" s="132">
        <v>397368.00000000006</v>
      </c>
      <c r="CW43" s="132">
        <v>467268</v>
      </c>
      <c r="CX43" s="132">
        <v>585648</v>
      </c>
      <c r="CY43" s="132">
        <v>567660.00000000023</v>
      </c>
      <c r="DA43" s="6"/>
      <c r="DB43" s="6"/>
    </row>
    <row r="44" spans="1:1363" s="71" customFormat="1" ht="30.75" customHeight="1" thickTop="1" thickBot="1">
      <c r="A44" s="55">
        <v>36</v>
      </c>
      <c r="B44" s="56" t="s">
        <v>226</v>
      </c>
      <c r="C44" s="57" t="s">
        <v>227</v>
      </c>
      <c r="D44" s="58" t="s">
        <v>227</v>
      </c>
      <c r="G44" s="71">
        <v>235000</v>
      </c>
      <c r="S44" s="57"/>
      <c r="AF44" s="70">
        <f t="shared" si="1"/>
        <v>0</v>
      </c>
      <c r="AH44" s="87" t="s">
        <v>228</v>
      </c>
      <c r="AI44" s="149" t="s">
        <v>150</v>
      </c>
      <c r="AJ44" s="150" t="s">
        <v>151</v>
      </c>
      <c r="AK44" s="151">
        <v>45635</v>
      </c>
      <c r="AL44" s="88" t="s">
        <v>229</v>
      </c>
      <c r="AM44" s="152">
        <v>0</v>
      </c>
      <c r="AN44" s="152">
        <v>0</v>
      </c>
      <c r="AO44" s="152">
        <v>0</v>
      </c>
      <c r="AP44" s="152">
        <v>8217000</v>
      </c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>
        <v>0</v>
      </c>
      <c r="BE44" s="122">
        <v>0</v>
      </c>
      <c r="BF44" s="122">
        <v>0</v>
      </c>
      <c r="BG44" s="122">
        <v>0</v>
      </c>
      <c r="BH44" s="122">
        <v>0</v>
      </c>
      <c r="BI44" s="122">
        <v>0</v>
      </c>
      <c r="BJ44" s="122">
        <v>0</v>
      </c>
      <c r="BK44" s="122">
        <v>0</v>
      </c>
      <c r="BL44" s="122">
        <v>0</v>
      </c>
      <c r="BM44" s="122">
        <v>0</v>
      </c>
      <c r="BN44" s="122">
        <v>0</v>
      </c>
      <c r="BO44" s="122">
        <v>0</v>
      </c>
      <c r="BP44" s="122">
        <v>0</v>
      </c>
      <c r="BQ44" s="122">
        <v>0</v>
      </c>
      <c r="BR44" s="122">
        <v>0</v>
      </c>
      <c r="BS44" s="122">
        <v>0</v>
      </c>
      <c r="BT44" s="122">
        <v>0</v>
      </c>
      <c r="BU44" s="122">
        <v>0</v>
      </c>
      <c r="BV44" s="122">
        <v>0</v>
      </c>
      <c r="BW44" s="122">
        <v>0</v>
      </c>
      <c r="BX44" s="122">
        <v>0</v>
      </c>
      <c r="BY44" s="122">
        <v>0</v>
      </c>
      <c r="BZ44" s="122">
        <v>0</v>
      </c>
      <c r="CA44" s="122">
        <v>0</v>
      </c>
      <c r="CB44" s="91">
        <v>0</v>
      </c>
      <c r="CC44" s="91">
        <v>0</v>
      </c>
      <c r="CD44" s="91">
        <v>0</v>
      </c>
      <c r="CE44" s="91">
        <v>0</v>
      </c>
      <c r="CF44" s="91">
        <v>1250040</v>
      </c>
      <c r="CG44" s="91">
        <v>460440</v>
      </c>
      <c r="CH44" s="91">
        <v>515880</v>
      </c>
      <c r="CI44" s="91">
        <v>1704000</v>
      </c>
      <c r="CJ44" s="91">
        <v>1204920</v>
      </c>
      <c r="CK44" s="91">
        <v>1007160</v>
      </c>
      <c r="CL44" s="91">
        <v>1175760</v>
      </c>
      <c r="CM44" s="92">
        <v>898800.00000000023</v>
      </c>
      <c r="CN44" s="132">
        <v>360480.00000000012</v>
      </c>
      <c r="CO44" s="132">
        <v>287040</v>
      </c>
      <c r="CP44" s="132">
        <v>634200.00000000012</v>
      </c>
      <c r="CQ44" s="132">
        <v>602640.00000000012</v>
      </c>
      <c r="CR44" s="132">
        <v>667320.00000000035</v>
      </c>
      <c r="CS44" s="132">
        <v>430860</v>
      </c>
      <c r="CT44" s="132">
        <v>437879.99999999983</v>
      </c>
      <c r="CU44" s="132">
        <v>553680.00000000035</v>
      </c>
      <c r="CV44" s="132">
        <v>630180.00000000058</v>
      </c>
      <c r="CW44" s="132">
        <v>607620.00000000047</v>
      </c>
      <c r="CX44" s="132">
        <v>1052999.9999999995</v>
      </c>
      <c r="CY44" s="132">
        <v>533700.00000000035</v>
      </c>
      <c r="DA44" s="6"/>
      <c r="DB44" s="6"/>
    </row>
    <row r="45" spans="1:1363" s="71" customFormat="1" ht="18.5" thickTop="1" thickBot="1">
      <c r="A45" s="55">
        <v>37</v>
      </c>
      <c r="B45" s="56" t="s">
        <v>230</v>
      </c>
      <c r="C45" s="57" t="s">
        <v>112</v>
      </c>
      <c r="D45" s="58" t="s">
        <v>231</v>
      </c>
      <c r="G45" s="94">
        <v>12285257</v>
      </c>
      <c r="H45" s="94">
        <v>1074798</v>
      </c>
      <c r="I45" s="94">
        <v>65733</v>
      </c>
      <c r="J45" s="94">
        <v>894985</v>
      </c>
      <c r="K45" s="94">
        <v>906260</v>
      </c>
      <c r="L45" s="94">
        <v>1097616</v>
      </c>
      <c r="M45" s="94">
        <v>617546</v>
      </c>
      <c r="N45" s="94">
        <v>612910</v>
      </c>
      <c r="O45" s="94">
        <v>277678</v>
      </c>
      <c r="P45" s="94">
        <v>193824</v>
      </c>
      <c r="Q45" s="66"/>
      <c r="R45" s="66"/>
      <c r="S45" s="168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>
        <f t="shared" si="1"/>
        <v>0</v>
      </c>
      <c r="AH45" s="87" t="s">
        <v>232</v>
      </c>
      <c r="AI45" s="149" t="s">
        <v>150</v>
      </c>
      <c r="AJ45" s="150" t="s">
        <v>151</v>
      </c>
      <c r="AK45" s="151">
        <v>45635</v>
      </c>
      <c r="AL45" s="88" t="s">
        <v>233</v>
      </c>
      <c r="AM45" s="152">
        <v>0</v>
      </c>
      <c r="AN45" s="152">
        <v>0</v>
      </c>
      <c r="AO45" s="152">
        <v>0</v>
      </c>
      <c r="AP45" s="152">
        <v>42631420</v>
      </c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>
        <v>0</v>
      </c>
      <c r="BE45" s="122">
        <v>0</v>
      </c>
      <c r="BF45" s="122">
        <v>0</v>
      </c>
      <c r="BG45" s="122">
        <v>0</v>
      </c>
      <c r="BH45" s="122">
        <v>0</v>
      </c>
      <c r="BI45" s="122">
        <v>0</v>
      </c>
      <c r="BJ45" s="122">
        <v>0</v>
      </c>
      <c r="BK45" s="122">
        <v>0</v>
      </c>
      <c r="BL45" s="122">
        <v>0</v>
      </c>
      <c r="BM45" s="122">
        <v>0</v>
      </c>
      <c r="BN45" s="122">
        <v>0</v>
      </c>
      <c r="BO45" s="122">
        <v>0</v>
      </c>
      <c r="BP45" s="122">
        <v>0</v>
      </c>
      <c r="BQ45" s="122">
        <v>0</v>
      </c>
      <c r="BR45" s="122">
        <v>0</v>
      </c>
      <c r="BS45" s="122">
        <v>0</v>
      </c>
      <c r="BT45" s="122">
        <v>0</v>
      </c>
      <c r="BU45" s="122">
        <v>0</v>
      </c>
      <c r="BV45" s="122">
        <v>0</v>
      </c>
      <c r="BW45" s="122">
        <v>0</v>
      </c>
      <c r="BX45" s="122">
        <v>0</v>
      </c>
      <c r="BY45" s="122">
        <v>0</v>
      </c>
      <c r="BZ45" s="122">
        <v>0</v>
      </c>
      <c r="CA45" s="122">
        <v>0</v>
      </c>
      <c r="CB45" s="91">
        <v>0</v>
      </c>
      <c r="CC45" s="91">
        <v>0</v>
      </c>
      <c r="CD45" s="91">
        <v>0</v>
      </c>
      <c r="CE45" s="91">
        <v>1827840</v>
      </c>
      <c r="CF45" s="91">
        <v>2503920</v>
      </c>
      <c r="CG45" s="91">
        <v>3935280</v>
      </c>
      <c r="CH45" s="91">
        <v>4244880</v>
      </c>
      <c r="CI45" s="91">
        <v>7573320</v>
      </c>
      <c r="CJ45" s="91">
        <v>6301360</v>
      </c>
      <c r="CK45" s="91">
        <v>7331100</v>
      </c>
      <c r="CL45" s="91">
        <v>5685240</v>
      </c>
      <c r="CM45" s="92">
        <v>3228480.0000000005</v>
      </c>
      <c r="CN45" s="132">
        <v>2687720</v>
      </c>
      <c r="CO45" s="132">
        <v>1733640</v>
      </c>
      <c r="CP45" s="132">
        <v>4945391.9999999991</v>
      </c>
      <c r="CQ45" s="132">
        <v>4747499.9999999991</v>
      </c>
      <c r="CR45" s="132">
        <v>2770379.9999999995</v>
      </c>
      <c r="CS45" s="132">
        <v>3233940</v>
      </c>
      <c r="CT45" s="132">
        <v>2643120</v>
      </c>
      <c r="CU45" s="132">
        <v>4075260</v>
      </c>
      <c r="CV45" s="132">
        <v>4091460</v>
      </c>
      <c r="CW45" s="132">
        <v>5045760</v>
      </c>
      <c r="CX45" s="132">
        <v>5955000</v>
      </c>
      <c r="CY45" s="132">
        <v>4381320</v>
      </c>
      <c r="DA45" s="6"/>
      <c r="DB45" s="6"/>
    </row>
    <row r="46" spans="1:1363" s="71" customFormat="1" ht="41.25" customHeight="1" thickTop="1" thickBot="1">
      <c r="A46" s="55">
        <v>38</v>
      </c>
      <c r="B46" s="56" t="s">
        <v>234</v>
      </c>
      <c r="C46" s="57" t="s">
        <v>235</v>
      </c>
      <c r="D46" s="58" t="s">
        <v>236</v>
      </c>
      <c r="G46" s="66">
        <v>2085900</v>
      </c>
      <c r="H46" s="66">
        <v>46800</v>
      </c>
      <c r="I46" s="66">
        <v>29400</v>
      </c>
      <c r="J46" s="66">
        <v>229500</v>
      </c>
      <c r="K46" s="66">
        <v>111600</v>
      </c>
      <c r="L46" s="66">
        <v>154900</v>
      </c>
      <c r="M46" s="66">
        <v>79300</v>
      </c>
      <c r="N46" s="66">
        <v>21600</v>
      </c>
      <c r="O46" s="66">
        <v>105200</v>
      </c>
      <c r="P46" s="66">
        <v>52400</v>
      </c>
      <c r="Q46" s="66">
        <v>91800</v>
      </c>
      <c r="R46" s="66">
        <v>75600</v>
      </c>
      <c r="S46" s="67">
        <v>85100</v>
      </c>
      <c r="T46" s="169">
        <v>89492</v>
      </c>
      <c r="U46" s="170">
        <f>Volume!CO35</f>
        <v>36900.000000000007</v>
      </c>
      <c r="V46" s="170">
        <f>Volume!CP35</f>
        <v>51000</v>
      </c>
      <c r="W46" s="170">
        <f>Volume!CQ35</f>
        <v>42100</v>
      </c>
      <c r="X46" s="170">
        <f>Volume!CR35</f>
        <v>32600</v>
      </c>
      <c r="Y46" s="170">
        <f>Volume!CS35</f>
        <v>49400.000000000007</v>
      </c>
      <c r="Z46" s="170">
        <f>Volume!CT35</f>
        <v>40000</v>
      </c>
      <c r="AA46" s="170">
        <f>Volume!CU35</f>
        <v>48800.000000000015</v>
      </c>
      <c r="AB46" s="170">
        <f>Volume!CV35</f>
        <v>48400</v>
      </c>
      <c r="AC46" s="170">
        <f>Volume!CW35</f>
        <v>34700</v>
      </c>
      <c r="AD46" s="170">
        <f>Volume!CX35</f>
        <v>23800.000000000004</v>
      </c>
      <c r="AE46" s="170">
        <f>Volume!CY35</f>
        <v>25200.000000000004</v>
      </c>
      <c r="AF46" s="70">
        <f t="shared" si="1"/>
        <v>396000</v>
      </c>
      <c r="AH46" s="87" t="s">
        <v>237</v>
      </c>
      <c r="AI46" s="149" t="s">
        <v>150</v>
      </c>
      <c r="AJ46" s="150" t="s">
        <v>151</v>
      </c>
      <c r="AK46" s="151">
        <v>45635</v>
      </c>
      <c r="AL46" s="88" t="s">
        <v>238</v>
      </c>
      <c r="AM46" s="152">
        <v>0</v>
      </c>
      <c r="AN46" s="152">
        <v>0</v>
      </c>
      <c r="AO46" s="152">
        <v>0</v>
      </c>
      <c r="AP46" s="152">
        <v>5635920</v>
      </c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>
        <v>0</v>
      </c>
      <c r="BE46" s="122">
        <v>0</v>
      </c>
      <c r="BF46" s="122">
        <v>0</v>
      </c>
      <c r="BG46" s="122">
        <v>0</v>
      </c>
      <c r="BH46" s="122">
        <v>0</v>
      </c>
      <c r="BI46" s="122">
        <v>0</v>
      </c>
      <c r="BJ46" s="122">
        <v>0</v>
      </c>
      <c r="BK46" s="122">
        <v>0</v>
      </c>
      <c r="BL46" s="122">
        <v>0</v>
      </c>
      <c r="BM46" s="122">
        <v>0</v>
      </c>
      <c r="BN46" s="122">
        <v>0</v>
      </c>
      <c r="BO46" s="122">
        <v>0</v>
      </c>
      <c r="BP46" s="122">
        <v>0</v>
      </c>
      <c r="BQ46" s="122">
        <v>0</v>
      </c>
      <c r="BR46" s="122">
        <v>0</v>
      </c>
      <c r="BS46" s="122">
        <v>0</v>
      </c>
      <c r="BT46" s="122">
        <v>0</v>
      </c>
      <c r="BU46" s="122">
        <v>0</v>
      </c>
      <c r="BV46" s="122">
        <v>0</v>
      </c>
      <c r="BW46" s="122">
        <v>0</v>
      </c>
      <c r="BX46" s="122">
        <v>0</v>
      </c>
      <c r="BY46" s="122">
        <v>0</v>
      </c>
      <c r="BZ46" s="122">
        <v>0</v>
      </c>
      <c r="CA46" s="122">
        <v>0</v>
      </c>
      <c r="CB46" s="91">
        <v>0</v>
      </c>
      <c r="CC46" s="91">
        <v>0</v>
      </c>
      <c r="CD46" s="91">
        <v>0</v>
      </c>
      <c r="CE46" s="91">
        <v>0</v>
      </c>
      <c r="CF46" s="91">
        <v>324000</v>
      </c>
      <c r="CG46" s="91">
        <v>132000</v>
      </c>
      <c r="CH46" s="91">
        <v>1704000</v>
      </c>
      <c r="CI46" s="91">
        <v>36000</v>
      </c>
      <c r="CJ46" s="91">
        <v>0</v>
      </c>
      <c r="CK46" s="91">
        <v>1163340</v>
      </c>
      <c r="CL46" s="91">
        <v>954900.00000000023</v>
      </c>
      <c r="CM46" s="92">
        <v>1321680</v>
      </c>
      <c r="CN46" s="132">
        <v>294480</v>
      </c>
      <c r="CO46" s="132">
        <v>205080</v>
      </c>
      <c r="CP46" s="132">
        <v>362400</v>
      </c>
      <c r="CQ46" s="132">
        <v>501600</v>
      </c>
      <c r="CR46" s="132">
        <v>513599.99999999988</v>
      </c>
      <c r="CS46" s="132">
        <v>628800</v>
      </c>
      <c r="CT46" s="132">
        <v>540000</v>
      </c>
      <c r="CU46" s="132">
        <v>787680</v>
      </c>
      <c r="CV46" s="132">
        <v>527520</v>
      </c>
      <c r="CW46" s="132">
        <v>320880</v>
      </c>
      <c r="CX46" s="132">
        <v>566159.99999999988</v>
      </c>
      <c r="CY46" s="132">
        <v>592559.99999999988</v>
      </c>
      <c r="DA46" s="6"/>
      <c r="DB46" s="6"/>
    </row>
    <row r="47" spans="1:1363" s="71" customFormat="1" ht="45" customHeight="1" thickTop="1" thickBot="1">
      <c r="A47" s="55">
        <v>39</v>
      </c>
      <c r="B47" s="56" t="s">
        <v>239</v>
      </c>
      <c r="C47" s="57" t="s">
        <v>240</v>
      </c>
      <c r="D47" s="58" t="s">
        <v>241</v>
      </c>
      <c r="G47" s="66">
        <v>283400</v>
      </c>
      <c r="H47" s="171">
        <v>101800</v>
      </c>
      <c r="I47" s="171">
        <v>40000</v>
      </c>
      <c r="J47" s="171">
        <v>56600</v>
      </c>
      <c r="K47" s="171">
        <v>163900</v>
      </c>
      <c r="L47" s="171">
        <v>57700</v>
      </c>
      <c r="M47" s="171">
        <v>37200</v>
      </c>
      <c r="N47" s="171">
        <v>4000</v>
      </c>
      <c r="O47" s="171">
        <v>12200</v>
      </c>
      <c r="P47" s="171">
        <v>38200</v>
      </c>
      <c r="Q47" s="171">
        <v>20800</v>
      </c>
      <c r="S47" s="67">
        <v>8000</v>
      </c>
      <c r="T47" s="169">
        <f>Volume!CN33</f>
        <v>27600</v>
      </c>
      <c r="U47" s="170">
        <f>Volume!CO33</f>
        <v>17000</v>
      </c>
      <c r="V47" s="170">
        <f>Volume!CP33</f>
        <v>11000</v>
      </c>
      <c r="W47" s="170">
        <f>Volume!CQ33</f>
        <v>18200</v>
      </c>
      <c r="X47" s="170">
        <f>Volume!CR33</f>
        <v>14400</v>
      </c>
      <c r="Y47" s="170">
        <f>Volume!CS33</f>
        <v>32400</v>
      </c>
      <c r="Z47" s="170">
        <f>Volume!CT33</f>
        <v>12300</v>
      </c>
      <c r="AA47" s="170">
        <f>Volume!CU33</f>
        <v>17299.999999999996</v>
      </c>
      <c r="AB47" s="170">
        <f>Volume!CV33</f>
        <v>28200.000000000004</v>
      </c>
      <c r="AC47" s="170">
        <f>Volume!CW33</f>
        <v>21099.999999999996</v>
      </c>
      <c r="AD47" s="170">
        <f>Volume!CX33</f>
        <v>24799.999999999996</v>
      </c>
      <c r="AE47" s="170">
        <f>Volume!CY33</f>
        <v>24800.000000000004</v>
      </c>
      <c r="AF47" s="70">
        <f t="shared" si="1"/>
        <v>204500</v>
      </c>
      <c r="AH47" s="87" t="s">
        <v>242</v>
      </c>
      <c r="AI47" s="149" t="s">
        <v>150</v>
      </c>
      <c r="AJ47" s="150" t="s">
        <v>151</v>
      </c>
      <c r="AK47" s="151">
        <v>45635</v>
      </c>
      <c r="AL47" s="88" t="s">
        <v>243</v>
      </c>
      <c r="AM47" s="152">
        <v>0</v>
      </c>
      <c r="AN47" s="152">
        <v>0</v>
      </c>
      <c r="AO47" s="152">
        <v>3435120</v>
      </c>
      <c r="AP47" s="152">
        <v>4143840</v>
      </c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>
        <v>0</v>
      </c>
      <c r="BE47" s="122">
        <v>0</v>
      </c>
      <c r="BF47" s="122">
        <v>0</v>
      </c>
      <c r="BG47" s="122">
        <v>0</v>
      </c>
      <c r="BH47" s="122">
        <v>0</v>
      </c>
      <c r="BI47" s="122">
        <v>0</v>
      </c>
      <c r="BJ47" s="122">
        <v>0</v>
      </c>
      <c r="BK47" s="122">
        <v>0</v>
      </c>
      <c r="BL47" s="122">
        <v>0</v>
      </c>
      <c r="BM47" s="122">
        <v>0</v>
      </c>
      <c r="BN47" s="122">
        <v>0</v>
      </c>
      <c r="BO47" s="122">
        <v>0</v>
      </c>
      <c r="BP47" s="122">
        <v>0</v>
      </c>
      <c r="BQ47" s="122">
        <v>0</v>
      </c>
      <c r="BR47" s="122">
        <v>0</v>
      </c>
      <c r="BS47" s="122">
        <v>0</v>
      </c>
      <c r="BT47" s="122">
        <v>0</v>
      </c>
      <c r="BU47" s="122">
        <v>0</v>
      </c>
      <c r="BV47" s="122">
        <v>120000</v>
      </c>
      <c r="BW47" s="122">
        <v>734400</v>
      </c>
      <c r="BX47" s="122">
        <v>1005600</v>
      </c>
      <c r="BY47" s="122">
        <v>921240</v>
      </c>
      <c r="BZ47" s="122">
        <v>404880</v>
      </c>
      <c r="CA47" s="122">
        <v>249000</v>
      </c>
      <c r="CB47" s="91">
        <v>384000</v>
      </c>
      <c r="CC47" s="91">
        <v>434760</v>
      </c>
      <c r="CD47" s="91">
        <v>672000</v>
      </c>
      <c r="CE47" s="91">
        <v>1116000</v>
      </c>
      <c r="CF47" s="91">
        <v>270000</v>
      </c>
      <c r="CG47" s="91">
        <v>1159080</v>
      </c>
      <c r="CH47" s="91">
        <v>96000</v>
      </c>
      <c r="CI47" s="91">
        <v>12000</v>
      </c>
      <c r="CJ47" s="91">
        <v>0</v>
      </c>
      <c r="CK47" s="91">
        <v>0</v>
      </c>
      <c r="CL47" s="91">
        <v>0</v>
      </c>
      <c r="CM47" s="91">
        <v>0</v>
      </c>
      <c r="CN47" s="172">
        <v>0</v>
      </c>
      <c r="CO47" s="172">
        <v>0</v>
      </c>
      <c r="CP47" s="172">
        <v>0</v>
      </c>
      <c r="CQ47" s="172">
        <v>0</v>
      </c>
      <c r="CR47" s="172">
        <v>0</v>
      </c>
      <c r="CS47" s="172">
        <v>0</v>
      </c>
      <c r="CT47" s="172">
        <v>0</v>
      </c>
      <c r="CU47" s="172">
        <v>0</v>
      </c>
      <c r="CV47" s="172">
        <v>0</v>
      </c>
      <c r="CW47" s="172">
        <v>0</v>
      </c>
      <c r="CX47" s="172">
        <v>0</v>
      </c>
      <c r="CY47" s="172">
        <v>0</v>
      </c>
      <c r="DA47" s="6"/>
      <c r="DB47" s="6"/>
    </row>
    <row r="48" spans="1:1363" s="71" customFormat="1" ht="30.75" customHeight="1" thickTop="1" thickBot="1">
      <c r="A48" s="55">
        <v>40</v>
      </c>
      <c r="B48" s="56" t="s">
        <v>244</v>
      </c>
      <c r="C48" s="57" t="s">
        <v>112</v>
      </c>
      <c r="D48" s="58" t="s">
        <v>245</v>
      </c>
      <c r="K48" s="69">
        <v>4374450</v>
      </c>
      <c r="L48" s="69">
        <v>10070190</v>
      </c>
      <c r="M48" s="69">
        <v>20708100</v>
      </c>
      <c r="N48" s="69">
        <v>10070820</v>
      </c>
      <c r="O48" s="69">
        <v>17188320</v>
      </c>
      <c r="P48" s="69">
        <v>15151590</v>
      </c>
      <c r="Q48" s="69">
        <v>12838860</v>
      </c>
      <c r="R48" s="94">
        <v>15197040</v>
      </c>
      <c r="S48" s="95">
        <v>8947260</v>
      </c>
      <c r="T48" s="70">
        <v>17350470</v>
      </c>
      <c r="U48" s="175">
        <f>Volume!CO12</f>
        <v>7948259.9999999991</v>
      </c>
      <c r="V48" s="175">
        <f>Volume!CP12</f>
        <v>19106539.999999996</v>
      </c>
      <c r="W48" s="175">
        <f>Volume!CQ12</f>
        <v>20397590.000000004</v>
      </c>
      <c r="X48" s="175">
        <f>Volume!CR12</f>
        <v>14871759.999999998</v>
      </c>
      <c r="Y48" s="175">
        <f>Volume!CS12</f>
        <v>18739530.000000004</v>
      </c>
      <c r="Z48" s="175">
        <f>Volume!CT12</f>
        <v>17118809.999999996</v>
      </c>
      <c r="AA48" s="175">
        <f>Volume!CU12</f>
        <v>26215829.999999996</v>
      </c>
      <c r="AB48" s="175">
        <f>Volume!CV12</f>
        <v>23149369.999999996</v>
      </c>
      <c r="AC48" s="175">
        <f>Volume!CW12</f>
        <v>21619420.000000004</v>
      </c>
      <c r="AD48" s="175">
        <f>Volume!CX12</f>
        <v>27275259.999999996</v>
      </c>
      <c r="AE48" s="175">
        <f>Volume!CY12</f>
        <v>19757019.999999993</v>
      </c>
      <c r="AF48" s="70">
        <f t="shared" si="1"/>
        <v>208251130</v>
      </c>
      <c r="AH48" s="87"/>
      <c r="AI48" s="176" t="s">
        <v>150</v>
      </c>
      <c r="AJ48" s="87"/>
      <c r="AK48" s="177">
        <v>0</v>
      </c>
      <c r="AL48" s="113" t="s">
        <v>246</v>
      </c>
      <c r="AM48" s="178"/>
      <c r="AN48" s="178"/>
      <c r="AO48" s="178">
        <v>0</v>
      </c>
      <c r="AP48" s="178">
        <v>0</v>
      </c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17"/>
      <c r="BI48" s="117"/>
      <c r="BJ48" s="117"/>
      <c r="BK48" s="179"/>
      <c r="BL48" s="179"/>
      <c r="BM48" s="179"/>
      <c r="BN48" s="179"/>
      <c r="BO48" s="179"/>
      <c r="BP48" s="116">
        <v>0</v>
      </c>
      <c r="BQ48" s="179">
        <v>0</v>
      </c>
      <c r="BR48" s="179">
        <v>0</v>
      </c>
      <c r="BS48" s="179">
        <v>0</v>
      </c>
      <c r="BT48" s="179">
        <v>0</v>
      </c>
      <c r="BU48" s="179">
        <v>0</v>
      </c>
      <c r="BV48" s="179">
        <v>0</v>
      </c>
      <c r="BW48" s="179">
        <v>0</v>
      </c>
      <c r="BX48" s="179">
        <v>0</v>
      </c>
      <c r="BY48" s="179">
        <v>0</v>
      </c>
      <c r="BZ48" s="179">
        <v>0</v>
      </c>
      <c r="CA48" s="179">
        <v>0</v>
      </c>
      <c r="CB48" s="116">
        <v>0</v>
      </c>
      <c r="CC48" s="116">
        <v>0</v>
      </c>
      <c r="CD48" s="116">
        <v>0</v>
      </c>
      <c r="CE48" s="116">
        <v>0</v>
      </c>
      <c r="CF48" s="116">
        <v>0</v>
      </c>
      <c r="CG48" s="116">
        <v>0</v>
      </c>
      <c r="CH48" s="116">
        <v>0</v>
      </c>
      <c r="CI48" s="116">
        <v>0</v>
      </c>
      <c r="CJ48" s="116">
        <v>0</v>
      </c>
      <c r="CK48" s="116">
        <v>0</v>
      </c>
      <c r="CL48" s="116">
        <v>0</v>
      </c>
      <c r="CM48" s="117">
        <v>0</v>
      </c>
      <c r="CN48" s="180">
        <v>0</v>
      </c>
      <c r="CO48" s="180">
        <v>0</v>
      </c>
      <c r="CP48" s="180">
        <v>0</v>
      </c>
      <c r="CQ48" s="180">
        <v>0</v>
      </c>
      <c r="CR48" s="180">
        <v>0</v>
      </c>
      <c r="CS48" s="180">
        <v>0</v>
      </c>
      <c r="CT48" s="180">
        <v>0</v>
      </c>
      <c r="CU48" s="180">
        <v>0</v>
      </c>
      <c r="CV48" s="180">
        <v>0</v>
      </c>
      <c r="CW48" s="180">
        <v>0</v>
      </c>
      <c r="CX48" s="180">
        <v>0</v>
      </c>
      <c r="CY48" s="180">
        <v>0</v>
      </c>
      <c r="DA48" s="6"/>
      <c r="DB48" s="6"/>
    </row>
    <row r="49" spans="1:1363" s="71" customFormat="1" ht="30.75" customHeight="1" thickTop="1" thickBot="1">
      <c r="A49" s="55">
        <v>41</v>
      </c>
      <c r="B49" s="56" t="s">
        <v>247</v>
      </c>
      <c r="C49" s="57" t="s">
        <v>248</v>
      </c>
      <c r="D49" s="58" t="s">
        <v>249</v>
      </c>
      <c r="S49" s="57"/>
      <c r="AF49" s="70">
        <f t="shared" si="1"/>
        <v>0</v>
      </c>
      <c r="AH49" s="181" t="s">
        <v>252</v>
      </c>
      <c r="AI49" s="149" t="s">
        <v>253</v>
      </c>
      <c r="AJ49" s="150" t="s">
        <v>151</v>
      </c>
      <c r="AK49" s="151">
        <v>45698</v>
      </c>
      <c r="AL49" s="88" t="s">
        <v>254</v>
      </c>
      <c r="AM49" s="152">
        <v>0</v>
      </c>
      <c r="AN49" s="152">
        <v>0</v>
      </c>
      <c r="AO49" s="152">
        <v>0</v>
      </c>
      <c r="AP49" s="152">
        <v>1367880</v>
      </c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>
        <v>0</v>
      </c>
      <c r="BE49" s="122">
        <v>0</v>
      </c>
      <c r="BF49" s="122">
        <v>0</v>
      </c>
      <c r="BG49" s="122">
        <v>0</v>
      </c>
      <c r="BH49" s="122">
        <v>0</v>
      </c>
      <c r="BI49" s="122">
        <v>0</v>
      </c>
      <c r="BJ49" s="122">
        <v>0</v>
      </c>
      <c r="BK49" s="122">
        <v>0</v>
      </c>
      <c r="BL49" s="122">
        <v>0</v>
      </c>
      <c r="BM49" s="122">
        <v>0</v>
      </c>
      <c r="BN49" s="122">
        <v>0</v>
      </c>
      <c r="BO49" s="122">
        <v>0</v>
      </c>
      <c r="BP49" s="122">
        <v>0</v>
      </c>
      <c r="BQ49" s="122">
        <v>0</v>
      </c>
      <c r="BR49" s="122">
        <v>0</v>
      </c>
      <c r="BS49" s="122">
        <v>0</v>
      </c>
      <c r="BT49" s="122">
        <v>0</v>
      </c>
      <c r="BU49" s="122">
        <v>0</v>
      </c>
      <c r="BV49" s="122">
        <v>0</v>
      </c>
      <c r="BW49" s="122">
        <v>0</v>
      </c>
      <c r="BX49" s="122">
        <v>0</v>
      </c>
      <c r="BY49" s="122">
        <v>0</v>
      </c>
      <c r="BZ49" s="122">
        <v>0</v>
      </c>
      <c r="CA49" s="122">
        <v>0</v>
      </c>
      <c r="CB49" s="91">
        <v>0</v>
      </c>
      <c r="CC49" s="91">
        <v>0</v>
      </c>
      <c r="CD49" s="91">
        <v>0</v>
      </c>
      <c r="CE49" s="91">
        <v>0</v>
      </c>
      <c r="CF49" s="91">
        <v>0</v>
      </c>
      <c r="CG49" s="91">
        <v>0</v>
      </c>
      <c r="CH49" s="91">
        <v>0</v>
      </c>
      <c r="CI49" s="91">
        <v>0</v>
      </c>
      <c r="CJ49" s="91">
        <v>0</v>
      </c>
      <c r="CK49" s="91">
        <v>845000</v>
      </c>
      <c r="CL49" s="91">
        <v>510879.99999999994</v>
      </c>
      <c r="CM49" s="92">
        <v>12000</v>
      </c>
      <c r="CN49" s="132">
        <v>24119.999999999996</v>
      </c>
      <c r="CO49" s="182">
        <v>208032</v>
      </c>
      <c r="CP49" s="183">
        <v>96000</v>
      </c>
      <c r="CQ49" s="183">
        <v>36096</v>
      </c>
      <c r="CR49" s="183">
        <v>271824</v>
      </c>
      <c r="CS49" s="183">
        <v>490847.99999999994</v>
      </c>
      <c r="CT49" s="183">
        <v>338460</v>
      </c>
      <c r="CU49" s="183">
        <v>457272.00000000006</v>
      </c>
      <c r="CV49" s="183">
        <v>374784</v>
      </c>
      <c r="CW49" s="183">
        <v>307655.99999999994</v>
      </c>
      <c r="CX49" s="183">
        <v>456444.00000000006</v>
      </c>
      <c r="CY49" s="183">
        <v>447432</v>
      </c>
      <c r="DA49" s="6"/>
      <c r="DB49" s="6"/>
    </row>
    <row r="50" spans="1:1363" s="71" customFormat="1" ht="30.75" customHeight="1" thickTop="1" thickBot="1">
      <c r="A50" s="55">
        <v>42</v>
      </c>
      <c r="B50" s="56" t="s">
        <v>255</v>
      </c>
      <c r="C50" s="57" t="s">
        <v>256</v>
      </c>
      <c r="D50" s="58" t="s">
        <v>257</v>
      </c>
      <c r="K50" s="94">
        <v>146304</v>
      </c>
      <c r="L50" s="94">
        <v>793652</v>
      </c>
      <c r="M50" s="94">
        <v>1209610</v>
      </c>
      <c r="N50" s="94">
        <v>417742</v>
      </c>
      <c r="O50" s="94">
        <v>338164</v>
      </c>
      <c r="P50" s="94">
        <v>665900</v>
      </c>
      <c r="Q50" s="94">
        <v>479376</v>
      </c>
      <c r="R50" s="66">
        <v>160272</v>
      </c>
      <c r="S50" s="67">
        <v>139680</v>
      </c>
      <c r="T50" s="184">
        <f>Volume!CN15</f>
        <v>522432</v>
      </c>
      <c r="U50" s="184">
        <f>Volume!CO15</f>
        <v>149760</v>
      </c>
      <c r="V50" s="184">
        <f>Volume!CP15</f>
        <v>207792.00000000003</v>
      </c>
      <c r="W50" s="184">
        <f>Volume!CQ15</f>
        <v>87840</v>
      </c>
      <c r="X50" s="184">
        <f>Volume!CR15</f>
        <v>66240</v>
      </c>
      <c r="Y50" s="184">
        <f>Volume!CS15</f>
        <v>111600</v>
      </c>
      <c r="Z50" s="184">
        <f>Volume!CT15</f>
        <v>65519.999999999993</v>
      </c>
      <c r="AA50" s="184">
        <f>Volume!CU15</f>
        <v>60480</v>
      </c>
      <c r="AB50" s="184">
        <f>Volume!CV15</f>
        <v>40320</v>
      </c>
      <c r="AC50" s="184">
        <f>Volume!CW15</f>
        <v>40320</v>
      </c>
      <c r="AD50" s="184">
        <f>Volume!CX15</f>
        <v>65519.999999999993</v>
      </c>
      <c r="AE50" s="184">
        <f>Volume!CY15</f>
        <v>35280</v>
      </c>
      <c r="AF50" s="70">
        <f t="shared" si="1"/>
        <v>780912</v>
      </c>
      <c r="AH50" s="87" t="s">
        <v>258</v>
      </c>
      <c r="AI50" s="149" t="s">
        <v>259</v>
      </c>
      <c r="AJ50" s="150" t="s">
        <v>151</v>
      </c>
      <c r="AK50" s="151">
        <v>45719</v>
      </c>
      <c r="AL50" s="88" t="s">
        <v>260</v>
      </c>
      <c r="AM50" s="152">
        <v>0</v>
      </c>
      <c r="AN50" s="152">
        <v>0</v>
      </c>
      <c r="AO50" s="152">
        <v>4156720</v>
      </c>
      <c r="AP50" s="152">
        <v>2563880</v>
      </c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>
        <v>0</v>
      </c>
      <c r="BE50" s="122">
        <v>0</v>
      </c>
      <c r="BF50" s="122">
        <v>0</v>
      </c>
      <c r="BG50" s="122">
        <v>0</v>
      </c>
      <c r="BH50" s="122">
        <v>0</v>
      </c>
      <c r="BI50" s="122">
        <v>0</v>
      </c>
      <c r="BJ50" s="122">
        <v>0</v>
      </c>
      <c r="BK50" s="122">
        <v>0</v>
      </c>
      <c r="BL50" s="122">
        <v>0</v>
      </c>
      <c r="BM50" s="122">
        <v>0</v>
      </c>
      <c r="BN50" s="122">
        <v>0</v>
      </c>
      <c r="BO50" s="122">
        <v>0</v>
      </c>
      <c r="BP50" s="122">
        <v>0</v>
      </c>
      <c r="BQ50" s="122">
        <v>0</v>
      </c>
      <c r="BR50" s="122">
        <v>0</v>
      </c>
      <c r="BS50" s="122">
        <v>0</v>
      </c>
      <c r="BT50" s="122">
        <v>264000</v>
      </c>
      <c r="BU50" s="122">
        <v>504000</v>
      </c>
      <c r="BV50" s="122">
        <v>672000</v>
      </c>
      <c r="BW50" s="122">
        <v>180000</v>
      </c>
      <c r="BX50" s="122">
        <v>911520</v>
      </c>
      <c r="BY50" s="122">
        <v>981240</v>
      </c>
      <c r="BZ50" s="122">
        <v>314160</v>
      </c>
      <c r="CA50" s="122">
        <v>329800</v>
      </c>
      <c r="CB50" s="91">
        <v>522200</v>
      </c>
      <c r="CC50" s="91">
        <v>440400</v>
      </c>
      <c r="CD50" s="91">
        <v>240600</v>
      </c>
      <c r="CE50" s="91">
        <v>233880</v>
      </c>
      <c r="CF50" s="91">
        <v>232800</v>
      </c>
      <c r="CG50" s="91">
        <v>368160</v>
      </c>
      <c r="CH50" s="91">
        <v>95640</v>
      </c>
      <c r="CI50" s="91">
        <v>342600</v>
      </c>
      <c r="CJ50" s="91">
        <v>70920</v>
      </c>
      <c r="CK50" s="91">
        <v>0</v>
      </c>
      <c r="CL50" s="91">
        <v>16680</v>
      </c>
      <c r="CM50" s="92">
        <v>0</v>
      </c>
      <c r="CN50" s="132">
        <v>0</v>
      </c>
      <c r="CO50" s="132">
        <v>4680</v>
      </c>
      <c r="CP50" s="132">
        <v>72000</v>
      </c>
      <c r="CQ50" s="132">
        <v>0</v>
      </c>
      <c r="CR50" s="132">
        <v>0</v>
      </c>
      <c r="CS50" s="132">
        <v>0</v>
      </c>
      <c r="CT50" s="132">
        <v>0</v>
      </c>
      <c r="CU50" s="132">
        <v>0</v>
      </c>
      <c r="CV50" s="132">
        <v>0</v>
      </c>
      <c r="CW50" s="132">
        <v>0</v>
      </c>
      <c r="CX50" s="132">
        <v>0</v>
      </c>
      <c r="CY50" s="132">
        <v>0</v>
      </c>
      <c r="DA50" s="6"/>
      <c r="DB50" s="6"/>
    </row>
    <row r="51" spans="1:1363" s="71" customFormat="1" ht="30.75" customHeight="1" thickTop="1" thickBot="1">
      <c r="A51" s="55">
        <v>43</v>
      </c>
      <c r="B51" s="56" t="s">
        <v>261</v>
      </c>
      <c r="C51" s="57" t="s">
        <v>256</v>
      </c>
      <c r="D51" s="58" t="s">
        <v>262</v>
      </c>
      <c r="N51" s="94">
        <v>39600</v>
      </c>
      <c r="O51" s="94">
        <v>894780</v>
      </c>
      <c r="P51" s="94">
        <v>1411740</v>
      </c>
      <c r="Q51" s="94">
        <v>1022040</v>
      </c>
      <c r="R51" s="94">
        <v>950580</v>
      </c>
      <c r="S51" s="95">
        <v>453600</v>
      </c>
      <c r="T51" s="184">
        <f>Volume!CN18+Volume!CN20</f>
        <v>574020</v>
      </c>
      <c r="U51" s="184">
        <f>Volume!CO18+Volume!CO20</f>
        <v>633599.99999999988</v>
      </c>
      <c r="V51" s="184">
        <f>Volume!CP18+Volume!CP20</f>
        <v>626219.99999999988</v>
      </c>
      <c r="W51" s="184">
        <f>Volume!CQ18+Volume!CQ20</f>
        <v>116460</v>
      </c>
      <c r="X51" s="184">
        <f>Volume!CR18+Volume!CR20</f>
        <v>114660.00000000001</v>
      </c>
      <c r="Y51" s="184">
        <f>Volume!CS18+Volume!CS20</f>
        <v>179460</v>
      </c>
      <c r="Z51" s="184">
        <f>Volume!CT18+Volume!CT20</f>
        <v>169200</v>
      </c>
      <c r="AA51" s="184">
        <f>Volume!CU18+Volume!CU20</f>
        <v>147260</v>
      </c>
      <c r="AB51" s="184">
        <f>Volume!CV18+Volume!CV20</f>
        <v>143160.00000000003</v>
      </c>
      <c r="AC51" s="184">
        <f>Volume!CW18+Volume!CW20</f>
        <v>128579.99999999999</v>
      </c>
      <c r="AD51" s="184">
        <f>Volume!CX18+Volume!CX20</f>
        <v>116680</v>
      </c>
      <c r="AE51" s="184">
        <f>Volume!CY18+Volume!CY20</f>
        <v>142880</v>
      </c>
      <c r="AF51" s="70">
        <f t="shared" si="1"/>
        <v>1884560</v>
      </c>
      <c r="AH51" s="87"/>
      <c r="AI51" s="158" t="s">
        <v>150</v>
      </c>
      <c r="AJ51" s="159"/>
      <c r="AK51" s="151">
        <v>0</v>
      </c>
      <c r="AL51" s="88" t="s">
        <v>263</v>
      </c>
      <c r="AM51" s="152"/>
      <c r="AN51" s="152"/>
      <c r="AO51" s="152">
        <v>0</v>
      </c>
      <c r="AP51" s="152">
        <v>0</v>
      </c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92"/>
      <c r="BI51" s="92"/>
      <c r="BJ51" s="92"/>
      <c r="BK51" s="122"/>
      <c r="BL51" s="122"/>
      <c r="BM51" s="122"/>
      <c r="BN51" s="122"/>
      <c r="BO51" s="122"/>
      <c r="BP51" s="91">
        <v>0</v>
      </c>
      <c r="BQ51" s="122">
        <v>0</v>
      </c>
      <c r="BR51" s="122">
        <v>0</v>
      </c>
      <c r="BS51" s="122">
        <v>0</v>
      </c>
      <c r="BT51" s="122">
        <v>0</v>
      </c>
      <c r="BU51" s="122">
        <v>0</v>
      </c>
      <c r="BV51" s="122">
        <v>0</v>
      </c>
      <c r="BW51" s="122">
        <v>0</v>
      </c>
      <c r="BX51" s="122">
        <v>0</v>
      </c>
      <c r="BY51" s="122">
        <v>0</v>
      </c>
      <c r="BZ51" s="122">
        <v>0</v>
      </c>
      <c r="CA51" s="122">
        <v>0</v>
      </c>
      <c r="CB51" s="91">
        <v>0</v>
      </c>
      <c r="CC51" s="91">
        <v>0</v>
      </c>
      <c r="CD51" s="91">
        <v>0</v>
      </c>
      <c r="CE51" s="91">
        <v>0</v>
      </c>
      <c r="CF51" s="91">
        <v>0</v>
      </c>
      <c r="CG51" s="91">
        <v>0</v>
      </c>
      <c r="CH51" s="91">
        <v>0</v>
      </c>
      <c r="CI51" s="91">
        <v>0</v>
      </c>
      <c r="CJ51" s="91">
        <v>0</v>
      </c>
      <c r="CK51" s="91">
        <v>0</v>
      </c>
      <c r="CL51" s="91">
        <v>0</v>
      </c>
      <c r="CM51" s="92">
        <v>0</v>
      </c>
      <c r="CN51" s="132">
        <v>0</v>
      </c>
      <c r="CO51" s="132">
        <v>0</v>
      </c>
      <c r="CP51" s="132">
        <v>0</v>
      </c>
      <c r="CQ51" s="132">
        <v>0</v>
      </c>
      <c r="CR51" s="132">
        <v>0</v>
      </c>
      <c r="CS51" s="132">
        <v>0</v>
      </c>
      <c r="CT51" s="132">
        <v>0</v>
      </c>
      <c r="CU51" s="132">
        <v>0</v>
      </c>
      <c r="CV51" s="132">
        <v>0</v>
      </c>
      <c r="CW51" s="132">
        <v>0</v>
      </c>
      <c r="CX51" s="132">
        <v>0</v>
      </c>
      <c r="CY51" s="132">
        <v>0</v>
      </c>
      <c r="DA51" s="6"/>
      <c r="DB51" s="6"/>
    </row>
    <row r="52" spans="1:1363" s="186" customFormat="1" ht="30.75" customHeight="1" thickTop="1" thickBot="1">
      <c r="A52" s="185">
        <v>44</v>
      </c>
      <c r="B52" s="56" t="s">
        <v>264</v>
      </c>
      <c r="C52" s="57" t="s">
        <v>102</v>
      </c>
      <c r="D52" s="58" t="s">
        <v>265</v>
      </c>
      <c r="E52" s="71"/>
      <c r="F52" s="71"/>
      <c r="G52" s="71"/>
      <c r="H52" s="71"/>
      <c r="I52" s="71"/>
      <c r="J52" s="71"/>
      <c r="K52" s="71">
        <v>1827840</v>
      </c>
      <c r="L52" s="71">
        <v>2873520</v>
      </c>
      <c r="M52" s="71">
        <v>3565680</v>
      </c>
      <c r="N52" s="71">
        <v>4244880</v>
      </c>
      <c r="O52" s="71">
        <v>7812840</v>
      </c>
      <c r="P52" s="186">
        <v>6241840</v>
      </c>
      <c r="Q52" s="186">
        <v>7151100</v>
      </c>
      <c r="R52" s="186">
        <v>5812200</v>
      </c>
      <c r="S52" s="187">
        <v>1591120</v>
      </c>
      <c r="T52" s="186">
        <f>Volume!CN45</f>
        <v>2687720</v>
      </c>
      <c r="U52" s="186">
        <f>Volume!CO45</f>
        <v>1733640</v>
      </c>
      <c r="V52" s="186">
        <f>Volume!CP45</f>
        <v>4945391.9999999991</v>
      </c>
      <c r="W52" s="186">
        <f>Volume!CQ45</f>
        <v>4747499.9999999991</v>
      </c>
      <c r="X52" s="186">
        <f>Volume!CR45</f>
        <v>2770379.9999999995</v>
      </c>
      <c r="Y52" s="186">
        <f>Volume!CS45</f>
        <v>3233940</v>
      </c>
      <c r="Z52" s="186">
        <f>Volume!CT45</f>
        <v>2643120</v>
      </c>
      <c r="AA52" s="186">
        <f>Volume!CU45</f>
        <v>4075260</v>
      </c>
      <c r="AB52" s="186">
        <f>Volume!CV45</f>
        <v>4091460</v>
      </c>
      <c r="AC52" s="186">
        <f>Volume!CW45</f>
        <v>5045760</v>
      </c>
      <c r="AD52" s="186">
        <f>Volume!CX45</f>
        <v>5955000</v>
      </c>
      <c r="AE52" s="188">
        <f>Volume!CY45</f>
        <v>4381320</v>
      </c>
      <c r="AF52" s="70">
        <f t="shared" si="1"/>
        <v>41889132</v>
      </c>
      <c r="AG52" s="71"/>
      <c r="AH52" s="181" t="s">
        <v>267</v>
      </c>
      <c r="AI52" s="149" t="s">
        <v>253</v>
      </c>
      <c r="AJ52" s="189" t="s">
        <v>151</v>
      </c>
      <c r="AK52" s="151">
        <v>45698</v>
      </c>
      <c r="AL52" s="190" t="s">
        <v>268</v>
      </c>
      <c r="AM52" s="191">
        <v>0</v>
      </c>
      <c r="AN52" s="191">
        <v>0</v>
      </c>
      <c r="AO52" s="191">
        <v>0</v>
      </c>
      <c r="AP52" s="191">
        <v>7129464</v>
      </c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>
        <v>0</v>
      </c>
      <c r="BE52" s="192">
        <v>0</v>
      </c>
      <c r="BF52" s="192">
        <v>0</v>
      </c>
      <c r="BG52" s="192">
        <v>0</v>
      </c>
      <c r="BH52" s="192">
        <v>0</v>
      </c>
      <c r="BI52" s="192">
        <v>0</v>
      </c>
      <c r="BJ52" s="192">
        <v>0</v>
      </c>
      <c r="BK52" s="192">
        <v>0</v>
      </c>
      <c r="BL52" s="192">
        <v>0</v>
      </c>
      <c r="BM52" s="192">
        <v>0</v>
      </c>
      <c r="BN52" s="192">
        <v>0</v>
      </c>
      <c r="BO52" s="192">
        <v>0</v>
      </c>
      <c r="BP52" s="192">
        <v>0</v>
      </c>
      <c r="BQ52" s="192">
        <v>0</v>
      </c>
      <c r="BR52" s="192">
        <v>0</v>
      </c>
      <c r="BS52" s="192">
        <v>0</v>
      </c>
      <c r="BT52" s="192">
        <v>0</v>
      </c>
      <c r="BU52" s="192">
        <v>0</v>
      </c>
      <c r="BV52" s="192">
        <v>0</v>
      </c>
      <c r="BW52" s="192">
        <v>0</v>
      </c>
      <c r="BX52" s="192">
        <v>0</v>
      </c>
      <c r="BY52" s="192">
        <v>0</v>
      </c>
      <c r="BZ52" s="192">
        <v>0</v>
      </c>
      <c r="CA52" s="192">
        <v>0</v>
      </c>
      <c r="CB52" s="193">
        <v>0</v>
      </c>
      <c r="CC52" s="193">
        <v>0</v>
      </c>
      <c r="CD52" s="193">
        <v>0</v>
      </c>
      <c r="CE52" s="193">
        <v>0</v>
      </c>
      <c r="CF52" s="193">
        <v>436512</v>
      </c>
      <c r="CG52" s="193">
        <v>404112</v>
      </c>
      <c r="CH52" s="193">
        <v>1191168</v>
      </c>
      <c r="CI52" s="193">
        <v>1163760</v>
      </c>
      <c r="CJ52" s="193">
        <v>1310808</v>
      </c>
      <c r="CK52" s="193">
        <v>1000560</v>
      </c>
      <c r="CL52" s="193">
        <v>430488</v>
      </c>
      <c r="CM52" s="194">
        <v>1192056</v>
      </c>
      <c r="CN52" s="195">
        <v>446688.00000000006</v>
      </c>
      <c r="CO52" s="182">
        <v>303143.99999999994</v>
      </c>
      <c r="CP52" s="183">
        <v>214656.00000000003</v>
      </c>
      <c r="CQ52" s="183">
        <v>173640</v>
      </c>
      <c r="CR52" s="183">
        <v>239520.00000000003</v>
      </c>
      <c r="CS52" s="183">
        <v>149399.99999999997</v>
      </c>
      <c r="CT52" s="183">
        <v>143040</v>
      </c>
      <c r="CU52" s="183">
        <v>214080.00000000003</v>
      </c>
      <c r="CV52" s="183">
        <v>220560.00000000012</v>
      </c>
      <c r="CW52" s="183">
        <v>206880.00000000012</v>
      </c>
      <c r="CX52" s="183">
        <v>368880.00000000017</v>
      </c>
      <c r="CY52" s="183">
        <v>167040.00000000006</v>
      </c>
      <c r="CZ52" s="71"/>
      <c r="DA52" s="6"/>
      <c r="DB52" s="6"/>
    </row>
    <row r="53" spans="1:1363" s="186" customFormat="1" ht="30.75" customHeight="1" thickTop="1" thickBot="1">
      <c r="A53" s="185">
        <v>45</v>
      </c>
      <c r="B53" s="56" t="s">
        <v>269</v>
      </c>
      <c r="C53" s="57" t="s">
        <v>102</v>
      </c>
      <c r="D53" s="58" t="s">
        <v>270</v>
      </c>
      <c r="E53" s="71"/>
      <c r="F53" s="71"/>
      <c r="G53" s="71"/>
      <c r="H53" s="71"/>
      <c r="I53" s="71"/>
      <c r="J53" s="71"/>
      <c r="K53" s="71">
        <v>36000</v>
      </c>
      <c r="L53" s="71">
        <v>1370520</v>
      </c>
      <c r="M53" s="71">
        <v>1201056</v>
      </c>
      <c r="N53" s="71">
        <v>1603776</v>
      </c>
      <c r="O53" s="71">
        <v>2195328</v>
      </c>
      <c r="P53" s="186">
        <v>1331904</v>
      </c>
      <c r="Q53" s="186">
        <v>701400</v>
      </c>
      <c r="R53" s="186">
        <v>795168</v>
      </c>
      <c r="S53" s="187">
        <v>144000</v>
      </c>
      <c r="T53" s="186">
        <f>Volume!CN43</f>
        <v>319991.99999999994</v>
      </c>
      <c r="U53" s="186">
        <f>Volume!CO43</f>
        <v>419400</v>
      </c>
      <c r="V53" s="186">
        <f>Volume!CP43</f>
        <v>478200</v>
      </c>
      <c r="W53" s="186">
        <f>Volume!CQ43</f>
        <v>342768</v>
      </c>
      <c r="X53" s="186">
        <f>Volume!CR43</f>
        <v>336443.99999999994</v>
      </c>
      <c r="Y53" s="186">
        <f>Volume!CS43</f>
        <v>439644</v>
      </c>
      <c r="Z53" s="186">
        <f>Volume!CT43</f>
        <v>412488.00000000006</v>
      </c>
      <c r="AA53" s="186">
        <f>Volume!CU43</f>
        <v>453144.00000000012</v>
      </c>
      <c r="AB53" s="186">
        <f>Volume!CV43</f>
        <v>397368.00000000006</v>
      </c>
      <c r="AC53" s="186">
        <f>Volume!CW43</f>
        <v>467268</v>
      </c>
      <c r="AD53" s="186">
        <f>Volume!CX43</f>
        <v>585648</v>
      </c>
      <c r="AE53" s="186">
        <f>Volume!CY43</f>
        <v>567660.00000000023</v>
      </c>
      <c r="AF53" s="70">
        <f t="shared" si="1"/>
        <v>4480632</v>
      </c>
      <c r="AG53" s="71"/>
      <c r="AH53" s="196" t="s">
        <v>271</v>
      </c>
      <c r="AI53" s="149" t="s">
        <v>259</v>
      </c>
      <c r="AJ53" s="150" t="s">
        <v>151</v>
      </c>
      <c r="AK53" s="151">
        <v>45719</v>
      </c>
      <c r="AL53" s="190" t="s">
        <v>272</v>
      </c>
      <c r="AM53" s="191">
        <v>0</v>
      </c>
      <c r="AN53" s="191">
        <v>0</v>
      </c>
      <c r="AO53" s="191">
        <v>0</v>
      </c>
      <c r="AP53" s="191">
        <v>965280</v>
      </c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>
        <v>0</v>
      </c>
      <c r="BE53" s="192">
        <v>0</v>
      </c>
      <c r="BF53" s="192">
        <v>0</v>
      </c>
      <c r="BG53" s="192">
        <v>0</v>
      </c>
      <c r="BH53" s="192">
        <v>0</v>
      </c>
      <c r="BI53" s="192">
        <v>0</v>
      </c>
      <c r="BJ53" s="192">
        <v>0</v>
      </c>
      <c r="BK53" s="192">
        <v>0</v>
      </c>
      <c r="BL53" s="192">
        <v>0</v>
      </c>
      <c r="BM53" s="192">
        <v>0</v>
      </c>
      <c r="BN53" s="192">
        <v>0</v>
      </c>
      <c r="BO53" s="192">
        <v>0</v>
      </c>
      <c r="BP53" s="192">
        <v>0</v>
      </c>
      <c r="BQ53" s="192">
        <v>0</v>
      </c>
      <c r="BR53" s="192">
        <v>0</v>
      </c>
      <c r="BS53" s="192">
        <v>0</v>
      </c>
      <c r="BT53" s="192">
        <v>0</v>
      </c>
      <c r="BU53" s="192">
        <v>0</v>
      </c>
      <c r="BV53" s="192">
        <v>0</v>
      </c>
      <c r="BW53" s="192">
        <v>0</v>
      </c>
      <c r="BX53" s="192">
        <v>0</v>
      </c>
      <c r="BY53" s="192">
        <v>0</v>
      </c>
      <c r="BZ53" s="192">
        <v>0</v>
      </c>
      <c r="CA53" s="192">
        <v>0</v>
      </c>
      <c r="CB53" s="193">
        <v>360000</v>
      </c>
      <c r="CC53" s="193">
        <v>0</v>
      </c>
      <c r="CD53" s="193">
        <v>108000</v>
      </c>
      <c r="CE53" s="193">
        <v>0</v>
      </c>
      <c r="CF53" s="193">
        <v>108000</v>
      </c>
      <c r="CG53" s="193">
        <v>12000</v>
      </c>
      <c r="CH53" s="193">
        <v>0</v>
      </c>
      <c r="CI53" s="193">
        <v>20040</v>
      </c>
      <c r="CJ53" s="193">
        <v>48600</v>
      </c>
      <c r="CK53" s="193">
        <v>17280</v>
      </c>
      <c r="CL53" s="193">
        <v>133440</v>
      </c>
      <c r="CM53" s="194">
        <v>157920.00000000003</v>
      </c>
      <c r="CN53" s="195">
        <v>101999.99999999997</v>
      </c>
      <c r="CO53" s="195">
        <v>14040</v>
      </c>
      <c r="CP53" s="195">
        <v>0</v>
      </c>
      <c r="CQ53" s="195">
        <v>0</v>
      </c>
      <c r="CR53" s="195">
        <v>0</v>
      </c>
      <c r="CS53" s="195">
        <v>0</v>
      </c>
      <c r="CT53" s="195">
        <v>0</v>
      </c>
      <c r="CU53" s="195">
        <v>0</v>
      </c>
      <c r="CV53" s="195">
        <v>0</v>
      </c>
      <c r="CW53" s="195">
        <v>0</v>
      </c>
      <c r="CX53" s="195">
        <v>0</v>
      </c>
      <c r="CY53" s="195">
        <v>0</v>
      </c>
      <c r="CZ53" s="71"/>
      <c r="DA53" s="6"/>
      <c r="DB53" s="6"/>
    </row>
    <row r="54" spans="1:1363" s="199" customFormat="1" ht="30.65" customHeight="1" thickTop="1" thickBot="1">
      <c r="A54" s="185">
        <v>46</v>
      </c>
      <c r="B54" s="56" t="s">
        <v>273</v>
      </c>
      <c r="C54" s="57" t="s">
        <v>102</v>
      </c>
      <c r="D54" s="58" t="s">
        <v>274</v>
      </c>
      <c r="E54" s="71"/>
      <c r="F54" s="71"/>
      <c r="G54" s="71"/>
      <c r="H54" s="71"/>
      <c r="I54" s="71"/>
      <c r="J54" s="71"/>
      <c r="K54" s="71"/>
      <c r="L54" s="71">
        <v>1250040</v>
      </c>
      <c r="M54" s="71">
        <v>460440</v>
      </c>
      <c r="N54" s="71">
        <v>515880</v>
      </c>
      <c r="O54" s="71">
        <v>1815960</v>
      </c>
      <c r="P54" s="186">
        <v>1092960</v>
      </c>
      <c r="Q54" s="186">
        <v>1043160</v>
      </c>
      <c r="R54" s="186">
        <v>1111560</v>
      </c>
      <c r="S54" s="187">
        <v>789000</v>
      </c>
      <c r="T54" s="186">
        <f>Volume!CN44</f>
        <v>360480.00000000012</v>
      </c>
      <c r="U54" s="186">
        <f>Volume!CO44</f>
        <v>287040</v>
      </c>
      <c r="V54" s="186">
        <f>Volume!CP44</f>
        <v>634200.00000000012</v>
      </c>
      <c r="W54" s="186">
        <f>Volume!CQ44</f>
        <v>602640.00000000012</v>
      </c>
      <c r="X54" s="186">
        <f>Volume!CR44</f>
        <v>667320.00000000035</v>
      </c>
      <c r="Y54" s="186">
        <f>Volume!CS44</f>
        <v>430860</v>
      </c>
      <c r="Z54" s="186">
        <f>Volume!CT44</f>
        <v>437879.99999999983</v>
      </c>
      <c r="AA54" s="186">
        <f>Volume!CU44</f>
        <v>553680.00000000035</v>
      </c>
      <c r="AB54" s="186">
        <f>Volume!CV44</f>
        <v>630180.00000000058</v>
      </c>
      <c r="AC54" s="186">
        <f>Volume!CW44</f>
        <v>607620.00000000047</v>
      </c>
      <c r="AD54" s="186">
        <f>Volume!CX44</f>
        <v>1052999.9999999995</v>
      </c>
      <c r="AE54" s="186">
        <f>Volume!CY44</f>
        <v>533700.00000000035</v>
      </c>
      <c r="AF54" s="70">
        <f t="shared" si="1"/>
        <v>6151080.0000000019</v>
      </c>
      <c r="AG54" s="147"/>
      <c r="AH54" s="196"/>
      <c r="AI54" s="197" t="s">
        <v>150</v>
      </c>
      <c r="AJ54" s="196" t="s">
        <v>275</v>
      </c>
      <c r="AK54" s="198">
        <v>45600</v>
      </c>
      <c r="AL54" s="190" t="s">
        <v>276</v>
      </c>
      <c r="AM54" s="191">
        <v>370859400</v>
      </c>
      <c r="AN54" s="191">
        <v>97779600</v>
      </c>
      <c r="AO54" s="191">
        <v>0</v>
      </c>
      <c r="AP54" s="191">
        <v>0</v>
      </c>
      <c r="AQ54" s="192">
        <v>28587600</v>
      </c>
      <c r="AR54" s="192">
        <v>8263800</v>
      </c>
      <c r="AS54" s="192">
        <v>31741200</v>
      </c>
      <c r="AT54" s="192">
        <v>33382800</v>
      </c>
      <c r="AU54" s="192">
        <v>33210000</v>
      </c>
      <c r="AV54" s="192">
        <v>33397200</v>
      </c>
      <c r="AW54" s="192">
        <v>37684800</v>
      </c>
      <c r="AX54" s="192">
        <v>34875000</v>
      </c>
      <c r="AY54" s="192">
        <v>35804400</v>
      </c>
      <c r="AZ54" s="192">
        <v>26860800</v>
      </c>
      <c r="BA54" s="192">
        <v>28072800</v>
      </c>
      <c r="BB54" s="192">
        <v>38979000</v>
      </c>
      <c r="BC54" s="192"/>
      <c r="BD54" s="192">
        <v>23313600</v>
      </c>
      <c r="BE54" s="192">
        <v>11452500</v>
      </c>
      <c r="BF54" s="192">
        <v>19874700</v>
      </c>
      <c r="BG54" s="192">
        <v>23241600</v>
      </c>
      <c r="BH54" s="192">
        <v>18414000</v>
      </c>
      <c r="BI54" s="192">
        <v>1483200</v>
      </c>
      <c r="BJ54" s="194"/>
      <c r="BK54" s="192"/>
      <c r="BL54" s="192"/>
      <c r="BM54" s="192"/>
      <c r="BN54" s="192"/>
      <c r="BO54" s="192"/>
      <c r="BP54" s="193"/>
      <c r="BQ54" s="192"/>
      <c r="BR54" s="192"/>
      <c r="BS54" s="192"/>
      <c r="BT54" s="192"/>
      <c r="BU54" s="192"/>
      <c r="BV54" s="192"/>
      <c r="BW54" s="192"/>
      <c r="BX54" s="192"/>
      <c r="BY54" s="192"/>
      <c r="BZ54" s="192"/>
      <c r="CA54" s="192"/>
      <c r="CB54" s="193"/>
      <c r="CC54" s="193"/>
      <c r="CD54" s="193"/>
      <c r="CE54" s="193"/>
      <c r="CF54" s="193"/>
      <c r="CG54" s="193"/>
      <c r="CH54" s="193"/>
      <c r="CI54" s="193"/>
      <c r="CJ54" s="193"/>
      <c r="CK54" s="193"/>
      <c r="CL54" s="193"/>
      <c r="CM54" s="194"/>
      <c r="CN54" s="195"/>
      <c r="CO54" s="195"/>
      <c r="CP54" s="195"/>
      <c r="CQ54" s="195"/>
      <c r="CR54" s="195"/>
      <c r="CS54" s="195"/>
      <c r="CT54" s="195"/>
      <c r="CU54" s="195"/>
      <c r="CV54" s="195"/>
      <c r="CW54" s="195"/>
      <c r="CX54" s="195"/>
      <c r="CY54" s="195"/>
      <c r="CZ54" s="71"/>
      <c r="DA54" s="6"/>
      <c r="DB54" s="6"/>
    </row>
    <row r="55" spans="1:1363" s="199" customFormat="1" ht="30.75" customHeight="1" thickTop="1" thickBot="1">
      <c r="A55" s="185">
        <v>47</v>
      </c>
      <c r="B55" s="56" t="s">
        <v>277</v>
      </c>
      <c r="C55" s="57" t="s">
        <v>102</v>
      </c>
      <c r="D55" s="58" t="s">
        <v>278</v>
      </c>
      <c r="E55" s="71"/>
      <c r="F55" s="71"/>
      <c r="G55" s="71"/>
      <c r="H55" s="71"/>
      <c r="I55" s="71"/>
      <c r="J55" s="71"/>
      <c r="K55" s="71"/>
      <c r="L55" s="71">
        <v>324000</v>
      </c>
      <c r="M55" s="71">
        <v>132000</v>
      </c>
      <c r="N55" s="71">
        <v>1704000</v>
      </c>
      <c r="O55" s="71">
        <v>36000</v>
      </c>
      <c r="P55" s="186"/>
      <c r="Q55" s="186">
        <v>1183440</v>
      </c>
      <c r="R55" s="186">
        <v>934800</v>
      </c>
      <c r="S55" s="187">
        <v>49680</v>
      </c>
      <c r="T55" s="186">
        <f>Volume!CN46</f>
        <v>294480</v>
      </c>
      <c r="U55" s="186">
        <f>Volume!CO46</f>
        <v>205080</v>
      </c>
      <c r="V55" s="186">
        <f>Volume!CP46</f>
        <v>362400</v>
      </c>
      <c r="W55" s="186">
        <f>Volume!CQ46</f>
        <v>501600</v>
      </c>
      <c r="X55" s="186">
        <f>Volume!CR46</f>
        <v>513599.99999999988</v>
      </c>
      <c r="Y55" s="186">
        <f>Volume!CS46</f>
        <v>628800</v>
      </c>
      <c r="Z55" s="186">
        <f>Volume!CT46</f>
        <v>540000</v>
      </c>
      <c r="AA55" s="186">
        <f>Volume!CU46</f>
        <v>787680</v>
      </c>
      <c r="AB55" s="186">
        <f>Volume!CV46</f>
        <v>527520</v>
      </c>
      <c r="AC55" s="186">
        <f>Volume!CW46</f>
        <v>320880</v>
      </c>
      <c r="AD55" s="186">
        <f>Volume!CX46</f>
        <v>566159.99999999988</v>
      </c>
      <c r="AE55" s="186">
        <f>Volume!CY46</f>
        <v>592559.99999999988</v>
      </c>
      <c r="AF55" s="70">
        <f t="shared" si="1"/>
        <v>5341200</v>
      </c>
      <c r="AG55" s="147"/>
      <c r="AH55" s="181" t="s">
        <v>279</v>
      </c>
      <c r="AI55" s="149" t="s">
        <v>253</v>
      </c>
      <c r="AJ55" s="189" t="s">
        <v>151</v>
      </c>
      <c r="AK55" s="151">
        <v>45698</v>
      </c>
      <c r="AL55" s="190" t="s">
        <v>280</v>
      </c>
      <c r="AM55" s="191">
        <v>0</v>
      </c>
      <c r="AN55" s="191">
        <v>0</v>
      </c>
      <c r="AO55" s="191">
        <v>0</v>
      </c>
      <c r="AP55" s="191">
        <v>384000</v>
      </c>
      <c r="AQ55" s="200"/>
      <c r="AR55" s="200"/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>
        <v>0</v>
      </c>
      <c r="BE55" s="200">
        <v>0</v>
      </c>
      <c r="BF55" s="200">
        <v>0</v>
      </c>
      <c r="BG55" s="200">
        <v>0</v>
      </c>
      <c r="BH55" s="200">
        <v>0</v>
      </c>
      <c r="BI55" s="200">
        <v>0</v>
      </c>
      <c r="BJ55" s="200">
        <v>0</v>
      </c>
      <c r="BK55" s="200">
        <v>0</v>
      </c>
      <c r="BL55" s="200">
        <v>0</v>
      </c>
      <c r="BM55" s="200">
        <v>0</v>
      </c>
      <c r="BN55" s="200">
        <v>0</v>
      </c>
      <c r="BO55" s="200">
        <v>0</v>
      </c>
      <c r="BP55" s="200">
        <v>0</v>
      </c>
      <c r="BQ55" s="200">
        <v>0</v>
      </c>
      <c r="BR55" s="200">
        <v>0</v>
      </c>
      <c r="BS55" s="200">
        <v>0</v>
      </c>
      <c r="BT55" s="200">
        <v>0</v>
      </c>
      <c r="BU55" s="200">
        <v>0</v>
      </c>
      <c r="BV55" s="200">
        <v>0</v>
      </c>
      <c r="BW55" s="200">
        <v>0</v>
      </c>
      <c r="BX55" s="200">
        <v>0</v>
      </c>
      <c r="BY55" s="200">
        <v>0</v>
      </c>
      <c r="BZ55" s="200">
        <v>0</v>
      </c>
      <c r="CA55" s="200">
        <v>0</v>
      </c>
      <c r="CB55" s="193">
        <v>0</v>
      </c>
      <c r="CC55" s="193">
        <v>0</v>
      </c>
      <c r="CD55" s="193">
        <v>0</v>
      </c>
      <c r="CE55" s="193">
        <v>0</v>
      </c>
      <c r="CF55" s="193">
        <v>0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3">
        <v>348000</v>
      </c>
      <c r="CM55" s="201">
        <v>36000</v>
      </c>
      <c r="CN55" s="202">
        <v>84960.000000000015</v>
      </c>
      <c r="CO55" s="203">
        <v>4080</v>
      </c>
      <c r="CP55" s="183">
        <v>116280.00000000001</v>
      </c>
      <c r="CQ55" s="183">
        <v>77520.000000000015</v>
      </c>
      <c r="CR55" s="183">
        <v>206280.00000000003</v>
      </c>
      <c r="CS55" s="183">
        <v>65640</v>
      </c>
      <c r="CT55" s="183">
        <v>77039.999999999985</v>
      </c>
      <c r="CU55" s="183">
        <v>80160</v>
      </c>
      <c r="CV55" s="183">
        <v>76679.999999999985</v>
      </c>
      <c r="CW55" s="183">
        <v>83520.000000000015</v>
      </c>
      <c r="CX55" s="183">
        <v>143519.99999999997</v>
      </c>
      <c r="CY55" s="183">
        <v>71520</v>
      </c>
      <c r="CZ55" s="71"/>
      <c r="DA55" s="6"/>
      <c r="DB55" s="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  <c r="DM55" s="186"/>
      <c r="DN55" s="186"/>
      <c r="DO55" s="186"/>
      <c r="DP55" s="186"/>
      <c r="DQ55" s="186"/>
      <c r="DR55" s="186"/>
      <c r="DS55" s="186"/>
      <c r="DT55" s="186"/>
      <c r="DU55" s="186"/>
      <c r="DV55" s="186"/>
      <c r="DW55" s="186"/>
      <c r="DX55" s="186"/>
      <c r="DY55" s="186"/>
      <c r="DZ55" s="186"/>
      <c r="EA55" s="186"/>
      <c r="EB55" s="186"/>
      <c r="EC55" s="186"/>
      <c r="ED55" s="186"/>
      <c r="EE55" s="186"/>
      <c r="EF55" s="186"/>
      <c r="EG55" s="186"/>
      <c r="EH55" s="186"/>
      <c r="EI55" s="186"/>
      <c r="EJ55" s="186"/>
      <c r="EK55" s="186"/>
      <c r="EL55" s="186"/>
      <c r="EM55" s="186"/>
      <c r="EN55" s="186"/>
      <c r="EO55" s="186"/>
      <c r="EP55" s="186"/>
      <c r="EQ55" s="186"/>
      <c r="ER55" s="186"/>
      <c r="ES55" s="186"/>
      <c r="ET55" s="186"/>
      <c r="EU55" s="186"/>
      <c r="EV55" s="186"/>
      <c r="EW55" s="186"/>
      <c r="EX55" s="186"/>
      <c r="EY55" s="186"/>
      <c r="EZ55" s="186"/>
      <c r="FA55" s="186"/>
      <c r="FB55" s="186"/>
      <c r="FC55" s="186"/>
      <c r="FD55" s="186"/>
      <c r="FE55" s="186"/>
      <c r="FF55" s="186"/>
      <c r="FG55" s="186"/>
      <c r="FH55" s="186"/>
      <c r="FI55" s="186"/>
      <c r="FJ55" s="186"/>
      <c r="FK55" s="186"/>
      <c r="FL55" s="186"/>
      <c r="FM55" s="186"/>
      <c r="FN55" s="186"/>
      <c r="FO55" s="186"/>
      <c r="FP55" s="186"/>
      <c r="FQ55" s="186"/>
      <c r="FR55" s="186"/>
      <c r="FS55" s="186"/>
      <c r="FT55" s="186"/>
      <c r="FU55" s="186"/>
      <c r="FV55" s="186"/>
      <c r="FW55" s="186"/>
      <c r="FX55" s="186"/>
      <c r="FY55" s="186"/>
      <c r="FZ55" s="186"/>
      <c r="GA55" s="186"/>
      <c r="GB55" s="186"/>
      <c r="GC55" s="186"/>
      <c r="GD55" s="186"/>
      <c r="GE55" s="186"/>
      <c r="GF55" s="186"/>
      <c r="GG55" s="186"/>
      <c r="GH55" s="186"/>
      <c r="GI55" s="186"/>
      <c r="GJ55" s="186"/>
      <c r="GK55" s="186"/>
      <c r="GL55" s="186"/>
      <c r="GM55" s="186"/>
      <c r="GN55" s="186"/>
      <c r="GO55" s="186"/>
      <c r="GP55" s="186"/>
      <c r="GQ55" s="186"/>
      <c r="GR55" s="186"/>
      <c r="GS55" s="186"/>
      <c r="GT55" s="186"/>
      <c r="GU55" s="186"/>
      <c r="GV55" s="186"/>
      <c r="GW55" s="186"/>
      <c r="GX55" s="186"/>
      <c r="GY55" s="186"/>
      <c r="GZ55" s="186"/>
      <c r="HA55" s="186"/>
      <c r="HB55" s="186"/>
      <c r="HC55" s="186"/>
      <c r="HD55" s="186"/>
      <c r="HE55" s="186"/>
      <c r="HF55" s="186"/>
      <c r="HG55" s="186"/>
      <c r="HH55" s="186"/>
      <c r="HI55" s="186"/>
      <c r="HJ55" s="186"/>
      <c r="HK55" s="186"/>
      <c r="HL55" s="186"/>
      <c r="HM55" s="186"/>
      <c r="HN55" s="186"/>
      <c r="HO55" s="186"/>
      <c r="HP55" s="186"/>
      <c r="HQ55" s="186"/>
      <c r="HR55" s="186"/>
      <c r="HS55" s="186"/>
      <c r="HT55" s="186"/>
      <c r="HU55" s="186"/>
      <c r="HV55" s="186"/>
      <c r="HW55" s="186"/>
      <c r="HX55" s="186"/>
      <c r="HY55" s="186"/>
      <c r="HZ55" s="186"/>
      <c r="IA55" s="186"/>
      <c r="IB55" s="186"/>
      <c r="IC55" s="186"/>
      <c r="ID55" s="186"/>
      <c r="IE55" s="186"/>
      <c r="IF55" s="186"/>
      <c r="IG55" s="186"/>
      <c r="IH55" s="186"/>
      <c r="II55" s="186"/>
      <c r="IJ55" s="186"/>
      <c r="IK55" s="186"/>
      <c r="IL55" s="186"/>
      <c r="IM55" s="186"/>
      <c r="IN55" s="186"/>
      <c r="IO55" s="186"/>
      <c r="IP55" s="186"/>
      <c r="IQ55" s="186"/>
      <c r="IR55" s="186"/>
      <c r="IS55" s="186"/>
      <c r="IT55" s="186"/>
      <c r="IU55" s="186"/>
      <c r="IV55" s="186"/>
      <c r="IW55" s="186"/>
      <c r="IX55" s="186"/>
      <c r="IY55" s="186"/>
      <c r="IZ55" s="186"/>
      <c r="JA55" s="186"/>
      <c r="JB55" s="186"/>
      <c r="JC55" s="186"/>
      <c r="JD55" s="186"/>
      <c r="JE55" s="186"/>
      <c r="JF55" s="186"/>
      <c r="JG55" s="186"/>
      <c r="JH55" s="186"/>
      <c r="JI55" s="186"/>
      <c r="JJ55" s="186"/>
      <c r="JK55" s="186"/>
      <c r="JL55" s="186"/>
      <c r="JM55" s="186"/>
      <c r="JN55" s="186"/>
      <c r="JO55" s="186"/>
      <c r="JP55" s="186"/>
      <c r="JQ55" s="186"/>
      <c r="JR55" s="186"/>
      <c r="JS55" s="186"/>
      <c r="JT55" s="186"/>
      <c r="JU55" s="186"/>
      <c r="JV55" s="186"/>
      <c r="JW55" s="186"/>
      <c r="JX55" s="186"/>
      <c r="JY55" s="186"/>
      <c r="JZ55" s="186"/>
      <c r="KA55" s="186"/>
      <c r="KB55" s="186"/>
      <c r="KC55" s="186"/>
      <c r="KD55" s="186"/>
      <c r="KE55" s="186"/>
      <c r="KF55" s="186"/>
      <c r="KG55" s="186"/>
      <c r="KH55" s="186"/>
      <c r="KI55" s="186"/>
      <c r="KJ55" s="186"/>
      <c r="KK55" s="186"/>
      <c r="KL55" s="186"/>
      <c r="KM55" s="186"/>
      <c r="KN55" s="186"/>
      <c r="KO55" s="186"/>
      <c r="KP55" s="186"/>
      <c r="KQ55" s="186"/>
      <c r="KR55" s="186"/>
      <c r="KS55" s="186"/>
      <c r="KT55" s="186"/>
      <c r="KU55" s="186"/>
      <c r="KV55" s="186"/>
      <c r="KW55" s="186"/>
      <c r="KX55" s="186"/>
      <c r="KY55" s="186"/>
      <c r="KZ55" s="186"/>
      <c r="LA55" s="186"/>
      <c r="LB55" s="186"/>
      <c r="LC55" s="186"/>
      <c r="LD55" s="186"/>
      <c r="LE55" s="186"/>
      <c r="LF55" s="186"/>
      <c r="LG55" s="186"/>
      <c r="LH55" s="186"/>
      <c r="LI55" s="186"/>
      <c r="LJ55" s="186"/>
      <c r="LK55" s="186"/>
      <c r="LL55" s="186"/>
      <c r="LM55" s="186"/>
      <c r="LN55" s="186"/>
      <c r="LO55" s="186"/>
      <c r="LP55" s="186"/>
      <c r="LQ55" s="186"/>
      <c r="LR55" s="186"/>
      <c r="LS55" s="186"/>
      <c r="LT55" s="186"/>
      <c r="LU55" s="186"/>
      <c r="LV55" s="186"/>
      <c r="LW55" s="186"/>
      <c r="LX55" s="186"/>
      <c r="LY55" s="186"/>
      <c r="LZ55" s="186"/>
      <c r="MA55" s="186"/>
      <c r="MB55" s="186"/>
      <c r="MC55" s="186"/>
      <c r="MD55" s="186"/>
      <c r="ME55" s="186"/>
      <c r="MF55" s="186"/>
      <c r="MG55" s="186"/>
      <c r="MH55" s="186"/>
      <c r="MI55" s="186"/>
      <c r="MJ55" s="186"/>
      <c r="MK55" s="186"/>
      <c r="ML55" s="186"/>
      <c r="MM55" s="186"/>
      <c r="MN55" s="186"/>
      <c r="MO55" s="186"/>
      <c r="MP55" s="186"/>
      <c r="MQ55" s="186"/>
      <c r="MR55" s="186"/>
      <c r="MS55" s="186"/>
      <c r="MT55" s="186"/>
      <c r="MU55" s="186"/>
      <c r="MV55" s="186"/>
      <c r="MW55" s="186"/>
      <c r="MX55" s="186"/>
      <c r="MY55" s="186"/>
      <c r="MZ55" s="186"/>
      <c r="NA55" s="186"/>
      <c r="NB55" s="186"/>
      <c r="NC55" s="186"/>
      <c r="ND55" s="186"/>
      <c r="NE55" s="186"/>
      <c r="NF55" s="186"/>
      <c r="NG55" s="186"/>
      <c r="NH55" s="186"/>
      <c r="NI55" s="186"/>
      <c r="NJ55" s="186"/>
      <c r="NK55" s="186"/>
      <c r="NL55" s="186"/>
      <c r="NM55" s="186"/>
      <c r="NN55" s="186"/>
      <c r="NO55" s="186"/>
      <c r="NP55" s="186"/>
      <c r="NQ55" s="186"/>
      <c r="NR55" s="186"/>
      <c r="NS55" s="186"/>
      <c r="NT55" s="186"/>
      <c r="NU55" s="186"/>
      <c r="NV55" s="186"/>
      <c r="NW55" s="186"/>
      <c r="NX55" s="186"/>
      <c r="NY55" s="186"/>
      <c r="NZ55" s="186"/>
      <c r="OA55" s="186"/>
      <c r="OB55" s="186"/>
      <c r="OC55" s="186"/>
      <c r="OD55" s="186"/>
      <c r="OE55" s="186"/>
      <c r="OF55" s="186"/>
      <c r="OG55" s="186"/>
      <c r="OH55" s="186"/>
      <c r="OI55" s="186"/>
      <c r="OJ55" s="186"/>
      <c r="OK55" s="186"/>
      <c r="OL55" s="186"/>
      <c r="OM55" s="186"/>
      <c r="ON55" s="186"/>
      <c r="OO55" s="186"/>
      <c r="OP55" s="186"/>
      <c r="OQ55" s="186"/>
      <c r="OR55" s="186"/>
      <c r="OS55" s="186"/>
      <c r="OT55" s="186"/>
      <c r="OU55" s="186"/>
      <c r="OV55" s="186"/>
      <c r="OW55" s="186"/>
      <c r="OX55" s="186"/>
      <c r="OY55" s="186"/>
      <c r="OZ55" s="186"/>
      <c r="PA55" s="186"/>
      <c r="PB55" s="186"/>
      <c r="PC55" s="186"/>
      <c r="PD55" s="186"/>
      <c r="PE55" s="186"/>
      <c r="PF55" s="186"/>
      <c r="PG55" s="186"/>
      <c r="PH55" s="186"/>
      <c r="PI55" s="186"/>
      <c r="PJ55" s="186"/>
      <c r="PK55" s="186"/>
      <c r="PL55" s="186"/>
      <c r="PM55" s="186"/>
      <c r="PN55" s="186"/>
      <c r="PO55" s="186"/>
      <c r="PP55" s="186"/>
      <c r="PQ55" s="186"/>
      <c r="PR55" s="186"/>
      <c r="PS55" s="186"/>
      <c r="PT55" s="186"/>
      <c r="PU55" s="186"/>
      <c r="PV55" s="186"/>
      <c r="PW55" s="186"/>
      <c r="PX55" s="186"/>
      <c r="PY55" s="186"/>
      <c r="PZ55" s="186"/>
      <c r="QA55" s="186"/>
      <c r="QB55" s="186"/>
      <c r="QC55" s="186"/>
      <c r="QD55" s="186"/>
      <c r="QE55" s="186"/>
      <c r="QF55" s="186"/>
      <c r="QG55" s="186"/>
      <c r="QH55" s="186"/>
      <c r="QI55" s="186"/>
      <c r="QJ55" s="186"/>
      <c r="QK55" s="186"/>
      <c r="QL55" s="186"/>
      <c r="QM55" s="186"/>
      <c r="QN55" s="186"/>
      <c r="QO55" s="186"/>
      <c r="QP55" s="186"/>
      <c r="QQ55" s="186"/>
      <c r="QR55" s="186"/>
      <c r="QS55" s="186"/>
      <c r="QT55" s="186"/>
      <c r="QU55" s="186"/>
      <c r="QV55" s="186"/>
      <c r="QW55" s="186"/>
      <c r="QX55" s="186"/>
      <c r="QY55" s="186"/>
      <c r="QZ55" s="186"/>
      <c r="RA55" s="186"/>
      <c r="RB55" s="186"/>
      <c r="RC55" s="186"/>
      <c r="RD55" s="186"/>
      <c r="RE55" s="186"/>
      <c r="RF55" s="186"/>
      <c r="RG55" s="186"/>
      <c r="RH55" s="186"/>
      <c r="RI55" s="186"/>
      <c r="RJ55" s="186"/>
      <c r="RK55" s="186"/>
      <c r="RL55" s="186"/>
      <c r="RM55" s="186"/>
      <c r="RN55" s="186"/>
      <c r="RO55" s="186"/>
      <c r="RP55" s="186"/>
      <c r="RQ55" s="186"/>
      <c r="RR55" s="186"/>
      <c r="RS55" s="186"/>
      <c r="RT55" s="186"/>
      <c r="RU55" s="186"/>
      <c r="RV55" s="186"/>
      <c r="RW55" s="186"/>
      <c r="RX55" s="186"/>
      <c r="RY55" s="186"/>
      <c r="RZ55" s="186"/>
      <c r="SA55" s="186"/>
      <c r="SB55" s="186"/>
      <c r="SC55" s="186"/>
      <c r="SD55" s="186"/>
      <c r="SE55" s="186"/>
      <c r="SF55" s="186"/>
      <c r="SG55" s="186"/>
      <c r="SH55" s="186"/>
      <c r="SI55" s="186"/>
      <c r="SJ55" s="186"/>
      <c r="SK55" s="186"/>
      <c r="SL55" s="186"/>
      <c r="SM55" s="186"/>
      <c r="SN55" s="186"/>
      <c r="SO55" s="186"/>
      <c r="SP55" s="186"/>
      <c r="SQ55" s="186"/>
      <c r="SR55" s="186"/>
      <c r="SS55" s="186"/>
      <c r="ST55" s="186"/>
      <c r="SU55" s="186"/>
      <c r="SV55" s="186"/>
      <c r="SW55" s="186"/>
      <c r="SX55" s="186"/>
      <c r="SY55" s="186"/>
      <c r="SZ55" s="186"/>
      <c r="TA55" s="186"/>
      <c r="TB55" s="186"/>
      <c r="TC55" s="186"/>
      <c r="TD55" s="186"/>
      <c r="TE55" s="186"/>
      <c r="TF55" s="186"/>
      <c r="TG55" s="186"/>
      <c r="TH55" s="186"/>
      <c r="TI55" s="186"/>
      <c r="TJ55" s="186"/>
      <c r="TK55" s="186"/>
      <c r="TL55" s="186"/>
      <c r="TM55" s="186"/>
      <c r="TN55" s="186"/>
      <c r="TO55" s="186"/>
      <c r="TP55" s="186"/>
      <c r="TQ55" s="186"/>
      <c r="TR55" s="186"/>
      <c r="TS55" s="186"/>
      <c r="TT55" s="186"/>
      <c r="TU55" s="186"/>
      <c r="TV55" s="186"/>
      <c r="TW55" s="186"/>
      <c r="TX55" s="186"/>
      <c r="TY55" s="186"/>
      <c r="TZ55" s="186"/>
      <c r="UA55" s="186"/>
      <c r="UB55" s="186"/>
      <c r="UC55" s="186"/>
      <c r="UD55" s="186"/>
      <c r="UE55" s="186"/>
      <c r="UF55" s="186"/>
      <c r="UG55" s="186"/>
      <c r="UH55" s="186"/>
      <c r="UI55" s="186"/>
      <c r="UJ55" s="186"/>
      <c r="UK55" s="186"/>
      <c r="UL55" s="186"/>
      <c r="UM55" s="186"/>
      <c r="UN55" s="186"/>
      <c r="UO55" s="186"/>
      <c r="UP55" s="186"/>
      <c r="UQ55" s="186"/>
      <c r="UR55" s="186"/>
      <c r="US55" s="186"/>
      <c r="UT55" s="186"/>
      <c r="UU55" s="186"/>
      <c r="UV55" s="186"/>
      <c r="UW55" s="186"/>
      <c r="UX55" s="186"/>
      <c r="UY55" s="186"/>
      <c r="UZ55" s="186"/>
      <c r="VA55" s="186"/>
      <c r="VB55" s="186"/>
      <c r="VC55" s="186"/>
      <c r="VD55" s="186"/>
      <c r="VE55" s="186"/>
      <c r="VF55" s="186"/>
      <c r="VG55" s="186"/>
      <c r="VH55" s="186"/>
      <c r="VI55" s="186"/>
      <c r="VJ55" s="186"/>
      <c r="VK55" s="186"/>
      <c r="VL55" s="186"/>
      <c r="VM55" s="186"/>
      <c r="VN55" s="186"/>
      <c r="VO55" s="186"/>
      <c r="VP55" s="186"/>
      <c r="VQ55" s="186"/>
      <c r="VR55" s="186"/>
      <c r="VS55" s="186"/>
      <c r="VT55" s="186"/>
      <c r="VU55" s="186"/>
      <c r="VV55" s="186"/>
      <c r="VW55" s="186"/>
      <c r="VX55" s="186"/>
      <c r="VY55" s="186"/>
      <c r="VZ55" s="186"/>
      <c r="WA55" s="186"/>
      <c r="WB55" s="186"/>
      <c r="WC55" s="186"/>
      <c r="WD55" s="186"/>
      <c r="WE55" s="186"/>
      <c r="WF55" s="186"/>
      <c r="WG55" s="186"/>
      <c r="WH55" s="186"/>
      <c r="WI55" s="186"/>
      <c r="WJ55" s="186"/>
      <c r="WK55" s="186"/>
      <c r="WL55" s="186"/>
      <c r="WM55" s="186"/>
      <c r="WN55" s="186"/>
      <c r="WO55" s="186"/>
      <c r="WP55" s="186"/>
      <c r="WQ55" s="186"/>
      <c r="WR55" s="186"/>
      <c r="WS55" s="186"/>
      <c r="WT55" s="186"/>
      <c r="WU55" s="186"/>
      <c r="WV55" s="186"/>
      <c r="WW55" s="186"/>
      <c r="WX55" s="186"/>
      <c r="WY55" s="186"/>
      <c r="WZ55" s="186"/>
      <c r="XA55" s="186"/>
      <c r="XB55" s="186"/>
      <c r="XC55" s="186"/>
      <c r="XD55" s="186"/>
      <c r="XE55" s="186"/>
      <c r="XF55" s="186"/>
      <c r="XG55" s="186"/>
      <c r="XH55" s="186"/>
      <c r="XI55" s="186"/>
      <c r="XJ55" s="186"/>
      <c r="XK55" s="186"/>
      <c r="XL55" s="186"/>
      <c r="XM55" s="186"/>
      <c r="XN55" s="186"/>
      <c r="XO55" s="186"/>
      <c r="XP55" s="186"/>
      <c r="XQ55" s="186"/>
      <c r="XR55" s="186"/>
      <c r="XS55" s="186"/>
      <c r="XT55" s="186"/>
      <c r="XU55" s="186"/>
      <c r="XV55" s="186"/>
      <c r="XW55" s="186"/>
      <c r="XX55" s="186"/>
      <c r="XY55" s="186"/>
      <c r="XZ55" s="186"/>
      <c r="YA55" s="186"/>
      <c r="YB55" s="186"/>
      <c r="YC55" s="186"/>
      <c r="YD55" s="186"/>
      <c r="YE55" s="186"/>
      <c r="YF55" s="186"/>
      <c r="YG55" s="186"/>
      <c r="YH55" s="186"/>
      <c r="YI55" s="186"/>
      <c r="YJ55" s="186"/>
      <c r="YK55" s="186"/>
      <c r="YL55" s="186"/>
      <c r="YM55" s="186"/>
      <c r="YN55" s="186"/>
      <c r="YO55" s="186"/>
      <c r="YP55" s="186"/>
      <c r="YQ55" s="186"/>
      <c r="YR55" s="186"/>
      <c r="YS55" s="186"/>
      <c r="YT55" s="186"/>
      <c r="YU55" s="186"/>
      <c r="YV55" s="186"/>
      <c r="YW55" s="186"/>
      <c r="YX55" s="186"/>
      <c r="YY55" s="186"/>
      <c r="YZ55" s="186"/>
      <c r="ZA55" s="186"/>
      <c r="ZB55" s="186"/>
      <c r="ZC55" s="186"/>
      <c r="ZD55" s="186"/>
      <c r="ZE55" s="186"/>
      <c r="ZF55" s="186"/>
      <c r="ZG55" s="186"/>
      <c r="ZH55" s="186"/>
      <c r="ZI55" s="186"/>
      <c r="ZJ55" s="186"/>
      <c r="ZK55" s="186"/>
      <c r="ZL55" s="186"/>
      <c r="ZM55" s="186"/>
      <c r="ZN55" s="186"/>
      <c r="ZO55" s="186"/>
      <c r="ZP55" s="186"/>
      <c r="ZQ55" s="186"/>
      <c r="ZR55" s="186"/>
      <c r="ZS55" s="186"/>
      <c r="ZT55" s="186"/>
      <c r="ZU55" s="186"/>
      <c r="ZV55" s="186"/>
      <c r="ZW55" s="186"/>
      <c r="ZX55" s="186"/>
      <c r="ZY55" s="186"/>
      <c r="ZZ55" s="186"/>
      <c r="AAA55" s="186"/>
      <c r="AAB55" s="186"/>
      <c r="AAC55" s="186"/>
      <c r="AAD55" s="186"/>
      <c r="AAE55" s="186"/>
      <c r="AAF55" s="186"/>
      <c r="AAG55" s="186"/>
      <c r="AAH55" s="186"/>
      <c r="AAI55" s="186"/>
      <c r="AAJ55" s="186"/>
      <c r="AAK55" s="186"/>
      <c r="AAL55" s="186"/>
      <c r="AAM55" s="186"/>
      <c r="AAN55" s="186"/>
      <c r="AAO55" s="186"/>
      <c r="AAP55" s="186"/>
      <c r="AAQ55" s="186"/>
      <c r="AAR55" s="186"/>
      <c r="AAS55" s="186"/>
      <c r="AAT55" s="186"/>
      <c r="AAU55" s="186"/>
      <c r="AAV55" s="186"/>
      <c r="AAW55" s="186"/>
      <c r="AAX55" s="186"/>
      <c r="AAY55" s="186"/>
      <c r="AAZ55" s="186"/>
      <c r="ABA55" s="186"/>
      <c r="ABB55" s="186"/>
      <c r="ABC55" s="186"/>
      <c r="ABD55" s="186"/>
      <c r="ABE55" s="186"/>
      <c r="ABF55" s="186"/>
      <c r="ABG55" s="186"/>
      <c r="ABH55" s="186"/>
      <c r="ABI55" s="186"/>
      <c r="ABJ55" s="186"/>
      <c r="ABK55" s="186"/>
      <c r="ABL55" s="186"/>
      <c r="ABM55" s="186"/>
      <c r="ABN55" s="186"/>
      <c r="ABO55" s="186"/>
      <c r="ABP55" s="186"/>
      <c r="ABQ55" s="186"/>
      <c r="ABR55" s="186"/>
      <c r="ABS55" s="186"/>
      <c r="ABT55" s="186"/>
      <c r="ABU55" s="186"/>
      <c r="ABV55" s="186"/>
      <c r="ABW55" s="186"/>
      <c r="ABX55" s="186"/>
      <c r="ABY55" s="186"/>
      <c r="ABZ55" s="186"/>
      <c r="ACA55" s="186"/>
      <c r="ACB55" s="186"/>
      <c r="ACC55" s="186"/>
      <c r="ACD55" s="186"/>
      <c r="ACE55" s="186"/>
      <c r="ACF55" s="186"/>
      <c r="ACG55" s="186"/>
      <c r="ACH55" s="186"/>
      <c r="ACI55" s="186"/>
      <c r="ACJ55" s="186"/>
      <c r="ACK55" s="186"/>
      <c r="ACL55" s="186"/>
      <c r="ACM55" s="186"/>
      <c r="ACN55" s="186"/>
      <c r="ACO55" s="186"/>
      <c r="ACP55" s="186"/>
      <c r="ACQ55" s="186"/>
      <c r="ACR55" s="186"/>
      <c r="ACS55" s="186"/>
      <c r="ACT55" s="186"/>
      <c r="ACU55" s="186"/>
      <c r="ACV55" s="186"/>
      <c r="ACW55" s="186"/>
      <c r="ACX55" s="186"/>
      <c r="ACY55" s="186"/>
      <c r="ACZ55" s="186"/>
      <c r="ADA55" s="186"/>
      <c r="ADB55" s="186"/>
      <c r="ADC55" s="186"/>
      <c r="ADD55" s="186"/>
      <c r="ADE55" s="186"/>
      <c r="ADF55" s="186"/>
      <c r="ADG55" s="186"/>
      <c r="ADH55" s="186"/>
      <c r="ADI55" s="186"/>
      <c r="ADJ55" s="186"/>
      <c r="ADK55" s="186"/>
      <c r="ADL55" s="186"/>
      <c r="ADM55" s="186"/>
      <c r="ADN55" s="186"/>
      <c r="ADO55" s="186"/>
      <c r="ADP55" s="186"/>
      <c r="ADQ55" s="186"/>
      <c r="ADR55" s="186"/>
      <c r="ADS55" s="186"/>
      <c r="ADT55" s="186"/>
      <c r="ADU55" s="186"/>
      <c r="ADV55" s="186"/>
      <c r="ADW55" s="186"/>
      <c r="ADX55" s="186"/>
      <c r="ADY55" s="186"/>
      <c r="ADZ55" s="186"/>
      <c r="AEA55" s="186"/>
      <c r="AEB55" s="186"/>
      <c r="AEC55" s="186"/>
      <c r="AED55" s="186"/>
      <c r="AEE55" s="186"/>
      <c r="AEF55" s="186"/>
      <c r="AEG55" s="186"/>
      <c r="AEH55" s="186"/>
      <c r="AEI55" s="186"/>
      <c r="AEJ55" s="186"/>
      <c r="AEK55" s="186"/>
      <c r="AEL55" s="186"/>
      <c r="AEM55" s="186"/>
      <c r="AEN55" s="186"/>
      <c r="AEO55" s="186"/>
      <c r="AEP55" s="186"/>
      <c r="AEQ55" s="186"/>
      <c r="AER55" s="186"/>
      <c r="AES55" s="186"/>
      <c r="AET55" s="186"/>
      <c r="AEU55" s="186"/>
      <c r="AEV55" s="186"/>
      <c r="AEW55" s="186"/>
      <c r="AEX55" s="186"/>
      <c r="AEY55" s="186"/>
      <c r="AEZ55" s="186"/>
      <c r="AFA55" s="186"/>
      <c r="AFB55" s="186"/>
      <c r="AFC55" s="186"/>
      <c r="AFD55" s="186"/>
      <c r="AFE55" s="186"/>
      <c r="AFF55" s="186"/>
      <c r="AFG55" s="186"/>
      <c r="AFH55" s="186"/>
      <c r="AFI55" s="186"/>
      <c r="AFJ55" s="186"/>
      <c r="AFK55" s="186"/>
      <c r="AFL55" s="186"/>
      <c r="AFM55" s="186"/>
      <c r="AFN55" s="186"/>
      <c r="AFO55" s="186"/>
      <c r="AFP55" s="186"/>
      <c r="AFQ55" s="186"/>
      <c r="AFR55" s="186"/>
      <c r="AFS55" s="186"/>
      <c r="AFT55" s="186"/>
      <c r="AFU55" s="186"/>
      <c r="AFV55" s="186"/>
      <c r="AFW55" s="186"/>
      <c r="AFX55" s="186"/>
      <c r="AFY55" s="186"/>
      <c r="AFZ55" s="186"/>
      <c r="AGA55" s="186"/>
      <c r="AGB55" s="186"/>
      <c r="AGC55" s="186"/>
      <c r="AGD55" s="186"/>
      <c r="AGE55" s="186"/>
      <c r="AGF55" s="186"/>
      <c r="AGG55" s="186"/>
      <c r="AGH55" s="186"/>
      <c r="AGI55" s="186"/>
      <c r="AGJ55" s="186"/>
      <c r="AGK55" s="186"/>
      <c r="AGL55" s="186"/>
      <c r="AGM55" s="186"/>
      <c r="AGN55" s="186"/>
      <c r="AGO55" s="186"/>
      <c r="AGP55" s="186"/>
      <c r="AGQ55" s="186"/>
      <c r="AGR55" s="186"/>
      <c r="AGS55" s="186"/>
      <c r="AGT55" s="186"/>
      <c r="AGU55" s="186"/>
      <c r="AGV55" s="186"/>
      <c r="AGW55" s="186"/>
      <c r="AGX55" s="186"/>
      <c r="AGY55" s="186"/>
      <c r="AGZ55" s="186"/>
      <c r="AHA55" s="186"/>
      <c r="AHB55" s="186"/>
      <c r="AHC55" s="186"/>
      <c r="AHD55" s="186"/>
      <c r="AHE55" s="186"/>
      <c r="AHF55" s="186"/>
      <c r="AHG55" s="186"/>
      <c r="AHH55" s="186"/>
      <c r="AHI55" s="186"/>
      <c r="AHJ55" s="186"/>
      <c r="AHK55" s="186"/>
      <c r="AHL55" s="186"/>
      <c r="AHM55" s="186"/>
      <c r="AHN55" s="186"/>
      <c r="AHO55" s="186"/>
      <c r="AHP55" s="186"/>
      <c r="AHQ55" s="186"/>
      <c r="AHR55" s="186"/>
      <c r="AHS55" s="186"/>
      <c r="AHT55" s="186"/>
      <c r="AHU55" s="186"/>
      <c r="AHV55" s="186"/>
      <c r="AHW55" s="186"/>
      <c r="AHX55" s="186"/>
      <c r="AHY55" s="186"/>
      <c r="AHZ55" s="186"/>
      <c r="AIA55" s="186"/>
      <c r="AIB55" s="186"/>
      <c r="AIC55" s="186"/>
      <c r="AID55" s="186"/>
      <c r="AIE55" s="186"/>
      <c r="AIF55" s="186"/>
      <c r="AIG55" s="186"/>
      <c r="AIH55" s="186"/>
      <c r="AII55" s="186"/>
      <c r="AIJ55" s="186"/>
      <c r="AIK55" s="186"/>
      <c r="AIL55" s="186"/>
      <c r="AIM55" s="186"/>
      <c r="AIN55" s="186"/>
      <c r="AIO55" s="186"/>
      <c r="AIP55" s="186"/>
      <c r="AIQ55" s="186"/>
      <c r="AIR55" s="186"/>
      <c r="AIS55" s="186"/>
      <c r="AIT55" s="186"/>
      <c r="AIU55" s="186"/>
      <c r="AIV55" s="186"/>
      <c r="AIW55" s="186"/>
      <c r="AIX55" s="186"/>
      <c r="AIY55" s="186"/>
      <c r="AIZ55" s="186"/>
      <c r="AJA55" s="186"/>
      <c r="AJB55" s="186"/>
      <c r="AJC55" s="186"/>
      <c r="AJD55" s="186"/>
      <c r="AJE55" s="186"/>
      <c r="AJF55" s="186"/>
      <c r="AJG55" s="186"/>
      <c r="AJH55" s="186"/>
      <c r="AJI55" s="186"/>
      <c r="AJJ55" s="186"/>
      <c r="AJK55" s="186"/>
      <c r="AJL55" s="186"/>
      <c r="AJM55" s="186"/>
      <c r="AJN55" s="186"/>
      <c r="AJO55" s="186"/>
      <c r="AJP55" s="186"/>
      <c r="AJQ55" s="186"/>
      <c r="AJR55" s="186"/>
      <c r="AJS55" s="186"/>
      <c r="AJT55" s="186"/>
      <c r="AJU55" s="186"/>
      <c r="AJV55" s="186"/>
      <c r="AJW55" s="186"/>
      <c r="AJX55" s="186"/>
      <c r="AJY55" s="186"/>
      <c r="AJZ55" s="186"/>
      <c r="AKA55" s="186"/>
      <c r="AKB55" s="186"/>
      <c r="AKC55" s="186"/>
      <c r="AKD55" s="186"/>
      <c r="AKE55" s="186"/>
      <c r="AKF55" s="186"/>
      <c r="AKG55" s="186"/>
      <c r="AKH55" s="186"/>
      <c r="AKI55" s="186"/>
      <c r="AKJ55" s="186"/>
      <c r="AKK55" s="186"/>
      <c r="AKL55" s="186"/>
      <c r="AKM55" s="186"/>
      <c r="AKN55" s="186"/>
      <c r="AKO55" s="186"/>
      <c r="AKP55" s="186"/>
      <c r="AKQ55" s="186"/>
      <c r="AKR55" s="186"/>
      <c r="AKS55" s="186"/>
      <c r="AKT55" s="186"/>
      <c r="AKU55" s="186"/>
      <c r="AKV55" s="186"/>
      <c r="AKW55" s="186"/>
      <c r="AKX55" s="186"/>
      <c r="AKY55" s="186"/>
      <c r="AKZ55" s="186"/>
      <c r="ALA55" s="186"/>
      <c r="ALB55" s="186"/>
      <c r="ALC55" s="186"/>
      <c r="ALD55" s="186"/>
      <c r="ALE55" s="186"/>
      <c r="ALF55" s="186"/>
      <c r="ALG55" s="186"/>
      <c r="ALH55" s="186"/>
      <c r="ALI55" s="186"/>
      <c r="ALJ55" s="186"/>
      <c r="ALK55" s="186"/>
      <c r="ALL55" s="186"/>
      <c r="ALM55" s="186"/>
      <c r="ALN55" s="186"/>
      <c r="ALO55" s="186"/>
      <c r="ALP55" s="186"/>
      <c r="ALQ55" s="186"/>
      <c r="ALR55" s="186"/>
      <c r="ALS55" s="186"/>
      <c r="ALT55" s="186"/>
      <c r="ALU55" s="186"/>
      <c r="ALV55" s="186"/>
      <c r="ALW55" s="186"/>
      <c r="ALX55" s="186"/>
      <c r="ALY55" s="186"/>
      <c r="ALZ55" s="186"/>
      <c r="AMA55" s="186"/>
      <c r="AMB55" s="186"/>
      <c r="AMC55" s="186"/>
      <c r="AMD55" s="186"/>
      <c r="AME55" s="186"/>
      <c r="AMF55" s="186"/>
      <c r="AMG55" s="186"/>
      <c r="AMH55" s="186"/>
      <c r="AMI55" s="186"/>
      <c r="AMJ55" s="186"/>
      <c r="AMK55" s="186"/>
      <c r="AML55" s="186"/>
      <c r="AMM55" s="186"/>
      <c r="AMN55" s="186"/>
      <c r="AMO55" s="186"/>
      <c r="AMP55" s="186"/>
      <c r="AMQ55" s="186"/>
      <c r="AMR55" s="186"/>
      <c r="AMS55" s="186"/>
      <c r="AMT55" s="186"/>
      <c r="AMU55" s="186"/>
      <c r="AMV55" s="186"/>
      <c r="AMW55" s="186"/>
      <c r="AMX55" s="186"/>
      <c r="AMY55" s="186"/>
      <c r="AMZ55" s="186"/>
      <c r="ANA55" s="186"/>
      <c r="ANB55" s="186"/>
      <c r="ANC55" s="186"/>
      <c r="AND55" s="186"/>
      <c r="ANE55" s="186"/>
      <c r="ANF55" s="186"/>
      <c r="ANG55" s="186"/>
      <c r="ANH55" s="186"/>
      <c r="ANI55" s="186"/>
      <c r="ANJ55" s="186"/>
      <c r="ANK55" s="186"/>
      <c r="ANL55" s="186"/>
      <c r="ANM55" s="186"/>
      <c r="ANN55" s="186"/>
      <c r="ANO55" s="186"/>
      <c r="ANP55" s="186"/>
      <c r="ANQ55" s="186"/>
      <c r="ANR55" s="186"/>
      <c r="ANS55" s="186"/>
      <c r="ANT55" s="186"/>
      <c r="ANU55" s="186"/>
      <c r="ANV55" s="186"/>
      <c r="ANW55" s="186"/>
      <c r="ANX55" s="186"/>
      <c r="ANY55" s="186"/>
      <c r="ANZ55" s="186"/>
      <c r="AOA55" s="186"/>
      <c r="AOB55" s="186"/>
      <c r="AOC55" s="186"/>
      <c r="AOD55" s="186"/>
      <c r="AOE55" s="186"/>
      <c r="AOF55" s="186"/>
      <c r="AOG55" s="186"/>
      <c r="AOH55" s="186"/>
      <c r="AOI55" s="186"/>
      <c r="AOJ55" s="186"/>
      <c r="AOK55" s="186"/>
      <c r="AOL55" s="186"/>
      <c r="AOM55" s="186"/>
      <c r="AON55" s="186"/>
      <c r="AOO55" s="186"/>
      <c r="AOP55" s="186"/>
      <c r="AOQ55" s="186"/>
      <c r="AOR55" s="186"/>
      <c r="AOS55" s="186"/>
      <c r="AOT55" s="186"/>
      <c r="AOU55" s="186"/>
      <c r="AOV55" s="186"/>
      <c r="AOW55" s="186"/>
      <c r="AOX55" s="186"/>
      <c r="AOY55" s="186"/>
      <c r="AOZ55" s="186"/>
      <c r="APA55" s="186"/>
      <c r="APB55" s="186"/>
      <c r="APC55" s="186"/>
      <c r="APD55" s="186"/>
      <c r="APE55" s="186"/>
      <c r="APF55" s="186"/>
      <c r="APG55" s="186"/>
      <c r="APH55" s="186"/>
      <c r="API55" s="186"/>
      <c r="APJ55" s="186"/>
      <c r="APK55" s="186"/>
      <c r="APL55" s="186"/>
      <c r="APM55" s="186"/>
      <c r="APN55" s="186"/>
      <c r="APO55" s="186"/>
      <c r="APP55" s="186"/>
      <c r="APQ55" s="186"/>
      <c r="APR55" s="186"/>
      <c r="APS55" s="186"/>
      <c r="APT55" s="186"/>
      <c r="APU55" s="186"/>
      <c r="APV55" s="186"/>
      <c r="APW55" s="186"/>
      <c r="APX55" s="186"/>
      <c r="APY55" s="186"/>
      <c r="APZ55" s="186"/>
      <c r="AQA55" s="186"/>
      <c r="AQB55" s="186"/>
      <c r="AQC55" s="186"/>
      <c r="AQD55" s="186"/>
      <c r="AQE55" s="186"/>
      <c r="AQF55" s="186"/>
      <c r="AQG55" s="186"/>
      <c r="AQH55" s="186"/>
      <c r="AQI55" s="186"/>
      <c r="AQJ55" s="186"/>
      <c r="AQK55" s="186"/>
      <c r="AQL55" s="186"/>
      <c r="AQM55" s="186"/>
      <c r="AQN55" s="186"/>
      <c r="AQO55" s="186"/>
      <c r="AQP55" s="186"/>
      <c r="AQQ55" s="186"/>
      <c r="AQR55" s="186"/>
      <c r="AQS55" s="186"/>
      <c r="AQT55" s="186"/>
      <c r="AQU55" s="186"/>
      <c r="AQV55" s="186"/>
      <c r="AQW55" s="186"/>
      <c r="AQX55" s="186"/>
      <c r="AQY55" s="186"/>
      <c r="AQZ55" s="186"/>
      <c r="ARA55" s="186"/>
      <c r="ARB55" s="186"/>
      <c r="ARC55" s="186"/>
      <c r="ARD55" s="186"/>
      <c r="ARE55" s="186"/>
      <c r="ARF55" s="186"/>
      <c r="ARG55" s="186"/>
      <c r="ARH55" s="186"/>
      <c r="ARI55" s="186"/>
      <c r="ARJ55" s="186"/>
      <c r="ARK55" s="186"/>
      <c r="ARL55" s="186"/>
      <c r="ARM55" s="186"/>
      <c r="ARN55" s="186"/>
      <c r="ARO55" s="186"/>
      <c r="ARP55" s="186"/>
      <c r="ARQ55" s="186"/>
      <c r="ARR55" s="186"/>
      <c r="ARS55" s="186"/>
      <c r="ART55" s="186"/>
      <c r="ARU55" s="186"/>
      <c r="ARV55" s="186"/>
      <c r="ARW55" s="186"/>
      <c r="ARX55" s="186"/>
      <c r="ARY55" s="186"/>
      <c r="ARZ55" s="186"/>
      <c r="ASA55" s="186"/>
      <c r="ASB55" s="186"/>
      <c r="ASC55" s="186"/>
      <c r="ASD55" s="186"/>
      <c r="ASE55" s="186"/>
      <c r="ASF55" s="186"/>
      <c r="ASG55" s="186"/>
      <c r="ASH55" s="186"/>
      <c r="ASI55" s="186"/>
      <c r="ASJ55" s="186"/>
      <c r="ASK55" s="186"/>
      <c r="ASL55" s="186"/>
      <c r="ASM55" s="186"/>
      <c r="ASN55" s="186"/>
      <c r="ASO55" s="186"/>
      <c r="ASP55" s="186"/>
      <c r="ASQ55" s="186"/>
      <c r="ASR55" s="186"/>
      <c r="ASS55" s="186"/>
      <c r="AST55" s="186"/>
      <c r="ASU55" s="186"/>
      <c r="ASV55" s="186"/>
      <c r="ASW55" s="186"/>
      <c r="ASX55" s="186"/>
      <c r="ASY55" s="186"/>
      <c r="ASZ55" s="186"/>
      <c r="ATA55" s="186"/>
      <c r="ATB55" s="186"/>
      <c r="ATC55" s="186"/>
      <c r="ATD55" s="186"/>
      <c r="ATE55" s="186"/>
      <c r="ATF55" s="186"/>
      <c r="ATG55" s="186"/>
      <c r="ATH55" s="186"/>
      <c r="ATI55" s="186"/>
      <c r="ATJ55" s="186"/>
      <c r="ATK55" s="186"/>
      <c r="ATL55" s="186"/>
      <c r="ATM55" s="186"/>
      <c r="ATN55" s="186"/>
      <c r="ATO55" s="186"/>
      <c r="ATP55" s="186"/>
      <c r="ATQ55" s="186"/>
      <c r="ATR55" s="186"/>
      <c r="ATS55" s="186"/>
      <c r="ATT55" s="186"/>
      <c r="ATU55" s="186"/>
      <c r="ATV55" s="186"/>
      <c r="ATW55" s="186"/>
      <c r="ATX55" s="186"/>
      <c r="ATY55" s="186"/>
      <c r="ATZ55" s="186"/>
      <c r="AUA55" s="186"/>
      <c r="AUB55" s="186"/>
      <c r="AUC55" s="186"/>
      <c r="AUD55" s="186"/>
      <c r="AUE55" s="186"/>
      <c r="AUF55" s="186"/>
      <c r="AUG55" s="186"/>
      <c r="AUH55" s="186"/>
      <c r="AUI55" s="186"/>
      <c r="AUJ55" s="186"/>
      <c r="AUK55" s="186"/>
      <c r="AUL55" s="186"/>
      <c r="AUM55" s="186"/>
      <c r="AUN55" s="186"/>
      <c r="AUO55" s="186"/>
      <c r="AUP55" s="186"/>
      <c r="AUQ55" s="186"/>
      <c r="AUR55" s="186"/>
      <c r="AUS55" s="186"/>
      <c r="AUT55" s="186"/>
      <c r="AUU55" s="186"/>
      <c r="AUV55" s="186"/>
      <c r="AUW55" s="186"/>
      <c r="AUX55" s="186"/>
      <c r="AUY55" s="186"/>
      <c r="AUZ55" s="186"/>
      <c r="AVA55" s="186"/>
      <c r="AVB55" s="186"/>
      <c r="AVC55" s="186"/>
      <c r="AVD55" s="186"/>
      <c r="AVE55" s="186"/>
      <c r="AVF55" s="186"/>
      <c r="AVG55" s="186"/>
      <c r="AVH55" s="186"/>
      <c r="AVI55" s="186"/>
      <c r="AVJ55" s="186"/>
      <c r="AVK55" s="186"/>
      <c r="AVL55" s="186"/>
      <c r="AVM55" s="186"/>
      <c r="AVN55" s="186"/>
      <c r="AVO55" s="186"/>
      <c r="AVP55" s="186"/>
      <c r="AVQ55" s="186"/>
      <c r="AVR55" s="186"/>
      <c r="AVS55" s="186"/>
      <c r="AVT55" s="186"/>
      <c r="AVU55" s="186"/>
      <c r="AVV55" s="186"/>
      <c r="AVW55" s="186"/>
      <c r="AVX55" s="186"/>
      <c r="AVY55" s="186"/>
      <c r="AVZ55" s="186"/>
      <c r="AWA55" s="186"/>
      <c r="AWB55" s="186"/>
      <c r="AWC55" s="186"/>
      <c r="AWD55" s="186"/>
      <c r="AWE55" s="186"/>
      <c r="AWF55" s="186"/>
      <c r="AWG55" s="186"/>
      <c r="AWH55" s="186"/>
      <c r="AWI55" s="186"/>
      <c r="AWJ55" s="186"/>
      <c r="AWK55" s="186"/>
      <c r="AWL55" s="186"/>
      <c r="AWM55" s="186"/>
      <c r="AWN55" s="186"/>
      <c r="AWO55" s="186"/>
      <c r="AWP55" s="186"/>
      <c r="AWQ55" s="186"/>
      <c r="AWR55" s="186"/>
      <c r="AWS55" s="186"/>
      <c r="AWT55" s="186"/>
      <c r="AWU55" s="186"/>
      <c r="AWV55" s="186"/>
      <c r="AWW55" s="186"/>
      <c r="AWX55" s="186"/>
      <c r="AWY55" s="186"/>
      <c r="AWZ55" s="186"/>
      <c r="AXA55" s="186"/>
      <c r="AXB55" s="186"/>
      <c r="AXC55" s="186"/>
      <c r="AXD55" s="186"/>
      <c r="AXE55" s="186"/>
      <c r="AXF55" s="186"/>
      <c r="AXG55" s="186"/>
      <c r="AXH55" s="186"/>
      <c r="AXI55" s="186"/>
      <c r="AXJ55" s="186"/>
      <c r="AXK55" s="186"/>
      <c r="AXL55" s="186"/>
      <c r="AXM55" s="186"/>
      <c r="AXN55" s="186"/>
      <c r="AXO55" s="186"/>
      <c r="AXP55" s="186"/>
      <c r="AXQ55" s="186"/>
      <c r="AXR55" s="186"/>
      <c r="AXS55" s="186"/>
      <c r="AXT55" s="186"/>
      <c r="AXU55" s="186"/>
      <c r="AXV55" s="186"/>
      <c r="AXW55" s="186"/>
      <c r="AXX55" s="186"/>
      <c r="AXY55" s="186"/>
      <c r="AXZ55" s="186"/>
      <c r="AYA55" s="186"/>
      <c r="AYB55" s="186"/>
      <c r="AYC55" s="186"/>
      <c r="AYD55" s="186"/>
      <c r="AYE55" s="186"/>
      <c r="AYF55" s="186"/>
      <c r="AYG55" s="186"/>
      <c r="AYH55" s="186"/>
      <c r="AYI55" s="186"/>
      <c r="AYJ55" s="186"/>
      <c r="AYK55" s="186"/>
      <c r="AYL55" s="186"/>
      <c r="AYM55" s="186"/>
      <c r="AYN55" s="186"/>
      <c r="AYO55" s="186"/>
      <c r="AYP55" s="186"/>
      <c r="AYQ55" s="186"/>
      <c r="AYR55" s="186"/>
      <c r="AYS55" s="186"/>
      <c r="AYT55" s="186"/>
      <c r="AYU55" s="186"/>
      <c r="AYV55" s="186"/>
      <c r="AYW55" s="186"/>
      <c r="AYX55" s="186"/>
      <c r="AYY55" s="186"/>
      <c r="AYZ55" s="186"/>
      <c r="AZA55" s="186"/>
      <c r="AZB55" s="186"/>
      <c r="AZC55" s="186"/>
      <c r="AZD55" s="186"/>
      <c r="AZE55" s="186"/>
      <c r="AZF55" s="186"/>
      <c r="AZG55" s="186"/>
      <c r="AZH55" s="204" t="s">
        <v>281</v>
      </c>
      <c r="AZI55" s="186"/>
      <c r="AZJ55" s="204" t="s">
        <v>282</v>
      </c>
      <c r="AZK55" s="204" t="s">
        <v>283</v>
      </c>
    </row>
    <row r="56" spans="1:1363" s="212" customFormat="1" ht="30.75" customHeight="1" thickTop="1" thickBot="1">
      <c r="A56" s="97">
        <v>48</v>
      </c>
      <c r="B56" s="56" t="s">
        <v>284</v>
      </c>
      <c r="C56" s="57" t="s">
        <v>285</v>
      </c>
      <c r="D56" s="58" t="s">
        <v>286</v>
      </c>
      <c r="E56" s="71"/>
      <c r="F56" s="71">
        <v>4508000</v>
      </c>
      <c r="G56" s="71">
        <v>12961000</v>
      </c>
      <c r="H56" s="71">
        <v>303000</v>
      </c>
      <c r="I56" s="71">
        <v>180000</v>
      </c>
      <c r="J56" s="71">
        <v>324000</v>
      </c>
      <c r="K56" s="71">
        <v>984000</v>
      </c>
      <c r="L56" s="71">
        <v>912000</v>
      </c>
      <c r="M56" s="71">
        <v>226000</v>
      </c>
      <c r="N56" s="71">
        <v>60000</v>
      </c>
      <c r="O56" s="71">
        <v>288000</v>
      </c>
      <c r="P56" s="101">
        <v>218000</v>
      </c>
      <c r="Q56" s="101"/>
      <c r="R56" s="101"/>
      <c r="S56" s="206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70">
        <f t="shared" si="1"/>
        <v>0</v>
      </c>
      <c r="AG56" s="147"/>
      <c r="AH56" s="102" t="s">
        <v>288</v>
      </c>
      <c r="AI56" s="197" t="s">
        <v>259</v>
      </c>
      <c r="AJ56" s="207" t="s">
        <v>275</v>
      </c>
      <c r="AK56" s="198">
        <v>45719</v>
      </c>
      <c r="AL56" s="103" t="s">
        <v>288</v>
      </c>
      <c r="AM56" s="208">
        <v>0</v>
      </c>
      <c r="AN56" s="208">
        <v>168097600</v>
      </c>
      <c r="AO56" s="208">
        <v>255515000</v>
      </c>
      <c r="AP56" s="208">
        <v>240955000</v>
      </c>
      <c r="AQ56" s="209">
        <v>0</v>
      </c>
      <c r="AR56" s="209">
        <v>0</v>
      </c>
      <c r="AS56" s="209">
        <v>0</v>
      </c>
      <c r="AT56" s="209">
        <v>0</v>
      </c>
      <c r="AU56" s="209">
        <v>0</v>
      </c>
      <c r="AV56" s="209">
        <v>0</v>
      </c>
      <c r="AW56" s="209">
        <v>0</v>
      </c>
      <c r="AX56" s="209">
        <v>0</v>
      </c>
      <c r="AY56" s="209">
        <v>0</v>
      </c>
      <c r="AZ56" s="209">
        <v>0</v>
      </c>
      <c r="BA56" s="209">
        <v>0</v>
      </c>
      <c r="BB56" s="209">
        <v>0</v>
      </c>
      <c r="BC56" s="209"/>
      <c r="BD56" s="209">
        <v>0</v>
      </c>
      <c r="BE56" s="209">
        <v>0</v>
      </c>
      <c r="BF56" s="209">
        <v>0</v>
      </c>
      <c r="BG56" s="209">
        <v>0</v>
      </c>
      <c r="BH56" s="209">
        <v>1500000</v>
      </c>
      <c r="BI56" s="209">
        <v>8525800</v>
      </c>
      <c r="BJ56" s="209">
        <v>20464600</v>
      </c>
      <c r="BK56" s="209">
        <v>29343800</v>
      </c>
      <c r="BL56" s="209">
        <v>27249800</v>
      </c>
      <c r="BM56" s="209">
        <v>20437500</v>
      </c>
      <c r="BN56" s="209">
        <v>27980700</v>
      </c>
      <c r="BO56" s="209">
        <v>32595400</v>
      </c>
      <c r="BP56" s="209">
        <v>30914000</v>
      </c>
      <c r="BQ56" s="209">
        <v>31018300</v>
      </c>
      <c r="BR56" s="209">
        <v>27736300</v>
      </c>
      <c r="BS56" s="209">
        <v>20107700</v>
      </c>
      <c r="BT56" s="209">
        <v>25062300</v>
      </c>
      <c r="BU56" s="209">
        <v>25527600</v>
      </c>
      <c r="BV56" s="209">
        <v>23250400</v>
      </c>
      <c r="BW56" s="209">
        <v>13933400</v>
      </c>
      <c r="BX56" s="209">
        <v>8697000</v>
      </c>
      <c r="BY56" s="209">
        <v>3530100</v>
      </c>
      <c r="BZ56" s="209">
        <v>24994500</v>
      </c>
      <c r="CA56" s="209">
        <v>20743400</v>
      </c>
      <c r="CB56" s="106">
        <v>18696800</v>
      </c>
      <c r="CC56" s="106">
        <v>26612200</v>
      </c>
      <c r="CD56" s="106">
        <v>24709600</v>
      </c>
      <c r="CE56" s="106">
        <v>15849900</v>
      </c>
      <c r="CF56" s="106">
        <v>31753100</v>
      </c>
      <c r="CG56" s="106">
        <v>18403700</v>
      </c>
      <c r="CH56" s="106">
        <v>25102700</v>
      </c>
      <c r="CI56" s="106">
        <v>27982200</v>
      </c>
      <c r="CJ56" s="106">
        <v>9598800</v>
      </c>
      <c r="CK56" s="106">
        <v>13374000</v>
      </c>
      <c r="CL56" s="106">
        <v>15867000</v>
      </c>
      <c r="CM56" s="210">
        <v>13005000</v>
      </c>
      <c r="CN56" s="208">
        <v>28556.799999999999</v>
      </c>
      <c r="CO56" s="208">
        <v>14936.8</v>
      </c>
      <c r="CP56" s="208">
        <v>45748.2</v>
      </c>
      <c r="CQ56" s="208">
        <v>39757.800000000003</v>
      </c>
      <c r="CR56" s="208">
        <v>24774.6</v>
      </c>
      <c r="CS56" s="208">
        <v>21123</v>
      </c>
      <c r="CT56" s="208">
        <v>26758.799999999999</v>
      </c>
      <c r="CU56" s="208">
        <v>21960</v>
      </c>
      <c r="CV56" s="208">
        <v>20235.599999999999</v>
      </c>
      <c r="CW56" s="208">
        <v>24805.8</v>
      </c>
      <c r="CX56" s="208">
        <v>19515.599999999999</v>
      </c>
      <c r="CY56" s="208">
        <v>24748.2</v>
      </c>
      <c r="CZ56" s="71"/>
      <c r="DA56" s="6"/>
      <c r="DB56" s="6"/>
      <c r="DC56" s="101"/>
      <c r="DD56" s="101"/>
      <c r="DE56" s="101"/>
      <c r="DF56" s="101"/>
      <c r="DG56" s="101"/>
      <c r="DH56" s="101"/>
      <c r="DI56" s="101"/>
      <c r="DJ56" s="101"/>
      <c r="DK56" s="101"/>
      <c r="DL56" s="101"/>
      <c r="DM56" s="101"/>
      <c r="DN56" s="101"/>
      <c r="DO56" s="101"/>
      <c r="DP56" s="101"/>
      <c r="DQ56" s="101"/>
      <c r="DR56" s="101"/>
      <c r="DS56" s="101"/>
      <c r="DT56" s="101"/>
      <c r="DU56" s="101"/>
      <c r="DV56" s="101"/>
      <c r="DW56" s="101"/>
      <c r="DX56" s="101"/>
      <c r="DY56" s="101"/>
      <c r="DZ56" s="101"/>
      <c r="EA56" s="101"/>
      <c r="EB56" s="101"/>
      <c r="EC56" s="101"/>
      <c r="ED56" s="101"/>
      <c r="EE56" s="101"/>
      <c r="EF56" s="101"/>
      <c r="EG56" s="101"/>
      <c r="EH56" s="101"/>
      <c r="EI56" s="101"/>
      <c r="EJ56" s="101"/>
      <c r="EK56" s="101"/>
      <c r="EL56" s="101"/>
      <c r="EM56" s="101"/>
      <c r="EN56" s="101"/>
      <c r="EO56" s="101"/>
      <c r="EP56" s="101"/>
      <c r="EQ56" s="101"/>
      <c r="ER56" s="101"/>
      <c r="ES56" s="101"/>
      <c r="ET56" s="101"/>
      <c r="EU56" s="101"/>
      <c r="EV56" s="101"/>
      <c r="EW56" s="101"/>
      <c r="EX56" s="101"/>
      <c r="EY56" s="101"/>
      <c r="EZ56" s="101"/>
      <c r="FA56" s="101"/>
      <c r="FB56" s="101"/>
      <c r="FC56" s="101"/>
      <c r="FD56" s="101"/>
      <c r="FE56" s="101"/>
      <c r="FF56" s="101"/>
      <c r="FG56" s="101"/>
      <c r="FH56" s="101"/>
      <c r="FI56" s="101"/>
      <c r="FJ56" s="101"/>
      <c r="FK56" s="101"/>
      <c r="FL56" s="101"/>
      <c r="FM56" s="101"/>
      <c r="FN56" s="101"/>
      <c r="FO56" s="101"/>
      <c r="FP56" s="101"/>
      <c r="FQ56" s="101"/>
      <c r="FR56" s="101"/>
      <c r="FS56" s="101"/>
      <c r="FT56" s="101"/>
      <c r="FU56" s="101"/>
      <c r="FV56" s="101"/>
      <c r="FW56" s="101"/>
      <c r="FX56" s="101"/>
      <c r="FY56" s="101"/>
      <c r="FZ56" s="101"/>
      <c r="GA56" s="101"/>
      <c r="GB56" s="101"/>
      <c r="GC56" s="101"/>
      <c r="GD56" s="101"/>
      <c r="GE56" s="101"/>
      <c r="GF56" s="101"/>
      <c r="GG56" s="101"/>
      <c r="GH56" s="101"/>
      <c r="GI56" s="101"/>
      <c r="GJ56" s="101"/>
      <c r="GK56" s="101"/>
      <c r="GL56" s="101"/>
      <c r="GM56" s="101"/>
      <c r="GN56" s="101"/>
      <c r="GO56" s="101"/>
      <c r="GP56" s="101"/>
      <c r="GQ56" s="101"/>
      <c r="GR56" s="101"/>
      <c r="GS56" s="101"/>
      <c r="GT56" s="101"/>
      <c r="GU56" s="101"/>
      <c r="GV56" s="101"/>
      <c r="GW56" s="101"/>
      <c r="GX56" s="101"/>
      <c r="GY56" s="101"/>
      <c r="GZ56" s="101"/>
      <c r="HA56" s="101"/>
      <c r="HB56" s="101"/>
      <c r="HC56" s="101"/>
      <c r="HD56" s="101"/>
      <c r="HE56" s="101"/>
      <c r="HF56" s="101"/>
      <c r="HG56" s="101"/>
      <c r="HH56" s="101"/>
      <c r="HI56" s="101"/>
      <c r="HJ56" s="101"/>
      <c r="HK56" s="101"/>
      <c r="HL56" s="101"/>
      <c r="HM56" s="101"/>
      <c r="HN56" s="101"/>
      <c r="HO56" s="101"/>
      <c r="HP56" s="101"/>
      <c r="HQ56" s="101"/>
      <c r="HR56" s="101"/>
      <c r="HS56" s="101"/>
      <c r="HT56" s="101"/>
      <c r="HU56" s="101"/>
      <c r="HV56" s="101"/>
      <c r="HW56" s="101"/>
      <c r="HX56" s="101"/>
      <c r="HY56" s="101"/>
      <c r="HZ56" s="101"/>
      <c r="IA56" s="101"/>
      <c r="IB56" s="101"/>
      <c r="IC56" s="101"/>
      <c r="ID56" s="101"/>
      <c r="IE56" s="101"/>
      <c r="IF56" s="101"/>
      <c r="IG56" s="101"/>
      <c r="IH56" s="101"/>
      <c r="II56" s="101"/>
      <c r="IJ56" s="101"/>
      <c r="IK56" s="101"/>
      <c r="IL56" s="101"/>
      <c r="IM56" s="101"/>
      <c r="IN56" s="101"/>
      <c r="IO56" s="101"/>
      <c r="IP56" s="101"/>
      <c r="IQ56" s="101"/>
      <c r="IR56" s="101"/>
      <c r="IS56" s="101"/>
      <c r="IT56" s="101"/>
      <c r="IU56" s="101"/>
      <c r="IV56" s="101"/>
      <c r="IW56" s="101"/>
      <c r="IX56" s="101"/>
      <c r="IY56" s="101"/>
      <c r="IZ56" s="101"/>
      <c r="JA56" s="101"/>
      <c r="JB56" s="101"/>
      <c r="JC56" s="101"/>
      <c r="JD56" s="101"/>
      <c r="JE56" s="101"/>
      <c r="JF56" s="101"/>
      <c r="JG56" s="101"/>
      <c r="JH56" s="101"/>
      <c r="JI56" s="101"/>
      <c r="JJ56" s="101"/>
      <c r="JK56" s="101"/>
      <c r="JL56" s="101"/>
      <c r="JM56" s="101"/>
      <c r="JN56" s="101"/>
      <c r="JO56" s="101"/>
      <c r="JP56" s="101"/>
      <c r="JQ56" s="101"/>
      <c r="JR56" s="101"/>
      <c r="JS56" s="101"/>
      <c r="JT56" s="101"/>
      <c r="JU56" s="101"/>
      <c r="JV56" s="101"/>
      <c r="JW56" s="101"/>
      <c r="JX56" s="101"/>
      <c r="JY56" s="101"/>
      <c r="JZ56" s="101"/>
      <c r="KA56" s="101"/>
      <c r="KB56" s="101"/>
      <c r="KC56" s="101"/>
      <c r="KD56" s="101"/>
      <c r="KE56" s="101"/>
      <c r="KF56" s="101"/>
      <c r="KG56" s="101"/>
      <c r="KH56" s="101"/>
      <c r="KI56" s="101"/>
      <c r="KJ56" s="101"/>
      <c r="KK56" s="101"/>
      <c r="KL56" s="101"/>
      <c r="KM56" s="101"/>
      <c r="KN56" s="101"/>
      <c r="KO56" s="101"/>
      <c r="KP56" s="101"/>
      <c r="KQ56" s="101"/>
      <c r="KR56" s="101"/>
      <c r="KS56" s="101"/>
      <c r="KT56" s="101"/>
      <c r="KU56" s="101"/>
      <c r="KV56" s="101"/>
      <c r="KW56" s="101"/>
      <c r="KX56" s="101"/>
      <c r="KY56" s="101"/>
      <c r="KZ56" s="101"/>
      <c r="LA56" s="101"/>
      <c r="LB56" s="101"/>
      <c r="LC56" s="101"/>
      <c r="LD56" s="101"/>
      <c r="LE56" s="101"/>
      <c r="LF56" s="101"/>
      <c r="LG56" s="101"/>
      <c r="LH56" s="101"/>
      <c r="LI56" s="101"/>
      <c r="LJ56" s="101"/>
      <c r="LK56" s="101"/>
      <c r="LL56" s="101"/>
      <c r="LM56" s="101"/>
      <c r="LN56" s="101"/>
      <c r="LO56" s="101"/>
      <c r="LP56" s="101"/>
      <c r="LQ56" s="101"/>
      <c r="LR56" s="101"/>
      <c r="LS56" s="101"/>
      <c r="LT56" s="101"/>
      <c r="LU56" s="101"/>
      <c r="LV56" s="101"/>
      <c r="LW56" s="101"/>
      <c r="LX56" s="101"/>
      <c r="LY56" s="101"/>
      <c r="LZ56" s="101"/>
      <c r="MA56" s="101"/>
      <c r="MB56" s="101"/>
      <c r="MC56" s="101"/>
      <c r="MD56" s="101"/>
      <c r="ME56" s="101"/>
      <c r="MF56" s="101"/>
      <c r="MG56" s="101"/>
      <c r="MH56" s="101"/>
      <c r="MI56" s="101"/>
      <c r="MJ56" s="101"/>
      <c r="MK56" s="101"/>
      <c r="ML56" s="101"/>
      <c r="MM56" s="101"/>
      <c r="MN56" s="101"/>
      <c r="MO56" s="101"/>
      <c r="MP56" s="101"/>
      <c r="MQ56" s="101"/>
      <c r="MR56" s="101"/>
      <c r="MS56" s="101"/>
      <c r="MT56" s="101"/>
      <c r="MU56" s="101"/>
      <c r="MV56" s="101"/>
      <c r="MW56" s="101"/>
      <c r="MX56" s="101"/>
      <c r="MY56" s="101"/>
      <c r="MZ56" s="101"/>
      <c r="NA56" s="101"/>
      <c r="NB56" s="101"/>
      <c r="NC56" s="101"/>
      <c r="ND56" s="101"/>
      <c r="NE56" s="101"/>
      <c r="NF56" s="101"/>
      <c r="NG56" s="101"/>
      <c r="NH56" s="101"/>
      <c r="NI56" s="101"/>
      <c r="NJ56" s="101"/>
      <c r="NK56" s="101"/>
      <c r="NL56" s="101"/>
      <c r="NM56" s="101"/>
      <c r="NN56" s="101"/>
      <c r="NO56" s="101"/>
      <c r="NP56" s="101"/>
      <c r="NQ56" s="101"/>
      <c r="NR56" s="101"/>
      <c r="NS56" s="101"/>
      <c r="NT56" s="101"/>
      <c r="NU56" s="101"/>
      <c r="NV56" s="101"/>
      <c r="NW56" s="101"/>
      <c r="NX56" s="101"/>
      <c r="NY56" s="101"/>
      <c r="NZ56" s="101"/>
      <c r="OA56" s="101"/>
      <c r="OB56" s="101"/>
      <c r="OC56" s="101"/>
      <c r="OD56" s="101"/>
      <c r="OE56" s="101"/>
      <c r="OF56" s="101"/>
      <c r="OG56" s="101"/>
      <c r="OH56" s="101"/>
      <c r="OI56" s="101"/>
      <c r="OJ56" s="101"/>
      <c r="OK56" s="101"/>
      <c r="OL56" s="101"/>
      <c r="OM56" s="101"/>
      <c r="ON56" s="101"/>
      <c r="OO56" s="101"/>
      <c r="OP56" s="101"/>
      <c r="OQ56" s="101"/>
      <c r="OR56" s="101"/>
      <c r="OS56" s="101"/>
      <c r="OT56" s="101"/>
      <c r="OU56" s="101"/>
      <c r="OV56" s="101"/>
      <c r="OW56" s="101"/>
      <c r="OX56" s="101"/>
      <c r="OY56" s="101"/>
      <c r="OZ56" s="101"/>
      <c r="PA56" s="101"/>
      <c r="PB56" s="101"/>
      <c r="PC56" s="101"/>
      <c r="PD56" s="101"/>
      <c r="PE56" s="101"/>
      <c r="PF56" s="101"/>
      <c r="PG56" s="101"/>
      <c r="PH56" s="101"/>
      <c r="PI56" s="101"/>
      <c r="PJ56" s="101"/>
      <c r="PK56" s="101"/>
      <c r="PL56" s="101"/>
      <c r="PM56" s="101"/>
      <c r="PN56" s="101"/>
      <c r="PO56" s="101"/>
      <c r="PP56" s="101"/>
      <c r="PQ56" s="101"/>
      <c r="PR56" s="101"/>
      <c r="PS56" s="101"/>
      <c r="PT56" s="101"/>
      <c r="PU56" s="101"/>
      <c r="PV56" s="101"/>
      <c r="PW56" s="101"/>
      <c r="PX56" s="101"/>
      <c r="PY56" s="101"/>
      <c r="PZ56" s="101"/>
      <c r="QA56" s="101"/>
      <c r="QB56" s="101"/>
      <c r="QC56" s="101"/>
      <c r="QD56" s="101"/>
      <c r="QE56" s="101"/>
      <c r="QF56" s="101"/>
      <c r="QG56" s="101"/>
      <c r="QH56" s="101"/>
      <c r="QI56" s="101"/>
      <c r="QJ56" s="101"/>
      <c r="QK56" s="101"/>
      <c r="QL56" s="101"/>
      <c r="QM56" s="101"/>
      <c r="QN56" s="101"/>
      <c r="QO56" s="101"/>
      <c r="QP56" s="101"/>
      <c r="QQ56" s="101"/>
      <c r="QR56" s="101"/>
      <c r="QS56" s="101"/>
      <c r="QT56" s="101"/>
      <c r="QU56" s="101"/>
      <c r="QV56" s="101"/>
      <c r="QW56" s="101"/>
      <c r="QX56" s="101"/>
      <c r="QY56" s="101"/>
      <c r="QZ56" s="101"/>
      <c r="RA56" s="101"/>
      <c r="RB56" s="101"/>
      <c r="RC56" s="101"/>
      <c r="RD56" s="101"/>
      <c r="RE56" s="101"/>
      <c r="RF56" s="101"/>
      <c r="RG56" s="101"/>
      <c r="RH56" s="101"/>
      <c r="RI56" s="101"/>
      <c r="RJ56" s="101"/>
      <c r="RK56" s="101"/>
      <c r="RL56" s="101"/>
      <c r="RM56" s="101"/>
      <c r="RN56" s="101"/>
      <c r="RO56" s="101"/>
      <c r="RP56" s="101"/>
      <c r="RQ56" s="101"/>
      <c r="RR56" s="101"/>
      <c r="RS56" s="101"/>
      <c r="RT56" s="101"/>
      <c r="RU56" s="101"/>
      <c r="RV56" s="101"/>
      <c r="RW56" s="101"/>
      <c r="RX56" s="101"/>
      <c r="RY56" s="101"/>
      <c r="RZ56" s="101"/>
      <c r="SA56" s="101"/>
      <c r="SB56" s="101"/>
      <c r="SC56" s="101"/>
      <c r="SD56" s="101"/>
      <c r="SE56" s="101"/>
      <c r="SF56" s="101"/>
      <c r="SG56" s="101"/>
      <c r="SH56" s="101"/>
      <c r="SI56" s="101"/>
      <c r="SJ56" s="101"/>
      <c r="SK56" s="101"/>
      <c r="SL56" s="101"/>
      <c r="SM56" s="101"/>
      <c r="SN56" s="101"/>
      <c r="SO56" s="101"/>
      <c r="SP56" s="101"/>
      <c r="SQ56" s="101"/>
      <c r="SR56" s="101"/>
      <c r="SS56" s="101"/>
      <c r="ST56" s="101"/>
      <c r="SU56" s="101"/>
      <c r="SV56" s="101"/>
      <c r="SW56" s="101"/>
      <c r="SX56" s="101"/>
      <c r="SY56" s="101"/>
      <c r="SZ56" s="101"/>
      <c r="TA56" s="101"/>
      <c r="TB56" s="101"/>
      <c r="TC56" s="101"/>
      <c r="TD56" s="101"/>
      <c r="TE56" s="101"/>
      <c r="TF56" s="101"/>
      <c r="TG56" s="101"/>
      <c r="TH56" s="101"/>
      <c r="TI56" s="101"/>
      <c r="TJ56" s="101"/>
      <c r="TK56" s="101"/>
      <c r="TL56" s="101"/>
      <c r="TM56" s="101"/>
      <c r="TN56" s="101"/>
      <c r="TO56" s="101"/>
      <c r="TP56" s="101"/>
      <c r="TQ56" s="101"/>
      <c r="TR56" s="101"/>
      <c r="TS56" s="101"/>
      <c r="TT56" s="101"/>
      <c r="TU56" s="101"/>
      <c r="TV56" s="101"/>
      <c r="TW56" s="101"/>
      <c r="TX56" s="101"/>
      <c r="TY56" s="101"/>
      <c r="TZ56" s="101"/>
      <c r="UA56" s="101"/>
      <c r="UB56" s="101"/>
      <c r="UC56" s="101"/>
      <c r="UD56" s="101"/>
      <c r="UE56" s="101"/>
      <c r="UF56" s="101"/>
      <c r="UG56" s="101"/>
      <c r="UH56" s="101"/>
      <c r="UI56" s="101"/>
      <c r="UJ56" s="101"/>
      <c r="UK56" s="101"/>
      <c r="UL56" s="101"/>
      <c r="UM56" s="101"/>
      <c r="UN56" s="101"/>
      <c r="UO56" s="101"/>
      <c r="UP56" s="101"/>
      <c r="UQ56" s="101"/>
      <c r="UR56" s="101"/>
      <c r="US56" s="101"/>
      <c r="UT56" s="101"/>
      <c r="UU56" s="101"/>
      <c r="UV56" s="101"/>
      <c r="UW56" s="101"/>
      <c r="UX56" s="101"/>
      <c r="UY56" s="101"/>
      <c r="UZ56" s="101"/>
      <c r="VA56" s="101"/>
      <c r="VB56" s="101"/>
      <c r="VC56" s="101"/>
      <c r="VD56" s="101"/>
      <c r="VE56" s="101"/>
      <c r="VF56" s="101"/>
      <c r="VG56" s="101"/>
      <c r="VH56" s="101"/>
      <c r="VI56" s="101"/>
      <c r="VJ56" s="101"/>
      <c r="VK56" s="101"/>
      <c r="VL56" s="101"/>
      <c r="VM56" s="101"/>
      <c r="VN56" s="101"/>
      <c r="VO56" s="101"/>
      <c r="VP56" s="101"/>
      <c r="VQ56" s="101"/>
      <c r="VR56" s="101"/>
      <c r="VS56" s="101"/>
      <c r="VT56" s="101"/>
      <c r="VU56" s="101"/>
      <c r="VV56" s="101"/>
      <c r="VW56" s="101"/>
      <c r="VX56" s="101"/>
      <c r="VY56" s="101"/>
      <c r="VZ56" s="101"/>
      <c r="WA56" s="101"/>
      <c r="WB56" s="101"/>
      <c r="WC56" s="101"/>
      <c r="WD56" s="101"/>
      <c r="WE56" s="101"/>
      <c r="WF56" s="101"/>
      <c r="WG56" s="101"/>
      <c r="WH56" s="101"/>
      <c r="WI56" s="101"/>
      <c r="WJ56" s="101"/>
      <c r="WK56" s="101"/>
      <c r="WL56" s="101"/>
      <c r="WM56" s="101"/>
      <c r="WN56" s="101"/>
      <c r="WO56" s="101"/>
      <c r="WP56" s="101"/>
      <c r="WQ56" s="101"/>
      <c r="WR56" s="101"/>
      <c r="WS56" s="101"/>
      <c r="WT56" s="101"/>
      <c r="WU56" s="101"/>
      <c r="WV56" s="101"/>
      <c r="WW56" s="101"/>
      <c r="WX56" s="101"/>
      <c r="WY56" s="101"/>
      <c r="WZ56" s="101"/>
      <c r="XA56" s="101"/>
      <c r="XB56" s="101"/>
      <c r="XC56" s="101"/>
      <c r="XD56" s="101"/>
      <c r="XE56" s="101"/>
      <c r="XF56" s="101"/>
      <c r="XG56" s="101"/>
      <c r="XH56" s="101"/>
      <c r="XI56" s="101"/>
      <c r="XJ56" s="101"/>
      <c r="XK56" s="101"/>
      <c r="XL56" s="101"/>
      <c r="XM56" s="101"/>
      <c r="XN56" s="101"/>
      <c r="XO56" s="101"/>
      <c r="XP56" s="101"/>
      <c r="XQ56" s="101"/>
      <c r="XR56" s="101"/>
      <c r="XS56" s="101"/>
      <c r="XT56" s="101"/>
      <c r="XU56" s="101"/>
      <c r="XV56" s="101"/>
      <c r="XW56" s="101"/>
      <c r="XX56" s="101"/>
      <c r="XY56" s="101"/>
      <c r="XZ56" s="101"/>
      <c r="YA56" s="101"/>
      <c r="YB56" s="101"/>
      <c r="YC56" s="101"/>
      <c r="YD56" s="101"/>
      <c r="YE56" s="101"/>
      <c r="YF56" s="101"/>
      <c r="YG56" s="101"/>
      <c r="YH56" s="101"/>
      <c r="YI56" s="101"/>
      <c r="YJ56" s="101"/>
      <c r="YK56" s="101"/>
      <c r="YL56" s="101"/>
      <c r="YM56" s="101"/>
      <c r="YN56" s="101"/>
      <c r="YO56" s="101"/>
      <c r="YP56" s="101"/>
      <c r="YQ56" s="101"/>
      <c r="YR56" s="101"/>
      <c r="YS56" s="101"/>
      <c r="YT56" s="101"/>
      <c r="YU56" s="101"/>
      <c r="YV56" s="101"/>
      <c r="YW56" s="101"/>
      <c r="YX56" s="101"/>
      <c r="YY56" s="101"/>
      <c r="YZ56" s="101"/>
      <c r="ZA56" s="101"/>
      <c r="ZB56" s="101"/>
      <c r="ZC56" s="101"/>
      <c r="ZD56" s="101"/>
      <c r="ZE56" s="101"/>
      <c r="ZF56" s="101"/>
      <c r="ZG56" s="101"/>
      <c r="ZH56" s="101"/>
      <c r="ZI56" s="101"/>
      <c r="ZJ56" s="101"/>
      <c r="ZK56" s="101"/>
      <c r="ZL56" s="101"/>
      <c r="ZM56" s="101"/>
      <c r="ZN56" s="101"/>
      <c r="ZO56" s="101"/>
      <c r="ZP56" s="101"/>
      <c r="ZQ56" s="101"/>
      <c r="ZR56" s="101"/>
      <c r="ZS56" s="101"/>
      <c r="ZT56" s="101"/>
      <c r="ZU56" s="101"/>
      <c r="ZV56" s="101"/>
      <c r="ZW56" s="101"/>
      <c r="ZX56" s="101"/>
      <c r="ZY56" s="101"/>
      <c r="ZZ56" s="101"/>
      <c r="AAA56" s="101"/>
      <c r="AAB56" s="101"/>
      <c r="AAC56" s="101"/>
      <c r="AAD56" s="101"/>
      <c r="AAE56" s="101"/>
      <c r="AAF56" s="101"/>
      <c r="AAG56" s="101"/>
      <c r="AAH56" s="101"/>
      <c r="AAI56" s="101"/>
      <c r="AAJ56" s="101"/>
      <c r="AAK56" s="101"/>
      <c r="AAL56" s="101"/>
      <c r="AAM56" s="101"/>
      <c r="AAN56" s="101"/>
      <c r="AAO56" s="101"/>
      <c r="AAP56" s="101"/>
      <c r="AAQ56" s="101"/>
      <c r="AAR56" s="101"/>
      <c r="AAS56" s="101"/>
      <c r="AAT56" s="101"/>
      <c r="AAU56" s="101"/>
      <c r="AAV56" s="101"/>
      <c r="AAW56" s="101"/>
      <c r="AAX56" s="101"/>
      <c r="AAY56" s="101"/>
      <c r="AAZ56" s="101"/>
      <c r="ABA56" s="101"/>
      <c r="ABB56" s="101"/>
      <c r="ABC56" s="101"/>
      <c r="ABD56" s="101"/>
      <c r="ABE56" s="101"/>
      <c r="ABF56" s="101"/>
      <c r="ABG56" s="101"/>
      <c r="ABH56" s="101"/>
      <c r="ABI56" s="101"/>
      <c r="ABJ56" s="101"/>
      <c r="ABK56" s="101"/>
      <c r="ABL56" s="101"/>
      <c r="ABM56" s="101"/>
      <c r="ABN56" s="101"/>
      <c r="ABO56" s="101"/>
      <c r="ABP56" s="101"/>
      <c r="ABQ56" s="101"/>
      <c r="ABR56" s="101"/>
      <c r="ABS56" s="101"/>
      <c r="ABT56" s="101"/>
      <c r="ABU56" s="101"/>
      <c r="ABV56" s="101"/>
      <c r="ABW56" s="101"/>
      <c r="ABX56" s="101"/>
      <c r="ABY56" s="101"/>
      <c r="ABZ56" s="101"/>
      <c r="ACA56" s="101"/>
      <c r="ACB56" s="101"/>
      <c r="ACC56" s="101"/>
      <c r="ACD56" s="101"/>
      <c r="ACE56" s="101"/>
      <c r="ACF56" s="101"/>
      <c r="ACG56" s="101"/>
      <c r="ACH56" s="101"/>
      <c r="ACI56" s="101"/>
      <c r="ACJ56" s="101"/>
      <c r="ACK56" s="101"/>
      <c r="ACL56" s="101"/>
      <c r="ACM56" s="101"/>
      <c r="ACN56" s="101"/>
      <c r="ACO56" s="101"/>
      <c r="ACP56" s="101"/>
      <c r="ACQ56" s="101"/>
      <c r="ACR56" s="101"/>
      <c r="ACS56" s="101"/>
      <c r="ACT56" s="101"/>
      <c r="ACU56" s="101"/>
      <c r="ACV56" s="101"/>
      <c r="ACW56" s="101"/>
      <c r="ACX56" s="101"/>
      <c r="ACY56" s="101"/>
      <c r="ACZ56" s="101"/>
      <c r="ADA56" s="101"/>
      <c r="ADB56" s="101"/>
      <c r="ADC56" s="101"/>
      <c r="ADD56" s="101"/>
      <c r="ADE56" s="101"/>
      <c r="ADF56" s="101"/>
      <c r="ADG56" s="101"/>
      <c r="ADH56" s="101"/>
      <c r="ADI56" s="101"/>
      <c r="ADJ56" s="101"/>
      <c r="ADK56" s="101"/>
      <c r="ADL56" s="101"/>
      <c r="ADM56" s="101"/>
      <c r="ADN56" s="101"/>
      <c r="ADO56" s="101"/>
      <c r="ADP56" s="101"/>
      <c r="ADQ56" s="101"/>
      <c r="ADR56" s="101"/>
      <c r="ADS56" s="101"/>
      <c r="ADT56" s="101"/>
      <c r="ADU56" s="101"/>
      <c r="ADV56" s="101"/>
      <c r="ADW56" s="101"/>
      <c r="ADX56" s="101"/>
      <c r="ADY56" s="101"/>
      <c r="ADZ56" s="101"/>
      <c r="AEA56" s="101"/>
      <c r="AEB56" s="101"/>
      <c r="AEC56" s="101"/>
      <c r="AED56" s="101"/>
      <c r="AEE56" s="101"/>
      <c r="AEF56" s="101"/>
      <c r="AEG56" s="101"/>
      <c r="AEH56" s="101"/>
      <c r="AEI56" s="101"/>
      <c r="AEJ56" s="101"/>
      <c r="AEK56" s="101"/>
      <c r="AEL56" s="101"/>
      <c r="AEM56" s="101"/>
      <c r="AEN56" s="101"/>
      <c r="AEO56" s="101"/>
      <c r="AEP56" s="101"/>
      <c r="AEQ56" s="101"/>
      <c r="AER56" s="101"/>
      <c r="AES56" s="101"/>
      <c r="AET56" s="101"/>
      <c r="AEU56" s="101"/>
      <c r="AEV56" s="101"/>
      <c r="AEW56" s="101"/>
      <c r="AEX56" s="101"/>
      <c r="AEY56" s="101"/>
      <c r="AEZ56" s="101"/>
      <c r="AFA56" s="101"/>
      <c r="AFB56" s="101"/>
      <c r="AFC56" s="101"/>
      <c r="AFD56" s="101"/>
      <c r="AFE56" s="101"/>
      <c r="AFF56" s="101"/>
      <c r="AFG56" s="101"/>
      <c r="AFH56" s="101"/>
      <c r="AFI56" s="101"/>
      <c r="AFJ56" s="101"/>
      <c r="AFK56" s="101"/>
      <c r="AFL56" s="101"/>
      <c r="AFM56" s="101"/>
      <c r="AFN56" s="101"/>
      <c r="AFO56" s="101"/>
      <c r="AFP56" s="101"/>
      <c r="AFQ56" s="101"/>
      <c r="AFR56" s="101"/>
      <c r="AFS56" s="101"/>
      <c r="AFT56" s="101"/>
      <c r="AFU56" s="101"/>
      <c r="AFV56" s="101"/>
      <c r="AFW56" s="101"/>
      <c r="AFX56" s="101"/>
      <c r="AFY56" s="101"/>
      <c r="AFZ56" s="101"/>
      <c r="AGA56" s="101"/>
      <c r="AGB56" s="101"/>
      <c r="AGC56" s="101"/>
      <c r="AGD56" s="101"/>
      <c r="AGE56" s="101"/>
      <c r="AGF56" s="101"/>
      <c r="AGG56" s="101"/>
      <c r="AGH56" s="101"/>
      <c r="AGI56" s="101"/>
      <c r="AGJ56" s="101"/>
      <c r="AGK56" s="101"/>
      <c r="AGL56" s="101"/>
      <c r="AGM56" s="101"/>
      <c r="AGN56" s="101"/>
      <c r="AGO56" s="101"/>
      <c r="AGP56" s="101"/>
      <c r="AGQ56" s="101"/>
      <c r="AGR56" s="101"/>
      <c r="AGS56" s="101"/>
      <c r="AGT56" s="101"/>
      <c r="AGU56" s="101"/>
      <c r="AGV56" s="101"/>
      <c r="AGW56" s="101"/>
      <c r="AGX56" s="101"/>
      <c r="AGY56" s="101"/>
      <c r="AGZ56" s="101"/>
      <c r="AHA56" s="101"/>
      <c r="AHB56" s="101"/>
      <c r="AHC56" s="101"/>
      <c r="AHD56" s="101"/>
      <c r="AHE56" s="101"/>
      <c r="AHF56" s="101"/>
      <c r="AHG56" s="101"/>
      <c r="AHH56" s="101"/>
      <c r="AHI56" s="101"/>
      <c r="AHJ56" s="101"/>
      <c r="AHK56" s="101"/>
      <c r="AHL56" s="101"/>
      <c r="AHM56" s="101"/>
      <c r="AHN56" s="101"/>
      <c r="AHO56" s="101"/>
      <c r="AHP56" s="101"/>
      <c r="AHQ56" s="101"/>
      <c r="AHR56" s="101"/>
      <c r="AHS56" s="101"/>
      <c r="AHT56" s="101"/>
      <c r="AHU56" s="101"/>
      <c r="AHV56" s="101"/>
      <c r="AHW56" s="101"/>
      <c r="AHX56" s="101"/>
      <c r="AHY56" s="101"/>
      <c r="AHZ56" s="101"/>
      <c r="AIA56" s="101"/>
      <c r="AIB56" s="101"/>
      <c r="AIC56" s="101"/>
      <c r="AID56" s="101"/>
      <c r="AIE56" s="101"/>
      <c r="AIF56" s="101"/>
      <c r="AIG56" s="101"/>
      <c r="AIH56" s="101"/>
      <c r="AII56" s="101"/>
      <c r="AIJ56" s="101"/>
      <c r="AIK56" s="101"/>
      <c r="AIL56" s="101"/>
      <c r="AIM56" s="101"/>
      <c r="AIN56" s="101"/>
      <c r="AIO56" s="101"/>
      <c r="AIP56" s="101"/>
      <c r="AIQ56" s="101"/>
      <c r="AIR56" s="101"/>
      <c r="AIS56" s="101"/>
      <c r="AIT56" s="101"/>
      <c r="AIU56" s="101"/>
      <c r="AIV56" s="101"/>
      <c r="AIW56" s="101"/>
      <c r="AIX56" s="101"/>
      <c r="AIY56" s="101"/>
      <c r="AIZ56" s="101"/>
      <c r="AJA56" s="101"/>
      <c r="AJB56" s="101"/>
      <c r="AJC56" s="101"/>
      <c r="AJD56" s="101"/>
      <c r="AJE56" s="101"/>
      <c r="AJF56" s="101"/>
      <c r="AJG56" s="101"/>
      <c r="AJH56" s="101"/>
      <c r="AJI56" s="101"/>
      <c r="AJJ56" s="101"/>
      <c r="AJK56" s="101"/>
      <c r="AJL56" s="101"/>
      <c r="AJM56" s="101"/>
      <c r="AJN56" s="101"/>
      <c r="AJO56" s="101"/>
      <c r="AJP56" s="101"/>
      <c r="AJQ56" s="101"/>
      <c r="AJR56" s="101"/>
      <c r="AJS56" s="101"/>
      <c r="AJT56" s="101"/>
      <c r="AJU56" s="101"/>
      <c r="AJV56" s="101"/>
      <c r="AJW56" s="101"/>
      <c r="AJX56" s="101"/>
      <c r="AJY56" s="101"/>
      <c r="AJZ56" s="101"/>
      <c r="AKA56" s="101"/>
      <c r="AKB56" s="101"/>
      <c r="AKC56" s="101"/>
      <c r="AKD56" s="101"/>
      <c r="AKE56" s="101"/>
      <c r="AKF56" s="101"/>
      <c r="AKG56" s="101"/>
      <c r="AKH56" s="101"/>
      <c r="AKI56" s="101"/>
      <c r="AKJ56" s="101"/>
      <c r="AKK56" s="101"/>
      <c r="AKL56" s="101"/>
      <c r="AKM56" s="101"/>
      <c r="AKN56" s="101"/>
      <c r="AKO56" s="101"/>
      <c r="AKP56" s="101"/>
      <c r="AKQ56" s="101"/>
      <c r="AKR56" s="101"/>
      <c r="AKS56" s="101"/>
      <c r="AKT56" s="101"/>
      <c r="AKU56" s="101"/>
      <c r="AKV56" s="101"/>
      <c r="AKW56" s="101"/>
      <c r="AKX56" s="101"/>
      <c r="AKY56" s="101"/>
      <c r="AKZ56" s="101"/>
      <c r="ALA56" s="101"/>
      <c r="ALB56" s="101"/>
      <c r="ALC56" s="101"/>
      <c r="ALD56" s="101"/>
      <c r="ALE56" s="101"/>
      <c r="ALF56" s="101"/>
      <c r="ALG56" s="101"/>
      <c r="ALH56" s="101"/>
      <c r="ALI56" s="101"/>
      <c r="ALJ56" s="101"/>
      <c r="ALK56" s="101"/>
      <c r="ALL56" s="101"/>
      <c r="ALM56" s="101"/>
      <c r="ALN56" s="101"/>
      <c r="ALO56" s="101"/>
      <c r="ALP56" s="101"/>
      <c r="ALQ56" s="101"/>
      <c r="ALR56" s="101"/>
      <c r="ALS56" s="101"/>
      <c r="ALT56" s="101"/>
      <c r="ALU56" s="101"/>
      <c r="ALV56" s="101"/>
      <c r="ALW56" s="101"/>
      <c r="ALX56" s="101"/>
      <c r="ALY56" s="101"/>
      <c r="ALZ56" s="101"/>
      <c r="AMA56" s="101"/>
      <c r="AMB56" s="101"/>
      <c r="AMC56" s="101"/>
      <c r="AMD56" s="101"/>
      <c r="AME56" s="101"/>
      <c r="AMF56" s="101"/>
      <c r="AMG56" s="101"/>
      <c r="AMH56" s="101"/>
      <c r="AMI56" s="101"/>
      <c r="AMJ56" s="101"/>
      <c r="AMK56" s="101"/>
      <c r="AML56" s="101"/>
      <c r="AMM56" s="101"/>
      <c r="AMN56" s="101"/>
      <c r="AMO56" s="101"/>
      <c r="AMP56" s="101"/>
      <c r="AMQ56" s="101"/>
      <c r="AMR56" s="101"/>
      <c r="AMS56" s="101"/>
      <c r="AMT56" s="101"/>
      <c r="AMU56" s="101"/>
      <c r="AMV56" s="101"/>
      <c r="AMW56" s="101"/>
      <c r="AMX56" s="101"/>
      <c r="AMY56" s="101"/>
      <c r="AMZ56" s="101"/>
      <c r="ANA56" s="101"/>
      <c r="ANB56" s="101"/>
      <c r="ANC56" s="101"/>
      <c r="AND56" s="101"/>
      <c r="ANE56" s="101"/>
      <c r="ANF56" s="101"/>
      <c r="ANG56" s="101"/>
      <c r="ANH56" s="101"/>
      <c r="ANI56" s="101"/>
      <c r="ANJ56" s="101"/>
      <c r="ANK56" s="101"/>
      <c r="ANL56" s="101"/>
      <c r="ANM56" s="101"/>
      <c r="ANN56" s="101"/>
      <c r="ANO56" s="101"/>
      <c r="ANP56" s="101"/>
      <c r="ANQ56" s="101"/>
      <c r="ANR56" s="101"/>
      <c r="ANS56" s="101"/>
      <c r="ANT56" s="101"/>
      <c r="ANU56" s="101"/>
      <c r="ANV56" s="101"/>
      <c r="ANW56" s="101"/>
      <c r="ANX56" s="101"/>
      <c r="ANY56" s="101"/>
      <c r="ANZ56" s="101"/>
      <c r="AOA56" s="101"/>
      <c r="AOB56" s="101"/>
      <c r="AOC56" s="101"/>
      <c r="AOD56" s="101"/>
      <c r="AOE56" s="101"/>
      <c r="AOF56" s="101"/>
      <c r="AOG56" s="101"/>
      <c r="AOH56" s="101"/>
      <c r="AOI56" s="101"/>
      <c r="AOJ56" s="101"/>
      <c r="AOK56" s="101"/>
      <c r="AOL56" s="101"/>
      <c r="AOM56" s="101"/>
      <c r="AON56" s="101"/>
      <c r="AOO56" s="101"/>
      <c r="AOP56" s="101"/>
      <c r="AOQ56" s="101"/>
      <c r="AOR56" s="101"/>
      <c r="AOS56" s="101"/>
      <c r="AOT56" s="101"/>
      <c r="AOU56" s="101"/>
      <c r="AOV56" s="101"/>
      <c r="AOW56" s="101"/>
      <c r="AOX56" s="101"/>
      <c r="AOY56" s="101"/>
      <c r="AOZ56" s="101"/>
      <c r="APA56" s="101"/>
      <c r="APB56" s="101"/>
      <c r="APC56" s="101"/>
      <c r="APD56" s="101"/>
      <c r="APE56" s="101"/>
      <c r="APF56" s="101"/>
      <c r="APG56" s="101"/>
      <c r="APH56" s="101"/>
      <c r="API56" s="101"/>
      <c r="APJ56" s="101"/>
      <c r="APK56" s="101"/>
      <c r="APL56" s="101"/>
      <c r="APM56" s="101"/>
      <c r="APN56" s="101"/>
      <c r="APO56" s="101"/>
      <c r="APP56" s="101"/>
      <c r="APQ56" s="101"/>
      <c r="APR56" s="101"/>
      <c r="APS56" s="101"/>
      <c r="APT56" s="101"/>
      <c r="APU56" s="101"/>
      <c r="APV56" s="101"/>
      <c r="APW56" s="101"/>
      <c r="APX56" s="101"/>
      <c r="APY56" s="101"/>
      <c r="APZ56" s="101"/>
      <c r="AQA56" s="101"/>
      <c r="AQB56" s="101"/>
      <c r="AQC56" s="101"/>
      <c r="AQD56" s="101"/>
      <c r="AQE56" s="101"/>
      <c r="AQF56" s="101"/>
      <c r="AQG56" s="101"/>
      <c r="AQH56" s="101"/>
      <c r="AQI56" s="101"/>
      <c r="AQJ56" s="101"/>
      <c r="AQK56" s="101"/>
      <c r="AQL56" s="101"/>
      <c r="AQM56" s="101"/>
      <c r="AQN56" s="101"/>
      <c r="AQO56" s="101"/>
      <c r="AQP56" s="101"/>
      <c r="AQQ56" s="101"/>
      <c r="AQR56" s="101"/>
      <c r="AQS56" s="101"/>
      <c r="AQT56" s="101"/>
      <c r="AQU56" s="101"/>
      <c r="AQV56" s="101"/>
      <c r="AQW56" s="101"/>
      <c r="AQX56" s="101"/>
      <c r="AQY56" s="101"/>
      <c r="AQZ56" s="101"/>
      <c r="ARA56" s="101"/>
      <c r="ARB56" s="101"/>
      <c r="ARC56" s="101"/>
      <c r="ARD56" s="101"/>
      <c r="ARE56" s="101"/>
      <c r="ARF56" s="101"/>
      <c r="ARG56" s="101"/>
      <c r="ARH56" s="101"/>
      <c r="ARI56" s="101"/>
      <c r="ARJ56" s="101"/>
      <c r="ARK56" s="101"/>
      <c r="ARL56" s="101"/>
      <c r="ARM56" s="101"/>
      <c r="ARN56" s="101"/>
      <c r="ARO56" s="101"/>
      <c r="ARP56" s="101"/>
      <c r="ARQ56" s="101"/>
      <c r="ARR56" s="101"/>
      <c r="ARS56" s="101"/>
      <c r="ART56" s="101"/>
      <c r="ARU56" s="101"/>
      <c r="ARV56" s="101"/>
      <c r="ARW56" s="101"/>
      <c r="ARX56" s="101"/>
      <c r="ARY56" s="101"/>
      <c r="ARZ56" s="101"/>
      <c r="ASA56" s="101"/>
      <c r="ASB56" s="101"/>
      <c r="ASC56" s="101"/>
      <c r="ASD56" s="101"/>
      <c r="ASE56" s="101"/>
      <c r="ASF56" s="101"/>
      <c r="ASG56" s="101"/>
      <c r="ASH56" s="101"/>
      <c r="ASI56" s="101"/>
      <c r="ASJ56" s="101"/>
      <c r="ASK56" s="101"/>
      <c r="ASL56" s="101"/>
      <c r="ASM56" s="101"/>
      <c r="ASN56" s="101"/>
      <c r="ASO56" s="101"/>
      <c r="ASP56" s="101"/>
      <c r="ASQ56" s="101"/>
      <c r="ASR56" s="101"/>
      <c r="ASS56" s="101"/>
      <c r="AST56" s="101"/>
      <c r="ASU56" s="101"/>
      <c r="ASV56" s="101"/>
      <c r="ASW56" s="101"/>
      <c r="ASX56" s="101"/>
      <c r="ASY56" s="101"/>
      <c r="ASZ56" s="101"/>
      <c r="ATA56" s="101"/>
      <c r="ATB56" s="101"/>
      <c r="ATC56" s="101"/>
      <c r="ATD56" s="101"/>
      <c r="ATE56" s="101"/>
      <c r="ATF56" s="101"/>
      <c r="ATG56" s="101"/>
      <c r="ATH56" s="101"/>
      <c r="ATI56" s="101"/>
      <c r="ATJ56" s="101"/>
      <c r="ATK56" s="101"/>
      <c r="ATL56" s="101"/>
      <c r="ATM56" s="101"/>
      <c r="ATN56" s="101"/>
      <c r="ATO56" s="101"/>
      <c r="ATP56" s="101"/>
      <c r="ATQ56" s="101"/>
      <c r="ATR56" s="101"/>
      <c r="ATS56" s="101"/>
      <c r="ATT56" s="101"/>
      <c r="ATU56" s="101"/>
      <c r="ATV56" s="101"/>
      <c r="ATW56" s="101"/>
      <c r="ATX56" s="101"/>
      <c r="ATY56" s="101"/>
      <c r="ATZ56" s="101"/>
      <c r="AUA56" s="101"/>
      <c r="AUB56" s="101"/>
      <c r="AUC56" s="101"/>
      <c r="AUD56" s="101"/>
      <c r="AUE56" s="101"/>
      <c r="AUF56" s="101"/>
      <c r="AUG56" s="101"/>
      <c r="AUH56" s="101"/>
      <c r="AUI56" s="101"/>
      <c r="AUJ56" s="101"/>
      <c r="AUK56" s="101"/>
      <c r="AUL56" s="101"/>
      <c r="AUM56" s="101"/>
      <c r="AUN56" s="101"/>
      <c r="AUO56" s="101"/>
      <c r="AUP56" s="101"/>
      <c r="AUQ56" s="101"/>
      <c r="AUR56" s="101"/>
      <c r="AUS56" s="101"/>
      <c r="AUT56" s="101"/>
      <c r="AUU56" s="101"/>
      <c r="AUV56" s="101"/>
      <c r="AUW56" s="101"/>
      <c r="AUX56" s="101"/>
      <c r="AUY56" s="101"/>
      <c r="AUZ56" s="101"/>
      <c r="AVA56" s="101"/>
      <c r="AVB56" s="101"/>
      <c r="AVC56" s="101"/>
      <c r="AVD56" s="101"/>
      <c r="AVE56" s="101"/>
      <c r="AVF56" s="101"/>
      <c r="AVG56" s="101"/>
      <c r="AVH56" s="101"/>
      <c r="AVI56" s="101"/>
      <c r="AVJ56" s="101"/>
      <c r="AVK56" s="101"/>
      <c r="AVL56" s="101"/>
      <c r="AVM56" s="101"/>
      <c r="AVN56" s="101"/>
      <c r="AVO56" s="101"/>
      <c r="AVP56" s="101"/>
      <c r="AVQ56" s="101"/>
      <c r="AVR56" s="101"/>
      <c r="AVS56" s="101"/>
      <c r="AVT56" s="101"/>
      <c r="AVU56" s="101"/>
      <c r="AVV56" s="101"/>
      <c r="AVW56" s="101"/>
      <c r="AVX56" s="101"/>
      <c r="AVY56" s="101"/>
      <c r="AVZ56" s="101"/>
      <c r="AWA56" s="101"/>
      <c r="AWB56" s="101"/>
      <c r="AWC56" s="101"/>
      <c r="AWD56" s="101"/>
      <c r="AWE56" s="101"/>
      <c r="AWF56" s="101"/>
      <c r="AWG56" s="101"/>
      <c r="AWH56" s="101"/>
      <c r="AWI56" s="101"/>
      <c r="AWJ56" s="101"/>
      <c r="AWK56" s="101"/>
      <c r="AWL56" s="101"/>
      <c r="AWM56" s="101"/>
      <c r="AWN56" s="101"/>
      <c r="AWO56" s="101"/>
      <c r="AWP56" s="101"/>
      <c r="AWQ56" s="101"/>
      <c r="AWR56" s="101"/>
      <c r="AWS56" s="101"/>
      <c r="AWT56" s="101"/>
      <c r="AWU56" s="101"/>
      <c r="AWV56" s="101"/>
      <c r="AWW56" s="101"/>
      <c r="AWX56" s="101"/>
      <c r="AWY56" s="101"/>
      <c r="AWZ56" s="101"/>
      <c r="AXA56" s="101"/>
      <c r="AXB56" s="101"/>
      <c r="AXC56" s="101"/>
      <c r="AXD56" s="101"/>
      <c r="AXE56" s="101"/>
      <c r="AXF56" s="101"/>
      <c r="AXG56" s="101"/>
      <c r="AXH56" s="101"/>
      <c r="AXI56" s="101"/>
      <c r="AXJ56" s="101"/>
      <c r="AXK56" s="101"/>
      <c r="AXL56" s="101"/>
      <c r="AXM56" s="101"/>
      <c r="AXN56" s="101"/>
      <c r="AXO56" s="101"/>
      <c r="AXP56" s="101"/>
      <c r="AXQ56" s="101"/>
      <c r="AXR56" s="101"/>
      <c r="AXS56" s="101"/>
      <c r="AXT56" s="101"/>
      <c r="AXU56" s="101"/>
      <c r="AXV56" s="101"/>
      <c r="AXW56" s="101"/>
      <c r="AXX56" s="101"/>
      <c r="AXY56" s="101"/>
      <c r="AXZ56" s="101"/>
      <c r="AYA56" s="101"/>
      <c r="AYB56" s="101"/>
      <c r="AYC56" s="101"/>
      <c r="AYD56" s="101"/>
      <c r="AYE56" s="101"/>
      <c r="AYF56" s="101"/>
      <c r="AYG56" s="101"/>
      <c r="AYH56" s="101"/>
      <c r="AYI56" s="101"/>
      <c r="AYJ56" s="101"/>
      <c r="AYK56" s="101"/>
      <c r="AYL56" s="101"/>
      <c r="AYM56" s="101"/>
      <c r="AYN56" s="101"/>
      <c r="AYO56" s="101"/>
      <c r="AYP56" s="101"/>
      <c r="AYQ56" s="101"/>
      <c r="AYR56" s="101"/>
      <c r="AYS56" s="101"/>
      <c r="AYT56" s="101"/>
      <c r="AYU56" s="101"/>
      <c r="AYV56" s="101"/>
      <c r="AYW56" s="101"/>
      <c r="AYX56" s="101"/>
      <c r="AYY56" s="101"/>
      <c r="AYZ56" s="101"/>
      <c r="AZA56" s="101"/>
      <c r="AZB56" s="101"/>
      <c r="AZC56" s="101"/>
      <c r="AZD56" s="101"/>
      <c r="AZE56" s="101"/>
      <c r="AZF56" s="101"/>
      <c r="AZG56" s="101"/>
      <c r="AZH56" s="211"/>
      <c r="AZI56" s="101"/>
      <c r="AZJ56" s="211"/>
      <c r="AZK56" s="211"/>
    </row>
    <row r="57" spans="1:1363" s="212" customFormat="1" ht="30.75" customHeight="1" thickTop="1" thickBot="1">
      <c r="A57" s="97">
        <v>49</v>
      </c>
      <c r="B57" s="56" t="s">
        <v>289</v>
      </c>
      <c r="C57" s="57" t="s">
        <v>290</v>
      </c>
      <c r="D57" s="58" t="s">
        <v>291</v>
      </c>
      <c r="E57" s="71"/>
      <c r="F57" s="71"/>
      <c r="G57" s="71">
        <v>9072000</v>
      </c>
      <c r="H57" s="71">
        <v>2569344</v>
      </c>
      <c r="I57" s="71">
        <v>651264</v>
      </c>
      <c r="J57" s="71">
        <v>1993776</v>
      </c>
      <c r="K57" s="71">
        <v>1203648</v>
      </c>
      <c r="L57" s="71">
        <v>647600</v>
      </c>
      <c r="M57" s="71">
        <v>411280</v>
      </c>
      <c r="N57" s="71">
        <v>192288</v>
      </c>
      <c r="O57" s="71">
        <v>108000</v>
      </c>
      <c r="P57" s="101">
        <v>24096</v>
      </c>
      <c r="Q57" s="101"/>
      <c r="R57" s="101"/>
      <c r="S57" s="206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70">
        <f t="shared" si="1"/>
        <v>0</v>
      </c>
      <c r="AG57" s="147"/>
      <c r="AH57" s="102" t="s">
        <v>292</v>
      </c>
      <c r="AI57" s="197" t="s">
        <v>259</v>
      </c>
      <c r="AJ57" s="102" t="s">
        <v>275</v>
      </c>
      <c r="AK57" s="198">
        <v>45719</v>
      </c>
      <c r="AL57" s="103" t="s">
        <v>292</v>
      </c>
      <c r="AM57" s="213">
        <v>14653350</v>
      </c>
      <c r="AN57" s="213">
        <v>17110575</v>
      </c>
      <c r="AO57" s="213">
        <v>5737450</v>
      </c>
      <c r="AP57" s="213">
        <v>2190800</v>
      </c>
      <c r="AQ57" s="209">
        <v>1981200</v>
      </c>
      <c r="AR57" s="209">
        <v>309000</v>
      </c>
      <c r="AS57" s="209">
        <v>1156200</v>
      </c>
      <c r="AT57" s="209">
        <v>1657200</v>
      </c>
      <c r="AU57" s="209">
        <v>1011000</v>
      </c>
      <c r="AV57" s="209">
        <v>1050000</v>
      </c>
      <c r="AW57" s="209">
        <v>789600</v>
      </c>
      <c r="AX57" s="209">
        <v>744000</v>
      </c>
      <c r="AY57" s="209">
        <v>1297800</v>
      </c>
      <c r="AZ57" s="209">
        <v>1524150</v>
      </c>
      <c r="BA57" s="209">
        <v>1623600</v>
      </c>
      <c r="BB57" s="209">
        <v>1509600</v>
      </c>
      <c r="BC57" s="209"/>
      <c r="BD57" s="209">
        <v>1485600</v>
      </c>
      <c r="BE57" s="209">
        <v>660000</v>
      </c>
      <c r="BF57" s="209">
        <v>1605865</v>
      </c>
      <c r="BG57" s="209">
        <v>1854200</v>
      </c>
      <c r="BH57" s="209">
        <v>1775000</v>
      </c>
      <c r="BI57" s="209">
        <v>2027900</v>
      </c>
      <c r="BJ57" s="209">
        <v>1732450</v>
      </c>
      <c r="BK57" s="209">
        <v>1542350</v>
      </c>
      <c r="BL57" s="209">
        <v>681200</v>
      </c>
      <c r="BM57" s="209">
        <v>933600</v>
      </c>
      <c r="BN57" s="209">
        <v>1074410</v>
      </c>
      <c r="BO57" s="209">
        <v>1738000</v>
      </c>
      <c r="BP57" s="209">
        <v>1056750</v>
      </c>
      <c r="BQ57" s="209">
        <v>1672800</v>
      </c>
      <c r="BR57" s="209">
        <v>2378700</v>
      </c>
      <c r="BS57" s="209">
        <v>116850</v>
      </c>
      <c r="BT57" s="209">
        <v>29600</v>
      </c>
      <c r="BU57" s="209">
        <v>174650</v>
      </c>
      <c r="BV57" s="209">
        <v>226900</v>
      </c>
      <c r="BW57" s="209">
        <v>81200</v>
      </c>
      <c r="BX57" s="209">
        <v>0</v>
      </c>
      <c r="BY57" s="209">
        <v>0</v>
      </c>
      <c r="BZ57" s="209">
        <v>0</v>
      </c>
      <c r="CA57" s="209">
        <v>0</v>
      </c>
      <c r="CB57" s="106">
        <v>0</v>
      </c>
      <c r="CC57" s="106">
        <v>292500</v>
      </c>
      <c r="CD57" s="106">
        <v>301700</v>
      </c>
      <c r="CE57" s="106">
        <v>290600</v>
      </c>
      <c r="CF57" s="106">
        <v>431700</v>
      </c>
      <c r="CG57" s="106">
        <v>123200</v>
      </c>
      <c r="CH57" s="106">
        <v>416300</v>
      </c>
      <c r="CI57" s="106">
        <v>0</v>
      </c>
      <c r="CJ57" s="106">
        <v>0</v>
      </c>
      <c r="CK57" s="106">
        <v>91200</v>
      </c>
      <c r="CL57" s="106">
        <v>117600</v>
      </c>
      <c r="CM57" s="210">
        <v>126000</v>
      </c>
      <c r="CN57" s="214">
        <v>260400</v>
      </c>
      <c r="CO57" s="214">
        <v>319200</v>
      </c>
      <c r="CP57" s="214">
        <v>302400</v>
      </c>
      <c r="CQ57" s="214">
        <v>268800</v>
      </c>
      <c r="CR57" s="214">
        <v>336000</v>
      </c>
      <c r="CS57" s="214">
        <v>260400</v>
      </c>
      <c r="CT57" s="214">
        <v>294000</v>
      </c>
      <c r="CU57" s="214">
        <v>226800</v>
      </c>
      <c r="CV57" s="214">
        <v>327600</v>
      </c>
      <c r="CW57" s="214">
        <v>256200</v>
      </c>
      <c r="CX57" s="214">
        <v>201600</v>
      </c>
      <c r="CY57" s="214">
        <v>260400</v>
      </c>
      <c r="CZ57" s="71"/>
      <c r="DA57" s="6"/>
      <c r="DB57" s="6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  <c r="DR57" s="101"/>
      <c r="DS57" s="101"/>
      <c r="DT57" s="101"/>
      <c r="DU57" s="101"/>
      <c r="DV57" s="101"/>
      <c r="DW57" s="101"/>
      <c r="DX57" s="101"/>
      <c r="DY57" s="101"/>
      <c r="DZ57" s="101"/>
      <c r="EA57" s="101"/>
      <c r="EB57" s="101"/>
      <c r="EC57" s="101"/>
      <c r="ED57" s="101"/>
      <c r="EE57" s="101"/>
      <c r="EF57" s="101"/>
      <c r="EG57" s="101"/>
      <c r="EH57" s="101"/>
      <c r="EI57" s="101"/>
      <c r="EJ57" s="101"/>
      <c r="EK57" s="101"/>
      <c r="EL57" s="101"/>
      <c r="EM57" s="101"/>
      <c r="EN57" s="101"/>
      <c r="EO57" s="101"/>
      <c r="EP57" s="101"/>
      <c r="EQ57" s="101"/>
      <c r="ER57" s="101"/>
      <c r="ES57" s="101"/>
      <c r="ET57" s="101"/>
      <c r="EU57" s="101"/>
      <c r="EV57" s="101"/>
      <c r="EW57" s="101"/>
      <c r="EX57" s="101"/>
      <c r="EY57" s="101"/>
      <c r="EZ57" s="101"/>
      <c r="FA57" s="101"/>
      <c r="FB57" s="101"/>
      <c r="FC57" s="101"/>
      <c r="FD57" s="101"/>
      <c r="FE57" s="101"/>
      <c r="FF57" s="101"/>
      <c r="FG57" s="101"/>
      <c r="FH57" s="101"/>
      <c r="FI57" s="101"/>
      <c r="FJ57" s="101"/>
      <c r="FK57" s="101"/>
      <c r="FL57" s="101"/>
      <c r="FM57" s="101"/>
      <c r="FN57" s="101"/>
      <c r="FO57" s="101"/>
      <c r="FP57" s="101"/>
      <c r="FQ57" s="101"/>
      <c r="FR57" s="101"/>
      <c r="FS57" s="101"/>
      <c r="FT57" s="101"/>
      <c r="FU57" s="101"/>
      <c r="FV57" s="101"/>
      <c r="FW57" s="101"/>
      <c r="FX57" s="101"/>
      <c r="FY57" s="101"/>
      <c r="FZ57" s="101"/>
      <c r="GA57" s="101"/>
      <c r="GB57" s="101"/>
      <c r="GC57" s="101"/>
      <c r="GD57" s="101"/>
      <c r="GE57" s="101"/>
      <c r="GF57" s="101"/>
      <c r="GG57" s="101"/>
      <c r="GH57" s="101"/>
      <c r="GI57" s="101"/>
      <c r="GJ57" s="101"/>
      <c r="GK57" s="101"/>
      <c r="GL57" s="101"/>
      <c r="GM57" s="101"/>
      <c r="GN57" s="101"/>
      <c r="GO57" s="101"/>
      <c r="GP57" s="101"/>
      <c r="GQ57" s="101"/>
      <c r="GR57" s="101"/>
      <c r="GS57" s="101"/>
      <c r="GT57" s="101"/>
      <c r="GU57" s="101"/>
      <c r="GV57" s="101"/>
      <c r="GW57" s="101"/>
      <c r="GX57" s="101"/>
      <c r="GY57" s="101"/>
      <c r="GZ57" s="101"/>
      <c r="HA57" s="101"/>
      <c r="HB57" s="101"/>
      <c r="HC57" s="101"/>
      <c r="HD57" s="101"/>
      <c r="HE57" s="101"/>
      <c r="HF57" s="101"/>
      <c r="HG57" s="101"/>
      <c r="HH57" s="101"/>
      <c r="HI57" s="101"/>
      <c r="HJ57" s="101"/>
      <c r="HK57" s="101"/>
      <c r="HL57" s="101"/>
      <c r="HM57" s="101"/>
      <c r="HN57" s="101"/>
      <c r="HO57" s="101"/>
      <c r="HP57" s="101"/>
      <c r="HQ57" s="101"/>
      <c r="HR57" s="101"/>
      <c r="HS57" s="101"/>
      <c r="HT57" s="101"/>
      <c r="HU57" s="101"/>
      <c r="HV57" s="101"/>
      <c r="HW57" s="101"/>
      <c r="HX57" s="101"/>
      <c r="HY57" s="101"/>
      <c r="HZ57" s="101"/>
      <c r="IA57" s="101"/>
      <c r="IB57" s="101"/>
      <c r="IC57" s="101"/>
      <c r="ID57" s="101"/>
      <c r="IE57" s="101"/>
      <c r="IF57" s="101"/>
      <c r="IG57" s="101"/>
      <c r="IH57" s="101"/>
      <c r="II57" s="101"/>
      <c r="IJ57" s="101"/>
      <c r="IK57" s="101"/>
      <c r="IL57" s="101"/>
      <c r="IM57" s="101"/>
      <c r="IN57" s="101"/>
      <c r="IO57" s="101"/>
      <c r="IP57" s="101"/>
      <c r="IQ57" s="101"/>
      <c r="IR57" s="101"/>
      <c r="IS57" s="101"/>
      <c r="IT57" s="101"/>
      <c r="IU57" s="101"/>
      <c r="IV57" s="101"/>
      <c r="IW57" s="101"/>
      <c r="IX57" s="101"/>
      <c r="IY57" s="101"/>
      <c r="IZ57" s="101"/>
      <c r="JA57" s="101"/>
      <c r="JB57" s="101"/>
      <c r="JC57" s="101"/>
      <c r="JD57" s="101"/>
      <c r="JE57" s="101"/>
      <c r="JF57" s="101"/>
      <c r="JG57" s="101"/>
      <c r="JH57" s="101"/>
      <c r="JI57" s="101"/>
      <c r="JJ57" s="101"/>
      <c r="JK57" s="101"/>
      <c r="JL57" s="101"/>
      <c r="JM57" s="101"/>
      <c r="JN57" s="101"/>
      <c r="JO57" s="101"/>
      <c r="JP57" s="101"/>
      <c r="JQ57" s="101"/>
      <c r="JR57" s="101"/>
      <c r="JS57" s="101"/>
      <c r="JT57" s="101"/>
      <c r="JU57" s="101"/>
      <c r="JV57" s="101"/>
      <c r="JW57" s="101"/>
      <c r="JX57" s="101"/>
      <c r="JY57" s="101"/>
      <c r="JZ57" s="101"/>
      <c r="KA57" s="101"/>
      <c r="KB57" s="101"/>
      <c r="KC57" s="101"/>
      <c r="KD57" s="101"/>
      <c r="KE57" s="101"/>
      <c r="KF57" s="101"/>
      <c r="KG57" s="101"/>
      <c r="KH57" s="101"/>
      <c r="KI57" s="101"/>
      <c r="KJ57" s="101"/>
      <c r="KK57" s="101"/>
      <c r="KL57" s="101"/>
      <c r="KM57" s="101"/>
      <c r="KN57" s="101"/>
      <c r="KO57" s="101"/>
      <c r="KP57" s="101"/>
      <c r="KQ57" s="101"/>
      <c r="KR57" s="101"/>
      <c r="KS57" s="101"/>
      <c r="KT57" s="101"/>
      <c r="KU57" s="101"/>
      <c r="KV57" s="101"/>
      <c r="KW57" s="101"/>
      <c r="KX57" s="101"/>
      <c r="KY57" s="101"/>
      <c r="KZ57" s="101"/>
      <c r="LA57" s="101"/>
      <c r="LB57" s="101"/>
      <c r="LC57" s="101"/>
      <c r="LD57" s="101"/>
      <c r="LE57" s="101"/>
      <c r="LF57" s="101"/>
      <c r="LG57" s="101"/>
      <c r="LH57" s="101"/>
      <c r="LI57" s="101"/>
      <c r="LJ57" s="101"/>
      <c r="LK57" s="101"/>
      <c r="LL57" s="101"/>
      <c r="LM57" s="101"/>
      <c r="LN57" s="101"/>
      <c r="LO57" s="101"/>
      <c r="LP57" s="101"/>
      <c r="LQ57" s="101"/>
      <c r="LR57" s="101"/>
      <c r="LS57" s="101"/>
      <c r="LT57" s="101"/>
      <c r="LU57" s="101"/>
      <c r="LV57" s="101"/>
      <c r="LW57" s="101"/>
      <c r="LX57" s="101"/>
      <c r="LY57" s="101"/>
      <c r="LZ57" s="101"/>
      <c r="MA57" s="101"/>
      <c r="MB57" s="101"/>
      <c r="MC57" s="101"/>
      <c r="MD57" s="101"/>
      <c r="ME57" s="101"/>
      <c r="MF57" s="101"/>
      <c r="MG57" s="101"/>
      <c r="MH57" s="101"/>
      <c r="MI57" s="101"/>
      <c r="MJ57" s="101"/>
      <c r="MK57" s="101"/>
      <c r="ML57" s="101"/>
      <c r="MM57" s="101"/>
      <c r="MN57" s="101"/>
      <c r="MO57" s="101"/>
      <c r="MP57" s="101"/>
      <c r="MQ57" s="101"/>
      <c r="MR57" s="101"/>
      <c r="MS57" s="101"/>
      <c r="MT57" s="101"/>
      <c r="MU57" s="101"/>
      <c r="MV57" s="101"/>
      <c r="MW57" s="101"/>
      <c r="MX57" s="101"/>
      <c r="MY57" s="101"/>
      <c r="MZ57" s="101"/>
      <c r="NA57" s="101"/>
      <c r="NB57" s="101"/>
      <c r="NC57" s="101"/>
      <c r="ND57" s="101"/>
      <c r="NE57" s="101"/>
      <c r="NF57" s="101"/>
      <c r="NG57" s="101"/>
      <c r="NH57" s="101"/>
      <c r="NI57" s="101"/>
      <c r="NJ57" s="101"/>
      <c r="NK57" s="101"/>
      <c r="NL57" s="101"/>
      <c r="NM57" s="101"/>
      <c r="NN57" s="101"/>
      <c r="NO57" s="101"/>
      <c r="NP57" s="101"/>
      <c r="NQ57" s="101"/>
      <c r="NR57" s="101"/>
      <c r="NS57" s="101"/>
      <c r="NT57" s="101"/>
      <c r="NU57" s="101"/>
      <c r="NV57" s="101"/>
      <c r="NW57" s="101"/>
      <c r="NX57" s="101"/>
      <c r="NY57" s="101"/>
      <c r="NZ57" s="101"/>
      <c r="OA57" s="101"/>
      <c r="OB57" s="101"/>
      <c r="OC57" s="101"/>
      <c r="OD57" s="101"/>
      <c r="OE57" s="101"/>
      <c r="OF57" s="101"/>
      <c r="OG57" s="101"/>
      <c r="OH57" s="101"/>
      <c r="OI57" s="101"/>
      <c r="OJ57" s="101"/>
      <c r="OK57" s="101"/>
      <c r="OL57" s="101"/>
      <c r="OM57" s="101"/>
      <c r="ON57" s="101"/>
      <c r="OO57" s="101"/>
      <c r="OP57" s="101"/>
      <c r="OQ57" s="101"/>
      <c r="OR57" s="101"/>
      <c r="OS57" s="101"/>
      <c r="OT57" s="101"/>
      <c r="OU57" s="101"/>
      <c r="OV57" s="101"/>
      <c r="OW57" s="101"/>
      <c r="OX57" s="101"/>
      <c r="OY57" s="101"/>
      <c r="OZ57" s="101"/>
      <c r="PA57" s="101"/>
      <c r="PB57" s="101"/>
      <c r="PC57" s="101"/>
      <c r="PD57" s="101"/>
      <c r="PE57" s="101"/>
      <c r="PF57" s="101"/>
      <c r="PG57" s="101"/>
      <c r="PH57" s="101"/>
      <c r="PI57" s="101"/>
      <c r="PJ57" s="101"/>
      <c r="PK57" s="101"/>
      <c r="PL57" s="101"/>
      <c r="PM57" s="101"/>
      <c r="PN57" s="101"/>
      <c r="PO57" s="101"/>
      <c r="PP57" s="101"/>
      <c r="PQ57" s="101"/>
      <c r="PR57" s="101"/>
      <c r="PS57" s="101"/>
      <c r="PT57" s="101"/>
      <c r="PU57" s="101"/>
      <c r="PV57" s="101"/>
      <c r="PW57" s="101"/>
      <c r="PX57" s="101"/>
      <c r="PY57" s="101"/>
      <c r="PZ57" s="101"/>
      <c r="QA57" s="101"/>
      <c r="QB57" s="101"/>
      <c r="QC57" s="101"/>
      <c r="QD57" s="101"/>
      <c r="QE57" s="101"/>
      <c r="QF57" s="101"/>
      <c r="QG57" s="101"/>
      <c r="QH57" s="101"/>
      <c r="QI57" s="101"/>
      <c r="QJ57" s="101"/>
      <c r="QK57" s="101"/>
      <c r="QL57" s="101"/>
      <c r="QM57" s="101"/>
      <c r="QN57" s="101"/>
      <c r="QO57" s="101"/>
      <c r="QP57" s="101"/>
      <c r="QQ57" s="101"/>
      <c r="QR57" s="101"/>
      <c r="QS57" s="101"/>
      <c r="QT57" s="101"/>
      <c r="QU57" s="101"/>
      <c r="QV57" s="101"/>
      <c r="QW57" s="101"/>
      <c r="QX57" s="101"/>
      <c r="QY57" s="101"/>
      <c r="QZ57" s="101"/>
      <c r="RA57" s="101"/>
      <c r="RB57" s="101"/>
      <c r="RC57" s="101"/>
      <c r="RD57" s="101"/>
      <c r="RE57" s="101"/>
      <c r="RF57" s="101"/>
      <c r="RG57" s="101"/>
      <c r="RH57" s="101"/>
      <c r="RI57" s="101"/>
      <c r="RJ57" s="101"/>
      <c r="RK57" s="101"/>
      <c r="RL57" s="101"/>
      <c r="RM57" s="101"/>
      <c r="RN57" s="101"/>
      <c r="RO57" s="101"/>
      <c r="RP57" s="101"/>
      <c r="RQ57" s="101"/>
      <c r="RR57" s="101"/>
      <c r="RS57" s="101"/>
      <c r="RT57" s="101"/>
      <c r="RU57" s="101"/>
      <c r="RV57" s="101"/>
      <c r="RW57" s="101"/>
      <c r="RX57" s="101"/>
      <c r="RY57" s="101"/>
      <c r="RZ57" s="101"/>
      <c r="SA57" s="101"/>
      <c r="SB57" s="101"/>
      <c r="SC57" s="101"/>
      <c r="SD57" s="101"/>
      <c r="SE57" s="101"/>
      <c r="SF57" s="101"/>
      <c r="SG57" s="101"/>
      <c r="SH57" s="101"/>
      <c r="SI57" s="101"/>
      <c r="SJ57" s="101"/>
      <c r="SK57" s="101"/>
      <c r="SL57" s="101"/>
      <c r="SM57" s="101"/>
      <c r="SN57" s="101"/>
      <c r="SO57" s="101"/>
      <c r="SP57" s="101"/>
      <c r="SQ57" s="101"/>
      <c r="SR57" s="101"/>
      <c r="SS57" s="101"/>
      <c r="ST57" s="101"/>
      <c r="SU57" s="101"/>
      <c r="SV57" s="101"/>
      <c r="SW57" s="101"/>
      <c r="SX57" s="101"/>
      <c r="SY57" s="101"/>
      <c r="SZ57" s="101"/>
      <c r="TA57" s="101"/>
      <c r="TB57" s="101"/>
      <c r="TC57" s="101"/>
      <c r="TD57" s="101"/>
      <c r="TE57" s="101"/>
      <c r="TF57" s="101"/>
      <c r="TG57" s="101"/>
      <c r="TH57" s="101"/>
      <c r="TI57" s="101"/>
      <c r="TJ57" s="101"/>
      <c r="TK57" s="101"/>
      <c r="TL57" s="101"/>
      <c r="TM57" s="101"/>
      <c r="TN57" s="101"/>
      <c r="TO57" s="101"/>
      <c r="TP57" s="101"/>
      <c r="TQ57" s="101"/>
      <c r="TR57" s="101"/>
      <c r="TS57" s="101"/>
      <c r="TT57" s="101"/>
      <c r="TU57" s="101"/>
      <c r="TV57" s="101"/>
      <c r="TW57" s="101"/>
      <c r="TX57" s="101"/>
      <c r="TY57" s="101"/>
      <c r="TZ57" s="101"/>
      <c r="UA57" s="101"/>
      <c r="UB57" s="101"/>
      <c r="UC57" s="101"/>
      <c r="UD57" s="101"/>
      <c r="UE57" s="101"/>
      <c r="UF57" s="101"/>
      <c r="UG57" s="101"/>
      <c r="UH57" s="101"/>
      <c r="UI57" s="101"/>
      <c r="UJ57" s="101"/>
      <c r="UK57" s="101"/>
      <c r="UL57" s="101"/>
      <c r="UM57" s="101"/>
      <c r="UN57" s="101"/>
      <c r="UO57" s="101"/>
      <c r="UP57" s="101"/>
      <c r="UQ57" s="101"/>
      <c r="UR57" s="101"/>
      <c r="US57" s="101"/>
      <c r="UT57" s="101"/>
      <c r="UU57" s="101"/>
      <c r="UV57" s="101"/>
      <c r="UW57" s="101"/>
      <c r="UX57" s="101"/>
      <c r="UY57" s="101"/>
      <c r="UZ57" s="101"/>
      <c r="VA57" s="101"/>
      <c r="VB57" s="101"/>
      <c r="VC57" s="101"/>
      <c r="VD57" s="101"/>
      <c r="VE57" s="101"/>
      <c r="VF57" s="101"/>
      <c r="VG57" s="101"/>
      <c r="VH57" s="101"/>
      <c r="VI57" s="101"/>
      <c r="VJ57" s="101"/>
      <c r="VK57" s="101"/>
      <c r="VL57" s="101"/>
      <c r="VM57" s="101"/>
      <c r="VN57" s="101"/>
      <c r="VO57" s="101"/>
      <c r="VP57" s="101"/>
      <c r="VQ57" s="101"/>
      <c r="VR57" s="101"/>
      <c r="VS57" s="101"/>
      <c r="VT57" s="101"/>
      <c r="VU57" s="101"/>
      <c r="VV57" s="101"/>
      <c r="VW57" s="101"/>
      <c r="VX57" s="101"/>
      <c r="VY57" s="101"/>
      <c r="VZ57" s="101"/>
      <c r="WA57" s="101"/>
      <c r="WB57" s="101"/>
      <c r="WC57" s="101"/>
      <c r="WD57" s="101"/>
      <c r="WE57" s="101"/>
      <c r="WF57" s="101"/>
      <c r="WG57" s="101"/>
      <c r="WH57" s="101"/>
      <c r="WI57" s="101"/>
      <c r="WJ57" s="101"/>
      <c r="WK57" s="101"/>
      <c r="WL57" s="101"/>
      <c r="WM57" s="101"/>
      <c r="WN57" s="101"/>
      <c r="WO57" s="101"/>
      <c r="WP57" s="101"/>
      <c r="WQ57" s="101"/>
      <c r="WR57" s="101"/>
      <c r="WS57" s="101"/>
      <c r="WT57" s="101"/>
      <c r="WU57" s="101"/>
      <c r="WV57" s="101"/>
      <c r="WW57" s="101"/>
      <c r="WX57" s="101"/>
      <c r="WY57" s="101"/>
      <c r="WZ57" s="101"/>
      <c r="XA57" s="101"/>
      <c r="XB57" s="101"/>
      <c r="XC57" s="101"/>
      <c r="XD57" s="101"/>
      <c r="XE57" s="101"/>
      <c r="XF57" s="101"/>
      <c r="XG57" s="101"/>
      <c r="XH57" s="101"/>
      <c r="XI57" s="101"/>
      <c r="XJ57" s="101"/>
      <c r="XK57" s="101"/>
      <c r="XL57" s="101"/>
      <c r="XM57" s="101"/>
      <c r="XN57" s="101"/>
      <c r="XO57" s="101"/>
      <c r="XP57" s="101"/>
      <c r="XQ57" s="101"/>
      <c r="XR57" s="101"/>
      <c r="XS57" s="101"/>
      <c r="XT57" s="101"/>
      <c r="XU57" s="101"/>
      <c r="XV57" s="101"/>
      <c r="XW57" s="101"/>
      <c r="XX57" s="101"/>
      <c r="XY57" s="101"/>
      <c r="XZ57" s="101"/>
      <c r="YA57" s="101"/>
      <c r="YB57" s="101"/>
      <c r="YC57" s="101"/>
      <c r="YD57" s="101"/>
      <c r="YE57" s="101"/>
      <c r="YF57" s="101"/>
      <c r="YG57" s="101"/>
      <c r="YH57" s="101"/>
      <c r="YI57" s="101"/>
      <c r="YJ57" s="101"/>
      <c r="YK57" s="101"/>
      <c r="YL57" s="101"/>
      <c r="YM57" s="101"/>
      <c r="YN57" s="101"/>
      <c r="YO57" s="101"/>
      <c r="YP57" s="101"/>
      <c r="YQ57" s="101"/>
      <c r="YR57" s="101"/>
      <c r="YS57" s="101"/>
      <c r="YT57" s="101"/>
      <c r="YU57" s="101"/>
      <c r="YV57" s="101"/>
      <c r="YW57" s="101"/>
      <c r="YX57" s="101"/>
      <c r="YY57" s="101"/>
      <c r="YZ57" s="101"/>
      <c r="ZA57" s="101"/>
      <c r="ZB57" s="101"/>
      <c r="ZC57" s="101"/>
      <c r="ZD57" s="101"/>
      <c r="ZE57" s="101"/>
      <c r="ZF57" s="101"/>
      <c r="ZG57" s="101"/>
      <c r="ZH57" s="101"/>
      <c r="ZI57" s="101"/>
      <c r="ZJ57" s="101"/>
      <c r="ZK57" s="101"/>
      <c r="ZL57" s="101"/>
      <c r="ZM57" s="101"/>
      <c r="ZN57" s="101"/>
      <c r="ZO57" s="101"/>
      <c r="ZP57" s="101"/>
      <c r="ZQ57" s="101"/>
      <c r="ZR57" s="101"/>
      <c r="ZS57" s="101"/>
      <c r="ZT57" s="101"/>
      <c r="ZU57" s="101"/>
      <c r="ZV57" s="101"/>
      <c r="ZW57" s="101"/>
      <c r="ZX57" s="101"/>
      <c r="ZY57" s="101"/>
      <c r="ZZ57" s="101"/>
      <c r="AAA57" s="101"/>
      <c r="AAB57" s="101"/>
      <c r="AAC57" s="101"/>
      <c r="AAD57" s="101"/>
      <c r="AAE57" s="101"/>
      <c r="AAF57" s="101"/>
      <c r="AAG57" s="101"/>
      <c r="AAH57" s="101"/>
      <c r="AAI57" s="101"/>
      <c r="AAJ57" s="101"/>
      <c r="AAK57" s="101"/>
      <c r="AAL57" s="101"/>
      <c r="AAM57" s="101"/>
      <c r="AAN57" s="101"/>
      <c r="AAO57" s="101"/>
      <c r="AAP57" s="101"/>
      <c r="AAQ57" s="101"/>
      <c r="AAR57" s="101"/>
      <c r="AAS57" s="101"/>
      <c r="AAT57" s="101"/>
      <c r="AAU57" s="101"/>
      <c r="AAV57" s="101"/>
      <c r="AAW57" s="101"/>
      <c r="AAX57" s="101"/>
      <c r="AAY57" s="101"/>
      <c r="AAZ57" s="101"/>
      <c r="ABA57" s="101"/>
      <c r="ABB57" s="101"/>
      <c r="ABC57" s="101"/>
      <c r="ABD57" s="101"/>
      <c r="ABE57" s="101"/>
      <c r="ABF57" s="101"/>
      <c r="ABG57" s="101"/>
      <c r="ABH57" s="101"/>
      <c r="ABI57" s="101"/>
      <c r="ABJ57" s="101"/>
      <c r="ABK57" s="101"/>
      <c r="ABL57" s="101"/>
      <c r="ABM57" s="101"/>
      <c r="ABN57" s="101"/>
      <c r="ABO57" s="101"/>
      <c r="ABP57" s="101"/>
      <c r="ABQ57" s="101"/>
      <c r="ABR57" s="101"/>
      <c r="ABS57" s="101"/>
      <c r="ABT57" s="101"/>
      <c r="ABU57" s="101"/>
      <c r="ABV57" s="101"/>
      <c r="ABW57" s="101"/>
      <c r="ABX57" s="101"/>
      <c r="ABY57" s="101"/>
      <c r="ABZ57" s="101"/>
      <c r="ACA57" s="101"/>
      <c r="ACB57" s="101"/>
      <c r="ACC57" s="101"/>
      <c r="ACD57" s="101"/>
      <c r="ACE57" s="101"/>
      <c r="ACF57" s="101"/>
      <c r="ACG57" s="101"/>
      <c r="ACH57" s="101"/>
      <c r="ACI57" s="101"/>
      <c r="ACJ57" s="101"/>
      <c r="ACK57" s="101"/>
      <c r="ACL57" s="101"/>
      <c r="ACM57" s="101"/>
      <c r="ACN57" s="101"/>
      <c r="ACO57" s="101"/>
      <c r="ACP57" s="101"/>
      <c r="ACQ57" s="101"/>
      <c r="ACR57" s="101"/>
      <c r="ACS57" s="101"/>
      <c r="ACT57" s="101"/>
      <c r="ACU57" s="101"/>
      <c r="ACV57" s="101"/>
      <c r="ACW57" s="101"/>
      <c r="ACX57" s="101"/>
      <c r="ACY57" s="101"/>
      <c r="ACZ57" s="101"/>
      <c r="ADA57" s="101"/>
      <c r="ADB57" s="101"/>
      <c r="ADC57" s="101"/>
      <c r="ADD57" s="101"/>
      <c r="ADE57" s="101"/>
      <c r="ADF57" s="101"/>
      <c r="ADG57" s="101"/>
      <c r="ADH57" s="101"/>
      <c r="ADI57" s="101"/>
      <c r="ADJ57" s="101"/>
      <c r="ADK57" s="101"/>
      <c r="ADL57" s="101"/>
      <c r="ADM57" s="101"/>
      <c r="ADN57" s="101"/>
      <c r="ADO57" s="101"/>
      <c r="ADP57" s="101"/>
      <c r="ADQ57" s="101"/>
      <c r="ADR57" s="101"/>
      <c r="ADS57" s="101"/>
      <c r="ADT57" s="101"/>
      <c r="ADU57" s="101"/>
      <c r="ADV57" s="101"/>
      <c r="ADW57" s="101"/>
      <c r="ADX57" s="101"/>
      <c r="ADY57" s="101"/>
      <c r="ADZ57" s="101"/>
      <c r="AEA57" s="101"/>
      <c r="AEB57" s="101"/>
      <c r="AEC57" s="101"/>
      <c r="AED57" s="101"/>
      <c r="AEE57" s="101"/>
      <c r="AEF57" s="101"/>
      <c r="AEG57" s="101"/>
      <c r="AEH57" s="101"/>
      <c r="AEI57" s="101"/>
      <c r="AEJ57" s="101"/>
      <c r="AEK57" s="101"/>
      <c r="AEL57" s="101"/>
      <c r="AEM57" s="101"/>
      <c r="AEN57" s="101"/>
      <c r="AEO57" s="101"/>
      <c r="AEP57" s="101"/>
      <c r="AEQ57" s="101"/>
      <c r="AER57" s="101"/>
      <c r="AES57" s="101"/>
      <c r="AET57" s="101"/>
      <c r="AEU57" s="101"/>
      <c r="AEV57" s="101"/>
      <c r="AEW57" s="101"/>
      <c r="AEX57" s="101"/>
      <c r="AEY57" s="101"/>
      <c r="AEZ57" s="101"/>
      <c r="AFA57" s="101"/>
      <c r="AFB57" s="101"/>
      <c r="AFC57" s="101"/>
      <c r="AFD57" s="101"/>
      <c r="AFE57" s="101"/>
      <c r="AFF57" s="101"/>
      <c r="AFG57" s="101"/>
      <c r="AFH57" s="101"/>
      <c r="AFI57" s="101"/>
      <c r="AFJ57" s="101"/>
      <c r="AFK57" s="101"/>
      <c r="AFL57" s="101"/>
      <c r="AFM57" s="101"/>
      <c r="AFN57" s="101"/>
      <c r="AFO57" s="101"/>
      <c r="AFP57" s="101"/>
      <c r="AFQ57" s="101"/>
      <c r="AFR57" s="101"/>
      <c r="AFS57" s="101"/>
      <c r="AFT57" s="101"/>
      <c r="AFU57" s="101"/>
      <c r="AFV57" s="101"/>
      <c r="AFW57" s="101"/>
      <c r="AFX57" s="101"/>
      <c r="AFY57" s="101"/>
      <c r="AFZ57" s="101"/>
      <c r="AGA57" s="101"/>
      <c r="AGB57" s="101"/>
      <c r="AGC57" s="101"/>
      <c r="AGD57" s="101"/>
      <c r="AGE57" s="101"/>
      <c r="AGF57" s="101"/>
      <c r="AGG57" s="101"/>
      <c r="AGH57" s="101"/>
      <c r="AGI57" s="101"/>
      <c r="AGJ57" s="101"/>
      <c r="AGK57" s="101"/>
      <c r="AGL57" s="101"/>
      <c r="AGM57" s="101"/>
      <c r="AGN57" s="101"/>
      <c r="AGO57" s="101"/>
      <c r="AGP57" s="101"/>
      <c r="AGQ57" s="101"/>
      <c r="AGR57" s="101"/>
      <c r="AGS57" s="101"/>
      <c r="AGT57" s="101"/>
      <c r="AGU57" s="101"/>
      <c r="AGV57" s="101"/>
      <c r="AGW57" s="101"/>
      <c r="AGX57" s="101"/>
      <c r="AGY57" s="101"/>
      <c r="AGZ57" s="101"/>
      <c r="AHA57" s="101"/>
      <c r="AHB57" s="101"/>
      <c r="AHC57" s="101"/>
      <c r="AHD57" s="101"/>
      <c r="AHE57" s="101"/>
      <c r="AHF57" s="101"/>
      <c r="AHG57" s="101"/>
      <c r="AHH57" s="101"/>
      <c r="AHI57" s="101"/>
      <c r="AHJ57" s="101"/>
      <c r="AHK57" s="101"/>
      <c r="AHL57" s="101"/>
      <c r="AHM57" s="101"/>
      <c r="AHN57" s="101"/>
      <c r="AHO57" s="101"/>
      <c r="AHP57" s="101"/>
      <c r="AHQ57" s="101"/>
      <c r="AHR57" s="101"/>
      <c r="AHS57" s="101"/>
      <c r="AHT57" s="101"/>
      <c r="AHU57" s="101"/>
      <c r="AHV57" s="101"/>
      <c r="AHW57" s="101"/>
      <c r="AHX57" s="101"/>
      <c r="AHY57" s="101"/>
      <c r="AHZ57" s="101"/>
      <c r="AIA57" s="101"/>
      <c r="AIB57" s="101"/>
      <c r="AIC57" s="101"/>
      <c r="AID57" s="101"/>
      <c r="AIE57" s="101"/>
      <c r="AIF57" s="101"/>
      <c r="AIG57" s="101"/>
      <c r="AIH57" s="101"/>
      <c r="AII57" s="101"/>
      <c r="AIJ57" s="101"/>
      <c r="AIK57" s="101"/>
      <c r="AIL57" s="101"/>
      <c r="AIM57" s="101"/>
      <c r="AIN57" s="101"/>
      <c r="AIO57" s="101"/>
      <c r="AIP57" s="101"/>
      <c r="AIQ57" s="101"/>
      <c r="AIR57" s="101"/>
      <c r="AIS57" s="101"/>
      <c r="AIT57" s="101"/>
      <c r="AIU57" s="101"/>
      <c r="AIV57" s="101"/>
      <c r="AIW57" s="101"/>
      <c r="AIX57" s="101"/>
      <c r="AIY57" s="101"/>
      <c r="AIZ57" s="101"/>
      <c r="AJA57" s="101"/>
      <c r="AJB57" s="101"/>
      <c r="AJC57" s="101"/>
      <c r="AJD57" s="101"/>
      <c r="AJE57" s="101"/>
      <c r="AJF57" s="101"/>
      <c r="AJG57" s="101"/>
      <c r="AJH57" s="101"/>
      <c r="AJI57" s="101"/>
      <c r="AJJ57" s="101"/>
      <c r="AJK57" s="101"/>
      <c r="AJL57" s="101"/>
      <c r="AJM57" s="101"/>
      <c r="AJN57" s="101"/>
      <c r="AJO57" s="101"/>
      <c r="AJP57" s="101"/>
      <c r="AJQ57" s="101"/>
      <c r="AJR57" s="101"/>
      <c r="AJS57" s="101"/>
      <c r="AJT57" s="101"/>
      <c r="AJU57" s="101"/>
      <c r="AJV57" s="101"/>
      <c r="AJW57" s="101"/>
      <c r="AJX57" s="101"/>
      <c r="AJY57" s="101"/>
      <c r="AJZ57" s="101"/>
      <c r="AKA57" s="101"/>
      <c r="AKB57" s="101"/>
      <c r="AKC57" s="101"/>
      <c r="AKD57" s="101"/>
      <c r="AKE57" s="101"/>
      <c r="AKF57" s="101"/>
      <c r="AKG57" s="101"/>
      <c r="AKH57" s="101"/>
      <c r="AKI57" s="101"/>
      <c r="AKJ57" s="101"/>
      <c r="AKK57" s="101"/>
      <c r="AKL57" s="101"/>
      <c r="AKM57" s="101"/>
      <c r="AKN57" s="101"/>
      <c r="AKO57" s="101"/>
      <c r="AKP57" s="101"/>
      <c r="AKQ57" s="101"/>
      <c r="AKR57" s="101"/>
      <c r="AKS57" s="101"/>
      <c r="AKT57" s="101"/>
      <c r="AKU57" s="101"/>
      <c r="AKV57" s="101"/>
      <c r="AKW57" s="101"/>
      <c r="AKX57" s="101"/>
      <c r="AKY57" s="101"/>
      <c r="AKZ57" s="101"/>
      <c r="ALA57" s="101"/>
      <c r="ALB57" s="101"/>
      <c r="ALC57" s="101"/>
      <c r="ALD57" s="101"/>
      <c r="ALE57" s="101"/>
      <c r="ALF57" s="101"/>
      <c r="ALG57" s="101"/>
      <c r="ALH57" s="101"/>
      <c r="ALI57" s="101"/>
      <c r="ALJ57" s="101"/>
      <c r="ALK57" s="101"/>
      <c r="ALL57" s="101"/>
      <c r="ALM57" s="101"/>
      <c r="ALN57" s="101"/>
      <c r="ALO57" s="101"/>
      <c r="ALP57" s="101"/>
      <c r="ALQ57" s="101"/>
      <c r="ALR57" s="101"/>
      <c r="ALS57" s="101"/>
      <c r="ALT57" s="101"/>
      <c r="ALU57" s="101"/>
      <c r="ALV57" s="101"/>
      <c r="ALW57" s="101"/>
      <c r="ALX57" s="101"/>
      <c r="ALY57" s="101"/>
      <c r="ALZ57" s="101"/>
      <c r="AMA57" s="101"/>
      <c r="AMB57" s="101"/>
      <c r="AMC57" s="101"/>
      <c r="AMD57" s="101"/>
      <c r="AME57" s="101"/>
      <c r="AMF57" s="101"/>
      <c r="AMG57" s="101"/>
      <c r="AMH57" s="101"/>
      <c r="AMI57" s="101"/>
      <c r="AMJ57" s="101"/>
      <c r="AMK57" s="101"/>
      <c r="AML57" s="101"/>
      <c r="AMM57" s="101"/>
      <c r="AMN57" s="101"/>
      <c r="AMO57" s="101"/>
      <c r="AMP57" s="101"/>
      <c r="AMQ57" s="101"/>
      <c r="AMR57" s="101"/>
      <c r="AMS57" s="101"/>
      <c r="AMT57" s="101"/>
      <c r="AMU57" s="101"/>
      <c r="AMV57" s="101"/>
      <c r="AMW57" s="101"/>
      <c r="AMX57" s="101"/>
      <c r="AMY57" s="101"/>
      <c r="AMZ57" s="101"/>
      <c r="ANA57" s="101"/>
      <c r="ANB57" s="101"/>
      <c r="ANC57" s="101"/>
      <c r="AND57" s="101"/>
      <c r="ANE57" s="101"/>
      <c r="ANF57" s="101"/>
      <c r="ANG57" s="101"/>
      <c r="ANH57" s="101"/>
      <c r="ANI57" s="101"/>
      <c r="ANJ57" s="101"/>
      <c r="ANK57" s="101"/>
      <c r="ANL57" s="101"/>
      <c r="ANM57" s="101"/>
      <c r="ANN57" s="101"/>
      <c r="ANO57" s="101"/>
      <c r="ANP57" s="101"/>
      <c r="ANQ57" s="101"/>
      <c r="ANR57" s="101"/>
      <c r="ANS57" s="101"/>
      <c r="ANT57" s="101"/>
      <c r="ANU57" s="101"/>
      <c r="ANV57" s="101"/>
      <c r="ANW57" s="101"/>
      <c r="ANX57" s="101"/>
      <c r="ANY57" s="101"/>
      <c r="ANZ57" s="101"/>
      <c r="AOA57" s="101"/>
      <c r="AOB57" s="101"/>
      <c r="AOC57" s="101"/>
      <c r="AOD57" s="101"/>
      <c r="AOE57" s="101"/>
      <c r="AOF57" s="101"/>
      <c r="AOG57" s="101"/>
      <c r="AOH57" s="101"/>
      <c r="AOI57" s="101"/>
      <c r="AOJ57" s="101"/>
      <c r="AOK57" s="101"/>
      <c r="AOL57" s="101"/>
      <c r="AOM57" s="101"/>
      <c r="AON57" s="101"/>
      <c r="AOO57" s="101"/>
      <c r="AOP57" s="101"/>
      <c r="AOQ57" s="101"/>
      <c r="AOR57" s="101"/>
      <c r="AOS57" s="101"/>
      <c r="AOT57" s="101"/>
      <c r="AOU57" s="101"/>
      <c r="AOV57" s="101"/>
      <c r="AOW57" s="101"/>
      <c r="AOX57" s="101"/>
      <c r="AOY57" s="101"/>
      <c r="AOZ57" s="101"/>
      <c r="APA57" s="101"/>
      <c r="APB57" s="101"/>
      <c r="APC57" s="101"/>
      <c r="APD57" s="101"/>
      <c r="APE57" s="101"/>
      <c r="APF57" s="101"/>
      <c r="APG57" s="101"/>
      <c r="APH57" s="101"/>
      <c r="API57" s="101"/>
      <c r="APJ57" s="101"/>
      <c r="APK57" s="101"/>
      <c r="APL57" s="101"/>
      <c r="APM57" s="101"/>
      <c r="APN57" s="101"/>
      <c r="APO57" s="101"/>
      <c r="APP57" s="101"/>
      <c r="APQ57" s="101"/>
      <c r="APR57" s="101"/>
      <c r="APS57" s="101"/>
      <c r="APT57" s="101"/>
      <c r="APU57" s="101"/>
      <c r="APV57" s="101"/>
      <c r="APW57" s="101"/>
      <c r="APX57" s="101"/>
      <c r="APY57" s="101"/>
      <c r="APZ57" s="101"/>
      <c r="AQA57" s="101"/>
      <c r="AQB57" s="101"/>
      <c r="AQC57" s="101"/>
      <c r="AQD57" s="101"/>
      <c r="AQE57" s="101"/>
      <c r="AQF57" s="101"/>
      <c r="AQG57" s="101"/>
      <c r="AQH57" s="101"/>
      <c r="AQI57" s="101"/>
      <c r="AQJ57" s="101"/>
      <c r="AQK57" s="101"/>
      <c r="AQL57" s="101"/>
      <c r="AQM57" s="101"/>
      <c r="AQN57" s="101"/>
      <c r="AQO57" s="101"/>
      <c r="AQP57" s="101"/>
      <c r="AQQ57" s="101"/>
      <c r="AQR57" s="101"/>
      <c r="AQS57" s="101"/>
      <c r="AQT57" s="101"/>
      <c r="AQU57" s="101"/>
      <c r="AQV57" s="101"/>
      <c r="AQW57" s="101"/>
      <c r="AQX57" s="101"/>
      <c r="AQY57" s="101"/>
      <c r="AQZ57" s="101"/>
      <c r="ARA57" s="101"/>
      <c r="ARB57" s="101"/>
      <c r="ARC57" s="101"/>
      <c r="ARD57" s="101"/>
      <c r="ARE57" s="101"/>
      <c r="ARF57" s="101"/>
      <c r="ARG57" s="101"/>
      <c r="ARH57" s="101"/>
      <c r="ARI57" s="101"/>
      <c r="ARJ57" s="101"/>
      <c r="ARK57" s="101"/>
      <c r="ARL57" s="101"/>
      <c r="ARM57" s="101"/>
      <c r="ARN57" s="101"/>
      <c r="ARO57" s="101"/>
      <c r="ARP57" s="101"/>
      <c r="ARQ57" s="101"/>
      <c r="ARR57" s="101"/>
      <c r="ARS57" s="101"/>
      <c r="ART57" s="101"/>
      <c r="ARU57" s="101"/>
      <c r="ARV57" s="101"/>
      <c r="ARW57" s="101"/>
      <c r="ARX57" s="101"/>
      <c r="ARY57" s="101"/>
      <c r="ARZ57" s="101"/>
      <c r="ASA57" s="101"/>
      <c r="ASB57" s="101"/>
      <c r="ASC57" s="101"/>
      <c r="ASD57" s="101"/>
      <c r="ASE57" s="101"/>
      <c r="ASF57" s="101"/>
      <c r="ASG57" s="101"/>
      <c r="ASH57" s="101"/>
      <c r="ASI57" s="101"/>
      <c r="ASJ57" s="101"/>
      <c r="ASK57" s="101"/>
      <c r="ASL57" s="101"/>
      <c r="ASM57" s="101"/>
      <c r="ASN57" s="101"/>
      <c r="ASO57" s="101"/>
      <c r="ASP57" s="101"/>
      <c r="ASQ57" s="101"/>
      <c r="ASR57" s="101"/>
      <c r="ASS57" s="101"/>
      <c r="AST57" s="101"/>
      <c r="ASU57" s="101"/>
      <c r="ASV57" s="101"/>
      <c r="ASW57" s="101"/>
      <c r="ASX57" s="101"/>
      <c r="ASY57" s="101"/>
      <c r="ASZ57" s="101"/>
      <c r="ATA57" s="101"/>
      <c r="ATB57" s="101"/>
      <c r="ATC57" s="101"/>
      <c r="ATD57" s="101"/>
      <c r="ATE57" s="101"/>
      <c r="ATF57" s="101"/>
      <c r="ATG57" s="101"/>
      <c r="ATH57" s="101"/>
      <c r="ATI57" s="101"/>
      <c r="ATJ57" s="101"/>
      <c r="ATK57" s="101"/>
      <c r="ATL57" s="101"/>
      <c r="ATM57" s="101"/>
      <c r="ATN57" s="101"/>
      <c r="ATO57" s="101"/>
      <c r="ATP57" s="101"/>
      <c r="ATQ57" s="101"/>
      <c r="ATR57" s="101"/>
      <c r="ATS57" s="101"/>
      <c r="ATT57" s="101"/>
      <c r="ATU57" s="101"/>
      <c r="ATV57" s="101"/>
      <c r="ATW57" s="101"/>
      <c r="ATX57" s="101"/>
      <c r="ATY57" s="101"/>
      <c r="ATZ57" s="101"/>
      <c r="AUA57" s="101"/>
      <c r="AUB57" s="101"/>
      <c r="AUC57" s="101"/>
      <c r="AUD57" s="101"/>
      <c r="AUE57" s="101"/>
      <c r="AUF57" s="101"/>
      <c r="AUG57" s="101"/>
      <c r="AUH57" s="101"/>
      <c r="AUI57" s="101"/>
      <c r="AUJ57" s="101"/>
      <c r="AUK57" s="101"/>
      <c r="AUL57" s="101"/>
      <c r="AUM57" s="101"/>
      <c r="AUN57" s="101"/>
      <c r="AUO57" s="101"/>
      <c r="AUP57" s="101"/>
      <c r="AUQ57" s="101"/>
      <c r="AUR57" s="101"/>
      <c r="AUS57" s="101"/>
      <c r="AUT57" s="101"/>
      <c r="AUU57" s="101"/>
      <c r="AUV57" s="101"/>
      <c r="AUW57" s="101"/>
      <c r="AUX57" s="101"/>
      <c r="AUY57" s="101"/>
      <c r="AUZ57" s="101"/>
      <c r="AVA57" s="101"/>
      <c r="AVB57" s="101"/>
      <c r="AVC57" s="101"/>
      <c r="AVD57" s="101"/>
      <c r="AVE57" s="101"/>
      <c r="AVF57" s="101"/>
      <c r="AVG57" s="101"/>
      <c r="AVH57" s="101"/>
      <c r="AVI57" s="101"/>
      <c r="AVJ57" s="101"/>
      <c r="AVK57" s="101"/>
      <c r="AVL57" s="101"/>
      <c r="AVM57" s="101"/>
      <c r="AVN57" s="101"/>
      <c r="AVO57" s="101"/>
      <c r="AVP57" s="101"/>
      <c r="AVQ57" s="101"/>
      <c r="AVR57" s="101"/>
      <c r="AVS57" s="101"/>
      <c r="AVT57" s="101"/>
      <c r="AVU57" s="101"/>
      <c r="AVV57" s="101"/>
      <c r="AVW57" s="101"/>
      <c r="AVX57" s="101"/>
      <c r="AVY57" s="101"/>
      <c r="AVZ57" s="101"/>
      <c r="AWA57" s="101"/>
      <c r="AWB57" s="101"/>
      <c r="AWC57" s="101"/>
      <c r="AWD57" s="101"/>
      <c r="AWE57" s="101"/>
      <c r="AWF57" s="101"/>
      <c r="AWG57" s="101"/>
      <c r="AWH57" s="101"/>
      <c r="AWI57" s="101"/>
      <c r="AWJ57" s="101"/>
      <c r="AWK57" s="101"/>
      <c r="AWL57" s="101"/>
      <c r="AWM57" s="101"/>
      <c r="AWN57" s="101"/>
      <c r="AWO57" s="101"/>
      <c r="AWP57" s="101"/>
      <c r="AWQ57" s="101"/>
      <c r="AWR57" s="101"/>
      <c r="AWS57" s="101"/>
      <c r="AWT57" s="101"/>
      <c r="AWU57" s="101"/>
      <c r="AWV57" s="101"/>
      <c r="AWW57" s="101"/>
      <c r="AWX57" s="101"/>
      <c r="AWY57" s="101"/>
      <c r="AWZ57" s="101"/>
      <c r="AXA57" s="101"/>
      <c r="AXB57" s="101"/>
      <c r="AXC57" s="101"/>
      <c r="AXD57" s="101"/>
      <c r="AXE57" s="101"/>
      <c r="AXF57" s="101"/>
      <c r="AXG57" s="101"/>
      <c r="AXH57" s="101"/>
      <c r="AXI57" s="101"/>
      <c r="AXJ57" s="101"/>
      <c r="AXK57" s="101"/>
      <c r="AXL57" s="101"/>
      <c r="AXM57" s="101"/>
      <c r="AXN57" s="101"/>
      <c r="AXO57" s="101"/>
      <c r="AXP57" s="101"/>
      <c r="AXQ57" s="101"/>
      <c r="AXR57" s="101"/>
      <c r="AXS57" s="101"/>
      <c r="AXT57" s="101"/>
      <c r="AXU57" s="101"/>
      <c r="AXV57" s="101"/>
      <c r="AXW57" s="101"/>
      <c r="AXX57" s="101"/>
      <c r="AXY57" s="101"/>
      <c r="AXZ57" s="101"/>
      <c r="AYA57" s="101"/>
      <c r="AYB57" s="101"/>
      <c r="AYC57" s="101"/>
      <c r="AYD57" s="101"/>
      <c r="AYE57" s="101"/>
      <c r="AYF57" s="101"/>
      <c r="AYG57" s="101"/>
      <c r="AYH57" s="101"/>
      <c r="AYI57" s="101"/>
      <c r="AYJ57" s="101"/>
      <c r="AYK57" s="101"/>
      <c r="AYL57" s="101"/>
      <c r="AYM57" s="101"/>
      <c r="AYN57" s="101"/>
      <c r="AYO57" s="101"/>
      <c r="AYP57" s="101"/>
      <c r="AYQ57" s="101"/>
      <c r="AYR57" s="101"/>
      <c r="AYS57" s="101"/>
      <c r="AYT57" s="101"/>
      <c r="AYU57" s="101"/>
      <c r="AYV57" s="101"/>
      <c r="AYW57" s="101"/>
      <c r="AYX57" s="101"/>
      <c r="AYY57" s="101"/>
      <c r="AYZ57" s="101"/>
      <c r="AZA57" s="101"/>
      <c r="AZB57" s="101"/>
      <c r="AZC57" s="101"/>
      <c r="AZD57" s="101"/>
      <c r="AZE57" s="101"/>
      <c r="AZF57" s="101"/>
      <c r="AZG57" s="101"/>
      <c r="AZH57" s="211"/>
      <c r="AZI57" s="101"/>
      <c r="AZJ57" s="211"/>
      <c r="AZK57" s="211"/>
    </row>
    <row r="58" spans="1:1363" s="199" customFormat="1" ht="30.75" customHeight="1" thickTop="1" thickBot="1">
      <c r="A58" s="185">
        <v>50</v>
      </c>
      <c r="B58" s="56" t="s">
        <v>293</v>
      </c>
      <c r="C58" s="57" t="s">
        <v>102</v>
      </c>
      <c r="D58" s="58" t="s">
        <v>294</v>
      </c>
      <c r="E58" s="71"/>
      <c r="F58" s="71"/>
      <c r="G58" s="71"/>
      <c r="H58" s="71"/>
      <c r="I58" s="71"/>
      <c r="J58" s="71"/>
      <c r="K58" s="71"/>
      <c r="L58" s="71">
        <v>1257720</v>
      </c>
      <c r="M58" s="71">
        <v>1734480</v>
      </c>
      <c r="N58" s="71">
        <v>1765872</v>
      </c>
      <c r="O58" s="71">
        <v>1740168</v>
      </c>
      <c r="P58" s="186">
        <v>1307520</v>
      </c>
      <c r="Q58" s="186">
        <v>1000560</v>
      </c>
      <c r="R58" s="186">
        <v>593352</v>
      </c>
      <c r="S58" s="187">
        <v>398280</v>
      </c>
      <c r="T58" s="186">
        <f>Volume!CN52</f>
        <v>446688.00000000006</v>
      </c>
      <c r="U58" s="186">
        <f>Volume!CO52</f>
        <v>303143.99999999994</v>
      </c>
      <c r="V58" s="186">
        <f>Volume!CP52</f>
        <v>214656.00000000003</v>
      </c>
      <c r="W58" s="186">
        <f>Volume!CQ52</f>
        <v>173640</v>
      </c>
      <c r="X58" s="186">
        <f>Volume!CR52</f>
        <v>239520.00000000003</v>
      </c>
      <c r="Y58" s="186">
        <f>Volume!CS52</f>
        <v>149399.99999999997</v>
      </c>
      <c r="Z58" s="186">
        <f>Volume!CT52</f>
        <v>143040</v>
      </c>
      <c r="AA58" s="186">
        <f>Volume!CU52</f>
        <v>214080.00000000003</v>
      </c>
      <c r="AB58" s="186">
        <f>Volume!CV52</f>
        <v>220560.00000000012</v>
      </c>
      <c r="AC58" s="186">
        <f>Volume!CW52</f>
        <v>206880.00000000012</v>
      </c>
      <c r="AD58" s="186">
        <f>Volume!CX52</f>
        <v>368880.00000000017</v>
      </c>
      <c r="AE58" s="186">
        <f>Volume!CY52</f>
        <v>167040.00000000006</v>
      </c>
      <c r="AF58" s="70">
        <f t="shared" si="1"/>
        <v>2097696.0000000005</v>
      </c>
      <c r="AG58" s="147"/>
      <c r="AH58" s="196" t="s">
        <v>295</v>
      </c>
      <c r="AI58" s="197" t="s">
        <v>259</v>
      </c>
      <c r="AJ58" s="189" t="s">
        <v>296</v>
      </c>
      <c r="AK58" s="198">
        <v>45719</v>
      </c>
      <c r="AL58" s="190" t="s">
        <v>295</v>
      </c>
      <c r="AM58" s="191">
        <v>0</v>
      </c>
      <c r="AN58" s="191">
        <v>0</v>
      </c>
      <c r="AO58" s="191">
        <v>7777400</v>
      </c>
      <c r="AP58" s="191">
        <v>8478450</v>
      </c>
      <c r="AQ58" s="200">
        <v>0</v>
      </c>
      <c r="AR58" s="200">
        <v>0</v>
      </c>
      <c r="AS58" s="200">
        <v>0</v>
      </c>
      <c r="AT58" s="200">
        <v>0</v>
      </c>
      <c r="AU58" s="200">
        <v>0</v>
      </c>
      <c r="AV58" s="200">
        <v>0</v>
      </c>
      <c r="AW58" s="200">
        <v>0</v>
      </c>
      <c r="AX58" s="200">
        <v>0</v>
      </c>
      <c r="AY58" s="200">
        <v>0</v>
      </c>
      <c r="AZ58" s="200">
        <v>0</v>
      </c>
      <c r="BA58" s="200">
        <v>0</v>
      </c>
      <c r="BB58" s="200">
        <v>0</v>
      </c>
      <c r="BC58" s="200"/>
      <c r="BD58" s="200">
        <v>0</v>
      </c>
      <c r="BE58" s="200">
        <v>0</v>
      </c>
      <c r="BF58" s="200">
        <v>0</v>
      </c>
      <c r="BG58" s="200">
        <v>0</v>
      </c>
      <c r="BH58" s="200">
        <v>0</v>
      </c>
      <c r="BI58" s="200">
        <v>0</v>
      </c>
      <c r="BJ58" s="200">
        <v>0</v>
      </c>
      <c r="BK58" s="200">
        <v>0</v>
      </c>
      <c r="BL58" s="200">
        <v>0</v>
      </c>
      <c r="BM58" s="200">
        <v>0</v>
      </c>
      <c r="BN58" s="200">
        <v>0</v>
      </c>
      <c r="BO58" s="200">
        <v>0</v>
      </c>
      <c r="BP58" s="200">
        <v>509000</v>
      </c>
      <c r="BQ58" s="200">
        <v>538250</v>
      </c>
      <c r="BR58" s="200">
        <v>0</v>
      </c>
      <c r="BS58" s="200">
        <v>1135100</v>
      </c>
      <c r="BT58" s="200">
        <v>701600</v>
      </c>
      <c r="BU58" s="200">
        <v>231550</v>
      </c>
      <c r="BV58" s="200">
        <v>1056000</v>
      </c>
      <c r="BW58" s="200">
        <v>644200</v>
      </c>
      <c r="BX58" s="200">
        <v>253600</v>
      </c>
      <c r="BY58" s="200">
        <v>471000</v>
      </c>
      <c r="BZ58" s="200">
        <v>829900</v>
      </c>
      <c r="CA58" s="200">
        <v>1407200</v>
      </c>
      <c r="CB58" s="193">
        <v>1122000</v>
      </c>
      <c r="CC58" s="193">
        <v>121500</v>
      </c>
      <c r="CD58" s="193">
        <v>351700</v>
      </c>
      <c r="CE58" s="193">
        <v>381400</v>
      </c>
      <c r="CF58" s="193">
        <v>109300</v>
      </c>
      <c r="CG58" s="193">
        <v>90550</v>
      </c>
      <c r="CH58" s="193">
        <v>429600</v>
      </c>
      <c r="CI58" s="193">
        <v>950400</v>
      </c>
      <c r="CJ58" s="193">
        <v>1489800</v>
      </c>
      <c r="CK58" s="193">
        <v>1238550</v>
      </c>
      <c r="CL58" s="193">
        <v>769050</v>
      </c>
      <c r="CM58" s="201">
        <v>1424600</v>
      </c>
      <c r="CN58" s="202">
        <v>983400</v>
      </c>
      <c r="CO58" s="202">
        <v>579600</v>
      </c>
      <c r="CP58" s="202">
        <v>621750</v>
      </c>
      <c r="CQ58" s="202">
        <v>197400</v>
      </c>
      <c r="CR58" s="202">
        <v>732350</v>
      </c>
      <c r="CS58" s="202">
        <v>460600</v>
      </c>
      <c r="CT58" s="202">
        <v>575750</v>
      </c>
      <c r="CU58" s="202">
        <v>523600</v>
      </c>
      <c r="CV58" s="202">
        <v>684950</v>
      </c>
      <c r="CW58" s="202">
        <v>516600</v>
      </c>
      <c r="CX58" s="202">
        <v>428400</v>
      </c>
      <c r="CY58" s="202">
        <v>541800</v>
      </c>
      <c r="CZ58" s="71"/>
      <c r="DA58" s="6"/>
      <c r="DB58" s="6"/>
      <c r="DC58" s="186"/>
      <c r="DD58" s="186"/>
      <c r="DE58" s="186"/>
      <c r="DF58" s="186"/>
      <c r="DG58" s="186"/>
      <c r="DH58" s="186"/>
      <c r="DI58" s="186"/>
      <c r="DJ58" s="186"/>
      <c r="DK58" s="186"/>
      <c r="DL58" s="186"/>
      <c r="DM58" s="186"/>
      <c r="DN58" s="186"/>
      <c r="DO58" s="186"/>
      <c r="DP58" s="186"/>
      <c r="DQ58" s="186"/>
      <c r="DR58" s="186"/>
      <c r="DS58" s="186"/>
      <c r="DT58" s="186"/>
      <c r="DU58" s="186"/>
      <c r="DV58" s="186"/>
      <c r="DW58" s="186"/>
      <c r="DX58" s="186"/>
      <c r="DY58" s="186"/>
      <c r="DZ58" s="186"/>
      <c r="EA58" s="186"/>
      <c r="EB58" s="186"/>
      <c r="EC58" s="186"/>
      <c r="ED58" s="186"/>
      <c r="EE58" s="186"/>
      <c r="EF58" s="186"/>
      <c r="EG58" s="186"/>
      <c r="EH58" s="186"/>
      <c r="EI58" s="186"/>
      <c r="EJ58" s="186"/>
      <c r="EK58" s="186"/>
      <c r="EL58" s="186"/>
      <c r="EM58" s="186"/>
      <c r="EN58" s="186"/>
      <c r="EO58" s="186"/>
      <c r="EP58" s="186"/>
      <c r="EQ58" s="186"/>
      <c r="ER58" s="186"/>
      <c r="ES58" s="186"/>
      <c r="ET58" s="186"/>
      <c r="EU58" s="186"/>
      <c r="EV58" s="186"/>
      <c r="EW58" s="186"/>
      <c r="EX58" s="186"/>
      <c r="EY58" s="186"/>
      <c r="EZ58" s="186"/>
      <c r="FA58" s="186"/>
      <c r="FB58" s="186"/>
      <c r="FC58" s="186"/>
      <c r="FD58" s="186"/>
      <c r="FE58" s="186"/>
      <c r="FF58" s="186"/>
      <c r="FG58" s="186"/>
      <c r="FH58" s="186"/>
      <c r="FI58" s="186"/>
      <c r="FJ58" s="186"/>
      <c r="FK58" s="186"/>
      <c r="FL58" s="186"/>
      <c r="FM58" s="186"/>
      <c r="FN58" s="186"/>
      <c r="FO58" s="186"/>
      <c r="FP58" s="186"/>
      <c r="FQ58" s="186"/>
      <c r="FR58" s="186"/>
      <c r="FS58" s="186"/>
      <c r="FT58" s="186"/>
      <c r="FU58" s="186"/>
      <c r="FV58" s="186"/>
      <c r="FW58" s="186"/>
      <c r="FX58" s="186"/>
      <c r="FY58" s="186"/>
      <c r="FZ58" s="186"/>
      <c r="GA58" s="186"/>
      <c r="GB58" s="186"/>
      <c r="GC58" s="186"/>
      <c r="GD58" s="186"/>
      <c r="GE58" s="186"/>
      <c r="GF58" s="186"/>
      <c r="GG58" s="186"/>
      <c r="GH58" s="186"/>
      <c r="GI58" s="186"/>
      <c r="GJ58" s="186"/>
      <c r="GK58" s="186"/>
      <c r="GL58" s="186"/>
      <c r="GM58" s="186"/>
      <c r="GN58" s="186"/>
      <c r="GO58" s="186"/>
      <c r="GP58" s="186"/>
      <c r="GQ58" s="186"/>
      <c r="GR58" s="186"/>
      <c r="GS58" s="186"/>
      <c r="GT58" s="186"/>
      <c r="GU58" s="186"/>
      <c r="GV58" s="186"/>
      <c r="GW58" s="186"/>
      <c r="GX58" s="186"/>
      <c r="GY58" s="186"/>
      <c r="GZ58" s="186"/>
      <c r="HA58" s="186"/>
      <c r="HB58" s="186"/>
      <c r="HC58" s="186"/>
      <c r="HD58" s="186"/>
      <c r="HE58" s="186"/>
      <c r="HF58" s="186"/>
      <c r="HG58" s="186"/>
      <c r="HH58" s="186"/>
      <c r="HI58" s="186"/>
      <c r="HJ58" s="186"/>
      <c r="HK58" s="186"/>
      <c r="HL58" s="186"/>
      <c r="HM58" s="186"/>
      <c r="HN58" s="186"/>
      <c r="HO58" s="186"/>
      <c r="HP58" s="186"/>
      <c r="HQ58" s="186"/>
      <c r="HR58" s="186"/>
      <c r="HS58" s="186"/>
      <c r="HT58" s="186"/>
      <c r="HU58" s="186"/>
      <c r="HV58" s="186"/>
      <c r="HW58" s="186"/>
      <c r="HX58" s="186"/>
      <c r="HY58" s="186"/>
      <c r="HZ58" s="186"/>
      <c r="IA58" s="186"/>
      <c r="IB58" s="186"/>
      <c r="IC58" s="186"/>
      <c r="ID58" s="186"/>
      <c r="IE58" s="186"/>
      <c r="IF58" s="186"/>
      <c r="IG58" s="186"/>
      <c r="IH58" s="186"/>
      <c r="II58" s="186"/>
      <c r="IJ58" s="186"/>
      <c r="IK58" s="186"/>
      <c r="IL58" s="186"/>
      <c r="IM58" s="186"/>
      <c r="IN58" s="186"/>
      <c r="IO58" s="186"/>
      <c r="IP58" s="186"/>
      <c r="IQ58" s="186"/>
      <c r="IR58" s="186"/>
      <c r="IS58" s="186"/>
      <c r="IT58" s="186"/>
      <c r="IU58" s="186"/>
      <c r="IV58" s="186"/>
      <c r="IW58" s="186"/>
      <c r="IX58" s="186"/>
      <c r="IY58" s="186"/>
      <c r="IZ58" s="186"/>
      <c r="JA58" s="186"/>
      <c r="JB58" s="186"/>
      <c r="JC58" s="186"/>
      <c r="JD58" s="186"/>
      <c r="JE58" s="186"/>
      <c r="JF58" s="186"/>
      <c r="JG58" s="186"/>
      <c r="JH58" s="186"/>
      <c r="JI58" s="186"/>
      <c r="JJ58" s="186"/>
      <c r="JK58" s="186"/>
      <c r="JL58" s="186"/>
      <c r="JM58" s="186"/>
      <c r="JN58" s="186"/>
      <c r="JO58" s="186"/>
      <c r="JP58" s="186"/>
      <c r="JQ58" s="186"/>
      <c r="JR58" s="186"/>
      <c r="JS58" s="186"/>
      <c r="JT58" s="186"/>
      <c r="JU58" s="186"/>
      <c r="JV58" s="186"/>
      <c r="JW58" s="186"/>
      <c r="JX58" s="186"/>
      <c r="JY58" s="186"/>
      <c r="JZ58" s="186"/>
      <c r="KA58" s="186"/>
      <c r="KB58" s="186"/>
      <c r="KC58" s="186"/>
      <c r="KD58" s="186"/>
      <c r="KE58" s="186"/>
      <c r="KF58" s="186"/>
      <c r="KG58" s="186"/>
      <c r="KH58" s="186"/>
      <c r="KI58" s="186"/>
      <c r="KJ58" s="186"/>
      <c r="KK58" s="186"/>
      <c r="KL58" s="186"/>
      <c r="KM58" s="186"/>
      <c r="KN58" s="186"/>
      <c r="KO58" s="186"/>
      <c r="KP58" s="186"/>
      <c r="KQ58" s="186"/>
      <c r="KR58" s="186"/>
      <c r="KS58" s="186"/>
      <c r="KT58" s="186"/>
      <c r="KU58" s="186"/>
      <c r="KV58" s="186"/>
      <c r="KW58" s="186"/>
      <c r="KX58" s="186"/>
      <c r="KY58" s="186"/>
      <c r="KZ58" s="186"/>
      <c r="LA58" s="186"/>
      <c r="LB58" s="186"/>
      <c r="LC58" s="186"/>
      <c r="LD58" s="186"/>
      <c r="LE58" s="186"/>
      <c r="LF58" s="186"/>
      <c r="LG58" s="186"/>
      <c r="LH58" s="186"/>
      <c r="LI58" s="186"/>
      <c r="LJ58" s="186"/>
      <c r="LK58" s="186"/>
      <c r="LL58" s="186"/>
      <c r="LM58" s="186"/>
      <c r="LN58" s="186"/>
      <c r="LO58" s="186"/>
      <c r="LP58" s="186"/>
      <c r="LQ58" s="186"/>
      <c r="LR58" s="186"/>
      <c r="LS58" s="186"/>
      <c r="LT58" s="186"/>
      <c r="LU58" s="186"/>
      <c r="LV58" s="186"/>
      <c r="LW58" s="186"/>
      <c r="LX58" s="186"/>
      <c r="LY58" s="186"/>
      <c r="LZ58" s="186"/>
      <c r="MA58" s="186"/>
      <c r="MB58" s="186"/>
      <c r="MC58" s="186"/>
      <c r="MD58" s="186"/>
      <c r="ME58" s="186"/>
      <c r="MF58" s="186"/>
      <c r="MG58" s="186"/>
      <c r="MH58" s="186"/>
      <c r="MI58" s="186"/>
      <c r="MJ58" s="186"/>
      <c r="MK58" s="186"/>
      <c r="ML58" s="186"/>
      <c r="MM58" s="186"/>
      <c r="MN58" s="186"/>
      <c r="MO58" s="186"/>
      <c r="MP58" s="186"/>
      <c r="MQ58" s="186"/>
      <c r="MR58" s="186"/>
      <c r="MS58" s="186"/>
      <c r="MT58" s="186"/>
      <c r="MU58" s="186"/>
      <c r="MV58" s="186"/>
      <c r="MW58" s="186"/>
      <c r="MX58" s="186"/>
      <c r="MY58" s="186"/>
      <c r="MZ58" s="186"/>
      <c r="NA58" s="186"/>
      <c r="NB58" s="186"/>
      <c r="NC58" s="186"/>
      <c r="ND58" s="186"/>
      <c r="NE58" s="186"/>
      <c r="NF58" s="186"/>
      <c r="NG58" s="186"/>
      <c r="NH58" s="186"/>
      <c r="NI58" s="186"/>
      <c r="NJ58" s="186"/>
      <c r="NK58" s="186"/>
      <c r="NL58" s="186"/>
      <c r="NM58" s="186"/>
      <c r="NN58" s="186"/>
      <c r="NO58" s="186"/>
      <c r="NP58" s="186"/>
      <c r="NQ58" s="186"/>
      <c r="NR58" s="186"/>
      <c r="NS58" s="186"/>
      <c r="NT58" s="186"/>
      <c r="NU58" s="186"/>
      <c r="NV58" s="186"/>
      <c r="NW58" s="186"/>
      <c r="NX58" s="186"/>
      <c r="NY58" s="186"/>
      <c r="NZ58" s="186"/>
      <c r="OA58" s="186"/>
      <c r="OB58" s="186"/>
      <c r="OC58" s="186"/>
      <c r="OD58" s="186"/>
      <c r="OE58" s="186"/>
      <c r="OF58" s="186"/>
      <c r="OG58" s="186"/>
      <c r="OH58" s="186"/>
      <c r="OI58" s="186"/>
      <c r="OJ58" s="186"/>
      <c r="OK58" s="186"/>
      <c r="OL58" s="186"/>
      <c r="OM58" s="186"/>
      <c r="ON58" s="186"/>
      <c r="OO58" s="186"/>
      <c r="OP58" s="186"/>
      <c r="OQ58" s="186"/>
      <c r="OR58" s="186"/>
      <c r="OS58" s="186"/>
      <c r="OT58" s="186"/>
      <c r="OU58" s="186"/>
      <c r="OV58" s="186"/>
      <c r="OW58" s="186"/>
      <c r="OX58" s="186"/>
      <c r="OY58" s="186"/>
      <c r="OZ58" s="186"/>
      <c r="PA58" s="186"/>
      <c r="PB58" s="186"/>
      <c r="PC58" s="186"/>
      <c r="PD58" s="186"/>
      <c r="PE58" s="186"/>
      <c r="PF58" s="186"/>
      <c r="PG58" s="186"/>
      <c r="PH58" s="186"/>
      <c r="PI58" s="186"/>
      <c r="PJ58" s="186"/>
      <c r="PK58" s="186"/>
      <c r="PL58" s="186"/>
      <c r="PM58" s="186"/>
      <c r="PN58" s="186"/>
      <c r="PO58" s="186"/>
      <c r="PP58" s="186"/>
      <c r="PQ58" s="186"/>
      <c r="PR58" s="186"/>
      <c r="PS58" s="186"/>
      <c r="PT58" s="186"/>
      <c r="PU58" s="186"/>
      <c r="PV58" s="186"/>
      <c r="PW58" s="186"/>
      <c r="PX58" s="186"/>
      <c r="PY58" s="186"/>
      <c r="PZ58" s="186"/>
      <c r="QA58" s="186"/>
      <c r="QB58" s="186"/>
      <c r="QC58" s="186"/>
      <c r="QD58" s="186"/>
      <c r="QE58" s="186"/>
      <c r="QF58" s="186"/>
      <c r="QG58" s="186"/>
      <c r="QH58" s="186"/>
      <c r="QI58" s="186"/>
      <c r="QJ58" s="186"/>
      <c r="QK58" s="186"/>
      <c r="QL58" s="186"/>
      <c r="QM58" s="186"/>
      <c r="QN58" s="186"/>
      <c r="QO58" s="186"/>
      <c r="QP58" s="186"/>
      <c r="QQ58" s="186"/>
      <c r="QR58" s="186"/>
      <c r="QS58" s="186"/>
      <c r="QT58" s="186"/>
      <c r="QU58" s="186"/>
      <c r="QV58" s="186"/>
      <c r="QW58" s="186"/>
      <c r="QX58" s="186"/>
      <c r="QY58" s="186"/>
      <c r="QZ58" s="186"/>
      <c r="RA58" s="186"/>
      <c r="RB58" s="186"/>
      <c r="RC58" s="186"/>
      <c r="RD58" s="186"/>
      <c r="RE58" s="186"/>
      <c r="RF58" s="186"/>
      <c r="RG58" s="186"/>
      <c r="RH58" s="186"/>
      <c r="RI58" s="186"/>
      <c r="RJ58" s="186"/>
      <c r="RK58" s="186"/>
      <c r="RL58" s="186"/>
      <c r="RM58" s="186"/>
      <c r="RN58" s="186"/>
      <c r="RO58" s="186"/>
      <c r="RP58" s="186"/>
      <c r="RQ58" s="186"/>
      <c r="RR58" s="186"/>
      <c r="RS58" s="186"/>
      <c r="RT58" s="186"/>
      <c r="RU58" s="186"/>
      <c r="RV58" s="186"/>
      <c r="RW58" s="186"/>
      <c r="RX58" s="186"/>
      <c r="RY58" s="186"/>
      <c r="RZ58" s="186"/>
      <c r="SA58" s="186"/>
      <c r="SB58" s="186"/>
      <c r="SC58" s="186"/>
      <c r="SD58" s="186"/>
      <c r="SE58" s="186"/>
      <c r="SF58" s="186"/>
      <c r="SG58" s="186"/>
      <c r="SH58" s="186"/>
      <c r="SI58" s="186"/>
      <c r="SJ58" s="186"/>
      <c r="SK58" s="186"/>
      <c r="SL58" s="186"/>
      <c r="SM58" s="186"/>
      <c r="SN58" s="186"/>
      <c r="SO58" s="186"/>
      <c r="SP58" s="186"/>
      <c r="SQ58" s="186"/>
      <c r="SR58" s="186"/>
      <c r="SS58" s="186"/>
      <c r="ST58" s="186"/>
      <c r="SU58" s="186"/>
      <c r="SV58" s="186"/>
      <c r="SW58" s="186"/>
      <c r="SX58" s="186"/>
      <c r="SY58" s="186"/>
      <c r="SZ58" s="186"/>
      <c r="TA58" s="186"/>
      <c r="TB58" s="186"/>
      <c r="TC58" s="186"/>
      <c r="TD58" s="186"/>
      <c r="TE58" s="186"/>
      <c r="TF58" s="186"/>
      <c r="TG58" s="186"/>
      <c r="TH58" s="186"/>
      <c r="TI58" s="186"/>
      <c r="TJ58" s="186"/>
      <c r="TK58" s="186"/>
      <c r="TL58" s="186"/>
      <c r="TM58" s="186"/>
      <c r="TN58" s="186"/>
      <c r="TO58" s="186"/>
      <c r="TP58" s="186"/>
      <c r="TQ58" s="186"/>
      <c r="TR58" s="186"/>
      <c r="TS58" s="186"/>
      <c r="TT58" s="186"/>
      <c r="TU58" s="186"/>
      <c r="TV58" s="186"/>
      <c r="TW58" s="186"/>
      <c r="TX58" s="186"/>
      <c r="TY58" s="186"/>
      <c r="TZ58" s="186"/>
      <c r="UA58" s="186"/>
      <c r="UB58" s="186"/>
      <c r="UC58" s="186"/>
      <c r="UD58" s="186"/>
      <c r="UE58" s="186"/>
      <c r="UF58" s="186"/>
      <c r="UG58" s="186"/>
      <c r="UH58" s="186"/>
      <c r="UI58" s="186"/>
      <c r="UJ58" s="186"/>
      <c r="UK58" s="186"/>
      <c r="UL58" s="186"/>
      <c r="UM58" s="186"/>
      <c r="UN58" s="186"/>
      <c r="UO58" s="186"/>
      <c r="UP58" s="186"/>
      <c r="UQ58" s="186"/>
      <c r="UR58" s="186"/>
      <c r="US58" s="186"/>
      <c r="UT58" s="186"/>
      <c r="UU58" s="186"/>
      <c r="UV58" s="186"/>
      <c r="UW58" s="186"/>
      <c r="UX58" s="186"/>
      <c r="UY58" s="186"/>
      <c r="UZ58" s="186"/>
      <c r="VA58" s="186"/>
      <c r="VB58" s="186"/>
      <c r="VC58" s="186"/>
      <c r="VD58" s="186"/>
      <c r="VE58" s="186"/>
      <c r="VF58" s="186"/>
      <c r="VG58" s="186"/>
      <c r="VH58" s="186"/>
      <c r="VI58" s="186"/>
      <c r="VJ58" s="186"/>
      <c r="VK58" s="186"/>
      <c r="VL58" s="186"/>
      <c r="VM58" s="186"/>
      <c r="VN58" s="186"/>
      <c r="VO58" s="186"/>
      <c r="VP58" s="186"/>
      <c r="VQ58" s="186"/>
      <c r="VR58" s="186"/>
      <c r="VS58" s="186"/>
      <c r="VT58" s="186"/>
      <c r="VU58" s="186"/>
      <c r="VV58" s="186"/>
      <c r="VW58" s="186"/>
      <c r="VX58" s="186"/>
      <c r="VY58" s="186"/>
      <c r="VZ58" s="186"/>
      <c r="WA58" s="186"/>
      <c r="WB58" s="186"/>
      <c r="WC58" s="186"/>
      <c r="WD58" s="186"/>
      <c r="WE58" s="186"/>
      <c r="WF58" s="186"/>
      <c r="WG58" s="186"/>
      <c r="WH58" s="186"/>
      <c r="WI58" s="186"/>
      <c r="WJ58" s="186"/>
      <c r="WK58" s="186"/>
      <c r="WL58" s="186"/>
      <c r="WM58" s="186"/>
      <c r="WN58" s="186"/>
      <c r="WO58" s="186"/>
      <c r="WP58" s="186"/>
      <c r="WQ58" s="186"/>
      <c r="WR58" s="186"/>
      <c r="WS58" s="186"/>
      <c r="WT58" s="186"/>
      <c r="WU58" s="186"/>
      <c r="WV58" s="186"/>
      <c r="WW58" s="186"/>
      <c r="WX58" s="186"/>
      <c r="WY58" s="186"/>
      <c r="WZ58" s="186"/>
      <c r="XA58" s="186"/>
      <c r="XB58" s="186"/>
      <c r="XC58" s="186"/>
      <c r="XD58" s="186"/>
      <c r="XE58" s="186"/>
      <c r="XF58" s="186"/>
      <c r="XG58" s="186"/>
      <c r="XH58" s="186"/>
      <c r="XI58" s="186"/>
      <c r="XJ58" s="186"/>
      <c r="XK58" s="186"/>
      <c r="XL58" s="186"/>
      <c r="XM58" s="186"/>
      <c r="XN58" s="186"/>
      <c r="XO58" s="186"/>
      <c r="XP58" s="186"/>
      <c r="XQ58" s="186"/>
      <c r="XR58" s="186"/>
      <c r="XS58" s="186"/>
      <c r="XT58" s="186"/>
      <c r="XU58" s="186"/>
      <c r="XV58" s="186"/>
      <c r="XW58" s="186"/>
      <c r="XX58" s="186"/>
      <c r="XY58" s="186"/>
      <c r="XZ58" s="186"/>
      <c r="YA58" s="186"/>
      <c r="YB58" s="186"/>
      <c r="YC58" s="186"/>
      <c r="YD58" s="186"/>
      <c r="YE58" s="186"/>
      <c r="YF58" s="186"/>
      <c r="YG58" s="186"/>
      <c r="YH58" s="186"/>
      <c r="YI58" s="186"/>
      <c r="YJ58" s="186"/>
      <c r="YK58" s="186"/>
      <c r="YL58" s="186"/>
      <c r="YM58" s="186"/>
      <c r="YN58" s="186"/>
      <c r="YO58" s="186"/>
      <c r="YP58" s="186"/>
      <c r="YQ58" s="186"/>
      <c r="YR58" s="186"/>
      <c r="YS58" s="186"/>
      <c r="YT58" s="186"/>
      <c r="YU58" s="186"/>
      <c r="YV58" s="186"/>
      <c r="YW58" s="186"/>
      <c r="YX58" s="186"/>
      <c r="YY58" s="186"/>
      <c r="YZ58" s="186"/>
      <c r="ZA58" s="186"/>
      <c r="ZB58" s="186"/>
      <c r="ZC58" s="186"/>
      <c r="ZD58" s="186"/>
      <c r="ZE58" s="186"/>
      <c r="ZF58" s="186"/>
      <c r="ZG58" s="186"/>
      <c r="ZH58" s="186"/>
      <c r="ZI58" s="186"/>
      <c r="ZJ58" s="186"/>
      <c r="ZK58" s="186"/>
      <c r="ZL58" s="186"/>
      <c r="ZM58" s="186"/>
      <c r="ZN58" s="186"/>
      <c r="ZO58" s="186"/>
      <c r="ZP58" s="186"/>
      <c r="ZQ58" s="186"/>
      <c r="ZR58" s="186"/>
      <c r="ZS58" s="186"/>
      <c r="ZT58" s="186"/>
      <c r="ZU58" s="186"/>
      <c r="ZV58" s="186"/>
      <c r="ZW58" s="186"/>
      <c r="ZX58" s="186"/>
      <c r="ZY58" s="186"/>
      <c r="ZZ58" s="186"/>
      <c r="AAA58" s="186"/>
      <c r="AAB58" s="186"/>
      <c r="AAC58" s="186"/>
      <c r="AAD58" s="186"/>
      <c r="AAE58" s="186"/>
      <c r="AAF58" s="186"/>
      <c r="AAG58" s="186"/>
      <c r="AAH58" s="186"/>
      <c r="AAI58" s="186"/>
      <c r="AAJ58" s="186"/>
      <c r="AAK58" s="186"/>
      <c r="AAL58" s="186"/>
      <c r="AAM58" s="186"/>
      <c r="AAN58" s="186"/>
      <c r="AAO58" s="186"/>
      <c r="AAP58" s="186"/>
      <c r="AAQ58" s="186"/>
      <c r="AAR58" s="186"/>
      <c r="AAS58" s="186"/>
      <c r="AAT58" s="186"/>
      <c r="AAU58" s="186"/>
      <c r="AAV58" s="186"/>
      <c r="AAW58" s="186"/>
      <c r="AAX58" s="186"/>
      <c r="AAY58" s="186"/>
      <c r="AAZ58" s="186"/>
      <c r="ABA58" s="186"/>
      <c r="ABB58" s="186"/>
      <c r="ABC58" s="186"/>
      <c r="ABD58" s="186"/>
      <c r="ABE58" s="186"/>
      <c r="ABF58" s="186"/>
      <c r="ABG58" s="186"/>
      <c r="ABH58" s="186"/>
      <c r="ABI58" s="186"/>
      <c r="ABJ58" s="186"/>
      <c r="ABK58" s="186"/>
      <c r="ABL58" s="186"/>
      <c r="ABM58" s="186"/>
      <c r="ABN58" s="186"/>
      <c r="ABO58" s="186"/>
      <c r="ABP58" s="186"/>
      <c r="ABQ58" s="186"/>
      <c r="ABR58" s="186"/>
      <c r="ABS58" s="186"/>
      <c r="ABT58" s="186"/>
      <c r="ABU58" s="186"/>
      <c r="ABV58" s="186"/>
      <c r="ABW58" s="186"/>
      <c r="ABX58" s="186"/>
      <c r="ABY58" s="186"/>
      <c r="ABZ58" s="186"/>
      <c r="ACA58" s="186"/>
      <c r="ACB58" s="186"/>
      <c r="ACC58" s="186"/>
      <c r="ACD58" s="186"/>
      <c r="ACE58" s="186"/>
      <c r="ACF58" s="186"/>
      <c r="ACG58" s="186"/>
      <c r="ACH58" s="186"/>
      <c r="ACI58" s="186"/>
      <c r="ACJ58" s="186"/>
      <c r="ACK58" s="186"/>
      <c r="ACL58" s="186"/>
      <c r="ACM58" s="186"/>
      <c r="ACN58" s="186"/>
      <c r="ACO58" s="186"/>
      <c r="ACP58" s="186"/>
      <c r="ACQ58" s="186"/>
      <c r="ACR58" s="186"/>
      <c r="ACS58" s="186"/>
      <c r="ACT58" s="186"/>
      <c r="ACU58" s="186"/>
      <c r="ACV58" s="186"/>
      <c r="ACW58" s="186"/>
      <c r="ACX58" s="186"/>
      <c r="ACY58" s="186"/>
      <c r="ACZ58" s="186"/>
      <c r="ADA58" s="186"/>
      <c r="ADB58" s="186"/>
      <c r="ADC58" s="186"/>
      <c r="ADD58" s="186"/>
      <c r="ADE58" s="186"/>
      <c r="ADF58" s="186"/>
      <c r="ADG58" s="186"/>
      <c r="ADH58" s="186"/>
      <c r="ADI58" s="186"/>
      <c r="ADJ58" s="186"/>
      <c r="ADK58" s="186"/>
      <c r="ADL58" s="186"/>
      <c r="ADM58" s="186"/>
      <c r="ADN58" s="186"/>
      <c r="ADO58" s="186"/>
      <c r="ADP58" s="186"/>
      <c r="ADQ58" s="186"/>
      <c r="ADR58" s="186"/>
      <c r="ADS58" s="186"/>
      <c r="ADT58" s="186"/>
      <c r="ADU58" s="186"/>
      <c r="ADV58" s="186"/>
      <c r="ADW58" s="186"/>
      <c r="ADX58" s="186"/>
      <c r="ADY58" s="186"/>
      <c r="ADZ58" s="186"/>
      <c r="AEA58" s="186"/>
      <c r="AEB58" s="186"/>
      <c r="AEC58" s="186"/>
      <c r="AED58" s="186"/>
      <c r="AEE58" s="186"/>
      <c r="AEF58" s="186"/>
      <c r="AEG58" s="186"/>
      <c r="AEH58" s="186"/>
      <c r="AEI58" s="186"/>
      <c r="AEJ58" s="186"/>
      <c r="AEK58" s="186"/>
      <c r="AEL58" s="186"/>
      <c r="AEM58" s="186"/>
      <c r="AEN58" s="186"/>
      <c r="AEO58" s="186"/>
      <c r="AEP58" s="186"/>
      <c r="AEQ58" s="186"/>
      <c r="AER58" s="186"/>
      <c r="AES58" s="186"/>
      <c r="AET58" s="186"/>
      <c r="AEU58" s="186"/>
      <c r="AEV58" s="186"/>
      <c r="AEW58" s="186"/>
      <c r="AEX58" s="186"/>
      <c r="AEY58" s="186"/>
      <c r="AEZ58" s="186"/>
      <c r="AFA58" s="186"/>
      <c r="AFB58" s="186"/>
      <c r="AFC58" s="186"/>
      <c r="AFD58" s="186"/>
      <c r="AFE58" s="186"/>
      <c r="AFF58" s="186"/>
      <c r="AFG58" s="186"/>
      <c r="AFH58" s="186"/>
      <c r="AFI58" s="186"/>
      <c r="AFJ58" s="186"/>
      <c r="AFK58" s="186"/>
      <c r="AFL58" s="186"/>
      <c r="AFM58" s="186"/>
      <c r="AFN58" s="186"/>
      <c r="AFO58" s="186"/>
      <c r="AFP58" s="186"/>
      <c r="AFQ58" s="186"/>
      <c r="AFR58" s="186"/>
      <c r="AFS58" s="186"/>
      <c r="AFT58" s="186"/>
      <c r="AFU58" s="186"/>
      <c r="AFV58" s="186"/>
      <c r="AFW58" s="186"/>
      <c r="AFX58" s="186"/>
      <c r="AFY58" s="186"/>
      <c r="AFZ58" s="186"/>
      <c r="AGA58" s="186"/>
      <c r="AGB58" s="186"/>
      <c r="AGC58" s="186"/>
      <c r="AGD58" s="186"/>
      <c r="AGE58" s="186"/>
      <c r="AGF58" s="186"/>
      <c r="AGG58" s="186"/>
      <c r="AGH58" s="186"/>
      <c r="AGI58" s="186"/>
      <c r="AGJ58" s="186"/>
      <c r="AGK58" s="186"/>
      <c r="AGL58" s="186"/>
      <c r="AGM58" s="186"/>
      <c r="AGN58" s="186"/>
      <c r="AGO58" s="186"/>
      <c r="AGP58" s="186"/>
      <c r="AGQ58" s="186"/>
      <c r="AGR58" s="186"/>
      <c r="AGS58" s="186"/>
      <c r="AGT58" s="186"/>
      <c r="AGU58" s="186"/>
      <c r="AGV58" s="186"/>
      <c r="AGW58" s="186"/>
      <c r="AGX58" s="186"/>
      <c r="AGY58" s="186"/>
      <c r="AGZ58" s="186"/>
      <c r="AHA58" s="186"/>
      <c r="AHB58" s="186"/>
      <c r="AHC58" s="186"/>
      <c r="AHD58" s="186"/>
      <c r="AHE58" s="186"/>
      <c r="AHF58" s="186"/>
      <c r="AHG58" s="186"/>
      <c r="AHH58" s="186"/>
      <c r="AHI58" s="186"/>
      <c r="AHJ58" s="186"/>
      <c r="AHK58" s="186"/>
      <c r="AHL58" s="186"/>
      <c r="AHM58" s="186"/>
      <c r="AHN58" s="186"/>
      <c r="AHO58" s="186"/>
      <c r="AHP58" s="186"/>
      <c r="AHQ58" s="186"/>
      <c r="AHR58" s="186"/>
      <c r="AHS58" s="186"/>
      <c r="AHT58" s="186"/>
      <c r="AHU58" s="186"/>
      <c r="AHV58" s="186"/>
      <c r="AHW58" s="186"/>
      <c r="AHX58" s="186"/>
      <c r="AHY58" s="186"/>
      <c r="AHZ58" s="186"/>
      <c r="AIA58" s="186"/>
      <c r="AIB58" s="186"/>
      <c r="AIC58" s="186"/>
      <c r="AID58" s="186"/>
      <c r="AIE58" s="186"/>
      <c r="AIF58" s="186"/>
      <c r="AIG58" s="186"/>
      <c r="AIH58" s="186"/>
      <c r="AII58" s="186"/>
      <c r="AIJ58" s="186"/>
      <c r="AIK58" s="186"/>
      <c r="AIL58" s="186"/>
      <c r="AIM58" s="186"/>
      <c r="AIN58" s="186"/>
      <c r="AIO58" s="186"/>
      <c r="AIP58" s="186"/>
      <c r="AIQ58" s="186"/>
      <c r="AIR58" s="186"/>
      <c r="AIS58" s="186"/>
      <c r="AIT58" s="186"/>
      <c r="AIU58" s="186"/>
      <c r="AIV58" s="186"/>
      <c r="AIW58" s="186"/>
      <c r="AIX58" s="186"/>
      <c r="AIY58" s="186"/>
      <c r="AIZ58" s="186"/>
      <c r="AJA58" s="186"/>
      <c r="AJB58" s="186"/>
      <c r="AJC58" s="186"/>
      <c r="AJD58" s="186"/>
      <c r="AJE58" s="186"/>
      <c r="AJF58" s="186"/>
      <c r="AJG58" s="186"/>
      <c r="AJH58" s="186"/>
      <c r="AJI58" s="186"/>
      <c r="AJJ58" s="186"/>
      <c r="AJK58" s="186"/>
      <c r="AJL58" s="186"/>
      <c r="AJM58" s="186"/>
      <c r="AJN58" s="186"/>
      <c r="AJO58" s="186"/>
      <c r="AJP58" s="186"/>
      <c r="AJQ58" s="186"/>
      <c r="AJR58" s="186"/>
      <c r="AJS58" s="186"/>
      <c r="AJT58" s="186"/>
      <c r="AJU58" s="186"/>
      <c r="AJV58" s="186"/>
      <c r="AJW58" s="186"/>
      <c r="AJX58" s="186"/>
      <c r="AJY58" s="186"/>
      <c r="AJZ58" s="186"/>
      <c r="AKA58" s="186"/>
      <c r="AKB58" s="186"/>
      <c r="AKC58" s="186"/>
      <c r="AKD58" s="186"/>
      <c r="AKE58" s="186"/>
      <c r="AKF58" s="186"/>
      <c r="AKG58" s="186"/>
      <c r="AKH58" s="186"/>
      <c r="AKI58" s="186"/>
      <c r="AKJ58" s="186"/>
      <c r="AKK58" s="186"/>
      <c r="AKL58" s="186"/>
      <c r="AKM58" s="186"/>
      <c r="AKN58" s="186"/>
      <c r="AKO58" s="186"/>
      <c r="AKP58" s="186"/>
      <c r="AKQ58" s="186"/>
      <c r="AKR58" s="186"/>
      <c r="AKS58" s="186"/>
      <c r="AKT58" s="186"/>
      <c r="AKU58" s="186"/>
      <c r="AKV58" s="186"/>
      <c r="AKW58" s="186"/>
      <c r="AKX58" s="186"/>
      <c r="AKY58" s="186"/>
      <c r="AKZ58" s="186"/>
      <c r="ALA58" s="186"/>
      <c r="ALB58" s="186"/>
      <c r="ALC58" s="186"/>
      <c r="ALD58" s="186"/>
      <c r="ALE58" s="186"/>
      <c r="ALF58" s="186"/>
      <c r="ALG58" s="186"/>
      <c r="ALH58" s="186"/>
      <c r="ALI58" s="186"/>
      <c r="ALJ58" s="186"/>
      <c r="ALK58" s="186"/>
      <c r="ALL58" s="186"/>
      <c r="ALM58" s="186"/>
      <c r="ALN58" s="186"/>
      <c r="ALO58" s="186"/>
      <c r="ALP58" s="186"/>
      <c r="ALQ58" s="186"/>
      <c r="ALR58" s="186"/>
      <c r="ALS58" s="186"/>
      <c r="ALT58" s="186"/>
      <c r="ALU58" s="186"/>
      <c r="ALV58" s="186"/>
      <c r="ALW58" s="186"/>
      <c r="ALX58" s="186"/>
      <c r="ALY58" s="186"/>
      <c r="ALZ58" s="186"/>
      <c r="AMA58" s="186"/>
      <c r="AMB58" s="186"/>
      <c r="AMC58" s="186"/>
      <c r="AMD58" s="186"/>
      <c r="AME58" s="186"/>
      <c r="AMF58" s="186"/>
      <c r="AMG58" s="186"/>
      <c r="AMH58" s="186"/>
      <c r="AMI58" s="186"/>
      <c r="AMJ58" s="186"/>
      <c r="AMK58" s="186"/>
      <c r="AML58" s="186"/>
      <c r="AMM58" s="186"/>
      <c r="AMN58" s="186"/>
      <c r="AMO58" s="186"/>
      <c r="AMP58" s="186"/>
      <c r="AMQ58" s="186"/>
      <c r="AMR58" s="186"/>
      <c r="AMS58" s="186"/>
      <c r="AMT58" s="186"/>
      <c r="AMU58" s="186"/>
      <c r="AMV58" s="186"/>
      <c r="AMW58" s="186"/>
      <c r="AMX58" s="186"/>
      <c r="AMY58" s="186"/>
      <c r="AMZ58" s="186"/>
      <c r="ANA58" s="186"/>
      <c r="ANB58" s="186"/>
      <c r="ANC58" s="186"/>
      <c r="AND58" s="186"/>
      <c r="ANE58" s="186"/>
      <c r="ANF58" s="186"/>
      <c r="ANG58" s="186"/>
      <c r="ANH58" s="186"/>
      <c r="ANI58" s="186"/>
      <c r="ANJ58" s="186"/>
      <c r="ANK58" s="186"/>
      <c r="ANL58" s="186"/>
      <c r="ANM58" s="186"/>
      <c r="ANN58" s="186"/>
      <c r="ANO58" s="186"/>
      <c r="ANP58" s="186"/>
      <c r="ANQ58" s="186"/>
      <c r="ANR58" s="186"/>
      <c r="ANS58" s="186"/>
      <c r="ANT58" s="186"/>
      <c r="ANU58" s="186"/>
      <c r="ANV58" s="186"/>
      <c r="ANW58" s="186"/>
      <c r="ANX58" s="186"/>
      <c r="ANY58" s="186"/>
      <c r="ANZ58" s="186"/>
      <c r="AOA58" s="186"/>
      <c r="AOB58" s="186"/>
      <c r="AOC58" s="186"/>
      <c r="AOD58" s="186"/>
      <c r="AOE58" s="186"/>
      <c r="AOF58" s="186"/>
      <c r="AOG58" s="186"/>
      <c r="AOH58" s="186"/>
      <c r="AOI58" s="186"/>
      <c r="AOJ58" s="186"/>
      <c r="AOK58" s="186"/>
      <c r="AOL58" s="186"/>
      <c r="AOM58" s="186"/>
      <c r="AON58" s="186"/>
      <c r="AOO58" s="186"/>
      <c r="AOP58" s="186"/>
      <c r="AOQ58" s="186"/>
      <c r="AOR58" s="186"/>
      <c r="AOS58" s="186"/>
      <c r="AOT58" s="186"/>
      <c r="AOU58" s="186"/>
      <c r="AOV58" s="186"/>
      <c r="AOW58" s="186"/>
      <c r="AOX58" s="186"/>
      <c r="AOY58" s="186"/>
      <c r="AOZ58" s="186"/>
      <c r="APA58" s="186"/>
      <c r="APB58" s="186"/>
      <c r="APC58" s="186"/>
      <c r="APD58" s="186"/>
      <c r="APE58" s="186"/>
      <c r="APF58" s="186"/>
      <c r="APG58" s="186"/>
      <c r="APH58" s="186"/>
      <c r="API58" s="186"/>
      <c r="APJ58" s="186"/>
      <c r="APK58" s="186"/>
      <c r="APL58" s="186"/>
      <c r="APM58" s="186"/>
      <c r="APN58" s="186"/>
      <c r="APO58" s="186"/>
      <c r="APP58" s="186"/>
      <c r="APQ58" s="186"/>
      <c r="APR58" s="186"/>
      <c r="APS58" s="186"/>
      <c r="APT58" s="186"/>
      <c r="APU58" s="186"/>
      <c r="APV58" s="186"/>
      <c r="APW58" s="186"/>
      <c r="APX58" s="186"/>
      <c r="APY58" s="186"/>
      <c r="APZ58" s="186"/>
      <c r="AQA58" s="186"/>
      <c r="AQB58" s="186"/>
      <c r="AQC58" s="186"/>
      <c r="AQD58" s="186"/>
      <c r="AQE58" s="186"/>
      <c r="AQF58" s="186"/>
      <c r="AQG58" s="186"/>
      <c r="AQH58" s="186"/>
      <c r="AQI58" s="186"/>
      <c r="AQJ58" s="186"/>
      <c r="AQK58" s="186"/>
      <c r="AQL58" s="186"/>
      <c r="AQM58" s="186"/>
      <c r="AQN58" s="186"/>
      <c r="AQO58" s="186"/>
      <c r="AQP58" s="186"/>
      <c r="AQQ58" s="186"/>
      <c r="AQR58" s="186"/>
      <c r="AQS58" s="186"/>
      <c r="AQT58" s="186"/>
      <c r="AQU58" s="186"/>
      <c r="AQV58" s="186"/>
      <c r="AQW58" s="186"/>
      <c r="AQX58" s="186"/>
      <c r="AQY58" s="186"/>
      <c r="AQZ58" s="186"/>
      <c r="ARA58" s="186"/>
      <c r="ARB58" s="186"/>
      <c r="ARC58" s="186"/>
      <c r="ARD58" s="186"/>
      <c r="ARE58" s="186"/>
      <c r="ARF58" s="186"/>
      <c r="ARG58" s="186"/>
      <c r="ARH58" s="186"/>
      <c r="ARI58" s="186"/>
      <c r="ARJ58" s="186"/>
      <c r="ARK58" s="186"/>
      <c r="ARL58" s="186"/>
      <c r="ARM58" s="186"/>
      <c r="ARN58" s="186"/>
      <c r="ARO58" s="186"/>
      <c r="ARP58" s="186"/>
      <c r="ARQ58" s="186"/>
      <c r="ARR58" s="186"/>
      <c r="ARS58" s="186"/>
      <c r="ART58" s="186"/>
      <c r="ARU58" s="186"/>
      <c r="ARV58" s="186"/>
      <c r="ARW58" s="186"/>
      <c r="ARX58" s="186"/>
      <c r="ARY58" s="186"/>
      <c r="ARZ58" s="186"/>
      <c r="ASA58" s="186"/>
      <c r="ASB58" s="186"/>
      <c r="ASC58" s="186"/>
      <c r="ASD58" s="186"/>
      <c r="ASE58" s="186"/>
      <c r="ASF58" s="186"/>
      <c r="ASG58" s="186"/>
      <c r="ASH58" s="186"/>
      <c r="ASI58" s="186"/>
      <c r="ASJ58" s="186"/>
      <c r="ASK58" s="186"/>
      <c r="ASL58" s="186"/>
      <c r="ASM58" s="186"/>
      <c r="ASN58" s="186"/>
      <c r="ASO58" s="186"/>
      <c r="ASP58" s="186"/>
      <c r="ASQ58" s="186"/>
      <c r="ASR58" s="186"/>
      <c r="ASS58" s="186"/>
      <c r="AST58" s="186"/>
      <c r="ASU58" s="186"/>
      <c r="ASV58" s="186"/>
      <c r="ASW58" s="186"/>
      <c r="ASX58" s="186"/>
      <c r="ASY58" s="186"/>
      <c r="ASZ58" s="186"/>
      <c r="ATA58" s="186"/>
      <c r="ATB58" s="186"/>
      <c r="ATC58" s="186"/>
      <c r="ATD58" s="186"/>
      <c r="ATE58" s="186"/>
      <c r="ATF58" s="186"/>
      <c r="ATG58" s="186"/>
      <c r="ATH58" s="186"/>
      <c r="ATI58" s="186"/>
      <c r="ATJ58" s="186"/>
      <c r="ATK58" s="186"/>
      <c r="ATL58" s="186"/>
      <c r="ATM58" s="186"/>
      <c r="ATN58" s="186"/>
      <c r="ATO58" s="186"/>
      <c r="ATP58" s="186"/>
      <c r="ATQ58" s="186"/>
      <c r="ATR58" s="186"/>
      <c r="ATS58" s="186"/>
      <c r="ATT58" s="186"/>
      <c r="ATU58" s="186"/>
      <c r="ATV58" s="186"/>
      <c r="ATW58" s="186"/>
      <c r="ATX58" s="186"/>
      <c r="ATY58" s="186"/>
      <c r="ATZ58" s="186"/>
      <c r="AUA58" s="186"/>
      <c r="AUB58" s="186"/>
      <c r="AUC58" s="186"/>
      <c r="AUD58" s="186"/>
      <c r="AUE58" s="186"/>
      <c r="AUF58" s="186"/>
      <c r="AUG58" s="186"/>
      <c r="AUH58" s="186"/>
      <c r="AUI58" s="186"/>
      <c r="AUJ58" s="186"/>
      <c r="AUK58" s="186"/>
      <c r="AUL58" s="186"/>
      <c r="AUM58" s="186"/>
      <c r="AUN58" s="186"/>
      <c r="AUO58" s="186"/>
      <c r="AUP58" s="186"/>
      <c r="AUQ58" s="186"/>
      <c r="AUR58" s="186"/>
      <c r="AUS58" s="186"/>
      <c r="AUT58" s="186"/>
      <c r="AUU58" s="186"/>
      <c r="AUV58" s="186"/>
      <c r="AUW58" s="186"/>
      <c r="AUX58" s="186"/>
      <c r="AUY58" s="186"/>
      <c r="AUZ58" s="186"/>
      <c r="AVA58" s="186"/>
      <c r="AVB58" s="186"/>
      <c r="AVC58" s="186"/>
      <c r="AVD58" s="186"/>
      <c r="AVE58" s="186"/>
      <c r="AVF58" s="186"/>
      <c r="AVG58" s="186"/>
      <c r="AVH58" s="186"/>
      <c r="AVI58" s="186"/>
      <c r="AVJ58" s="186"/>
      <c r="AVK58" s="186"/>
      <c r="AVL58" s="186"/>
      <c r="AVM58" s="186"/>
      <c r="AVN58" s="186"/>
      <c r="AVO58" s="186"/>
      <c r="AVP58" s="186"/>
      <c r="AVQ58" s="186"/>
      <c r="AVR58" s="186"/>
      <c r="AVS58" s="186"/>
      <c r="AVT58" s="186"/>
      <c r="AVU58" s="186"/>
      <c r="AVV58" s="186"/>
      <c r="AVW58" s="186"/>
      <c r="AVX58" s="186"/>
      <c r="AVY58" s="186"/>
      <c r="AVZ58" s="186"/>
      <c r="AWA58" s="186"/>
      <c r="AWB58" s="186"/>
      <c r="AWC58" s="186"/>
      <c r="AWD58" s="186"/>
      <c r="AWE58" s="186"/>
      <c r="AWF58" s="186"/>
      <c r="AWG58" s="186"/>
      <c r="AWH58" s="186"/>
      <c r="AWI58" s="186"/>
      <c r="AWJ58" s="186"/>
      <c r="AWK58" s="186"/>
      <c r="AWL58" s="186"/>
      <c r="AWM58" s="186"/>
      <c r="AWN58" s="186"/>
      <c r="AWO58" s="186"/>
      <c r="AWP58" s="186"/>
      <c r="AWQ58" s="186"/>
      <c r="AWR58" s="186"/>
      <c r="AWS58" s="186"/>
      <c r="AWT58" s="186"/>
      <c r="AWU58" s="186"/>
      <c r="AWV58" s="186"/>
      <c r="AWW58" s="186"/>
      <c r="AWX58" s="186"/>
      <c r="AWY58" s="186"/>
      <c r="AWZ58" s="186"/>
      <c r="AXA58" s="186"/>
      <c r="AXB58" s="186"/>
      <c r="AXC58" s="186"/>
      <c r="AXD58" s="186"/>
      <c r="AXE58" s="186"/>
      <c r="AXF58" s="186"/>
      <c r="AXG58" s="186"/>
      <c r="AXH58" s="186"/>
      <c r="AXI58" s="186"/>
      <c r="AXJ58" s="186"/>
      <c r="AXK58" s="186"/>
      <c r="AXL58" s="186"/>
      <c r="AXM58" s="186"/>
      <c r="AXN58" s="186"/>
      <c r="AXO58" s="186"/>
      <c r="AXP58" s="186"/>
      <c r="AXQ58" s="186"/>
      <c r="AXR58" s="186"/>
      <c r="AXS58" s="186"/>
      <c r="AXT58" s="186"/>
      <c r="AXU58" s="186"/>
      <c r="AXV58" s="186"/>
      <c r="AXW58" s="186"/>
      <c r="AXX58" s="186"/>
      <c r="AXY58" s="186"/>
      <c r="AXZ58" s="186"/>
      <c r="AYA58" s="186"/>
      <c r="AYB58" s="186"/>
      <c r="AYC58" s="186"/>
      <c r="AYD58" s="186"/>
      <c r="AYE58" s="186"/>
      <c r="AYF58" s="186"/>
      <c r="AYG58" s="186"/>
      <c r="AYH58" s="186"/>
      <c r="AYI58" s="186"/>
      <c r="AYJ58" s="186"/>
      <c r="AYK58" s="186"/>
      <c r="AYL58" s="186"/>
      <c r="AYM58" s="186"/>
      <c r="AYN58" s="186"/>
      <c r="AYO58" s="186"/>
      <c r="AYP58" s="186"/>
      <c r="AYQ58" s="186"/>
      <c r="AYR58" s="186"/>
      <c r="AYS58" s="186"/>
      <c r="AYT58" s="186"/>
      <c r="AYU58" s="186"/>
      <c r="AYV58" s="186"/>
      <c r="AYW58" s="186"/>
      <c r="AYX58" s="186"/>
      <c r="AYY58" s="186"/>
      <c r="AYZ58" s="186"/>
      <c r="AZA58" s="186"/>
      <c r="AZB58" s="186"/>
      <c r="AZC58" s="186"/>
      <c r="AZD58" s="186"/>
      <c r="AZE58" s="186"/>
      <c r="AZF58" s="186"/>
      <c r="AZG58" s="186"/>
      <c r="AZH58" s="204"/>
      <c r="AZI58" s="186"/>
      <c r="AZJ58" s="204"/>
      <c r="AZK58" s="204"/>
    </row>
    <row r="59" spans="1:1363" s="199" customFormat="1" ht="30.75" customHeight="1" thickTop="1" thickBot="1">
      <c r="A59" s="185">
        <v>51</v>
      </c>
      <c r="B59" s="56" t="s">
        <v>297</v>
      </c>
      <c r="C59" s="57" t="s">
        <v>102</v>
      </c>
      <c r="D59" s="58" t="s">
        <v>298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186"/>
      <c r="Q59" s="186">
        <v>312000</v>
      </c>
      <c r="R59" s="186">
        <v>36000</v>
      </c>
      <c r="S59" s="187">
        <v>8160</v>
      </c>
      <c r="T59" s="186">
        <f>Volume!CN55</f>
        <v>84960.000000000015</v>
      </c>
      <c r="U59" s="186">
        <f>Volume!CO55</f>
        <v>4080</v>
      </c>
      <c r="V59" s="186">
        <f>Volume!CP55</f>
        <v>116280.00000000001</v>
      </c>
      <c r="W59" s="186">
        <f>Volume!CQ55</f>
        <v>77520.000000000015</v>
      </c>
      <c r="X59" s="186">
        <f>Volume!CR55</f>
        <v>206280.00000000003</v>
      </c>
      <c r="Y59" s="186">
        <f>Volume!CS55</f>
        <v>65640</v>
      </c>
      <c r="Z59" s="186">
        <f>Volume!CT55</f>
        <v>77039.999999999985</v>
      </c>
      <c r="AA59" s="186">
        <f>Volume!CU55</f>
        <v>80160</v>
      </c>
      <c r="AB59" s="186">
        <f>Volume!CV55</f>
        <v>76679.999999999985</v>
      </c>
      <c r="AC59" s="186">
        <f>Volume!CW55</f>
        <v>83520.000000000015</v>
      </c>
      <c r="AD59" s="186">
        <f>Volume!CX55</f>
        <v>143519.99999999997</v>
      </c>
      <c r="AE59" s="186">
        <f>Volume!CY55</f>
        <v>71520</v>
      </c>
      <c r="AF59" s="70">
        <f t="shared" si="1"/>
        <v>998160</v>
      </c>
      <c r="AG59" s="147"/>
      <c r="AH59" s="215" t="s">
        <v>299</v>
      </c>
      <c r="AI59" s="197" t="s">
        <v>259</v>
      </c>
      <c r="AJ59" s="216" t="s">
        <v>296</v>
      </c>
      <c r="AK59" s="217">
        <v>45635</v>
      </c>
      <c r="AL59" s="218" t="s">
        <v>300</v>
      </c>
      <c r="AM59" s="219">
        <v>370859400</v>
      </c>
      <c r="AN59" s="219">
        <v>265877200</v>
      </c>
      <c r="AO59" s="219">
        <v>263292400</v>
      </c>
      <c r="AP59" s="220">
        <v>249433450</v>
      </c>
      <c r="AQ59" s="221"/>
      <c r="AR59" s="221"/>
      <c r="AS59" s="221"/>
      <c r="AT59" s="221"/>
      <c r="AU59" s="221"/>
      <c r="AV59" s="221"/>
      <c r="AW59" s="221"/>
      <c r="AX59" s="221"/>
      <c r="AY59" s="221"/>
      <c r="AZ59" s="221"/>
      <c r="BA59" s="221"/>
      <c r="BB59" s="221"/>
      <c r="BC59" s="221"/>
      <c r="BD59" s="221"/>
      <c r="BE59" s="221"/>
      <c r="BF59" s="221"/>
      <c r="BG59" s="221"/>
      <c r="BH59" s="221"/>
      <c r="BI59" s="221"/>
      <c r="BJ59" s="221"/>
      <c r="BK59" s="221"/>
      <c r="BL59" s="221"/>
      <c r="BM59" s="221"/>
      <c r="BN59" s="221"/>
      <c r="BO59" s="221"/>
      <c r="BP59" s="222"/>
      <c r="BQ59" s="221"/>
      <c r="BR59" s="221"/>
      <c r="BS59" s="221"/>
      <c r="BT59" s="221"/>
      <c r="BU59" s="221"/>
      <c r="BV59" s="221"/>
      <c r="BW59" s="221"/>
      <c r="BX59" s="221"/>
      <c r="BY59" s="221"/>
      <c r="BZ59" s="221"/>
      <c r="CA59" s="221"/>
      <c r="CB59" s="193">
        <v>19818800</v>
      </c>
      <c r="CC59" s="193">
        <v>26733700</v>
      </c>
      <c r="CD59" s="193">
        <v>25061300</v>
      </c>
      <c r="CE59" s="193">
        <v>16231300</v>
      </c>
      <c r="CF59" s="193">
        <v>31862400</v>
      </c>
      <c r="CG59" s="193">
        <v>18494250</v>
      </c>
      <c r="CH59" s="193">
        <v>25532300</v>
      </c>
      <c r="CI59" s="193">
        <v>28932600</v>
      </c>
      <c r="CJ59" s="193">
        <v>11088600</v>
      </c>
      <c r="CK59" s="193">
        <v>14612550</v>
      </c>
      <c r="CL59" s="193">
        <v>16636050</v>
      </c>
      <c r="CM59" s="223">
        <v>14429600</v>
      </c>
      <c r="CN59" s="224">
        <v>29540200</v>
      </c>
      <c r="CO59" s="225">
        <v>15516400</v>
      </c>
      <c r="CP59" s="225">
        <v>46369950</v>
      </c>
      <c r="CQ59" s="225">
        <v>39955200</v>
      </c>
      <c r="CR59" s="225">
        <v>25506950</v>
      </c>
      <c r="CS59" s="225">
        <v>21583600</v>
      </c>
      <c r="CT59" s="225">
        <v>27334550</v>
      </c>
      <c r="CU59" s="225">
        <v>22483600</v>
      </c>
      <c r="CV59" s="225">
        <v>20920550</v>
      </c>
      <c r="CW59" s="225">
        <v>25322400</v>
      </c>
      <c r="CX59" s="225">
        <v>19944000</v>
      </c>
      <c r="CY59" s="225">
        <v>25290000</v>
      </c>
      <c r="CZ59" s="71"/>
      <c r="DA59" s="6"/>
      <c r="DB59" s="6"/>
      <c r="DC59" s="186"/>
      <c r="DD59" s="186"/>
      <c r="DE59" s="186"/>
      <c r="DF59" s="186"/>
      <c r="DG59" s="186"/>
      <c r="DH59" s="186"/>
      <c r="DI59" s="186"/>
      <c r="DJ59" s="186"/>
      <c r="DK59" s="186"/>
      <c r="DL59" s="186"/>
      <c r="DM59" s="186"/>
      <c r="DN59" s="186"/>
      <c r="DO59" s="186"/>
      <c r="DP59" s="186"/>
      <c r="DQ59" s="186"/>
      <c r="DR59" s="186"/>
      <c r="DS59" s="186"/>
      <c r="DT59" s="186"/>
      <c r="DU59" s="186"/>
      <c r="DV59" s="186"/>
      <c r="DW59" s="186"/>
      <c r="DX59" s="186"/>
      <c r="DY59" s="186"/>
      <c r="DZ59" s="186"/>
      <c r="EA59" s="186"/>
      <c r="EB59" s="186"/>
      <c r="EC59" s="186"/>
      <c r="ED59" s="186"/>
      <c r="EE59" s="186"/>
      <c r="EF59" s="186"/>
      <c r="EG59" s="186"/>
      <c r="EH59" s="186"/>
      <c r="EI59" s="186"/>
      <c r="EJ59" s="186"/>
      <c r="EK59" s="186"/>
      <c r="EL59" s="186"/>
      <c r="EM59" s="186"/>
      <c r="EN59" s="186"/>
      <c r="EO59" s="186"/>
      <c r="EP59" s="186"/>
      <c r="EQ59" s="186"/>
      <c r="ER59" s="186"/>
      <c r="ES59" s="186"/>
      <c r="ET59" s="186"/>
      <c r="EU59" s="186"/>
      <c r="EV59" s="186"/>
      <c r="EW59" s="186"/>
      <c r="EX59" s="186"/>
      <c r="EY59" s="186"/>
      <c r="EZ59" s="186"/>
      <c r="FA59" s="186"/>
      <c r="FB59" s="186"/>
      <c r="FC59" s="186"/>
      <c r="FD59" s="186"/>
      <c r="FE59" s="186"/>
      <c r="FF59" s="186"/>
      <c r="FG59" s="186"/>
      <c r="FH59" s="186"/>
      <c r="FI59" s="186"/>
      <c r="FJ59" s="186"/>
      <c r="FK59" s="186"/>
      <c r="FL59" s="186"/>
      <c r="FM59" s="186"/>
      <c r="FN59" s="186"/>
      <c r="FO59" s="186"/>
      <c r="FP59" s="186"/>
      <c r="FQ59" s="186"/>
      <c r="FR59" s="186"/>
      <c r="FS59" s="186"/>
      <c r="FT59" s="186"/>
      <c r="FU59" s="186"/>
      <c r="FV59" s="186"/>
      <c r="FW59" s="186"/>
      <c r="FX59" s="186"/>
      <c r="FY59" s="186"/>
      <c r="FZ59" s="186"/>
      <c r="GA59" s="186"/>
      <c r="GB59" s="186"/>
      <c r="GC59" s="186"/>
      <c r="GD59" s="186"/>
      <c r="GE59" s="186"/>
      <c r="GF59" s="186"/>
      <c r="GG59" s="186"/>
      <c r="GH59" s="186"/>
      <c r="GI59" s="186"/>
      <c r="GJ59" s="186"/>
      <c r="GK59" s="186"/>
      <c r="GL59" s="186"/>
      <c r="GM59" s="186"/>
      <c r="GN59" s="186"/>
      <c r="GO59" s="186"/>
      <c r="GP59" s="186"/>
      <c r="GQ59" s="186"/>
      <c r="GR59" s="186"/>
      <c r="GS59" s="186"/>
      <c r="GT59" s="186"/>
      <c r="GU59" s="186"/>
      <c r="GV59" s="186"/>
      <c r="GW59" s="186"/>
      <c r="GX59" s="186"/>
      <c r="GY59" s="186"/>
      <c r="GZ59" s="186"/>
      <c r="HA59" s="186"/>
      <c r="HB59" s="186"/>
      <c r="HC59" s="186"/>
      <c r="HD59" s="186"/>
      <c r="HE59" s="186"/>
      <c r="HF59" s="186"/>
      <c r="HG59" s="186"/>
      <c r="HH59" s="186"/>
      <c r="HI59" s="186"/>
      <c r="HJ59" s="186"/>
      <c r="HK59" s="186"/>
      <c r="HL59" s="186"/>
      <c r="HM59" s="186"/>
      <c r="HN59" s="186"/>
      <c r="HO59" s="186"/>
      <c r="HP59" s="186"/>
      <c r="HQ59" s="186"/>
      <c r="HR59" s="186"/>
      <c r="HS59" s="186"/>
      <c r="HT59" s="186"/>
      <c r="HU59" s="186"/>
      <c r="HV59" s="186"/>
      <c r="HW59" s="186"/>
      <c r="HX59" s="186"/>
      <c r="HY59" s="186"/>
      <c r="HZ59" s="186"/>
      <c r="IA59" s="186"/>
      <c r="IB59" s="186"/>
      <c r="IC59" s="186"/>
      <c r="ID59" s="186"/>
      <c r="IE59" s="186"/>
      <c r="IF59" s="186"/>
      <c r="IG59" s="186"/>
      <c r="IH59" s="186"/>
      <c r="II59" s="186"/>
      <c r="IJ59" s="186"/>
      <c r="IK59" s="186"/>
      <c r="IL59" s="186"/>
      <c r="IM59" s="186"/>
      <c r="IN59" s="186"/>
      <c r="IO59" s="186"/>
      <c r="IP59" s="186"/>
      <c r="IQ59" s="186"/>
      <c r="IR59" s="186"/>
      <c r="IS59" s="186"/>
      <c r="IT59" s="186"/>
      <c r="IU59" s="186"/>
      <c r="IV59" s="186"/>
      <c r="IW59" s="186"/>
      <c r="IX59" s="186"/>
      <c r="IY59" s="186"/>
      <c r="IZ59" s="186"/>
      <c r="JA59" s="186"/>
      <c r="JB59" s="186"/>
      <c r="JC59" s="186"/>
      <c r="JD59" s="186"/>
      <c r="JE59" s="186"/>
      <c r="JF59" s="186"/>
      <c r="JG59" s="186"/>
      <c r="JH59" s="186"/>
      <c r="JI59" s="186"/>
      <c r="JJ59" s="186"/>
      <c r="JK59" s="186"/>
      <c r="JL59" s="186"/>
      <c r="JM59" s="186"/>
      <c r="JN59" s="186"/>
      <c r="JO59" s="186"/>
      <c r="JP59" s="186"/>
      <c r="JQ59" s="186"/>
      <c r="JR59" s="186"/>
      <c r="JS59" s="186"/>
      <c r="JT59" s="186"/>
      <c r="JU59" s="186"/>
      <c r="JV59" s="186"/>
      <c r="JW59" s="186"/>
      <c r="JX59" s="186"/>
      <c r="JY59" s="186"/>
      <c r="JZ59" s="186"/>
      <c r="KA59" s="186"/>
      <c r="KB59" s="186"/>
      <c r="KC59" s="186"/>
      <c r="KD59" s="186"/>
      <c r="KE59" s="186"/>
      <c r="KF59" s="186"/>
      <c r="KG59" s="186"/>
      <c r="KH59" s="186"/>
      <c r="KI59" s="186"/>
      <c r="KJ59" s="186"/>
      <c r="KK59" s="186"/>
      <c r="KL59" s="186"/>
      <c r="KM59" s="186"/>
      <c r="KN59" s="186"/>
      <c r="KO59" s="186"/>
      <c r="KP59" s="186"/>
      <c r="KQ59" s="186"/>
      <c r="KR59" s="186"/>
      <c r="KS59" s="186"/>
      <c r="KT59" s="186"/>
      <c r="KU59" s="186"/>
      <c r="KV59" s="186"/>
      <c r="KW59" s="186"/>
      <c r="KX59" s="186"/>
      <c r="KY59" s="186"/>
      <c r="KZ59" s="186"/>
      <c r="LA59" s="186"/>
      <c r="LB59" s="186"/>
      <c r="LC59" s="186"/>
      <c r="LD59" s="186"/>
      <c r="LE59" s="186"/>
      <c r="LF59" s="186"/>
      <c r="LG59" s="186"/>
      <c r="LH59" s="186"/>
      <c r="LI59" s="186"/>
      <c r="LJ59" s="186"/>
      <c r="LK59" s="186"/>
      <c r="LL59" s="186"/>
      <c r="LM59" s="186"/>
      <c r="LN59" s="186"/>
      <c r="LO59" s="186"/>
      <c r="LP59" s="186"/>
      <c r="LQ59" s="186"/>
      <c r="LR59" s="186"/>
      <c r="LS59" s="186"/>
      <c r="LT59" s="186"/>
      <c r="LU59" s="186"/>
      <c r="LV59" s="186"/>
      <c r="LW59" s="186"/>
      <c r="LX59" s="186"/>
      <c r="LY59" s="186"/>
      <c r="LZ59" s="186"/>
      <c r="MA59" s="186"/>
      <c r="MB59" s="186"/>
      <c r="MC59" s="186"/>
      <c r="MD59" s="186"/>
      <c r="ME59" s="186"/>
      <c r="MF59" s="186"/>
      <c r="MG59" s="186"/>
      <c r="MH59" s="186"/>
      <c r="MI59" s="186"/>
      <c r="MJ59" s="186"/>
      <c r="MK59" s="186"/>
      <c r="ML59" s="186"/>
      <c r="MM59" s="186"/>
      <c r="MN59" s="186"/>
      <c r="MO59" s="186"/>
      <c r="MP59" s="186"/>
      <c r="MQ59" s="186"/>
      <c r="MR59" s="186"/>
      <c r="MS59" s="186"/>
      <c r="MT59" s="186"/>
      <c r="MU59" s="186"/>
      <c r="MV59" s="186"/>
      <c r="MW59" s="186"/>
      <c r="MX59" s="186"/>
      <c r="MY59" s="186"/>
      <c r="MZ59" s="186"/>
      <c r="NA59" s="186"/>
      <c r="NB59" s="186"/>
      <c r="NC59" s="186"/>
      <c r="ND59" s="186"/>
      <c r="NE59" s="186"/>
      <c r="NF59" s="186"/>
      <c r="NG59" s="186"/>
      <c r="NH59" s="186"/>
      <c r="NI59" s="186"/>
      <c r="NJ59" s="186"/>
      <c r="NK59" s="186"/>
      <c r="NL59" s="186"/>
      <c r="NM59" s="186"/>
      <c r="NN59" s="186"/>
      <c r="NO59" s="186"/>
      <c r="NP59" s="186"/>
      <c r="NQ59" s="186"/>
      <c r="NR59" s="186"/>
      <c r="NS59" s="186"/>
      <c r="NT59" s="186"/>
      <c r="NU59" s="186"/>
      <c r="NV59" s="186"/>
      <c r="NW59" s="186"/>
      <c r="NX59" s="186"/>
      <c r="NY59" s="186"/>
      <c r="NZ59" s="186"/>
      <c r="OA59" s="186"/>
      <c r="OB59" s="186"/>
      <c r="OC59" s="186"/>
      <c r="OD59" s="186"/>
      <c r="OE59" s="186"/>
      <c r="OF59" s="186"/>
      <c r="OG59" s="186"/>
      <c r="OH59" s="186"/>
      <c r="OI59" s="186"/>
      <c r="OJ59" s="186"/>
      <c r="OK59" s="186"/>
      <c r="OL59" s="186"/>
      <c r="OM59" s="186"/>
      <c r="ON59" s="186"/>
      <c r="OO59" s="186"/>
      <c r="OP59" s="186"/>
      <c r="OQ59" s="186"/>
      <c r="OR59" s="186"/>
      <c r="OS59" s="186"/>
      <c r="OT59" s="186"/>
      <c r="OU59" s="186"/>
      <c r="OV59" s="186"/>
      <c r="OW59" s="186"/>
      <c r="OX59" s="186"/>
      <c r="OY59" s="186"/>
      <c r="OZ59" s="186"/>
      <c r="PA59" s="186"/>
      <c r="PB59" s="186"/>
      <c r="PC59" s="186"/>
      <c r="PD59" s="186"/>
      <c r="PE59" s="186"/>
      <c r="PF59" s="186"/>
      <c r="PG59" s="186"/>
      <c r="PH59" s="186"/>
      <c r="PI59" s="186"/>
      <c r="PJ59" s="186"/>
      <c r="PK59" s="186"/>
      <c r="PL59" s="186"/>
      <c r="PM59" s="186"/>
      <c r="PN59" s="186"/>
      <c r="PO59" s="186"/>
      <c r="PP59" s="186"/>
      <c r="PQ59" s="186"/>
      <c r="PR59" s="186"/>
      <c r="PS59" s="186"/>
      <c r="PT59" s="186"/>
      <c r="PU59" s="186"/>
      <c r="PV59" s="186"/>
      <c r="PW59" s="186"/>
      <c r="PX59" s="186"/>
      <c r="PY59" s="186"/>
      <c r="PZ59" s="186"/>
      <c r="QA59" s="186"/>
      <c r="QB59" s="186"/>
      <c r="QC59" s="186"/>
      <c r="QD59" s="186"/>
      <c r="QE59" s="186"/>
      <c r="QF59" s="186"/>
      <c r="QG59" s="186"/>
      <c r="QH59" s="186"/>
      <c r="QI59" s="186"/>
      <c r="QJ59" s="186"/>
      <c r="QK59" s="186"/>
      <c r="QL59" s="186"/>
      <c r="QM59" s="186"/>
      <c r="QN59" s="186"/>
      <c r="QO59" s="186"/>
      <c r="QP59" s="186"/>
      <c r="QQ59" s="186"/>
      <c r="QR59" s="186"/>
      <c r="QS59" s="186"/>
      <c r="QT59" s="186"/>
      <c r="QU59" s="186"/>
      <c r="QV59" s="186"/>
      <c r="QW59" s="186"/>
      <c r="QX59" s="186"/>
      <c r="QY59" s="186"/>
      <c r="QZ59" s="186"/>
      <c r="RA59" s="186"/>
      <c r="RB59" s="186"/>
      <c r="RC59" s="186"/>
      <c r="RD59" s="186"/>
      <c r="RE59" s="186"/>
      <c r="RF59" s="186"/>
      <c r="RG59" s="186"/>
      <c r="RH59" s="186"/>
      <c r="RI59" s="186"/>
      <c r="RJ59" s="186"/>
      <c r="RK59" s="186"/>
      <c r="RL59" s="186"/>
      <c r="RM59" s="186"/>
      <c r="RN59" s="186"/>
      <c r="RO59" s="186"/>
      <c r="RP59" s="186"/>
      <c r="RQ59" s="186"/>
      <c r="RR59" s="186"/>
      <c r="RS59" s="186"/>
      <c r="RT59" s="186"/>
      <c r="RU59" s="186"/>
      <c r="RV59" s="186"/>
      <c r="RW59" s="186"/>
      <c r="RX59" s="186"/>
      <c r="RY59" s="186"/>
      <c r="RZ59" s="186"/>
      <c r="SA59" s="186"/>
      <c r="SB59" s="186"/>
      <c r="SC59" s="186"/>
      <c r="SD59" s="186"/>
      <c r="SE59" s="186"/>
      <c r="SF59" s="186"/>
      <c r="SG59" s="186"/>
      <c r="SH59" s="186"/>
      <c r="SI59" s="186"/>
      <c r="SJ59" s="186"/>
      <c r="SK59" s="186"/>
      <c r="SL59" s="186"/>
      <c r="SM59" s="186"/>
      <c r="SN59" s="186"/>
      <c r="SO59" s="186"/>
      <c r="SP59" s="186"/>
      <c r="SQ59" s="186"/>
      <c r="SR59" s="186"/>
      <c r="SS59" s="186"/>
      <c r="ST59" s="186"/>
      <c r="SU59" s="186"/>
      <c r="SV59" s="186"/>
      <c r="SW59" s="186"/>
      <c r="SX59" s="186"/>
      <c r="SY59" s="186"/>
      <c r="SZ59" s="186"/>
      <c r="TA59" s="186"/>
      <c r="TB59" s="186"/>
      <c r="TC59" s="186"/>
      <c r="TD59" s="186"/>
      <c r="TE59" s="186"/>
      <c r="TF59" s="186"/>
      <c r="TG59" s="186"/>
      <c r="TH59" s="186"/>
      <c r="TI59" s="186"/>
      <c r="TJ59" s="186"/>
      <c r="TK59" s="186"/>
      <c r="TL59" s="186"/>
      <c r="TM59" s="186"/>
      <c r="TN59" s="186"/>
      <c r="TO59" s="186"/>
      <c r="TP59" s="186"/>
      <c r="TQ59" s="186"/>
      <c r="TR59" s="186"/>
      <c r="TS59" s="186"/>
      <c r="TT59" s="186"/>
      <c r="TU59" s="186"/>
      <c r="TV59" s="186"/>
      <c r="TW59" s="186"/>
      <c r="TX59" s="186"/>
      <c r="TY59" s="186"/>
      <c r="TZ59" s="186"/>
      <c r="UA59" s="186"/>
      <c r="UB59" s="186"/>
      <c r="UC59" s="186"/>
      <c r="UD59" s="186"/>
      <c r="UE59" s="186"/>
      <c r="UF59" s="186"/>
      <c r="UG59" s="186"/>
      <c r="UH59" s="186"/>
      <c r="UI59" s="186"/>
      <c r="UJ59" s="186"/>
      <c r="UK59" s="186"/>
      <c r="UL59" s="186"/>
      <c r="UM59" s="186"/>
      <c r="UN59" s="186"/>
      <c r="UO59" s="186"/>
      <c r="UP59" s="186"/>
      <c r="UQ59" s="186"/>
      <c r="UR59" s="186"/>
      <c r="US59" s="186"/>
      <c r="UT59" s="186"/>
      <c r="UU59" s="186"/>
      <c r="UV59" s="186"/>
      <c r="UW59" s="186"/>
      <c r="UX59" s="186"/>
      <c r="UY59" s="186"/>
      <c r="UZ59" s="186"/>
      <c r="VA59" s="186"/>
      <c r="VB59" s="186"/>
      <c r="VC59" s="186"/>
      <c r="VD59" s="186"/>
      <c r="VE59" s="186"/>
      <c r="VF59" s="186"/>
      <c r="VG59" s="186"/>
      <c r="VH59" s="186"/>
      <c r="VI59" s="186"/>
      <c r="VJ59" s="186"/>
      <c r="VK59" s="186"/>
      <c r="VL59" s="186"/>
      <c r="VM59" s="186"/>
      <c r="VN59" s="186"/>
      <c r="VO59" s="186"/>
      <c r="VP59" s="186"/>
      <c r="VQ59" s="186"/>
      <c r="VR59" s="186"/>
      <c r="VS59" s="186"/>
      <c r="VT59" s="186"/>
      <c r="VU59" s="186"/>
      <c r="VV59" s="186"/>
      <c r="VW59" s="186"/>
      <c r="VX59" s="186"/>
      <c r="VY59" s="186"/>
      <c r="VZ59" s="186"/>
      <c r="WA59" s="186"/>
      <c r="WB59" s="186"/>
      <c r="WC59" s="186"/>
      <c r="WD59" s="186"/>
      <c r="WE59" s="186"/>
      <c r="WF59" s="186"/>
      <c r="WG59" s="186"/>
      <c r="WH59" s="186"/>
      <c r="WI59" s="186"/>
      <c r="WJ59" s="186"/>
      <c r="WK59" s="186"/>
      <c r="WL59" s="186"/>
      <c r="WM59" s="186"/>
      <c r="WN59" s="186"/>
      <c r="WO59" s="186"/>
      <c r="WP59" s="186"/>
      <c r="WQ59" s="186"/>
      <c r="WR59" s="186"/>
      <c r="WS59" s="186"/>
      <c r="WT59" s="186"/>
      <c r="WU59" s="186"/>
      <c r="WV59" s="186"/>
      <c r="WW59" s="186"/>
      <c r="WX59" s="186"/>
      <c r="WY59" s="186"/>
      <c r="WZ59" s="186"/>
      <c r="XA59" s="186"/>
      <c r="XB59" s="186"/>
      <c r="XC59" s="186"/>
      <c r="XD59" s="186"/>
      <c r="XE59" s="186"/>
      <c r="XF59" s="186"/>
      <c r="XG59" s="186"/>
      <c r="XH59" s="186"/>
      <c r="XI59" s="186"/>
      <c r="XJ59" s="186"/>
      <c r="XK59" s="186"/>
      <c r="XL59" s="186"/>
      <c r="XM59" s="186"/>
      <c r="XN59" s="186"/>
      <c r="XO59" s="186"/>
      <c r="XP59" s="186"/>
      <c r="XQ59" s="186"/>
      <c r="XR59" s="186"/>
      <c r="XS59" s="186"/>
      <c r="XT59" s="186"/>
      <c r="XU59" s="186"/>
      <c r="XV59" s="186"/>
      <c r="XW59" s="186"/>
      <c r="XX59" s="186"/>
      <c r="XY59" s="186"/>
      <c r="XZ59" s="186"/>
      <c r="YA59" s="186"/>
      <c r="YB59" s="186"/>
      <c r="YC59" s="186"/>
      <c r="YD59" s="186"/>
      <c r="YE59" s="186"/>
      <c r="YF59" s="186"/>
      <c r="YG59" s="186"/>
      <c r="YH59" s="186"/>
      <c r="YI59" s="186"/>
      <c r="YJ59" s="186"/>
      <c r="YK59" s="186"/>
      <c r="YL59" s="186"/>
      <c r="YM59" s="186"/>
      <c r="YN59" s="186"/>
      <c r="YO59" s="186"/>
      <c r="YP59" s="186"/>
      <c r="YQ59" s="186"/>
      <c r="YR59" s="186"/>
      <c r="YS59" s="186"/>
      <c r="YT59" s="186"/>
      <c r="YU59" s="186"/>
      <c r="YV59" s="186"/>
      <c r="YW59" s="186"/>
      <c r="YX59" s="186"/>
      <c r="YY59" s="186"/>
      <c r="YZ59" s="186"/>
      <c r="ZA59" s="186"/>
      <c r="ZB59" s="186"/>
      <c r="ZC59" s="186"/>
      <c r="ZD59" s="186"/>
      <c r="ZE59" s="186"/>
      <c r="ZF59" s="186"/>
      <c r="ZG59" s="186"/>
      <c r="ZH59" s="186"/>
      <c r="ZI59" s="186"/>
      <c r="ZJ59" s="186"/>
      <c r="ZK59" s="186"/>
      <c r="ZL59" s="186"/>
      <c r="ZM59" s="186"/>
      <c r="ZN59" s="186"/>
      <c r="ZO59" s="186"/>
      <c r="ZP59" s="186"/>
      <c r="ZQ59" s="186"/>
      <c r="ZR59" s="186"/>
      <c r="ZS59" s="186"/>
      <c r="ZT59" s="186"/>
      <c r="ZU59" s="186"/>
      <c r="ZV59" s="186"/>
      <c r="ZW59" s="186"/>
      <c r="ZX59" s="186"/>
      <c r="ZY59" s="186"/>
      <c r="ZZ59" s="186"/>
      <c r="AAA59" s="186"/>
      <c r="AAB59" s="186"/>
      <c r="AAC59" s="186"/>
      <c r="AAD59" s="186"/>
      <c r="AAE59" s="186"/>
      <c r="AAF59" s="186"/>
      <c r="AAG59" s="186"/>
      <c r="AAH59" s="186"/>
      <c r="AAI59" s="186"/>
      <c r="AAJ59" s="186"/>
      <c r="AAK59" s="186"/>
      <c r="AAL59" s="186"/>
      <c r="AAM59" s="186"/>
      <c r="AAN59" s="186"/>
      <c r="AAO59" s="186"/>
      <c r="AAP59" s="186"/>
      <c r="AAQ59" s="186"/>
      <c r="AAR59" s="186"/>
      <c r="AAS59" s="186"/>
      <c r="AAT59" s="186"/>
      <c r="AAU59" s="186"/>
      <c r="AAV59" s="186"/>
      <c r="AAW59" s="186"/>
      <c r="AAX59" s="186"/>
      <c r="AAY59" s="186"/>
      <c r="AAZ59" s="186"/>
      <c r="ABA59" s="186"/>
      <c r="ABB59" s="186"/>
      <c r="ABC59" s="186"/>
      <c r="ABD59" s="186"/>
      <c r="ABE59" s="186"/>
      <c r="ABF59" s="186"/>
      <c r="ABG59" s="186"/>
      <c r="ABH59" s="186"/>
      <c r="ABI59" s="186"/>
      <c r="ABJ59" s="186"/>
      <c r="ABK59" s="186"/>
      <c r="ABL59" s="186"/>
      <c r="ABM59" s="186"/>
      <c r="ABN59" s="186"/>
      <c r="ABO59" s="186"/>
      <c r="ABP59" s="186"/>
      <c r="ABQ59" s="186"/>
      <c r="ABR59" s="186"/>
      <c r="ABS59" s="186"/>
      <c r="ABT59" s="186"/>
      <c r="ABU59" s="186"/>
      <c r="ABV59" s="186"/>
      <c r="ABW59" s="186"/>
      <c r="ABX59" s="186"/>
      <c r="ABY59" s="186"/>
      <c r="ABZ59" s="186"/>
      <c r="ACA59" s="186"/>
      <c r="ACB59" s="186"/>
      <c r="ACC59" s="186"/>
      <c r="ACD59" s="186"/>
      <c r="ACE59" s="186"/>
      <c r="ACF59" s="186"/>
      <c r="ACG59" s="186"/>
      <c r="ACH59" s="186"/>
      <c r="ACI59" s="186"/>
      <c r="ACJ59" s="186"/>
      <c r="ACK59" s="186"/>
      <c r="ACL59" s="186"/>
      <c r="ACM59" s="186"/>
      <c r="ACN59" s="186"/>
      <c r="ACO59" s="186"/>
      <c r="ACP59" s="186"/>
      <c r="ACQ59" s="186"/>
      <c r="ACR59" s="186"/>
      <c r="ACS59" s="186"/>
      <c r="ACT59" s="186"/>
      <c r="ACU59" s="186"/>
      <c r="ACV59" s="186"/>
      <c r="ACW59" s="186"/>
      <c r="ACX59" s="186"/>
      <c r="ACY59" s="186"/>
      <c r="ACZ59" s="186"/>
      <c r="ADA59" s="186"/>
      <c r="ADB59" s="186"/>
      <c r="ADC59" s="186"/>
      <c r="ADD59" s="186"/>
      <c r="ADE59" s="186"/>
      <c r="ADF59" s="186"/>
      <c r="ADG59" s="186"/>
      <c r="ADH59" s="186"/>
      <c r="ADI59" s="186"/>
      <c r="ADJ59" s="186"/>
      <c r="ADK59" s="186"/>
      <c r="ADL59" s="186"/>
      <c r="ADM59" s="186"/>
      <c r="ADN59" s="186"/>
      <c r="ADO59" s="186"/>
      <c r="ADP59" s="186"/>
      <c r="ADQ59" s="186"/>
      <c r="ADR59" s="186"/>
      <c r="ADS59" s="186"/>
      <c r="ADT59" s="186"/>
      <c r="ADU59" s="186"/>
      <c r="ADV59" s="186"/>
      <c r="ADW59" s="186"/>
      <c r="ADX59" s="186"/>
      <c r="ADY59" s="186"/>
      <c r="ADZ59" s="186"/>
      <c r="AEA59" s="186"/>
      <c r="AEB59" s="186"/>
      <c r="AEC59" s="186"/>
      <c r="AED59" s="186"/>
      <c r="AEE59" s="186"/>
      <c r="AEF59" s="186"/>
      <c r="AEG59" s="186"/>
      <c r="AEH59" s="186"/>
      <c r="AEI59" s="186"/>
      <c r="AEJ59" s="186"/>
      <c r="AEK59" s="186"/>
      <c r="AEL59" s="186"/>
      <c r="AEM59" s="186"/>
      <c r="AEN59" s="186"/>
      <c r="AEO59" s="186"/>
      <c r="AEP59" s="186"/>
      <c r="AEQ59" s="186"/>
      <c r="AER59" s="186"/>
      <c r="AES59" s="186"/>
      <c r="AET59" s="186"/>
      <c r="AEU59" s="186"/>
      <c r="AEV59" s="186"/>
      <c r="AEW59" s="186"/>
      <c r="AEX59" s="186"/>
      <c r="AEY59" s="186"/>
      <c r="AEZ59" s="186"/>
      <c r="AFA59" s="186"/>
      <c r="AFB59" s="186"/>
      <c r="AFC59" s="186"/>
      <c r="AFD59" s="186"/>
      <c r="AFE59" s="186"/>
      <c r="AFF59" s="186"/>
      <c r="AFG59" s="186"/>
      <c r="AFH59" s="186"/>
      <c r="AFI59" s="186"/>
      <c r="AFJ59" s="186"/>
      <c r="AFK59" s="186"/>
      <c r="AFL59" s="186"/>
      <c r="AFM59" s="186"/>
      <c r="AFN59" s="186"/>
      <c r="AFO59" s="186"/>
      <c r="AFP59" s="186"/>
      <c r="AFQ59" s="186"/>
      <c r="AFR59" s="186"/>
      <c r="AFS59" s="186"/>
      <c r="AFT59" s="186"/>
      <c r="AFU59" s="186"/>
      <c r="AFV59" s="186"/>
      <c r="AFW59" s="186"/>
      <c r="AFX59" s="186"/>
      <c r="AFY59" s="186"/>
      <c r="AFZ59" s="186"/>
      <c r="AGA59" s="186"/>
      <c r="AGB59" s="186"/>
      <c r="AGC59" s="186"/>
      <c r="AGD59" s="186"/>
      <c r="AGE59" s="186"/>
      <c r="AGF59" s="186"/>
      <c r="AGG59" s="186"/>
      <c r="AGH59" s="186"/>
      <c r="AGI59" s="186"/>
      <c r="AGJ59" s="186"/>
      <c r="AGK59" s="186"/>
      <c r="AGL59" s="186"/>
      <c r="AGM59" s="186"/>
      <c r="AGN59" s="186"/>
      <c r="AGO59" s="186"/>
      <c r="AGP59" s="186"/>
      <c r="AGQ59" s="186"/>
      <c r="AGR59" s="186"/>
      <c r="AGS59" s="186"/>
      <c r="AGT59" s="186"/>
      <c r="AGU59" s="186"/>
      <c r="AGV59" s="186"/>
      <c r="AGW59" s="186"/>
      <c r="AGX59" s="186"/>
      <c r="AGY59" s="186"/>
      <c r="AGZ59" s="186"/>
      <c r="AHA59" s="186"/>
      <c r="AHB59" s="186"/>
      <c r="AHC59" s="186"/>
      <c r="AHD59" s="186"/>
      <c r="AHE59" s="186"/>
      <c r="AHF59" s="186"/>
      <c r="AHG59" s="186"/>
      <c r="AHH59" s="186"/>
      <c r="AHI59" s="186"/>
      <c r="AHJ59" s="186"/>
      <c r="AHK59" s="186"/>
      <c r="AHL59" s="186"/>
      <c r="AHM59" s="186"/>
      <c r="AHN59" s="186"/>
      <c r="AHO59" s="186"/>
      <c r="AHP59" s="186"/>
      <c r="AHQ59" s="186"/>
      <c r="AHR59" s="186"/>
      <c r="AHS59" s="186"/>
      <c r="AHT59" s="186"/>
      <c r="AHU59" s="186"/>
      <c r="AHV59" s="186"/>
      <c r="AHW59" s="186"/>
      <c r="AHX59" s="186"/>
      <c r="AHY59" s="186"/>
      <c r="AHZ59" s="186"/>
      <c r="AIA59" s="186"/>
      <c r="AIB59" s="186"/>
      <c r="AIC59" s="186"/>
      <c r="AID59" s="186"/>
      <c r="AIE59" s="186"/>
      <c r="AIF59" s="186"/>
      <c r="AIG59" s="186"/>
      <c r="AIH59" s="186"/>
      <c r="AII59" s="186"/>
      <c r="AIJ59" s="186"/>
      <c r="AIK59" s="186"/>
      <c r="AIL59" s="186"/>
      <c r="AIM59" s="186"/>
      <c r="AIN59" s="186"/>
      <c r="AIO59" s="186"/>
      <c r="AIP59" s="186"/>
      <c r="AIQ59" s="186"/>
      <c r="AIR59" s="186"/>
      <c r="AIS59" s="186"/>
      <c r="AIT59" s="186"/>
      <c r="AIU59" s="186"/>
      <c r="AIV59" s="186"/>
      <c r="AIW59" s="186"/>
      <c r="AIX59" s="186"/>
      <c r="AIY59" s="186"/>
      <c r="AIZ59" s="186"/>
      <c r="AJA59" s="186"/>
      <c r="AJB59" s="186"/>
      <c r="AJC59" s="186"/>
      <c r="AJD59" s="186"/>
      <c r="AJE59" s="186"/>
      <c r="AJF59" s="186"/>
      <c r="AJG59" s="186"/>
      <c r="AJH59" s="186"/>
      <c r="AJI59" s="186"/>
      <c r="AJJ59" s="186"/>
      <c r="AJK59" s="186"/>
      <c r="AJL59" s="186"/>
      <c r="AJM59" s="186"/>
      <c r="AJN59" s="186"/>
      <c r="AJO59" s="186"/>
      <c r="AJP59" s="186"/>
      <c r="AJQ59" s="186"/>
      <c r="AJR59" s="186"/>
      <c r="AJS59" s="186"/>
      <c r="AJT59" s="186"/>
      <c r="AJU59" s="186"/>
      <c r="AJV59" s="186"/>
      <c r="AJW59" s="186"/>
      <c r="AJX59" s="186"/>
      <c r="AJY59" s="186"/>
      <c r="AJZ59" s="186"/>
      <c r="AKA59" s="186"/>
      <c r="AKB59" s="186"/>
      <c r="AKC59" s="186"/>
      <c r="AKD59" s="186"/>
      <c r="AKE59" s="186"/>
      <c r="AKF59" s="186"/>
      <c r="AKG59" s="186"/>
      <c r="AKH59" s="186"/>
      <c r="AKI59" s="186"/>
      <c r="AKJ59" s="186"/>
      <c r="AKK59" s="186"/>
      <c r="AKL59" s="186"/>
      <c r="AKM59" s="186"/>
      <c r="AKN59" s="186"/>
      <c r="AKO59" s="186"/>
      <c r="AKP59" s="186"/>
      <c r="AKQ59" s="186"/>
      <c r="AKR59" s="186"/>
      <c r="AKS59" s="186"/>
      <c r="AKT59" s="186"/>
      <c r="AKU59" s="186"/>
      <c r="AKV59" s="186"/>
      <c r="AKW59" s="186"/>
      <c r="AKX59" s="186"/>
      <c r="AKY59" s="186"/>
      <c r="AKZ59" s="186"/>
      <c r="ALA59" s="186"/>
      <c r="ALB59" s="186"/>
      <c r="ALC59" s="186"/>
      <c r="ALD59" s="186"/>
      <c r="ALE59" s="186"/>
      <c r="ALF59" s="186"/>
      <c r="ALG59" s="186"/>
      <c r="ALH59" s="186"/>
      <c r="ALI59" s="186"/>
      <c r="ALJ59" s="186"/>
      <c r="ALK59" s="186"/>
      <c r="ALL59" s="186"/>
      <c r="ALM59" s="186"/>
      <c r="ALN59" s="186"/>
      <c r="ALO59" s="186"/>
      <c r="ALP59" s="186"/>
      <c r="ALQ59" s="186"/>
      <c r="ALR59" s="186"/>
      <c r="ALS59" s="186"/>
      <c r="ALT59" s="186"/>
      <c r="ALU59" s="186"/>
      <c r="ALV59" s="186"/>
      <c r="ALW59" s="186"/>
      <c r="ALX59" s="186"/>
      <c r="ALY59" s="186"/>
      <c r="ALZ59" s="186"/>
      <c r="AMA59" s="186"/>
      <c r="AMB59" s="186"/>
      <c r="AMC59" s="186"/>
      <c r="AMD59" s="186"/>
      <c r="AME59" s="186"/>
      <c r="AMF59" s="186"/>
      <c r="AMG59" s="186"/>
      <c r="AMH59" s="186"/>
      <c r="AMI59" s="186"/>
      <c r="AMJ59" s="186"/>
      <c r="AMK59" s="186"/>
      <c r="AML59" s="186"/>
      <c r="AMM59" s="186"/>
      <c r="AMN59" s="186"/>
      <c r="AMO59" s="186"/>
      <c r="AMP59" s="186"/>
      <c r="AMQ59" s="186"/>
      <c r="AMR59" s="186"/>
      <c r="AMS59" s="186"/>
      <c r="AMT59" s="186"/>
      <c r="AMU59" s="186"/>
      <c r="AMV59" s="186"/>
      <c r="AMW59" s="186"/>
      <c r="AMX59" s="186"/>
      <c r="AMY59" s="186"/>
      <c r="AMZ59" s="186"/>
      <c r="ANA59" s="186"/>
      <c r="ANB59" s="186"/>
      <c r="ANC59" s="186"/>
      <c r="AND59" s="186"/>
      <c r="ANE59" s="186"/>
      <c r="ANF59" s="186"/>
      <c r="ANG59" s="186"/>
      <c r="ANH59" s="186"/>
      <c r="ANI59" s="186"/>
      <c r="ANJ59" s="186"/>
      <c r="ANK59" s="186"/>
      <c r="ANL59" s="186"/>
      <c r="ANM59" s="186"/>
      <c r="ANN59" s="186"/>
      <c r="ANO59" s="186"/>
      <c r="ANP59" s="186"/>
      <c r="ANQ59" s="186"/>
      <c r="ANR59" s="186"/>
      <c r="ANS59" s="186"/>
      <c r="ANT59" s="186"/>
      <c r="ANU59" s="186"/>
      <c r="ANV59" s="186"/>
      <c r="ANW59" s="186"/>
      <c r="ANX59" s="186"/>
      <c r="ANY59" s="186"/>
      <c r="ANZ59" s="186"/>
      <c r="AOA59" s="186"/>
      <c r="AOB59" s="186"/>
      <c r="AOC59" s="186"/>
      <c r="AOD59" s="186"/>
      <c r="AOE59" s="186"/>
      <c r="AOF59" s="186"/>
      <c r="AOG59" s="186"/>
      <c r="AOH59" s="186"/>
      <c r="AOI59" s="186"/>
      <c r="AOJ59" s="186"/>
      <c r="AOK59" s="186"/>
      <c r="AOL59" s="186"/>
      <c r="AOM59" s="186"/>
      <c r="AON59" s="186"/>
      <c r="AOO59" s="186"/>
      <c r="AOP59" s="186"/>
      <c r="AOQ59" s="186"/>
      <c r="AOR59" s="186"/>
      <c r="AOS59" s="186"/>
      <c r="AOT59" s="186"/>
      <c r="AOU59" s="186"/>
      <c r="AOV59" s="186"/>
      <c r="AOW59" s="186"/>
      <c r="AOX59" s="186"/>
      <c r="AOY59" s="186"/>
      <c r="AOZ59" s="186"/>
      <c r="APA59" s="186"/>
      <c r="APB59" s="186"/>
      <c r="APC59" s="186"/>
      <c r="APD59" s="186"/>
      <c r="APE59" s="186"/>
      <c r="APF59" s="186"/>
      <c r="APG59" s="186"/>
      <c r="APH59" s="186"/>
      <c r="API59" s="186"/>
      <c r="APJ59" s="186"/>
      <c r="APK59" s="186"/>
      <c r="APL59" s="186"/>
      <c r="APM59" s="186"/>
      <c r="APN59" s="186"/>
      <c r="APO59" s="186"/>
      <c r="APP59" s="186"/>
      <c r="APQ59" s="186"/>
      <c r="APR59" s="186"/>
      <c r="APS59" s="186"/>
      <c r="APT59" s="186"/>
      <c r="APU59" s="186"/>
      <c r="APV59" s="186"/>
      <c r="APW59" s="186"/>
      <c r="APX59" s="186"/>
      <c r="APY59" s="186"/>
      <c r="APZ59" s="186"/>
      <c r="AQA59" s="186"/>
      <c r="AQB59" s="186"/>
      <c r="AQC59" s="186"/>
      <c r="AQD59" s="186"/>
      <c r="AQE59" s="186"/>
      <c r="AQF59" s="186"/>
      <c r="AQG59" s="186"/>
      <c r="AQH59" s="186"/>
      <c r="AQI59" s="186"/>
      <c r="AQJ59" s="186"/>
      <c r="AQK59" s="186"/>
      <c r="AQL59" s="186"/>
      <c r="AQM59" s="186"/>
      <c r="AQN59" s="186"/>
      <c r="AQO59" s="186"/>
      <c r="AQP59" s="186"/>
      <c r="AQQ59" s="186"/>
      <c r="AQR59" s="186"/>
      <c r="AQS59" s="186"/>
      <c r="AQT59" s="186"/>
      <c r="AQU59" s="186"/>
      <c r="AQV59" s="186"/>
      <c r="AQW59" s="186"/>
      <c r="AQX59" s="186"/>
      <c r="AQY59" s="186"/>
      <c r="AQZ59" s="186"/>
      <c r="ARA59" s="186"/>
      <c r="ARB59" s="186"/>
      <c r="ARC59" s="186"/>
      <c r="ARD59" s="186"/>
      <c r="ARE59" s="186"/>
      <c r="ARF59" s="186"/>
      <c r="ARG59" s="186"/>
      <c r="ARH59" s="186"/>
      <c r="ARI59" s="186"/>
      <c r="ARJ59" s="186"/>
      <c r="ARK59" s="186"/>
      <c r="ARL59" s="186"/>
      <c r="ARM59" s="186"/>
      <c r="ARN59" s="186"/>
      <c r="ARO59" s="186"/>
      <c r="ARP59" s="186"/>
      <c r="ARQ59" s="186"/>
      <c r="ARR59" s="186"/>
      <c r="ARS59" s="186"/>
      <c r="ART59" s="186"/>
      <c r="ARU59" s="186"/>
      <c r="ARV59" s="186"/>
      <c r="ARW59" s="186"/>
      <c r="ARX59" s="186"/>
      <c r="ARY59" s="186"/>
      <c r="ARZ59" s="186"/>
      <c r="ASA59" s="186"/>
      <c r="ASB59" s="186"/>
      <c r="ASC59" s="186"/>
      <c r="ASD59" s="186"/>
      <c r="ASE59" s="186"/>
      <c r="ASF59" s="186"/>
      <c r="ASG59" s="186"/>
      <c r="ASH59" s="186"/>
      <c r="ASI59" s="186"/>
      <c r="ASJ59" s="186"/>
      <c r="ASK59" s="186"/>
      <c r="ASL59" s="186"/>
      <c r="ASM59" s="186"/>
      <c r="ASN59" s="186"/>
      <c r="ASO59" s="186"/>
      <c r="ASP59" s="186"/>
      <c r="ASQ59" s="186"/>
      <c r="ASR59" s="186"/>
      <c r="ASS59" s="186"/>
      <c r="AST59" s="186"/>
      <c r="ASU59" s="186"/>
      <c r="ASV59" s="186"/>
      <c r="ASW59" s="186"/>
      <c r="ASX59" s="186"/>
      <c r="ASY59" s="186"/>
      <c r="ASZ59" s="186"/>
      <c r="ATA59" s="186"/>
      <c r="ATB59" s="186"/>
      <c r="ATC59" s="186"/>
      <c r="ATD59" s="186"/>
      <c r="ATE59" s="186"/>
      <c r="ATF59" s="186"/>
      <c r="ATG59" s="186"/>
      <c r="ATH59" s="186"/>
      <c r="ATI59" s="186"/>
      <c r="ATJ59" s="186"/>
      <c r="ATK59" s="186"/>
      <c r="ATL59" s="186"/>
      <c r="ATM59" s="186"/>
      <c r="ATN59" s="186"/>
      <c r="ATO59" s="186"/>
      <c r="ATP59" s="186"/>
      <c r="ATQ59" s="186"/>
      <c r="ATR59" s="186"/>
      <c r="ATS59" s="186"/>
      <c r="ATT59" s="186"/>
      <c r="ATU59" s="186"/>
      <c r="ATV59" s="186"/>
      <c r="ATW59" s="186"/>
      <c r="ATX59" s="186"/>
      <c r="ATY59" s="186"/>
      <c r="ATZ59" s="186"/>
      <c r="AUA59" s="186"/>
      <c r="AUB59" s="186"/>
      <c r="AUC59" s="186"/>
      <c r="AUD59" s="186"/>
      <c r="AUE59" s="186"/>
      <c r="AUF59" s="186"/>
      <c r="AUG59" s="186"/>
      <c r="AUH59" s="186"/>
      <c r="AUI59" s="186"/>
      <c r="AUJ59" s="186"/>
      <c r="AUK59" s="186"/>
      <c r="AUL59" s="186"/>
      <c r="AUM59" s="186"/>
      <c r="AUN59" s="186"/>
      <c r="AUO59" s="186"/>
      <c r="AUP59" s="186"/>
      <c r="AUQ59" s="186"/>
      <c r="AUR59" s="186"/>
      <c r="AUS59" s="186"/>
      <c r="AUT59" s="186"/>
      <c r="AUU59" s="186"/>
      <c r="AUV59" s="186"/>
      <c r="AUW59" s="186"/>
      <c r="AUX59" s="186"/>
      <c r="AUY59" s="186"/>
      <c r="AUZ59" s="186"/>
      <c r="AVA59" s="186"/>
      <c r="AVB59" s="186"/>
      <c r="AVC59" s="186"/>
      <c r="AVD59" s="186"/>
      <c r="AVE59" s="186"/>
      <c r="AVF59" s="186"/>
      <c r="AVG59" s="186"/>
      <c r="AVH59" s="186"/>
      <c r="AVI59" s="186"/>
      <c r="AVJ59" s="186"/>
      <c r="AVK59" s="186"/>
      <c r="AVL59" s="186"/>
      <c r="AVM59" s="186"/>
      <c r="AVN59" s="186"/>
      <c r="AVO59" s="186"/>
      <c r="AVP59" s="186"/>
      <c r="AVQ59" s="186"/>
      <c r="AVR59" s="186"/>
      <c r="AVS59" s="186"/>
      <c r="AVT59" s="186"/>
      <c r="AVU59" s="186"/>
      <c r="AVV59" s="186"/>
      <c r="AVW59" s="186"/>
      <c r="AVX59" s="186"/>
      <c r="AVY59" s="186"/>
      <c r="AVZ59" s="186"/>
      <c r="AWA59" s="186"/>
      <c r="AWB59" s="186"/>
      <c r="AWC59" s="186"/>
      <c r="AWD59" s="186"/>
      <c r="AWE59" s="186"/>
      <c r="AWF59" s="186"/>
      <c r="AWG59" s="186"/>
      <c r="AWH59" s="186"/>
      <c r="AWI59" s="186"/>
      <c r="AWJ59" s="186"/>
      <c r="AWK59" s="186"/>
      <c r="AWL59" s="186"/>
      <c r="AWM59" s="186"/>
      <c r="AWN59" s="186"/>
      <c r="AWO59" s="186"/>
      <c r="AWP59" s="186"/>
      <c r="AWQ59" s="186"/>
      <c r="AWR59" s="186"/>
      <c r="AWS59" s="186"/>
      <c r="AWT59" s="186"/>
      <c r="AWU59" s="186"/>
      <c r="AWV59" s="186"/>
      <c r="AWW59" s="186"/>
      <c r="AWX59" s="186"/>
      <c r="AWY59" s="186"/>
      <c r="AWZ59" s="186"/>
      <c r="AXA59" s="186"/>
      <c r="AXB59" s="186"/>
      <c r="AXC59" s="186"/>
      <c r="AXD59" s="186"/>
      <c r="AXE59" s="186"/>
      <c r="AXF59" s="186"/>
      <c r="AXG59" s="186"/>
      <c r="AXH59" s="186"/>
      <c r="AXI59" s="186"/>
      <c r="AXJ59" s="186"/>
      <c r="AXK59" s="186"/>
      <c r="AXL59" s="186"/>
      <c r="AXM59" s="186"/>
      <c r="AXN59" s="186"/>
      <c r="AXO59" s="186"/>
      <c r="AXP59" s="186"/>
      <c r="AXQ59" s="186"/>
      <c r="AXR59" s="186"/>
      <c r="AXS59" s="186"/>
      <c r="AXT59" s="186"/>
      <c r="AXU59" s="186"/>
      <c r="AXV59" s="186"/>
      <c r="AXW59" s="186"/>
      <c r="AXX59" s="186"/>
      <c r="AXY59" s="186"/>
      <c r="AXZ59" s="186"/>
      <c r="AYA59" s="186"/>
      <c r="AYB59" s="186"/>
      <c r="AYC59" s="186"/>
      <c r="AYD59" s="186"/>
      <c r="AYE59" s="186"/>
      <c r="AYF59" s="186"/>
      <c r="AYG59" s="186"/>
      <c r="AYH59" s="186"/>
      <c r="AYI59" s="186"/>
      <c r="AYJ59" s="186"/>
      <c r="AYK59" s="186"/>
      <c r="AYL59" s="186"/>
      <c r="AYM59" s="186"/>
      <c r="AYN59" s="186"/>
      <c r="AYO59" s="186"/>
      <c r="AYP59" s="186"/>
      <c r="AYQ59" s="186"/>
      <c r="AYR59" s="186"/>
      <c r="AYS59" s="186"/>
      <c r="AYT59" s="186"/>
      <c r="AYU59" s="186"/>
      <c r="AYV59" s="186"/>
      <c r="AYW59" s="186"/>
      <c r="AYX59" s="186"/>
      <c r="AYY59" s="186"/>
      <c r="AYZ59" s="186"/>
      <c r="AZA59" s="186"/>
      <c r="AZB59" s="186"/>
      <c r="AZC59" s="186"/>
      <c r="AZD59" s="186"/>
      <c r="AZE59" s="186"/>
      <c r="AZF59" s="186"/>
      <c r="AZG59" s="186"/>
      <c r="AZH59" s="204"/>
      <c r="AZI59" s="186"/>
      <c r="AZJ59" s="204"/>
      <c r="AZK59" s="204"/>
    </row>
    <row r="60" spans="1:1363" s="199" customFormat="1" ht="30.75" customHeight="1" thickTop="1" thickBot="1">
      <c r="A60" s="185">
        <v>52</v>
      </c>
      <c r="B60" s="56" t="s">
        <v>301</v>
      </c>
      <c r="C60" s="57" t="s">
        <v>102</v>
      </c>
      <c r="D60" s="58" t="s">
        <v>302</v>
      </c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186"/>
      <c r="Q60" s="186">
        <v>845000</v>
      </c>
      <c r="R60" s="186">
        <v>522880</v>
      </c>
      <c r="S60" s="187"/>
      <c r="T60" s="186">
        <f>Volume!CN49</f>
        <v>24119.999999999996</v>
      </c>
      <c r="U60" s="186">
        <f>Volume!CO49</f>
        <v>208032</v>
      </c>
      <c r="V60" s="186">
        <f>Volume!CP49</f>
        <v>96000</v>
      </c>
      <c r="W60" s="186">
        <f>Volume!CQ49</f>
        <v>36096</v>
      </c>
      <c r="X60" s="188">
        <f>Volume!CR49</f>
        <v>271824</v>
      </c>
      <c r="Y60" s="186">
        <f>Volume!CS49</f>
        <v>490847.99999999994</v>
      </c>
      <c r="Z60" s="186">
        <f>Volume!CT49</f>
        <v>338460</v>
      </c>
      <c r="AA60" s="186">
        <f>Volume!CU49</f>
        <v>457272.00000000006</v>
      </c>
      <c r="AB60" s="186">
        <f>Volume!CV49</f>
        <v>374784</v>
      </c>
      <c r="AC60" s="186">
        <f>Volume!CW49</f>
        <v>307655.99999999994</v>
      </c>
      <c r="AD60" s="186">
        <f>Volume!CX49</f>
        <v>456444.00000000006</v>
      </c>
      <c r="AE60" s="186">
        <f>Volume!CY49</f>
        <v>447432</v>
      </c>
      <c r="AF60" s="70">
        <f t="shared" si="1"/>
        <v>3276816</v>
      </c>
      <c r="AG60" s="147"/>
      <c r="AH60" s="196" t="s">
        <v>303</v>
      </c>
      <c r="AI60" s="197" t="s">
        <v>259</v>
      </c>
      <c r="AJ60" s="189" t="s">
        <v>296</v>
      </c>
      <c r="AK60" s="198">
        <v>45719</v>
      </c>
      <c r="AL60" s="190" t="s">
        <v>303</v>
      </c>
      <c r="AM60" s="191">
        <v>0</v>
      </c>
      <c r="AN60" s="191">
        <v>0</v>
      </c>
      <c r="AO60" s="191">
        <v>0</v>
      </c>
      <c r="AP60" s="191">
        <v>2910050</v>
      </c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>
        <v>0</v>
      </c>
      <c r="BE60" s="200">
        <v>0</v>
      </c>
      <c r="BF60" s="200">
        <v>0</v>
      </c>
      <c r="BG60" s="200">
        <v>0</v>
      </c>
      <c r="BH60" s="200">
        <v>0</v>
      </c>
      <c r="BI60" s="200">
        <v>0</v>
      </c>
      <c r="BJ60" s="200">
        <v>0</v>
      </c>
      <c r="BK60" s="200">
        <v>0</v>
      </c>
      <c r="BL60" s="200">
        <v>0</v>
      </c>
      <c r="BM60" s="200">
        <v>0</v>
      </c>
      <c r="BN60" s="200">
        <v>0</v>
      </c>
      <c r="BO60" s="200">
        <v>0</v>
      </c>
      <c r="BP60" s="200">
        <v>0</v>
      </c>
      <c r="BQ60" s="200">
        <v>0</v>
      </c>
      <c r="BR60" s="200">
        <v>0</v>
      </c>
      <c r="BS60" s="200">
        <v>0</v>
      </c>
      <c r="BT60" s="200">
        <v>0</v>
      </c>
      <c r="BU60" s="200">
        <v>0</v>
      </c>
      <c r="BV60" s="200">
        <v>0</v>
      </c>
      <c r="BW60" s="200">
        <v>0</v>
      </c>
      <c r="BX60" s="200">
        <v>0</v>
      </c>
      <c r="BY60" s="200">
        <v>0</v>
      </c>
      <c r="BZ60" s="200">
        <v>0</v>
      </c>
      <c r="CA60" s="200">
        <v>0</v>
      </c>
      <c r="CB60" s="193">
        <v>0</v>
      </c>
      <c r="CC60" s="193">
        <v>0</v>
      </c>
      <c r="CD60" s="193">
        <v>0</v>
      </c>
      <c r="CE60" s="193">
        <v>450000</v>
      </c>
      <c r="CF60" s="193">
        <v>351000</v>
      </c>
      <c r="CG60" s="193">
        <v>392600</v>
      </c>
      <c r="CH60" s="193">
        <v>196500</v>
      </c>
      <c r="CI60" s="193">
        <v>337500</v>
      </c>
      <c r="CJ60" s="193">
        <v>171000</v>
      </c>
      <c r="CK60" s="193">
        <v>434800</v>
      </c>
      <c r="CL60" s="193">
        <v>375050</v>
      </c>
      <c r="CM60" s="201">
        <v>201600</v>
      </c>
      <c r="CN60" s="202">
        <v>0</v>
      </c>
      <c r="CO60" s="202">
        <v>189000</v>
      </c>
      <c r="CP60" s="202">
        <v>24000</v>
      </c>
      <c r="CQ60" s="202">
        <v>0</v>
      </c>
      <c r="CR60" s="202">
        <v>0</v>
      </c>
      <c r="CS60" s="202">
        <v>0</v>
      </c>
      <c r="CT60" s="202">
        <v>84000</v>
      </c>
      <c r="CU60" s="202">
        <v>84000</v>
      </c>
      <c r="CV60" s="202">
        <v>105000</v>
      </c>
      <c r="CW60" s="202">
        <v>180600</v>
      </c>
      <c r="CX60" s="202">
        <v>151200</v>
      </c>
      <c r="CY60" s="202">
        <v>168000</v>
      </c>
      <c r="CZ60" s="71"/>
      <c r="DA60" s="6"/>
      <c r="DB60" s="6"/>
      <c r="DC60" s="186"/>
      <c r="DD60" s="186"/>
      <c r="DE60" s="186"/>
      <c r="DF60" s="186"/>
      <c r="DG60" s="186"/>
      <c r="DH60" s="186"/>
      <c r="DI60" s="186"/>
      <c r="DJ60" s="186"/>
      <c r="DK60" s="186"/>
      <c r="DL60" s="186"/>
      <c r="DM60" s="186"/>
      <c r="DN60" s="186"/>
      <c r="DO60" s="186"/>
      <c r="DP60" s="186"/>
      <c r="DQ60" s="186"/>
      <c r="DR60" s="186"/>
      <c r="DS60" s="186"/>
      <c r="DT60" s="186"/>
      <c r="DU60" s="186"/>
      <c r="DV60" s="186"/>
      <c r="DW60" s="186"/>
      <c r="DX60" s="186"/>
      <c r="DY60" s="186"/>
      <c r="DZ60" s="186"/>
      <c r="EA60" s="186"/>
      <c r="EB60" s="186"/>
      <c r="EC60" s="186"/>
      <c r="ED60" s="186"/>
      <c r="EE60" s="186"/>
      <c r="EF60" s="186"/>
      <c r="EG60" s="186"/>
      <c r="EH60" s="186"/>
      <c r="EI60" s="186"/>
      <c r="EJ60" s="186"/>
      <c r="EK60" s="186"/>
      <c r="EL60" s="186"/>
      <c r="EM60" s="186"/>
      <c r="EN60" s="186"/>
      <c r="EO60" s="186"/>
      <c r="EP60" s="186"/>
      <c r="EQ60" s="186"/>
      <c r="ER60" s="186"/>
      <c r="ES60" s="186"/>
      <c r="ET60" s="186"/>
      <c r="EU60" s="186"/>
      <c r="EV60" s="186"/>
      <c r="EW60" s="186"/>
      <c r="EX60" s="186"/>
      <c r="EY60" s="186"/>
      <c r="EZ60" s="186"/>
      <c r="FA60" s="186"/>
      <c r="FB60" s="186"/>
      <c r="FC60" s="186"/>
      <c r="FD60" s="186"/>
      <c r="FE60" s="186"/>
      <c r="FF60" s="186"/>
      <c r="FG60" s="186"/>
      <c r="FH60" s="186"/>
      <c r="FI60" s="186"/>
      <c r="FJ60" s="186"/>
      <c r="FK60" s="186"/>
      <c r="FL60" s="186"/>
      <c r="FM60" s="186"/>
      <c r="FN60" s="186"/>
      <c r="FO60" s="186"/>
      <c r="FP60" s="186"/>
      <c r="FQ60" s="186"/>
      <c r="FR60" s="186"/>
      <c r="FS60" s="186"/>
      <c r="FT60" s="186"/>
      <c r="FU60" s="186"/>
      <c r="FV60" s="186"/>
      <c r="FW60" s="186"/>
      <c r="FX60" s="186"/>
      <c r="FY60" s="186"/>
      <c r="FZ60" s="186"/>
      <c r="GA60" s="186"/>
      <c r="GB60" s="186"/>
      <c r="GC60" s="186"/>
      <c r="GD60" s="186"/>
      <c r="GE60" s="186"/>
      <c r="GF60" s="186"/>
      <c r="GG60" s="186"/>
      <c r="GH60" s="186"/>
      <c r="GI60" s="186"/>
      <c r="GJ60" s="186"/>
      <c r="GK60" s="186"/>
      <c r="GL60" s="186"/>
      <c r="GM60" s="186"/>
      <c r="GN60" s="186"/>
      <c r="GO60" s="186"/>
      <c r="GP60" s="186"/>
      <c r="GQ60" s="186"/>
      <c r="GR60" s="186"/>
      <c r="GS60" s="186"/>
      <c r="GT60" s="186"/>
      <c r="GU60" s="186"/>
      <c r="GV60" s="186"/>
      <c r="GW60" s="186"/>
      <c r="GX60" s="186"/>
      <c r="GY60" s="186"/>
      <c r="GZ60" s="186"/>
      <c r="HA60" s="186"/>
      <c r="HB60" s="186"/>
      <c r="HC60" s="186"/>
      <c r="HD60" s="186"/>
      <c r="HE60" s="186"/>
      <c r="HF60" s="186"/>
      <c r="HG60" s="186"/>
      <c r="HH60" s="186"/>
      <c r="HI60" s="186"/>
      <c r="HJ60" s="186"/>
      <c r="HK60" s="186"/>
      <c r="HL60" s="186"/>
      <c r="HM60" s="186"/>
      <c r="HN60" s="186"/>
      <c r="HO60" s="186"/>
      <c r="HP60" s="186"/>
      <c r="HQ60" s="186"/>
      <c r="HR60" s="186"/>
      <c r="HS60" s="186"/>
      <c r="HT60" s="186"/>
      <c r="HU60" s="186"/>
      <c r="HV60" s="186"/>
      <c r="HW60" s="186"/>
      <c r="HX60" s="186"/>
      <c r="HY60" s="186"/>
      <c r="HZ60" s="186"/>
      <c r="IA60" s="186"/>
      <c r="IB60" s="186"/>
      <c r="IC60" s="186"/>
      <c r="ID60" s="186"/>
      <c r="IE60" s="186"/>
      <c r="IF60" s="186"/>
      <c r="IG60" s="186"/>
      <c r="IH60" s="186"/>
      <c r="II60" s="186"/>
      <c r="IJ60" s="186"/>
      <c r="IK60" s="186"/>
      <c r="IL60" s="186"/>
      <c r="IM60" s="186"/>
      <c r="IN60" s="186"/>
      <c r="IO60" s="186"/>
      <c r="IP60" s="186"/>
      <c r="IQ60" s="186"/>
      <c r="IR60" s="186"/>
      <c r="IS60" s="186"/>
      <c r="IT60" s="186"/>
      <c r="IU60" s="186"/>
      <c r="IV60" s="186"/>
      <c r="IW60" s="186"/>
      <c r="IX60" s="186"/>
      <c r="IY60" s="186"/>
      <c r="IZ60" s="186"/>
      <c r="JA60" s="186"/>
      <c r="JB60" s="186"/>
      <c r="JC60" s="186"/>
      <c r="JD60" s="186"/>
      <c r="JE60" s="186"/>
      <c r="JF60" s="186"/>
      <c r="JG60" s="186"/>
      <c r="JH60" s="186"/>
      <c r="JI60" s="186"/>
      <c r="JJ60" s="186"/>
      <c r="JK60" s="186"/>
      <c r="JL60" s="186"/>
      <c r="JM60" s="186"/>
      <c r="JN60" s="186"/>
      <c r="JO60" s="186"/>
      <c r="JP60" s="186"/>
      <c r="JQ60" s="186"/>
      <c r="JR60" s="186"/>
      <c r="JS60" s="186"/>
      <c r="JT60" s="186"/>
      <c r="JU60" s="186"/>
      <c r="JV60" s="186"/>
      <c r="JW60" s="186"/>
      <c r="JX60" s="186"/>
      <c r="JY60" s="186"/>
      <c r="JZ60" s="186"/>
      <c r="KA60" s="186"/>
      <c r="KB60" s="186"/>
      <c r="KC60" s="186"/>
      <c r="KD60" s="186"/>
      <c r="KE60" s="186"/>
      <c r="KF60" s="186"/>
      <c r="KG60" s="186"/>
      <c r="KH60" s="186"/>
      <c r="KI60" s="186"/>
      <c r="KJ60" s="186"/>
      <c r="KK60" s="186"/>
      <c r="KL60" s="186"/>
      <c r="KM60" s="186"/>
      <c r="KN60" s="186"/>
      <c r="KO60" s="186"/>
      <c r="KP60" s="186"/>
      <c r="KQ60" s="186"/>
      <c r="KR60" s="186"/>
      <c r="KS60" s="186"/>
      <c r="KT60" s="186"/>
      <c r="KU60" s="186"/>
      <c r="KV60" s="186"/>
      <c r="KW60" s="186"/>
      <c r="KX60" s="186"/>
      <c r="KY60" s="186"/>
      <c r="KZ60" s="186"/>
      <c r="LA60" s="186"/>
      <c r="LB60" s="186"/>
      <c r="LC60" s="186"/>
      <c r="LD60" s="186"/>
      <c r="LE60" s="186"/>
      <c r="LF60" s="186"/>
      <c r="LG60" s="186"/>
      <c r="LH60" s="186"/>
      <c r="LI60" s="186"/>
      <c r="LJ60" s="186"/>
      <c r="LK60" s="186"/>
      <c r="LL60" s="186"/>
      <c r="LM60" s="186"/>
      <c r="LN60" s="186"/>
      <c r="LO60" s="186"/>
      <c r="LP60" s="186"/>
      <c r="LQ60" s="186"/>
      <c r="LR60" s="186"/>
      <c r="LS60" s="186"/>
      <c r="LT60" s="186"/>
      <c r="LU60" s="186"/>
      <c r="LV60" s="186"/>
      <c r="LW60" s="186"/>
      <c r="LX60" s="186"/>
      <c r="LY60" s="186"/>
      <c r="LZ60" s="186"/>
      <c r="MA60" s="186"/>
      <c r="MB60" s="186"/>
      <c r="MC60" s="186"/>
      <c r="MD60" s="186"/>
      <c r="ME60" s="186"/>
      <c r="MF60" s="186"/>
      <c r="MG60" s="186"/>
      <c r="MH60" s="186"/>
      <c r="MI60" s="186"/>
      <c r="MJ60" s="186"/>
      <c r="MK60" s="186"/>
      <c r="ML60" s="186"/>
      <c r="MM60" s="186"/>
      <c r="MN60" s="186"/>
      <c r="MO60" s="186"/>
      <c r="MP60" s="186"/>
      <c r="MQ60" s="186"/>
      <c r="MR60" s="186"/>
      <c r="MS60" s="186"/>
      <c r="MT60" s="186"/>
      <c r="MU60" s="186"/>
      <c r="MV60" s="186"/>
      <c r="MW60" s="186"/>
      <c r="MX60" s="186"/>
      <c r="MY60" s="186"/>
      <c r="MZ60" s="186"/>
      <c r="NA60" s="186"/>
      <c r="NB60" s="186"/>
      <c r="NC60" s="186"/>
      <c r="ND60" s="186"/>
      <c r="NE60" s="186"/>
      <c r="NF60" s="186"/>
      <c r="NG60" s="186"/>
      <c r="NH60" s="186"/>
      <c r="NI60" s="186"/>
      <c r="NJ60" s="186"/>
      <c r="NK60" s="186"/>
      <c r="NL60" s="186"/>
      <c r="NM60" s="186"/>
      <c r="NN60" s="186"/>
      <c r="NO60" s="186"/>
      <c r="NP60" s="186"/>
      <c r="NQ60" s="186"/>
      <c r="NR60" s="186"/>
      <c r="NS60" s="186"/>
      <c r="NT60" s="186"/>
      <c r="NU60" s="186"/>
      <c r="NV60" s="186"/>
      <c r="NW60" s="186"/>
      <c r="NX60" s="186"/>
      <c r="NY60" s="186"/>
      <c r="NZ60" s="186"/>
      <c r="OA60" s="186"/>
      <c r="OB60" s="186"/>
      <c r="OC60" s="186"/>
      <c r="OD60" s="186"/>
      <c r="OE60" s="186"/>
      <c r="OF60" s="186"/>
      <c r="OG60" s="186"/>
      <c r="OH60" s="186"/>
      <c r="OI60" s="186"/>
      <c r="OJ60" s="186"/>
      <c r="OK60" s="186"/>
      <c r="OL60" s="186"/>
      <c r="OM60" s="186"/>
      <c r="ON60" s="186"/>
      <c r="OO60" s="186"/>
      <c r="OP60" s="186"/>
      <c r="OQ60" s="186"/>
      <c r="OR60" s="186"/>
      <c r="OS60" s="186"/>
      <c r="OT60" s="186"/>
      <c r="OU60" s="186"/>
      <c r="OV60" s="186"/>
      <c r="OW60" s="186"/>
      <c r="OX60" s="186"/>
      <c r="OY60" s="186"/>
      <c r="OZ60" s="186"/>
      <c r="PA60" s="186"/>
      <c r="PB60" s="186"/>
      <c r="PC60" s="186"/>
      <c r="PD60" s="186"/>
      <c r="PE60" s="186"/>
      <c r="PF60" s="186"/>
      <c r="PG60" s="186"/>
      <c r="PH60" s="186"/>
      <c r="PI60" s="186"/>
      <c r="PJ60" s="186"/>
      <c r="PK60" s="186"/>
      <c r="PL60" s="186"/>
      <c r="PM60" s="186"/>
      <c r="PN60" s="186"/>
      <c r="PO60" s="186"/>
      <c r="PP60" s="186"/>
      <c r="PQ60" s="186"/>
      <c r="PR60" s="186"/>
      <c r="PS60" s="186"/>
      <c r="PT60" s="186"/>
      <c r="PU60" s="186"/>
      <c r="PV60" s="186"/>
      <c r="PW60" s="186"/>
      <c r="PX60" s="186"/>
      <c r="PY60" s="186"/>
      <c r="PZ60" s="186"/>
      <c r="QA60" s="186"/>
      <c r="QB60" s="186"/>
      <c r="QC60" s="186"/>
      <c r="QD60" s="186"/>
      <c r="QE60" s="186"/>
      <c r="QF60" s="186"/>
      <c r="QG60" s="186"/>
      <c r="QH60" s="186"/>
      <c r="QI60" s="186"/>
      <c r="QJ60" s="186"/>
      <c r="QK60" s="186"/>
      <c r="QL60" s="186"/>
      <c r="QM60" s="186"/>
      <c r="QN60" s="186"/>
      <c r="QO60" s="186"/>
      <c r="QP60" s="186"/>
      <c r="QQ60" s="186"/>
      <c r="QR60" s="186"/>
      <c r="QS60" s="186"/>
      <c r="QT60" s="186"/>
      <c r="QU60" s="186"/>
      <c r="QV60" s="186"/>
      <c r="QW60" s="186"/>
      <c r="QX60" s="186"/>
      <c r="QY60" s="186"/>
      <c r="QZ60" s="186"/>
      <c r="RA60" s="186"/>
      <c r="RB60" s="186"/>
      <c r="RC60" s="186"/>
      <c r="RD60" s="186"/>
      <c r="RE60" s="186"/>
      <c r="RF60" s="186"/>
      <c r="RG60" s="186"/>
      <c r="RH60" s="186"/>
      <c r="RI60" s="186"/>
      <c r="RJ60" s="186"/>
      <c r="RK60" s="186"/>
      <c r="RL60" s="186"/>
      <c r="RM60" s="186"/>
      <c r="RN60" s="186"/>
      <c r="RO60" s="186"/>
      <c r="RP60" s="186"/>
      <c r="RQ60" s="186"/>
      <c r="RR60" s="186"/>
      <c r="RS60" s="186"/>
      <c r="RT60" s="186"/>
      <c r="RU60" s="186"/>
      <c r="RV60" s="186"/>
      <c r="RW60" s="186"/>
      <c r="RX60" s="186"/>
      <c r="RY60" s="186"/>
      <c r="RZ60" s="186"/>
      <c r="SA60" s="186"/>
      <c r="SB60" s="186"/>
      <c r="SC60" s="186"/>
      <c r="SD60" s="186"/>
      <c r="SE60" s="186"/>
      <c r="SF60" s="186"/>
      <c r="SG60" s="186"/>
      <c r="SH60" s="186"/>
      <c r="SI60" s="186"/>
      <c r="SJ60" s="186"/>
      <c r="SK60" s="186"/>
      <c r="SL60" s="186"/>
      <c r="SM60" s="186"/>
      <c r="SN60" s="186"/>
      <c r="SO60" s="186"/>
      <c r="SP60" s="186"/>
      <c r="SQ60" s="186"/>
      <c r="SR60" s="186"/>
      <c r="SS60" s="186"/>
      <c r="ST60" s="186"/>
      <c r="SU60" s="186"/>
      <c r="SV60" s="186"/>
      <c r="SW60" s="186"/>
      <c r="SX60" s="186"/>
      <c r="SY60" s="186"/>
      <c r="SZ60" s="186"/>
      <c r="TA60" s="186"/>
      <c r="TB60" s="186"/>
      <c r="TC60" s="186"/>
      <c r="TD60" s="186"/>
      <c r="TE60" s="186"/>
      <c r="TF60" s="186"/>
      <c r="TG60" s="186"/>
      <c r="TH60" s="186"/>
      <c r="TI60" s="186"/>
      <c r="TJ60" s="186"/>
      <c r="TK60" s="186"/>
      <c r="TL60" s="186"/>
      <c r="TM60" s="186"/>
      <c r="TN60" s="186"/>
      <c r="TO60" s="186"/>
      <c r="TP60" s="186"/>
      <c r="TQ60" s="186"/>
      <c r="TR60" s="186"/>
      <c r="TS60" s="186"/>
      <c r="TT60" s="186"/>
      <c r="TU60" s="186"/>
      <c r="TV60" s="186"/>
      <c r="TW60" s="186"/>
      <c r="TX60" s="186"/>
      <c r="TY60" s="186"/>
      <c r="TZ60" s="186"/>
      <c r="UA60" s="186"/>
      <c r="UB60" s="186"/>
      <c r="UC60" s="186"/>
      <c r="UD60" s="186"/>
      <c r="UE60" s="186"/>
      <c r="UF60" s="186"/>
      <c r="UG60" s="186"/>
      <c r="UH60" s="186"/>
      <c r="UI60" s="186"/>
      <c r="UJ60" s="186"/>
      <c r="UK60" s="186"/>
      <c r="UL60" s="186"/>
      <c r="UM60" s="186"/>
      <c r="UN60" s="186"/>
      <c r="UO60" s="186"/>
      <c r="UP60" s="186"/>
      <c r="UQ60" s="186"/>
      <c r="UR60" s="186"/>
      <c r="US60" s="186"/>
      <c r="UT60" s="186"/>
      <c r="UU60" s="186"/>
      <c r="UV60" s="186"/>
      <c r="UW60" s="186"/>
      <c r="UX60" s="186"/>
      <c r="UY60" s="186"/>
      <c r="UZ60" s="186"/>
      <c r="VA60" s="186"/>
      <c r="VB60" s="186"/>
      <c r="VC60" s="186"/>
      <c r="VD60" s="186"/>
      <c r="VE60" s="186"/>
      <c r="VF60" s="186"/>
      <c r="VG60" s="186"/>
      <c r="VH60" s="186"/>
      <c r="VI60" s="186"/>
      <c r="VJ60" s="186"/>
      <c r="VK60" s="186"/>
      <c r="VL60" s="186"/>
      <c r="VM60" s="186"/>
      <c r="VN60" s="186"/>
      <c r="VO60" s="186"/>
      <c r="VP60" s="186"/>
      <c r="VQ60" s="186"/>
      <c r="VR60" s="186"/>
      <c r="VS60" s="186"/>
      <c r="VT60" s="186"/>
      <c r="VU60" s="186"/>
      <c r="VV60" s="186"/>
      <c r="VW60" s="186"/>
      <c r="VX60" s="186"/>
      <c r="VY60" s="186"/>
      <c r="VZ60" s="186"/>
      <c r="WA60" s="186"/>
      <c r="WB60" s="186"/>
      <c r="WC60" s="186"/>
      <c r="WD60" s="186"/>
      <c r="WE60" s="186"/>
      <c r="WF60" s="186"/>
      <c r="WG60" s="186"/>
      <c r="WH60" s="186"/>
      <c r="WI60" s="186"/>
      <c r="WJ60" s="186"/>
      <c r="WK60" s="186"/>
      <c r="WL60" s="186"/>
      <c r="WM60" s="186"/>
      <c r="WN60" s="186"/>
      <c r="WO60" s="186"/>
      <c r="WP60" s="186"/>
      <c r="WQ60" s="186"/>
      <c r="WR60" s="186"/>
      <c r="WS60" s="186"/>
      <c r="WT60" s="186"/>
      <c r="WU60" s="186"/>
      <c r="WV60" s="186"/>
      <c r="WW60" s="186"/>
      <c r="WX60" s="186"/>
      <c r="WY60" s="186"/>
      <c r="WZ60" s="186"/>
      <c r="XA60" s="186"/>
      <c r="XB60" s="186"/>
      <c r="XC60" s="186"/>
      <c r="XD60" s="186"/>
      <c r="XE60" s="186"/>
      <c r="XF60" s="186"/>
      <c r="XG60" s="186"/>
      <c r="XH60" s="186"/>
      <c r="XI60" s="186"/>
      <c r="XJ60" s="186"/>
      <c r="XK60" s="186"/>
      <c r="XL60" s="186"/>
      <c r="XM60" s="186"/>
      <c r="XN60" s="186"/>
      <c r="XO60" s="186"/>
      <c r="XP60" s="186"/>
      <c r="XQ60" s="186"/>
      <c r="XR60" s="186"/>
      <c r="XS60" s="186"/>
      <c r="XT60" s="186"/>
      <c r="XU60" s="186"/>
      <c r="XV60" s="186"/>
      <c r="XW60" s="186"/>
      <c r="XX60" s="186"/>
      <c r="XY60" s="186"/>
      <c r="XZ60" s="186"/>
      <c r="YA60" s="186"/>
      <c r="YB60" s="186"/>
      <c r="YC60" s="186"/>
      <c r="YD60" s="186"/>
      <c r="YE60" s="186"/>
      <c r="YF60" s="186"/>
      <c r="YG60" s="186"/>
      <c r="YH60" s="186"/>
      <c r="YI60" s="186"/>
      <c r="YJ60" s="186"/>
      <c r="YK60" s="186"/>
      <c r="YL60" s="186"/>
      <c r="YM60" s="186"/>
      <c r="YN60" s="186"/>
      <c r="YO60" s="186"/>
      <c r="YP60" s="186"/>
      <c r="YQ60" s="186"/>
      <c r="YR60" s="186"/>
      <c r="YS60" s="186"/>
      <c r="YT60" s="186"/>
      <c r="YU60" s="186"/>
      <c r="YV60" s="186"/>
      <c r="YW60" s="186"/>
      <c r="YX60" s="186"/>
      <c r="YY60" s="186"/>
      <c r="YZ60" s="186"/>
      <c r="ZA60" s="186"/>
      <c r="ZB60" s="186"/>
      <c r="ZC60" s="186"/>
      <c r="ZD60" s="186"/>
      <c r="ZE60" s="186"/>
      <c r="ZF60" s="186"/>
      <c r="ZG60" s="186"/>
      <c r="ZH60" s="186"/>
      <c r="ZI60" s="186"/>
      <c r="ZJ60" s="186"/>
      <c r="ZK60" s="186"/>
      <c r="ZL60" s="186"/>
      <c r="ZM60" s="186"/>
      <c r="ZN60" s="186"/>
      <c r="ZO60" s="186"/>
      <c r="ZP60" s="186"/>
      <c r="ZQ60" s="186"/>
      <c r="ZR60" s="186"/>
      <c r="ZS60" s="186"/>
      <c r="ZT60" s="186"/>
      <c r="ZU60" s="186"/>
      <c r="ZV60" s="186"/>
      <c r="ZW60" s="186"/>
      <c r="ZX60" s="186"/>
      <c r="ZY60" s="186"/>
      <c r="ZZ60" s="186"/>
      <c r="AAA60" s="186"/>
      <c r="AAB60" s="186"/>
      <c r="AAC60" s="186"/>
      <c r="AAD60" s="186"/>
      <c r="AAE60" s="186"/>
      <c r="AAF60" s="186"/>
      <c r="AAG60" s="186"/>
      <c r="AAH60" s="186"/>
      <c r="AAI60" s="186"/>
      <c r="AAJ60" s="186"/>
      <c r="AAK60" s="186"/>
      <c r="AAL60" s="186"/>
      <c r="AAM60" s="186"/>
      <c r="AAN60" s="186"/>
      <c r="AAO60" s="186"/>
      <c r="AAP60" s="186"/>
      <c r="AAQ60" s="186"/>
      <c r="AAR60" s="186"/>
      <c r="AAS60" s="186"/>
      <c r="AAT60" s="186"/>
      <c r="AAU60" s="186"/>
      <c r="AAV60" s="186"/>
      <c r="AAW60" s="186"/>
      <c r="AAX60" s="186"/>
      <c r="AAY60" s="186"/>
      <c r="AAZ60" s="186"/>
      <c r="ABA60" s="186"/>
      <c r="ABB60" s="186"/>
      <c r="ABC60" s="186"/>
      <c r="ABD60" s="186"/>
      <c r="ABE60" s="186"/>
      <c r="ABF60" s="186"/>
      <c r="ABG60" s="186"/>
      <c r="ABH60" s="186"/>
      <c r="ABI60" s="186"/>
      <c r="ABJ60" s="186"/>
      <c r="ABK60" s="186"/>
      <c r="ABL60" s="186"/>
      <c r="ABM60" s="186"/>
      <c r="ABN60" s="186"/>
      <c r="ABO60" s="186"/>
      <c r="ABP60" s="186"/>
      <c r="ABQ60" s="186"/>
      <c r="ABR60" s="186"/>
      <c r="ABS60" s="186"/>
      <c r="ABT60" s="186"/>
      <c r="ABU60" s="186"/>
      <c r="ABV60" s="186"/>
      <c r="ABW60" s="186"/>
      <c r="ABX60" s="186"/>
      <c r="ABY60" s="186"/>
      <c r="ABZ60" s="186"/>
      <c r="ACA60" s="186"/>
      <c r="ACB60" s="186"/>
      <c r="ACC60" s="186"/>
      <c r="ACD60" s="186"/>
      <c r="ACE60" s="186"/>
      <c r="ACF60" s="186"/>
      <c r="ACG60" s="186"/>
      <c r="ACH60" s="186"/>
      <c r="ACI60" s="186"/>
      <c r="ACJ60" s="186"/>
      <c r="ACK60" s="186"/>
      <c r="ACL60" s="186"/>
      <c r="ACM60" s="186"/>
      <c r="ACN60" s="186"/>
      <c r="ACO60" s="186"/>
      <c r="ACP60" s="186"/>
      <c r="ACQ60" s="186"/>
      <c r="ACR60" s="186"/>
      <c r="ACS60" s="186"/>
      <c r="ACT60" s="186"/>
      <c r="ACU60" s="186"/>
      <c r="ACV60" s="186"/>
      <c r="ACW60" s="186"/>
      <c r="ACX60" s="186"/>
      <c r="ACY60" s="186"/>
      <c r="ACZ60" s="186"/>
      <c r="ADA60" s="186"/>
      <c r="ADB60" s="186"/>
      <c r="ADC60" s="186"/>
      <c r="ADD60" s="186"/>
      <c r="ADE60" s="186"/>
      <c r="ADF60" s="186"/>
      <c r="ADG60" s="186"/>
      <c r="ADH60" s="186"/>
      <c r="ADI60" s="186"/>
      <c r="ADJ60" s="186"/>
      <c r="ADK60" s="186"/>
      <c r="ADL60" s="186"/>
      <c r="ADM60" s="186"/>
      <c r="ADN60" s="186"/>
      <c r="ADO60" s="186"/>
      <c r="ADP60" s="186"/>
      <c r="ADQ60" s="186"/>
      <c r="ADR60" s="186"/>
      <c r="ADS60" s="186"/>
      <c r="ADT60" s="186"/>
      <c r="ADU60" s="186"/>
      <c r="ADV60" s="186"/>
      <c r="ADW60" s="186"/>
      <c r="ADX60" s="186"/>
      <c r="ADY60" s="186"/>
      <c r="ADZ60" s="186"/>
      <c r="AEA60" s="186"/>
      <c r="AEB60" s="186"/>
      <c r="AEC60" s="186"/>
      <c r="AED60" s="186"/>
      <c r="AEE60" s="186"/>
      <c r="AEF60" s="186"/>
      <c r="AEG60" s="186"/>
      <c r="AEH60" s="186"/>
      <c r="AEI60" s="186"/>
      <c r="AEJ60" s="186"/>
      <c r="AEK60" s="186"/>
      <c r="AEL60" s="186"/>
      <c r="AEM60" s="186"/>
      <c r="AEN60" s="186"/>
      <c r="AEO60" s="186"/>
      <c r="AEP60" s="186"/>
      <c r="AEQ60" s="186"/>
      <c r="AER60" s="186"/>
      <c r="AES60" s="186"/>
      <c r="AET60" s="186"/>
      <c r="AEU60" s="186"/>
      <c r="AEV60" s="186"/>
      <c r="AEW60" s="186"/>
      <c r="AEX60" s="186"/>
      <c r="AEY60" s="186"/>
      <c r="AEZ60" s="186"/>
      <c r="AFA60" s="186"/>
      <c r="AFB60" s="186"/>
      <c r="AFC60" s="186"/>
      <c r="AFD60" s="186"/>
      <c r="AFE60" s="186"/>
      <c r="AFF60" s="186"/>
      <c r="AFG60" s="186"/>
      <c r="AFH60" s="186"/>
      <c r="AFI60" s="186"/>
      <c r="AFJ60" s="186"/>
      <c r="AFK60" s="186"/>
      <c r="AFL60" s="186"/>
      <c r="AFM60" s="186"/>
      <c r="AFN60" s="186"/>
      <c r="AFO60" s="186"/>
      <c r="AFP60" s="186"/>
      <c r="AFQ60" s="186"/>
      <c r="AFR60" s="186"/>
      <c r="AFS60" s="186"/>
      <c r="AFT60" s="186"/>
      <c r="AFU60" s="186"/>
      <c r="AFV60" s="186"/>
      <c r="AFW60" s="186"/>
      <c r="AFX60" s="186"/>
      <c r="AFY60" s="186"/>
      <c r="AFZ60" s="186"/>
      <c r="AGA60" s="186"/>
      <c r="AGB60" s="186"/>
      <c r="AGC60" s="186"/>
      <c r="AGD60" s="186"/>
      <c r="AGE60" s="186"/>
      <c r="AGF60" s="186"/>
      <c r="AGG60" s="186"/>
      <c r="AGH60" s="186"/>
      <c r="AGI60" s="186"/>
      <c r="AGJ60" s="186"/>
      <c r="AGK60" s="186"/>
      <c r="AGL60" s="186"/>
      <c r="AGM60" s="186"/>
      <c r="AGN60" s="186"/>
      <c r="AGO60" s="186"/>
      <c r="AGP60" s="186"/>
      <c r="AGQ60" s="186"/>
      <c r="AGR60" s="186"/>
      <c r="AGS60" s="186"/>
      <c r="AGT60" s="186"/>
      <c r="AGU60" s="186"/>
      <c r="AGV60" s="186"/>
      <c r="AGW60" s="186"/>
      <c r="AGX60" s="186"/>
      <c r="AGY60" s="186"/>
      <c r="AGZ60" s="186"/>
      <c r="AHA60" s="186"/>
      <c r="AHB60" s="186"/>
      <c r="AHC60" s="186"/>
      <c r="AHD60" s="186"/>
      <c r="AHE60" s="186"/>
      <c r="AHF60" s="186"/>
      <c r="AHG60" s="186"/>
      <c r="AHH60" s="186"/>
      <c r="AHI60" s="186"/>
      <c r="AHJ60" s="186"/>
      <c r="AHK60" s="186"/>
      <c r="AHL60" s="186"/>
      <c r="AHM60" s="186"/>
      <c r="AHN60" s="186"/>
      <c r="AHO60" s="186"/>
      <c r="AHP60" s="186"/>
      <c r="AHQ60" s="186"/>
      <c r="AHR60" s="186"/>
      <c r="AHS60" s="186"/>
      <c r="AHT60" s="186"/>
      <c r="AHU60" s="186"/>
      <c r="AHV60" s="186"/>
      <c r="AHW60" s="186"/>
      <c r="AHX60" s="186"/>
      <c r="AHY60" s="186"/>
      <c r="AHZ60" s="186"/>
      <c r="AIA60" s="186"/>
      <c r="AIB60" s="186"/>
      <c r="AIC60" s="186"/>
      <c r="AID60" s="186"/>
      <c r="AIE60" s="186"/>
      <c r="AIF60" s="186"/>
      <c r="AIG60" s="186"/>
      <c r="AIH60" s="186"/>
      <c r="AII60" s="186"/>
      <c r="AIJ60" s="186"/>
      <c r="AIK60" s="186"/>
      <c r="AIL60" s="186"/>
      <c r="AIM60" s="186"/>
      <c r="AIN60" s="186"/>
      <c r="AIO60" s="186"/>
      <c r="AIP60" s="186"/>
      <c r="AIQ60" s="186"/>
      <c r="AIR60" s="186"/>
      <c r="AIS60" s="186"/>
      <c r="AIT60" s="186"/>
      <c r="AIU60" s="186"/>
      <c r="AIV60" s="186"/>
      <c r="AIW60" s="186"/>
      <c r="AIX60" s="186"/>
      <c r="AIY60" s="186"/>
      <c r="AIZ60" s="186"/>
      <c r="AJA60" s="186"/>
      <c r="AJB60" s="186"/>
      <c r="AJC60" s="186"/>
      <c r="AJD60" s="186"/>
      <c r="AJE60" s="186"/>
      <c r="AJF60" s="186"/>
      <c r="AJG60" s="186"/>
      <c r="AJH60" s="186"/>
      <c r="AJI60" s="186"/>
      <c r="AJJ60" s="186"/>
      <c r="AJK60" s="186"/>
      <c r="AJL60" s="186"/>
      <c r="AJM60" s="186"/>
      <c r="AJN60" s="186"/>
      <c r="AJO60" s="186"/>
      <c r="AJP60" s="186"/>
      <c r="AJQ60" s="186"/>
      <c r="AJR60" s="186"/>
      <c r="AJS60" s="186"/>
      <c r="AJT60" s="186"/>
      <c r="AJU60" s="186"/>
      <c r="AJV60" s="186"/>
      <c r="AJW60" s="186"/>
      <c r="AJX60" s="186"/>
      <c r="AJY60" s="186"/>
      <c r="AJZ60" s="186"/>
      <c r="AKA60" s="186"/>
      <c r="AKB60" s="186"/>
      <c r="AKC60" s="186"/>
      <c r="AKD60" s="186"/>
      <c r="AKE60" s="186"/>
      <c r="AKF60" s="186"/>
      <c r="AKG60" s="186"/>
      <c r="AKH60" s="186"/>
      <c r="AKI60" s="186"/>
      <c r="AKJ60" s="186"/>
      <c r="AKK60" s="186"/>
      <c r="AKL60" s="186"/>
      <c r="AKM60" s="186"/>
      <c r="AKN60" s="186"/>
      <c r="AKO60" s="186"/>
      <c r="AKP60" s="186"/>
      <c r="AKQ60" s="186"/>
      <c r="AKR60" s="186"/>
      <c r="AKS60" s="186"/>
      <c r="AKT60" s="186"/>
      <c r="AKU60" s="186"/>
      <c r="AKV60" s="186"/>
      <c r="AKW60" s="186"/>
      <c r="AKX60" s="186"/>
      <c r="AKY60" s="186"/>
      <c r="AKZ60" s="186"/>
      <c r="ALA60" s="186"/>
      <c r="ALB60" s="186"/>
      <c r="ALC60" s="186"/>
      <c r="ALD60" s="186"/>
      <c r="ALE60" s="186"/>
      <c r="ALF60" s="186"/>
      <c r="ALG60" s="186"/>
      <c r="ALH60" s="186"/>
      <c r="ALI60" s="186"/>
      <c r="ALJ60" s="186"/>
      <c r="ALK60" s="186"/>
      <c r="ALL60" s="186"/>
      <c r="ALM60" s="186"/>
      <c r="ALN60" s="186"/>
      <c r="ALO60" s="186"/>
      <c r="ALP60" s="186"/>
      <c r="ALQ60" s="186"/>
      <c r="ALR60" s="186"/>
      <c r="ALS60" s="186"/>
      <c r="ALT60" s="186"/>
      <c r="ALU60" s="186"/>
      <c r="ALV60" s="186"/>
      <c r="ALW60" s="186"/>
      <c r="ALX60" s="186"/>
      <c r="ALY60" s="186"/>
      <c r="ALZ60" s="186"/>
      <c r="AMA60" s="186"/>
      <c r="AMB60" s="186"/>
      <c r="AMC60" s="186"/>
      <c r="AMD60" s="186"/>
      <c r="AME60" s="186"/>
      <c r="AMF60" s="186"/>
      <c r="AMG60" s="186"/>
      <c r="AMH60" s="186"/>
      <c r="AMI60" s="186"/>
      <c r="AMJ60" s="186"/>
      <c r="AMK60" s="186"/>
      <c r="AML60" s="186"/>
      <c r="AMM60" s="186"/>
      <c r="AMN60" s="186"/>
      <c r="AMO60" s="186"/>
      <c r="AMP60" s="186"/>
      <c r="AMQ60" s="186"/>
      <c r="AMR60" s="186"/>
      <c r="AMS60" s="186"/>
      <c r="AMT60" s="186"/>
      <c r="AMU60" s="186"/>
      <c r="AMV60" s="186"/>
      <c r="AMW60" s="186"/>
      <c r="AMX60" s="186"/>
      <c r="AMY60" s="186"/>
      <c r="AMZ60" s="186"/>
      <c r="ANA60" s="186"/>
      <c r="ANB60" s="186"/>
      <c r="ANC60" s="186"/>
      <c r="AND60" s="186"/>
      <c r="ANE60" s="186"/>
      <c r="ANF60" s="186"/>
      <c r="ANG60" s="186"/>
      <c r="ANH60" s="186"/>
      <c r="ANI60" s="186"/>
      <c r="ANJ60" s="186"/>
      <c r="ANK60" s="186"/>
      <c r="ANL60" s="186"/>
      <c r="ANM60" s="186"/>
      <c r="ANN60" s="186"/>
      <c r="ANO60" s="186"/>
      <c r="ANP60" s="186"/>
      <c r="ANQ60" s="186"/>
      <c r="ANR60" s="186"/>
      <c r="ANS60" s="186"/>
      <c r="ANT60" s="186"/>
      <c r="ANU60" s="186"/>
      <c r="ANV60" s="186"/>
      <c r="ANW60" s="186"/>
      <c r="ANX60" s="186"/>
      <c r="ANY60" s="186"/>
      <c r="ANZ60" s="186"/>
      <c r="AOA60" s="186"/>
      <c r="AOB60" s="186"/>
      <c r="AOC60" s="186"/>
      <c r="AOD60" s="186"/>
      <c r="AOE60" s="186"/>
      <c r="AOF60" s="186"/>
      <c r="AOG60" s="186"/>
      <c r="AOH60" s="186"/>
      <c r="AOI60" s="186"/>
      <c r="AOJ60" s="186"/>
      <c r="AOK60" s="186"/>
      <c r="AOL60" s="186"/>
      <c r="AOM60" s="186"/>
      <c r="AON60" s="186"/>
      <c r="AOO60" s="186"/>
      <c r="AOP60" s="186"/>
      <c r="AOQ60" s="186"/>
      <c r="AOR60" s="186"/>
      <c r="AOS60" s="186"/>
      <c r="AOT60" s="186"/>
      <c r="AOU60" s="186"/>
      <c r="AOV60" s="186"/>
      <c r="AOW60" s="186"/>
      <c r="AOX60" s="186"/>
      <c r="AOY60" s="186"/>
      <c r="AOZ60" s="186"/>
      <c r="APA60" s="186"/>
      <c r="APB60" s="186"/>
      <c r="APC60" s="186"/>
      <c r="APD60" s="186"/>
      <c r="APE60" s="186"/>
      <c r="APF60" s="186"/>
      <c r="APG60" s="186"/>
      <c r="APH60" s="186"/>
      <c r="API60" s="186"/>
      <c r="APJ60" s="186"/>
      <c r="APK60" s="186"/>
      <c r="APL60" s="186"/>
      <c r="APM60" s="186"/>
      <c r="APN60" s="186"/>
      <c r="APO60" s="186"/>
      <c r="APP60" s="186"/>
      <c r="APQ60" s="186"/>
      <c r="APR60" s="186"/>
      <c r="APS60" s="186"/>
      <c r="APT60" s="186"/>
      <c r="APU60" s="186"/>
      <c r="APV60" s="186"/>
      <c r="APW60" s="186"/>
      <c r="APX60" s="186"/>
      <c r="APY60" s="186"/>
      <c r="APZ60" s="186"/>
      <c r="AQA60" s="186"/>
      <c r="AQB60" s="186"/>
      <c r="AQC60" s="186"/>
      <c r="AQD60" s="186"/>
      <c r="AQE60" s="186"/>
      <c r="AQF60" s="186"/>
      <c r="AQG60" s="186"/>
      <c r="AQH60" s="186"/>
      <c r="AQI60" s="186"/>
      <c r="AQJ60" s="186"/>
      <c r="AQK60" s="186"/>
      <c r="AQL60" s="186"/>
      <c r="AQM60" s="186"/>
      <c r="AQN60" s="186"/>
      <c r="AQO60" s="186"/>
      <c r="AQP60" s="186"/>
      <c r="AQQ60" s="186"/>
      <c r="AQR60" s="186"/>
      <c r="AQS60" s="186"/>
      <c r="AQT60" s="186"/>
      <c r="AQU60" s="186"/>
      <c r="AQV60" s="186"/>
      <c r="AQW60" s="186"/>
      <c r="AQX60" s="186"/>
      <c r="AQY60" s="186"/>
      <c r="AQZ60" s="186"/>
      <c r="ARA60" s="186"/>
      <c r="ARB60" s="186"/>
      <c r="ARC60" s="186"/>
      <c r="ARD60" s="186"/>
      <c r="ARE60" s="186"/>
      <c r="ARF60" s="186"/>
      <c r="ARG60" s="186"/>
      <c r="ARH60" s="186"/>
      <c r="ARI60" s="186"/>
      <c r="ARJ60" s="186"/>
      <c r="ARK60" s="186"/>
      <c r="ARL60" s="186"/>
      <c r="ARM60" s="186"/>
      <c r="ARN60" s="186"/>
      <c r="ARO60" s="186"/>
      <c r="ARP60" s="186"/>
      <c r="ARQ60" s="186"/>
      <c r="ARR60" s="186"/>
      <c r="ARS60" s="186"/>
      <c r="ART60" s="186"/>
      <c r="ARU60" s="186"/>
      <c r="ARV60" s="186"/>
      <c r="ARW60" s="186"/>
      <c r="ARX60" s="186"/>
      <c r="ARY60" s="186"/>
      <c r="ARZ60" s="186"/>
      <c r="ASA60" s="186"/>
      <c r="ASB60" s="186"/>
      <c r="ASC60" s="186"/>
      <c r="ASD60" s="186"/>
      <c r="ASE60" s="186"/>
      <c r="ASF60" s="186"/>
      <c r="ASG60" s="186"/>
      <c r="ASH60" s="186"/>
      <c r="ASI60" s="186"/>
      <c r="ASJ60" s="186"/>
      <c r="ASK60" s="186"/>
      <c r="ASL60" s="186"/>
      <c r="ASM60" s="186"/>
      <c r="ASN60" s="186"/>
      <c r="ASO60" s="186"/>
      <c r="ASP60" s="186"/>
      <c r="ASQ60" s="186"/>
      <c r="ASR60" s="186"/>
      <c r="ASS60" s="186"/>
      <c r="AST60" s="186"/>
      <c r="ASU60" s="186"/>
      <c r="ASV60" s="186"/>
      <c r="ASW60" s="186"/>
      <c r="ASX60" s="186"/>
      <c r="ASY60" s="186"/>
      <c r="ASZ60" s="186"/>
      <c r="ATA60" s="186"/>
      <c r="ATB60" s="186"/>
      <c r="ATC60" s="186"/>
      <c r="ATD60" s="186"/>
      <c r="ATE60" s="186"/>
      <c r="ATF60" s="186"/>
      <c r="ATG60" s="186"/>
      <c r="ATH60" s="186"/>
      <c r="ATI60" s="186"/>
      <c r="ATJ60" s="186"/>
      <c r="ATK60" s="186"/>
      <c r="ATL60" s="186"/>
      <c r="ATM60" s="186"/>
      <c r="ATN60" s="186"/>
      <c r="ATO60" s="186"/>
      <c r="ATP60" s="186"/>
      <c r="ATQ60" s="186"/>
      <c r="ATR60" s="186"/>
      <c r="ATS60" s="186"/>
      <c r="ATT60" s="186"/>
      <c r="ATU60" s="186"/>
      <c r="ATV60" s="186"/>
      <c r="ATW60" s="186"/>
      <c r="ATX60" s="186"/>
      <c r="ATY60" s="186"/>
      <c r="ATZ60" s="186"/>
      <c r="AUA60" s="186"/>
      <c r="AUB60" s="186"/>
      <c r="AUC60" s="186"/>
      <c r="AUD60" s="186"/>
      <c r="AUE60" s="186"/>
      <c r="AUF60" s="186"/>
      <c r="AUG60" s="186"/>
      <c r="AUH60" s="186"/>
      <c r="AUI60" s="186"/>
      <c r="AUJ60" s="186"/>
      <c r="AUK60" s="186"/>
      <c r="AUL60" s="186"/>
      <c r="AUM60" s="186"/>
      <c r="AUN60" s="186"/>
      <c r="AUO60" s="186"/>
      <c r="AUP60" s="186"/>
      <c r="AUQ60" s="186"/>
      <c r="AUR60" s="186"/>
      <c r="AUS60" s="186"/>
      <c r="AUT60" s="186"/>
      <c r="AUU60" s="186"/>
      <c r="AUV60" s="186"/>
      <c r="AUW60" s="186"/>
      <c r="AUX60" s="186"/>
      <c r="AUY60" s="186"/>
      <c r="AUZ60" s="186"/>
      <c r="AVA60" s="186"/>
      <c r="AVB60" s="186"/>
      <c r="AVC60" s="186"/>
      <c r="AVD60" s="186"/>
      <c r="AVE60" s="186"/>
      <c r="AVF60" s="186"/>
      <c r="AVG60" s="186"/>
      <c r="AVH60" s="186"/>
      <c r="AVI60" s="186"/>
      <c r="AVJ60" s="186"/>
      <c r="AVK60" s="186"/>
      <c r="AVL60" s="186"/>
      <c r="AVM60" s="186"/>
      <c r="AVN60" s="186"/>
      <c r="AVO60" s="186"/>
      <c r="AVP60" s="186"/>
      <c r="AVQ60" s="186"/>
      <c r="AVR60" s="186"/>
      <c r="AVS60" s="186"/>
      <c r="AVT60" s="186"/>
      <c r="AVU60" s="186"/>
      <c r="AVV60" s="186"/>
      <c r="AVW60" s="186"/>
      <c r="AVX60" s="186"/>
      <c r="AVY60" s="186"/>
      <c r="AVZ60" s="186"/>
      <c r="AWA60" s="186"/>
      <c r="AWB60" s="186"/>
      <c r="AWC60" s="186"/>
      <c r="AWD60" s="186"/>
      <c r="AWE60" s="186"/>
      <c r="AWF60" s="186"/>
      <c r="AWG60" s="186"/>
      <c r="AWH60" s="186"/>
      <c r="AWI60" s="186"/>
      <c r="AWJ60" s="186"/>
      <c r="AWK60" s="186"/>
      <c r="AWL60" s="186"/>
      <c r="AWM60" s="186"/>
      <c r="AWN60" s="186"/>
      <c r="AWO60" s="186"/>
      <c r="AWP60" s="186"/>
      <c r="AWQ60" s="186"/>
      <c r="AWR60" s="186"/>
      <c r="AWS60" s="186"/>
      <c r="AWT60" s="186"/>
      <c r="AWU60" s="186"/>
      <c r="AWV60" s="186"/>
      <c r="AWW60" s="186"/>
      <c r="AWX60" s="186"/>
      <c r="AWY60" s="186"/>
      <c r="AWZ60" s="186"/>
      <c r="AXA60" s="186"/>
      <c r="AXB60" s="186"/>
      <c r="AXC60" s="186"/>
      <c r="AXD60" s="186"/>
      <c r="AXE60" s="186"/>
      <c r="AXF60" s="186"/>
      <c r="AXG60" s="186"/>
      <c r="AXH60" s="186"/>
      <c r="AXI60" s="186"/>
      <c r="AXJ60" s="186"/>
      <c r="AXK60" s="186"/>
      <c r="AXL60" s="186"/>
      <c r="AXM60" s="186"/>
      <c r="AXN60" s="186"/>
      <c r="AXO60" s="186"/>
      <c r="AXP60" s="186"/>
      <c r="AXQ60" s="186"/>
      <c r="AXR60" s="186"/>
      <c r="AXS60" s="186"/>
      <c r="AXT60" s="186"/>
      <c r="AXU60" s="186"/>
      <c r="AXV60" s="186"/>
      <c r="AXW60" s="186"/>
      <c r="AXX60" s="186"/>
      <c r="AXY60" s="186"/>
      <c r="AXZ60" s="186"/>
      <c r="AYA60" s="186"/>
      <c r="AYB60" s="186"/>
      <c r="AYC60" s="186"/>
      <c r="AYD60" s="186"/>
      <c r="AYE60" s="186"/>
      <c r="AYF60" s="186"/>
      <c r="AYG60" s="186"/>
      <c r="AYH60" s="186"/>
      <c r="AYI60" s="186"/>
      <c r="AYJ60" s="186"/>
      <c r="AYK60" s="186"/>
      <c r="AYL60" s="186"/>
      <c r="AYM60" s="186"/>
      <c r="AYN60" s="186"/>
      <c r="AYO60" s="186"/>
      <c r="AYP60" s="186"/>
      <c r="AYQ60" s="186"/>
      <c r="AYR60" s="186"/>
      <c r="AYS60" s="186"/>
      <c r="AYT60" s="186"/>
      <c r="AYU60" s="186"/>
      <c r="AYV60" s="186"/>
      <c r="AYW60" s="186"/>
      <c r="AYX60" s="186"/>
      <c r="AYY60" s="186"/>
      <c r="AYZ60" s="186"/>
      <c r="AZA60" s="186"/>
      <c r="AZB60" s="186"/>
      <c r="AZC60" s="186"/>
      <c r="AZD60" s="186"/>
      <c r="AZE60" s="186"/>
      <c r="AZF60" s="186"/>
      <c r="AZG60" s="186"/>
      <c r="AZH60" s="204"/>
      <c r="AZI60" s="186"/>
      <c r="AZJ60" s="204"/>
      <c r="AZK60" s="204"/>
    </row>
    <row r="61" spans="1:1363" s="147" customFormat="1" ht="30.75" customHeight="1" thickTop="1" thickBot="1">
      <c r="A61" s="55">
        <v>53</v>
      </c>
      <c r="B61" s="56" t="s">
        <v>304</v>
      </c>
      <c r="C61" s="57" t="s">
        <v>127</v>
      </c>
      <c r="D61" s="226" t="s">
        <v>305</v>
      </c>
      <c r="E61" s="71"/>
      <c r="F61" s="71"/>
      <c r="G61" s="66">
        <v>12285257</v>
      </c>
      <c r="H61" s="66">
        <v>1074798</v>
      </c>
      <c r="I61" s="66">
        <v>65733</v>
      </c>
      <c r="J61" s="66">
        <v>894985</v>
      </c>
      <c r="K61" s="66">
        <v>906260</v>
      </c>
      <c r="L61" s="66">
        <v>1097616</v>
      </c>
      <c r="M61" s="66">
        <v>617546</v>
      </c>
      <c r="N61" s="66">
        <v>612910</v>
      </c>
      <c r="O61" s="66">
        <v>277678</v>
      </c>
      <c r="P61" s="66">
        <v>193824</v>
      </c>
      <c r="Q61" s="71"/>
      <c r="R61" s="71"/>
      <c r="S61" s="57"/>
      <c r="T61" s="227">
        <v>0</v>
      </c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70">
        <f t="shared" si="1"/>
        <v>0</v>
      </c>
      <c r="AH61" s="87" t="s">
        <v>306</v>
      </c>
      <c r="AI61" s="149" t="s">
        <v>259</v>
      </c>
      <c r="AJ61" s="150" t="s">
        <v>296</v>
      </c>
      <c r="AK61" s="151">
        <v>45719</v>
      </c>
      <c r="AL61" s="88" t="s">
        <v>307</v>
      </c>
      <c r="AM61" s="152">
        <v>0</v>
      </c>
      <c r="AN61" s="152">
        <v>0</v>
      </c>
      <c r="AO61" s="152">
        <v>0</v>
      </c>
      <c r="AP61" s="152">
        <v>19002900</v>
      </c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  <c r="BA61" s="228"/>
      <c r="BB61" s="228"/>
      <c r="BC61" s="228"/>
      <c r="BD61" s="228">
        <v>0</v>
      </c>
      <c r="BE61" s="228">
        <v>0</v>
      </c>
      <c r="BF61" s="228">
        <v>0</v>
      </c>
      <c r="BG61" s="228">
        <v>0</v>
      </c>
      <c r="BH61" s="228">
        <v>0</v>
      </c>
      <c r="BI61" s="228">
        <v>0</v>
      </c>
      <c r="BJ61" s="228">
        <v>0</v>
      </c>
      <c r="BK61" s="228">
        <v>0</v>
      </c>
      <c r="BL61" s="228">
        <v>0</v>
      </c>
      <c r="BM61" s="228">
        <v>0</v>
      </c>
      <c r="BN61" s="228">
        <v>0</v>
      </c>
      <c r="BO61" s="228">
        <v>0</v>
      </c>
      <c r="BP61" s="228">
        <v>0</v>
      </c>
      <c r="BQ61" s="228">
        <v>0</v>
      </c>
      <c r="BR61" s="228">
        <v>0</v>
      </c>
      <c r="BS61" s="228">
        <v>0</v>
      </c>
      <c r="BT61" s="228">
        <v>0</v>
      </c>
      <c r="BU61" s="228">
        <v>0</v>
      </c>
      <c r="BV61" s="228">
        <v>0</v>
      </c>
      <c r="BW61" s="228">
        <v>0</v>
      </c>
      <c r="BX61" s="228">
        <v>0</v>
      </c>
      <c r="BY61" s="228">
        <v>0</v>
      </c>
      <c r="BZ61" s="228">
        <v>0</v>
      </c>
      <c r="CA61" s="228">
        <v>0</v>
      </c>
      <c r="CB61" s="91">
        <v>0</v>
      </c>
      <c r="CC61" s="91">
        <v>0</v>
      </c>
      <c r="CD61" s="91">
        <v>0</v>
      </c>
      <c r="CE61" s="91">
        <v>3211800</v>
      </c>
      <c r="CF61" s="91">
        <v>2988300</v>
      </c>
      <c r="CG61" s="91">
        <v>1850100</v>
      </c>
      <c r="CH61" s="91">
        <v>3589500</v>
      </c>
      <c r="CI61" s="91">
        <v>3864300</v>
      </c>
      <c r="CJ61" s="91">
        <v>3416400</v>
      </c>
      <c r="CK61" s="91">
        <v>0</v>
      </c>
      <c r="CL61" s="91">
        <v>82500</v>
      </c>
      <c r="CM61" s="229">
        <v>0</v>
      </c>
      <c r="CN61" s="230">
        <v>0</v>
      </c>
      <c r="CO61" s="230">
        <v>97500</v>
      </c>
      <c r="CP61" s="230">
        <v>0</v>
      </c>
      <c r="CQ61" s="230">
        <v>0</v>
      </c>
      <c r="CR61" s="230">
        <v>0</v>
      </c>
      <c r="CS61" s="230">
        <v>0</v>
      </c>
      <c r="CT61" s="230">
        <v>0</v>
      </c>
      <c r="CU61" s="230">
        <v>0</v>
      </c>
      <c r="CV61" s="230">
        <v>0</v>
      </c>
      <c r="CW61" s="230">
        <v>0</v>
      </c>
      <c r="CX61" s="230">
        <v>0</v>
      </c>
      <c r="CY61" s="230">
        <v>0</v>
      </c>
      <c r="CZ61" s="71"/>
      <c r="DA61" s="6"/>
      <c r="DB61" s="6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  <c r="GJ61" s="71"/>
      <c r="GK61" s="71"/>
      <c r="GL61" s="71"/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  <c r="HM61" s="71"/>
      <c r="HN61" s="71"/>
      <c r="HO61" s="71"/>
      <c r="HP61" s="71"/>
      <c r="HQ61" s="71"/>
      <c r="HR61" s="71"/>
      <c r="HS61" s="71"/>
      <c r="HT61" s="71"/>
      <c r="HU61" s="71"/>
      <c r="HV61" s="71"/>
      <c r="HW61" s="71"/>
      <c r="HX61" s="71"/>
      <c r="HY61" s="71"/>
      <c r="HZ61" s="71"/>
      <c r="IA61" s="71"/>
      <c r="IB61" s="71"/>
      <c r="IC61" s="71"/>
      <c r="ID61" s="71"/>
      <c r="IE61" s="71"/>
      <c r="IF61" s="71"/>
      <c r="IG61" s="71"/>
      <c r="IH61" s="71"/>
      <c r="II61" s="71"/>
      <c r="IJ61" s="71"/>
      <c r="IK61" s="71"/>
      <c r="IL61" s="71"/>
      <c r="IM61" s="71"/>
      <c r="IN61" s="71"/>
      <c r="IO61" s="71"/>
      <c r="IP61" s="71"/>
      <c r="IQ61" s="71"/>
      <c r="IR61" s="71"/>
      <c r="IS61" s="71"/>
      <c r="IT61" s="71"/>
      <c r="IU61" s="71"/>
      <c r="IV61" s="71"/>
      <c r="IW61" s="71"/>
      <c r="IX61" s="71"/>
      <c r="IY61" s="71"/>
      <c r="IZ61" s="71"/>
      <c r="JA61" s="71"/>
      <c r="JB61" s="71"/>
      <c r="JC61" s="71"/>
      <c r="JD61" s="71"/>
      <c r="JE61" s="71"/>
      <c r="JF61" s="71"/>
      <c r="JG61" s="71"/>
      <c r="JH61" s="71"/>
      <c r="JI61" s="71"/>
      <c r="JJ61" s="71"/>
      <c r="JK61" s="71"/>
      <c r="JL61" s="71"/>
      <c r="JM61" s="71"/>
      <c r="JN61" s="71"/>
      <c r="JO61" s="71"/>
      <c r="JP61" s="71"/>
      <c r="JQ61" s="71"/>
      <c r="JR61" s="71"/>
      <c r="JS61" s="71"/>
      <c r="JT61" s="71"/>
      <c r="JU61" s="71"/>
      <c r="JV61" s="71"/>
      <c r="JW61" s="71"/>
      <c r="JX61" s="71"/>
      <c r="JY61" s="71"/>
      <c r="JZ61" s="71"/>
      <c r="KA61" s="71"/>
      <c r="KB61" s="71"/>
      <c r="KC61" s="71"/>
      <c r="KD61" s="71"/>
      <c r="KE61" s="71"/>
      <c r="KF61" s="71"/>
      <c r="KG61" s="71"/>
      <c r="KH61" s="71"/>
      <c r="KI61" s="71"/>
      <c r="KJ61" s="71"/>
      <c r="KK61" s="71"/>
      <c r="KL61" s="71"/>
      <c r="KM61" s="71"/>
      <c r="KN61" s="71"/>
      <c r="KO61" s="71"/>
      <c r="KP61" s="71"/>
      <c r="KQ61" s="71"/>
      <c r="KR61" s="71"/>
      <c r="KS61" s="71"/>
      <c r="KT61" s="71"/>
      <c r="KU61" s="71"/>
      <c r="KV61" s="71"/>
      <c r="KW61" s="71"/>
      <c r="KX61" s="71"/>
      <c r="KY61" s="71"/>
      <c r="KZ61" s="71"/>
      <c r="LA61" s="71"/>
      <c r="LB61" s="71"/>
      <c r="LC61" s="71"/>
      <c r="LD61" s="71"/>
      <c r="LE61" s="71"/>
      <c r="LF61" s="71"/>
      <c r="LG61" s="71"/>
      <c r="LH61" s="71"/>
      <c r="LI61" s="71"/>
      <c r="LJ61" s="71"/>
      <c r="LK61" s="71"/>
      <c r="LL61" s="71"/>
      <c r="LM61" s="71"/>
      <c r="LN61" s="71"/>
      <c r="LO61" s="71"/>
      <c r="LP61" s="71"/>
      <c r="LQ61" s="71"/>
      <c r="LR61" s="71"/>
      <c r="LS61" s="71"/>
      <c r="LT61" s="71"/>
      <c r="LU61" s="71"/>
      <c r="LV61" s="71"/>
      <c r="LW61" s="71"/>
      <c r="LX61" s="71"/>
      <c r="LY61" s="71"/>
      <c r="LZ61" s="71"/>
      <c r="MA61" s="71"/>
      <c r="MB61" s="71"/>
      <c r="MC61" s="71"/>
      <c r="MD61" s="71"/>
      <c r="ME61" s="71"/>
      <c r="MF61" s="71"/>
      <c r="MG61" s="71"/>
      <c r="MH61" s="71"/>
      <c r="MI61" s="71"/>
      <c r="MJ61" s="71"/>
      <c r="MK61" s="71"/>
      <c r="ML61" s="71"/>
      <c r="MM61" s="71"/>
      <c r="MN61" s="71"/>
      <c r="MO61" s="71"/>
      <c r="MP61" s="71"/>
      <c r="MQ61" s="71"/>
      <c r="MR61" s="71"/>
      <c r="MS61" s="71"/>
      <c r="MT61" s="71"/>
      <c r="MU61" s="71"/>
      <c r="MV61" s="71"/>
      <c r="MW61" s="71"/>
      <c r="MX61" s="71"/>
      <c r="MY61" s="71"/>
      <c r="MZ61" s="71"/>
      <c r="NA61" s="71"/>
      <c r="NB61" s="71"/>
      <c r="NC61" s="71"/>
      <c r="ND61" s="71"/>
      <c r="NE61" s="71"/>
      <c r="NF61" s="71"/>
      <c r="NG61" s="71"/>
      <c r="NH61" s="71"/>
      <c r="NI61" s="71"/>
      <c r="NJ61" s="71"/>
      <c r="NK61" s="71"/>
      <c r="NL61" s="71"/>
      <c r="NM61" s="71"/>
      <c r="NN61" s="71"/>
      <c r="NO61" s="71"/>
      <c r="NP61" s="71"/>
      <c r="NQ61" s="71"/>
      <c r="NR61" s="71"/>
      <c r="NS61" s="71"/>
      <c r="NT61" s="71"/>
      <c r="NU61" s="71"/>
      <c r="NV61" s="71"/>
      <c r="NW61" s="71"/>
      <c r="NX61" s="71"/>
      <c r="NY61" s="71"/>
      <c r="NZ61" s="71"/>
      <c r="OA61" s="71"/>
      <c r="OB61" s="71"/>
      <c r="OC61" s="71"/>
      <c r="OD61" s="71"/>
      <c r="OE61" s="71"/>
      <c r="OF61" s="71"/>
      <c r="OG61" s="71"/>
      <c r="OH61" s="71"/>
      <c r="OI61" s="71"/>
      <c r="OJ61" s="71"/>
      <c r="OK61" s="71"/>
      <c r="OL61" s="71"/>
      <c r="OM61" s="71"/>
      <c r="ON61" s="71"/>
      <c r="OO61" s="71"/>
      <c r="OP61" s="71"/>
      <c r="OQ61" s="71"/>
      <c r="OR61" s="71"/>
      <c r="OS61" s="71"/>
      <c r="OT61" s="71"/>
      <c r="OU61" s="71"/>
      <c r="OV61" s="71"/>
      <c r="OW61" s="71"/>
      <c r="OX61" s="71"/>
      <c r="OY61" s="71"/>
      <c r="OZ61" s="71"/>
      <c r="PA61" s="71"/>
      <c r="PB61" s="71"/>
      <c r="PC61" s="71"/>
      <c r="PD61" s="71"/>
      <c r="PE61" s="71"/>
      <c r="PF61" s="71"/>
      <c r="PG61" s="71"/>
      <c r="PH61" s="71"/>
      <c r="PI61" s="71"/>
      <c r="PJ61" s="71"/>
      <c r="PK61" s="71"/>
      <c r="PL61" s="71"/>
      <c r="PM61" s="71"/>
      <c r="PN61" s="71"/>
      <c r="PO61" s="71"/>
      <c r="PP61" s="71"/>
      <c r="PQ61" s="71"/>
      <c r="PR61" s="71"/>
      <c r="PS61" s="71"/>
      <c r="PT61" s="71"/>
      <c r="PU61" s="71"/>
      <c r="PV61" s="71"/>
      <c r="PW61" s="71"/>
      <c r="PX61" s="71"/>
      <c r="PY61" s="71"/>
      <c r="PZ61" s="71"/>
      <c r="QA61" s="71"/>
      <c r="QB61" s="71"/>
      <c r="QC61" s="71"/>
      <c r="QD61" s="71"/>
      <c r="QE61" s="71"/>
      <c r="QF61" s="71"/>
      <c r="QG61" s="71"/>
      <c r="QH61" s="71"/>
      <c r="QI61" s="71"/>
      <c r="QJ61" s="71"/>
      <c r="QK61" s="71"/>
      <c r="QL61" s="71"/>
      <c r="QM61" s="71"/>
      <c r="QN61" s="71"/>
      <c r="QO61" s="71"/>
      <c r="QP61" s="71"/>
      <c r="QQ61" s="71"/>
      <c r="QR61" s="71"/>
      <c r="QS61" s="71"/>
      <c r="QT61" s="71"/>
      <c r="QU61" s="71"/>
      <c r="QV61" s="71"/>
      <c r="QW61" s="71"/>
      <c r="QX61" s="71"/>
      <c r="QY61" s="71"/>
      <c r="QZ61" s="71"/>
      <c r="RA61" s="71"/>
      <c r="RB61" s="71"/>
      <c r="RC61" s="71"/>
      <c r="RD61" s="71"/>
      <c r="RE61" s="71"/>
      <c r="RF61" s="71"/>
      <c r="RG61" s="71"/>
      <c r="RH61" s="71"/>
      <c r="RI61" s="71"/>
      <c r="RJ61" s="71"/>
      <c r="RK61" s="71"/>
      <c r="RL61" s="71"/>
      <c r="RM61" s="71"/>
      <c r="RN61" s="71"/>
      <c r="RO61" s="71"/>
      <c r="RP61" s="71"/>
      <c r="RQ61" s="71"/>
      <c r="RR61" s="71"/>
      <c r="RS61" s="71"/>
      <c r="RT61" s="71"/>
      <c r="RU61" s="71"/>
      <c r="RV61" s="71"/>
      <c r="RW61" s="71"/>
      <c r="RX61" s="71"/>
      <c r="RY61" s="71"/>
      <c r="RZ61" s="71"/>
      <c r="SA61" s="71"/>
      <c r="SB61" s="71"/>
      <c r="SC61" s="71"/>
      <c r="SD61" s="71"/>
      <c r="SE61" s="71"/>
      <c r="SF61" s="71"/>
      <c r="SG61" s="71"/>
      <c r="SH61" s="71"/>
      <c r="SI61" s="71"/>
      <c r="SJ61" s="71"/>
      <c r="SK61" s="71"/>
      <c r="SL61" s="71"/>
      <c r="SM61" s="71"/>
      <c r="SN61" s="71"/>
      <c r="SO61" s="71"/>
      <c r="SP61" s="71"/>
      <c r="SQ61" s="71"/>
      <c r="SR61" s="71"/>
      <c r="SS61" s="71"/>
      <c r="ST61" s="71"/>
      <c r="SU61" s="71"/>
      <c r="SV61" s="71"/>
      <c r="SW61" s="71"/>
      <c r="SX61" s="71"/>
      <c r="SY61" s="71"/>
      <c r="SZ61" s="71"/>
      <c r="TA61" s="71"/>
      <c r="TB61" s="71"/>
      <c r="TC61" s="71"/>
      <c r="TD61" s="71"/>
      <c r="TE61" s="71"/>
      <c r="TF61" s="71"/>
      <c r="TG61" s="71"/>
      <c r="TH61" s="71"/>
      <c r="TI61" s="71"/>
      <c r="TJ61" s="71"/>
      <c r="TK61" s="71"/>
      <c r="TL61" s="71"/>
      <c r="TM61" s="71"/>
      <c r="TN61" s="71"/>
      <c r="TO61" s="71"/>
      <c r="TP61" s="71"/>
      <c r="TQ61" s="71"/>
      <c r="TR61" s="71"/>
      <c r="TS61" s="71"/>
      <c r="TT61" s="71"/>
      <c r="TU61" s="71"/>
      <c r="TV61" s="71"/>
      <c r="TW61" s="71"/>
      <c r="TX61" s="71"/>
      <c r="TY61" s="71"/>
      <c r="TZ61" s="71"/>
      <c r="UA61" s="71"/>
      <c r="UB61" s="71"/>
      <c r="UC61" s="71"/>
      <c r="UD61" s="71"/>
      <c r="UE61" s="71"/>
      <c r="UF61" s="71"/>
      <c r="UG61" s="71"/>
      <c r="UH61" s="71"/>
      <c r="UI61" s="71"/>
      <c r="UJ61" s="71"/>
      <c r="UK61" s="71"/>
      <c r="UL61" s="71"/>
      <c r="UM61" s="71"/>
      <c r="UN61" s="71"/>
      <c r="UO61" s="71"/>
      <c r="UP61" s="71"/>
      <c r="UQ61" s="71"/>
      <c r="UR61" s="71"/>
      <c r="US61" s="71"/>
      <c r="UT61" s="71"/>
      <c r="UU61" s="71"/>
      <c r="UV61" s="71"/>
      <c r="UW61" s="71"/>
      <c r="UX61" s="71"/>
      <c r="UY61" s="71"/>
      <c r="UZ61" s="71"/>
      <c r="VA61" s="71"/>
      <c r="VB61" s="71"/>
      <c r="VC61" s="71"/>
      <c r="VD61" s="71"/>
      <c r="VE61" s="71"/>
      <c r="VF61" s="71"/>
      <c r="VG61" s="71"/>
      <c r="VH61" s="71"/>
      <c r="VI61" s="71"/>
      <c r="VJ61" s="71"/>
      <c r="VK61" s="71"/>
      <c r="VL61" s="71"/>
      <c r="VM61" s="71"/>
      <c r="VN61" s="71"/>
      <c r="VO61" s="71"/>
      <c r="VP61" s="71"/>
      <c r="VQ61" s="71"/>
      <c r="VR61" s="71"/>
      <c r="VS61" s="71"/>
      <c r="VT61" s="71"/>
      <c r="VU61" s="71"/>
      <c r="VV61" s="71"/>
      <c r="VW61" s="71"/>
      <c r="VX61" s="71"/>
      <c r="VY61" s="71"/>
      <c r="VZ61" s="71"/>
      <c r="WA61" s="71"/>
      <c r="WB61" s="71"/>
      <c r="WC61" s="71"/>
      <c r="WD61" s="71"/>
      <c r="WE61" s="71"/>
      <c r="WF61" s="71"/>
      <c r="WG61" s="71"/>
      <c r="WH61" s="71"/>
      <c r="WI61" s="71"/>
      <c r="WJ61" s="71"/>
      <c r="WK61" s="71"/>
      <c r="WL61" s="71"/>
      <c r="WM61" s="71"/>
      <c r="WN61" s="71"/>
      <c r="WO61" s="71"/>
      <c r="WP61" s="71"/>
      <c r="WQ61" s="71"/>
      <c r="WR61" s="71"/>
      <c r="WS61" s="71"/>
      <c r="WT61" s="71"/>
      <c r="WU61" s="71"/>
      <c r="WV61" s="71"/>
      <c r="WW61" s="71"/>
      <c r="WX61" s="71"/>
      <c r="WY61" s="71"/>
      <c r="WZ61" s="71"/>
      <c r="XA61" s="71"/>
      <c r="XB61" s="71"/>
      <c r="XC61" s="71"/>
      <c r="XD61" s="71"/>
      <c r="XE61" s="71"/>
      <c r="XF61" s="71"/>
      <c r="XG61" s="71"/>
      <c r="XH61" s="71"/>
      <c r="XI61" s="71"/>
      <c r="XJ61" s="71"/>
      <c r="XK61" s="71"/>
      <c r="XL61" s="71"/>
      <c r="XM61" s="71"/>
      <c r="XN61" s="71"/>
      <c r="XO61" s="71"/>
      <c r="XP61" s="71"/>
      <c r="XQ61" s="71"/>
      <c r="XR61" s="71"/>
      <c r="XS61" s="71"/>
      <c r="XT61" s="71"/>
      <c r="XU61" s="71"/>
      <c r="XV61" s="71"/>
      <c r="XW61" s="71"/>
      <c r="XX61" s="71"/>
      <c r="XY61" s="71"/>
      <c r="XZ61" s="71"/>
      <c r="YA61" s="71"/>
      <c r="YB61" s="71"/>
      <c r="YC61" s="71"/>
      <c r="YD61" s="71"/>
      <c r="YE61" s="71"/>
      <c r="YF61" s="71"/>
      <c r="YG61" s="71"/>
      <c r="YH61" s="71"/>
      <c r="YI61" s="71"/>
      <c r="YJ61" s="71"/>
      <c r="YK61" s="71"/>
      <c r="YL61" s="71"/>
      <c r="YM61" s="71"/>
      <c r="YN61" s="71"/>
      <c r="YO61" s="71"/>
      <c r="YP61" s="71"/>
      <c r="YQ61" s="71"/>
      <c r="YR61" s="71"/>
      <c r="YS61" s="71"/>
      <c r="YT61" s="71"/>
      <c r="YU61" s="71"/>
      <c r="YV61" s="71"/>
      <c r="YW61" s="71"/>
      <c r="YX61" s="71"/>
      <c r="YY61" s="71"/>
      <c r="YZ61" s="71"/>
      <c r="ZA61" s="71"/>
      <c r="ZB61" s="71"/>
      <c r="ZC61" s="71"/>
      <c r="ZD61" s="71"/>
      <c r="ZE61" s="71"/>
      <c r="ZF61" s="71"/>
      <c r="ZG61" s="71"/>
      <c r="ZH61" s="71"/>
      <c r="ZI61" s="71"/>
      <c r="ZJ61" s="71"/>
      <c r="ZK61" s="71"/>
      <c r="ZL61" s="71"/>
      <c r="ZM61" s="71"/>
      <c r="ZN61" s="71"/>
      <c r="ZO61" s="71"/>
      <c r="ZP61" s="71"/>
      <c r="ZQ61" s="71"/>
      <c r="ZR61" s="71"/>
      <c r="ZS61" s="71"/>
      <c r="ZT61" s="71"/>
      <c r="ZU61" s="71"/>
      <c r="ZV61" s="71"/>
      <c r="ZW61" s="71"/>
      <c r="ZX61" s="71"/>
      <c r="ZY61" s="71"/>
      <c r="ZZ61" s="71"/>
      <c r="AAA61" s="71"/>
      <c r="AAB61" s="71"/>
      <c r="AAC61" s="71"/>
      <c r="AAD61" s="71"/>
      <c r="AAE61" s="71"/>
      <c r="AAF61" s="71"/>
      <c r="AAG61" s="71"/>
      <c r="AAH61" s="71"/>
      <c r="AAI61" s="71"/>
      <c r="AAJ61" s="71"/>
      <c r="AAK61" s="71"/>
      <c r="AAL61" s="71"/>
      <c r="AAM61" s="71"/>
      <c r="AAN61" s="71"/>
      <c r="AAO61" s="71"/>
      <c r="AAP61" s="71"/>
      <c r="AAQ61" s="71"/>
      <c r="AAR61" s="71"/>
      <c r="AAS61" s="71"/>
      <c r="AAT61" s="71"/>
      <c r="AAU61" s="71"/>
      <c r="AAV61" s="71"/>
      <c r="AAW61" s="71"/>
      <c r="AAX61" s="71"/>
      <c r="AAY61" s="71"/>
      <c r="AAZ61" s="71"/>
      <c r="ABA61" s="71"/>
      <c r="ABB61" s="71"/>
      <c r="ABC61" s="71"/>
      <c r="ABD61" s="71"/>
      <c r="ABE61" s="71"/>
      <c r="ABF61" s="71"/>
      <c r="ABG61" s="71"/>
      <c r="ABH61" s="71"/>
      <c r="ABI61" s="71"/>
      <c r="ABJ61" s="71"/>
      <c r="ABK61" s="71"/>
      <c r="ABL61" s="71"/>
      <c r="ABM61" s="71"/>
      <c r="ABN61" s="71"/>
      <c r="ABO61" s="71"/>
      <c r="ABP61" s="71"/>
      <c r="ABQ61" s="71"/>
      <c r="ABR61" s="71"/>
      <c r="ABS61" s="71"/>
      <c r="ABT61" s="71"/>
      <c r="ABU61" s="71"/>
      <c r="ABV61" s="71"/>
      <c r="ABW61" s="71"/>
      <c r="ABX61" s="71"/>
      <c r="ABY61" s="71"/>
      <c r="ABZ61" s="71"/>
      <c r="ACA61" s="71"/>
      <c r="ACB61" s="71"/>
      <c r="ACC61" s="71"/>
      <c r="ACD61" s="71"/>
      <c r="ACE61" s="71"/>
      <c r="ACF61" s="71"/>
      <c r="ACG61" s="71"/>
      <c r="ACH61" s="71"/>
      <c r="ACI61" s="71"/>
      <c r="ACJ61" s="71"/>
      <c r="ACK61" s="71"/>
      <c r="ACL61" s="71"/>
      <c r="ACM61" s="71"/>
      <c r="ACN61" s="71"/>
      <c r="ACO61" s="71"/>
      <c r="ACP61" s="71"/>
      <c r="ACQ61" s="71"/>
      <c r="ACR61" s="71"/>
      <c r="ACS61" s="71"/>
      <c r="ACT61" s="71"/>
      <c r="ACU61" s="71"/>
      <c r="ACV61" s="71"/>
      <c r="ACW61" s="71"/>
      <c r="ACX61" s="71"/>
      <c r="ACY61" s="71"/>
      <c r="ACZ61" s="71"/>
      <c r="ADA61" s="71"/>
      <c r="ADB61" s="71"/>
      <c r="ADC61" s="71"/>
      <c r="ADD61" s="71"/>
      <c r="ADE61" s="71"/>
      <c r="ADF61" s="71"/>
      <c r="ADG61" s="71"/>
      <c r="ADH61" s="71"/>
      <c r="ADI61" s="71"/>
      <c r="ADJ61" s="71"/>
      <c r="ADK61" s="71"/>
      <c r="ADL61" s="71"/>
      <c r="ADM61" s="71"/>
      <c r="ADN61" s="71"/>
      <c r="ADO61" s="71"/>
      <c r="ADP61" s="71"/>
      <c r="ADQ61" s="71"/>
      <c r="ADR61" s="71"/>
      <c r="ADS61" s="71"/>
      <c r="ADT61" s="71"/>
      <c r="ADU61" s="71"/>
      <c r="ADV61" s="71"/>
      <c r="ADW61" s="71"/>
      <c r="ADX61" s="71"/>
      <c r="ADY61" s="71"/>
      <c r="ADZ61" s="71"/>
      <c r="AEA61" s="71"/>
      <c r="AEB61" s="71"/>
      <c r="AEC61" s="71"/>
      <c r="AED61" s="71"/>
      <c r="AEE61" s="71"/>
      <c r="AEF61" s="71"/>
      <c r="AEG61" s="71"/>
      <c r="AEH61" s="71"/>
      <c r="AEI61" s="71"/>
      <c r="AEJ61" s="71"/>
      <c r="AEK61" s="71"/>
      <c r="AEL61" s="71"/>
      <c r="AEM61" s="71"/>
      <c r="AEN61" s="71"/>
      <c r="AEO61" s="71"/>
      <c r="AEP61" s="71"/>
      <c r="AEQ61" s="71"/>
      <c r="AER61" s="71"/>
      <c r="AES61" s="71"/>
      <c r="AET61" s="71"/>
      <c r="AEU61" s="71"/>
      <c r="AEV61" s="71"/>
      <c r="AEW61" s="71"/>
      <c r="AEX61" s="71"/>
      <c r="AEY61" s="71"/>
      <c r="AEZ61" s="71"/>
      <c r="AFA61" s="71"/>
      <c r="AFB61" s="71"/>
      <c r="AFC61" s="71"/>
      <c r="AFD61" s="71"/>
      <c r="AFE61" s="71"/>
      <c r="AFF61" s="71"/>
      <c r="AFG61" s="71"/>
      <c r="AFH61" s="71"/>
      <c r="AFI61" s="71"/>
      <c r="AFJ61" s="71"/>
      <c r="AFK61" s="71"/>
      <c r="AFL61" s="71"/>
      <c r="AFM61" s="71"/>
      <c r="AFN61" s="71"/>
      <c r="AFO61" s="71"/>
      <c r="AFP61" s="71"/>
      <c r="AFQ61" s="71"/>
      <c r="AFR61" s="71"/>
      <c r="AFS61" s="71"/>
      <c r="AFT61" s="71"/>
      <c r="AFU61" s="71"/>
      <c r="AFV61" s="71"/>
      <c r="AFW61" s="71"/>
      <c r="AFX61" s="71"/>
      <c r="AFY61" s="71"/>
      <c r="AFZ61" s="71"/>
      <c r="AGA61" s="71"/>
      <c r="AGB61" s="71"/>
      <c r="AGC61" s="71"/>
      <c r="AGD61" s="71"/>
      <c r="AGE61" s="71"/>
      <c r="AGF61" s="71"/>
      <c r="AGG61" s="71"/>
      <c r="AGH61" s="71"/>
      <c r="AGI61" s="71"/>
      <c r="AGJ61" s="71"/>
      <c r="AGK61" s="71"/>
      <c r="AGL61" s="71"/>
      <c r="AGM61" s="71"/>
      <c r="AGN61" s="71"/>
      <c r="AGO61" s="71"/>
      <c r="AGP61" s="71"/>
      <c r="AGQ61" s="71"/>
      <c r="AGR61" s="71"/>
      <c r="AGS61" s="71"/>
      <c r="AGT61" s="71"/>
      <c r="AGU61" s="71"/>
      <c r="AGV61" s="71"/>
      <c r="AGW61" s="71"/>
      <c r="AGX61" s="71"/>
      <c r="AGY61" s="71"/>
      <c r="AGZ61" s="71"/>
      <c r="AHA61" s="71"/>
      <c r="AHB61" s="71"/>
      <c r="AHC61" s="71"/>
      <c r="AHD61" s="71"/>
      <c r="AHE61" s="71"/>
      <c r="AHF61" s="71"/>
      <c r="AHG61" s="71"/>
      <c r="AHH61" s="71"/>
      <c r="AHI61" s="71"/>
      <c r="AHJ61" s="71"/>
      <c r="AHK61" s="71"/>
      <c r="AHL61" s="71"/>
      <c r="AHM61" s="71"/>
      <c r="AHN61" s="71"/>
      <c r="AHO61" s="71"/>
      <c r="AHP61" s="71"/>
      <c r="AHQ61" s="71"/>
      <c r="AHR61" s="71"/>
      <c r="AHS61" s="71"/>
      <c r="AHT61" s="71"/>
      <c r="AHU61" s="71"/>
      <c r="AHV61" s="71"/>
      <c r="AHW61" s="71"/>
      <c r="AHX61" s="71"/>
      <c r="AHY61" s="71"/>
      <c r="AHZ61" s="71"/>
      <c r="AIA61" s="71"/>
      <c r="AIB61" s="71"/>
      <c r="AIC61" s="71"/>
      <c r="AID61" s="71"/>
      <c r="AIE61" s="71"/>
      <c r="AIF61" s="71"/>
      <c r="AIG61" s="71"/>
      <c r="AIH61" s="71"/>
      <c r="AII61" s="71"/>
      <c r="AIJ61" s="71"/>
      <c r="AIK61" s="71"/>
      <c r="AIL61" s="71"/>
      <c r="AIM61" s="71"/>
      <c r="AIN61" s="71"/>
      <c r="AIO61" s="71"/>
      <c r="AIP61" s="71"/>
      <c r="AIQ61" s="71"/>
      <c r="AIR61" s="71"/>
      <c r="AIS61" s="71"/>
      <c r="AIT61" s="71"/>
      <c r="AIU61" s="71"/>
      <c r="AIV61" s="71"/>
      <c r="AIW61" s="71"/>
      <c r="AIX61" s="71"/>
      <c r="AIY61" s="71"/>
      <c r="AIZ61" s="71"/>
      <c r="AJA61" s="71"/>
      <c r="AJB61" s="71"/>
      <c r="AJC61" s="71"/>
      <c r="AJD61" s="71"/>
      <c r="AJE61" s="71"/>
      <c r="AJF61" s="71"/>
      <c r="AJG61" s="71"/>
      <c r="AJH61" s="71"/>
      <c r="AJI61" s="71"/>
      <c r="AJJ61" s="71"/>
      <c r="AJK61" s="71"/>
      <c r="AJL61" s="71"/>
      <c r="AJM61" s="71"/>
      <c r="AJN61" s="71"/>
      <c r="AJO61" s="71"/>
      <c r="AJP61" s="71"/>
      <c r="AJQ61" s="71"/>
      <c r="AJR61" s="71"/>
      <c r="AJS61" s="71"/>
      <c r="AJT61" s="71"/>
      <c r="AJU61" s="71"/>
      <c r="AJV61" s="71"/>
      <c r="AJW61" s="71"/>
      <c r="AJX61" s="71"/>
      <c r="AJY61" s="71"/>
      <c r="AJZ61" s="71"/>
      <c r="AKA61" s="71"/>
      <c r="AKB61" s="71"/>
      <c r="AKC61" s="71"/>
      <c r="AKD61" s="71"/>
      <c r="AKE61" s="71"/>
      <c r="AKF61" s="71"/>
      <c r="AKG61" s="71"/>
      <c r="AKH61" s="71"/>
      <c r="AKI61" s="71"/>
      <c r="AKJ61" s="71"/>
      <c r="AKK61" s="71"/>
      <c r="AKL61" s="71"/>
      <c r="AKM61" s="71"/>
      <c r="AKN61" s="71"/>
      <c r="AKO61" s="71"/>
      <c r="AKP61" s="71"/>
      <c r="AKQ61" s="71"/>
      <c r="AKR61" s="71"/>
      <c r="AKS61" s="71"/>
      <c r="AKT61" s="71"/>
      <c r="AKU61" s="71"/>
      <c r="AKV61" s="71"/>
      <c r="AKW61" s="71"/>
      <c r="AKX61" s="71"/>
      <c r="AKY61" s="71"/>
      <c r="AKZ61" s="71"/>
      <c r="ALA61" s="71"/>
      <c r="ALB61" s="71"/>
      <c r="ALC61" s="71"/>
      <c r="ALD61" s="71"/>
      <c r="ALE61" s="71"/>
      <c r="ALF61" s="71"/>
      <c r="ALG61" s="71"/>
      <c r="ALH61" s="71"/>
      <c r="ALI61" s="71"/>
      <c r="ALJ61" s="71"/>
      <c r="ALK61" s="71"/>
      <c r="ALL61" s="71"/>
      <c r="ALM61" s="71"/>
      <c r="ALN61" s="71"/>
      <c r="ALO61" s="71"/>
      <c r="ALP61" s="71"/>
      <c r="ALQ61" s="71"/>
      <c r="ALR61" s="71"/>
      <c r="ALS61" s="71"/>
      <c r="ALT61" s="71"/>
      <c r="ALU61" s="71"/>
      <c r="ALV61" s="71"/>
      <c r="ALW61" s="71"/>
      <c r="ALX61" s="71"/>
      <c r="ALY61" s="71"/>
      <c r="ALZ61" s="71"/>
      <c r="AMA61" s="71"/>
      <c r="AMB61" s="71"/>
      <c r="AMC61" s="71"/>
      <c r="AMD61" s="71"/>
      <c r="AME61" s="71"/>
      <c r="AMF61" s="71"/>
      <c r="AMG61" s="71"/>
      <c r="AMH61" s="71"/>
      <c r="AMI61" s="71"/>
      <c r="AMJ61" s="71"/>
      <c r="AMK61" s="71"/>
      <c r="AML61" s="71"/>
      <c r="AMM61" s="71"/>
      <c r="AMN61" s="71"/>
      <c r="AMO61" s="71"/>
      <c r="AMP61" s="71"/>
      <c r="AMQ61" s="71"/>
      <c r="AMR61" s="71"/>
      <c r="AMS61" s="71"/>
      <c r="AMT61" s="71"/>
      <c r="AMU61" s="71"/>
      <c r="AMV61" s="71"/>
      <c r="AMW61" s="71"/>
      <c r="AMX61" s="71"/>
      <c r="AMY61" s="71"/>
      <c r="AMZ61" s="71"/>
      <c r="ANA61" s="71"/>
      <c r="ANB61" s="71"/>
      <c r="ANC61" s="71"/>
      <c r="AND61" s="71"/>
      <c r="ANE61" s="71"/>
      <c r="ANF61" s="71"/>
      <c r="ANG61" s="71"/>
      <c r="ANH61" s="71"/>
      <c r="ANI61" s="71"/>
      <c r="ANJ61" s="71"/>
      <c r="ANK61" s="71"/>
      <c r="ANL61" s="71"/>
      <c r="ANM61" s="71"/>
      <c r="ANN61" s="71"/>
      <c r="ANO61" s="71"/>
      <c r="ANP61" s="71"/>
      <c r="ANQ61" s="71"/>
      <c r="ANR61" s="71"/>
      <c r="ANS61" s="71"/>
      <c r="ANT61" s="71"/>
      <c r="ANU61" s="71"/>
      <c r="ANV61" s="71"/>
      <c r="ANW61" s="71"/>
      <c r="ANX61" s="71"/>
      <c r="ANY61" s="71"/>
      <c r="ANZ61" s="71"/>
      <c r="AOA61" s="71"/>
      <c r="AOB61" s="71"/>
      <c r="AOC61" s="71"/>
      <c r="AOD61" s="71"/>
      <c r="AOE61" s="71"/>
      <c r="AOF61" s="71"/>
      <c r="AOG61" s="71"/>
      <c r="AOH61" s="71"/>
      <c r="AOI61" s="71"/>
      <c r="AOJ61" s="71"/>
      <c r="AOK61" s="71"/>
      <c r="AOL61" s="71"/>
      <c r="AOM61" s="71"/>
      <c r="AON61" s="71"/>
      <c r="AOO61" s="71"/>
      <c r="AOP61" s="71"/>
      <c r="AOQ61" s="71"/>
      <c r="AOR61" s="71"/>
      <c r="AOS61" s="71"/>
      <c r="AOT61" s="71"/>
      <c r="AOU61" s="71"/>
      <c r="AOV61" s="71"/>
      <c r="AOW61" s="71"/>
      <c r="AOX61" s="71"/>
      <c r="AOY61" s="71"/>
      <c r="AOZ61" s="71"/>
      <c r="APA61" s="71"/>
      <c r="APB61" s="71"/>
      <c r="APC61" s="71"/>
      <c r="APD61" s="71"/>
      <c r="APE61" s="71"/>
      <c r="APF61" s="71"/>
      <c r="APG61" s="71"/>
      <c r="APH61" s="71"/>
      <c r="API61" s="71"/>
      <c r="APJ61" s="71"/>
      <c r="APK61" s="71"/>
      <c r="APL61" s="71"/>
      <c r="APM61" s="71"/>
      <c r="APN61" s="71"/>
      <c r="APO61" s="71"/>
      <c r="APP61" s="71"/>
      <c r="APQ61" s="71"/>
      <c r="APR61" s="71"/>
      <c r="APS61" s="71"/>
      <c r="APT61" s="71"/>
      <c r="APU61" s="71"/>
      <c r="APV61" s="71"/>
      <c r="APW61" s="71"/>
      <c r="APX61" s="71"/>
      <c r="APY61" s="71"/>
      <c r="APZ61" s="71"/>
      <c r="AQA61" s="71"/>
      <c r="AQB61" s="71"/>
      <c r="AQC61" s="71"/>
      <c r="AQD61" s="71"/>
      <c r="AQE61" s="71"/>
      <c r="AQF61" s="71"/>
      <c r="AQG61" s="71"/>
      <c r="AQH61" s="71"/>
      <c r="AQI61" s="71"/>
      <c r="AQJ61" s="71"/>
      <c r="AQK61" s="71"/>
      <c r="AQL61" s="71"/>
      <c r="AQM61" s="71"/>
      <c r="AQN61" s="71"/>
      <c r="AQO61" s="71"/>
      <c r="AQP61" s="71"/>
      <c r="AQQ61" s="71"/>
      <c r="AQR61" s="71"/>
      <c r="AQS61" s="71"/>
      <c r="AQT61" s="71"/>
      <c r="AQU61" s="71"/>
      <c r="AQV61" s="71"/>
      <c r="AQW61" s="71"/>
      <c r="AQX61" s="71"/>
      <c r="AQY61" s="71"/>
      <c r="AQZ61" s="71"/>
      <c r="ARA61" s="71"/>
      <c r="ARB61" s="71"/>
      <c r="ARC61" s="71"/>
      <c r="ARD61" s="71"/>
      <c r="ARE61" s="71"/>
      <c r="ARF61" s="71"/>
      <c r="ARG61" s="71"/>
      <c r="ARH61" s="71"/>
      <c r="ARI61" s="71"/>
      <c r="ARJ61" s="71"/>
      <c r="ARK61" s="71"/>
      <c r="ARL61" s="71"/>
      <c r="ARM61" s="71"/>
      <c r="ARN61" s="71"/>
      <c r="ARO61" s="71"/>
      <c r="ARP61" s="71"/>
      <c r="ARQ61" s="71"/>
      <c r="ARR61" s="71"/>
      <c r="ARS61" s="71"/>
      <c r="ART61" s="71"/>
      <c r="ARU61" s="71"/>
      <c r="ARV61" s="71"/>
      <c r="ARW61" s="71"/>
      <c r="ARX61" s="71"/>
      <c r="ARY61" s="71"/>
      <c r="ARZ61" s="71"/>
      <c r="ASA61" s="71"/>
      <c r="ASB61" s="71"/>
      <c r="ASC61" s="71"/>
      <c r="ASD61" s="71"/>
      <c r="ASE61" s="71"/>
      <c r="ASF61" s="71"/>
      <c r="ASG61" s="71"/>
      <c r="ASH61" s="71"/>
      <c r="ASI61" s="71"/>
      <c r="ASJ61" s="71"/>
      <c r="ASK61" s="71"/>
      <c r="ASL61" s="71"/>
      <c r="ASM61" s="71"/>
      <c r="ASN61" s="71"/>
      <c r="ASO61" s="71"/>
      <c r="ASP61" s="71"/>
      <c r="ASQ61" s="71"/>
      <c r="ASR61" s="71"/>
      <c r="ASS61" s="71"/>
      <c r="AST61" s="71"/>
      <c r="ASU61" s="71"/>
      <c r="ASV61" s="71"/>
      <c r="ASW61" s="71"/>
      <c r="ASX61" s="71"/>
      <c r="ASY61" s="71"/>
      <c r="ASZ61" s="71"/>
      <c r="ATA61" s="71"/>
      <c r="ATB61" s="71"/>
      <c r="ATC61" s="71"/>
      <c r="ATD61" s="71"/>
      <c r="ATE61" s="71"/>
      <c r="ATF61" s="71"/>
      <c r="ATG61" s="71"/>
      <c r="ATH61" s="71"/>
      <c r="ATI61" s="71"/>
      <c r="ATJ61" s="71"/>
      <c r="ATK61" s="71"/>
      <c r="ATL61" s="71"/>
      <c r="ATM61" s="71"/>
      <c r="ATN61" s="71"/>
      <c r="ATO61" s="71"/>
      <c r="ATP61" s="71"/>
      <c r="ATQ61" s="71"/>
      <c r="ATR61" s="71"/>
      <c r="ATS61" s="71"/>
      <c r="ATT61" s="71"/>
      <c r="ATU61" s="71"/>
      <c r="ATV61" s="71"/>
      <c r="ATW61" s="71"/>
      <c r="ATX61" s="71"/>
      <c r="ATY61" s="71"/>
      <c r="ATZ61" s="71"/>
      <c r="AUA61" s="71"/>
      <c r="AUB61" s="71"/>
      <c r="AUC61" s="71"/>
      <c r="AUD61" s="71"/>
      <c r="AUE61" s="71"/>
      <c r="AUF61" s="71"/>
      <c r="AUG61" s="71"/>
      <c r="AUH61" s="71"/>
      <c r="AUI61" s="71"/>
      <c r="AUJ61" s="71"/>
      <c r="AUK61" s="71"/>
      <c r="AUL61" s="71"/>
      <c r="AUM61" s="71"/>
      <c r="AUN61" s="71"/>
      <c r="AUO61" s="71"/>
      <c r="AUP61" s="71"/>
      <c r="AUQ61" s="71"/>
      <c r="AUR61" s="71"/>
      <c r="AUS61" s="71"/>
      <c r="AUT61" s="71"/>
      <c r="AUU61" s="71"/>
      <c r="AUV61" s="71"/>
      <c r="AUW61" s="71"/>
      <c r="AUX61" s="71"/>
      <c r="AUY61" s="71"/>
      <c r="AUZ61" s="71"/>
      <c r="AVA61" s="71"/>
      <c r="AVB61" s="71"/>
      <c r="AVC61" s="71"/>
      <c r="AVD61" s="71"/>
      <c r="AVE61" s="71"/>
      <c r="AVF61" s="71"/>
      <c r="AVG61" s="71"/>
      <c r="AVH61" s="71"/>
      <c r="AVI61" s="71"/>
      <c r="AVJ61" s="71"/>
      <c r="AVK61" s="71"/>
      <c r="AVL61" s="71"/>
      <c r="AVM61" s="71"/>
      <c r="AVN61" s="71"/>
      <c r="AVO61" s="71"/>
      <c r="AVP61" s="71"/>
      <c r="AVQ61" s="71"/>
      <c r="AVR61" s="71"/>
      <c r="AVS61" s="71"/>
      <c r="AVT61" s="71"/>
      <c r="AVU61" s="71"/>
      <c r="AVV61" s="71"/>
      <c r="AVW61" s="71"/>
      <c r="AVX61" s="71"/>
      <c r="AVY61" s="71"/>
      <c r="AVZ61" s="71"/>
      <c r="AWA61" s="71"/>
      <c r="AWB61" s="71"/>
      <c r="AWC61" s="71"/>
      <c r="AWD61" s="71"/>
      <c r="AWE61" s="71"/>
      <c r="AWF61" s="71"/>
      <c r="AWG61" s="71"/>
      <c r="AWH61" s="71"/>
      <c r="AWI61" s="71"/>
      <c r="AWJ61" s="71"/>
      <c r="AWK61" s="71"/>
      <c r="AWL61" s="71"/>
      <c r="AWM61" s="71"/>
      <c r="AWN61" s="71"/>
      <c r="AWO61" s="71"/>
      <c r="AWP61" s="71"/>
      <c r="AWQ61" s="71"/>
      <c r="AWR61" s="71"/>
      <c r="AWS61" s="71"/>
      <c r="AWT61" s="71"/>
      <c r="AWU61" s="71"/>
      <c r="AWV61" s="71"/>
      <c r="AWW61" s="71"/>
      <c r="AWX61" s="71"/>
      <c r="AWY61" s="71"/>
      <c r="AWZ61" s="71"/>
      <c r="AXA61" s="71"/>
      <c r="AXB61" s="71"/>
      <c r="AXC61" s="71"/>
      <c r="AXD61" s="71"/>
      <c r="AXE61" s="71"/>
      <c r="AXF61" s="71"/>
      <c r="AXG61" s="71"/>
      <c r="AXH61" s="71"/>
      <c r="AXI61" s="71"/>
      <c r="AXJ61" s="71"/>
      <c r="AXK61" s="71"/>
      <c r="AXL61" s="71"/>
      <c r="AXM61" s="71"/>
      <c r="AXN61" s="71"/>
      <c r="AXO61" s="71"/>
      <c r="AXP61" s="71"/>
      <c r="AXQ61" s="71"/>
      <c r="AXR61" s="71"/>
      <c r="AXS61" s="71"/>
      <c r="AXT61" s="71"/>
      <c r="AXU61" s="71"/>
      <c r="AXV61" s="71"/>
      <c r="AXW61" s="71"/>
      <c r="AXX61" s="71"/>
      <c r="AXY61" s="71"/>
      <c r="AXZ61" s="71"/>
      <c r="AYA61" s="71"/>
      <c r="AYB61" s="71"/>
      <c r="AYC61" s="71"/>
      <c r="AYD61" s="71"/>
      <c r="AYE61" s="71"/>
      <c r="AYF61" s="71"/>
      <c r="AYG61" s="71"/>
      <c r="AYH61" s="71"/>
      <c r="AYI61" s="71"/>
      <c r="AYJ61" s="71"/>
      <c r="AYK61" s="71"/>
      <c r="AYL61" s="71"/>
      <c r="AYM61" s="71"/>
      <c r="AYN61" s="71"/>
      <c r="AYO61" s="71"/>
      <c r="AYP61" s="71"/>
      <c r="AYQ61" s="71"/>
      <c r="AYR61" s="71"/>
      <c r="AYS61" s="71"/>
      <c r="AYT61" s="71"/>
      <c r="AYU61" s="71"/>
      <c r="AYV61" s="71"/>
      <c r="AYW61" s="71"/>
      <c r="AYX61" s="71"/>
      <c r="AYY61" s="71"/>
      <c r="AYZ61" s="71"/>
      <c r="AZA61" s="71"/>
      <c r="AZB61" s="71"/>
      <c r="AZC61" s="71"/>
      <c r="AZD61" s="71"/>
      <c r="AZE61" s="71"/>
      <c r="AZF61" s="71"/>
      <c r="AZG61" s="71"/>
      <c r="AZH61" s="231"/>
      <c r="AZI61" s="71"/>
      <c r="AZJ61" s="231"/>
      <c r="AZK61" s="231"/>
    </row>
    <row r="62" spans="1:1363" ht="30.75" customHeight="1" thickTop="1" thickBot="1">
      <c r="A62" s="55">
        <v>54</v>
      </c>
      <c r="B62" s="56" t="s">
        <v>308</v>
      </c>
      <c r="C62" s="57" t="s">
        <v>64</v>
      </c>
      <c r="D62" s="58" t="s">
        <v>309</v>
      </c>
      <c r="E62" s="71"/>
      <c r="F62" s="66">
        <v>195500900</v>
      </c>
      <c r="G62" s="66">
        <v>255515000</v>
      </c>
      <c r="H62" s="66">
        <v>22785000</v>
      </c>
      <c r="I62" s="66">
        <v>22092200</v>
      </c>
      <c r="J62" s="66">
        <v>25589000</v>
      </c>
      <c r="K62" s="66">
        <v>18498600</v>
      </c>
      <c r="L62" s="66">
        <v>30742700</v>
      </c>
      <c r="M62" s="66">
        <v>18494250</v>
      </c>
      <c r="N62" s="66">
        <v>25532300</v>
      </c>
      <c r="O62" s="66">
        <v>28932600</v>
      </c>
      <c r="P62" s="66">
        <v>11088600</v>
      </c>
      <c r="Q62" s="66">
        <v>14612550</v>
      </c>
      <c r="R62" s="66">
        <v>17543850</v>
      </c>
      <c r="S62" s="168">
        <v>18060400</v>
      </c>
      <c r="T62" s="70">
        <f>Volume!CN59</f>
        <v>29540200</v>
      </c>
      <c r="U62" s="70">
        <f>Volume!CO59</f>
        <v>15516400</v>
      </c>
      <c r="V62" s="70">
        <f>Volume!CP59</f>
        <v>46369950</v>
      </c>
      <c r="W62" s="70">
        <f>Volume!CQ59</f>
        <v>39955200</v>
      </c>
      <c r="X62" s="70">
        <f>Volume!CR59</f>
        <v>25506950</v>
      </c>
      <c r="Y62" s="70">
        <f>Volume!CS59</f>
        <v>21583600</v>
      </c>
      <c r="Z62" s="70">
        <f>Volume!CT59</f>
        <v>27334550</v>
      </c>
      <c r="AA62" s="70">
        <f>Volume!CU59</f>
        <v>22483600</v>
      </c>
      <c r="AB62" s="70">
        <f>Volume!CV59</f>
        <v>20920550</v>
      </c>
      <c r="AC62" s="70">
        <f>Volume!CW59</f>
        <v>25322400</v>
      </c>
      <c r="AD62" s="70">
        <f>Volume!CX59</f>
        <v>19944000</v>
      </c>
      <c r="AE62" s="70">
        <f>Volume!CY59</f>
        <v>25290000</v>
      </c>
      <c r="AF62" s="70">
        <f t="shared" si="1"/>
        <v>274710800</v>
      </c>
      <c r="AH62" s="233" t="s">
        <v>310</v>
      </c>
      <c r="AI62" s="234" t="s">
        <v>259</v>
      </c>
      <c r="AJ62" s="235" t="s">
        <v>296</v>
      </c>
      <c r="AK62" s="236">
        <v>45719</v>
      </c>
      <c r="AL62" s="237" t="s">
        <v>311</v>
      </c>
      <c r="AM62" s="238">
        <v>0</v>
      </c>
      <c r="AN62" s="238">
        <v>0</v>
      </c>
      <c r="AO62" s="238">
        <v>0</v>
      </c>
      <c r="AP62" s="239">
        <v>24823000</v>
      </c>
      <c r="AQ62" s="240"/>
      <c r="AR62" s="240"/>
      <c r="AS62" s="240"/>
      <c r="AT62" s="240"/>
      <c r="AU62" s="240"/>
      <c r="AV62" s="240"/>
      <c r="AW62" s="240"/>
      <c r="AX62" s="240"/>
      <c r="AY62" s="240"/>
      <c r="AZ62" s="240"/>
      <c r="BA62" s="240"/>
      <c r="BB62" s="240"/>
      <c r="BC62" s="240"/>
      <c r="BD62" s="240"/>
      <c r="BE62" s="240"/>
      <c r="BF62" s="240"/>
      <c r="BG62" s="240"/>
      <c r="BH62" s="240"/>
      <c r="BI62" s="240"/>
      <c r="BJ62" s="240"/>
      <c r="BK62" s="240"/>
      <c r="BL62" s="240"/>
      <c r="BM62" s="240"/>
      <c r="BN62" s="240"/>
      <c r="BO62" s="240"/>
      <c r="BP62" s="241"/>
      <c r="BQ62" s="240"/>
      <c r="BR62" s="240"/>
      <c r="BS62" s="240"/>
      <c r="BT62" s="240"/>
      <c r="BU62" s="240"/>
      <c r="BV62" s="240"/>
      <c r="BW62" s="240"/>
      <c r="BX62" s="240"/>
      <c r="BY62" s="240"/>
      <c r="BZ62" s="240"/>
      <c r="CA62" s="240"/>
      <c r="CB62" s="126">
        <v>0</v>
      </c>
      <c r="CC62" s="126">
        <v>0</v>
      </c>
      <c r="CD62" s="126">
        <v>0</v>
      </c>
      <c r="CE62" s="126">
        <v>4111800</v>
      </c>
      <c r="CF62" s="126">
        <v>3690300</v>
      </c>
      <c r="CG62" s="126">
        <v>2635300</v>
      </c>
      <c r="CH62" s="126">
        <v>3982500</v>
      </c>
      <c r="CI62" s="126">
        <v>4539300</v>
      </c>
      <c r="CJ62" s="126">
        <v>3758400</v>
      </c>
      <c r="CK62" s="126">
        <v>869600</v>
      </c>
      <c r="CL62" s="126">
        <v>832600</v>
      </c>
      <c r="CM62" s="242">
        <v>403200</v>
      </c>
      <c r="CN62" s="243">
        <v>0</v>
      </c>
      <c r="CO62" s="243">
        <v>475500</v>
      </c>
      <c r="CP62" s="243">
        <v>48000</v>
      </c>
      <c r="CQ62" s="243">
        <v>0</v>
      </c>
      <c r="CR62" s="243">
        <v>0</v>
      </c>
      <c r="CS62" s="243">
        <v>0</v>
      </c>
      <c r="CT62" s="243">
        <v>168000</v>
      </c>
      <c r="CU62" s="243">
        <v>168000</v>
      </c>
      <c r="CV62" s="243">
        <v>210000</v>
      </c>
      <c r="CW62" s="243">
        <v>361200</v>
      </c>
      <c r="CX62" s="243">
        <v>302400</v>
      </c>
      <c r="CY62" s="243">
        <v>336000</v>
      </c>
      <c r="CZ62" s="71"/>
      <c r="DA62" s="6"/>
      <c r="DB62" s="6"/>
    </row>
    <row r="63" spans="1:1363" s="71" customFormat="1" ht="42.75" customHeight="1" thickTop="1" thickBot="1">
      <c r="A63" s="55">
        <v>55</v>
      </c>
      <c r="B63" s="56" t="s">
        <v>312</v>
      </c>
      <c r="C63" s="57" t="s">
        <v>82</v>
      </c>
      <c r="D63" s="58" t="s">
        <v>313</v>
      </c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5"/>
      <c r="Q63" s="145"/>
      <c r="R63" s="145"/>
      <c r="S63" s="146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70">
        <f t="shared" si="1"/>
        <v>0</v>
      </c>
      <c r="AH63" s="181" t="s">
        <v>314</v>
      </c>
      <c r="AI63" s="149" t="s">
        <v>315</v>
      </c>
      <c r="AJ63" s="244" t="s">
        <v>296</v>
      </c>
      <c r="AK63" s="245">
        <v>45694</v>
      </c>
      <c r="AL63" s="246" t="s">
        <v>316</v>
      </c>
      <c r="AM63" s="247">
        <v>0</v>
      </c>
      <c r="AN63" s="247">
        <v>0</v>
      </c>
      <c r="AO63" s="247">
        <v>0</v>
      </c>
      <c r="AP63" s="248">
        <v>3299400</v>
      </c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49">
        <v>0</v>
      </c>
      <c r="BE63" s="249">
        <v>0</v>
      </c>
      <c r="BF63" s="249">
        <v>0</v>
      </c>
      <c r="BG63" s="249">
        <v>0</v>
      </c>
      <c r="BH63" s="249">
        <v>0</v>
      </c>
      <c r="BI63" s="249">
        <v>0</v>
      </c>
      <c r="BJ63" s="249">
        <v>0</v>
      </c>
      <c r="BK63" s="249">
        <v>0</v>
      </c>
      <c r="BL63" s="249">
        <v>0</v>
      </c>
      <c r="BM63" s="249">
        <v>0</v>
      </c>
      <c r="BN63" s="249">
        <v>0</v>
      </c>
      <c r="BO63" s="249">
        <v>0</v>
      </c>
      <c r="BP63" s="249">
        <v>0</v>
      </c>
      <c r="BQ63" s="249">
        <v>0</v>
      </c>
      <c r="BR63" s="249">
        <v>0</v>
      </c>
      <c r="BS63" s="249">
        <v>0</v>
      </c>
      <c r="BT63" s="249">
        <v>0</v>
      </c>
      <c r="BU63" s="249">
        <v>0</v>
      </c>
      <c r="BV63" s="249">
        <v>0</v>
      </c>
      <c r="BW63" s="249">
        <v>0</v>
      </c>
      <c r="BX63" s="249">
        <v>0</v>
      </c>
      <c r="BY63" s="249">
        <v>0</v>
      </c>
      <c r="BZ63" s="249">
        <v>0</v>
      </c>
      <c r="CA63" s="249">
        <v>0</v>
      </c>
      <c r="CB63" s="250">
        <v>0</v>
      </c>
      <c r="CC63" s="250">
        <v>0</v>
      </c>
      <c r="CD63" s="250">
        <v>0</v>
      </c>
      <c r="CE63" s="250">
        <v>0</v>
      </c>
      <c r="CF63" s="250">
        <v>728760</v>
      </c>
      <c r="CG63" s="250">
        <v>1410720</v>
      </c>
      <c r="CH63" s="250">
        <v>434160</v>
      </c>
      <c r="CI63" s="250">
        <v>376920</v>
      </c>
      <c r="CJ63" s="250">
        <v>348840</v>
      </c>
      <c r="CK63" s="250">
        <v>0</v>
      </c>
      <c r="CL63" s="250">
        <v>0</v>
      </c>
      <c r="CM63" s="229">
        <v>0</v>
      </c>
      <c r="CN63" s="230">
        <v>0</v>
      </c>
      <c r="CO63" s="251">
        <v>0</v>
      </c>
      <c r="CP63" s="251">
        <v>0</v>
      </c>
      <c r="CQ63" s="251">
        <v>0</v>
      </c>
      <c r="CR63" s="251">
        <v>0</v>
      </c>
      <c r="CS63" s="251">
        <v>0</v>
      </c>
      <c r="CT63" s="251">
        <v>0</v>
      </c>
      <c r="CU63" s="251">
        <v>0</v>
      </c>
      <c r="CV63" s="251">
        <v>0</v>
      </c>
      <c r="CW63" s="251">
        <v>0</v>
      </c>
      <c r="CX63" s="251">
        <v>0</v>
      </c>
      <c r="CY63" s="251">
        <v>0</v>
      </c>
      <c r="DA63" s="6"/>
      <c r="DB63" s="6"/>
    </row>
    <row r="64" spans="1:1363" ht="37.5" customHeight="1" thickTop="1" thickBot="1">
      <c r="A64" s="55">
        <v>56</v>
      </c>
      <c r="B64" s="56" t="s">
        <v>317</v>
      </c>
      <c r="C64" s="57" t="s">
        <v>82</v>
      </c>
      <c r="D64" s="58" t="s">
        <v>318</v>
      </c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252"/>
      <c r="Q64" s="252"/>
      <c r="R64" s="252"/>
      <c r="S64" s="253"/>
      <c r="T64" s="254">
        <v>0</v>
      </c>
      <c r="U64" s="255">
        <f>Volume!CO14</f>
        <v>29969.999999999993</v>
      </c>
      <c r="V64" s="255">
        <f>Volume!CP14</f>
        <v>576000</v>
      </c>
      <c r="W64" s="255">
        <f>Volume!CQ14</f>
        <v>811149.99999999988</v>
      </c>
      <c r="X64" s="255">
        <f>Volume!CR14</f>
        <v>1104659.9999999998</v>
      </c>
      <c r="Y64" s="255">
        <f>Volume!CS14</f>
        <v>817540.00000000012</v>
      </c>
      <c r="Z64" s="255">
        <f>Volume!CT14</f>
        <v>476460</v>
      </c>
      <c r="AA64" s="255">
        <f>Volume!CU14</f>
        <v>606300</v>
      </c>
      <c r="AB64" s="255">
        <f>Volume!CV14</f>
        <v>610230</v>
      </c>
      <c r="AC64" s="255">
        <f>Volume!CW14</f>
        <v>481710</v>
      </c>
      <c r="AD64" s="255">
        <f>Volume!CX14</f>
        <v>582030</v>
      </c>
      <c r="AE64" s="255">
        <f>Volume!CY14</f>
        <v>613260</v>
      </c>
      <c r="AF64" s="70">
        <f t="shared" si="1"/>
        <v>6679340</v>
      </c>
      <c r="AH64" s="256"/>
      <c r="AI64" s="257" t="s">
        <v>150</v>
      </c>
      <c r="AJ64" s="258"/>
      <c r="AK64" s="258"/>
      <c r="AL64" s="259"/>
      <c r="AM64" s="260">
        <v>521304320</v>
      </c>
      <c r="AN64" s="260">
        <v>468436913</v>
      </c>
      <c r="AO64" s="260">
        <v>397158290</v>
      </c>
      <c r="AP64" s="260">
        <v>469298356</v>
      </c>
      <c r="AQ64" s="261">
        <v>9366300</v>
      </c>
      <c r="AR64" s="261">
        <v>5088060</v>
      </c>
      <c r="AS64" s="261">
        <v>10606320</v>
      </c>
      <c r="AT64" s="261">
        <v>9598860</v>
      </c>
      <c r="AU64" s="261">
        <v>14671980</v>
      </c>
      <c r="AV64" s="261">
        <v>14349580</v>
      </c>
      <c r="AW64" s="261">
        <v>12979220</v>
      </c>
      <c r="AX64" s="261">
        <v>15256580</v>
      </c>
      <c r="AY64" s="261">
        <v>15964420</v>
      </c>
      <c r="AZ64" s="261">
        <v>12569000</v>
      </c>
      <c r="BA64" s="261">
        <v>15497160</v>
      </c>
      <c r="BB64" s="261">
        <v>14497440</v>
      </c>
      <c r="BC64" s="261"/>
      <c r="BD64" s="261">
        <v>15559440</v>
      </c>
      <c r="BE64" s="261">
        <v>12012360</v>
      </c>
      <c r="BF64" s="261">
        <v>18465130</v>
      </c>
      <c r="BG64" s="261">
        <v>19798430</v>
      </c>
      <c r="BH64" s="261">
        <v>23406027.550000001</v>
      </c>
      <c r="BI64" s="261">
        <v>26965023.100000001</v>
      </c>
      <c r="BJ64" s="261">
        <v>37630702.75</v>
      </c>
      <c r="BK64" s="261">
        <v>43853584.950000003</v>
      </c>
      <c r="BL64" s="261">
        <v>58256163.700000003</v>
      </c>
      <c r="BM64" s="261">
        <v>32802598</v>
      </c>
      <c r="BN64" s="261">
        <v>42920799.950000003</v>
      </c>
      <c r="BO64" s="261">
        <v>48233339.200000003</v>
      </c>
      <c r="BP64" s="261">
        <v>41323123.950000003</v>
      </c>
      <c r="BQ64" s="261">
        <v>41261193.299999997</v>
      </c>
      <c r="BR64" s="261">
        <v>45338256.450000003</v>
      </c>
      <c r="BS64" s="261">
        <v>35612523.75</v>
      </c>
      <c r="BT64" s="261">
        <v>37187473.700000003</v>
      </c>
      <c r="BU64" s="261">
        <v>39990543.75</v>
      </c>
      <c r="BV64" s="261">
        <v>36028065.850000001</v>
      </c>
      <c r="BW64" s="261">
        <v>27053479.899999999</v>
      </c>
      <c r="BX64" s="261">
        <v>26089462.949999999</v>
      </c>
      <c r="BY64" s="261">
        <v>17352266.050000001</v>
      </c>
      <c r="BZ64" s="261">
        <v>41595510.450000003</v>
      </c>
      <c r="CA64" s="261">
        <v>29854629.524999999</v>
      </c>
      <c r="CB64" s="262">
        <v>31128050</v>
      </c>
      <c r="CC64" s="262">
        <v>32641880</v>
      </c>
      <c r="CD64" s="262">
        <v>35407550</v>
      </c>
      <c r="CE64" s="262">
        <v>30530144</v>
      </c>
      <c r="CF64" s="262">
        <v>51927022</v>
      </c>
      <c r="CG64" s="262">
        <v>47492450</v>
      </c>
      <c r="CH64" s="262">
        <v>48987358</v>
      </c>
      <c r="CI64" s="262">
        <v>57967194</v>
      </c>
      <c r="CJ64" s="262">
        <v>37012910</v>
      </c>
      <c r="CK64" s="263">
        <v>32432066</v>
      </c>
      <c r="CL64" s="263">
        <v>32111920.000000004</v>
      </c>
      <c r="CM64" s="264">
        <v>31659812</v>
      </c>
      <c r="CN64" s="264">
        <v>49325134</v>
      </c>
      <c r="CO64" s="264">
        <v>24094072</v>
      </c>
      <c r="CP64" s="264">
        <v>33634028</v>
      </c>
      <c r="CQ64" s="264">
        <v>34681186</v>
      </c>
      <c r="CR64" s="264">
        <v>30539856</v>
      </c>
      <c r="CS64" s="264">
        <v>34099475</v>
      </c>
      <c r="CT64" s="264">
        <v>36698503</v>
      </c>
      <c r="CU64" s="264">
        <v>35034668</v>
      </c>
      <c r="CV64" s="264">
        <v>32811628.999999996</v>
      </c>
      <c r="CW64" s="264">
        <v>35888193</v>
      </c>
      <c r="CX64" s="264">
        <v>32888857</v>
      </c>
      <c r="CY64" s="264">
        <v>33677829</v>
      </c>
      <c r="CZ64" s="71"/>
      <c r="DA64" s="6"/>
      <c r="DB64" s="6"/>
    </row>
    <row r="65" spans="1:106" ht="30.75" customHeight="1" thickTop="1" thickBot="1">
      <c r="A65" s="55">
        <v>57</v>
      </c>
      <c r="B65" s="56" t="s">
        <v>319</v>
      </c>
      <c r="C65" s="57" t="s">
        <v>82</v>
      </c>
      <c r="D65" s="58" t="s">
        <v>320</v>
      </c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252"/>
      <c r="Q65" s="252"/>
      <c r="R65" s="252"/>
      <c r="S65" s="253"/>
      <c r="T65" s="252"/>
      <c r="U65" s="255">
        <f>Volume!CO14</f>
        <v>29969.999999999993</v>
      </c>
      <c r="V65" s="255">
        <f>Volume!CP14</f>
        <v>576000</v>
      </c>
      <c r="W65" s="255">
        <f>Volume!CQ14</f>
        <v>811149.99999999988</v>
      </c>
      <c r="X65" s="255">
        <f>Volume!CR14</f>
        <v>1104659.9999999998</v>
      </c>
      <c r="Y65" s="255">
        <f>Volume!CS14</f>
        <v>817540.00000000012</v>
      </c>
      <c r="Z65" s="255">
        <f>Volume!CT14</f>
        <v>476460</v>
      </c>
      <c r="AA65" s="255">
        <f>Volume!CU14</f>
        <v>606300</v>
      </c>
      <c r="AB65" s="255">
        <f>Volume!CV14</f>
        <v>610230</v>
      </c>
      <c r="AC65" s="255">
        <f>Volume!CW14</f>
        <v>481710</v>
      </c>
      <c r="AD65" s="255">
        <f>Volume!CX14</f>
        <v>582030</v>
      </c>
      <c r="AE65" s="255">
        <f>Volume!CY14</f>
        <v>613260</v>
      </c>
      <c r="AF65" s="70">
        <f t="shared" si="1"/>
        <v>6679340</v>
      </c>
      <c r="AH65" s="256"/>
      <c r="AI65" s="265" t="s">
        <v>321</v>
      </c>
      <c r="AJ65" s="266"/>
      <c r="AK65" s="266"/>
      <c r="AL65" s="267"/>
      <c r="AM65" s="268">
        <v>0</v>
      </c>
      <c r="AN65" s="268">
        <v>86189947</v>
      </c>
      <c r="AO65" s="268">
        <v>102047186</v>
      </c>
      <c r="AP65" s="268">
        <v>97469652</v>
      </c>
      <c r="AQ65" s="269">
        <v>0</v>
      </c>
      <c r="AR65" s="269">
        <v>0</v>
      </c>
      <c r="AS65" s="269">
        <v>0</v>
      </c>
      <c r="AT65" s="269">
        <v>0</v>
      </c>
      <c r="AU65" s="269">
        <v>0</v>
      </c>
      <c r="AV65" s="269">
        <v>0</v>
      </c>
      <c r="AW65" s="269">
        <v>0</v>
      </c>
      <c r="AX65" s="269">
        <v>0</v>
      </c>
      <c r="AY65" s="269">
        <v>0</v>
      </c>
      <c r="AZ65" s="269">
        <v>0</v>
      </c>
      <c r="BA65" s="269">
        <v>0</v>
      </c>
      <c r="BB65" s="270">
        <v>0</v>
      </c>
      <c r="BC65" s="270"/>
      <c r="BD65" s="270">
        <v>0</v>
      </c>
      <c r="BE65" s="270">
        <v>0</v>
      </c>
      <c r="BF65" s="270">
        <v>0</v>
      </c>
      <c r="BG65" s="270">
        <v>932000</v>
      </c>
      <c r="BH65" s="270">
        <v>2904000</v>
      </c>
      <c r="BI65" s="270">
        <v>6345360</v>
      </c>
      <c r="BJ65" s="271">
        <v>12084000</v>
      </c>
      <c r="BK65" s="270">
        <v>12364000</v>
      </c>
      <c r="BL65" s="270">
        <v>14666000</v>
      </c>
      <c r="BM65" s="270">
        <v>7120798</v>
      </c>
      <c r="BN65" s="270">
        <v>18203789</v>
      </c>
      <c r="BO65" s="270">
        <v>11570000</v>
      </c>
      <c r="BP65" s="270">
        <v>9075800</v>
      </c>
      <c r="BQ65" s="270">
        <v>8437600</v>
      </c>
      <c r="BR65" s="270">
        <v>10342600</v>
      </c>
      <c r="BS65" s="270">
        <v>14465200</v>
      </c>
      <c r="BT65" s="270">
        <v>8559800</v>
      </c>
      <c r="BU65" s="270">
        <v>7514600</v>
      </c>
      <c r="BV65" s="270">
        <v>6556800</v>
      </c>
      <c r="BW65" s="270">
        <v>7044946</v>
      </c>
      <c r="BX65" s="270">
        <v>9026320</v>
      </c>
      <c r="BY65" s="270">
        <v>9701480</v>
      </c>
      <c r="BZ65" s="270">
        <v>8363040</v>
      </c>
      <c r="CA65" s="270">
        <v>2959000</v>
      </c>
      <c r="CB65" s="272">
        <v>3799544</v>
      </c>
      <c r="CC65" s="272">
        <v>2069304</v>
      </c>
      <c r="CD65" s="272">
        <v>3374376</v>
      </c>
      <c r="CE65" s="273">
        <v>5449368</v>
      </c>
      <c r="CF65" s="273">
        <v>8148152</v>
      </c>
      <c r="CG65" s="273">
        <v>10331936</v>
      </c>
      <c r="CH65" s="273">
        <v>10161984</v>
      </c>
      <c r="CI65" s="273">
        <v>13723968</v>
      </c>
      <c r="CJ65" s="273">
        <v>10955448</v>
      </c>
      <c r="CK65" s="274">
        <v>12221840</v>
      </c>
      <c r="CL65" s="274">
        <v>10098556</v>
      </c>
      <c r="CM65" s="275">
        <v>7135176</v>
      </c>
      <c r="CN65" s="275">
        <v>4385016</v>
      </c>
      <c r="CO65" s="275">
        <v>3352744</v>
      </c>
      <c r="CP65" s="275">
        <v>3298140</v>
      </c>
      <c r="CQ65" s="275">
        <v>5150200</v>
      </c>
      <c r="CR65" s="275">
        <v>5252844</v>
      </c>
      <c r="CS65" s="275">
        <v>7607097</v>
      </c>
      <c r="CT65" s="275">
        <v>6144799.0000000009</v>
      </c>
      <c r="CU65" s="275">
        <v>7092409.9999999991</v>
      </c>
      <c r="CV65" s="275">
        <v>6236532</v>
      </c>
      <c r="CW65" s="275">
        <v>6095645.9999999991</v>
      </c>
      <c r="CX65" s="275">
        <v>7886988</v>
      </c>
      <c r="CY65" s="275">
        <v>6036935.9999999991</v>
      </c>
      <c r="CZ65" s="71"/>
      <c r="DA65" s="6"/>
      <c r="DB65" s="6"/>
    </row>
    <row r="66" spans="1:106" s="252" customFormat="1" ht="30.75" customHeight="1" thickTop="1" thickBot="1">
      <c r="A66" s="55">
        <v>58</v>
      </c>
      <c r="B66" s="56" t="s">
        <v>322</v>
      </c>
      <c r="C66" s="57" t="s">
        <v>323</v>
      </c>
      <c r="D66" s="58" t="s">
        <v>324</v>
      </c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70">
        <f t="shared" si="1"/>
        <v>0</v>
      </c>
      <c r="AH66" s="256"/>
      <c r="AI66" s="276" t="s">
        <v>325</v>
      </c>
      <c r="AJ66" s="277"/>
      <c r="AK66" s="277"/>
      <c r="AL66" s="278"/>
      <c r="AM66" s="279">
        <v>21928601</v>
      </c>
      <c r="AN66" s="279">
        <v>25418470</v>
      </c>
      <c r="AO66" s="279">
        <v>9400250</v>
      </c>
      <c r="AP66" s="279">
        <v>16174136</v>
      </c>
      <c r="AQ66" s="280">
        <v>2336600</v>
      </c>
      <c r="AR66" s="280">
        <v>685900</v>
      </c>
      <c r="AS66" s="280">
        <v>1486000</v>
      </c>
      <c r="AT66" s="280">
        <v>2171200</v>
      </c>
      <c r="AU66" s="280">
        <v>1403100</v>
      </c>
      <c r="AV66" s="280">
        <v>1722345</v>
      </c>
      <c r="AW66" s="280">
        <v>1580200</v>
      </c>
      <c r="AX66" s="280">
        <v>1325700</v>
      </c>
      <c r="AY66" s="280">
        <v>1790900</v>
      </c>
      <c r="AZ66" s="280">
        <v>2290731</v>
      </c>
      <c r="BA66" s="280">
        <v>2414600</v>
      </c>
      <c r="BB66" s="281">
        <v>2365600</v>
      </c>
      <c r="BC66" s="281"/>
      <c r="BD66" s="281">
        <v>2103000</v>
      </c>
      <c r="BE66" s="281">
        <v>1225400</v>
      </c>
      <c r="BF66" s="281">
        <v>2524265</v>
      </c>
      <c r="BG66" s="281">
        <v>2861600</v>
      </c>
      <c r="BH66" s="281">
        <v>2498600</v>
      </c>
      <c r="BI66" s="281">
        <v>2780600</v>
      </c>
      <c r="BJ66" s="282">
        <v>2321650</v>
      </c>
      <c r="BK66" s="281">
        <v>2133650</v>
      </c>
      <c r="BL66" s="281">
        <v>1317255</v>
      </c>
      <c r="BM66" s="281">
        <v>978600</v>
      </c>
      <c r="BN66" s="281">
        <v>1238200</v>
      </c>
      <c r="BO66" s="281">
        <v>1862200</v>
      </c>
      <c r="BP66" s="281">
        <v>1660750</v>
      </c>
      <c r="BQ66" s="281">
        <v>2520350</v>
      </c>
      <c r="BR66" s="281">
        <v>2498900</v>
      </c>
      <c r="BS66" s="281">
        <v>1497550</v>
      </c>
      <c r="BT66" s="281">
        <v>1281100</v>
      </c>
      <c r="BU66" s="281">
        <v>802600</v>
      </c>
      <c r="BV66" s="281">
        <v>1513800</v>
      </c>
      <c r="BW66" s="281">
        <v>1122900</v>
      </c>
      <c r="BX66" s="281">
        <v>687800</v>
      </c>
      <c r="BY66" s="281">
        <v>697700</v>
      </c>
      <c r="BZ66" s="281">
        <v>1070200</v>
      </c>
      <c r="CA66" s="281">
        <v>1824000</v>
      </c>
      <c r="CB66" s="283">
        <v>1333100</v>
      </c>
      <c r="CC66" s="283">
        <v>563500</v>
      </c>
      <c r="CD66" s="283">
        <v>980500</v>
      </c>
      <c r="CE66" s="284">
        <v>1567120</v>
      </c>
      <c r="CF66" s="284">
        <v>1174100</v>
      </c>
      <c r="CG66" s="284">
        <v>762090</v>
      </c>
      <c r="CH66" s="284">
        <v>1363576</v>
      </c>
      <c r="CI66" s="284">
        <v>1433940</v>
      </c>
      <c r="CJ66" s="284">
        <v>1771560</v>
      </c>
      <c r="CK66" s="285">
        <v>1946150</v>
      </c>
      <c r="CL66" s="285">
        <v>1380500</v>
      </c>
      <c r="CM66" s="286">
        <v>1898000</v>
      </c>
      <c r="CN66" s="286">
        <v>1628186</v>
      </c>
      <c r="CO66" s="286">
        <v>1005872</v>
      </c>
      <c r="CP66" s="286">
        <v>719520</v>
      </c>
      <c r="CQ66" s="286">
        <v>959628</v>
      </c>
      <c r="CR66" s="286">
        <v>751372</v>
      </c>
      <c r="CS66" s="286">
        <v>758202</v>
      </c>
      <c r="CT66" s="286">
        <v>943514</v>
      </c>
      <c r="CU66" s="286">
        <v>907316</v>
      </c>
      <c r="CV66" s="286">
        <v>858682</v>
      </c>
      <c r="CW66" s="286">
        <v>1061394</v>
      </c>
      <c r="CX66" s="286">
        <v>884696</v>
      </c>
      <c r="CY66" s="286">
        <v>1075695</v>
      </c>
      <c r="CZ66" s="71"/>
      <c r="DA66" s="6"/>
      <c r="DB66" s="6"/>
    </row>
    <row r="67" spans="1:106" s="252" customFormat="1" ht="30.75" customHeight="1" thickTop="1" thickBot="1">
      <c r="A67" s="55">
        <v>59</v>
      </c>
      <c r="B67" s="56" t="s">
        <v>326</v>
      </c>
      <c r="C67" s="57" t="s">
        <v>323</v>
      </c>
      <c r="D67" s="58" t="s">
        <v>327</v>
      </c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70">
        <f t="shared" si="1"/>
        <v>0</v>
      </c>
      <c r="AH67" s="87"/>
      <c r="AI67" s="287"/>
      <c r="AJ67" s="288"/>
      <c r="AK67" s="289"/>
      <c r="AL67" s="290"/>
      <c r="AM67" s="291"/>
      <c r="AN67" s="291"/>
      <c r="AO67" s="291"/>
      <c r="AP67" s="291"/>
      <c r="AQ67" s="292"/>
      <c r="AR67" s="292"/>
      <c r="AS67" s="292"/>
      <c r="AT67" s="292"/>
      <c r="AU67" s="292"/>
      <c r="AV67" s="292"/>
      <c r="AW67" s="292"/>
      <c r="AX67" s="292"/>
      <c r="AY67" s="292"/>
      <c r="AZ67" s="292"/>
      <c r="BA67" s="292"/>
      <c r="BB67" s="292"/>
      <c r="BC67" s="292"/>
      <c r="BD67" s="292"/>
      <c r="BE67" s="292"/>
      <c r="BF67" s="292"/>
      <c r="BG67" s="292"/>
      <c r="BH67" s="292"/>
      <c r="BI67" s="292"/>
      <c r="BJ67" s="292"/>
      <c r="BK67" s="292"/>
      <c r="BL67" s="292"/>
      <c r="BM67" s="292"/>
      <c r="BN67" s="292"/>
      <c r="BO67" s="293"/>
      <c r="BP67" s="293"/>
      <c r="BQ67" s="293"/>
      <c r="BR67" s="293"/>
      <c r="BS67" s="293"/>
      <c r="BT67" s="293"/>
      <c r="BU67" s="293"/>
      <c r="BV67" s="293"/>
      <c r="BW67" s="293"/>
      <c r="BX67" s="293"/>
      <c r="BY67" s="293"/>
      <c r="BZ67" s="293"/>
      <c r="CA67" s="293"/>
      <c r="CB67" s="294"/>
      <c r="CC67" s="294"/>
      <c r="CD67" s="294"/>
      <c r="CE67" s="294"/>
      <c r="CF67" s="294"/>
      <c r="CG67" s="294"/>
      <c r="CH67" s="294"/>
      <c r="CI67" s="294"/>
      <c r="CJ67" s="294"/>
      <c r="CK67" s="295"/>
      <c r="CL67" s="295"/>
      <c r="CM67" s="296"/>
      <c r="CN67" s="296"/>
      <c r="CO67" s="296"/>
      <c r="CP67" s="296"/>
      <c r="CQ67" s="296"/>
      <c r="CR67" s="296"/>
      <c r="CS67" s="296"/>
      <c r="CT67" s="296"/>
      <c r="CU67" s="296"/>
      <c r="CV67" s="296"/>
      <c r="CW67" s="296"/>
      <c r="CX67" s="296"/>
      <c r="CY67" s="296"/>
      <c r="CZ67" s="71"/>
      <c r="DA67" s="6"/>
      <c r="DB67" s="6"/>
    </row>
    <row r="68" spans="1:106" s="143" customFormat="1" ht="30.75" customHeight="1" thickTop="1" thickBot="1">
      <c r="A68" s="55">
        <v>60</v>
      </c>
      <c r="B68" s="56" t="s">
        <v>328</v>
      </c>
      <c r="C68" s="57" t="s">
        <v>138</v>
      </c>
      <c r="D68" s="58" t="s">
        <v>329</v>
      </c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T68" s="147">
        <v>0</v>
      </c>
      <c r="U68" s="142">
        <v>3744</v>
      </c>
      <c r="V68" s="142">
        <v>72000</v>
      </c>
      <c r="W68" s="147">
        <v>153000</v>
      </c>
      <c r="X68" s="147">
        <v>99000</v>
      </c>
      <c r="Y68" s="147">
        <v>18000</v>
      </c>
      <c r="Z68" s="147">
        <v>36336</v>
      </c>
      <c r="AA68" s="147">
        <v>56016.000000000007</v>
      </c>
      <c r="AB68" s="147">
        <v>38736.000000000007</v>
      </c>
      <c r="AC68" s="147">
        <v>46032</v>
      </c>
      <c r="AD68" s="147">
        <v>44928.000000000007</v>
      </c>
      <c r="AE68" s="147">
        <v>43776</v>
      </c>
      <c r="AF68" s="70">
        <f t="shared" si="1"/>
        <v>607824</v>
      </c>
      <c r="AH68" s="87"/>
      <c r="AI68" s="297"/>
      <c r="AJ68" s="298"/>
      <c r="AK68" s="299"/>
      <c r="AL68" s="88"/>
      <c r="AM68" s="291"/>
      <c r="AN68" s="291"/>
      <c r="AO68" s="291"/>
      <c r="AP68" s="291"/>
      <c r="AQ68" s="300"/>
      <c r="AR68" s="300"/>
      <c r="AS68" s="300"/>
      <c r="AT68" s="300"/>
      <c r="AU68" s="300"/>
      <c r="AV68" s="300"/>
      <c r="AW68" s="300"/>
      <c r="AX68" s="300"/>
      <c r="AY68" s="300"/>
      <c r="AZ68" s="300"/>
      <c r="BA68" s="300"/>
      <c r="BB68" s="300"/>
      <c r="BC68" s="300"/>
      <c r="BD68" s="300"/>
      <c r="BE68" s="300"/>
      <c r="BF68" s="300"/>
      <c r="BG68" s="300"/>
      <c r="BH68" s="300"/>
      <c r="BI68" s="300"/>
      <c r="BJ68" s="300"/>
      <c r="BK68" s="300"/>
      <c r="BL68" s="300"/>
      <c r="BM68" s="300"/>
      <c r="BN68" s="300"/>
      <c r="BO68" s="301"/>
      <c r="BP68" s="301"/>
      <c r="BQ68" s="301"/>
      <c r="BR68" s="301"/>
      <c r="BS68" s="301"/>
      <c r="BT68" s="301"/>
      <c r="BU68" s="301"/>
      <c r="BV68" s="301"/>
      <c r="BW68" s="301"/>
      <c r="BX68" s="301"/>
      <c r="BY68" s="301"/>
      <c r="BZ68" s="301"/>
      <c r="CA68" s="301"/>
      <c r="CB68" s="302"/>
      <c r="CC68" s="302"/>
      <c r="CD68" s="302"/>
      <c r="CE68" s="302"/>
      <c r="CF68" s="302"/>
      <c r="CG68" s="302"/>
      <c r="CH68" s="302"/>
      <c r="CI68" s="302"/>
      <c r="CJ68" s="302"/>
      <c r="CK68" s="303"/>
      <c r="CL68" s="303"/>
      <c r="CM68" s="304"/>
      <c r="CN68" s="304"/>
      <c r="CO68" s="304"/>
      <c r="CP68" s="304"/>
      <c r="CQ68" s="304"/>
      <c r="CR68" s="304"/>
      <c r="CS68" s="304"/>
      <c r="CT68" s="304"/>
      <c r="CU68" s="304"/>
      <c r="CV68" s="304"/>
      <c r="CW68" s="304"/>
      <c r="CX68" s="304"/>
      <c r="CY68" s="304"/>
      <c r="CZ68" s="71"/>
      <c r="DA68" s="6"/>
      <c r="DB68" s="6"/>
    </row>
    <row r="69" spans="1:106" s="143" customFormat="1" ht="30.75" customHeight="1" thickTop="1" thickBot="1">
      <c r="A69" s="55">
        <v>61</v>
      </c>
      <c r="B69" s="56" t="s">
        <v>330</v>
      </c>
      <c r="C69" s="57" t="s">
        <v>138</v>
      </c>
      <c r="D69" s="58" t="s">
        <v>331</v>
      </c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T69" s="147">
        <v>0</v>
      </c>
      <c r="U69" s="142">
        <v>3744</v>
      </c>
      <c r="V69" s="142">
        <v>72000</v>
      </c>
      <c r="W69" s="147">
        <v>153000</v>
      </c>
      <c r="X69" s="147">
        <v>99000</v>
      </c>
      <c r="Y69" s="147">
        <v>18000</v>
      </c>
      <c r="Z69" s="147">
        <v>36336</v>
      </c>
      <c r="AA69" s="147">
        <v>56016.000000000007</v>
      </c>
      <c r="AB69" s="147">
        <v>38736.000000000007</v>
      </c>
      <c r="AC69" s="147">
        <v>46032</v>
      </c>
      <c r="AD69" s="147">
        <v>44928.000000000007</v>
      </c>
      <c r="AE69" s="147">
        <v>43776</v>
      </c>
      <c r="AF69" s="70">
        <f t="shared" si="1"/>
        <v>607824</v>
      </c>
      <c r="AH69" s="87"/>
      <c r="AI69" s="159"/>
      <c r="AJ69" s="298"/>
      <c r="AK69" s="299"/>
      <c r="AL69" s="88"/>
      <c r="AM69" s="291"/>
      <c r="AN69" s="291"/>
      <c r="AO69" s="291"/>
      <c r="AP69" s="291"/>
      <c r="AQ69" s="300"/>
      <c r="AR69" s="300"/>
      <c r="AS69" s="300"/>
      <c r="AT69" s="300"/>
      <c r="AU69" s="300"/>
      <c r="AV69" s="300"/>
      <c r="AW69" s="300"/>
      <c r="AX69" s="300"/>
      <c r="AY69" s="300"/>
      <c r="AZ69" s="300"/>
      <c r="BA69" s="300"/>
      <c r="BB69" s="300"/>
      <c r="BC69" s="300"/>
      <c r="BD69" s="300"/>
      <c r="BE69" s="300"/>
      <c r="BF69" s="300"/>
      <c r="BG69" s="300"/>
      <c r="BH69" s="300"/>
      <c r="BI69" s="300"/>
      <c r="BJ69" s="300"/>
      <c r="BK69" s="300"/>
      <c r="BL69" s="300"/>
      <c r="BM69" s="300"/>
      <c r="BN69" s="300"/>
      <c r="BO69" s="301"/>
      <c r="BP69" s="301"/>
      <c r="BQ69" s="301"/>
      <c r="BR69" s="301"/>
      <c r="BS69" s="301"/>
      <c r="BT69" s="301"/>
      <c r="BU69" s="301"/>
      <c r="BV69" s="301"/>
      <c r="BW69" s="301"/>
      <c r="BX69" s="301"/>
      <c r="BY69" s="301"/>
      <c r="BZ69" s="301"/>
      <c r="CA69" s="301"/>
      <c r="CB69" s="302"/>
      <c r="CC69" s="302"/>
      <c r="CD69" s="302"/>
      <c r="CE69" s="302"/>
      <c r="CF69" s="302"/>
      <c r="CG69" s="302"/>
      <c r="CH69" s="302"/>
      <c r="CI69" s="302"/>
      <c r="CJ69" s="302"/>
      <c r="CK69" s="303"/>
      <c r="CL69" s="303"/>
      <c r="CM69" s="304"/>
      <c r="CN69" s="304"/>
      <c r="CO69" s="304"/>
      <c r="CP69" s="304"/>
      <c r="CQ69" s="304"/>
      <c r="CR69" s="304"/>
      <c r="CS69" s="304"/>
      <c r="CT69" s="304"/>
      <c r="CU69" s="304"/>
      <c r="CV69" s="304"/>
      <c r="CW69" s="304"/>
      <c r="CX69" s="304"/>
      <c r="CY69" s="304"/>
      <c r="CZ69" s="71"/>
      <c r="DA69" s="6"/>
      <c r="DB69" s="6"/>
    </row>
    <row r="70" spans="1:106" s="143" customFormat="1" ht="30.75" customHeight="1" thickTop="1" thickBot="1">
      <c r="A70" s="55">
        <v>62</v>
      </c>
      <c r="B70" s="56" t="s">
        <v>332</v>
      </c>
      <c r="C70" s="57" t="s">
        <v>87</v>
      </c>
      <c r="D70" s="58" t="s">
        <v>333</v>
      </c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V70" s="143">
        <v>106560.00000000001</v>
      </c>
      <c r="AF70" s="70">
        <f t="shared" si="1"/>
        <v>106560.00000000001</v>
      </c>
      <c r="AH70" s="87"/>
      <c r="AI70" s="297"/>
      <c r="AJ70" s="298"/>
      <c r="AK70" s="299"/>
      <c r="AL70" s="88"/>
      <c r="AM70" s="291"/>
      <c r="AN70" s="291"/>
      <c r="AO70" s="291"/>
      <c r="AP70" s="291"/>
      <c r="AQ70" s="300"/>
      <c r="AR70" s="300"/>
      <c r="AS70" s="300"/>
      <c r="AT70" s="300"/>
      <c r="AU70" s="300"/>
      <c r="AV70" s="300"/>
      <c r="AW70" s="300"/>
      <c r="AX70" s="300"/>
      <c r="AY70" s="300"/>
      <c r="AZ70" s="300"/>
      <c r="BA70" s="300"/>
      <c r="BB70" s="300"/>
      <c r="BC70" s="300"/>
      <c r="BD70" s="300"/>
      <c r="BE70" s="300"/>
      <c r="BF70" s="300"/>
      <c r="BG70" s="300"/>
      <c r="BH70" s="300"/>
      <c r="BI70" s="300"/>
      <c r="BJ70" s="300"/>
      <c r="BK70" s="300"/>
      <c r="BL70" s="300"/>
      <c r="BM70" s="300"/>
      <c r="BN70" s="300"/>
      <c r="BO70" s="301"/>
      <c r="BP70" s="301"/>
      <c r="BQ70" s="301"/>
      <c r="BR70" s="301"/>
      <c r="BS70" s="301"/>
      <c r="BT70" s="301"/>
      <c r="BU70" s="301"/>
      <c r="BV70" s="301"/>
      <c r="BW70" s="301"/>
      <c r="BX70" s="301"/>
      <c r="BY70" s="301"/>
      <c r="BZ70" s="301"/>
      <c r="CA70" s="301"/>
      <c r="CB70" s="302"/>
      <c r="CC70" s="302"/>
      <c r="CD70" s="302"/>
      <c r="CE70" s="302"/>
      <c r="CF70" s="302"/>
      <c r="CG70" s="302"/>
      <c r="CH70" s="302"/>
      <c r="CI70" s="302"/>
      <c r="CJ70" s="302"/>
      <c r="CK70" s="303"/>
      <c r="CL70" s="303"/>
      <c r="CM70" s="304"/>
      <c r="CN70" s="304"/>
      <c r="CO70" s="304"/>
      <c r="CP70" s="304"/>
      <c r="CQ70" s="304"/>
      <c r="CR70" s="304"/>
      <c r="CS70" s="304"/>
      <c r="CT70" s="304"/>
      <c r="CU70" s="304"/>
      <c r="CV70" s="304"/>
      <c r="CW70" s="304"/>
      <c r="CX70" s="304"/>
      <c r="CY70" s="304"/>
      <c r="CZ70" s="71"/>
      <c r="DA70" s="6"/>
      <c r="DB70" s="6"/>
    </row>
    <row r="71" spans="1:106" s="143" customFormat="1" ht="30.75" customHeight="1" thickTop="1" thickBot="1">
      <c r="A71" s="55">
        <v>63</v>
      </c>
      <c r="B71" s="56" t="s">
        <v>334</v>
      </c>
      <c r="C71" s="57" t="s">
        <v>87</v>
      </c>
      <c r="D71" s="58" t="s">
        <v>335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AF71" s="70">
        <f t="shared" si="1"/>
        <v>0</v>
      </c>
      <c r="AH71" s="87"/>
      <c r="AI71" s="297"/>
      <c r="AJ71" s="298"/>
      <c r="AK71" s="299"/>
      <c r="AL71" s="305"/>
      <c r="AM71" s="291"/>
      <c r="AN71" s="291"/>
      <c r="AO71" s="291"/>
      <c r="AP71" s="291"/>
      <c r="AQ71" s="300"/>
      <c r="AR71" s="300"/>
      <c r="AS71" s="300"/>
      <c r="AT71" s="300"/>
      <c r="AU71" s="300"/>
      <c r="AV71" s="300"/>
      <c r="AW71" s="300"/>
      <c r="AX71" s="300"/>
      <c r="AY71" s="300"/>
      <c r="AZ71" s="300"/>
      <c r="BA71" s="300"/>
      <c r="BB71" s="300"/>
      <c r="BC71" s="300"/>
      <c r="BD71" s="300"/>
      <c r="BE71" s="300"/>
      <c r="BF71" s="300"/>
      <c r="BG71" s="300"/>
      <c r="BH71" s="300"/>
      <c r="BI71" s="300"/>
      <c r="BJ71" s="300"/>
      <c r="BK71" s="300"/>
      <c r="BL71" s="300"/>
      <c r="BM71" s="300"/>
      <c r="BN71" s="300"/>
      <c r="BO71" s="301"/>
      <c r="BP71" s="301"/>
      <c r="BQ71" s="301"/>
      <c r="BR71" s="301"/>
      <c r="BS71" s="301"/>
      <c r="BT71" s="301"/>
      <c r="BU71" s="301"/>
      <c r="BV71" s="301"/>
      <c r="BW71" s="301"/>
      <c r="BX71" s="301"/>
      <c r="BY71" s="301"/>
      <c r="BZ71" s="301"/>
      <c r="CA71" s="301"/>
      <c r="CB71" s="302"/>
      <c r="CC71" s="302"/>
      <c r="CD71" s="302"/>
      <c r="CE71" s="302"/>
      <c r="CF71" s="302"/>
      <c r="CG71" s="302"/>
      <c r="CH71" s="302"/>
      <c r="CI71" s="302"/>
      <c r="CJ71" s="302"/>
      <c r="CK71" s="303"/>
      <c r="CL71" s="303"/>
      <c r="CM71" s="304"/>
      <c r="CN71" s="304"/>
      <c r="CO71" s="304"/>
      <c r="CP71" s="304"/>
      <c r="CQ71" s="304"/>
      <c r="CR71" s="304"/>
      <c r="CS71" s="304"/>
      <c r="CT71" s="304"/>
      <c r="CU71" s="304"/>
      <c r="CV71" s="304"/>
      <c r="CW71" s="304"/>
      <c r="CX71" s="304"/>
      <c r="CY71" s="304"/>
      <c r="CZ71" s="71"/>
      <c r="DA71" s="6"/>
      <c r="DB71" s="6"/>
    </row>
    <row r="72" spans="1:106" s="143" customFormat="1" ht="30.75" customHeight="1" thickTop="1" thickBot="1">
      <c r="A72" s="55">
        <v>64</v>
      </c>
      <c r="B72" s="56" t="s">
        <v>336</v>
      </c>
      <c r="C72" s="57" t="s">
        <v>87</v>
      </c>
      <c r="D72" s="58" t="s">
        <v>337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AF72" s="70">
        <f t="shared" si="1"/>
        <v>0</v>
      </c>
      <c r="AH72" s="87"/>
      <c r="AI72" s="297"/>
      <c r="AJ72" s="298"/>
      <c r="AK72" s="299"/>
      <c r="AL72" s="305"/>
      <c r="AM72" s="291"/>
      <c r="AN72" s="291"/>
      <c r="AO72" s="291"/>
      <c r="AP72" s="291"/>
      <c r="AQ72" s="300"/>
      <c r="AR72" s="300"/>
      <c r="AS72" s="300"/>
      <c r="AT72" s="300"/>
      <c r="AU72" s="300"/>
      <c r="AV72" s="300"/>
      <c r="AW72" s="300"/>
      <c r="AX72" s="300"/>
      <c r="AY72" s="300"/>
      <c r="AZ72" s="300"/>
      <c r="BA72" s="300"/>
      <c r="BB72" s="300"/>
      <c r="BC72" s="300"/>
      <c r="BD72" s="300"/>
      <c r="BE72" s="300"/>
      <c r="BF72" s="300"/>
      <c r="BG72" s="300"/>
      <c r="BH72" s="300"/>
      <c r="BI72" s="300"/>
      <c r="BJ72" s="300"/>
      <c r="BK72" s="300"/>
      <c r="BL72" s="300"/>
      <c r="BM72" s="300"/>
      <c r="BN72" s="300"/>
      <c r="BO72" s="301"/>
      <c r="BP72" s="301"/>
      <c r="BQ72" s="301"/>
      <c r="BR72" s="301"/>
      <c r="BS72" s="301"/>
      <c r="BT72" s="301"/>
      <c r="BU72" s="301"/>
      <c r="BV72" s="301"/>
      <c r="BW72" s="301"/>
      <c r="BX72" s="301"/>
      <c r="BY72" s="301"/>
      <c r="BZ72" s="301"/>
      <c r="CA72" s="301"/>
      <c r="CB72" s="302"/>
      <c r="CC72" s="302"/>
      <c r="CD72" s="302"/>
      <c r="CE72" s="302"/>
      <c r="CF72" s="302"/>
      <c r="CG72" s="302"/>
      <c r="CH72" s="302"/>
      <c r="CI72" s="302"/>
      <c r="CJ72" s="302"/>
      <c r="CK72" s="303"/>
      <c r="CL72" s="303"/>
      <c r="CM72" s="304"/>
      <c r="CN72" s="304"/>
      <c r="CO72" s="304"/>
      <c r="CP72" s="304"/>
      <c r="CQ72" s="304"/>
      <c r="CR72" s="304"/>
      <c r="CS72" s="304"/>
      <c r="CT72" s="304"/>
      <c r="CU72" s="304"/>
      <c r="CV72" s="304"/>
      <c r="CW72" s="304"/>
      <c r="CX72" s="304"/>
      <c r="CY72" s="304"/>
      <c r="CZ72" s="71"/>
      <c r="DA72" s="6"/>
      <c r="DB72" s="6"/>
    </row>
    <row r="73" spans="1:106" s="143" customFormat="1" ht="30.75" customHeight="1" thickTop="1" thickBot="1">
      <c r="A73" s="55">
        <v>65</v>
      </c>
      <c r="B73" s="56" t="s">
        <v>338</v>
      </c>
      <c r="C73" s="57" t="s">
        <v>138</v>
      </c>
      <c r="D73" s="58" t="s">
        <v>339</v>
      </c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306"/>
      <c r="T73" s="147">
        <v>0</v>
      </c>
      <c r="U73" s="142">
        <v>3744</v>
      </c>
      <c r="V73" s="142">
        <v>72000</v>
      </c>
      <c r="W73" s="147">
        <v>153000</v>
      </c>
      <c r="X73" s="147">
        <v>99000</v>
      </c>
      <c r="Y73" s="147">
        <v>18000</v>
      </c>
      <c r="Z73" s="147">
        <v>36336</v>
      </c>
      <c r="AA73" s="147">
        <v>56016.000000000007</v>
      </c>
      <c r="AB73" s="147">
        <v>38736.000000000007</v>
      </c>
      <c r="AC73" s="147">
        <v>46032</v>
      </c>
      <c r="AD73" s="147">
        <v>44928.000000000007</v>
      </c>
      <c r="AE73" s="147">
        <v>43776</v>
      </c>
      <c r="AF73" s="70">
        <f t="shared" si="1"/>
        <v>607824</v>
      </c>
      <c r="AH73" s="87"/>
      <c r="AI73" s="297"/>
      <c r="AJ73" s="298"/>
      <c r="AK73" s="299"/>
      <c r="AL73" s="88"/>
      <c r="AM73" s="291"/>
      <c r="AN73" s="291"/>
      <c r="AO73" s="291"/>
      <c r="AP73" s="291"/>
      <c r="AQ73" s="300"/>
      <c r="AR73" s="300"/>
      <c r="AS73" s="300"/>
      <c r="AT73" s="300"/>
      <c r="AU73" s="300"/>
      <c r="AV73" s="300"/>
      <c r="AW73" s="300"/>
      <c r="AX73" s="300"/>
      <c r="AY73" s="300"/>
      <c r="AZ73" s="300"/>
      <c r="BA73" s="300"/>
      <c r="BB73" s="300"/>
      <c r="BC73" s="300"/>
      <c r="BD73" s="300"/>
      <c r="BE73" s="300"/>
      <c r="BF73" s="300"/>
      <c r="BG73" s="300"/>
      <c r="BH73" s="300"/>
      <c r="BI73" s="300"/>
      <c r="BJ73" s="300"/>
      <c r="BK73" s="300"/>
      <c r="BL73" s="300"/>
      <c r="BM73" s="300"/>
      <c r="BN73" s="300"/>
      <c r="BO73" s="301"/>
      <c r="BP73" s="301"/>
      <c r="BQ73" s="301"/>
      <c r="BR73" s="301"/>
      <c r="BS73" s="301"/>
      <c r="BT73" s="301"/>
      <c r="BU73" s="301"/>
      <c r="BV73" s="301"/>
      <c r="BW73" s="301"/>
      <c r="BX73" s="301"/>
      <c r="BY73" s="301"/>
      <c r="BZ73" s="301"/>
      <c r="CA73" s="301"/>
      <c r="CB73" s="302"/>
      <c r="CC73" s="302"/>
      <c r="CD73" s="302"/>
      <c r="CE73" s="302"/>
      <c r="CF73" s="302"/>
      <c r="CG73" s="302"/>
      <c r="CH73" s="302"/>
      <c r="CI73" s="302"/>
      <c r="CJ73" s="302"/>
      <c r="CK73" s="303"/>
      <c r="CL73" s="303"/>
      <c r="CM73" s="304"/>
      <c r="CN73" s="304"/>
      <c r="CO73" s="304"/>
      <c r="CP73" s="304"/>
      <c r="CQ73" s="304"/>
      <c r="CR73" s="304"/>
      <c r="CS73" s="304"/>
      <c r="CT73" s="304"/>
      <c r="CU73" s="304"/>
      <c r="CV73" s="304"/>
      <c r="CW73" s="304"/>
      <c r="CX73" s="304"/>
      <c r="CY73" s="304"/>
      <c r="CZ73" s="71"/>
      <c r="DA73" s="6"/>
      <c r="DB73" s="6"/>
    </row>
    <row r="74" spans="1:106" s="143" customFormat="1" ht="30.75" customHeight="1" thickTop="1" thickBot="1">
      <c r="A74" s="55">
        <v>66</v>
      </c>
      <c r="B74" s="56" t="s">
        <v>342</v>
      </c>
      <c r="C74" s="57" t="s">
        <v>343</v>
      </c>
      <c r="D74" s="58" t="s">
        <v>344</v>
      </c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57"/>
      <c r="T74" s="227">
        <v>89492</v>
      </c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0">
        <f t="shared" si="1"/>
        <v>0</v>
      </c>
      <c r="AH74" s="87"/>
      <c r="AI74" s="297"/>
      <c r="AJ74" s="298"/>
      <c r="AK74" s="299"/>
      <c r="AL74" s="88"/>
      <c r="AM74" s="291"/>
      <c r="AN74" s="291"/>
      <c r="AO74" s="291"/>
      <c r="AP74" s="291"/>
      <c r="AQ74" s="300"/>
      <c r="AR74" s="300"/>
      <c r="AS74" s="300"/>
      <c r="AT74" s="300"/>
      <c r="AU74" s="300"/>
      <c r="AV74" s="300"/>
      <c r="AW74" s="300"/>
      <c r="AX74" s="300"/>
      <c r="AY74" s="300"/>
      <c r="AZ74" s="300"/>
      <c r="BA74" s="300"/>
      <c r="BB74" s="300"/>
      <c r="BC74" s="300"/>
      <c r="BD74" s="300"/>
      <c r="BE74" s="300"/>
      <c r="BF74" s="300"/>
      <c r="BG74" s="300"/>
      <c r="BH74" s="300"/>
      <c r="BI74" s="300"/>
      <c r="BJ74" s="300"/>
      <c r="BK74" s="300"/>
      <c r="BL74" s="300"/>
      <c r="BM74" s="300"/>
      <c r="BN74" s="300"/>
      <c r="BO74" s="301"/>
      <c r="BP74" s="301"/>
      <c r="BQ74" s="301"/>
      <c r="BR74" s="301"/>
      <c r="BS74" s="301"/>
      <c r="BT74" s="301"/>
      <c r="BU74" s="301"/>
      <c r="BV74" s="301"/>
      <c r="BW74" s="301"/>
      <c r="BX74" s="301"/>
      <c r="BY74" s="301"/>
      <c r="BZ74" s="301"/>
      <c r="CA74" s="301"/>
      <c r="CB74" s="302"/>
      <c r="CC74" s="302"/>
      <c r="CD74" s="302"/>
      <c r="CE74" s="302"/>
      <c r="CF74" s="302"/>
      <c r="CG74" s="302"/>
      <c r="CH74" s="302"/>
      <c r="CI74" s="302"/>
      <c r="CJ74" s="302"/>
      <c r="CK74" s="303"/>
      <c r="CL74" s="303"/>
      <c r="CM74" s="304"/>
      <c r="CN74" s="304"/>
      <c r="CO74" s="304"/>
      <c r="CP74" s="304"/>
      <c r="CQ74" s="304"/>
      <c r="CR74" s="304"/>
      <c r="CS74" s="304"/>
      <c r="CT74" s="304"/>
      <c r="CU74" s="304"/>
      <c r="CV74" s="304"/>
      <c r="CW74" s="304"/>
      <c r="CX74" s="304"/>
      <c r="CY74" s="304"/>
      <c r="CZ74" s="71"/>
      <c r="DA74" s="6"/>
      <c r="DB74" s="6"/>
    </row>
    <row r="75" spans="1:106" s="143" customFormat="1" ht="30.75" customHeight="1" thickTop="1" thickBot="1">
      <c r="A75" s="55">
        <v>67</v>
      </c>
      <c r="B75" s="56" t="s">
        <v>346</v>
      </c>
      <c r="C75" s="57" t="s">
        <v>347</v>
      </c>
      <c r="D75" s="58" t="s">
        <v>348</v>
      </c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57"/>
      <c r="T75" s="227">
        <v>27600</v>
      </c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0">
        <f t="shared" ref="AF75:AF82" si="3">SUM(V75:AE75)</f>
        <v>0</v>
      </c>
      <c r="AH75" s="88"/>
      <c r="AI75" s="297"/>
      <c r="AJ75" s="298"/>
      <c r="AK75" s="299"/>
      <c r="AL75" s="88"/>
      <c r="AM75" s="291"/>
      <c r="AN75" s="291"/>
      <c r="AO75" s="291"/>
      <c r="AP75" s="291"/>
      <c r="AQ75" s="300"/>
      <c r="AR75" s="300"/>
      <c r="AS75" s="300"/>
      <c r="AT75" s="300"/>
      <c r="AU75" s="300"/>
      <c r="AV75" s="300"/>
      <c r="AW75" s="300"/>
      <c r="AX75" s="300"/>
      <c r="AY75" s="300"/>
      <c r="AZ75" s="300"/>
      <c r="BA75" s="300"/>
      <c r="BB75" s="300"/>
      <c r="BC75" s="300"/>
      <c r="BD75" s="300"/>
      <c r="BE75" s="300"/>
      <c r="BF75" s="300"/>
      <c r="BG75" s="300"/>
      <c r="BH75" s="300"/>
      <c r="BI75" s="300"/>
      <c r="BJ75" s="300"/>
      <c r="BK75" s="300"/>
      <c r="BL75" s="300"/>
      <c r="BM75" s="300"/>
      <c r="BN75" s="300"/>
      <c r="BO75" s="301"/>
      <c r="BP75" s="301"/>
      <c r="BQ75" s="301"/>
      <c r="BR75" s="301"/>
      <c r="BS75" s="301"/>
      <c r="BT75" s="301"/>
      <c r="BU75" s="301"/>
      <c r="BV75" s="301"/>
      <c r="BW75" s="301"/>
      <c r="BX75" s="301"/>
      <c r="BY75" s="301"/>
      <c r="BZ75" s="301"/>
      <c r="CA75" s="301"/>
      <c r="CB75" s="302"/>
      <c r="CC75" s="302"/>
      <c r="CD75" s="302"/>
      <c r="CE75" s="302"/>
      <c r="CF75" s="302"/>
      <c r="CG75" s="302"/>
      <c r="CH75" s="302"/>
      <c r="CI75" s="302"/>
      <c r="CJ75" s="302"/>
      <c r="CK75" s="303"/>
      <c r="CL75" s="303"/>
      <c r="CM75" s="304"/>
      <c r="CN75" s="304"/>
      <c r="CO75" s="304"/>
      <c r="CP75" s="304"/>
      <c r="CQ75" s="304"/>
      <c r="CR75" s="304"/>
      <c r="CS75" s="304"/>
      <c r="CT75" s="304"/>
      <c r="CU75" s="304"/>
      <c r="CV75" s="304"/>
      <c r="CW75" s="304"/>
      <c r="CX75" s="304"/>
      <c r="CY75" s="304"/>
      <c r="CZ75" s="71"/>
      <c r="DA75" s="6"/>
      <c r="DB75" s="6"/>
    </row>
    <row r="76" spans="1:106" s="143" customFormat="1" ht="30.75" customHeight="1" thickTop="1" thickBot="1">
      <c r="A76" s="55">
        <v>68</v>
      </c>
      <c r="B76" s="56" t="s">
        <v>349</v>
      </c>
      <c r="C76" s="57" t="s">
        <v>82</v>
      </c>
      <c r="D76" s="58" t="s">
        <v>350</v>
      </c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57"/>
      <c r="T76" s="71">
        <v>0</v>
      </c>
      <c r="U76" s="309">
        <f>Volume!CO14</f>
        <v>29969.999999999993</v>
      </c>
      <c r="V76" s="309">
        <f>Volume!CP14</f>
        <v>576000</v>
      </c>
      <c r="W76" s="309">
        <f>Volume!CQ14</f>
        <v>811149.99999999988</v>
      </c>
      <c r="X76" s="309">
        <f>Volume!CR14</f>
        <v>1104659.9999999998</v>
      </c>
      <c r="Y76" s="309">
        <f>Volume!CS14</f>
        <v>817540.00000000012</v>
      </c>
      <c r="Z76" s="309">
        <f>Volume!CT14</f>
        <v>476460</v>
      </c>
      <c r="AA76" s="309">
        <f>Volume!CU14</f>
        <v>606300</v>
      </c>
      <c r="AB76" s="309">
        <f>Volume!CV14</f>
        <v>610230</v>
      </c>
      <c r="AC76" s="309">
        <f>Volume!CW14</f>
        <v>481710</v>
      </c>
      <c r="AD76" s="309">
        <f>Volume!CX14</f>
        <v>582030</v>
      </c>
      <c r="AE76" s="309">
        <f>Volume!CY14</f>
        <v>613260</v>
      </c>
      <c r="AF76" s="70">
        <f t="shared" si="3"/>
        <v>6679340</v>
      </c>
      <c r="AH76" s="87"/>
      <c r="AI76" s="297"/>
      <c r="AJ76" s="298"/>
      <c r="AK76" s="299"/>
      <c r="AL76" s="88"/>
      <c r="AM76" s="291"/>
      <c r="AN76" s="291"/>
      <c r="AO76" s="291"/>
      <c r="AP76" s="291"/>
      <c r="AQ76" s="300"/>
      <c r="AR76" s="300"/>
      <c r="AS76" s="300"/>
      <c r="AT76" s="300"/>
      <c r="AU76" s="300"/>
      <c r="AV76" s="300"/>
      <c r="AW76" s="300"/>
      <c r="AX76" s="300"/>
      <c r="AY76" s="300"/>
      <c r="AZ76" s="300"/>
      <c r="BA76" s="300"/>
      <c r="BB76" s="300"/>
      <c r="BC76" s="300"/>
      <c r="BD76" s="300"/>
      <c r="BE76" s="300"/>
      <c r="BF76" s="300"/>
      <c r="BG76" s="300"/>
      <c r="BH76" s="300"/>
      <c r="BI76" s="300"/>
      <c r="BJ76" s="300"/>
      <c r="BK76" s="300"/>
      <c r="BL76" s="300"/>
      <c r="BM76" s="300"/>
      <c r="BN76" s="300"/>
      <c r="BO76" s="301"/>
      <c r="BP76" s="301"/>
      <c r="BQ76" s="301"/>
      <c r="BR76" s="301"/>
      <c r="BS76" s="301"/>
      <c r="BT76" s="301"/>
      <c r="BU76" s="301"/>
      <c r="BV76" s="301"/>
      <c r="BW76" s="301"/>
      <c r="BX76" s="301"/>
      <c r="BY76" s="301"/>
      <c r="BZ76" s="301"/>
      <c r="CA76" s="301"/>
      <c r="CB76" s="302"/>
      <c r="CC76" s="302"/>
      <c r="CD76" s="302"/>
      <c r="CE76" s="302"/>
      <c r="CF76" s="302"/>
      <c r="CG76" s="302"/>
      <c r="CH76" s="302"/>
      <c r="CI76" s="302"/>
      <c r="CJ76" s="302"/>
      <c r="CK76" s="303"/>
      <c r="CL76" s="303"/>
      <c r="CM76" s="304"/>
      <c r="CN76" s="304"/>
      <c r="CO76" s="304"/>
      <c r="CP76" s="304"/>
      <c r="CQ76" s="304"/>
      <c r="CR76" s="304"/>
      <c r="CS76" s="304"/>
      <c r="CT76" s="304"/>
      <c r="CU76" s="304"/>
      <c r="CV76" s="304"/>
      <c r="CW76" s="304"/>
      <c r="CX76" s="304"/>
      <c r="CY76" s="304"/>
      <c r="CZ76" s="71"/>
      <c r="DA76" s="6"/>
      <c r="DB76" s="6"/>
    </row>
    <row r="77" spans="1:106" s="143" customFormat="1" ht="30.75" customHeight="1" thickTop="1" thickBot="1">
      <c r="A77" s="55">
        <v>69</v>
      </c>
      <c r="B77" s="56" t="s">
        <v>351</v>
      </c>
      <c r="C77" s="57" t="s">
        <v>352</v>
      </c>
      <c r="D77" s="58" t="s">
        <v>353</v>
      </c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57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0">
        <f t="shared" si="3"/>
        <v>0</v>
      </c>
      <c r="AH77" s="87"/>
      <c r="AI77" s="297"/>
      <c r="AJ77" s="298"/>
      <c r="AK77" s="299"/>
      <c r="AL77" s="88"/>
      <c r="AM77" s="291"/>
      <c r="AN77" s="291"/>
      <c r="AO77" s="291"/>
      <c r="AP77" s="291"/>
      <c r="AQ77" s="300"/>
      <c r="AR77" s="300"/>
      <c r="AS77" s="300"/>
      <c r="AT77" s="300"/>
      <c r="AU77" s="300"/>
      <c r="AV77" s="300"/>
      <c r="AW77" s="300"/>
      <c r="AX77" s="300"/>
      <c r="AY77" s="300"/>
      <c r="AZ77" s="300"/>
      <c r="BA77" s="300"/>
      <c r="BB77" s="300"/>
      <c r="BC77" s="300"/>
      <c r="BD77" s="300"/>
      <c r="BE77" s="300"/>
      <c r="BF77" s="300"/>
      <c r="BG77" s="300"/>
      <c r="BH77" s="300"/>
      <c r="BI77" s="300"/>
      <c r="BJ77" s="300"/>
      <c r="BK77" s="300"/>
      <c r="BL77" s="300"/>
      <c r="BM77" s="300"/>
      <c r="BN77" s="300"/>
      <c r="BO77" s="301"/>
      <c r="BP77" s="301"/>
      <c r="BQ77" s="301"/>
      <c r="BR77" s="301"/>
      <c r="BS77" s="301"/>
      <c r="BT77" s="301"/>
      <c r="BU77" s="301"/>
      <c r="BV77" s="301"/>
      <c r="BW77" s="301"/>
      <c r="BX77" s="301"/>
      <c r="BY77" s="301"/>
      <c r="BZ77" s="301"/>
      <c r="CA77" s="301"/>
      <c r="CB77" s="302"/>
      <c r="CC77" s="302"/>
      <c r="CD77" s="302"/>
      <c r="CE77" s="302"/>
      <c r="CF77" s="302"/>
      <c r="CG77" s="302"/>
      <c r="CH77" s="302"/>
      <c r="CI77" s="302"/>
      <c r="CJ77" s="302"/>
      <c r="CK77" s="303"/>
      <c r="CL77" s="303"/>
      <c r="CM77" s="304"/>
      <c r="CN77" s="304"/>
      <c r="CO77" s="304"/>
      <c r="CP77" s="304"/>
      <c r="CQ77" s="304"/>
      <c r="CR77" s="304"/>
      <c r="CS77" s="304"/>
      <c r="CT77" s="304"/>
      <c r="CU77" s="304"/>
      <c r="CV77" s="304"/>
      <c r="CW77" s="304"/>
      <c r="CX77" s="304"/>
      <c r="CY77" s="304"/>
      <c r="CZ77" s="71"/>
      <c r="DA77" s="6"/>
      <c r="DB77" s="6"/>
    </row>
    <row r="78" spans="1:106" s="143" customFormat="1" ht="30.75" customHeight="1" thickTop="1" thickBot="1">
      <c r="A78" s="55">
        <v>70</v>
      </c>
      <c r="B78" s="56" t="s">
        <v>354</v>
      </c>
      <c r="C78" s="57" t="s">
        <v>199</v>
      </c>
      <c r="D78" s="58" t="s">
        <v>355</v>
      </c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57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0">
        <f t="shared" si="3"/>
        <v>0</v>
      </c>
      <c r="AH78" s="87"/>
      <c r="AI78" s="297"/>
      <c r="AJ78" s="298"/>
      <c r="AK78" s="299"/>
      <c r="AL78" s="88"/>
      <c r="AM78" s="291"/>
      <c r="AN78" s="291"/>
      <c r="AO78" s="291"/>
      <c r="AP78" s="291"/>
      <c r="AQ78" s="300"/>
      <c r="AR78" s="300"/>
      <c r="AS78" s="300"/>
      <c r="AT78" s="300"/>
      <c r="AU78" s="300"/>
      <c r="AV78" s="300"/>
      <c r="AW78" s="300"/>
      <c r="AX78" s="300"/>
      <c r="AY78" s="300"/>
      <c r="AZ78" s="300"/>
      <c r="BA78" s="300"/>
      <c r="BB78" s="300"/>
      <c r="BC78" s="300"/>
      <c r="BD78" s="300"/>
      <c r="BE78" s="300"/>
      <c r="BF78" s="300"/>
      <c r="BG78" s="300"/>
      <c r="BH78" s="300"/>
      <c r="BI78" s="300"/>
      <c r="BJ78" s="300"/>
      <c r="BK78" s="300"/>
      <c r="BL78" s="300"/>
      <c r="BM78" s="300"/>
      <c r="BN78" s="300"/>
      <c r="BO78" s="301"/>
      <c r="BP78" s="301"/>
      <c r="BQ78" s="301"/>
      <c r="BR78" s="301"/>
      <c r="BS78" s="301"/>
      <c r="BT78" s="301"/>
      <c r="BU78" s="301"/>
      <c r="BV78" s="301"/>
      <c r="BW78" s="301"/>
      <c r="BX78" s="301"/>
      <c r="BY78" s="301"/>
      <c r="BZ78" s="301"/>
      <c r="CA78" s="301"/>
      <c r="CB78" s="302"/>
      <c r="CC78" s="302"/>
      <c r="CD78" s="302"/>
      <c r="CE78" s="302"/>
      <c r="CF78" s="302"/>
      <c r="CG78" s="302"/>
      <c r="CH78" s="302"/>
      <c r="CI78" s="302"/>
      <c r="CJ78" s="302"/>
      <c r="CK78" s="303"/>
      <c r="CL78" s="303"/>
      <c r="CM78" s="304"/>
      <c r="CN78" s="304"/>
      <c r="CO78" s="304"/>
      <c r="CP78" s="304"/>
      <c r="CQ78" s="304"/>
      <c r="CR78" s="304"/>
      <c r="CS78" s="304"/>
      <c r="CT78" s="304"/>
      <c r="CU78" s="304"/>
      <c r="CV78" s="304"/>
      <c r="CW78" s="304"/>
      <c r="CX78" s="304"/>
      <c r="CY78" s="304"/>
      <c r="CZ78" s="71"/>
      <c r="DA78" s="6"/>
      <c r="DB78" s="6"/>
    </row>
    <row r="79" spans="1:106" s="143" customFormat="1" ht="30.75" customHeight="1" thickTop="1" thickBot="1">
      <c r="A79" s="55">
        <v>71</v>
      </c>
      <c r="B79" s="56" t="s">
        <v>356</v>
      </c>
      <c r="C79" s="57" t="s">
        <v>357</v>
      </c>
      <c r="D79" s="58" t="s">
        <v>358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306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70">
        <f t="shared" si="3"/>
        <v>0</v>
      </c>
      <c r="AH79" s="87"/>
      <c r="AI79" s="297"/>
      <c r="AJ79" s="298"/>
      <c r="AK79" s="299"/>
      <c r="AL79" s="88"/>
      <c r="AM79" s="291"/>
      <c r="AN79" s="291"/>
      <c r="AO79" s="291"/>
      <c r="AP79" s="291"/>
      <c r="AQ79" s="300"/>
      <c r="AR79" s="300"/>
      <c r="AS79" s="300"/>
      <c r="AT79" s="300"/>
      <c r="AU79" s="300"/>
      <c r="AV79" s="300"/>
      <c r="AW79" s="300"/>
      <c r="AX79" s="300"/>
      <c r="AY79" s="300"/>
      <c r="AZ79" s="300"/>
      <c r="BA79" s="300"/>
      <c r="BB79" s="300"/>
      <c r="BC79" s="300"/>
      <c r="BD79" s="300"/>
      <c r="BE79" s="300"/>
      <c r="BF79" s="300"/>
      <c r="BG79" s="300"/>
      <c r="BH79" s="300"/>
      <c r="BI79" s="300"/>
      <c r="BJ79" s="300"/>
      <c r="BK79" s="300"/>
      <c r="BL79" s="300"/>
      <c r="BM79" s="300"/>
      <c r="BN79" s="300"/>
      <c r="BO79" s="301"/>
      <c r="BP79" s="301"/>
      <c r="BQ79" s="301"/>
      <c r="BR79" s="301"/>
      <c r="BS79" s="301"/>
      <c r="BT79" s="301"/>
      <c r="BU79" s="301"/>
      <c r="BV79" s="301"/>
      <c r="BW79" s="301"/>
      <c r="BX79" s="301"/>
      <c r="BY79" s="301"/>
      <c r="BZ79" s="301"/>
      <c r="CA79" s="301"/>
      <c r="CB79" s="302"/>
      <c r="CC79" s="302"/>
      <c r="CD79" s="302"/>
      <c r="CE79" s="302"/>
      <c r="CF79" s="302"/>
      <c r="CG79" s="302"/>
      <c r="CH79" s="302"/>
      <c r="CI79" s="302"/>
      <c r="CJ79" s="302"/>
      <c r="CK79" s="303"/>
      <c r="CL79" s="303"/>
      <c r="CM79" s="304"/>
      <c r="CN79" s="304"/>
      <c r="CO79" s="304"/>
      <c r="CP79" s="304"/>
      <c r="CQ79" s="304"/>
      <c r="CR79" s="304"/>
      <c r="CS79" s="304"/>
      <c r="CT79" s="304"/>
      <c r="CU79" s="304"/>
      <c r="CV79" s="304"/>
      <c r="CW79" s="304"/>
      <c r="CX79" s="304"/>
      <c r="CY79" s="304"/>
      <c r="DA79" s="6"/>
      <c r="DB79" s="6"/>
    </row>
    <row r="80" spans="1:106" s="143" customFormat="1" ht="30.75" customHeight="1" thickTop="1" thickBot="1">
      <c r="A80" s="55">
        <v>72</v>
      </c>
      <c r="B80" s="56" t="s">
        <v>359</v>
      </c>
      <c r="C80" s="57" t="s">
        <v>360</v>
      </c>
      <c r="D80" s="58" t="s">
        <v>361</v>
      </c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5"/>
      <c r="Q80" s="145"/>
      <c r="R80" s="145"/>
      <c r="S80" s="146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70">
        <f t="shared" si="3"/>
        <v>0</v>
      </c>
      <c r="AH80" s="87"/>
      <c r="AI80" s="297"/>
      <c r="AJ80" s="298"/>
      <c r="AK80" s="299"/>
      <c r="AL80" s="88"/>
      <c r="AM80" s="291"/>
      <c r="AN80" s="291"/>
      <c r="AO80" s="291"/>
      <c r="AP80" s="291"/>
      <c r="AQ80" s="300"/>
      <c r="AR80" s="300"/>
      <c r="AS80" s="300"/>
      <c r="AT80" s="300"/>
      <c r="AU80" s="300"/>
      <c r="AV80" s="300"/>
      <c r="AW80" s="300"/>
      <c r="AX80" s="300"/>
      <c r="AY80" s="300"/>
      <c r="AZ80" s="300"/>
      <c r="BA80" s="300"/>
      <c r="BB80" s="300"/>
      <c r="BC80" s="300"/>
      <c r="BD80" s="300"/>
      <c r="BE80" s="300"/>
      <c r="BF80" s="300"/>
      <c r="BG80" s="300"/>
      <c r="BH80" s="300"/>
      <c r="BI80" s="300"/>
      <c r="BJ80" s="300"/>
      <c r="BK80" s="300"/>
      <c r="BL80" s="300"/>
      <c r="BM80" s="300"/>
      <c r="BN80" s="300"/>
      <c r="BO80" s="301"/>
      <c r="BP80" s="301"/>
      <c r="BQ80" s="301"/>
      <c r="BR80" s="301"/>
      <c r="BS80" s="301"/>
      <c r="BT80" s="301"/>
      <c r="BU80" s="301"/>
      <c r="BV80" s="301"/>
      <c r="BW80" s="301"/>
      <c r="BX80" s="301"/>
      <c r="BY80" s="301"/>
      <c r="BZ80" s="301"/>
      <c r="CA80" s="301"/>
      <c r="CB80" s="302"/>
      <c r="CC80" s="302"/>
      <c r="CD80" s="302"/>
      <c r="CE80" s="302"/>
      <c r="CF80" s="302"/>
      <c r="CG80" s="302"/>
      <c r="CH80" s="302"/>
      <c r="CI80" s="302"/>
      <c r="CJ80" s="302"/>
      <c r="CK80" s="303"/>
      <c r="CL80" s="303"/>
      <c r="CM80" s="304"/>
      <c r="CN80" s="304"/>
      <c r="CO80" s="304"/>
      <c r="CP80" s="304"/>
      <c r="CQ80" s="304"/>
      <c r="CR80" s="304"/>
      <c r="CS80" s="304"/>
      <c r="CT80" s="304"/>
      <c r="CU80" s="304"/>
      <c r="CV80" s="304"/>
      <c r="CW80" s="304"/>
      <c r="CX80" s="304"/>
      <c r="CY80" s="304"/>
      <c r="DA80" s="6"/>
      <c r="DB80" s="6"/>
    </row>
    <row r="81" spans="1:16301" s="143" customFormat="1" ht="30.75" customHeight="1" thickTop="1" thickBot="1">
      <c r="A81" s="55">
        <v>73</v>
      </c>
      <c r="B81" s="56" t="s">
        <v>362</v>
      </c>
      <c r="C81" s="57" t="s">
        <v>87</v>
      </c>
      <c r="D81" s="310" t="s">
        <v>363</v>
      </c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AF81" s="70">
        <f t="shared" si="3"/>
        <v>0</v>
      </c>
      <c r="AH81" s="87"/>
      <c r="AI81" s="297"/>
      <c r="AJ81" s="298"/>
      <c r="AK81" s="299"/>
      <c r="AL81" s="88"/>
      <c r="AM81" s="291"/>
      <c r="AN81" s="291"/>
      <c r="AO81" s="291"/>
      <c r="AP81" s="291"/>
      <c r="AQ81" s="300"/>
      <c r="AR81" s="300"/>
      <c r="AS81" s="300"/>
      <c r="AT81" s="300"/>
      <c r="AU81" s="300"/>
      <c r="AV81" s="300"/>
      <c r="AW81" s="300"/>
      <c r="AX81" s="300"/>
      <c r="AY81" s="300"/>
      <c r="AZ81" s="300"/>
      <c r="BA81" s="300"/>
      <c r="BB81" s="300"/>
      <c r="BC81" s="300"/>
      <c r="BD81" s="300"/>
      <c r="BE81" s="300"/>
      <c r="BF81" s="300"/>
      <c r="BG81" s="300"/>
      <c r="BH81" s="300"/>
      <c r="BI81" s="300"/>
      <c r="BJ81" s="300"/>
      <c r="BK81" s="300"/>
      <c r="BL81" s="300"/>
      <c r="BM81" s="300"/>
      <c r="BN81" s="300"/>
      <c r="BO81" s="301"/>
      <c r="BP81" s="301"/>
      <c r="BQ81" s="301"/>
      <c r="BR81" s="301"/>
      <c r="BS81" s="301"/>
      <c r="BT81" s="301"/>
      <c r="BU81" s="301"/>
      <c r="BV81" s="301"/>
      <c r="BW81" s="301"/>
      <c r="BX81" s="301"/>
      <c r="BY81" s="301"/>
      <c r="BZ81" s="301"/>
      <c r="CA81" s="301"/>
      <c r="CB81" s="302"/>
      <c r="CC81" s="302"/>
      <c r="CD81" s="302"/>
      <c r="CE81" s="302"/>
      <c r="CF81" s="302"/>
      <c r="CG81" s="302"/>
      <c r="CH81" s="302"/>
      <c r="CI81" s="302"/>
      <c r="CJ81" s="302"/>
      <c r="CK81" s="303"/>
      <c r="CL81" s="303"/>
      <c r="CM81" s="304"/>
      <c r="CN81" s="304"/>
      <c r="CO81" s="304"/>
      <c r="CP81" s="304"/>
      <c r="CQ81" s="304"/>
      <c r="CR81" s="304"/>
      <c r="CS81" s="304"/>
      <c r="CT81" s="304"/>
      <c r="CU81" s="304"/>
      <c r="CV81" s="304"/>
      <c r="CW81" s="304"/>
      <c r="CX81" s="304"/>
      <c r="CY81" s="304"/>
      <c r="DA81" s="6"/>
      <c r="DB81" s="6"/>
    </row>
    <row r="82" spans="1:16301" s="143" customFormat="1" ht="30.75" customHeight="1" thickTop="1" thickBot="1">
      <c r="A82" s="55">
        <v>74</v>
      </c>
      <c r="B82" s="56" t="s">
        <v>364</v>
      </c>
      <c r="C82" s="57" t="s">
        <v>112</v>
      </c>
      <c r="D82" s="85" t="s">
        <v>365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AF82" s="70">
        <f t="shared" si="3"/>
        <v>0</v>
      </c>
      <c r="AH82" s="87"/>
      <c r="AI82" s="159"/>
      <c r="AJ82" s="298"/>
      <c r="AK82" s="299"/>
      <c r="AL82" s="88"/>
      <c r="AM82" s="291"/>
      <c r="AN82" s="291"/>
      <c r="AO82" s="291"/>
      <c r="AP82" s="291"/>
      <c r="AQ82" s="300"/>
      <c r="AR82" s="300"/>
      <c r="AS82" s="300"/>
      <c r="AT82" s="300"/>
      <c r="AU82" s="300"/>
      <c r="AV82" s="300"/>
      <c r="AW82" s="300"/>
      <c r="AX82" s="300"/>
      <c r="AY82" s="300"/>
      <c r="AZ82" s="300"/>
      <c r="BA82" s="300"/>
      <c r="BB82" s="300"/>
      <c r="BC82" s="300"/>
      <c r="BD82" s="300"/>
      <c r="BE82" s="300"/>
      <c r="BF82" s="300"/>
      <c r="BG82" s="300"/>
      <c r="BH82" s="300"/>
      <c r="BI82" s="300"/>
      <c r="BJ82" s="300"/>
      <c r="BK82" s="300"/>
      <c r="BL82" s="300"/>
      <c r="BM82" s="300"/>
      <c r="BN82" s="300"/>
      <c r="BO82" s="301"/>
      <c r="BP82" s="301"/>
      <c r="BQ82" s="301"/>
      <c r="BR82" s="301"/>
      <c r="BS82" s="301"/>
      <c r="BT82" s="301"/>
      <c r="BU82" s="301"/>
      <c r="BV82" s="301"/>
      <c r="BW82" s="301"/>
      <c r="BX82" s="301"/>
      <c r="BY82" s="301"/>
      <c r="BZ82" s="301"/>
      <c r="CA82" s="301"/>
      <c r="CB82" s="302"/>
      <c r="CC82" s="302"/>
      <c r="CD82" s="302"/>
      <c r="CE82" s="302"/>
      <c r="CF82" s="302"/>
      <c r="CG82" s="302"/>
      <c r="CH82" s="302"/>
      <c r="CI82" s="302"/>
      <c r="CJ82" s="302"/>
      <c r="CK82" s="303"/>
      <c r="CL82" s="303"/>
      <c r="CM82" s="304"/>
      <c r="CN82" s="304"/>
      <c r="CO82" s="304"/>
      <c r="CP82" s="304"/>
      <c r="CQ82" s="304"/>
      <c r="CR82" s="304"/>
      <c r="CS82" s="304"/>
      <c r="CT82" s="304"/>
      <c r="CU82" s="304"/>
      <c r="CV82" s="304"/>
      <c r="CW82" s="304"/>
      <c r="CX82" s="304"/>
      <c r="CY82" s="304"/>
      <c r="DA82" s="6"/>
      <c r="DB82" s="6"/>
    </row>
    <row r="83" spans="1:16301" ht="15" customHeight="1" thickTop="1" thickBot="1">
      <c r="A83" s="55">
        <v>76</v>
      </c>
      <c r="B83" s="56"/>
      <c r="C83" s="57" t="s">
        <v>199</v>
      </c>
      <c r="D83" s="58" t="s">
        <v>367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57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0"/>
      <c r="AG83" s="143"/>
      <c r="AH83" s="87"/>
      <c r="AI83" s="297"/>
      <c r="AJ83" s="298"/>
      <c r="AK83" s="299"/>
      <c r="AL83" s="88"/>
      <c r="AM83" s="291"/>
      <c r="AN83" s="291"/>
      <c r="AO83" s="291"/>
      <c r="AP83" s="291"/>
      <c r="AQ83" s="303"/>
      <c r="AR83" s="304"/>
      <c r="AS83" s="304"/>
      <c r="AT83" s="304"/>
      <c r="AU83" s="304"/>
      <c r="AV83" s="304"/>
      <c r="AW83" s="304"/>
      <c r="AX83" s="304"/>
      <c r="AY83" s="304"/>
      <c r="AZ83" s="304"/>
      <c r="BA83" s="304"/>
      <c r="BB83" s="304"/>
      <c r="BC83" s="304"/>
      <c r="BD83" s="71"/>
      <c r="BE83" s="6"/>
      <c r="BF83" s="6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  <c r="BU83" s="143"/>
      <c r="BV83" s="143"/>
      <c r="BW83" s="143"/>
      <c r="BX83" s="143"/>
      <c r="BY83" s="143"/>
      <c r="BZ83" s="143"/>
      <c r="CA83" s="143"/>
      <c r="CB83" s="143"/>
      <c r="CC83" s="143"/>
      <c r="CD83" s="143"/>
      <c r="CE83" s="143"/>
      <c r="CF83" s="143"/>
      <c r="CG83" s="143"/>
      <c r="CH83" s="143"/>
      <c r="CI83" s="143"/>
      <c r="CJ83" s="143"/>
      <c r="CK83" s="143"/>
      <c r="CL83" s="143"/>
      <c r="CM83" s="143"/>
      <c r="CN83" s="143"/>
      <c r="CO83" s="143"/>
      <c r="CP83" s="143"/>
      <c r="CQ83" s="143"/>
      <c r="CR83" s="143"/>
      <c r="CS83" s="143"/>
      <c r="CT83" s="143"/>
      <c r="CU83" s="143"/>
      <c r="CV83" s="143"/>
      <c r="CW83" s="143"/>
      <c r="CX83" s="143"/>
      <c r="CY83" s="143"/>
      <c r="CZ83" s="143"/>
      <c r="DA83" s="143"/>
      <c r="DB83" s="143"/>
      <c r="DC83" s="143"/>
      <c r="DD83" s="143"/>
      <c r="DE83" s="143"/>
      <c r="DF83" s="143"/>
      <c r="DG83" s="143"/>
      <c r="DH83" s="143"/>
      <c r="DI83" s="143"/>
      <c r="DJ83" s="143"/>
      <c r="DK83" s="143"/>
      <c r="DL83" s="143"/>
      <c r="DM83" s="143"/>
      <c r="DN83" s="143"/>
      <c r="DO83" s="143"/>
      <c r="DP83" s="143"/>
      <c r="DQ83" s="143"/>
      <c r="DR83" s="143"/>
      <c r="DS83" s="143"/>
      <c r="DT83" s="143"/>
      <c r="DU83" s="143"/>
      <c r="DV83" s="143"/>
      <c r="DW83" s="143"/>
      <c r="DX83" s="143"/>
      <c r="DY83" s="143"/>
      <c r="DZ83" s="143"/>
      <c r="EA83" s="143"/>
      <c r="EB83" s="143"/>
      <c r="EC83" s="143"/>
      <c r="ED83" s="143"/>
      <c r="EE83" s="143"/>
      <c r="EF83" s="143"/>
      <c r="EG83" s="143"/>
      <c r="EH83" s="143"/>
      <c r="EI83" s="143"/>
      <c r="EJ83" s="143"/>
      <c r="EK83" s="143"/>
      <c r="EL83" s="143"/>
      <c r="EM83" s="143"/>
      <c r="EN83" s="143"/>
      <c r="EO83" s="143"/>
      <c r="EP83" s="143"/>
      <c r="EQ83" s="143"/>
      <c r="ER83" s="143"/>
      <c r="ES83" s="143"/>
      <c r="ET83" s="143"/>
      <c r="EU83" s="143"/>
      <c r="EV83" s="143"/>
      <c r="EW83" s="143"/>
      <c r="EX83" s="143"/>
      <c r="EY83" s="143"/>
      <c r="EZ83" s="143"/>
      <c r="FA83" s="143"/>
      <c r="FB83" s="143"/>
      <c r="FC83" s="143"/>
      <c r="FD83" s="143"/>
      <c r="FE83" s="143"/>
      <c r="FF83" s="143"/>
      <c r="FG83" s="143"/>
      <c r="FH83" s="143"/>
      <c r="FI83" s="143"/>
      <c r="FJ83" s="143"/>
      <c r="FK83" s="143"/>
      <c r="FL83" s="143"/>
      <c r="FM83" s="143"/>
      <c r="FN83" s="143"/>
      <c r="FO83" s="143"/>
      <c r="FP83" s="143"/>
      <c r="FQ83" s="143"/>
      <c r="FR83" s="143"/>
      <c r="FS83" s="143"/>
      <c r="FT83" s="143"/>
      <c r="FU83" s="143"/>
      <c r="FV83" s="143"/>
      <c r="FW83" s="143"/>
      <c r="FX83" s="143"/>
      <c r="FY83" s="143"/>
      <c r="FZ83" s="143"/>
      <c r="GA83" s="143"/>
      <c r="GB83" s="143"/>
      <c r="GC83" s="143"/>
      <c r="GD83" s="143"/>
      <c r="GE83" s="143"/>
      <c r="GF83" s="143"/>
      <c r="GG83" s="143"/>
      <c r="GH83" s="143"/>
      <c r="GI83" s="143"/>
      <c r="GJ83" s="143"/>
      <c r="GK83" s="143"/>
      <c r="GL83" s="143"/>
      <c r="GM83" s="143"/>
      <c r="GN83" s="143"/>
      <c r="GO83" s="143"/>
      <c r="GP83" s="143"/>
      <c r="GQ83" s="143"/>
      <c r="GR83" s="143"/>
      <c r="GS83" s="143"/>
      <c r="GT83" s="143"/>
      <c r="GU83" s="143"/>
      <c r="GV83" s="143"/>
      <c r="GW83" s="143"/>
      <c r="GX83" s="143"/>
      <c r="GY83" s="143"/>
      <c r="GZ83" s="143"/>
      <c r="HA83" s="143"/>
      <c r="HB83" s="143"/>
      <c r="HC83" s="143"/>
      <c r="HD83" s="143"/>
      <c r="HE83" s="143"/>
      <c r="HF83" s="143"/>
      <c r="HG83" s="143"/>
      <c r="HH83" s="143"/>
      <c r="HI83" s="143"/>
      <c r="HJ83" s="143"/>
      <c r="HK83" s="143"/>
      <c r="HL83" s="143"/>
      <c r="HM83" s="143"/>
      <c r="HN83" s="143"/>
      <c r="HO83" s="143"/>
      <c r="HP83" s="143"/>
      <c r="HQ83" s="143"/>
      <c r="HR83" s="143"/>
      <c r="HS83" s="143"/>
      <c r="HT83" s="143"/>
      <c r="HU83" s="143"/>
      <c r="HV83" s="143"/>
      <c r="HW83" s="143"/>
      <c r="HX83" s="143"/>
      <c r="HY83" s="143"/>
      <c r="HZ83" s="143"/>
      <c r="IA83" s="143"/>
      <c r="IB83" s="143"/>
      <c r="IC83" s="143"/>
      <c r="ID83" s="143"/>
      <c r="IE83" s="143"/>
      <c r="IF83" s="143"/>
      <c r="IG83" s="143"/>
      <c r="IH83" s="143"/>
      <c r="II83" s="143"/>
      <c r="IJ83" s="143"/>
      <c r="IK83" s="143"/>
      <c r="IL83" s="143"/>
      <c r="IM83" s="143"/>
      <c r="IN83" s="143"/>
      <c r="IO83" s="143"/>
      <c r="IP83" s="143"/>
      <c r="IQ83" s="143"/>
      <c r="IR83" s="143"/>
      <c r="IS83" s="143"/>
      <c r="IT83" s="143"/>
      <c r="IU83" s="143"/>
      <c r="IV83" s="143"/>
      <c r="IW83" s="143"/>
      <c r="IX83" s="143"/>
      <c r="IY83" s="143"/>
      <c r="IZ83" s="143"/>
      <c r="JA83" s="143"/>
      <c r="JB83" s="143"/>
      <c r="JC83" s="143"/>
      <c r="JD83" s="143"/>
      <c r="JE83" s="143"/>
      <c r="JF83" s="143"/>
      <c r="JG83" s="143"/>
      <c r="JH83" s="143"/>
      <c r="JI83" s="143"/>
      <c r="JJ83" s="143"/>
      <c r="JK83" s="143"/>
      <c r="JL83" s="143"/>
      <c r="JM83" s="143"/>
      <c r="JN83" s="143"/>
      <c r="JO83" s="143"/>
      <c r="JP83" s="143"/>
      <c r="JQ83" s="143"/>
      <c r="JR83" s="143"/>
      <c r="JS83" s="143"/>
      <c r="JT83" s="143"/>
      <c r="JU83" s="143"/>
      <c r="JV83" s="143"/>
      <c r="JW83" s="143"/>
      <c r="JX83" s="143"/>
      <c r="JY83" s="143"/>
      <c r="JZ83" s="143"/>
      <c r="KA83" s="143"/>
      <c r="KB83" s="143"/>
      <c r="KC83" s="143"/>
      <c r="KD83" s="143"/>
      <c r="KE83" s="143"/>
      <c r="KF83" s="143"/>
      <c r="KG83" s="143"/>
      <c r="KH83" s="143"/>
      <c r="KI83" s="143"/>
      <c r="KJ83" s="143"/>
      <c r="KK83" s="143"/>
      <c r="KL83" s="143"/>
      <c r="KM83" s="143"/>
      <c r="KN83" s="143"/>
      <c r="KO83" s="143"/>
      <c r="KP83" s="143"/>
      <c r="KQ83" s="143"/>
      <c r="KR83" s="143"/>
      <c r="KS83" s="143"/>
      <c r="KT83" s="143"/>
      <c r="KU83" s="143"/>
      <c r="KV83" s="143"/>
      <c r="KW83" s="143"/>
      <c r="KX83" s="143"/>
      <c r="KY83" s="143"/>
      <c r="KZ83" s="143"/>
      <c r="LA83" s="143"/>
      <c r="LB83" s="143"/>
      <c r="LC83" s="143"/>
      <c r="LD83" s="143"/>
      <c r="LE83" s="143"/>
      <c r="LF83" s="143"/>
      <c r="LG83" s="143"/>
      <c r="LH83" s="143"/>
      <c r="LI83" s="143"/>
      <c r="LJ83" s="143"/>
      <c r="LK83" s="143"/>
      <c r="LL83" s="143"/>
      <c r="LM83" s="143"/>
      <c r="LN83" s="143"/>
      <c r="LO83" s="143"/>
      <c r="LP83" s="143"/>
      <c r="LQ83" s="143"/>
      <c r="LR83" s="143"/>
      <c r="LS83" s="143"/>
      <c r="LT83" s="143"/>
      <c r="LU83" s="143"/>
      <c r="LV83" s="143"/>
      <c r="LW83" s="143"/>
      <c r="LX83" s="143"/>
      <c r="LY83" s="143"/>
      <c r="LZ83" s="143"/>
      <c r="MA83" s="143"/>
      <c r="MB83" s="143"/>
      <c r="MC83" s="143"/>
      <c r="MD83" s="143"/>
      <c r="ME83" s="143"/>
      <c r="MF83" s="143"/>
      <c r="MG83" s="143"/>
      <c r="MH83" s="143"/>
      <c r="MI83" s="143"/>
      <c r="MJ83" s="143"/>
      <c r="MK83" s="143"/>
      <c r="ML83" s="143"/>
      <c r="MM83" s="143"/>
      <c r="MN83" s="143"/>
      <c r="MO83" s="143"/>
      <c r="MP83" s="143"/>
      <c r="MQ83" s="143"/>
      <c r="MR83" s="143"/>
      <c r="MS83" s="143"/>
      <c r="MT83" s="143"/>
      <c r="MU83" s="143"/>
      <c r="MV83" s="143"/>
      <c r="MW83" s="143"/>
      <c r="MX83" s="143"/>
      <c r="MY83" s="143"/>
      <c r="MZ83" s="143"/>
      <c r="NA83" s="143"/>
      <c r="NB83" s="143"/>
      <c r="NC83" s="143"/>
      <c r="ND83" s="143"/>
      <c r="NE83" s="143"/>
      <c r="NF83" s="143"/>
      <c r="NG83" s="143"/>
      <c r="NH83" s="143"/>
      <c r="NI83" s="143"/>
      <c r="NJ83" s="143"/>
      <c r="NK83" s="143"/>
      <c r="NL83" s="143"/>
      <c r="NM83" s="143"/>
      <c r="NN83" s="143"/>
      <c r="NO83" s="143"/>
      <c r="NP83" s="143"/>
      <c r="NQ83" s="143"/>
      <c r="NR83" s="143"/>
      <c r="NS83" s="143"/>
      <c r="NT83" s="143"/>
      <c r="NU83" s="143"/>
      <c r="NV83" s="143"/>
      <c r="NW83" s="143"/>
      <c r="NX83" s="143"/>
      <c r="NY83" s="143"/>
      <c r="NZ83" s="143"/>
      <c r="OA83" s="143"/>
      <c r="OB83" s="143"/>
      <c r="OC83" s="143"/>
      <c r="OD83" s="143"/>
      <c r="OE83" s="143"/>
      <c r="OF83" s="143"/>
      <c r="OG83" s="143"/>
      <c r="OH83" s="143"/>
      <c r="OI83" s="143"/>
      <c r="OJ83" s="143"/>
      <c r="OK83" s="143"/>
      <c r="OL83" s="143"/>
      <c r="OM83" s="143"/>
      <c r="ON83" s="143"/>
      <c r="OO83" s="143"/>
      <c r="OP83" s="143"/>
      <c r="OQ83" s="143"/>
      <c r="OR83" s="143"/>
      <c r="OS83" s="143"/>
      <c r="OT83" s="143"/>
      <c r="OU83" s="143"/>
      <c r="OV83" s="143"/>
      <c r="OW83" s="143"/>
      <c r="OX83" s="143"/>
      <c r="OY83" s="143"/>
      <c r="OZ83" s="143"/>
      <c r="PA83" s="143"/>
      <c r="PB83" s="143"/>
      <c r="PC83" s="143"/>
      <c r="PD83" s="143"/>
      <c r="PE83" s="143"/>
      <c r="PF83" s="143"/>
      <c r="PG83" s="143"/>
      <c r="PH83" s="143"/>
      <c r="PI83" s="143"/>
      <c r="PJ83" s="143"/>
      <c r="PK83" s="143"/>
      <c r="PL83" s="143"/>
      <c r="PM83" s="143"/>
      <c r="PN83" s="143"/>
      <c r="PO83" s="143"/>
      <c r="PP83" s="143"/>
      <c r="PQ83" s="143"/>
      <c r="PR83" s="143"/>
      <c r="PS83" s="143"/>
      <c r="PT83" s="143"/>
      <c r="PU83" s="143"/>
      <c r="PV83" s="143"/>
      <c r="PW83" s="143"/>
      <c r="PX83" s="143"/>
      <c r="PY83" s="143"/>
      <c r="PZ83" s="143"/>
      <c r="QA83" s="143"/>
      <c r="QB83" s="143"/>
      <c r="QC83" s="143"/>
      <c r="QD83" s="143"/>
      <c r="QE83" s="143"/>
      <c r="QF83" s="143"/>
      <c r="QG83" s="143"/>
      <c r="QH83" s="143"/>
      <c r="QI83" s="143"/>
      <c r="QJ83" s="143"/>
      <c r="QK83" s="143"/>
      <c r="QL83" s="143"/>
      <c r="QM83" s="143"/>
      <c r="QN83" s="143"/>
      <c r="QO83" s="143"/>
      <c r="QP83" s="143"/>
      <c r="QQ83" s="143"/>
      <c r="QR83" s="143"/>
      <c r="QS83" s="143"/>
      <c r="QT83" s="143"/>
      <c r="QU83" s="143"/>
      <c r="QV83" s="143"/>
      <c r="QW83" s="143"/>
      <c r="QX83" s="143"/>
      <c r="QY83" s="143"/>
      <c r="QZ83" s="143"/>
      <c r="RA83" s="143"/>
      <c r="RB83" s="143"/>
      <c r="RC83" s="143"/>
      <c r="RD83" s="143"/>
      <c r="RE83" s="143"/>
      <c r="RF83" s="143"/>
      <c r="RG83" s="143"/>
      <c r="RH83" s="143"/>
      <c r="RI83" s="143"/>
      <c r="RJ83" s="143"/>
      <c r="RK83" s="143"/>
      <c r="RL83" s="143"/>
      <c r="RM83" s="143"/>
      <c r="RN83" s="143"/>
      <c r="RO83" s="143"/>
      <c r="RP83" s="143"/>
      <c r="RQ83" s="143"/>
      <c r="RR83" s="143"/>
      <c r="RS83" s="143"/>
      <c r="RT83" s="143"/>
      <c r="RU83" s="143"/>
      <c r="RV83" s="143"/>
      <c r="RW83" s="143"/>
      <c r="RX83" s="143"/>
      <c r="RY83" s="143"/>
      <c r="RZ83" s="143"/>
      <c r="SA83" s="143"/>
      <c r="SB83" s="143"/>
      <c r="SC83" s="143"/>
      <c r="SD83" s="143"/>
      <c r="SE83" s="143"/>
      <c r="SF83" s="143"/>
      <c r="SG83" s="143"/>
      <c r="SH83" s="143"/>
      <c r="SI83" s="143"/>
      <c r="SJ83" s="143"/>
      <c r="SK83" s="143"/>
      <c r="SL83" s="143"/>
      <c r="SM83" s="143"/>
      <c r="SN83" s="143"/>
      <c r="SO83" s="143"/>
      <c r="SP83" s="143"/>
      <c r="SQ83" s="143"/>
      <c r="SR83" s="143"/>
      <c r="SS83" s="143"/>
      <c r="ST83" s="143"/>
      <c r="SU83" s="143"/>
      <c r="SV83" s="143"/>
      <c r="SW83" s="143"/>
      <c r="SX83" s="143"/>
      <c r="SY83" s="143"/>
      <c r="SZ83" s="143"/>
      <c r="TA83" s="143"/>
      <c r="TB83" s="143"/>
      <c r="TC83" s="143"/>
      <c r="TD83" s="143"/>
      <c r="TE83" s="143"/>
      <c r="TF83" s="143"/>
      <c r="TG83" s="143"/>
      <c r="TH83" s="143"/>
      <c r="TI83" s="143"/>
      <c r="TJ83" s="143"/>
      <c r="TK83" s="143"/>
      <c r="TL83" s="143"/>
      <c r="TM83" s="143"/>
      <c r="TN83" s="143"/>
      <c r="TO83" s="143"/>
      <c r="TP83" s="143"/>
      <c r="TQ83" s="143"/>
      <c r="TR83" s="143"/>
      <c r="TS83" s="143"/>
      <c r="TT83" s="143"/>
      <c r="TU83" s="143"/>
      <c r="TV83" s="143"/>
      <c r="TW83" s="143"/>
      <c r="TX83" s="143"/>
      <c r="TY83" s="143"/>
      <c r="TZ83" s="143"/>
      <c r="UA83" s="143"/>
      <c r="UB83" s="143"/>
      <c r="UC83" s="143"/>
      <c r="UD83" s="143"/>
      <c r="UE83" s="143"/>
      <c r="UF83" s="143"/>
      <c r="UG83" s="143"/>
      <c r="UH83" s="143"/>
      <c r="UI83" s="143"/>
      <c r="UJ83" s="143"/>
      <c r="UK83" s="143"/>
      <c r="UL83" s="143"/>
      <c r="UM83" s="143"/>
      <c r="UN83" s="143"/>
      <c r="UO83" s="143"/>
      <c r="UP83" s="143"/>
      <c r="UQ83" s="143"/>
      <c r="UR83" s="143"/>
      <c r="US83" s="143"/>
      <c r="UT83" s="143"/>
      <c r="UU83" s="143"/>
      <c r="UV83" s="143"/>
      <c r="UW83" s="143"/>
      <c r="UX83" s="143"/>
      <c r="UY83" s="143"/>
      <c r="UZ83" s="143"/>
      <c r="VA83" s="143"/>
      <c r="VB83" s="143"/>
      <c r="VC83" s="143"/>
      <c r="VD83" s="143"/>
      <c r="VE83" s="143"/>
      <c r="VF83" s="143"/>
      <c r="VG83" s="143"/>
      <c r="VH83" s="143"/>
      <c r="VI83" s="143"/>
      <c r="VJ83" s="143"/>
      <c r="VK83" s="143"/>
      <c r="VL83" s="143"/>
      <c r="VM83" s="143"/>
      <c r="VN83" s="143"/>
      <c r="VO83" s="143"/>
      <c r="VP83" s="143"/>
      <c r="VQ83" s="143"/>
      <c r="VR83" s="143"/>
      <c r="VS83" s="143"/>
      <c r="VT83" s="143"/>
      <c r="VU83" s="143"/>
      <c r="VV83" s="143"/>
      <c r="VW83" s="143"/>
      <c r="VX83" s="143"/>
      <c r="VY83" s="143"/>
      <c r="VZ83" s="143"/>
      <c r="WA83" s="143"/>
      <c r="WB83" s="143"/>
      <c r="WC83" s="143"/>
      <c r="WD83" s="143"/>
      <c r="WE83" s="143"/>
      <c r="WF83" s="143"/>
      <c r="WG83" s="143"/>
      <c r="WH83" s="143"/>
      <c r="WI83" s="143"/>
      <c r="WJ83" s="143"/>
      <c r="WK83" s="143"/>
      <c r="WL83" s="143"/>
      <c r="WM83" s="143"/>
      <c r="WN83" s="143"/>
      <c r="WO83" s="143"/>
      <c r="WP83" s="143"/>
      <c r="WQ83" s="143"/>
      <c r="WR83" s="143"/>
      <c r="WS83" s="143"/>
      <c r="WT83" s="143"/>
      <c r="WU83" s="143"/>
      <c r="WV83" s="143"/>
      <c r="WW83" s="143"/>
      <c r="WX83" s="143"/>
      <c r="WY83" s="143"/>
      <c r="WZ83" s="143"/>
      <c r="XA83" s="143"/>
      <c r="XB83" s="143"/>
      <c r="XC83" s="143"/>
      <c r="XD83" s="143"/>
      <c r="XE83" s="143"/>
      <c r="XF83" s="143"/>
      <c r="XG83" s="143"/>
      <c r="XH83" s="143"/>
      <c r="XI83" s="143"/>
      <c r="XJ83" s="143"/>
      <c r="XK83" s="143"/>
      <c r="XL83" s="143"/>
      <c r="XM83" s="143"/>
      <c r="XN83" s="143"/>
      <c r="XO83" s="143"/>
      <c r="XP83" s="143"/>
      <c r="XQ83" s="143"/>
      <c r="XR83" s="143"/>
      <c r="XS83" s="143"/>
      <c r="XT83" s="143"/>
      <c r="XU83" s="143"/>
      <c r="XV83" s="143"/>
      <c r="XW83" s="143"/>
      <c r="XX83" s="143"/>
      <c r="XY83" s="143"/>
      <c r="XZ83" s="143"/>
      <c r="YA83" s="143"/>
      <c r="YB83" s="143"/>
      <c r="YC83" s="143"/>
      <c r="YD83" s="143"/>
      <c r="YE83" s="143"/>
      <c r="YF83" s="143"/>
      <c r="YG83" s="143"/>
      <c r="YH83" s="143"/>
      <c r="YI83" s="143"/>
      <c r="YJ83" s="143"/>
      <c r="YK83" s="143"/>
      <c r="YL83" s="143"/>
      <c r="YM83" s="143"/>
      <c r="YN83" s="143"/>
      <c r="YO83" s="143"/>
      <c r="YP83" s="143"/>
      <c r="YQ83" s="143"/>
      <c r="YR83" s="143"/>
      <c r="YS83" s="143"/>
      <c r="YT83" s="143"/>
      <c r="YU83" s="143"/>
      <c r="YV83" s="143"/>
      <c r="YW83" s="143"/>
      <c r="YX83" s="143"/>
      <c r="YY83" s="143"/>
      <c r="YZ83" s="143"/>
      <c r="ZA83" s="143"/>
      <c r="ZB83" s="143"/>
      <c r="ZC83" s="143"/>
      <c r="ZD83" s="143"/>
      <c r="ZE83" s="143"/>
      <c r="ZF83" s="143"/>
      <c r="ZG83" s="143"/>
      <c r="ZH83" s="143"/>
      <c r="ZI83" s="143"/>
      <c r="ZJ83" s="143"/>
      <c r="ZK83" s="143"/>
      <c r="ZL83" s="143"/>
      <c r="ZM83" s="143"/>
      <c r="ZN83" s="143"/>
      <c r="ZO83" s="143"/>
      <c r="ZP83" s="143"/>
      <c r="ZQ83" s="143"/>
      <c r="ZR83" s="143"/>
      <c r="ZS83" s="143"/>
      <c r="ZT83" s="143"/>
      <c r="ZU83" s="143"/>
      <c r="ZV83" s="143"/>
      <c r="ZW83" s="143"/>
      <c r="ZX83" s="143"/>
      <c r="ZY83" s="143"/>
      <c r="ZZ83" s="143"/>
      <c r="AAA83" s="143"/>
      <c r="AAB83" s="143"/>
      <c r="AAC83" s="143"/>
      <c r="AAD83" s="143"/>
      <c r="AAE83" s="143"/>
      <c r="AAF83" s="143"/>
      <c r="AAG83" s="143"/>
      <c r="AAH83" s="143"/>
      <c r="AAI83" s="143"/>
      <c r="AAJ83" s="143"/>
      <c r="AAK83" s="143"/>
      <c r="AAL83" s="143"/>
      <c r="AAM83" s="143"/>
      <c r="AAN83" s="143"/>
      <c r="AAO83" s="143"/>
      <c r="AAP83" s="143"/>
      <c r="AAQ83" s="143"/>
      <c r="AAR83" s="143"/>
      <c r="AAS83" s="143"/>
      <c r="AAT83" s="143"/>
      <c r="AAU83" s="143"/>
      <c r="AAV83" s="143"/>
      <c r="AAW83" s="143"/>
      <c r="AAX83" s="143"/>
      <c r="AAY83" s="143"/>
      <c r="AAZ83" s="143"/>
      <c r="ABA83" s="143"/>
      <c r="ABB83" s="143"/>
      <c r="ABC83" s="143"/>
      <c r="ABD83" s="143"/>
      <c r="ABE83" s="143"/>
      <c r="ABF83" s="143"/>
      <c r="ABG83" s="143"/>
      <c r="ABH83" s="143"/>
      <c r="ABI83" s="143"/>
      <c r="ABJ83" s="143"/>
      <c r="ABK83" s="143"/>
      <c r="ABL83" s="143"/>
      <c r="ABM83" s="143"/>
      <c r="ABN83" s="143"/>
      <c r="ABO83" s="143"/>
      <c r="ABP83" s="143"/>
      <c r="ABQ83" s="143"/>
      <c r="ABR83" s="143"/>
      <c r="ABS83" s="143"/>
      <c r="ABT83" s="143"/>
      <c r="ABU83" s="143"/>
      <c r="ABV83" s="143"/>
      <c r="ABW83" s="143"/>
      <c r="ABX83" s="143"/>
      <c r="ABY83" s="143"/>
      <c r="ABZ83" s="143"/>
      <c r="ACA83" s="143"/>
      <c r="ACB83" s="143"/>
      <c r="ACC83" s="143"/>
      <c r="ACD83" s="143"/>
      <c r="ACE83" s="143"/>
      <c r="ACF83" s="143"/>
      <c r="ACG83" s="143"/>
      <c r="ACH83" s="143"/>
      <c r="ACI83" s="143"/>
      <c r="ACJ83" s="143"/>
      <c r="ACK83" s="143"/>
      <c r="ACL83" s="143"/>
      <c r="ACM83" s="143"/>
      <c r="ACN83" s="143"/>
      <c r="ACO83" s="143"/>
      <c r="ACP83" s="143"/>
      <c r="ACQ83" s="143"/>
      <c r="ACR83" s="143"/>
      <c r="ACS83" s="143"/>
      <c r="ACT83" s="143"/>
      <c r="ACU83" s="143"/>
      <c r="ACV83" s="143"/>
      <c r="ACW83" s="143"/>
      <c r="ACX83" s="143"/>
      <c r="ACY83" s="143"/>
      <c r="ACZ83" s="143"/>
      <c r="ADA83" s="143"/>
      <c r="ADB83" s="143"/>
      <c r="ADC83" s="143"/>
      <c r="ADD83" s="143"/>
      <c r="ADE83" s="143"/>
      <c r="ADF83" s="143"/>
      <c r="ADG83" s="143"/>
      <c r="ADH83" s="143"/>
      <c r="ADI83" s="143"/>
      <c r="ADJ83" s="143"/>
      <c r="ADK83" s="143"/>
      <c r="ADL83" s="143"/>
      <c r="ADM83" s="143"/>
      <c r="ADN83" s="143"/>
      <c r="ADO83" s="143"/>
      <c r="ADP83" s="143"/>
      <c r="ADQ83" s="143"/>
      <c r="ADR83" s="143"/>
      <c r="ADS83" s="143"/>
      <c r="ADT83" s="143"/>
      <c r="ADU83" s="143"/>
      <c r="ADV83" s="143"/>
      <c r="ADW83" s="143"/>
      <c r="ADX83" s="143"/>
      <c r="ADY83" s="143"/>
      <c r="ADZ83" s="143"/>
      <c r="AEA83" s="143"/>
      <c r="AEB83" s="143"/>
      <c r="AEC83" s="143"/>
      <c r="AED83" s="143"/>
      <c r="AEE83" s="143"/>
      <c r="AEF83" s="143"/>
      <c r="AEG83" s="143"/>
      <c r="AEH83" s="143"/>
      <c r="AEI83" s="143"/>
      <c r="AEJ83" s="143"/>
      <c r="AEK83" s="143"/>
      <c r="AEL83" s="143"/>
      <c r="AEM83" s="143"/>
      <c r="AEN83" s="143"/>
      <c r="AEO83" s="143"/>
      <c r="AEP83" s="143"/>
      <c r="AEQ83" s="143"/>
      <c r="AER83" s="143"/>
      <c r="AES83" s="143"/>
      <c r="AET83" s="143"/>
      <c r="AEU83" s="143"/>
      <c r="AEV83" s="143"/>
      <c r="AEW83" s="143"/>
      <c r="AEX83" s="143"/>
      <c r="AEY83" s="143"/>
      <c r="AEZ83" s="143"/>
      <c r="AFA83" s="143"/>
      <c r="AFB83" s="143"/>
      <c r="AFC83" s="143"/>
      <c r="AFD83" s="143"/>
      <c r="AFE83" s="143"/>
      <c r="AFF83" s="143"/>
      <c r="AFG83" s="143"/>
      <c r="AFH83" s="143"/>
      <c r="AFI83" s="143"/>
      <c r="AFJ83" s="143"/>
      <c r="AFK83" s="143"/>
      <c r="AFL83" s="143"/>
      <c r="AFM83" s="143"/>
      <c r="AFN83" s="143"/>
      <c r="AFO83" s="143"/>
      <c r="AFP83" s="143"/>
      <c r="AFQ83" s="143"/>
      <c r="AFR83" s="143"/>
      <c r="AFS83" s="143"/>
      <c r="AFT83" s="143"/>
      <c r="AFU83" s="143"/>
      <c r="AFV83" s="143"/>
      <c r="AFW83" s="143"/>
      <c r="AFX83" s="143"/>
      <c r="AFY83" s="143"/>
      <c r="AFZ83" s="143"/>
      <c r="AGA83" s="143"/>
      <c r="AGB83" s="143"/>
      <c r="AGC83" s="143"/>
      <c r="AGD83" s="143"/>
      <c r="AGE83" s="143"/>
      <c r="AGF83" s="143"/>
      <c r="AGG83" s="143"/>
      <c r="AGH83" s="143"/>
      <c r="AGI83" s="143"/>
      <c r="AGJ83" s="143"/>
      <c r="AGK83" s="143"/>
      <c r="AGL83" s="143"/>
      <c r="AGM83" s="143"/>
      <c r="AGN83" s="143"/>
      <c r="AGO83" s="143"/>
      <c r="AGP83" s="143"/>
      <c r="AGQ83" s="143"/>
      <c r="AGR83" s="143"/>
      <c r="AGS83" s="143"/>
      <c r="AGT83" s="143"/>
      <c r="AGU83" s="143"/>
      <c r="AGV83" s="143"/>
      <c r="AGW83" s="143"/>
      <c r="AGX83" s="143"/>
      <c r="AGY83" s="143"/>
      <c r="AGZ83" s="143"/>
      <c r="AHA83" s="143"/>
      <c r="AHB83" s="143"/>
      <c r="AHC83" s="143"/>
      <c r="AHD83" s="143"/>
      <c r="AHE83" s="143"/>
      <c r="AHF83" s="143"/>
      <c r="AHG83" s="143"/>
      <c r="AHH83" s="143"/>
      <c r="AHI83" s="143"/>
      <c r="AHJ83" s="143"/>
      <c r="AHK83" s="143"/>
      <c r="AHL83" s="143"/>
      <c r="AHM83" s="143"/>
      <c r="AHN83" s="143"/>
      <c r="AHO83" s="143"/>
      <c r="AHP83" s="143"/>
      <c r="AHQ83" s="143"/>
      <c r="AHR83" s="143"/>
      <c r="AHS83" s="143"/>
      <c r="AHT83" s="143"/>
      <c r="AHU83" s="143"/>
      <c r="AHV83" s="143"/>
      <c r="AHW83" s="143"/>
      <c r="AHX83" s="143"/>
      <c r="AHY83" s="143"/>
      <c r="AHZ83" s="143"/>
      <c r="AIA83" s="143"/>
      <c r="AIB83" s="143"/>
      <c r="AIC83" s="143"/>
      <c r="AID83" s="143"/>
      <c r="AIE83" s="143"/>
      <c r="AIF83" s="143"/>
      <c r="AIG83" s="143"/>
      <c r="AIH83" s="143"/>
      <c r="AII83" s="143"/>
      <c r="AIJ83" s="143"/>
      <c r="AIK83" s="143"/>
      <c r="AIL83" s="143"/>
      <c r="AIM83" s="143"/>
      <c r="AIN83" s="143"/>
      <c r="AIO83" s="143"/>
      <c r="AIP83" s="143"/>
      <c r="AIQ83" s="143"/>
      <c r="AIR83" s="143"/>
      <c r="AIS83" s="143"/>
      <c r="AIT83" s="143"/>
      <c r="AIU83" s="143"/>
      <c r="AIV83" s="143"/>
      <c r="AIW83" s="143"/>
      <c r="AIX83" s="143"/>
      <c r="AIY83" s="143"/>
      <c r="AIZ83" s="143"/>
      <c r="AJA83" s="143"/>
      <c r="AJB83" s="143"/>
      <c r="AJC83" s="143"/>
      <c r="AJD83" s="143"/>
      <c r="AJE83" s="143"/>
      <c r="AJF83" s="143"/>
      <c r="AJG83" s="143"/>
      <c r="AJH83" s="143"/>
      <c r="AJI83" s="143"/>
      <c r="AJJ83" s="143"/>
      <c r="AJK83" s="143"/>
      <c r="AJL83" s="143"/>
      <c r="AJM83" s="143"/>
      <c r="AJN83" s="143"/>
      <c r="AJO83" s="143"/>
      <c r="AJP83" s="143"/>
      <c r="AJQ83" s="143"/>
      <c r="AJR83" s="143"/>
      <c r="AJS83" s="143"/>
      <c r="AJT83" s="143"/>
      <c r="AJU83" s="143"/>
      <c r="AJV83" s="143"/>
      <c r="AJW83" s="143"/>
      <c r="AJX83" s="143"/>
      <c r="AJY83" s="143"/>
      <c r="AJZ83" s="143"/>
      <c r="AKA83" s="143"/>
      <c r="AKB83" s="143"/>
      <c r="AKC83" s="143"/>
      <c r="AKD83" s="143"/>
      <c r="AKE83" s="143"/>
      <c r="AKF83" s="143"/>
      <c r="AKG83" s="143"/>
      <c r="AKH83" s="143"/>
      <c r="AKI83" s="143"/>
      <c r="AKJ83" s="143"/>
      <c r="AKK83" s="143"/>
      <c r="AKL83" s="143"/>
      <c r="AKM83" s="143"/>
      <c r="AKN83" s="143"/>
      <c r="AKO83" s="143"/>
      <c r="AKP83" s="143"/>
      <c r="AKQ83" s="143"/>
      <c r="AKR83" s="143"/>
      <c r="AKS83" s="143"/>
      <c r="AKT83" s="143"/>
      <c r="AKU83" s="143"/>
      <c r="AKV83" s="143"/>
      <c r="AKW83" s="143"/>
      <c r="AKX83" s="143"/>
      <c r="AKY83" s="143"/>
      <c r="AKZ83" s="143"/>
      <c r="ALA83" s="143"/>
      <c r="ALB83" s="143"/>
      <c r="ALC83" s="143"/>
      <c r="ALD83" s="143"/>
      <c r="ALE83" s="143"/>
      <c r="ALF83" s="143"/>
      <c r="ALG83" s="143"/>
      <c r="ALH83" s="143"/>
      <c r="ALI83" s="143"/>
      <c r="ALJ83" s="143"/>
      <c r="ALK83" s="143"/>
      <c r="ALL83" s="143"/>
      <c r="ALM83" s="143"/>
      <c r="ALN83" s="143"/>
      <c r="ALO83" s="143"/>
      <c r="ALP83" s="143"/>
      <c r="ALQ83" s="143"/>
      <c r="ALR83" s="143"/>
      <c r="ALS83" s="143"/>
      <c r="ALT83" s="143"/>
      <c r="ALU83" s="143"/>
      <c r="ALV83" s="143"/>
      <c r="ALW83" s="143"/>
      <c r="ALX83" s="143"/>
      <c r="ALY83" s="143"/>
      <c r="ALZ83" s="143"/>
      <c r="AMA83" s="143"/>
      <c r="AMB83" s="143"/>
      <c r="AMC83" s="143"/>
      <c r="AMD83" s="143"/>
      <c r="AME83" s="143"/>
      <c r="AMF83" s="143"/>
      <c r="AMG83" s="143"/>
      <c r="AMH83" s="143"/>
      <c r="AMI83" s="143"/>
      <c r="AMJ83" s="143"/>
      <c r="AMK83" s="143"/>
      <c r="AML83" s="143"/>
      <c r="AMM83" s="143"/>
      <c r="AMN83" s="143"/>
      <c r="AMO83" s="143"/>
      <c r="AMP83" s="143"/>
      <c r="AMQ83" s="143"/>
      <c r="AMR83" s="143"/>
      <c r="AMS83" s="143"/>
      <c r="AMT83" s="143"/>
      <c r="AMU83" s="143"/>
      <c r="AMV83" s="143"/>
      <c r="AMW83" s="143"/>
      <c r="AMX83" s="143"/>
      <c r="AMY83" s="143"/>
      <c r="AMZ83" s="143"/>
      <c r="ANA83" s="143"/>
      <c r="ANB83" s="143"/>
      <c r="ANC83" s="143"/>
      <c r="AND83" s="143"/>
      <c r="ANE83" s="143"/>
      <c r="ANF83" s="143"/>
      <c r="ANG83" s="143"/>
      <c r="ANH83" s="143"/>
      <c r="ANI83" s="143"/>
      <c r="ANJ83" s="143"/>
      <c r="ANK83" s="143"/>
      <c r="ANL83" s="143"/>
      <c r="ANM83" s="143"/>
      <c r="ANN83" s="143"/>
      <c r="ANO83" s="143"/>
      <c r="ANP83" s="143"/>
      <c r="ANQ83" s="143"/>
      <c r="ANR83" s="143"/>
      <c r="ANS83" s="143"/>
      <c r="ANT83" s="143"/>
      <c r="ANU83" s="143"/>
      <c r="ANV83" s="143"/>
      <c r="ANW83" s="143"/>
      <c r="ANX83" s="143"/>
      <c r="ANY83" s="143"/>
      <c r="ANZ83" s="143"/>
      <c r="AOA83" s="143"/>
      <c r="AOB83" s="143"/>
      <c r="AOC83" s="143"/>
      <c r="AOD83" s="143"/>
      <c r="AOE83" s="143"/>
      <c r="AOF83" s="143"/>
      <c r="AOG83" s="143"/>
      <c r="AOH83" s="143"/>
      <c r="AOI83" s="143"/>
      <c r="AOJ83" s="143"/>
      <c r="AOK83" s="143"/>
      <c r="AOL83" s="143"/>
      <c r="AOM83" s="143"/>
      <c r="AON83" s="143"/>
      <c r="AOO83" s="143"/>
      <c r="AOP83" s="143"/>
      <c r="AOQ83" s="143"/>
      <c r="AOR83" s="143"/>
      <c r="AOS83" s="143"/>
      <c r="AOT83" s="143"/>
      <c r="AOU83" s="143"/>
      <c r="AOV83" s="143"/>
      <c r="AOW83" s="143"/>
      <c r="AOX83" s="143"/>
      <c r="AOY83" s="143"/>
      <c r="AOZ83" s="143"/>
      <c r="APA83" s="143"/>
      <c r="APB83" s="143"/>
      <c r="APC83" s="143"/>
      <c r="APD83" s="143"/>
      <c r="APE83" s="143"/>
      <c r="APF83" s="143"/>
      <c r="APG83" s="143"/>
      <c r="APH83" s="143"/>
      <c r="API83" s="143"/>
      <c r="APJ83" s="143"/>
      <c r="APK83" s="143"/>
      <c r="APL83" s="143"/>
      <c r="APM83" s="143"/>
      <c r="APN83" s="143"/>
      <c r="APO83" s="143"/>
      <c r="APP83" s="143"/>
      <c r="APQ83" s="143"/>
      <c r="APR83" s="143"/>
      <c r="APS83" s="143"/>
      <c r="APT83" s="143"/>
      <c r="APU83" s="143"/>
      <c r="APV83" s="143"/>
      <c r="APW83" s="143"/>
      <c r="APX83" s="143"/>
      <c r="APY83" s="143"/>
      <c r="APZ83" s="143"/>
      <c r="AQA83" s="143"/>
      <c r="AQB83" s="143"/>
      <c r="AQC83" s="143"/>
      <c r="AQD83" s="143"/>
      <c r="AQE83" s="143"/>
      <c r="AQF83" s="143"/>
      <c r="AQG83" s="143"/>
      <c r="AQH83" s="143"/>
      <c r="AQI83" s="143"/>
      <c r="AQJ83" s="143"/>
      <c r="AQK83" s="143"/>
      <c r="AQL83" s="143"/>
      <c r="AQM83" s="143"/>
      <c r="AQN83" s="143"/>
      <c r="AQO83" s="143"/>
      <c r="AQP83" s="143"/>
      <c r="AQQ83" s="143"/>
      <c r="AQR83" s="143"/>
      <c r="AQS83" s="143"/>
      <c r="AQT83" s="143"/>
      <c r="AQU83" s="143"/>
      <c r="AQV83" s="143"/>
      <c r="AQW83" s="143"/>
      <c r="AQX83" s="143"/>
      <c r="AQY83" s="143"/>
      <c r="AQZ83" s="143"/>
      <c r="ARA83" s="143"/>
      <c r="ARB83" s="143"/>
      <c r="ARC83" s="143"/>
      <c r="ARD83" s="143"/>
      <c r="ARE83" s="143"/>
      <c r="ARF83" s="143"/>
      <c r="ARG83" s="143"/>
      <c r="ARH83" s="143"/>
      <c r="ARI83" s="143"/>
      <c r="ARJ83" s="143"/>
      <c r="ARK83" s="143"/>
      <c r="ARL83" s="143"/>
      <c r="ARM83" s="143"/>
      <c r="ARN83" s="143"/>
      <c r="ARO83" s="143"/>
      <c r="ARP83" s="143"/>
      <c r="ARQ83" s="143"/>
      <c r="ARR83" s="143"/>
      <c r="ARS83" s="143"/>
      <c r="ART83" s="143"/>
      <c r="ARU83" s="143"/>
      <c r="ARV83" s="143"/>
      <c r="ARW83" s="143"/>
      <c r="ARX83" s="143"/>
      <c r="ARY83" s="143"/>
      <c r="ARZ83" s="143"/>
      <c r="ASA83" s="143"/>
      <c r="ASB83" s="143"/>
      <c r="ASC83" s="143"/>
      <c r="ASD83" s="143"/>
      <c r="ASE83" s="143"/>
      <c r="ASF83" s="143"/>
      <c r="ASG83" s="143"/>
      <c r="ASH83" s="143"/>
      <c r="ASI83" s="143"/>
      <c r="ASJ83" s="143"/>
      <c r="ASK83" s="143"/>
      <c r="ASL83" s="143"/>
      <c r="ASM83" s="143"/>
      <c r="ASN83" s="143"/>
      <c r="ASO83" s="143"/>
      <c r="ASP83" s="143"/>
      <c r="ASQ83" s="143"/>
      <c r="ASR83" s="143"/>
      <c r="ASS83" s="143"/>
      <c r="AST83" s="143"/>
      <c r="ASU83" s="143"/>
      <c r="ASV83" s="143"/>
      <c r="ASW83" s="143"/>
      <c r="ASX83" s="143"/>
      <c r="ASY83" s="143"/>
      <c r="ASZ83" s="143"/>
      <c r="ATA83" s="143"/>
      <c r="ATB83" s="143"/>
      <c r="ATC83" s="143"/>
      <c r="ATD83" s="143"/>
      <c r="ATE83" s="143"/>
      <c r="ATF83" s="143"/>
      <c r="ATG83" s="143"/>
      <c r="ATH83" s="143"/>
      <c r="ATI83" s="143"/>
      <c r="ATJ83" s="143"/>
      <c r="ATK83" s="143"/>
      <c r="ATL83" s="143"/>
      <c r="ATM83" s="143"/>
      <c r="ATN83" s="143"/>
      <c r="ATO83" s="143"/>
      <c r="ATP83" s="143"/>
      <c r="ATQ83" s="143"/>
      <c r="ATR83" s="143"/>
      <c r="ATS83" s="143"/>
      <c r="ATT83" s="143"/>
      <c r="ATU83" s="143"/>
      <c r="ATV83" s="143"/>
      <c r="ATW83" s="143"/>
      <c r="ATX83" s="143"/>
      <c r="ATY83" s="143"/>
      <c r="ATZ83" s="143"/>
      <c r="AUA83" s="143"/>
      <c r="AUB83" s="143"/>
      <c r="AUC83" s="143"/>
      <c r="AUD83" s="143"/>
      <c r="AUE83" s="143"/>
      <c r="AUF83" s="143"/>
      <c r="AUG83" s="143"/>
      <c r="AUH83" s="143"/>
      <c r="AUI83" s="143"/>
      <c r="AUJ83" s="143"/>
      <c r="AUK83" s="143"/>
      <c r="AUL83" s="143"/>
      <c r="AUM83" s="143"/>
      <c r="AUN83" s="143"/>
      <c r="AUO83" s="143"/>
      <c r="AUP83" s="143"/>
      <c r="AUQ83" s="143"/>
      <c r="AUR83" s="143"/>
      <c r="AUS83" s="143"/>
      <c r="AUT83" s="143"/>
      <c r="AUU83" s="143"/>
      <c r="AUV83" s="143"/>
      <c r="AUW83" s="143"/>
      <c r="AUX83" s="143"/>
      <c r="AUY83" s="143"/>
      <c r="AUZ83" s="143"/>
      <c r="AVA83" s="143"/>
      <c r="AVB83" s="143"/>
      <c r="AVC83" s="143"/>
      <c r="AVD83" s="143"/>
      <c r="AVE83" s="143"/>
      <c r="AVF83" s="143"/>
      <c r="AVG83" s="143"/>
      <c r="AVH83" s="143"/>
      <c r="AVI83" s="143"/>
      <c r="AVJ83" s="143"/>
      <c r="AVK83" s="143"/>
      <c r="AVL83" s="143"/>
      <c r="AVM83" s="143"/>
      <c r="AVN83" s="143"/>
      <c r="AVO83" s="143"/>
      <c r="AVP83" s="143"/>
      <c r="AVQ83" s="143"/>
      <c r="AVR83" s="143"/>
      <c r="AVS83" s="143"/>
      <c r="AVT83" s="143"/>
      <c r="AVU83" s="143"/>
      <c r="AVV83" s="143"/>
      <c r="AVW83" s="143"/>
      <c r="AVX83" s="143"/>
      <c r="AVY83" s="143"/>
      <c r="AVZ83" s="143"/>
      <c r="AWA83" s="143"/>
      <c r="AWB83" s="143"/>
      <c r="AWC83" s="143"/>
      <c r="AWD83" s="143"/>
      <c r="AWE83" s="143"/>
      <c r="AWF83" s="143"/>
      <c r="AWG83" s="143"/>
      <c r="AWH83" s="143"/>
      <c r="AWI83" s="143"/>
      <c r="AWJ83" s="143"/>
      <c r="AWK83" s="143"/>
      <c r="AWL83" s="143"/>
      <c r="AWM83" s="143"/>
      <c r="AWN83" s="143"/>
      <c r="AWO83" s="143"/>
      <c r="AWP83" s="143"/>
      <c r="AWQ83" s="143"/>
      <c r="AWR83" s="143"/>
      <c r="AWS83" s="143"/>
      <c r="AWT83" s="143"/>
      <c r="AWU83" s="143"/>
      <c r="AWV83" s="143"/>
      <c r="AWW83" s="143"/>
      <c r="AWX83" s="143"/>
      <c r="AWY83" s="143"/>
      <c r="AWZ83" s="143"/>
      <c r="AXA83" s="143"/>
      <c r="AXB83" s="143"/>
      <c r="AXC83" s="143"/>
      <c r="AXD83" s="143"/>
      <c r="AXE83" s="143"/>
      <c r="AXF83" s="143"/>
      <c r="AXG83" s="143"/>
      <c r="AXH83" s="143"/>
      <c r="AXI83" s="143"/>
      <c r="AXJ83" s="143"/>
      <c r="AXK83" s="143"/>
      <c r="AXL83" s="143"/>
      <c r="AXM83" s="143"/>
      <c r="AXN83" s="143"/>
      <c r="AXO83" s="143"/>
      <c r="AXP83" s="143"/>
      <c r="AXQ83" s="143"/>
      <c r="AXR83" s="143"/>
      <c r="AXS83" s="143"/>
      <c r="AXT83" s="143"/>
      <c r="AXU83" s="143"/>
      <c r="AXV83" s="143"/>
      <c r="AXW83" s="143"/>
      <c r="AXX83" s="143"/>
      <c r="AXY83" s="143"/>
      <c r="AXZ83" s="143"/>
      <c r="AYA83" s="143"/>
      <c r="AYB83" s="143"/>
      <c r="AYC83" s="143"/>
      <c r="AYD83" s="143"/>
      <c r="AYE83" s="143"/>
      <c r="AYF83" s="143"/>
      <c r="AYG83" s="143"/>
      <c r="AYH83" s="143"/>
      <c r="AYI83" s="143"/>
      <c r="AYJ83" s="143"/>
      <c r="AYK83" s="143"/>
      <c r="AYL83" s="143"/>
      <c r="AYM83" s="143"/>
      <c r="AYN83" s="143"/>
      <c r="AYO83" s="143"/>
      <c r="AYP83" s="143"/>
      <c r="AYQ83" s="143"/>
      <c r="AYR83" s="143"/>
      <c r="AYS83" s="143"/>
      <c r="AYT83" s="143"/>
      <c r="AYU83" s="143"/>
      <c r="AYV83" s="143"/>
      <c r="AYW83" s="143"/>
      <c r="AYX83" s="143"/>
      <c r="AYY83" s="143"/>
      <c r="AYZ83" s="143"/>
      <c r="AZA83" s="143"/>
      <c r="AZB83" s="143"/>
      <c r="AZC83" s="143"/>
      <c r="AZD83" s="143"/>
      <c r="AZE83" s="143"/>
      <c r="AZF83" s="143"/>
      <c r="AZG83" s="143"/>
      <c r="AZH83" s="143"/>
      <c r="AZI83" s="143"/>
      <c r="AZJ83" s="143"/>
      <c r="AZK83" s="143"/>
      <c r="AZL83" s="143"/>
      <c r="AZM83" s="143"/>
      <c r="AZN83" s="143"/>
      <c r="AZO83" s="143"/>
      <c r="AZP83" s="143"/>
      <c r="AZQ83" s="143"/>
      <c r="AZR83" s="143"/>
      <c r="AZS83" s="143"/>
      <c r="AZT83" s="143"/>
      <c r="AZU83" s="143"/>
      <c r="AZV83" s="143"/>
      <c r="AZW83" s="143"/>
      <c r="AZX83" s="143"/>
      <c r="AZY83" s="143"/>
      <c r="AZZ83" s="143"/>
      <c r="BAA83" s="143"/>
      <c r="BAB83" s="143"/>
      <c r="BAC83" s="143"/>
      <c r="BAD83" s="143"/>
      <c r="BAE83" s="143"/>
      <c r="BAF83" s="143"/>
      <c r="BAG83" s="143"/>
      <c r="BAH83" s="143"/>
      <c r="BAI83" s="143"/>
      <c r="BAJ83" s="143"/>
      <c r="BAK83" s="143"/>
      <c r="BAL83" s="143"/>
      <c r="BAM83" s="143"/>
      <c r="BAN83" s="143"/>
      <c r="BAO83" s="143"/>
      <c r="BAP83" s="143"/>
      <c r="BAQ83" s="143"/>
      <c r="BAR83" s="143"/>
      <c r="BAS83" s="143"/>
      <c r="BAT83" s="143"/>
      <c r="BAU83" s="143"/>
      <c r="BAV83" s="143"/>
      <c r="BAW83" s="143"/>
      <c r="BAX83" s="143"/>
      <c r="BAY83" s="143"/>
      <c r="BAZ83" s="143"/>
      <c r="BBA83" s="143"/>
      <c r="BBB83" s="143"/>
      <c r="BBC83" s="143"/>
      <c r="BBD83" s="143"/>
      <c r="BBE83" s="143"/>
      <c r="BBF83" s="143"/>
      <c r="BBG83" s="143"/>
      <c r="BBH83" s="143"/>
      <c r="BBI83" s="143"/>
      <c r="BBJ83" s="143"/>
      <c r="BBK83" s="143"/>
      <c r="BBL83" s="143"/>
      <c r="BBM83" s="143"/>
      <c r="BBN83" s="143"/>
      <c r="BBO83" s="143"/>
      <c r="BBP83" s="143"/>
      <c r="BBQ83" s="143"/>
      <c r="BBR83" s="143"/>
      <c r="BBS83" s="143"/>
      <c r="BBT83" s="143"/>
      <c r="BBU83" s="143"/>
      <c r="BBV83" s="143"/>
      <c r="BBW83" s="143"/>
      <c r="BBX83" s="143"/>
      <c r="BBY83" s="143"/>
      <c r="BBZ83" s="143"/>
      <c r="BCA83" s="143"/>
      <c r="BCB83" s="143"/>
      <c r="BCC83" s="143"/>
      <c r="BCD83" s="143"/>
      <c r="BCE83" s="143"/>
      <c r="BCF83" s="143"/>
      <c r="BCG83" s="143"/>
      <c r="BCH83" s="143"/>
      <c r="BCI83" s="143"/>
      <c r="BCJ83" s="143"/>
      <c r="BCK83" s="143"/>
      <c r="BCL83" s="143"/>
      <c r="BCM83" s="143"/>
      <c r="BCN83" s="143"/>
      <c r="BCO83" s="143"/>
      <c r="BCP83" s="143"/>
      <c r="BCQ83" s="143"/>
      <c r="BCR83" s="143"/>
      <c r="BCS83" s="143"/>
      <c r="BCT83" s="143"/>
      <c r="BCU83" s="143"/>
      <c r="BCV83" s="143"/>
      <c r="BCW83" s="143"/>
      <c r="BCX83" s="143"/>
      <c r="BCY83" s="143"/>
      <c r="BCZ83" s="143"/>
      <c r="BDA83" s="143"/>
      <c r="BDB83" s="143"/>
      <c r="BDC83" s="143"/>
      <c r="BDD83" s="143"/>
      <c r="BDE83" s="143"/>
      <c r="BDF83" s="143"/>
      <c r="BDG83" s="143"/>
      <c r="BDH83" s="143"/>
      <c r="BDI83" s="143"/>
      <c r="BDJ83" s="143"/>
      <c r="BDK83" s="143"/>
      <c r="BDL83" s="143"/>
      <c r="BDM83" s="143"/>
      <c r="BDN83" s="143"/>
      <c r="BDO83" s="143"/>
      <c r="BDP83" s="143"/>
      <c r="BDQ83" s="143"/>
      <c r="BDR83" s="143"/>
      <c r="BDS83" s="143"/>
      <c r="BDT83" s="143"/>
      <c r="BDU83" s="143"/>
      <c r="BDV83" s="143"/>
      <c r="BDW83" s="143"/>
      <c r="BDX83" s="143"/>
      <c r="BDY83" s="143"/>
      <c r="BDZ83" s="143"/>
      <c r="BEA83" s="143"/>
      <c r="BEB83" s="143"/>
      <c r="BEC83" s="143"/>
      <c r="BED83" s="143"/>
      <c r="BEE83" s="143"/>
      <c r="BEF83" s="143"/>
      <c r="BEG83" s="143"/>
      <c r="BEH83" s="143"/>
      <c r="BEI83" s="143"/>
      <c r="BEJ83" s="143"/>
      <c r="BEK83" s="143"/>
      <c r="BEL83" s="143"/>
      <c r="BEM83" s="143"/>
      <c r="BEN83" s="143"/>
      <c r="BEO83" s="143"/>
      <c r="BEP83" s="143"/>
      <c r="BEQ83" s="143"/>
      <c r="BER83" s="143"/>
      <c r="BES83" s="143"/>
      <c r="BET83" s="143"/>
      <c r="BEU83" s="143"/>
      <c r="BEV83" s="143"/>
      <c r="BEW83" s="143"/>
      <c r="BEX83" s="143"/>
      <c r="BEY83" s="143"/>
      <c r="BEZ83" s="143"/>
      <c r="BFA83" s="143"/>
      <c r="BFB83" s="143"/>
      <c r="BFC83" s="143"/>
      <c r="BFD83" s="143"/>
      <c r="BFE83" s="143"/>
      <c r="BFF83" s="143"/>
      <c r="BFG83" s="143"/>
      <c r="BFH83" s="143"/>
      <c r="BFI83" s="143"/>
      <c r="BFJ83" s="143"/>
      <c r="BFK83" s="143"/>
      <c r="BFL83" s="143"/>
      <c r="BFM83" s="143"/>
      <c r="BFN83" s="143"/>
      <c r="BFO83" s="143"/>
      <c r="BFP83" s="143"/>
      <c r="BFQ83" s="143"/>
      <c r="BFR83" s="143"/>
      <c r="BFS83" s="143"/>
      <c r="BFT83" s="143"/>
      <c r="BFU83" s="143"/>
      <c r="BFV83" s="143"/>
      <c r="BFW83" s="143"/>
      <c r="BFX83" s="143"/>
      <c r="BFY83" s="143"/>
      <c r="BFZ83" s="143"/>
      <c r="BGA83" s="143"/>
      <c r="BGB83" s="143"/>
      <c r="BGC83" s="143"/>
      <c r="BGD83" s="143"/>
      <c r="BGE83" s="143"/>
      <c r="BGF83" s="143"/>
      <c r="BGG83" s="143"/>
      <c r="BGH83" s="143"/>
      <c r="BGI83" s="143"/>
      <c r="BGJ83" s="143"/>
      <c r="BGK83" s="143"/>
      <c r="BGL83" s="143"/>
      <c r="BGM83" s="143"/>
      <c r="BGN83" s="143"/>
      <c r="BGO83" s="143"/>
      <c r="BGP83" s="143"/>
      <c r="BGQ83" s="143"/>
      <c r="BGR83" s="143"/>
      <c r="BGS83" s="143"/>
      <c r="BGT83" s="143"/>
      <c r="BGU83" s="143"/>
      <c r="BGV83" s="143"/>
      <c r="BGW83" s="143"/>
      <c r="BGX83" s="143"/>
      <c r="BGY83" s="143"/>
      <c r="BGZ83" s="143"/>
      <c r="BHA83" s="143"/>
      <c r="BHB83" s="143"/>
      <c r="BHC83" s="143"/>
      <c r="BHD83" s="143"/>
      <c r="BHE83" s="143"/>
      <c r="BHF83" s="143"/>
      <c r="BHG83" s="143"/>
      <c r="BHH83" s="143"/>
      <c r="BHI83" s="143"/>
      <c r="BHJ83" s="143"/>
      <c r="BHK83" s="143"/>
      <c r="BHL83" s="143"/>
      <c r="BHM83" s="143"/>
      <c r="BHN83" s="143"/>
      <c r="BHO83" s="143"/>
      <c r="BHP83" s="143"/>
      <c r="BHQ83" s="143"/>
      <c r="BHR83" s="143"/>
      <c r="BHS83" s="143"/>
      <c r="BHT83" s="143"/>
      <c r="BHU83" s="143"/>
      <c r="BHV83" s="143"/>
      <c r="BHW83" s="143"/>
      <c r="BHX83" s="143"/>
      <c r="BHY83" s="143"/>
      <c r="BHZ83" s="143"/>
      <c r="BIA83" s="143"/>
      <c r="BIB83" s="143"/>
      <c r="BIC83" s="143"/>
      <c r="BID83" s="143"/>
      <c r="BIE83" s="143"/>
      <c r="BIF83" s="143"/>
      <c r="BIG83" s="143"/>
      <c r="BIH83" s="143"/>
      <c r="BII83" s="143"/>
      <c r="BIJ83" s="143"/>
      <c r="BIK83" s="143"/>
      <c r="BIL83" s="143"/>
      <c r="BIM83" s="143"/>
      <c r="BIN83" s="143"/>
      <c r="BIO83" s="143"/>
      <c r="BIP83" s="143"/>
      <c r="BIQ83" s="143"/>
      <c r="BIR83" s="143"/>
      <c r="BIS83" s="143"/>
      <c r="BIT83" s="143"/>
      <c r="BIU83" s="143"/>
      <c r="BIV83" s="143"/>
      <c r="BIW83" s="143"/>
      <c r="BIX83" s="143"/>
      <c r="BIY83" s="143"/>
      <c r="BIZ83" s="143"/>
      <c r="BJA83" s="143"/>
      <c r="BJB83" s="143"/>
      <c r="BJC83" s="143"/>
      <c r="BJD83" s="143"/>
      <c r="BJE83" s="143"/>
      <c r="BJF83" s="143"/>
      <c r="BJG83" s="143"/>
      <c r="BJH83" s="143"/>
      <c r="BJI83" s="143"/>
      <c r="BJJ83" s="143"/>
      <c r="BJK83" s="143"/>
      <c r="BJL83" s="143"/>
      <c r="BJM83" s="143"/>
      <c r="BJN83" s="143"/>
      <c r="BJO83" s="143"/>
      <c r="BJP83" s="143"/>
      <c r="BJQ83" s="143"/>
      <c r="BJR83" s="143"/>
      <c r="BJS83" s="143"/>
      <c r="BJT83" s="143"/>
      <c r="BJU83" s="143"/>
      <c r="BJV83" s="143"/>
      <c r="BJW83" s="143"/>
      <c r="BJX83" s="143"/>
      <c r="BJY83" s="143"/>
      <c r="BJZ83" s="143"/>
      <c r="BKA83" s="143"/>
      <c r="BKB83" s="143"/>
      <c r="BKC83" s="143"/>
      <c r="BKD83" s="143"/>
      <c r="BKE83" s="143"/>
      <c r="BKF83" s="143"/>
      <c r="BKG83" s="143"/>
      <c r="BKH83" s="143"/>
      <c r="BKI83" s="143"/>
      <c r="BKJ83" s="143"/>
      <c r="BKK83" s="143"/>
      <c r="BKL83" s="143"/>
      <c r="BKM83" s="143"/>
      <c r="BKN83" s="143"/>
      <c r="BKO83" s="143"/>
      <c r="BKP83" s="143"/>
      <c r="BKQ83" s="143"/>
      <c r="BKR83" s="143"/>
      <c r="BKS83" s="143"/>
      <c r="BKT83" s="143"/>
      <c r="BKU83" s="143"/>
      <c r="BKV83" s="143"/>
      <c r="BKW83" s="143"/>
      <c r="BKX83" s="143"/>
      <c r="BKY83" s="143"/>
      <c r="BKZ83" s="143"/>
      <c r="BLA83" s="143"/>
      <c r="BLB83" s="143"/>
      <c r="BLC83" s="143"/>
      <c r="BLD83" s="143"/>
      <c r="BLE83" s="143"/>
      <c r="BLF83" s="143"/>
      <c r="BLG83" s="143"/>
      <c r="BLH83" s="143"/>
      <c r="BLI83" s="143"/>
      <c r="BLJ83" s="143"/>
      <c r="BLK83" s="143"/>
      <c r="BLL83" s="143"/>
      <c r="BLM83" s="143"/>
      <c r="BLN83" s="143"/>
      <c r="BLO83" s="143"/>
      <c r="BLP83" s="143"/>
      <c r="BLQ83" s="143"/>
      <c r="BLR83" s="143"/>
      <c r="BLS83" s="143"/>
      <c r="BLT83" s="143"/>
      <c r="BLU83" s="143"/>
      <c r="BLV83" s="143"/>
      <c r="BLW83" s="143"/>
      <c r="BLX83" s="143"/>
      <c r="BLY83" s="143"/>
      <c r="BLZ83" s="143"/>
      <c r="BMA83" s="143"/>
      <c r="BMB83" s="143"/>
      <c r="BMC83" s="143"/>
      <c r="BMD83" s="143"/>
      <c r="BME83" s="143"/>
      <c r="BMF83" s="143"/>
      <c r="BMG83" s="143"/>
      <c r="BMH83" s="143"/>
      <c r="BMI83" s="143"/>
      <c r="BMJ83" s="143"/>
      <c r="BMK83" s="143"/>
      <c r="BML83" s="143"/>
      <c r="BMM83" s="143"/>
      <c r="BMN83" s="143"/>
      <c r="BMO83" s="143"/>
      <c r="BMP83" s="143"/>
      <c r="BMQ83" s="143"/>
      <c r="BMR83" s="143"/>
      <c r="BMS83" s="143"/>
      <c r="BMT83" s="143"/>
      <c r="BMU83" s="143"/>
      <c r="BMV83" s="143"/>
      <c r="BMW83" s="143"/>
      <c r="BMX83" s="143"/>
      <c r="BMY83" s="143"/>
      <c r="BMZ83" s="143"/>
      <c r="BNA83" s="143"/>
      <c r="BNB83" s="143"/>
      <c r="BNC83" s="143"/>
      <c r="BND83" s="143"/>
      <c r="BNE83" s="143"/>
      <c r="BNF83" s="143"/>
      <c r="BNG83" s="143"/>
      <c r="BNH83" s="143"/>
      <c r="BNI83" s="143"/>
      <c r="BNJ83" s="143"/>
      <c r="BNK83" s="143"/>
      <c r="BNL83" s="143"/>
      <c r="BNM83" s="143"/>
      <c r="BNN83" s="143"/>
      <c r="BNO83" s="143"/>
      <c r="BNP83" s="143"/>
      <c r="BNQ83" s="143"/>
      <c r="BNR83" s="143"/>
      <c r="BNS83" s="143"/>
      <c r="BNT83" s="143"/>
      <c r="BNU83" s="143"/>
      <c r="BNV83" s="143"/>
      <c r="BNW83" s="143"/>
      <c r="BNX83" s="143"/>
      <c r="BNY83" s="143"/>
      <c r="BNZ83" s="143"/>
      <c r="BOA83" s="143"/>
      <c r="BOB83" s="143"/>
      <c r="BOC83" s="143"/>
      <c r="BOD83" s="143"/>
      <c r="BOE83" s="143"/>
      <c r="BOF83" s="143"/>
      <c r="BOG83" s="143"/>
      <c r="BOH83" s="143"/>
      <c r="BOI83" s="143"/>
      <c r="BOJ83" s="143"/>
      <c r="BOK83" s="143"/>
      <c r="BOL83" s="143"/>
      <c r="BOM83" s="143"/>
      <c r="BON83" s="143"/>
      <c r="BOO83" s="143"/>
      <c r="BOP83" s="143"/>
      <c r="BOQ83" s="143"/>
      <c r="BOR83" s="143"/>
      <c r="BOS83" s="143"/>
      <c r="BOT83" s="143"/>
      <c r="BOU83" s="143"/>
      <c r="BOV83" s="143"/>
      <c r="BOW83" s="143"/>
      <c r="BOX83" s="143"/>
      <c r="BOY83" s="143"/>
      <c r="BOZ83" s="143"/>
      <c r="BPA83" s="143"/>
      <c r="BPB83" s="143"/>
      <c r="BPC83" s="143"/>
      <c r="BPD83" s="143"/>
      <c r="BPE83" s="143"/>
      <c r="BPF83" s="143"/>
      <c r="BPG83" s="143"/>
      <c r="BPH83" s="143"/>
      <c r="BPI83" s="143"/>
      <c r="BPJ83" s="143"/>
      <c r="BPK83" s="143"/>
      <c r="BPL83" s="143"/>
      <c r="BPM83" s="143"/>
      <c r="BPN83" s="143"/>
      <c r="BPO83" s="143"/>
      <c r="BPP83" s="143"/>
      <c r="BPQ83" s="143"/>
      <c r="BPR83" s="143"/>
      <c r="BPS83" s="143"/>
      <c r="BPT83" s="143"/>
      <c r="BPU83" s="143"/>
      <c r="BPV83" s="143"/>
      <c r="BPW83" s="143"/>
      <c r="BPX83" s="143"/>
      <c r="BPY83" s="143"/>
      <c r="BPZ83" s="143"/>
      <c r="BQA83" s="143"/>
      <c r="BQB83" s="143"/>
      <c r="BQC83" s="143"/>
      <c r="BQD83" s="143"/>
      <c r="BQE83" s="143"/>
      <c r="BQF83" s="143"/>
      <c r="BQG83" s="143"/>
      <c r="BQH83" s="143"/>
      <c r="BQI83" s="143"/>
      <c r="BQJ83" s="143"/>
      <c r="BQK83" s="143"/>
      <c r="BQL83" s="143"/>
      <c r="BQM83" s="143"/>
      <c r="BQN83" s="143"/>
      <c r="BQO83" s="143"/>
      <c r="BQP83" s="143"/>
      <c r="BQQ83" s="143"/>
      <c r="BQR83" s="143"/>
      <c r="BQS83" s="143"/>
      <c r="BQT83" s="143"/>
      <c r="BQU83" s="143"/>
      <c r="BQV83" s="143"/>
      <c r="BQW83" s="143"/>
      <c r="BQX83" s="143"/>
      <c r="BQY83" s="143"/>
      <c r="BQZ83" s="143"/>
      <c r="BRA83" s="143"/>
      <c r="BRB83" s="143"/>
      <c r="BRC83" s="143"/>
      <c r="BRD83" s="143"/>
      <c r="BRE83" s="143"/>
      <c r="BRF83" s="143"/>
      <c r="BRG83" s="143"/>
      <c r="BRH83" s="143"/>
      <c r="BRI83" s="143"/>
      <c r="BRJ83" s="143"/>
      <c r="BRK83" s="143"/>
      <c r="BRL83" s="143"/>
      <c r="BRM83" s="143"/>
      <c r="BRN83" s="143"/>
      <c r="BRO83" s="143"/>
      <c r="BRP83" s="143"/>
      <c r="BRQ83" s="143"/>
      <c r="BRR83" s="143"/>
      <c r="BRS83" s="143"/>
      <c r="BRT83" s="143"/>
      <c r="BRU83" s="143"/>
      <c r="BRV83" s="143"/>
      <c r="BRW83" s="143"/>
      <c r="BRX83" s="143"/>
      <c r="BRY83" s="143"/>
      <c r="BRZ83" s="143"/>
      <c r="BSA83" s="143"/>
      <c r="BSB83" s="143"/>
      <c r="BSC83" s="143"/>
      <c r="BSD83" s="143"/>
      <c r="BSE83" s="143"/>
      <c r="BSF83" s="143"/>
      <c r="BSG83" s="143"/>
      <c r="BSH83" s="143"/>
      <c r="BSI83" s="143"/>
      <c r="BSJ83" s="143"/>
      <c r="BSK83" s="143"/>
      <c r="BSL83" s="143"/>
      <c r="BSM83" s="143"/>
      <c r="BSN83" s="143"/>
      <c r="BSO83" s="143"/>
      <c r="BSP83" s="143"/>
      <c r="BSQ83" s="143"/>
      <c r="BSR83" s="143"/>
      <c r="BSS83" s="143"/>
      <c r="BST83" s="143"/>
      <c r="BSU83" s="143"/>
      <c r="BSV83" s="143"/>
      <c r="BSW83" s="143"/>
      <c r="BSX83" s="143"/>
      <c r="BSY83" s="143"/>
      <c r="BSZ83" s="143"/>
      <c r="BTA83" s="143"/>
      <c r="BTB83" s="143"/>
      <c r="BTC83" s="143"/>
      <c r="BTD83" s="143"/>
      <c r="BTE83" s="143"/>
      <c r="BTF83" s="143"/>
      <c r="BTG83" s="143"/>
      <c r="BTH83" s="143"/>
      <c r="BTI83" s="143"/>
      <c r="BTJ83" s="143"/>
      <c r="BTK83" s="143"/>
      <c r="BTL83" s="143"/>
      <c r="BTM83" s="143"/>
      <c r="BTN83" s="143"/>
      <c r="BTO83" s="143"/>
      <c r="BTP83" s="143"/>
      <c r="BTQ83" s="143"/>
      <c r="BTR83" s="143"/>
      <c r="BTS83" s="143"/>
      <c r="BTT83" s="143"/>
      <c r="BTU83" s="143"/>
      <c r="BTV83" s="143"/>
      <c r="BTW83" s="143"/>
      <c r="BTX83" s="143"/>
      <c r="BTY83" s="143"/>
      <c r="BTZ83" s="143"/>
      <c r="BUA83" s="143"/>
      <c r="BUB83" s="143"/>
      <c r="BUC83" s="143"/>
      <c r="BUD83" s="143"/>
      <c r="BUE83" s="143"/>
      <c r="BUF83" s="143"/>
      <c r="BUG83" s="143"/>
      <c r="BUH83" s="143"/>
      <c r="BUI83" s="143"/>
      <c r="BUJ83" s="143"/>
      <c r="BUK83" s="143"/>
      <c r="BUL83" s="143"/>
      <c r="BUM83" s="143"/>
      <c r="BUN83" s="143"/>
      <c r="BUO83" s="143"/>
      <c r="BUP83" s="143"/>
      <c r="BUQ83" s="143"/>
      <c r="BUR83" s="143"/>
      <c r="BUS83" s="143"/>
      <c r="BUT83" s="143"/>
      <c r="BUU83" s="143"/>
      <c r="BUV83" s="143"/>
      <c r="BUW83" s="143"/>
      <c r="BUX83" s="143"/>
      <c r="BUY83" s="143"/>
      <c r="BUZ83" s="143"/>
      <c r="BVA83" s="143"/>
      <c r="BVB83" s="143"/>
      <c r="BVC83" s="143"/>
      <c r="BVD83" s="143"/>
      <c r="BVE83" s="143"/>
      <c r="BVF83" s="143"/>
      <c r="BVG83" s="143"/>
      <c r="BVH83" s="143"/>
      <c r="BVI83" s="143"/>
      <c r="BVJ83" s="143"/>
      <c r="BVK83" s="143"/>
      <c r="BVL83" s="143"/>
      <c r="BVM83" s="143"/>
      <c r="BVN83" s="143"/>
      <c r="BVO83" s="143"/>
      <c r="BVP83" s="143"/>
      <c r="BVQ83" s="143"/>
      <c r="BVR83" s="143"/>
      <c r="BVS83" s="143"/>
      <c r="BVT83" s="143"/>
      <c r="BVU83" s="143"/>
      <c r="BVV83" s="143"/>
      <c r="BVW83" s="143"/>
      <c r="BVX83" s="143"/>
      <c r="BVY83" s="143"/>
      <c r="BVZ83" s="143"/>
      <c r="BWA83" s="143"/>
      <c r="BWB83" s="143"/>
      <c r="BWC83" s="143"/>
      <c r="BWD83" s="143"/>
      <c r="BWE83" s="143"/>
      <c r="BWF83" s="143"/>
      <c r="BWG83" s="143"/>
      <c r="BWH83" s="143"/>
      <c r="BWI83" s="143"/>
      <c r="BWJ83" s="143"/>
      <c r="BWK83" s="143"/>
      <c r="BWL83" s="143"/>
      <c r="BWM83" s="143"/>
      <c r="BWN83" s="143"/>
      <c r="BWO83" s="143"/>
      <c r="BWP83" s="143"/>
      <c r="BWQ83" s="143"/>
      <c r="BWR83" s="143"/>
      <c r="BWS83" s="143"/>
      <c r="BWT83" s="143"/>
      <c r="BWU83" s="143"/>
      <c r="BWV83" s="143"/>
      <c r="BWW83" s="143"/>
      <c r="BWX83" s="143"/>
      <c r="BWY83" s="143"/>
      <c r="BWZ83" s="143"/>
      <c r="BXA83" s="143"/>
      <c r="BXB83" s="143"/>
      <c r="BXC83" s="143"/>
      <c r="BXD83" s="143"/>
      <c r="BXE83" s="143"/>
      <c r="BXF83" s="143"/>
      <c r="BXG83" s="143"/>
      <c r="BXH83" s="143"/>
      <c r="BXI83" s="143"/>
      <c r="BXJ83" s="143"/>
      <c r="BXK83" s="143"/>
      <c r="BXL83" s="143"/>
      <c r="BXM83" s="143"/>
      <c r="BXN83" s="143"/>
      <c r="BXO83" s="143"/>
      <c r="BXP83" s="143"/>
      <c r="BXQ83" s="143"/>
      <c r="BXR83" s="143"/>
      <c r="BXS83" s="143"/>
      <c r="BXT83" s="143"/>
      <c r="BXU83" s="143"/>
      <c r="BXV83" s="143"/>
      <c r="BXW83" s="143"/>
      <c r="BXX83" s="143"/>
      <c r="BXY83" s="143"/>
      <c r="BXZ83" s="143"/>
      <c r="BYA83" s="143"/>
      <c r="BYB83" s="143"/>
      <c r="BYC83" s="143"/>
      <c r="BYD83" s="143"/>
      <c r="BYE83" s="143"/>
      <c r="BYF83" s="143"/>
      <c r="BYG83" s="143"/>
      <c r="BYH83" s="143"/>
      <c r="BYI83" s="143"/>
      <c r="BYJ83" s="143"/>
      <c r="BYK83" s="143"/>
      <c r="BYL83" s="143"/>
      <c r="BYM83" s="143"/>
      <c r="BYN83" s="143"/>
      <c r="BYO83" s="143"/>
      <c r="BYP83" s="143"/>
      <c r="BYQ83" s="143"/>
      <c r="BYR83" s="143"/>
      <c r="BYS83" s="143"/>
      <c r="BYT83" s="143"/>
      <c r="BYU83" s="143"/>
      <c r="BYV83" s="143"/>
      <c r="BYW83" s="143"/>
      <c r="BYX83" s="143"/>
      <c r="BYY83" s="143"/>
      <c r="BYZ83" s="143"/>
      <c r="BZA83" s="143"/>
      <c r="BZB83" s="143"/>
      <c r="BZC83" s="143"/>
      <c r="BZD83" s="143"/>
      <c r="BZE83" s="143"/>
      <c r="BZF83" s="143"/>
      <c r="BZG83" s="143"/>
      <c r="BZH83" s="143"/>
      <c r="BZI83" s="143"/>
      <c r="BZJ83" s="143"/>
      <c r="BZK83" s="143"/>
      <c r="BZL83" s="143"/>
      <c r="BZM83" s="143"/>
      <c r="BZN83" s="143"/>
      <c r="BZO83" s="143"/>
      <c r="BZP83" s="143"/>
      <c r="BZQ83" s="143"/>
      <c r="BZR83" s="143"/>
      <c r="BZS83" s="143"/>
      <c r="BZT83" s="143"/>
      <c r="BZU83" s="143"/>
      <c r="BZV83" s="143"/>
      <c r="BZW83" s="143"/>
      <c r="BZX83" s="143"/>
      <c r="BZY83" s="143"/>
      <c r="BZZ83" s="143"/>
      <c r="CAA83" s="143"/>
      <c r="CAB83" s="143"/>
      <c r="CAC83" s="143"/>
      <c r="CAD83" s="143"/>
      <c r="CAE83" s="143"/>
      <c r="CAF83" s="143"/>
      <c r="CAG83" s="143"/>
      <c r="CAH83" s="143"/>
      <c r="CAI83" s="143"/>
      <c r="CAJ83" s="143"/>
      <c r="CAK83" s="143"/>
      <c r="CAL83" s="143"/>
      <c r="CAM83" s="143"/>
      <c r="CAN83" s="143"/>
      <c r="CAO83" s="143"/>
      <c r="CAP83" s="143"/>
      <c r="CAQ83" s="143"/>
      <c r="CAR83" s="143"/>
      <c r="CAS83" s="143"/>
      <c r="CAT83" s="143"/>
      <c r="CAU83" s="143"/>
      <c r="CAV83" s="143"/>
      <c r="CAW83" s="143"/>
      <c r="CAX83" s="143"/>
      <c r="CAY83" s="143"/>
      <c r="CAZ83" s="143"/>
      <c r="CBA83" s="143"/>
      <c r="CBB83" s="143"/>
      <c r="CBC83" s="143"/>
      <c r="CBD83" s="143"/>
      <c r="CBE83" s="143"/>
      <c r="CBF83" s="143"/>
      <c r="CBG83" s="143"/>
      <c r="CBH83" s="143"/>
      <c r="CBI83" s="143"/>
      <c r="CBJ83" s="143"/>
      <c r="CBK83" s="143"/>
      <c r="CBL83" s="143"/>
      <c r="CBM83" s="143"/>
      <c r="CBN83" s="143"/>
      <c r="CBO83" s="143"/>
      <c r="CBP83" s="143"/>
      <c r="CBQ83" s="143"/>
      <c r="CBR83" s="143"/>
      <c r="CBS83" s="143"/>
      <c r="CBT83" s="143"/>
      <c r="CBU83" s="143"/>
      <c r="CBV83" s="143"/>
      <c r="CBW83" s="143"/>
      <c r="CBX83" s="143"/>
      <c r="CBY83" s="143"/>
      <c r="CBZ83" s="143"/>
      <c r="CCA83" s="143"/>
      <c r="CCB83" s="143"/>
      <c r="CCC83" s="143"/>
      <c r="CCD83" s="143"/>
      <c r="CCE83" s="143"/>
      <c r="CCF83" s="143"/>
      <c r="CCG83" s="143"/>
      <c r="CCH83" s="143"/>
      <c r="CCI83" s="143"/>
      <c r="CCJ83" s="143"/>
      <c r="CCK83" s="143"/>
      <c r="CCL83" s="143"/>
      <c r="CCM83" s="143"/>
      <c r="CCN83" s="143"/>
      <c r="CCO83" s="143"/>
      <c r="CCP83" s="143"/>
      <c r="CCQ83" s="143"/>
      <c r="CCR83" s="143"/>
      <c r="CCS83" s="143"/>
      <c r="CCT83" s="143"/>
      <c r="CCU83" s="143"/>
      <c r="CCV83" s="143"/>
      <c r="CCW83" s="143"/>
      <c r="CCX83" s="143"/>
      <c r="CCY83" s="143"/>
      <c r="CCZ83" s="143"/>
      <c r="CDA83" s="143"/>
      <c r="CDB83" s="143"/>
      <c r="CDC83" s="143"/>
      <c r="CDD83" s="143"/>
      <c r="CDE83" s="143"/>
      <c r="CDF83" s="143"/>
      <c r="CDG83" s="143"/>
      <c r="CDH83" s="143"/>
      <c r="CDI83" s="143"/>
      <c r="CDJ83" s="143"/>
      <c r="CDK83" s="143"/>
      <c r="CDL83" s="143"/>
      <c r="CDM83" s="143"/>
      <c r="CDN83" s="143"/>
      <c r="CDO83" s="143"/>
      <c r="CDP83" s="143"/>
      <c r="CDQ83" s="143"/>
      <c r="CDR83" s="143"/>
      <c r="CDS83" s="143"/>
      <c r="CDT83" s="143"/>
      <c r="CDU83" s="143"/>
      <c r="CDV83" s="143"/>
      <c r="CDW83" s="143"/>
      <c r="CDX83" s="143"/>
      <c r="CDY83" s="143"/>
      <c r="CDZ83" s="143"/>
      <c r="CEA83" s="143"/>
      <c r="CEB83" s="143"/>
      <c r="CEC83" s="143"/>
      <c r="CED83" s="143"/>
      <c r="CEE83" s="143"/>
      <c r="CEF83" s="143"/>
      <c r="CEG83" s="143"/>
      <c r="CEH83" s="143"/>
      <c r="CEI83" s="143"/>
      <c r="CEJ83" s="143"/>
      <c r="CEK83" s="143"/>
      <c r="CEL83" s="143"/>
      <c r="CEM83" s="143"/>
      <c r="CEN83" s="143"/>
      <c r="CEO83" s="143"/>
      <c r="CEP83" s="143"/>
      <c r="CEQ83" s="143"/>
      <c r="CER83" s="143"/>
      <c r="CES83" s="143"/>
      <c r="CET83" s="143"/>
      <c r="CEU83" s="143"/>
      <c r="CEV83" s="143"/>
      <c r="CEW83" s="143"/>
      <c r="CEX83" s="143"/>
      <c r="CEY83" s="143"/>
      <c r="CEZ83" s="143"/>
      <c r="CFA83" s="143"/>
      <c r="CFB83" s="143"/>
      <c r="CFC83" s="143"/>
      <c r="CFD83" s="143"/>
      <c r="CFE83" s="143"/>
      <c r="CFF83" s="143"/>
      <c r="CFG83" s="143"/>
      <c r="CFH83" s="143"/>
      <c r="CFI83" s="143"/>
      <c r="CFJ83" s="143"/>
      <c r="CFK83" s="143"/>
      <c r="CFL83" s="143"/>
      <c r="CFM83" s="143"/>
      <c r="CFN83" s="143"/>
      <c r="CFO83" s="143"/>
      <c r="CFP83" s="143"/>
      <c r="CFQ83" s="143"/>
      <c r="CFR83" s="143"/>
      <c r="CFS83" s="143"/>
      <c r="CFT83" s="143"/>
      <c r="CFU83" s="143"/>
      <c r="CFV83" s="143"/>
      <c r="CFW83" s="143"/>
      <c r="CFX83" s="143"/>
      <c r="CFY83" s="143"/>
      <c r="CFZ83" s="143"/>
      <c r="CGA83" s="143"/>
      <c r="CGB83" s="143"/>
      <c r="CGC83" s="143"/>
      <c r="CGD83" s="143"/>
      <c r="CGE83" s="143"/>
      <c r="CGF83" s="143"/>
      <c r="CGG83" s="143"/>
      <c r="CGH83" s="143"/>
      <c r="CGI83" s="143"/>
      <c r="CGJ83" s="143"/>
      <c r="CGK83" s="143"/>
      <c r="CGL83" s="143"/>
      <c r="CGM83" s="143"/>
      <c r="CGN83" s="143"/>
      <c r="CGO83" s="143"/>
      <c r="CGP83" s="143"/>
      <c r="CGQ83" s="143"/>
      <c r="CGR83" s="143"/>
      <c r="CGS83" s="143"/>
      <c r="CGT83" s="143"/>
      <c r="CGU83" s="143"/>
      <c r="CGV83" s="143"/>
      <c r="CGW83" s="143"/>
      <c r="CGX83" s="143"/>
      <c r="CGY83" s="143"/>
      <c r="CGZ83" s="143"/>
      <c r="CHA83" s="143"/>
      <c r="CHB83" s="143"/>
      <c r="CHC83" s="143"/>
      <c r="CHD83" s="143"/>
      <c r="CHE83" s="143"/>
      <c r="CHF83" s="143"/>
      <c r="CHG83" s="143"/>
      <c r="CHH83" s="143"/>
      <c r="CHI83" s="143"/>
      <c r="CHJ83" s="143"/>
      <c r="CHK83" s="143"/>
      <c r="CHL83" s="143"/>
      <c r="CHM83" s="143"/>
      <c r="CHN83" s="143"/>
      <c r="CHO83" s="143"/>
      <c r="CHP83" s="143"/>
      <c r="CHQ83" s="143"/>
      <c r="CHR83" s="143"/>
      <c r="CHS83" s="143"/>
      <c r="CHT83" s="143"/>
      <c r="CHU83" s="143"/>
      <c r="CHV83" s="143"/>
      <c r="CHW83" s="143"/>
      <c r="CHX83" s="143"/>
      <c r="CHY83" s="143"/>
      <c r="CHZ83" s="143"/>
      <c r="CIA83" s="143"/>
      <c r="CIB83" s="143"/>
      <c r="CIC83" s="143"/>
      <c r="CID83" s="143"/>
      <c r="CIE83" s="143"/>
      <c r="CIF83" s="143"/>
      <c r="CIG83" s="143"/>
      <c r="CIH83" s="143"/>
      <c r="CII83" s="143"/>
      <c r="CIJ83" s="143"/>
      <c r="CIK83" s="143"/>
      <c r="CIL83" s="143"/>
      <c r="CIM83" s="143"/>
      <c r="CIN83" s="143"/>
      <c r="CIO83" s="143"/>
      <c r="CIP83" s="143"/>
      <c r="CIQ83" s="143"/>
      <c r="CIR83" s="143"/>
      <c r="CIS83" s="143"/>
      <c r="CIT83" s="143"/>
      <c r="CIU83" s="143"/>
      <c r="CIV83" s="143"/>
      <c r="CIW83" s="143"/>
      <c r="CIX83" s="143"/>
      <c r="CIY83" s="143"/>
      <c r="CIZ83" s="143"/>
      <c r="CJA83" s="143"/>
      <c r="CJB83" s="143"/>
      <c r="CJC83" s="143"/>
      <c r="CJD83" s="143"/>
      <c r="CJE83" s="143"/>
      <c r="CJF83" s="143"/>
      <c r="CJG83" s="143"/>
      <c r="CJH83" s="143"/>
      <c r="CJI83" s="143"/>
      <c r="CJJ83" s="143"/>
      <c r="CJK83" s="143"/>
      <c r="CJL83" s="143"/>
      <c r="CJM83" s="143"/>
      <c r="CJN83" s="143"/>
      <c r="CJO83" s="143"/>
      <c r="CJP83" s="143"/>
      <c r="CJQ83" s="143"/>
      <c r="CJR83" s="143"/>
      <c r="CJS83" s="143"/>
      <c r="CJT83" s="143"/>
      <c r="CJU83" s="143"/>
      <c r="CJV83" s="143"/>
      <c r="CJW83" s="143"/>
      <c r="CJX83" s="143"/>
      <c r="CJY83" s="143"/>
      <c r="CJZ83" s="143"/>
      <c r="CKA83" s="143"/>
      <c r="CKB83" s="143"/>
      <c r="CKC83" s="143"/>
      <c r="CKD83" s="143"/>
      <c r="CKE83" s="143"/>
      <c r="CKF83" s="143"/>
      <c r="CKG83" s="143"/>
      <c r="CKH83" s="143"/>
      <c r="CKI83" s="143"/>
      <c r="CKJ83" s="143"/>
      <c r="CKK83" s="143"/>
      <c r="CKL83" s="143"/>
      <c r="CKM83" s="143"/>
      <c r="CKN83" s="143"/>
      <c r="CKO83" s="143"/>
      <c r="CKP83" s="143"/>
      <c r="CKQ83" s="143"/>
      <c r="CKR83" s="143"/>
      <c r="CKS83" s="143"/>
      <c r="CKT83" s="143"/>
      <c r="CKU83" s="143"/>
      <c r="CKV83" s="143"/>
      <c r="CKW83" s="143"/>
      <c r="CKX83" s="143"/>
      <c r="CKY83" s="143"/>
      <c r="CKZ83" s="143"/>
      <c r="CLA83" s="143"/>
      <c r="CLB83" s="143"/>
      <c r="CLC83" s="143"/>
      <c r="CLD83" s="143"/>
      <c r="CLE83" s="143"/>
      <c r="CLF83" s="143"/>
      <c r="CLG83" s="143"/>
      <c r="CLH83" s="143"/>
      <c r="CLI83" s="143"/>
      <c r="CLJ83" s="143"/>
      <c r="CLK83" s="143"/>
      <c r="CLL83" s="143"/>
      <c r="CLM83" s="143"/>
      <c r="CLN83" s="143"/>
      <c r="CLO83" s="143"/>
      <c r="CLP83" s="143"/>
      <c r="CLQ83" s="143"/>
      <c r="CLR83" s="143"/>
      <c r="CLS83" s="143"/>
      <c r="CLT83" s="143"/>
      <c r="CLU83" s="143"/>
      <c r="CLV83" s="143"/>
      <c r="CLW83" s="143"/>
      <c r="CLX83" s="143"/>
      <c r="CLY83" s="143"/>
      <c r="CLZ83" s="143"/>
      <c r="CMA83" s="143"/>
      <c r="CMB83" s="143"/>
      <c r="CMC83" s="143"/>
      <c r="CMD83" s="143"/>
      <c r="CME83" s="143"/>
      <c r="CMF83" s="143"/>
      <c r="CMG83" s="143"/>
      <c r="CMH83" s="143"/>
      <c r="CMI83" s="143"/>
      <c r="CMJ83" s="143"/>
      <c r="CMK83" s="143"/>
      <c r="CML83" s="143"/>
      <c r="CMM83" s="143"/>
      <c r="CMN83" s="143"/>
      <c r="CMO83" s="143"/>
      <c r="CMP83" s="143"/>
      <c r="CMQ83" s="143"/>
      <c r="CMR83" s="143"/>
      <c r="CMS83" s="143"/>
      <c r="CMT83" s="143"/>
      <c r="CMU83" s="143"/>
      <c r="CMV83" s="143"/>
      <c r="CMW83" s="143"/>
      <c r="CMX83" s="143"/>
      <c r="CMY83" s="143"/>
      <c r="CMZ83" s="143"/>
      <c r="CNA83" s="143"/>
      <c r="CNB83" s="143"/>
      <c r="CNC83" s="143"/>
      <c r="CND83" s="143"/>
      <c r="CNE83" s="143"/>
      <c r="CNF83" s="143"/>
      <c r="CNG83" s="143"/>
      <c r="CNH83" s="143"/>
      <c r="CNI83" s="143"/>
      <c r="CNJ83" s="143"/>
      <c r="CNK83" s="143"/>
      <c r="CNL83" s="143"/>
      <c r="CNM83" s="143"/>
      <c r="CNN83" s="143"/>
      <c r="CNO83" s="143"/>
      <c r="CNP83" s="143"/>
      <c r="CNQ83" s="143"/>
      <c r="CNR83" s="143"/>
      <c r="CNS83" s="143"/>
      <c r="CNT83" s="143"/>
      <c r="CNU83" s="143"/>
      <c r="CNV83" s="143"/>
      <c r="CNW83" s="143"/>
      <c r="CNX83" s="143"/>
      <c r="CNY83" s="143"/>
      <c r="CNZ83" s="143"/>
      <c r="COA83" s="143"/>
      <c r="COB83" s="143"/>
      <c r="COC83" s="143"/>
      <c r="COD83" s="143"/>
      <c r="COE83" s="143"/>
      <c r="COF83" s="143"/>
      <c r="COG83" s="143"/>
      <c r="COH83" s="143"/>
      <c r="COI83" s="143"/>
      <c r="COJ83" s="143"/>
      <c r="COK83" s="143"/>
      <c r="COL83" s="143"/>
      <c r="COM83" s="143"/>
      <c r="CON83" s="143"/>
      <c r="COO83" s="143"/>
      <c r="COP83" s="143"/>
      <c r="COQ83" s="143"/>
      <c r="COR83" s="143"/>
      <c r="COS83" s="143"/>
      <c r="COT83" s="143"/>
      <c r="COU83" s="143"/>
      <c r="COV83" s="143"/>
      <c r="COW83" s="143"/>
      <c r="COX83" s="143"/>
      <c r="COY83" s="143"/>
      <c r="COZ83" s="143"/>
      <c r="CPA83" s="143"/>
      <c r="CPB83" s="143"/>
      <c r="CPC83" s="143"/>
      <c r="CPD83" s="143"/>
      <c r="CPE83" s="143"/>
      <c r="CPF83" s="143"/>
      <c r="CPG83" s="143"/>
      <c r="CPH83" s="143"/>
      <c r="CPI83" s="143"/>
      <c r="CPJ83" s="143"/>
      <c r="CPK83" s="143"/>
      <c r="CPL83" s="143"/>
      <c r="CPM83" s="143"/>
      <c r="CPN83" s="143"/>
      <c r="CPO83" s="143"/>
      <c r="CPP83" s="143"/>
      <c r="CPQ83" s="143"/>
      <c r="CPR83" s="143"/>
      <c r="CPS83" s="143"/>
      <c r="CPT83" s="143"/>
      <c r="CPU83" s="143"/>
      <c r="CPV83" s="143"/>
      <c r="CPW83" s="143"/>
      <c r="CPX83" s="143"/>
      <c r="CPY83" s="143"/>
      <c r="CPZ83" s="143"/>
      <c r="CQA83" s="143"/>
      <c r="CQB83" s="143"/>
      <c r="CQC83" s="143"/>
      <c r="CQD83" s="143"/>
      <c r="CQE83" s="143"/>
      <c r="CQF83" s="143"/>
      <c r="CQG83" s="143"/>
      <c r="CQH83" s="143"/>
      <c r="CQI83" s="143"/>
      <c r="CQJ83" s="143"/>
      <c r="CQK83" s="143"/>
      <c r="CQL83" s="143"/>
      <c r="CQM83" s="143"/>
      <c r="CQN83" s="143"/>
      <c r="CQO83" s="143"/>
      <c r="CQP83" s="143"/>
      <c r="CQQ83" s="143"/>
      <c r="CQR83" s="143"/>
      <c r="CQS83" s="143"/>
      <c r="CQT83" s="143"/>
      <c r="CQU83" s="143"/>
      <c r="CQV83" s="143"/>
      <c r="CQW83" s="143"/>
      <c r="CQX83" s="143"/>
      <c r="CQY83" s="143"/>
      <c r="CQZ83" s="143"/>
      <c r="CRA83" s="143"/>
      <c r="CRB83" s="143"/>
      <c r="CRC83" s="143"/>
      <c r="CRD83" s="143"/>
      <c r="CRE83" s="143"/>
      <c r="CRF83" s="143"/>
      <c r="CRG83" s="143"/>
      <c r="CRH83" s="143"/>
      <c r="CRI83" s="143"/>
      <c r="CRJ83" s="143"/>
      <c r="CRK83" s="143"/>
      <c r="CRL83" s="143"/>
      <c r="CRM83" s="143"/>
      <c r="CRN83" s="143"/>
      <c r="CRO83" s="143"/>
      <c r="CRP83" s="143"/>
      <c r="CRQ83" s="143"/>
      <c r="CRR83" s="143"/>
      <c r="CRS83" s="143"/>
      <c r="CRT83" s="143"/>
      <c r="CRU83" s="143"/>
      <c r="CRV83" s="143"/>
      <c r="CRW83" s="143"/>
      <c r="CRX83" s="143"/>
      <c r="CRY83" s="143"/>
      <c r="CRZ83" s="143"/>
      <c r="CSA83" s="143"/>
      <c r="CSB83" s="143"/>
      <c r="CSC83" s="143"/>
      <c r="CSD83" s="143"/>
      <c r="CSE83" s="143"/>
      <c r="CSF83" s="143"/>
      <c r="CSG83" s="143"/>
      <c r="CSH83" s="143"/>
      <c r="CSI83" s="143"/>
      <c r="CSJ83" s="143"/>
      <c r="CSK83" s="143"/>
      <c r="CSL83" s="143"/>
      <c r="CSM83" s="143"/>
      <c r="CSN83" s="143"/>
      <c r="CSO83" s="143"/>
      <c r="CSP83" s="143"/>
      <c r="CSQ83" s="143"/>
      <c r="CSR83" s="143"/>
      <c r="CSS83" s="143"/>
      <c r="CST83" s="143"/>
      <c r="CSU83" s="143"/>
      <c r="CSV83" s="143"/>
      <c r="CSW83" s="143"/>
      <c r="CSX83" s="143"/>
      <c r="CSY83" s="143"/>
      <c r="CSZ83" s="143"/>
      <c r="CTA83" s="143"/>
      <c r="CTB83" s="143"/>
      <c r="CTC83" s="143"/>
      <c r="CTD83" s="143"/>
      <c r="CTE83" s="143"/>
      <c r="CTF83" s="143"/>
      <c r="CTG83" s="143"/>
      <c r="CTH83" s="143"/>
      <c r="CTI83" s="143"/>
      <c r="CTJ83" s="143"/>
      <c r="CTK83" s="143"/>
      <c r="CTL83" s="143"/>
      <c r="CTM83" s="143"/>
      <c r="CTN83" s="143"/>
      <c r="CTO83" s="143"/>
      <c r="CTP83" s="143"/>
      <c r="CTQ83" s="143"/>
      <c r="CTR83" s="143"/>
      <c r="CTS83" s="143"/>
      <c r="CTT83" s="143"/>
      <c r="CTU83" s="143"/>
      <c r="CTV83" s="143"/>
      <c r="CTW83" s="143"/>
      <c r="CTX83" s="143"/>
      <c r="CTY83" s="143"/>
      <c r="CTZ83" s="143"/>
      <c r="CUA83" s="143"/>
      <c r="CUB83" s="143"/>
      <c r="CUC83" s="143"/>
      <c r="CUD83" s="143"/>
      <c r="CUE83" s="143"/>
      <c r="CUF83" s="143"/>
      <c r="CUG83" s="143"/>
      <c r="CUH83" s="143"/>
      <c r="CUI83" s="143"/>
      <c r="CUJ83" s="143"/>
      <c r="CUK83" s="143"/>
      <c r="CUL83" s="143"/>
      <c r="CUM83" s="143"/>
      <c r="CUN83" s="143"/>
      <c r="CUO83" s="143"/>
      <c r="CUP83" s="143"/>
      <c r="CUQ83" s="143"/>
      <c r="CUR83" s="143"/>
      <c r="CUS83" s="143"/>
      <c r="CUT83" s="143"/>
      <c r="CUU83" s="143"/>
      <c r="CUV83" s="143"/>
      <c r="CUW83" s="143"/>
      <c r="CUX83" s="143"/>
      <c r="CUY83" s="143"/>
      <c r="CUZ83" s="143"/>
      <c r="CVA83" s="143"/>
      <c r="CVB83" s="143"/>
      <c r="CVC83" s="143"/>
      <c r="CVD83" s="143"/>
      <c r="CVE83" s="143"/>
      <c r="CVF83" s="143"/>
      <c r="CVG83" s="143"/>
      <c r="CVH83" s="143"/>
      <c r="CVI83" s="143"/>
      <c r="CVJ83" s="143"/>
      <c r="CVK83" s="143"/>
      <c r="CVL83" s="143"/>
      <c r="CVM83" s="143"/>
      <c r="CVN83" s="143"/>
      <c r="CVO83" s="143"/>
      <c r="CVP83" s="143"/>
      <c r="CVQ83" s="143"/>
      <c r="CVR83" s="143"/>
      <c r="CVS83" s="143"/>
      <c r="CVT83" s="143"/>
      <c r="CVU83" s="143"/>
      <c r="CVV83" s="143"/>
      <c r="CVW83" s="143"/>
      <c r="CVX83" s="143"/>
      <c r="CVY83" s="143"/>
      <c r="CVZ83" s="143"/>
      <c r="CWA83" s="143"/>
      <c r="CWB83" s="143"/>
      <c r="CWC83" s="143"/>
      <c r="CWD83" s="143"/>
      <c r="CWE83" s="143"/>
      <c r="CWF83" s="143"/>
      <c r="CWG83" s="143"/>
      <c r="CWH83" s="143"/>
      <c r="CWI83" s="143"/>
      <c r="CWJ83" s="143"/>
      <c r="CWK83" s="143"/>
      <c r="CWL83" s="143"/>
      <c r="CWM83" s="143"/>
      <c r="CWN83" s="143"/>
      <c r="CWO83" s="143"/>
      <c r="CWP83" s="143"/>
      <c r="CWQ83" s="143"/>
      <c r="CWR83" s="143"/>
      <c r="CWS83" s="143"/>
      <c r="CWT83" s="143"/>
      <c r="CWU83" s="143"/>
      <c r="CWV83" s="143"/>
      <c r="CWW83" s="143"/>
      <c r="CWX83" s="143"/>
      <c r="CWY83" s="143"/>
      <c r="CWZ83" s="143"/>
      <c r="CXA83" s="143"/>
      <c r="CXB83" s="143"/>
      <c r="CXC83" s="143"/>
      <c r="CXD83" s="143"/>
      <c r="CXE83" s="143"/>
      <c r="CXF83" s="143"/>
      <c r="CXG83" s="143"/>
      <c r="CXH83" s="143"/>
      <c r="CXI83" s="143"/>
      <c r="CXJ83" s="143"/>
      <c r="CXK83" s="143"/>
      <c r="CXL83" s="143"/>
      <c r="CXM83" s="143"/>
      <c r="CXN83" s="143"/>
      <c r="CXO83" s="143"/>
      <c r="CXP83" s="143"/>
      <c r="CXQ83" s="143"/>
      <c r="CXR83" s="143"/>
      <c r="CXS83" s="143"/>
      <c r="CXT83" s="143"/>
      <c r="CXU83" s="143"/>
      <c r="CXV83" s="143"/>
      <c r="CXW83" s="143"/>
      <c r="CXX83" s="143"/>
      <c r="CXY83" s="143"/>
      <c r="CXZ83" s="143"/>
      <c r="CYA83" s="143"/>
      <c r="CYB83" s="143"/>
      <c r="CYC83" s="143"/>
      <c r="CYD83" s="143"/>
      <c r="CYE83" s="143"/>
      <c r="CYF83" s="143"/>
      <c r="CYG83" s="143"/>
      <c r="CYH83" s="143"/>
      <c r="CYI83" s="143"/>
      <c r="CYJ83" s="143"/>
      <c r="CYK83" s="143"/>
      <c r="CYL83" s="143"/>
      <c r="CYM83" s="143"/>
      <c r="CYN83" s="143"/>
      <c r="CYO83" s="143"/>
      <c r="CYP83" s="143"/>
      <c r="CYQ83" s="143"/>
      <c r="CYR83" s="143"/>
      <c r="CYS83" s="143"/>
      <c r="CYT83" s="143"/>
      <c r="CYU83" s="143"/>
      <c r="CYV83" s="143"/>
      <c r="CYW83" s="143"/>
      <c r="CYX83" s="143"/>
      <c r="CYY83" s="143"/>
      <c r="CYZ83" s="143"/>
      <c r="CZA83" s="143"/>
      <c r="CZB83" s="143"/>
      <c r="CZC83" s="143"/>
      <c r="CZD83" s="143"/>
      <c r="CZE83" s="143"/>
      <c r="CZF83" s="143"/>
      <c r="CZG83" s="143"/>
      <c r="CZH83" s="143"/>
      <c r="CZI83" s="143"/>
      <c r="CZJ83" s="143"/>
      <c r="CZK83" s="143"/>
      <c r="CZL83" s="143"/>
      <c r="CZM83" s="143"/>
      <c r="CZN83" s="143"/>
      <c r="CZO83" s="143"/>
      <c r="CZP83" s="143"/>
      <c r="CZQ83" s="143"/>
      <c r="CZR83" s="143"/>
      <c r="CZS83" s="143"/>
      <c r="CZT83" s="143"/>
      <c r="CZU83" s="143"/>
      <c r="CZV83" s="143"/>
      <c r="CZW83" s="143"/>
      <c r="CZX83" s="143"/>
      <c r="CZY83" s="143"/>
      <c r="CZZ83" s="143"/>
      <c r="DAA83" s="143"/>
      <c r="DAB83" s="143"/>
      <c r="DAC83" s="143"/>
      <c r="DAD83" s="143"/>
      <c r="DAE83" s="143"/>
      <c r="DAF83" s="143"/>
      <c r="DAG83" s="143"/>
      <c r="DAH83" s="143"/>
      <c r="DAI83" s="143"/>
      <c r="DAJ83" s="143"/>
      <c r="DAK83" s="143"/>
      <c r="DAL83" s="143"/>
      <c r="DAM83" s="143"/>
      <c r="DAN83" s="143"/>
      <c r="DAO83" s="143"/>
      <c r="DAP83" s="143"/>
      <c r="DAQ83" s="143"/>
      <c r="DAR83" s="143"/>
      <c r="DAS83" s="143"/>
      <c r="DAT83" s="143"/>
      <c r="DAU83" s="143"/>
      <c r="DAV83" s="143"/>
      <c r="DAW83" s="143"/>
      <c r="DAX83" s="143"/>
      <c r="DAY83" s="143"/>
      <c r="DAZ83" s="143"/>
      <c r="DBA83" s="143"/>
      <c r="DBB83" s="143"/>
      <c r="DBC83" s="143"/>
      <c r="DBD83" s="143"/>
      <c r="DBE83" s="143"/>
      <c r="DBF83" s="143"/>
      <c r="DBG83" s="143"/>
      <c r="DBH83" s="143"/>
      <c r="DBI83" s="143"/>
      <c r="DBJ83" s="143"/>
      <c r="DBK83" s="143"/>
      <c r="DBL83" s="143"/>
      <c r="DBM83" s="143"/>
      <c r="DBN83" s="143"/>
      <c r="DBO83" s="143"/>
      <c r="DBP83" s="143"/>
      <c r="DBQ83" s="143"/>
      <c r="DBR83" s="143"/>
      <c r="DBS83" s="143"/>
      <c r="DBT83" s="143"/>
      <c r="DBU83" s="143"/>
      <c r="DBV83" s="143"/>
      <c r="DBW83" s="143"/>
      <c r="DBX83" s="143"/>
      <c r="DBY83" s="143"/>
      <c r="DBZ83" s="143"/>
      <c r="DCA83" s="143"/>
      <c r="DCB83" s="143"/>
      <c r="DCC83" s="143"/>
      <c r="DCD83" s="143"/>
      <c r="DCE83" s="143"/>
      <c r="DCF83" s="143"/>
      <c r="DCG83" s="143"/>
      <c r="DCH83" s="143"/>
      <c r="DCI83" s="143"/>
      <c r="DCJ83" s="143"/>
      <c r="DCK83" s="143"/>
      <c r="DCL83" s="143"/>
      <c r="DCM83" s="143"/>
      <c r="DCN83" s="143"/>
      <c r="DCO83" s="143"/>
      <c r="DCP83" s="143"/>
      <c r="DCQ83" s="143"/>
      <c r="DCR83" s="143"/>
      <c r="DCS83" s="143"/>
      <c r="DCT83" s="143"/>
      <c r="DCU83" s="143"/>
      <c r="DCV83" s="143"/>
      <c r="DCW83" s="143"/>
      <c r="DCX83" s="143"/>
      <c r="DCY83" s="143"/>
      <c r="DCZ83" s="143"/>
      <c r="DDA83" s="143"/>
      <c r="DDB83" s="143"/>
      <c r="DDC83" s="143"/>
      <c r="DDD83" s="143"/>
      <c r="DDE83" s="143"/>
      <c r="DDF83" s="143"/>
      <c r="DDG83" s="143"/>
      <c r="DDH83" s="143"/>
      <c r="DDI83" s="143"/>
      <c r="DDJ83" s="143"/>
      <c r="DDK83" s="143"/>
      <c r="DDL83" s="143"/>
      <c r="DDM83" s="143"/>
      <c r="DDN83" s="143"/>
      <c r="DDO83" s="143"/>
      <c r="DDP83" s="143"/>
      <c r="DDQ83" s="143"/>
      <c r="DDR83" s="143"/>
      <c r="DDS83" s="143"/>
      <c r="DDT83" s="143"/>
      <c r="DDU83" s="143"/>
      <c r="DDV83" s="143"/>
      <c r="DDW83" s="143"/>
      <c r="DDX83" s="143"/>
      <c r="DDY83" s="143"/>
      <c r="DDZ83" s="143"/>
      <c r="DEA83" s="143"/>
      <c r="DEB83" s="143"/>
      <c r="DEC83" s="143"/>
      <c r="DED83" s="143"/>
      <c r="DEE83" s="143"/>
      <c r="DEF83" s="143"/>
      <c r="DEG83" s="143"/>
      <c r="DEH83" s="143"/>
      <c r="DEI83" s="143"/>
      <c r="DEJ83" s="143"/>
      <c r="DEK83" s="143"/>
      <c r="DEL83" s="143"/>
      <c r="DEM83" s="143"/>
      <c r="DEN83" s="143"/>
      <c r="DEO83" s="143"/>
      <c r="DEP83" s="143"/>
      <c r="DEQ83" s="143"/>
      <c r="DER83" s="143"/>
      <c r="DES83" s="143"/>
      <c r="DET83" s="143"/>
      <c r="DEU83" s="143"/>
      <c r="DEV83" s="143"/>
      <c r="DEW83" s="143"/>
      <c r="DEX83" s="143"/>
      <c r="DEY83" s="143"/>
      <c r="DEZ83" s="143"/>
      <c r="DFA83" s="143"/>
      <c r="DFB83" s="143"/>
      <c r="DFC83" s="143"/>
      <c r="DFD83" s="143"/>
      <c r="DFE83" s="143"/>
      <c r="DFF83" s="143"/>
      <c r="DFG83" s="143"/>
      <c r="DFH83" s="143"/>
      <c r="DFI83" s="143"/>
      <c r="DFJ83" s="143"/>
      <c r="DFK83" s="143"/>
      <c r="DFL83" s="143"/>
      <c r="DFM83" s="143"/>
      <c r="DFN83" s="143"/>
      <c r="DFO83" s="143"/>
      <c r="DFP83" s="143"/>
      <c r="DFQ83" s="143"/>
      <c r="DFR83" s="143"/>
      <c r="DFS83" s="143"/>
      <c r="DFT83" s="143"/>
      <c r="DFU83" s="143"/>
      <c r="DFV83" s="143"/>
      <c r="DFW83" s="143"/>
      <c r="DFX83" s="143"/>
      <c r="DFY83" s="143"/>
      <c r="DFZ83" s="143"/>
      <c r="DGA83" s="143"/>
      <c r="DGB83" s="143"/>
      <c r="DGC83" s="143"/>
      <c r="DGD83" s="143"/>
      <c r="DGE83" s="143"/>
      <c r="DGF83" s="143"/>
      <c r="DGG83" s="143"/>
      <c r="DGH83" s="143"/>
      <c r="DGI83" s="143"/>
      <c r="DGJ83" s="143"/>
      <c r="DGK83" s="143"/>
      <c r="DGL83" s="143"/>
      <c r="DGM83" s="143"/>
      <c r="DGN83" s="143"/>
      <c r="DGO83" s="143"/>
      <c r="DGP83" s="143"/>
      <c r="DGQ83" s="143"/>
      <c r="DGR83" s="143"/>
      <c r="DGS83" s="143"/>
      <c r="DGT83" s="143"/>
      <c r="DGU83" s="143"/>
      <c r="DGV83" s="143"/>
      <c r="DGW83" s="143"/>
      <c r="DGX83" s="143"/>
      <c r="DGY83" s="143"/>
      <c r="DGZ83" s="143"/>
      <c r="DHA83" s="143"/>
      <c r="DHB83" s="143"/>
      <c r="DHC83" s="143"/>
      <c r="DHD83" s="143"/>
      <c r="DHE83" s="143"/>
      <c r="DHF83" s="143"/>
      <c r="DHG83" s="143"/>
      <c r="DHH83" s="143"/>
      <c r="DHI83" s="143"/>
      <c r="DHJ83" s="143"/>
      <c r="DHK83" s="143"/>
      <c r="DHL83" s="143"/>
      <c r="DHM83" s="143"/>
      <c r="DHN83" s="143"/>
      <c r="DHO83" s="143"/>
      <c r="DHP83" s="143"/>
      <c r="DHQ83" s="143"/>
      <c r="DHR83" s="143"/>
      <c r="DHS83" s="143"/>
      <c r="DHT83" s="143"/>
      <c r="DHU83" s="143"/>
      <c r="DHV83" s="143"/>
      <c r="DHW83" s="143"/>
      <c r="DHX83" s="143"/>
      <c r="DHY83" s="143"/>
      <c r="DHZ83" s="143"/>
      <c r="DIA83" s="143"/>
      <c r="DIB83" s="143"/>
      <c r="DIC83" s="143"/>
      <c r="DID83" s="143"/>
      <c r="DIE83" s="143"/>
      <c r="DIF83" s="143"/>
      <c r="DIG83" s="143"/>
      <c r="DIH83" s="143"/>
      <c r="DII83" s="143"/>
      <c r="DIJ83" s="143"/>
      <c r="DIK83" s="143"/>
      <c r="DIL83" s="143"/>
      <c r="DIM83" s="143"/>
      <c r="DIN83" s="143"/>
      <c r="DIO83" s="143"/>
      <c r="DIP83" s="143"/>
      <c r="DIQ83" s="143"/>
      <c r="DIR83" s="143"/>
      <c r="DIS83" s="143"/>
      <c r="DIT83" s="143"/>
      <c r="DIU83" s="143"/>
      <c r="DIV83" s="143"/>
      <c r="DIW83" s="143"/>
      <c r="DIX83" s="143"/>
      <c r="DIY83" s="143"/>
      <c r="DIZ83" s="143"/>
      <c r="DJA83" s="143"/>
      <c r="DJB83" s="143"/>
      <c r="DJC83" s="143"/>
      <c r="DJD83" s="143"/>
      <c r="DJE83" s="143"/>
      <c r="DJF83" s="143"/>
      <c r="DJG83" s="143"/>
      <c r="DJH83" s="143"/>
      <c r="DJI83" s="143"/>
      <c r="DJJ83" s="143"/>
      <c r="DJK83" s="143"/>
      <c r="DJL83" s="143"/>
      <c r="DJM83" s="143"/>
      <c r="DJN83" s="143"/>
      <c r="DJO83" s="143"/>
      <c r="DJP83" s="143"/>
      <c r="DJQ83" s="143"/>
      <c r="DJR83" s="143"/>
      <c r="DJS83" s="143"/>
      <c r="DJT83" s="143"/>
      <c r="DJU83" s="143"/>
      <c r="DJV83" s="143"/>
      <c r="DJW83" s="143"/>
      <c r="DJX83" s="143"/>
      <c r="DJY83" s="143"/>
      <c r="DJZ83" s="143"/>
      <c r="DKA83" s="143"/>
      <c r="DKB83" s="143"/>
      <c r="DKC83" s="143"/>
      <c r="DKD83" s="143"/>
      <c r="DKE83" s="143"/>
      <c r="DKF83" s="143"/>
      <c r="DKG83" s="143"/>
      <c r="DKH83" s="143"/>
      <c r="DKI83" s="143"/>
      <c r="DKJ83" s="143"/>
      <c r="DKK83" s="143"/>
      <c r="DKL83" s="143"/>
      <c r="DKM83" s="143"/>
      <c r="DKN83" s="143"/>
      <c r="DKO83" s="143"/>
      <c r="DKP83" s="143"/>
      <c r="DKQ83" s="143"/>
      <c r="DKR83" s="143"/>
      <c r="DKS83" s="143"/>
      <c r="DKT83" s="143"/>
      <c r="DKU83" s="143"/>
      <c r="DKV83" s="143"/>
      <c r="DKW83" s="143"/>
      <c r="DKX83" s="143"/>
      <c r="DKY83" s="143"/>
      <c r="DKZ83" s="143"/>
      <c r="DLA83" s="143"/>
      <c r="DLB83" s="143"/>
      <c r="DLC83" s="143"/>
      <c r="DLD83" s="143"/>
      <c r="DLE83" s="143"/>
      <c r="DLF83" s="143"/>
      <c r="DLG83" s="143"/>
      <c r="DLH83" s="143"/>
      <c r="DLI83" s="143"/>
      <c r="DLJ83" s="143"/>
      <c r="DLK83" s="143"/>
      <c r="DLL83" s="143"/>
      <c r="DLM83" s="143"/>
      <c r="DLN83" s="143"/>
      <c r="DLO83" s="143"/>
      <c r="DLP83" s="143"/>
      <c r="DLQ83" s="143"/>
      <c r="DLR83" s="143"/>
      <c r="DLS83" s="143"/>
      <c r="DLT83" s="143"/>
      <c r="DLU83" s="143"/>
      <c r="DLV83" s="143"/>
      <c r="DLW83" s="143"/>
      <c r="DLX83" s="143"/>
      <c r="DLY83" s="143"/>
      <c r="DLZ83" s="143"/>
      <c r="DMA83" s="143"/>
      <c r="DMB83" s="143"/>
      <c r="DMC83" s="143"/>
      <c r="DMD83" s="143"/>
      <c r="DME83" s="143"/>
      <c r="DMF83" s="143"/>
      <c r="DMG83" s="143"/>
      <c r="DMH83" s="143"/>
      <c r="DMI83" s="143"/>
      <c r="DMJ83" s="143"/>
      <c r="DMK83" s="143"/>
      <c r="DML83" s="143"/>
      <c r="DMM83" s="143"/>
      <c r="DMN83" s="143"/>
      <c r="DMO83" s="143"/>
      <c r="DMP83" s="143"/>
      <c r="DMQ83" s="143"/>
      <c r="DMR83" s="143"/>
      <c r="DMS83" s="143"/>
      <c r="DMT83" s="143"/>
      <c r="DMU83" s="143"/>
      <c r="DMV83" s="143"/>
      <c r="DMW83" s="143"/>
      <c r="DMX83" s="143"/>
      <c r="DMY83" s="143"/>
      <c r="DMZ83" s="143"/>
      <c r="DNA83" s="143"/>
      <c r="DNB83" s="143"/>
      <c r="DNC83" s="143"/>
      <c r="DND83" s="143"/>
      <c r="DNE83" s="143"/>
      <c r="DNF83" s="143"/>
      <c r="DNG83" s="143"/>
      <c r="DNH83" s="143"/>
      <c r="DNI83" s="143"/>
      <c r="DNJ83" s="143"/>
      <c r="DNK83" s="143"/>
      <c r="DNL83" s="143"/>
      <c r="DNM83" s="143"/>
      <c r="DNN83" s="143"/>
      <c r="DNO83" s="143"/>
      <c r="DNP83" s="143"/>
      <c r="DNQ83" s="143"/>
      <c r="DNR83" s="143"/>
      <c r="DNS83" s="143"/>
      <c r="DNT83" s="143"/>
      <c r="DNU83" s="143"/>
      <c r="DNV83" s="143"/>
      <c r="DNW83" s="143"/>
      <c r="DNX83" s="143"/>
      <c r="DNY83" s="143"/>
      <c r="DNZ83" s="143"/>
      <c r="DOA83" s="143"/>
      <c r="DOB83" s="143"/>
      <c r="DOC83" s="143"/>
      <c r="DOD83" s="143"/>
      <c r="DOE83" s="143"/>
      <c r="DOF83" s="143"/>
      <c r="DOG83" s="143"/>
      <c r="DOH83" s="143"/>
      <c r="DOI83" s="143"/>
      <c r="DOJ83" s="143"/>
      <c r="DOK83" s="143"/>
      <c r="DOL83" s="143"/>
      <c r="DOM83" s="143"/>
      <c r="DON83" s="143"/>
      <c r="DOO83" s="143"/>
      <c r="DOP83" s="143"/>
      <c r="DOQ83" s="143"/>
      <c r="DOR83" s="143"/>
      <c r="DOS83" s="143"/>
      <c r="DOT83" s="143"/>
      <c r="DOU83" s="143"/>
      <c r="DOV83" s="143"/>
      <c r="DOW83" s="143"/>
      <c r="DOX83" s="143"/>
      <c r="DOY83" s="143"/>
      <c r="DOZ83" s="143"/>
      <c r="DPA83" s="143"/>
      <c r="DPB83" s="143"/>
      <c r="DPC83" s="143"/>
      <c r="DPD83" s="143"/>
      <c r="DPE83" s="143"/>
      <c r="DPF83" s="143"/>
      <c r="DPG83" s="143"/>
      <c r="DPH83" s="143"/>
      <c r="DPI83" s="143"/>
      <c r="DPJ83" s="143"/>
      <c r="DPK83" s="143"/>
      <c r="DPL83" s="143"/>
      <c r="DPM83" s="143"/>
      <c r="DPN83" s="143"/>
      <c r="DPO83" s="143"/>
      <c r="DPP83" s="143"/>
      <c r="DPQ83" s="143"/>
      <c r="DPR83" s="143"/>
      <c r="DPS83" s="143"/>
      <c r="DPT83" s="143"/>
      <c r="DPU83" s="143"/>
      <c r="DPV83" s="143"/>
      <c r="DPW83" s="143"/>
      <c r="DPX83" s="143"/>
      <c r="DPY83" s="143"/>
      <c r="DPZ83" s="143"/>
      <c r="DQA83" s="143"/>
      <c r="DQB83" s="143"/>
      <c r="DQC83" s="143"/>
      <c r="DQD83" s="143"/>
      <c r="DQE83" s="143"/>
      <c r="DQF83" s="143"/>
      <c r="DQG83" s="143"/>
      <c r="DQH83" s="143"/>
      <c r="DQI83" s="143"/>
      <c r="DQJ83" s="143"/>
      <c r="DQK83" s="143"/>
      <c r="DQL83" s="143"/>
      <c r="DQM83" s="143"/>
      <c r="DQN83" s="143"/>
      <c r="DQO83" s="143"/>
      <c r="DQP83" s="143"/>
      <c r="DQQ83" s="143"/>
      <c r="DQR83" s="143"/>
      <c r="DQS83" s="143"/>
      <c r="DQT83" s="143"/>
      <c r="DQU83" s="143"/>
      <c r="DQV83" s="143"/>
      <c r="DQW83" s="143"/>
      <c r="DQX83" s="143"/>
      <c r="DQY83" s="143"/>
      <c r="DQZ83" s="143"/>
      <c r="DRA83" s="143"/>
      <c r="DRB83" s="143"/>
      <c r="DRC83" s="143"/>
      <c r="DRD83" s="143"/>
      <c r="DRE83" s="143"/>
      <c r="DRF83" s="143"/>
      <c r="DRG83" s="143"/>
      <c r="DRH83" s="143"/>
      <c r="DRI83" s="143"/>
      <c r="DRJ83" s="143"/>
      <c r="DRK83" s="143"/>
      <c r="DRL83" s="143"/>
      <c r="DRM83" s="143"/>
      <c r="DRN83" s="143"/>
      <c r="DRO83" s="143"/>
      <c r="DRP83" s="143"/>
      <c r="DRQ83" s="143"/>
      <c r="DRR83" s="143"/>
      <c r="DRS83" s="143"/>
      <c r="DRT83" s="143"/>
      <c r="DRU83" s="143"/>
      <c r="DRV83" s="143"/>
      <c r="DRW83" s="143"/>
      <c r="DRX83" s="143"/>
      <c r="DRY83" s="143"/>
      <c r="DRZ83" s="143"/>
      <c r="DSA83" s="143"/>
      <c r="DSB83" s="143"/>
      <c r="DSC83" s="143"/>
      <c r="DSD83" s="143"/>
      <c r="DSE83" s="143"/>
      <c r="DSF83" s="143"/>
      <c r="DSG83" s="143"/>
      <c r="DSH83" s="143"/>
      <c r="DSI83" s="143"/>
      <c r="DSJ83" s="143"/>
      <c r="DSK83" s="143"/>
      <c r="DSL83" s="143"/>
      <c r="DSM83" s="143"/>
      <c r="DSN83" s="143"/>
      <c r="DSO83" s="143"/>
      <c r="DSP83" s="143"/>
      <c r="DSQ83" s="143"/>
      <c r="DSR83" s="143"/>
      <c r="DSS83" s="143"/>
      <c r="DST83" s="143"/>
      <c r="DSU83" s="143"/>
      <c r="DSV83" s="143"/>
      <c r="DSW83" s="143"/>
      <c r="DSX83" s="143"/>
      <c r="DSY83" s="143"/>
      <c r="DSZ83" s="143"/>
      <c r="DTA83" s="143"/>
      <c r="DTB83" s="143"/>
      <c r="DTC83" s="143"/>
      <c r="DTD83" s="143"/>
      <c r="DTE83" s="143"/>
      <c r="DTF83" s="143"/>
      <c r="DTG83" s="143"/>
      <c r="DTH83" s="143"/>
      <c r="DTI83" s="143"/>
      <c r="DTJ83" s="143"/>
      <c r="DTK83" s="143"/>
      <c r="DTL83" s="143"/>
      <c r="DTM83" s="143"/>
      <c r="DTN83" s="143"/>
      <c r="DTO83" s="143"/>
      <c r="DTP83" s="143"/>
      <c r="DTQ83" s="143"/>
      <c r="DTR83" s="143"/>
      <c r="DTS83" s="143"/>
      <c r="DTT83" s="143"/>
      <c r="DTU83" s="143"/>
      <c r="DTV83" s="143"/>
      <c r="DTW83" s="143"/>
      <c r="DTX83" s="143"/>
      <c r="DTY83" s="143"/>
      <c r="DTZ83" s="143"/>
      <c r="DUA83" s="143"/>
      <c r="DUB83" s="143"/>
      <c r="DUC83" s="143"/>
      <c r="DUD83" s="143"/>
      <c r="DUE83" s="143"/>
      <c r="DUF83" s="143"/>
      <c r="DUG83" s="143"/>
      <c r="DUH83" s="143"/>
      <c r="DUI83" s="143"/>
      <c r="DUJ83" s="143"/>
      <c r="DUK83" s="143"/>
      <c r="DUL83" s="143"/>
      <c r="DUM83" s="143"/>
      <c r="DUN83" s="143"/>
      <c r="DUO83" s="143"/>
      <c r="DUP83" s="143"/>
      <c r="DUQ83" s="143"/>
      <c r="DUR83" s="143"/>
      <c r="DUS83" s="143"/>
      <c r="DUT83" s="143"/>
      <c r="DUU83" s="143"/>
      <c r="DUV83" s="143"/>
      <c r="DUW83" s="143"/>
      <c r="DUX83" s="143"/>
      <c r="DUY83" s="143"/>
      <c r="DUZ83" s="143"/>
      <c r="DVA83" s="143"/>
      <c r="DVB83" s="143"/>
      <c r="DVC83" s="143"/>
      <c r="DVD83" s="143"/>
      <c r="DVE83" s="143"/>
      <c r="DVF83" s="143"/>
      <c r="DVG83" s="143"/>
      <c r="DVH83" s="143"/>
      <c r="DVI83" s="143"/>
      <c r="DVJ83" s="143"/>
      <c r="DVK83" s="143"/>
      <c r="DVL83" s="143"/>
      <c r="DVM83" s="143"/>
      <c r="DVN83" s="143"/>
      <c r="DVO83" s="143"/>
      <c r="DVP83" s="143"/>
      <c r="DVQ83" s="143"/>
      <c r="DVR83" s="143"/>
      <c r="DVS83" s="143"/>
      <c r="DVT83" s="143"/>
      <c r="DVU83" s="143"/>
      <c r="DVV83" s="143"/>
      <c r="DVW83" s="143"/>
      <c r="DVX83" s="143"/>
      <c r="DVY83" s="143"/>
      <c r="DVZ83" s="143"/>
      <c r="DWA83" s="143"/>
      <c r="DWB83" s="143"/>
      <c r="DWC83" s="143"/>
      <c r="DWD83" s="143"/>
      <c r="DWE83" s="143"/>
      <c r="DWF83" s="143"/>
      <c r="DWG83" s="143"/>
      <c r="DWH83" s="143"/>
      <c r="DWI83" s="143"/>
      <c r="DWJ83" s="143"/>
      <c r="DWK83" s="143"/>
      <c r="DWL83" s="143"/>
      <c r="DWM83" s="143"/>
      <c r="DWN83" s="143"/>
      <c r="DWO83" s="143"/>
      <c r="DWP83" s="143"/>
      <c r="DWQ83" s="143"/>
      <c r="DWR83" s="143"/>
      <c r="DWS83" s="143"/>
      <c r="DWT83" s="143"/>
      <c r="DWU83" s="143"/>
      <c r="DWV83" s="143"/>
      <c r="DWW83" s="143"/>
      <c r="DWX83" s="143"/>
      <c r="DWY83" s="143"/>
      <c r="DWZ83" s="143"/>
      <c r="DXA83" s="143"/>
      <c r="DXB83" s="143"/>
      <c r="DXC83" s="143"/>
      <c r="DXD83" s="143"/>
      <c r="DXE83" s="143"/>
      <c r="DXF83" s="143"/>
      <c r="DXG83" s="143"/>
      <c r="DXH83" s="143"/>
      <c r="DXI83" s="143"/>
      <c r="DXJ83" s="143"/>
      <c r="DXK83" s="143"/>
      <c r="DXL83" s="143"/>
      <c r="DXM83" s="143"/>
      <c r="DXN83" s="143"/>
      <c r="DXO83" s="143"/>
      <c r="DXP83" s="143"/>
      <c r="DXQ83" s="143"/>
      <c r="DXR83" s="143"/>
      <c r="DXS83" s="143"/>
      <c r="DXT83" s="143"/>
      <c r="DXU83" s="143"/>
      <c r="DXV83" s="143"/>
      <c r="DXW83" s="143"/>
      <c r="DXX83" s="143"/>
      <c r="DXY83" s="143"/>
      <c r="DXZ83" s="143"/>
      <c r="DYA83" s="143"/>
      <c r="DYB83" s="143"/>
      <c r="DYC83" s="143"/>
      <c r="DYD83" s="143"/>
      <c r="DYE83" s="143"/>
      <c r="DYF83" s="143"/>
      <c r="DYG83" s="143"/>
      <c r="DYH83" s="143"/>
      <c r="DYI83" s="143"/>
      <c r="DYJ83" s="143"/>
      <c r="DYK83" s="143"/>
      <c r="DYL83" s="143"/>
      <c r="DYM83" s="143"/>
      <c r="DYN83" s="143"/>
      <c r="DYO83" s="143"/>
      <c r="DYP83" s="143"/>
      <c r="DYQ83" s="143"/>
      <c r="DYR83" s="143"/>
      <c r="DYS83" s="143"/>
      <c r="DYT83" s="143"/>
      <c r="DYU83" s="143"/>
      <c r="DYV83" s="143"/>
      <c r="DYW83" s="143"/>
      <c r="DYX83" s="143"/>
      <c r="DYY83" s="143"/>
      <c r="DYZ83" s="143"/>
      <c r="DZA83" s="143"/>
      <c r="DZB83" s="143"/>
      <c r="DZC83" s="143"/>
      <c r="DZD83" s="143"/>
      <c r="DZE83" s="143"/>
      <c r="DZF83" s="143"/>
      <c r="DZG83" s="143"/>
      <c r="DZH83" s="143"/>
      <c r="DZI83" s="143"/>
      <c r="DZJ83" s="143"/>
      <c r="DZK83" s="143"/>
      <c r="DZL83" s="143"/>
      <c r="DZM83" s="143"/>
      <c r="DZN83" s="143"/>
      <c r="DZO83" s="143"/>
      <c r="DZP83" s="143"/>
      <c r="DZQ83" s="143"/>
      <c r="DZR83" s="143"/>
      <c r="DZS83" s="143"/>
      <c r="DZT83" s="143"/>
      <c r="DZU83" s="143"/>
      <c r="DZV83" s="143"/>
      <c r="DZW83" s="143"/>
      <c r="DZX83" s="143"/>
      <c r="DZY83" s="143"/>
      <c r="DZZ83" s="143"/>
      <c r="EAA83" s="143"/>
      <c r="EAB83" s="143"/>
      <c r="EAC83" s="143"/>
      <c r="EAD83" s="143"/>
      <c r="EAE83" s="143"/>
      <c r="EAF83" s="143"/>
      <c r="EAG83" s="143"/>
      <c r="EAH83" s="143"/>
      <c r="EAI83" s="143"/>
      <c r="EAJ83" s="143"/>
      <c r="EAK83" s="143"/>
      <c r="EAL83" s="143"/>
      <c r="EAM83" s="143"/>
      <c r="EAN83" s="143"/>
      <c r="EAO83" s="143"/>
      <c r="EAP83" s="143"/>
      <c r="EAQ83" s="143"/>
      <c r="EAR83" s="143"/>
      <c r="EAS83" s="143"/>
      <c r="EAT83" s="143"/>
      <c r="EAU83" s="143"/>
      <c r="EAV83" s="143"/>
      <c r="EAW83" s="143"/>
      <c r="EAX83" s="143"/>
      <c r="EAY83" s="143"/>
      <c r="EAZ83" s="143"/>
      <c r="EBA83" s="143"/>
      <c r="EBB83" s="143"/>
      <c r="EBC83" s="143"/>
      <c r="EBD83" s="143"/>
      <c r="EBE83" s="143"/>
      <c r="EBF83" s="143"/>
      <c r="EBG83" s="143"/>
      <c r="EBH83" s="143"/>
      <c r="EBI83" s="143"/>
      <c r="EBJ83" s="143"/>
      <c r="EBK83" s="143"/>
      <c r="EBL83" s="143"/>
      <c r="EBM83" s="143"/>
      <c r="EBN83" s="143"/>
      <c r="EBO83" s="143"/>
      <c r="EBP83" s="143"/>
      <c r="EBQ83" s="143"/>
      <c r="EBR83" s="143"/>
      <c r="EBS83" s="143"/>
      <c r="EBT83" s="143"/>
      <c r="EBU83" s="143"/>
      <c r="EBV83" s="143"/>
      <c r="EBW83" s="143"/>
      <c r="EBX83" s="143"/>
      <c r="EBY83" s="143"/>
      <c r="EBZ83" s="143"/>
      <c r="ECA83" s="143"/>
      <c r="ECB83" s="143"/>
      <c r="ECC83" s="143"/>
      <c r="ECD83" s="143"/>
      <c r="ECE83" s="143"/>
      <c r="ECF83" s="143"/>
      <c r="ECG83" s="143"/>
      <c r="ECH83" s="143"/>
      <c r="ECI83" s="143"/>
      <c r="ECJ83" s="143"/>
      <c r="ECK83" s="143"/>
      <c r="ECL83" s="143"/>
      <c r="ECM83" s="143"/>
      <c r="ECN83" s="143"/>
      <c r="ECO83" s="143"/>
      <c r="ECP83" s="143"/>
      <c r="ECQ83" s="143"/>
      <c r="ECR83" s="143"/>
      <c r="ECS83" s="143"/>
      <c r="ECT83" s="143"/>
      <c r="ECU83" s="143"/>
      <c r="ECV83" s="143"/>
      <c r="ECW83" s="143"/>
      <c r="ECX83" s="143"/>
      <c r="ECY83" s="143"/>
      <c r="ECZ83" s="143"/>
      <c r="EDA83" s="143"/>
      <c r="EDB83" s="143"/>
      <c r="EDC83" s="143"/>
      <c r="EDD83" s="143"/>
      <c r="EDE83" s="143"/>
      <c r="EDF83" s="143"/>
      <c r="EDG83" s="143"/>
      <c r="EDH83" s="143"/>
      <c r="EDI83" s="143"/>
      <c r="EDJ83" s="143"/>
      <c r="EDK83" s="143"/>
      <c r="EDL83" s="143"/>
      <c r="EDM83" s="143"/>
      <c r="EDN83" s="143"/>
      <c r="EDO83" s="143"/>
      <c r="EDP83" s="143"/>
      <c r="EDQ83" s="143"/>
      <c r="EDR83" s="143"/>
      <c r="EDS83" s="143"/>
      <c r="EDT83" s="143"/>
      <c r="EDU83" s="143"/>
      <c r="EDV83" s="143"/>
      <c r="EDW83" s="143"/>
      <c r="EDX83" s="143"/>
      <c r="EDY83" s="143"/>
      <c r="EDZ83" s="143"/>
      <c r="EEA83" s="143"/>
      <c r="EEB83" s="143"/>
      <c r="EEC83" s="143"/>
      <c r="EED83" s="143"/>
      <c r="EEE83" s="143"/>
      <c r="EEF83" s="143"/>
      <c r="EEG83" s="143"/>
      <c r="EEH83" s="143"/>
      <c r="EEI83" s="143"/>
      <c r="EEJ83" s="143"/>
      <c r="EEK83" s="143"/>
      <c r="EEL83" s="143"/>
      <c r="EEM83" s="143"/>
      <c r="EEN83" s="143"/>
      <c r="EEO83" s="143"/>
      <c r="EEP83" s="143"/>
      <c r="EEQ83" s="143"/>
      <c r="EER83" s="143"/>
      <c r="EES83" s="143"/>
      <c r="EET83" s="143"/>
      <c r="EEU83" s="143"/>
      <c r="EEV83" s="143"/>
      <c r="EEW83" s="143"/>
      <c r="EEX83" s="143"/>
      <c r="EEY83" s="143"/>
      <c r="EEZ83" s="143"/>
      <c r="EFA83" s="143"/>
      <c r="EFB83" s="143"/>
      <c r="EFC83" s="143"/>
      <c r="EFD83" s="143"/>
      <c r="EFE83" s="143"/>
      <c r="EFF83" s="143"/>
      <c r="EFG83" s="143"/>
      <c r="EFH83" s="143"/>
      <c r="EFI83" s="143"/>
      <c r="EFJ83" s="143"/>
      <c r="EFK83" s="143"/>
      <c r="EFL83" s="143"/>
      <c r="EFM83" s="143"/>
      <c r="EFN83" s="143"/>
      <c r="EFO83" s="143"/>
      <c r="EFP83" s="143"/>
      <c r="EFQ83" s="143"/>
      <c r="EFR83" s="143"/>
      <c r="EFS83" s="143"/>
      <c r="EFT83" s="143"/>
      <c r="EFU83" s="143"/>
      <c r="EFV83" s="143"/>
      <c r="EFW83" s="143"/>
      <c r="EFX83" s="143"/>
      <c r="EFY83" s="143"/>
      <c r="EFZ83" s="143"/>
      <c r="EGA83" s="143"/>
      <c r="EGB83" s="143"/>
      <c r="EGC83" s="143"/>
      <c r="EGD83" s="143"/>
      <c r="EGE83" s="143"/>
      <c r="EGF83" s="143"/>
      <c r="EGG83" s="143"/>
      <c r="EGH83" s="143"/>
      <c r="EGI83" s="143"/>
      <c r="EGJ83" s="143"/>
      <c r="EGK83" s="143"/>
      <c r="EGL83" s="143"/>
      <c r="EGM83" s="143"/>
      <c r="EGN83" s="143"/>
      <c r="EGO83" s="143"/>
      <c r="EGP83" s="143"/>
      <c r="EGQ83" s="143"/>
      <c r="EGR83" s="143"/>
      <c r="EGS83" s="143"/>
      <c r="EGT83" s="143"/>
      <c r="EGU83" s="143"/>
      <c r="EGV83" s="143"/>
      <c r="EGW83" s="143"/>
      <c r="EGX83" s="143"/>
      <c r="EGY83" s="143"/>
      <c r="EGZ83" s="143"/>
      <c r="EHA83" s="143"/>
      <c r="EHB83" s="143"/>
      <c r="EHC83" s="143"/>
      <c r="EHD83" s="143"/>
      <c r="EHE83" s="143"/>
      <c r="EHF83" s="143"/>
      <c r="EHG83" s="143"/>
      <c r="EHH83" s="143"/>
      <c r="EHI83" s="143"/>
      <c r="EHJ83" s="143"/>
      <c r="EHK83" s="143"/>
      <c r="EHL83" s="143"/>
      <c r="EHM83" s="143"/>
      <c r="EHN83" s="143"/>
      <c r="EHO83" s="143"/>
      <c r="EHP83" s="143"/>
      <c r="EHQ83" s="143"/>
      <c r="EHR83" s="143"/>
      <c r="EHS83" s="143"/>
      <c r="EHT83" s="143"/>
      <c r="EHU83" s="143"/>
      <c r="EHV83" s="143"/>
      <c r="EHW83" s="143"/>
      <c r="EHX83" s="143"/>
      <c r="EHY83" s="143"/>
      <c r="EHZ83" s="143"/>
      <c r="EIA83" s="143"/>
      <c r="EIB83" s="143"/>
      <c r="EIC83" s="143"/>
      <c r="EID83" s="143"/>
      <c r="EIE83" s="143"/>
      <c r="EIF83" s="143"/>
      <c r="EIG83" s="143"/>
      <c r="EIH83" s="143"/>
      <c r="EII83" s="143"/>
      <c r="EIJ83" s="143"/>
      <c r="EIK83" s="143"/>
      <c r="EIL83" s="143"/>
      <c r="EIM83" s="143"/>
      <c r="EIN83" s="143"/>
      <c r="EIO83" s="143"/>
      <c r="EIP83" s="143"/>
      <c r="EIQ83" s="143"/>
      <c r="EIR83" s="143"/>
      <c r="EIS83" s="143"/>
      <c r="EIT83" s="143"/>
      <c r="EIU83" s="143"/>
      <c r="EIV83" s="143"/>
      <c r="EIW83" s="143"/>
      <c r="EIX83" s="143"/>
      <c r="EIY83" s="143"/>
      <c r="EIZ83" s="143"/>
      <c r="EJA83" s="143"/>
      <c r="EJB83" s="143"/>
      <c r="EJC83" s="143"/>
      <c r="EJD83" s="143"/>
      <c r="EJE83" s="143"/>
      <c r="EJF83" s="143"/>
      <c r="EJG83" s="143"/>
      <c r="EJH83" s="143"/>
      <c r="EJI83" s="143"/>
      <c r="EJJ83" s="143"/>
      <c r="EJK83" s="143"/>
      <c r="EJL83" s="143"/>
      <c r="EJM83" s="143"/>
      <c r="EJN83" s="143"/>
      <c r="EJO83" s="143"/>
      <c r="EJP83" s="143"/>
      <c r="EJQ83" s="143"/>
      <c r="EJR83" s="143"/>
      <c r="EJS83" s="143"/>
      <c r="EJT83" s="143"/>
      <c r="EJU83" s="143"/>
      <c r="EJV83" s="143"/>
      <c r="EJW83" s="143"/>
      <c r="EJX83" s="143"/>
      <c r="EJY83" s="143"/>
      <c r="EJZ83" s="143"/>
      <c r="EKA83" s="143"/>
      <c r="EKB83" s="143"/>
      <c r="EKC83" s="143"/>
      <c r="EKD83" s="143"/>
      <c r="EKE83" s="143"/>
      <c r="EKF83" s="143"/>
      <c r="EKG83" s="143"/>
      <c r="EKH83" s="143"/>
      <c r="EKI83" s="143"/>
      <c r="EKJ83" s="143"/>
      <c r="EKK83" s="143"/>
      <c r="EKL83" s="143"/>
      <c r="EKM83" s="143"/>
      <c r="EKN83" s="143"/>
      <c r="EKO83" s="143"/>
      <c r="EKP83" s="143"/>
      <c r="EKQ83" s="143"/>
      <c r="EKR83" s="143"/>
      <c r="EKS83" s="143"/>
      <c r="EKT83" s="143"/>
      <c r="EKU83" s="143"/>
      <c r="EKV83" s="143"/>
      <c r="EKW83" s="143"/>
      <c r="EKX83" s="143"/>
      <c r="EKY83" s="143"/>
      <c r="EKZ83" s="143"/>
      <c r="ELA83" s="143"/>
      <c r="ELB83" s="143"/>
      <c r="ELC83" s="143"/>
      <c r="ELD83" s="143"/>
      <c r="ELE83" s="143"/>
      <c r="ELF83" s="143"/>
      <c r="ELG83" s="143"/>
      <c r="ELH83" s="143"/>
      <c r="ELI83" s="143"/>
      <c r="ELJ83" s="143"/>
      <c r="ELK83" s="143"/>
      <c r="ELL83" s="143"/>
      <c r="ELM83" s="143"/>
      <c r="ELN83" s="143"/>
      <c r="ELO83" s="143"/>
      <c r="ELP83" s="143"/>
      <c r="ELQ83" s="143"/>
      <c r="ELR83" s="143"/>
      <c r="ELS83" s="143"/>
      <c r="ELT83" s="143"/>
      <c r="ELU83" s="143"/>
      <c r="ELV83" s="143"/>
      <c r="ELW83" s="143"/>
      <c r="ELX83" s="143"/>
      <c r="ELY83" s="143"/>
      <c r="ELZ83" s="143"/>
      <c r="EMA83" s="143"/>
      <c r="EMB83" s="143"/>
      <c r="EMC83" s="143"/>
      <c r="EMD83" s="143"/>
      <c r="EME83" s="143"/>
      <c r="EMF83" s="143"/>
      <c r="EMG83" s="143"/>
      <c r="EMH83" s="143"/>
      <c r="EMI83" s="143"/>
      <c r="EMJ83" s="143"/>
      <c r="EMK83" s="143"/>
      <c r="EML83" s="143"/>
      <c r="EMM83" s="143"/>
      <c r="EMN83" s="143"/>
      <c r="EMO83" s="143"/>
      <c r="EMP83" s="143"/>
      <c r="EMQ83" s="143"/>
      <c r="EMR83" s="143"/>
      <c r="EMS83" s="143"/>
      <c r="EMT83" s="143"/>
      <c r="EMU83" s="143"/>
      <c r="EMV83" s="143"/>
      <c r="EMW83" s="143"/>
      <c r="EMX83" s="143"/>
      <c r="EMY83" s="143"/>
      <c r="EMZ83" s="143"/>
      <c r="ENA83" s="143"/>
      <c r="ENB83" s="143"/>
      <c r="ENC83" s="143"/>
      <c r="END83" s="143"/>
      <c r="ENE83" s="143"/>
      <c r="ENF83" s="143"/>
      <c r="ENG83" s="143"/>
      <c r="ENH83" s="143"/>
      <c r="ENI83" s="143"/>
      <c r="ENJ83" s="143"/>
      <c r="ENK83" s="143"/>
      <c r="ENL83" s="143"/>
      <c r="ENM83" s="143"/>
      <c r="ENN83" s="143"/>
      <c r="ENO83" s="143"/>
      <c r="ENP83" s="143"/>
      <c r="ENQ83" s="143"/>
      <c r="ENR83" s="143"/>
      <c r="ENS83" s="143"/>
      <c r="ENT83" s="143"/>
      <c r="ENU83" s="143"/>
      <c r="ENV83" s="143"/>
      <c r="ENW83" s="143"/>
      <c r="ENX83" s="143"/>
      <c r="ENY83" s="143"/>
      <c r="ENZ83" s="143"/>
      <c r="EOA83" s="143"/>
      <c r="EOB83" s="143"/>
      <c r="EOC83" s="143"/>
      <c r="EOD83" s="143"/>
      <c r="EOE83" s="143"/>
      <c r="EOF83" s="143"/>
      <c r="EOG83" s="143"/>
      <c r="EOH83" s="143"/>
      <c r="EOI83" s="143"/>
      <c r="EOJ83" s="143"/>
      <c r="EOK83" s="143"/>
      <c r="EOL83" s="143"/>
      <c r="EOM83" s="143"/>
      <c r="EON83" s="143"/>
      <c r="EOO83" s="143"/>
      <c r="EOP83" s="143"/>
      <c r="EOQ83" s="143"/>
      <c r="EOR83" s="143"/>
      <c r="EOS83" s="143"/>
      <c r="EOT83" s="143"/>
      <c r="EOU83" s="143"/>
      <c r="EOV83" s="143"/>
      <c r="EOW83" s="143"/>
      <c r="EOX83" s="143"/>
      <c r="EOY83" s="143"/>
      <c r="EOZ83" s="143"/>
      <c r="EPA83" s="143"/>
      <c r="EPB83" s="143"/>
      <c r="EPC83" s="143"/>
      <c r="EPD83" s="143"/>
      <c r="EPE83" s="143"/>
      <c r="EPF83" s="143"/>
      <c r="EPG83" s="143"/>
      <c r="EPH83" s="143"/>
      <c r="EPI83" s="143"/>
      <c r="EPJ83" s="143"/>
      <c r="EPK83" s="143"/>
      <c r="EPL83" s="143"/>
      <c r="EPM83" s="143"/>
      <c r="EPN83" s="143"/>
      <c r="EPO83" s="143"/>
      <c r="EPP83" s="143"/>
      <c r="EPQ83" s="143"/>
      <c r="EPR83" s="143"/>
      <c r="EPS83" s="143"/>
      <c r="EPT83" s="143"/>
      <c r="EPU83" s="143"/>
      <c r="EPV83" s="143"/>
      <c r="EPW83" s="143"/>
      <c r="EPX83" s="143"/>
      <c r="EPY83" s="143"/>
      <c r="EPZ83" s="143"/>
      <c r="EQA83" s="143"/>
      <c r="EQB83" s="143"/>
      <c r="EQC83" s="143"/>
      <c r="EQD83" s="143"/>
      <c r="EQE83" s="143"/>
      <c r="EQF83" s="143"/>
      <c r="EQG83" s="143"/>
      <c r="EQH83" s="143"/>
      <c r="EQI83" s="143"/>
      <c r="EQJ83" s="143"/>
      <c r="EQK83" s="143"/>
      <c r="EQL83" s="143"/>
      <c r="EQM83" s="143"/>
      <c r="EQN83" s="143"/>
      <c r="EQO83" s="143"/>
      <c r="EQP83" s="143"/>
      <c r="EQQ83" s="143"/>
      <c r="EQR83" s="143"/>
      <c r="EQS83" s="143"/>
      <c r="EQT83" s="143"/>
      <c r="EQU83" s="143"/>
      <c r="EQV83" s="143"/>
      <c r="EQW83" s="143"/>
      <c r="EQX83" s="143"/>
      <c r="EQY83" s="143"/>
      <c r="EQZ83" s="143"/>
      <c r="ERA83" s="143"/>
      <c r="ERB83" s="143"/>
      <c r="ERC83" s="143"/>
      <c r="ERD83" s="143"/>
      <c r="ERE83" s="143"/>
      <c r="ERF83" s="143"/>
      <c r="ERG83" s="143"/>
      <c r="ERH83" s="143"/>
      <c r="ERI83" s="143"/>
      <c r="ERJ83" s="143"/>
      <c r="ERK83" s="143"/>
      <c r="ERL83" s="143"/>
      <c r="ERM83" s="143"/>
      <c r="ERN83" s="143"/>
      <c r="ERO83" s="143"/>
      <c r="ERP83" s="143"/>
      <c r="ERQ83" s="143"/>
      <c r="ERR83" s="143"/>
      <c r="ERS83" s="143"/>
      <c r="ERT83" s="143"/>
      <c r="ERU83" s="143"/>
      <c r="ERV83" s="143"/>
      <c r="ERW83" s="143"/>
      <c r="ERX83" s="143"/>
      <c r="ERY83" s="143"/>
      <c r="ERZ83" s="143"/>
      <c r="ESA83" s="143"/>
      <c r="ESB83" s="143"/>
      <c r="ESC83" s="143"/>
      <c r="ESD83" s="143"/>
      <c r="ESE83" s="143"/>
      <c r="ESF83" s="143"/>
      <c r="ESG83" s="143"/>
      <c r="ESH83" s="143"/>
      <c r="ESI83" s="143"/>
      <c r="ESJ83" s="143"/>
      <c r="ESK83" s="143"/>
      <c r="ESL83" s="143"/>
      <c r="ESM83" s="143"/>
      <c r="ESN83" s="143"/>
      <c r="ESO83" s="143"/>
      <c r="ESP83" s="143"/>
      <c r="ESQ83" s="143"/>
      <c r="ESR83" s="143"/>
      <c r="ESS83" s="143"/>
      <c r="EST83" s="143"/>
      <c r="ESU83" s="143"/>
      <c r="ESV83" s="143"/>
      <c r="ESW83" s="143"/>
      <c r="ESX83" s="143"/>
      <c r="ESY83" s="143"/>
      <c r="ESZ83" s="143"/>
      <c r="ETA83" s="143"/>
      <c r="ETB83" s="143"/>
      <c r="ETC83" s="143"/>
      <c r="ETD83" s="143"/>
      <c r="ETE83" s="143"/>
      <c r="ETF83" s="143"/>
      <c r="ETG83" s="143"/>
      <c r="ETH83" s="143"/>
      <c r="ETI83" s="143"/>
      <c r="ETJ83" s="143"/>
      <c r="ETK83" s="143"/>
      <c r="ETL83" s="143"/>
      <c r="ETM83" s="143"/>
      <c r="ETN83" s="143"/>
      <c r="ETO83" s="143"/>
      <c r="ETP83" s="143"/>
      <c r="ETQ83" s="143"/>
      <c r="ETR83" s="143"/>
      <c r="ETS83" s="143"/>
      <c r="ETT83" s="143"/>
      <c r="ETU83" s="143"/>
      <c r="ETV83" s="143"/>
      <c r="ETW83" s="143"/>
      <c r="ETX83" s="143"/>
      <c r="ETY83" s="143"/>
      <c r="ETZ83" s="143"/>
      <c r="EUA83" s="143"/>
      <c r="EUB83" s="143"/>
      <c r="EUC83" s="143"/>
      <c r="EUD83" s="143"/>
      <c r="EUE83" s="143"/>
      <c r="EUF83" s="143"/>
      <c r="EUG83" s="143"/>
      <c r="EUH83" s="143"/>
      <c r="EUI83" s="143"/>
      <c r="EUJ83" s="143"/>
      <c r="EUK83" s="143"/>
      <c r="EUL83" s="143"/>
      <c r="EUM83" s="143"/>
      <c r="EUN83" s="143"/>
      <c r="EUO83" s="143"/>
      <c r="EUP83" s="143"/>
      <c r="EUQ83" s="143"/>
      <c r="EUR83" s="143"/>
      <c r="EUS83" s="143"/>
      <c r="EUT83" s="143"/>
      <c r="EUU83" s="143"/>
      <c r="EUV83" s="143"/>
      <c r="EUW83" s="143"/>
      <c r="EUX83" s="143"/>
      <c r="EUY83" s="143"/>
      <c r="EUZ83" s="143"/>
      <c r="EVA83" s="143"/>
      <c r="EVB83" s="143"/>
      <c r="EVC83" s="143"/>
      <c r="EVD83" s="143"/>
      <c r="EVE83" s="143"/>
      <c r="EVF83" s="143"/>
      <c r="EVG83" s="143"/>
      <c r="EVH83" s="143"/>
      <c r="EVI83" s="143"/>
      <c r="EVJ83" s="143"/>
      <c r="EVK83" s="143"/>
      <c r="EVL83" s="143"/>
      <c r="EVM83" s="143"/>
      <c r="EVN83" s="143"/>
      <c r="EVO83" s="143"/>
      <c r="EVP83" s="143"/>
      <c r="EVQ83" s="143"/>
      <c r="EVR83" s="143"/>
      <c r="EVS83" s="143"/>
      <c r="EVT83" s="143"/>
      <c r="EVU83" s="143"/>
      <c r="EVV83" s="143"/>
      <c r="EVW83" s="143"/>
      <c r="EVX83" s="143"/>
      <c r="EVY83" s="143"/>
      <c r="EVZ83" s="143"/>
      <c r="EWA83" s="143"/>
      <c r="EWB83" s="143"/>
      <c r="EWC83" s="143"/>
      <c r="EWD83" s="143"/>
      <c r="EWE83" s="143"/>
      <c r="EWF83" s="143"/>
      <c r="EWG83" s="143"/>
      <c r="EWH83" s="143"/>
      <c r="EWI83" s="143"/>
      <c r="EWJ83" s="143"/>
      <c r="EWK83" s="143"/>
      <c r="EWL83" s="143"/>
      <c r="EWM83" s="143"/>
      <c r="EWN83" s="143"/>
      <c r="EWO83" s="143"/>
      <c r="EWP83" s="143"/>
      <c r="EWQ83" s="143"/>
      <c r="EWR83" s="143"/>
      <c r="EWS83" s="143"/>
      <c r="EWT83" s="143"/>
      <c r="EWU83" s="143"/>
      <c r="EWV83" s="143"/>
      <c r="EWW83" s="143"/>
      <c r="EWX83" s="143"/>
      <c r="EWY83" s="143"/>
      <c r="EWZ83" s="143"/>
      <c r="EXA83" s="143"/>
      <c r="EXB83" s="143"/>
      <c r="EXC83" s="143"/>
      <c r="EXD83" s="143"/>
      <c r="EXE83" s="143"/>
      <c r="EXF83" s="143"/>
      <c r="EXG83" s="143"/>
      <c r="EXH83" s="143"/>
      <c r="EXI83" s="143"/>
      <c r="EXJ83" s="143"/>
      <c r="EXK83" s="143"/>
      <c r="EXL83" s="143"/>
      <c r="EXM83" s="143"/>
      <c r="EXN83" s="143"/>
      <c r="EXO83" s="143"/>
      <c r="EXP83" s="143"/>
      <c r="EXQ83" s="143"/>
      <c r="EXR83" s="143"/>
      <c r="EXS83" s="143"/>
      <c r="EXT83" s="143"/>
      <c r="EXU83" s="143"/>
      <c r="EXV83" s="143"/>
      <c r="EXW83" s="143"/>
      <c r="EXX83" s="143"/>
      <c r="EXY83" s="143"/>
      <c r="EXZ83" s="143"/>
      <c r="EYA83" s="143"/>
      <c r="EYB83" s="143"/>
      <c r="EYC83" s="143"/>
      <c r="EYD83" s="143"/>
      <c r="EYE83" s="143"/>
      <c r="EYF83" s="143"/>
      <c r="EYG83" s="143"/>
      <c r="EYH83" s="143"/>
      <c r="EYI83" s="143"/>
      <c r="EYJ83" s="143"/>
      <c r="EYK83" s="143"/>
      <c r="EYL83" s="143"/>
      <c r="EYM83" s="143"/>
      <c r="EYN83" s="143"/>
      <c r="EYO83" s="143"/>
      <c r="EYP83" s="143"/>
      <c r="EYQ83" s="143"/>
      <c r="EYR83" s="143"/>
      <c r="EYS83" s="143"/>
      <c r="EYT83" s="143"/>
      <c r="EYU83" s="143"/>
      <c r="EYV83" s="143"/>
      <c r="EYW83" s="143"/>
      <c r="EYX83" s="143"/>
      <c r="EYY83" s="143"/>
      <c r="EYZ83" s="143"/>
      <c r="EZA83" s="143"/>
      <c r="EZB83" s="143"/>
      <c r="EZC83" s="143"/>
      <c r="EZD83" s="143"/>
      <c r="EZE83" s="143"/>
      <c r="EZF83" s="143"/>
      <c r="EZG83" s="143"/>
      <c r="EZH83" s="143"/>
      <c r="EZI83" s="143"/>
      <c r="EZJ83" s="143"/>
      <c r="EZK83" s="143"/>
      <c r="EZL83" s="143"/>
      <c r="EZM83" s="143"/>
      <c r="EZN83" s="143"/>
      <c r="EZO83" s="143"/>
      <c r="EZP83" s="143"/>
      <c r="EZQ83" s="143"/>
      <c r="EZR83" s="143"/>
      <c r="EZS83" s="143"/>
      <c r="EZT83" s="143"/>
      <c r="EZU83" s="143"/>
      <c r="EZV83" s="143"/>
      <c r="EZW83" s="143"/>
      <c r="EZX83" s="143"/>
      <c r="EZY83" s="143"/>
      <c r="EZZ83" s="143"/>
      <c r="FAA83" s="143"/>
      <c r="FAB83" s="143"/>
      <c r="FAC83" s="143"/>
      <c r="FAD83" s="143"/>
      <c r="FAE83" s="143"/>
      <c r="FAF83" s="143"/>
      <c r="FAG83" s="143"/>
      <c r="FAH83" s="143"/>
      <c r="FAI83" s="143"/>
      <c r="FAJ83" s="143"/>
      <c r="FAK83" s="143"/>
      <c r="FAL83" s="143"/>
      <c r="FAM83" s="143"/>
      <c r="FAN83" s="143"/>
      <c r="FAO83" s="143"/>
      <c r="FAP83" s="143"/>
      <c r="FAQ83" s="143"/>
      <c r="FAR83" s="143"/>
      <c r="FAS83" s="143"/>
      <c r="FAT83" s="143"/>
      <c r="FAU83" s="143"/>
      <c r="FAV83" s="143"/>
      <c r="FAW83" s="143"/>
      <c r="FAX83" s="143"/>
      <c r="FAY83" s="143"/>
      <c r="FAZ83" s="143"/>
      <c r="FBA83" s="143"/>
      <c r="FBB83" s="143"/>
      <c r="FBC83" s="143"/>
      <c r="FBD83" s="143"/>
      <c r="FBE83" s="143"/>
      <c r="FBF83" s="143"/>
      <c r="FBG83" s="143"/>
      <c r="FBH83" s="143"/>
      <c r="FBI83" s="143"/>
      <c r="FBJ83" s="143"/>
      <c r="FBK83" s="143"/>
      <c r="FBL83" s="143"/>
      <c r="FBM83" s="143"/>
      <c r="FBN83" s="143"/>
      <c r="FBO83" s="143"/>
      <c r="FBP83" s="143"/>
      <c r="FBQ83" s="143"/>
      <c r="FBR83" s="143"/>
      <c r="FBS83" s="143"/>
      <c r="FBT83" s="143"/>
      <c r="FBU83" s="143"/>
      <c r="FBV83" s="143"/>
      <c r="FBW83" s="143"/>
      <c r="FBX83" s="143"/>
      <c r="FBY83" s="143"/>
      <c r="FBZ83" s="143"/>
      <c r="FCA83" s="143"/>
      <c r="FCB83" s="143"/>
      <c r="FCC83" s="143"/>
      <c r="FCD83" s="143"/>
      <c r="FCE83" s="143"/>
      <c r="FCF83" s="143"/>
      <c r="FCG83" s="143"/>
      <c r="FCH83" s="143"/>
      <c r="FCI83" s="143"/>
      <c r="FCJ83" s="143"/>
      <c r="FCK83" s="143"/>
      <c r="FCL83" s="143"/>
      <c r="FCM83" s="143"/>
      <c r="FCN83" s="143"/>
      <c r="FCO83" s="143"/>
      <c r="FCP83" s="143"/>
      <c r="FCQ83" s="143"/>
      <c r="FCR83" s="143"/>
      <c r="FCS83" s="143"/>
      <c r="FCT83" s="143"/>
      <c r="FCU83" s="143"/>
      <c r="FCV83" s="143"/>
      <c r="FCW83" s="143"/>
      <c r="FCX83" s="143"/>
      <c r="FCY83" s="143"/>
      <c r="FCZ83" s="143"/>
      <c r="FDA83" s="143"/>
      <c r="FDB83" s="143"/>
      <c r="FDC83" s="143"/>
      <c r="FDD83" s="143"/>
      <c r="FDE83" s="143"/>
      <c r="FDF83" s="143"/>
      <c r="FDG83" s="143"/>
      <c r="FDH83" s="143"/>
      <c r="FDI83" s="143"/>
      <c r="FDJ83" s="143"/>
      <c r="FDK83" s="143"/>
      <c r="FDL83" s="143"/>
      <c r="FDM83" s="143"/>
      <c r="FDN83" s="143"/>
      <c r="FDO83" s="143"/>
      <c r="FDP83" s="143"/>
      <c r="FDQ83" s="143"/>
      <c r="FDR83" s="143"/>
      <c r="FDS83" s="143"/>
      <c r="FDT83" s="143"/>
      <c r="FDU83" s="143"/>
      <c r="FDV83" s="143"/>
      <c r="FDW83" s="143"/>
      <c r="FDX83" s="143"/>
      <c r="FDY83" s="143"/>
      <c r="FDZ83" s="143"/>
      <c r="FEA83" s="143"/>
      <c r="FEB83" s="143"/>
      <c r="FEC83" s="143"/>
      <c r="FED83" s="143"/>
      <c r="FEE83" s="143"/>
      <c r="FEF83" s="143"/>
      <c r="FEG83" s="143"/>
      <c r="FEH83" s="143"/>
      <c r="FEI83" s="143"/>
      <c r="FEJ83" s="143"/>
      <c r="FEK83" s="143"/>
      <c r="FEL83" s="143"/>
      <c r="FEM83" s="143"/>
      <c r="FEN83" s="143"/>
      <c r="FEO83" s="143"/>
      <c r="FEP83" s="143"/>
      <c r="FEQ83" s="143"/>
      <c r="FER83" s="143"/>
      <c r="FES83" s="143"/>
      <c r="FET83" s="143"/>
      <c r="FEU83" s="143"/>
      <c r="FEV83" s="143"/>
      <c r="FEW83" s="143"/>
      <c r="FEX83" s="143"/>
      <c r="FEY83" s="143"/>
      <c r="FEZ83" s="143"/>
      <c r="FFA83" s="143"/>
      <c r="FFB83" s="143"/>
      <c r="FFC83" s="143"/>
      <c r="FFD83" s="143"/>
      <c r="FFE83" s="143"/>
      <c r="FFF83" s="143"/>
      <c r="FFG83" s="143"/>
      <c r="FFH83" s="143"/>
      <c r="FFI83" s="143"/>
      <c r="FFJ83" s="143"/>
      <c r="FFK83" s="143"/>
      <c r="FFL83" s="143"/>
      <c r="FFM83" s="143"/>
      <c r="FFN83" s="143"/>
      <c r="FFO83" s="143"/>
      <c r="FFP83" s="143"/>
      <c r="FFQ83" s="143"/>
      <c r="FFR83" s="143"/>
      <c r="FFS83" s="143"/>
      <c r="FFT83" s="143"/>
      <c r="FFU83" s="143"/>
      <c r="FFV83" s="143"/>
      <c r="FFW83" s="143"/>
      <c r="FFX83" s="143"/>
      <c r="FFY83" s="143"/>
      <c r="FFZ83" s="143"/>
      <c r="FGA83" s="143"/>
      <c r="FGB83" s="143"/>
      <c r="FGC83" s="143"/>
      <c r="FGD83" s="143"/>
      <c r="FGE83" s="143"/>
      <c r="FGF83" s="143"/>
      <c r="FGG83" s="143"/>
      <c r="FGH83" s="143"/>
      <c r="FGI83" s="143"/>
      <c r="FGJ83" s="143"/>
      <c r="FGK83" s="143"/>
      <c r="FGL83" s="143"/>
      <c r="FGM83" s="143"/>
      <c r="FGN83" s="143"/>
      <c r="FGO83" s="143"/>
      <c r="FGP83" s="143"/>
      <c r="FGQ83" s="143"/>
      <c r="FGR83" s="143"/>
      <c r="FGS83" s="143"/>
      <c r="FGT83" s="143"/>
      <c r="FGU83" s="143"/>
      <c r="FGV83" s="143"/>
      <c r="FGW83" s="143"/>
      <c r="FGX83" s="143"/>
      <c r="FGY83" s="143"/>
      <c r="FGZ83" s="143"/>
      <c r="FHA83" s="143"/>
      <c r="FHB83" s="143"/>
      <c r="FHC83" s="143"/>
      <c r="FHD83" s="143"/>
      <c r="FHE83" s="143"/>
      <c r="FHF83" s="143"/>
      <c r="FHG83" s="143"/>
      <c r="FHH83" s="143"/>
      <c r="FHI83" s="143"/>
      <c r="FHJ83" s="143"/>
      <c r="FHK83" s="143"/>
      <c r="FHL83" s="143"/>
      <c r="FHM83" s="143"/>
      <c r="FHN83" s="143"/>
      <c r="FHO83" s="143"/>
      <c r="FHP83" s="143"/>
      <c r="FHQ83" s="143"/>
      <c r="FHR83" s="143"/>
      <c r="FHS83" s="143"/>
      <c r="FHT83" s="143"/>
      <c r="FHU83" s="143"/>
      <c r="FHV83" s="143"/>
      <c r="FHW83" s="143"/>
      <c r="FHX83" s="143"/>
      <c r="FHY83" s="143"/>
      <c r="FHZ83" s="143"/>
      <c r="FIA83" s="143"/>
      <c r="FIB83" s="143"/>
      <c r="FIC83" s="143"/>
      <c r="FID83" s="143"/>
      <c r="FIE83" s="143"/>
      <c r="FIF83" s="143"/>
      <c r="FIG83" s="143"/>
      <c r="FIH83" s="143"/>
      <c r="FII83" s="143"/>
      <c r="FIJ83" s="143"/>
      <c r="FIK83" s="143"/>
      <c r="FIL83" s="143"/>
      <c r="FIM83" s="143"/>
      <c r="FIN83" s="143"/>
      <c r="FIO83" s="143"/>
      <c r="FIP83" s="143"/>
      <c r="FIQ83" s="143"/>
      <c r="FIR83" s="143"/>
      <c r="FIS83" s="143"/>
      <c r="FIT83" s="143"/>
      <c r="FIU83" s="143"/>
      <c r="FIV83" s="143"/>
      <c r="FIW83" s="143"/>
      <c r="FIX83" s="143"/>
      <c r="FIY83" s="143"/>
      <c r="FIZ83" s="143"/>
      <c r="FJA83" s="143"/>
      <c r="FJB83" s="143"/>
      <c r="FJC83" s="143"/>
      <c r="FJD83" s="143"/>
      <c r="FJE83" s="143"/>
      <c r="FJF83" s="143"/>
      <c r="FJG83" s="143"/>
      <c r="FJH83" s="143"/>
      <c r="FJI83" s="143"/>
      <c r="FJJ83" s="143"/>
      <c r="FJK83" s="143"/>
      <c r="FJL83" s="143"/>
      <c r="FJM83" s="143"/>
      <c r="FJN83" s="143"/>
      <c r="FJO83" s="143"/>
      <c r="FJP83" s="143"/>
      <c r="FJQ83" s="143"/>
      <c r="FJR83" s="143"/>
      <c r="FJS83" s="143"/>
      <c r="FJT83" s="143"/>
      <c r="FJU83" s="143"/>
      <c r="FJV83" s="143"/>
      <c r="FJW83" s="143"/>
      <c r="FJX83" s="143"/>
      <c r="FJY83" s="143"/>
      <c r="FJZ83" s="143"/>
      <c r="FKA83" s="143"/>
      <c r="FKB83" s="143"/>
      <c r="FKC83" s="143"/>
      <c r="FKD83" s="143"/>
      <c r="FKE83" s="143"/>
      <c r="FKF83" s="143"/>
      <c r="FKG83" s="143"/>
      <c r="FKH83" s="143"/>
      <c r="FKI83" s="143"/>
      <c r="FKJ83" s="143"/>
      <c r="FKK83" s="143"/>
      <c r="FKL83" s="143"/>
      <c r="FKM83" s="143"/>
      <c r="FKN83" s="143"/>
      <c r="FKO83" s="143"/>
      <c r="FKP83" s="143"/>
      <c r="FKQ83" s="143"/>
      <c r="FKR83" s="143"/>
      <c r="FKS83" s="143"/>
      <c r="FKT83" s="143"/>
      <c r="FKU83" s="143"/>
      <c r="FKV83" s="143"/>
      <c r="FKW83" s="143"/>
      <c r="FKX83" s="143"/>
      <c r="FKY83" s="143"/>
      <c r="FKZ83" s="143"/>
      <c r="FLA83" s="143"/>
      <c r="FLB83" s="143"/>
      <c r="FLC83" s="143"/>
      <c r="FLD83" s="143"/>
      <c r="FLE83" s="143"/>
      <c r="FLF83" s="143"/>
      <c r="FLG83" s="143"/>
      <c r="FLH83" s="143"/>
      <c r="FLI83" s="143"/>
      <c r="FLJ83" s="143"/>
      <c r="FLK83" s="143"/>
      <c r="FLL83" s="143"/>
      <c r="FLM83" s="143"/>
      <c r="FLN83" s="143"/>
      <c r="FLO83" s="143"/>
      <c r="FLP83" s="143"/>
      <c r="FLQ83" s="143"/>
      <c r="FLR83" s="143"/>
      <c r="FLS83" s="143"/>
      <c r="FLT83" s="143"/>
      <c r="FLU83" s="143"/>
      <c r="FLV83" s="143"/>
      <c r="FLW83" s="143"/>
      <c r="FLX83" s="143"/>
      <c r="FLY83" s="143"/>
      <c r="FLZ83" s="143"/>
      <c r="FMA83" s="143"/>
      <c r="FMB83" s="143"/>
      <c r="FMC83" s="143"/>
      <c r="FMD83" s="143"/>
      <c r="FME83" s="143"/>
      <c r="FMF83" s="143"/>
      <c r="FMG83" s="143"/>
      <c r="FMH83" s="143"/>
      <c r="FMI83" s="143"/>
      <c r="FMJ83" s="143"/>
      <c r="FMK83" s="143"/>
      <c r="FML83" s="143"/>
      <c r="FMM83" s="143"/>
      <c r="FMN83" s="143"/>
      <c r="FMO83" s="143"/>
      <c r="FMP83" s="143"/>
      <c r="FMQ83" s="143"/>
      <c r="FMR83" s="143"/>
      <c r="FMS83" s="143"/>
      <c r="FMT83" s="143"/>
      <c r="FMU83" s="143"/>
      <c r="FMV83" s="143"/>
      <c r="FMW83" s="143"/>
      <c r="FMX83" s="143"/>
      <c r="FMY83" s="143"/>
      <c r="FMZ83" s="143"/>
      <c r="FNA83" s="143"/>
      <c r="FNB83" s="143"/>
      <c r="FNC83" s="143"/>
      <c r="FND83" s="143"/>
      <c r="FNE83" s="143"/>
      <c r="FNF83" s="143"/>
      <c r="FNG83" s="143"/>
      <c r="FNH83" s="143"/>
      <c r="FNI83" s="143"/>
      <c r="FNJ83" s="143"/>
      <c r="FNK83" s="143"/>
      <c r="FNL83" s="143"/>
      <c r="FNM83" s="143"/>
      <c r="FNN83" s="143"/>
      <c r="FNO83" s="143"/>
      <c r="FNP83" s="143"/>
      <c r="FNQ83" s="143"/>
      <c r="FNR83" s="143"/>
      <c r="FNS83" s="143"/>
      <c r="FNT83" s="143"/>
      <c r="FNU83" s="143"/>
      <c r="FNV83" s="143"/>
      <c r="FNW83" s="143"/>
      <c r="FNX83" s="143"/>
      <c r="FNY83" s="143"/>
      <c r="FNZ83" s="143"/>
      <c r="FOA83" s="143"/>
      <c r="FOB83" s="143"/>
      <c r="FOC83" s="143"/>
      <c r="FOD83" s="143"/>
      <c r="FOE83" s="143"/>
      <c r="FOF83" s="143"/>
      <c r="FOG83" s="143"/>
      <c r="FOH83" s="143"/>
      <c r="FOI83" s="143"/>
      <c r="FOJ83" s="143"/>
      <c r="FOK83" s="143"/>
      <c r="FOL83" s="143"/>
      <c r="FOM83" s="143"/>
      <c r="FON83" s="143"/>
      <c r="FOO83" s="143"/>
      <c r="FOP83" s="143"/>
      <c r="FOQ83" s="143"/>
      <c r="FOR83" s="143"/>
      <c r="FOS83" s="143"/>
      <c r="FOT83" s="143"/>
      <c r="FOU83" s="143"/>
      <c r="FOV83" s="143"/>
      <c r="FOW83" s="143"/>
      <c r="FOX83" s="143"/>
      <c r="FOY83" s="143"/>
      <c r="FOZ83" s="143"/>
      <c r="FPA83" s="143"/>
      <c r="FPB83" s="143"/>
      <c r="FPC83" s="143"/>
      <c r="FPD83" s="143"/>
      <c r="FPE83" s="143"/>
      <c r="FPF83" s="143"/>
      <c r="FPG83" s="143"/>
      <c r="FPH83" s="143"/>
      <c r="FPI83" s="143"/>
      <c r="FPJ83" s="143"/>
      <c r="FPK83" s="143"/>
      <c r="FPL83" s="143"/>
      <c r="FPM83" s="143"/>
      <c r="FPN83" s="143"/>
      <c r="FPO83" s="143"/>
      <c r="FPP83" s="143"/>
      <c r="FPQ83" s="143"/>
      <c r="FPR83" s="143"/>
      <c r="FPS83" s="143"/>
      <c r="FPT83" s="143"/>
      <c r="FPU83" s="143"/>
      <c r="FPV83" s="143"/>
      <c r="FPW83" s="143"/>
      <c r="FPX83" s="143"/>
      <c r="FPY83" s="143"/>
      <c r="FPZ83" s="143"/>
      <c r="FQA83" s="143"/>
      <c r="FQB83" s="143"/>
      <c r="FQC83" s="143"/>
      <c r="FQD83" s="143"/>
      <c r="FQE83" s="143"/>
      <c r="FQF83" s="143"/>
      <c r="FQG83" s="143"/>
      <c r="FQH83" s="143"/>
      <c r="FQI83" s="143"/>
      <c r="FQJ83" s="143"/>
      <c r="FQK83" s="143"/>
      <c r="FQL83" s="143"/>
      <c r="FQM83" s="143"/>
      <c r="FQN83" s="143"/>
      <c r="FQO83" s="143"/>
      <c r="FQP83" s="143"/>
      <c r="FQQ83" s="143"/>
      <c r="FQR83" s="143"/>
      <c r="FQS83" s="143"/>
      <c r="FQT83" s="143"/>
      <c r="FQU83" s="143"/>
      <c r="FQV83" s="143"/>
      <c r="FQW83" s="143"/>
      <c r="FQX83" s="143"/>
      <c r="FQY83" s="143"/>
      <c r="FQZ83" s="143"/>
      <c r="FRA83" s="143"/>
      <c r="FRB83" s="143"/>
      <c r="FRC83" s="143"/>
      <c r="FRD83" s="143"/>
      <c r="FRE83" s="143"/>
      <c r="FRF83" s="143"/>
      <c r="FRG83" s="143"/>
      <c r="FRH83" s="143"/>
      <c r="FRI83" s="143"/>
      <c r="FRJ83" s="143"/>
      <c r="FRK83" s="143"/>
      <c r="FRL83" s="143"/>
      <c r="FRM83" s="143"/>
      <c r="FRN83" s="143"/>
      <c r="FRO83" s="143"/>
      <c r="FRP83" s="143"/>
      <c r="FRQ83" s="143"/>
      <c r="FRR83" s="143"/>
      <c r="FRS83" s="143"/>
      <c r="FRT83" s="143"/>
      <c r="FRU83" s="143"/>
      <c r="FRV83" s="143"/>
      <c r="FRW83" s="143"/>
      <c r="FRX83" s="143"/>
      <c r="FRY83" s="143"/>
      <c r="FRZ83" s="143"/>
      <c r="FSA83" s="143"/>
      <c r="FSB83" s="143"/>
      <c r="FSC83" s="143"/>
      <c r="FSD83" s="143"/>
      <c r="FSE83" s="143"/>
      <c r="FSF83" s="143"/>
      <c r="FSG83" s="143"/>
      <c r="FSH83" s="143"/>
      <c r="FSI83" s="143"/>
      <c r="FSJ83" s="143"/>
      <c r="FSK83" s="143"/>
      <c r="FSL83" s="143"/>
      <c r="FSM83" s="143"/>
      <c r="FSN83" s="143"/>
      <c r="FSO83" s="143"/>
      <c r="FSP83" s="143"/>
      <c r="FSQ83" s="143"/>
      <c r="FSR83" s="143"/>
      <c r="FSS83" s="143"/>
      <c r="FST83" s="143"/>
      <c r="FSU83" s="143"/>
      <c r="FSV83" s="143"/>
      <c r="FSW83" s="143"/>
      <c r="FSX83" s="143"/>
      <c r="FSY83" s="143"/>
      <c r="FSZ83" s="143"/>
      <c r="FTA83" s="143"/>
      <c r="FTB83" s="143"/>
      <c r="FTC83" s="143"/>
      <c r="FTD83" s="143"/>
      <c r="FTE83" s="143"/>
      <c r="FTF83" s="143"/>
      <c r="FTG83" s="143"/>
      <c r="FTH83" s="143"/>
      <c r="FTI83" s="143"/>
      <c r="FTJ83" s="143"/>
      <c r="FTK83" s="143"/>
      <c r="FTL83" s="143"/>
      <c r="FTM83" s="143"/>
      <c r="FTN83" s="143"/>
      <c r="FTO83" s="143"/>
      <c r="FTP83" s="143"/>
      <c r="FTQ83" s="143"/>
      <c r="FTR83" s="143"/>
      <c r="FTS83" s="143"/>
      <c r="FTT83" s="143"/>
      <c r="FTU83" s="143"/>
      <c r="FTV83" s="143"/>
      <c r="FTW83" s="143"/>
      <c r="FTX83" s="143"/>
      <c r="FTY83" s="143"/>
      <c r="FTZ83" s="143"/>
      <c r="FUA83" s="143"/>
      <c r="FUB83" s="143"/>
      <c r="FUC83" s="143"/>
      <c r="FUD83" s="143"/>
      <c r="FUE83" s="143"/>
      <c r="FUF83" s="143"/>
      <c r="FUG83" s="143"/>
      <c r="FUH83" s="143"/>
      <c r="FUI83" s="143"/>
      <c r="FUJ83" s="143"/>
      <c r="FUK83" s="143"/>
      <c r="FUL83" s="143"/>
      <c r="FUM83" s="143"/>
      <c r="FUN83" s="143"/>
      <c r="FUO83" s="143"/>
      <c r="FUP83" s="143"/>
      <c r="FUQ83" s="143"/>
      <c r="FUR83" s="143"/>
      <c r="FUS83" s="143"/>
      <c r="FUT83" s="143"/>
      <c r="FUU83" s="143"/>
      <c r="FUV83" s="143"/>
      <c r="FUW83" s="143"/>
      <c r="FUX83" s="143"/>
      <c r="FUY83" s="143"/>
      <c r="FUZ83" s="143"/>
      <c r="FVA83" s="143"/>
      <c r="FVB83" s="143"/>
      <c r="FVC83" s="143"/>
      <c r="FVD83" s="143"/>
      <c r="FVE83" s="143"/>
      <c r="FVF83" s="143"/>
      <c r="FVG83" s="143"/>
      <c r="FVH83" s="143"/>
      <c r="FVI83" s="143"/>
      <c r="FVJ83" s="143"/>
      <c r="FVK83" s="143"/>
      <c r="FVL83" s="143"/>
      <c r="FVM83" s="143"/>
      <c r="FVN83" s="143"/>
      <c r="FVO83" s="143"/>
      <c r="FVP83" s="143"/>
      <c r="FVQ83" s="143"/>
      <c r="FVR83" s="143"/>
      <c r="FVS83" s="143"/>
      <c r="FVT83" s="143"/>
      <c r="FVU83" s="143"/>
      <c r="FVV83" s="143"/>
      <c r="FVW83" s="143"/>
      <c r="FVX83" s="143"/>
      <c r="FVY83" s="143"/>
      <c r="FVZ83" s="143"/>
      <c r="FWA83" s="143"/>
      <c r="FWB83" s="143"/>
      <c r="FWC83" s="143"/>
      <c r="FWD83" s="143"/>
      <c r="FWE83" s="143"/>
      <c r="FWF83" s="143"/>
      <c r="FWG83" s="143"/>
      <c r="FWH83" s="143"/>
      <c r="FWI83" s="143"/>
      <c r="FWJ83" s="143"/>
      <c r="FWK83" s="143"/>
      <c r="FWL83" s="143"/>
      <c r="FWM83" s="143"/>
      <c r="FWN83" s="143"/>
      <c r="FWO83" s="143"/>
      <c r="FWP83" s="143"/>
      <c r="FWQ83" s="143"/>
      <c r="FWR83" s="143"/>
      <c r="FWS83" s="143"/>
      <c r="FWT83" s="143"/>
      <c r="FWU83" s="143"/>
      <c r="FWV83" s="143"/>
      <c r="FWW83" s="143"/>
      <c r="FWX83" s="143"/>
      <c r="FWY83" s="143"/>
      <c r="FWZ83" s="143"/>
      <c r="FXA83" s="143"/>
      <c r="FXB83" s="143"/>
      <c r="FXC83" s="143"/>
      <c r="FXD83" s="143"/>
      <c r="FXE83" s="143"/>
      <c r="FXF83" s="143"/>
      <c r="FXG83" s="143"/>
      <c r="FXH83" s="143"/>
      <c r="FXI83" s="143"/>
      <c r="FXJ83" s="143"/>
      <c r="FXK83" s="143"/>
      <c r="FXL83" s="143"/>
      <c r="FXM83" s="143"/>
      <c r="FXN83" s="143"/>
      <c r="FXO83" s="143"/>
      <c r="FXP83" s="143"/>
      <c r="FXQ83" s="143"/>
      <c r="FXR83" s="143"/>
      <c r="FXS83" s="143"/>
      <c r="FXT83" s="143"/>
      <c r="FXU83" s="143"/>
      <c r="FXV83" s="143"/>
      <c r="FXW83" s="143"/>
      <c r="FXX83" s="143"/>
      <c r="FXY83" s="143"/>
      <c r="FXZ83" s="143"/>
      <c r="FYA83" s="143"/>
      <c r="FYB83" s="143"/>
      <c r="FYC83" s="143"/>
      <c r="FYD83" s="143"/>
      <c r="FYE83" s="143"/>
      <c r="FYF83" s="143"/>
      <c r="FYG83" s="143"/>
      <c r="FYH83" s="143"/>
      <c r="FYI83" s="143"/>
      <c r="FYJ83" s="143"/>
      <c r="FYK83" s="143"/>
      <c r="FYL83" s="143"/>
      <c r="FYM83" s="143"/>
      <c r="FYN83" s="143"/>
      <c r="FYO83" s="143"/>
      <c r="FYP83" s="143"/>
      <c r="FYQ83" s="143"/>
      <c r="FYR83" s="143"/>
      <c r="FYS83" s="143"/>
      <c r="FYT83" s="143"/>
      <c r="FYU83" s="143"/>
      <c r="FYV83" s="143"/>
      <c r="FYW83" s="143"/>
      <c r="FYX83" s="143"/>
      <c r="FYY83" s="143"/>
      <c r="FYZ83" s="143"/>
      <c r="FZA83" s="143"/>
      <c r="FZB83" s="143"/>
      <c r="FZC83" s="143"/>
      <c r="FZD83" s="143"/>
      <c r="FZE83" s="143"/>
      <c r="FZF83" s="143"/>
      <c r="FZG83" s="143"/>
      <c r="FZH83" s="143"/>
      <c r="FZI83" s="143"/>
      <c r="FZJ83" s="143"/>
      <c r="FZK83" s="143"/>
      <c r="FZL83" s="143"/>
      <c r="FZM83" s="143"/>
      <c r="FZN83" s="143"/>
      <c r="FZO83" s="143"/>
      <c r="FZP83" s="143"/>
      <c r="FZQ83" s="143"/>
      <c r="FZR83" s="143"/>
      <c r="FZS83" s="143"/>
      <c r="FZT83" s="143"/>
      <c r="FZU83" s="143"/>
      <c r="FZV83" s="143"/>
      <c r="FZW83" s="143"/>
      <c r="FZX83" s="143"/>
      <c r="FZY83" s="143"/>
      <c r="FZZ83" s="143"/>
      <c r="GAA83" s="143"/>
      <c r="GAB83" s="143"/>
      <c r="GAC83" s="143"/>
      <c r="GAD83" s="143"/>
      <c r="GAE83" s="143"/>
      <c r="GAF83" s="143"/>
      <c r="GAG83" s="143"/>
      <c r="GAH83" s="143"/>
      <c r="GAI83" s="143"/>
      <c r="GAJ83" s="143"/>
      <c r="GAK83" s="143"/>
      <c r="GAL83" s="143"/>
      <c r="GAM83" s="143"/>
      <c r="GAN83" s="143"/>
      <c r="GAO83" s="143"/>
      <c r="GAP83" s="143"/>
      <c r="GAQ83" s="143"/>
      <c r="GAR83" s="143"/>
      <c r="GAS83" s="143"/>
      <c r="GAT83" s="143"/>
      <c r="GAU83" s="143"/>
      <c r="GAV83" s="143"/>
      <c r="GAW83" s="143"/>
      <c r="GAX83" s="143"/>
      <c r="GAY83" s="143"/>
      <c r="GAZ83" s="143"/>
      <c r="GBA83" s="143"/>
      <c r="GBB83" s="143"/>
      <c r="GBC83" s="143"/>
      <c r="GBD83" s="143"/>
      <c r="GBE83" s="143"/>
      <c r="GBF83" s="143"/>
      <c r="GBG83" s="143"/>
      <c r="GBH83" s="143"/>
      <c r="GBI83" s="143"/>
      <c r="GBJ83" s="143"/>
      <c r="GBK83" s="143"/>
      <c r="GBL83" s="143"/>
      <c r="GBM83" s="143"/>
      <c r="GBN83" s="143"/>
      <c r="GBO83" s="143"/>
      <c r="GBP83" s="143"/>
      <c r="GBQ83" s="143"/>
      <c r="GBR83" s="143"/>
      <c r="GBS83" s="143"/>
      <c r="GBT83" s="143"/>
      <c r="GBU83" s="143"/>
      <c r="GBV83" s="143"/>
      <c r="GBW83" s="143"/>
      <c r="GBX83" s="143"/>
      <c r="GBY83" s="143"/>
      <c r="GBZ83" s="143"/>
      <c r="GCA83" s="143"/>
      <c r="GCB83" s="143"/>
      <c r="GCC83" s="143"/>
      <c r="GCD83" s="143"/>
      <c r="GCE83" s="143"/>
      <c r="GCF83" s="143"/>
      <c r="GCG83" s="143"/>
      <c r="GCH83" s="143"/>
      <c r="GCI83" s="143"/>
      <c r="GCJ83" s="143"/>
      <c r="GCK83" s="143"/>
      <c r="GCL83" s="143"/>
      <c r="GCM83" s="143"/>
      <c r="GCN83" s="143"/>
      <c r="GCO83" s="143"/>
      <c r="GCP83" s="143"/>
      <c r="GCQ83" s="143"/>
      <c r="GCR83" s="143"/>
      <c r="GCS83" s="143"/>
      <c r="GCT83" s="143"/>
      <c r="GCU83" s="143"/>
      <c r="GCV83" s="143"/>
      <c r="GCW83" s="143"/>
      <c r="GCX83" s="143"/>
      <c r="GCY83" s="143"/>
      <c r="GCZ83" s="143"/>
      <c r="GDA83" s="143"/>
      <c r="GDB83" s="143"/>
      <c r="GDC83" s="143"/>
      <c r="GDD83" s="143"/>
      <c r="GDE83" s="143"/>
      <c r="GDF83" s="143"/>
      <c r="GDG83" s="143"/>
      <c r="GDH83" s="143"/>
      <c r="GDI83" s="143"/>
      <c r="GDJ83" s="143"/>
      <c r="GDK83" s="143"/>
      <c r="GDL83" s="143"/>
      <c r="GDM83" s="143"/>
      <c r="GDN83" s="143"/>
      <c r="GDO83" s="143"/>
      <c r="GDP83" s="143"/>
      <c r="GDQ83" s="143"/>
      <c r="GDR83" s="143"/>
      <c r="GDS83" s="143"/>
      <c r="GDT83" s="143"/>
      <c r="GDU83" s="143"/>
      <c r="GDV83" s="143"/>
      <c r="GDW83" s="143"/>
      <c r="GDX83" s="143"/>
      <c r="GDY83" s="143"/>
      <c r="GDZ83" s="143"/>
      <c r="GEA83" s="143"/>
      <c r="GEB83" s="143"/>
      <c r="GEC83" s="143"/>
      <c r="GED83" s="143"/>
      <c r="GEE83" s="143"/>
      <c r="GEF83" s="143"/>
      <c r="GEG83" s="143"/>
      <c r="GEH83" s="143"/>
      <c r="GEI83" s="143"/>
      <c r="GEJ83" s="143"/>
      <c r="GEK83" s="143"/>
      <c r="GEL83" s="143"/>
      <c r="GEM83" s="143"/>
      <c r="GEN83" s="143"/>
      <c r="GEO83" s="143"/>
      <c r="GEP83" s="143"/>
      <c r="GEQ83" s="143"/>
      <c r="GER83" s="143"/>
      <c r="GES83" s="143"/>
      <c r="GET83" s="143"/>
      <c r="GEU83" s="143"/>
      <c r="GEV83" s="143"/>
      <c r="GEW83" s="143"/>
      <c r="GEX83" s="143"/>
      <c r="GEY83" s="143"/>
      <c r="GEZ83" s="143"/>
      <c r="GFA83" s="143"/>
      <c r="GFB83" s="143"/>
      <c r="GFC83" s="143"/>
      <c r="GFD83" s="143"/>
      <c r="GFE83" s="143"/>
      <c r="GFF83" s="143"/>
      <c r="GFG83" s="143"/>
      <c r="GFH83" s="143"/>
      <c r="GFI83" s="143"/>
      <c r="GFJ83" s="143"/>
      <c r="GFK83" s="143"/>
      <c r="GFL83" s="143"/>
      <c r="GFM83" s="143"/>
      <c r="GFN83" s="143"/>
      <c r="GFO83" s="143"/>
      <c r="GFP83" s="143"/>
      <c r="GFQ83" s="143"/>
      <c r="GFR83" s="143"/>
      <c r="GFS83" s="143"/>
      <c r="GFT83" s="143"/>
      <c r="GFU83" s="143"/>
      <c r="GFV83" s="143"/>
      <c r="GFW83" s="143"/>
      <c r="GFX83" s="143"/>
      <c r="GFY83" s="143"/>
      <c r="GFZ83" s="143"/>
      <c r="GGA83" s="143"/>
      <c r="GGB83" s="143"/>
      <c r="GGC83" s="143"/>
      <c r="GGD83" s="143"/>
      <c r="GGE83" s="143"/>
      <c r="GGF83" s="143"/>
      <c r="GGG83" s="143"/>
      <c r="GGH83" s="143"/>
      <c r="GGI83" s="143"/>
      <c r="GGJ83" s="143"/>
      <c r="GGK83" s="143"/>
      <c r="GGL83" s="143"/>
      <c r="GGM83" s="143"/>
      <c r="GGN83" s="143"/>
      <c r="GGO83" s="143"/>
      <c r="GGP83" s="143"/>
      <c r="GGQ83" s="143"/>
      <c r="GGR83" s="143"/>
      <c r="GGS83" s="143"/>
      <c r="GGT83" s="143"/>
      <c r="GGU83" s="143"/>
      <c r="GGV83" s="143"/>
      <c r="GGW83" s="143"/>
      <c r="GGX83" s="143"/>
      <c r="GGY83" s="143"/>
      <c r="GGZ83" s="143"/>
      <c r="GHA83" s="143"/>
      <c r="GHB83" s="143"/>
      <c r="GHC83" s="143"/>
      <c r="GHD83" s="143"/>
      <c r="GHE83" s="143"/>
      <c r="GHF83" s="143"/>
      <c r="GHG83" s="143"/>
      <c r="GHH83" s="143"/>
      <c r="GHI83" s="143"/>
      <c r="GHJ83" s="143"/>
      <c r="GHK83" s="143"/>
      <c r="GHL83" s="143"/>
      <c r="GHM83" s="143"/>
      <c r="GHN83" s="143"/>
      <c r="GHO83" s="143"/>
      <c r="GHP83" s="143"/>
      <c r="GHQ83" s="143"/>
      <c r="GHR83" s="143"/>
      <c r="GHS83" s="143"/>
      <c r="GHT83" s="143"/>
      <c r="GHU83" s="143"/>
      <c r="GHV83" s="143"/>
      <c r="GHW83" s="143"/>
      <c r="GHX83" s="143"/>
      <c r="GHY83" s="143"/>
      <c r="GHZ83" s="143"/>
      <c r="GIA83" s="143"/>
      <c r="GIB83" s="143"/>
      <c r="GIC83" s="143"/>
      <c r="GID83" s="143"/>
      <c r="GIE83" s="143"/>
      <c r="GIF83" s="143"/>
      <c r="GIG83" s="143"/>
      <c r="GIH83" s="143"/>
      <c r="GII83" s="143"/>
      <c r="GIJ83" s="143"/>
      <c r="GIK83" s="143"/>
      <c r="GIL83" s="143"/>
      <c r="GIM83" s="143"/>
      <c r="GIN83" s="143"/>
      <c r="GIO83" s="143"/>
      <c r="GIP83" s="143"/>
      <c r="GIQ83" s="143"/>
      <c r="GIR83" s="143"/>
      <c r="GIS83" s="143"/>
      <c r="GIT83" s="143"/>
      <c r="GIU83" s="143"/>
      <c r="GIV83" s="143"/>
      <c r="GIW83" s="143"/>
      <c r="GIX83" s="143"/>
      <c r="GIY83" s="143"/>
      <c r="GIZ83" s="143"/>
      <c r="GJA83" s="143"/>
      <c r="GJB83" s="143"/>
      <c r="GJC83" s="143"/>
      <c r="GJD83" s="143"/>
      <c r="GJE83" s="143"/>
      <c r="GJF83" s="143"/>
      <c r="GJG83" s="143"/>
      <c r="GJH83" s="143"/>
      <c r="GJI83" s="143"/>
      <c r="GJJ83" s="143"/>
      <c r="GJK83" s="143"/>
      <c r="GJL83" s="143"/>
      <c r="GJM83" s="143"/>
      <c r="GJN83" s="143"/>
      <c r="GJO83" s="143"/>
      <c r="GJP83" s="143"/>
      <c r="GJQ83" s="143"/>
      <c r="GJR83" s="143"/>
      <c r="GJS83" s="143"/>
      <c r="GJT83" s="143"/>
      <c r="GJU83" s="143"/>
      <c r="GJV83" s="143"/>
      <c r="GJW83" s="143"/>
      <c r="GJX83" s="143"/>
      <c r="GJY83" s="143"/>
      <c r="GJZ83" s="143"/>
      <c r="GKA83" s="143"/>
      <c r="GKB83" s="143"/>
      <c r="GKC83" s="143"/>
      <c r="GKD83" s="143"/>
      <c r="GKE83" s="143"/>
      <c r="GKF83" s="143"/>
      <c r="GKG83" s="143"/>
      <c r="GKH83" s="143"/>
      <c r="GKI83" s="143"/>
      <c r="GKJ83" s="143"/>
      <c r="GKK83" s="143"/>
      <c r="GKL83" s="143"/>
      <c r="GKM83" s="143"/>
      <c r="GKN83" s="143"/>
      <c r="GKO83" s="143"/>
      <c r="GKP83" s="143"/>
      <c r="GKQ83" s="143"/>
      <c r="GKR83" s="143"/>
      <c r="GKS83" s="143"/>
      <c r="GKT83" s="143"/>
      <c r="GKU83" s="143"/>
      <c r="GKV83" s="143"/>
      <c r="GKW83" s="143"/>
      <c r="GKX83" s="143"/>
      <c r="GKY83" s="143"/>
      <c r="GKZ83" s="143"/>
      <c r="GLA83" s="143"/>
      <c r="GLB83" s="143"/>
      <c r="GLC83" s="143"/>
      <c r="GLD83" s="143"/>
      <c r="GLE83" s="143"/>
      <c r="GLF83" s="143"/>
      <c r="GLG83" s="143"/>
      <c r="GLH83" s="143"/>
      <c r="GLI83" s="143"/>
      <c r="GLJ83" s="143"/>
      <c r="GLK83" s="143"/>
      <c r="GLL83" s="143"/>
      <c r="GLM83" s="143"/>
      <c r="GLN83" s="143"/>
      <c r="GLO83" s="143"/>
      <c r="GLP83" s="143"/>
      <c r="GLQ83" s="143"/>
      <c r="GLR83" s="143"/>
      <c r="GLS83" s="143"/>
      <c r="GLT83" s="143"/>
      <c r="GLU83" s="143"/>
      <c r="GLV83" s="143"/>
      <c r="GLW83" s="143"/>
      <c r="GLX83" s="143"/>
      <c r="GLY83" s="143"/>
      <c r="GLZ83" s="143"/>
      <c r="GMA83" s="143"/>
      <c r="GMB83" s="143"/>
      <c r="GMC83" s="143"/>
      <c r="GMD83" s="143"/>
      <c r="GME83" s="143"/>
      <c r="GMF83" s="143"/>
      <c r="GMG83" s="143"/>
      <c r="GMH83" s="143"/>
      <c r="GMI83" s="143"/>
      <c r="GMJ83" s="143"/>
      <c r="GMK83" s="143"/>
      <c r="GML83" s="143"/>
      <c r="GMM83" s="143"/>
      <c r="GMN83" s="143"/>
      <c r="GMO83" s="143"/>
      <c r="GMP83" s="143"/>
      <c r="GMQ83" s="143"/>
      <c r="GMR83" s="143"/>
      <c r="GMS83" s="143"/>
      <c r="GMT83" s="143"/>
      <c r="GMU83" s="143"/>
      <c r="GMV83" s="143"/>
      <c r="GMW83" s="143"/>
      <c r="GMX83" s="143"/>
      <c r="GMY83" s="143"/>
      <c r="GMZ83" s="143"/>
      <c r="GNA83" s="143"/>
      <c r="GNB83" s="143"/>
      <c r="GNC83" s="143"/>
      <c r="GND83" s="143"/>
      <c r="GNE83" s="143"/>
      <c r="GNF83" s="143"/>
      <c r="GNG83" s="143"/>
      <c r="GNH83" s="143"/>
      <c r="GNI83" s="143"/>
      <c r="GNJ83" s="143"/>
      <c r="GNK83" s="143"/>
      <c r="GNL83" s="143"/>
      <c r="GNM83" s="143"/>
      <c r="GNN83" s="143"/>
      <c r="GNO83" s="143"/>
      <c r="GNP83" s="143"/>
      <c r="GNQ83" s="143"/>
      <c r="GNR83" s="143"/>
      <c r="GNS83" s="143"/>
      <c r="GNT83" s="143"/>
      <c r="GNU83" s="143"/>
      <c r="GNV83" s="143"/>
      <c r="GNW83" s="143"/>
      <c r="GNX83" s="143"/>
      <c r="GNY83" s="143"/>
      <c r="GNZ83" s="143"/>
      <c r="GOA83" s="143"/>
      <c r="GOB83" s="143"/>
      <c r="GOC83" s="143"/>
      <c r="GOD83" s="143"/>
      <c r="GOE83" s="143"/>
      <c r="GOF83" s="143"/>
      <c r="GOG83" s="143"/>
      <c r="GOH83" s="143"/>
      <c r="GOI83" s="143"/>
      <c r="GOJ83" s="143"/>
      <c r="GOK83" s="143"/>
      <c r="GOL83" s="143"/>
      <c r="GOM83" s="143"/>
      <c r="GON83" s="143"/>
      <c r="GOO83" s="143"/>
      <c r="GOP83" s="143"/>
      <c r="GOQ83" s="143"/>
      <c r="GOR83" s="143"/>
      <c r="GOS83" s="143"/>
      <c r="GOT83" s="143"/>
      <c r="GOU83" s="143"/>
      <c r="GOV83" s="143"/>
      <c r="GOW83" s="143"/>
      <c r="GOX83" s="143"/>
      <c r="GOY83" s="143"/>
      <c r="GOZ83" s="143"/>
      <c r="GPA83" s="143"/>
      <c r="GPB83" s="143"/>
      <c r="GPC83" s="143"/>
      <c r="GPD83" s="143"/>
      <c r="GPE83" s="143"/>
      <c r="GPF83" s="143"/>
      <c r="GPG83" s="143"/>
      <c r="GPH83" s="143"/>
      <c r="GPI83" s="143"/>
      <c r="GPJ83" s="143"/>
      <c r="GPK83" s="143"/>
      <c r="GPL83" s="143"/>
      <c r="GPM83" s="143"/>
      <c r="GPN83" s="143"/>
      <c r="GPO83" s="143"/>
      <c r="GPP83" s="143"/>
      <c r="GPQ83" s="143"/>
      <c r="GPR83" s="143"/>
      <c r="GPS83" s="143"/>
      <c r="GPT83" s="143"/>
      <c r="GPU83" s="143"/>
      <c r="GPV83" s="143"/>
      <c r="GPW83" s="143"/>
      <c r="GPX83" s="143"/>
      <c r="GPY83" s="143"/>
      <c r="GPZ83" s="143"/>
      <c r="GQA83" s="143"/>
      <c r="GQB83" s="143"/>
      <c r="GQC83" s="143"/>
      <c r="GQD83" s="143"/>
      <c r="GQE83" s="143"/>
      <c r="GQF83" s="143"/>
      <c r="GQG83" s="143"/>
      <c r="GQH83" s="143"/>
      <c r="GQI83" s="143"/>
      <c r="GQJ83" s="143"/>
      <c r="GQK83" s="143"/>
      <c r="GQL83" s="143"/>
      <c r="GQM83" s="143"/>
      <c r="GQN83" s="143"/>
      <c r="GQO83" s="143"/>
      <c r="GQP83" s="143"/>
      <c r="GQQ83" s="143"/>
      <c r="GQR83" s="143"/>
      <c r="GQS83" s="143"/>
      <c r="GQT83" s="143"/>
      <c r="GQU83" s="143"/>
      <c r="GQV83" s="143"/>
      <c r="GQW83" s="143"/>
      <c r="GQX83" s="143"/>
      <c r="GQY83" s="143"/>
      <c r="GQZ83" s="143"/>
      <c r="GRA83" s="143"/>
      <c r="GRB83" s="143"/>
      <c r="GRC83" s="143"/>
      <c r="GRD83" s="143"/>
      <c r="GRE83" s="143"/>
      <c r="GRF83" s="143"/>
      <c r="GRG83" s="143"/>
      <c r="GRH83" s="143"/>
      <c r="GRI83" s="143"/>
      <c r="GRJ83" s="143"/>
      <c r="GRK83" s="143"/>
      <c r="GRL83" s="143"/>
      <c r="GRM83" s="143"/>
      <c r="GRN83" s="143"/>
      <c r="GRO83" s="143"/>
      <c r="GRP83" s="143"/>
      <c r="GRQ83" s="143"/>
      <c r="GRR83" s="143"/>
      <c r="GRS83" s="143"/>
      <c r="GRT83" s="143"/>
      <c r="GRU83" s="143"/>
      <c r="GRV83" s="143"/>
      <c r="GRW83" s="143"/>
      <c r="GRX83" s="143"/>
      <c r="GRY83" s="143"/>
      <c r="GRZ83" s="143"/>
      <c r="GSA83" s="143"/>
      <c r="GSB83" s="143"/>
      <c r="GSC83" s="143"/>
      <c r="GSD83" s="143"/>
      <c r="GSE83" s="143"/>
      <c r="GSF83" s="143"/>
      <c r="GSG83" s="143"/>
      <c r="GSH83" s="143"/>
      <c r="GSI83" s="143"/>
      <c r="GSJ83" s="143"/>
      <c r="GSK83" s="143"/>
      <c r="GSL83" s="143"/>
      <c r="GSM83" s="143"/>
      <c r="GSN83" s="143"/>
      <c r="GSO83" s="143"/>
      <c r="GSP83" s="143"/>
      <c r="GSQ83" s="143"/>
      <c r="GSR83" s="143"/>
      <c r="GSS83" s="143"/>
      <c r="GST83" s="143"/>
      <c r="GSU83" s="143"/>
      <c r="GSV83" s="143"/>
      <c r="GSW83" s="143"/>
      <c r="GSX83" s="143"/>
      <c r="GSY83" s="143"/>
      <c r="GSZ83" s="143"/>
      <c r="GTA83" s="143"/>
      <c r="GTB83" s="143"/>
      <c r="GTC83" s="143"/>
      <c r="GTD83" s="143"/>
      <c r="GTE83" s="143"/>
      <c r="GTF83" s="143"/>
      <c r="GTG83" s="143"/>
      <c r="GTH83" s="143"/>
      <c r="GTI83" s="143"/>
      <c r="GTJ83" s="143"/>
      <c r="GTK83" s="143"/>
      <c r="GTL83" s="143"/>
      <c r="GTM83" s="143"/>
      <c r="GTN83" s="143"/>
      <c r="GTO83" s="143"/>
      <c r="GTP83" s="143"/>
      <c r="GTQ83" s="143"/>
      <c r="GTR83" s="143"/>
      <c r="GTS83" s="143"/>
      <c r="GTT83" s="143"/>
      <c r="GTU83" s="143"/>
      <c r="GTV83" s="143"/>
      <c r="GTW83" s="143"/>
      <c r="GTX83" s="143"/>
      <c r="GTY83" s="143"/>
      <c r="GTZ83" s="143"/>
      <c r="GUA83" s="143"/>
      <c r="GUB83" s="143"/>
      <c r="GUC83" s="143"/>
      <c r="GUD83" s="143"/>
      <c r="GUE83" s="143"/>
      <c r="GUF83" s="143"/>
      <c r="GUG83" s="143"/>
      <c r="GUH83" s="143"/>
      <c r="GUI83" s="143"/>
      <c r="GUJ83" s="143"/>
      <c r="GUK83" s="143"/>
      <c r="GUL83" s="143"/>
      <c r="GUM83" s="143"/>
      <c r="GUN83" s="143"/>
      <c r="GUO83" s="143"/>
      <c r="GUP83" s="143"/>
      <c r="GUQ83" s="143"/>
      <c r="GUR83" s="143"/>
      <c r="GUS83" s="143"/>
      <c r="GUT83" s="143"/>
      <c r="GUU83" s="143"/>
      <c r="GUV83" s="143"/>
      <c r="GUW83" s="143"/>
      <c r="GUX83" s="143"/>
      <c r="GUY83" s="143"/>
      <c r="GUZ83" s="143"/>
      <c r="GVA83" s="143"/>
      <c r="GVB83" s="143"/>
      <c r="GVC83" s="143"/>
      <c r="GVD83" s="143"/>
      <c r="GVE83" s="143"/>
      <c r="GVF83" s="143"/>
      <c r="GVG83" s="143"/>
      <c r="GVH83" s="143"/>
      <c r="GVI83" s="143"/>
      <c r="GVJ83" s="143"/>
      <c r="GVK83" s="143"/>
      <c r="GVL83" s="143"/>
      <c r="GVM83" s="143"/>
      <c r="GVN83" s="143"/>
      <c r="GVO83" s="143"/>
      <c r="GVP83" s="143"/>
      <c r="GVQ83" s="143"/>
      <c r="GVR83" s="143"/>
      <c r="GVS83" s="143"/>
      <c r="GVT83" s="143"/>
      <c r="GVU83" s="143"/>
      <c r="GVV83" s="143"/>
      <c r="GVW83" s="143"/>
      <c r="GVX83" s="143"/>
      <c r="GVY83" s="143"/>
      <c r="GVZ83" s="143"/>
      <c r="GWA83" s="143"/>
      <c r="GWB83" s="143"/>
      <c r="GWC83" s="143"/>
      <c r="GWD83" s="143"/>
      <c r="GWE83" s="143"/>
      <c r="GWF83" s="143"/>
      <c r="GWG83" s="143"/>
      <c r="GWH83" s="143"/>
      <c r="GWI83" s="143"/>
      <c r="GWJ83" s="143"/>
      <c r="GWK83" s="143"/>
      <c r="GWL83" s="143"/>
      <c r="GWM83" s="143"/>
      <c r="GWN83" s="143"/>
      <c r="GWO83" s="143"/>
      <c r="GWP83" s="143"/>
      <c r="GWQ83" s="143"/>
      <c r="GWR83" s="143"/>
      <c r="GWS83" s="143"/>
      <c r="GWT83" s="143"/>
      <c r="GWU83" s="143"/>
      <c r="GWV83" s="143"/>
      <c r="GWW83" s="143"/>
      <c r="GWX83" s="143"/>
      <c r="GWY83" s="143"/>
      <c r="GWZ83" s="143"/>
      <c r="GXA83" s="143"/>
      <c r="GXB83" s="143"/>
      <c r="GXC83" s="143"/>
      <c r="GXD83" s="143"/>
      <c r="GXE83" s="143"/>
      <c r="GXF83" s="143"/>
      <c r="GXG83" s="143"/>
      <c r="GXH83" s="143"/>
      <c r="GXI83" s="143"/>
      <c r="GXJ83" s="143"/>
      <c r="GXK83" s="143"/>
      <c r="GXL83" s="143"/>
      <c r="GXM83" s="143"/>
      <c r="GXN83" s="143"/>
      <c r="GXO83" s="143"/>
      <c r="GXP83" s="143"/>
      <c r="GXQ83" s="143"/>
      <c r="GXR83" s="143"/>
      <c r="GXS83" s="143"/>
      <c r="GXT83" s="143"/>
      <c r="GXU83" s="143"/>
      <c r="GXV83" s="143"/>
      <c r="GXW83" s="143"/>
      <c r="GXX83" s="143"/>
      <c r="GXY83" s="143"/>
      <c r="GXZ83" s="143"/>
      <c r="GYA83" s="143"/>
      <c r="GYB83" s="143"/>
      <c r="GYC83" s="143"/>
      <c r="GYD83" s="143"/>
      <c r="GYE83" s="143"/>
      <c r="GYF83" s="143"/>
      <c r="GYG83" s="143"/>
      <c r="GYH83" s="143"/>
      <c r="GYI83" s="143"/>
      <c r="GYJ83" s="143"/>
      <c r="GYK83" s="143"/>
      <c r="GYL83" s="143"/>
      <c r="GYM83" s="143"/>
      <c r="GYN83" s="143"/>
      <c r="GYO83" s="143"/>
      <c r="GYP83" s="143"/>
      <c r="GYQ83" s="143"/>
      <c r="GYR83" s="143"/>
      <c r="GYS83" s="143"/>
      <c r="GYT83" s="143"/>
      <c r="GYU83" s="143"/>
      <c r="GYV83" s="143"/>
      <c r="GYW83" s="143"/>
      <c r="GYX83" s="143"/>
      <c r="GYY83" s="143"/>
      <c r="GYZ83" s="143"/>
      <c r="GZA83" s="143"/>
      <c r="GZB83" s="143"/>
      <c r="GZC83" s="143"/>
      <c r="GZD83" s="143"/>
      <c r="GZE83" s="143"/>
      <c r="GZF83" s="143"/>
      <c r="GZG83" s="143"/>
      <c r="GZH83" s="143"/>
      <c r="GZI83" s="143"/>
      <c r="GZJ83" s="143"/>
      <c r="GZK83" s="143"/>
      <c r="GZL83" s="143"/>
      <c r="GZM83" s="143"/>
      <c r="GZN83" s="143"/>
      <c r="GZO83" s="143"/>
      <c r="GZP83" s="143"/>
      <c r="GZQ83" s="143"/>
      <c r="GZR83" s="143"/>
      <c r="GZS83" s="143"/>
      <c r="GZT83" s="143"/>
      <c r="GZU83" s="143"/>
      <c r="GZV83" s="143"/>
      <c r="GZW83" s="143"/>
      <c r="GZX83" s="143"/>
      <c r="GZY83" s="143"/>
      <c r="GZZ83" s="143"/>
      <c r="HAA83" s="143"/>
      <c r="HAB83" s="143"/>
      <c r="HAC83" s="143"/>
      <c r="HAD83" s="143"/>
      <c r="HAE83" s="143"/>
      <c r="HAF83" s="143"/>
      <c r="HAG83" s="143"/>
      <c r="HAH83" s="143"/>
      <c r="HAI83" s="143"/>
      <c r="HAJ83" s="143"/>
      <c r="HAK83" s="143"/>
      <c r="HAL83" s="143"/>
      <c r="HAM83" s="143"/>
      <c r="HAN83" s="143"/>
      <c r="HAO83" s="143"/>
      <c r="HAP83" s="143"/>
      <c r="HAQ83" s="143"/>
      <c r="HAR83" s="143"/>
      <c r="HAS83" s="143"/>
      <c r="HAT83" s="143"/>
      <c r="HAU83" s="143"/>
      <c r="HAV83" s="143"/>
      <c r="HAW83" s="143"/>
      <c r="HAX83" s="143"/>
      <c r="HAY83" s="143"/>
      <c r="HAZ83" s="143"/>
      <c r="HBA83" s="143"/>
      <c r="HBB83" s="143"/>
      <c r="HBC83" s="143"/>
      <c r="HBD83" s="143"/>
      <c r="HBE83" s="143"/>
      <c r="HBF83" s="143"/>
      <c r="HBG83" s="143"/>
      <c r="HBH83" s="143"/>
      <c r="HBI83" s="143"/>
      <c r="HBJ83" s="143"/>
      <c r="HBK83" s="143"/>
      <c r="HBL83" s="143"/>
      <c r="HBM83" s="143"/>
      <c r="HBN83" s="143"/>
      <c r="HBO83" s="143"/>
      <c r="HBP83" s="143"/>
      <c r="HBQ83" s="143"/>
      <c r="HBR83" s="143"/>
      <c r="HBS83" s="143"/>
      <c r="HBT83" s="143"/>
      <c r="HBU83" s="143"/>
      <c r="HBV83" s="143"/>
      <c r="HBW83" s="143"/>
      <c r="HBX83" s="143"/>
      <c r="HBY83" s="143"/>
      <c r="HBZ83" s="143"/>
      <c r="HCA83" s="143"/>
      <c r="HCB83" s="143"/>
      <c r="HCC83" s="143"/>
      <c r="HCD83" s="143"/>
      <c r="HCE83" s="143"/>
      <c r="HCF83" s="143"/>
      <c r="HCG83" s="143"/>
      <c r="HCH83" s="143"/>
      <c r="HCI83" s="143"/>
      <c r="HCJ83" s="143"/>
      <c r="HCK83" s="143"/>
      <c r="HCL83" s="143"/>
      <c r="HCM83" s="143"/>
      <c r="HCN83" s="143"/>
      <c r="HCO83" s="143"/>
      <c r="HCP83" s="143"/>
      <c r="HCQ83" s="143"/>
      <c r="HCR83" s="143"/>
      <c r="HCS83" s="143"/>
      <c r="HCT83" s="143"/>
      <c r="HCU83" s="143"/>
      <c r="HCV83" s="143"/>
      <c r="HCW83" s="143"/>
      <c r="HCX83" s="143"/>
      <c r="HCY83" s="143"/>
      <c r="HCZ83" s="143"/>
      <c r="HDA83" s="143"/>
      <c r="HDB83" s="143"/>
      <c r="HDC83" s="143"/>
      <c r="HDD83" s="143"/>
      <c r="HDE83" s="143"/>
      <c r="HDF83" s="143"/>
      <c r="HDG83" s="143"/>
      <c r="HDH83" s="143"/>
      <c r="HDI83" s="143"/>
      <c r="HDJ83" s="143"/>
      <c r="HDK83" s="143"/>
      <c r="HDL83" s="143"/>
      <c r="HDM83" s="143"/>
      <c r="HDN83" s="143"/>
      <c r="HDO83" s="143"/>
      <c r="HDP83" s="143"/>
      <c r="HDQ83" s="143"/>
      <c r="HDR83" s="143"/>
      <c r="HDS83" s="143"/>
      <c r="HDT83" s="143"/>
      <c r="HDU83" s="143"/>
      <c r="HDV83" s="143"/>
      <c r="HDW83" s="143"/>
      <c r="HDX83" s="143"/>
      <c r="HDY83" s="143"/>
      <c r="HDZ83" s="143"/>
      <c r="HEA83" s="143"/>
      <c r="HEB83" s="143"/>
      <c r="HEC83" s="143"/>
      <c r="HED83" s="143"/>
      <c r="HEE83" s="143"/>
      <c r="HEF83" s="143"/>
      <c r="HEG83" s="143"/>
      <c r="HEH83" s="143"/>
      <c r="HEI83" s="143"/>
      <c r="HEJ83" s="143"/>
      <c r="HEK83" s="143"/>
      <c r="HEL83" s="143"/>
      <c r="HEM83" s="143"/>
      <c r="HEN83" s="143"/>
      <c r="HEO83" s="143"/>
      <c r="HEP83" s="143"/>
      <c r="HEQ83" s="143"/>
      <c r="HER83" s="143"/>
      <c r="HES83" s="143"/>
      <c r="HET83" s="143"/>
      <c r="HEU83" s="143"/>
      <c r="HEV83" s="143"/>
      <c r="HEW83" s="143"/>
      <c r="HEX83" s="143"/>
      <c r="HEY83" s="143"/>
      <c r="HEZ83" s="143"/>
      <c r="HFA83" s="143"/>
      <c r="HFB83" s="143"/>
      <c r="HFC83" s="143"/>
      <c r="HFD83" s="143"/>
      <c r="HFE83" s="143"/>
      <c r="HFF83" s="143"/>
      <c r="HFG83" s="143"/>
      <c r="HFH83" s="143"/>
      <c r="HFI83" s="143"/>
      <c r="HFJ83" s="143"/>
      <c r="HFK83" s="143"/>
      <c r="HFL83" s="143"/>
      <c r="HFM83" s="143"/>
      <c r="HFN83" s="143"/>
      <c r="HFO83" s="143"/>
      <c r="HFP83" s="143"/>
      <c r="HFQ83" s="143"/>
      <c r="HFR83" s="143"/>
      <c r="HFS83" s="143"/>
      <c r="HFT83" s="143"/>
      <c r="HFU83" s="143"/>
      <c r="HFV83" s="143"/>
      <c r="HFW83" s="143"/>
      <c r="HFX83" s="143"/>
      <c r="HFY83" s="143"/>
      <c r="HFZ83" s="143"/>
      <c r="HGA83" s="143"/>
      <c r="HGB83" s="143"/>
      <c r="HGC83" s="143"/>
      <c r="HGD83" s="143"/>
      <c r="HGE83" s="143"/>
      <c r="HGF83" s="143"/>
      <c r="HGG83" s="143"/>
      <c r="HGH83" s="143"/>
      <c r="HGI83" s="143"/>
      <c r="HGJ83" s="143"/>
      <c r="HGK83" s="143"/>
      <c r="HGL83" s="143"/>
      <c r="HGM83" s="143"/>
      <c r="HGN83" s="143"/>
      <c r="HGO83" s="143"/>
      <c r="HGP83" s="143"/>
      <c r="HGQ83" s="143"/>
      <c r="HGR83" s="143"/>
      <c r="HGS83" s="143"/>
      <c r="HGT83" s="143"/>
      <c r="HGU83" s="143"/>
      <c r="HGV83" s="143"/>
      <c r="HGW83" s="143"/>
      <c r="HGX83" s="143"/>
      <c r="HGY83" s="143"/>
      <c r="HGZ83" s="143"/>
      <c r="HHA83" s="143"/>
      <c r="HHB83" s="143"/>
      <c r="HHC83" s="143"/>
      <c r="HHD83" s="143"/>
      <c r="HHE83" s="143"/>
      <c r="HHF83" s="143"/>
      <c r="HHG83" s="143"/>
      <c r="HHH83" s="143"/>
      <c r="HHI83" s="143"/>
      <c r="HHJ83" s="143"/>
      <c r="HHK83" s="143"/>
      <c r="HHL83" s="143"/>
      <c r="HHM83" s="143"/>
      <c r="HHN83" s="143"/>
      <c r="HHO83" s="143"/>
      <c r="HHP83" s="143"/>
      <c r="HHQ83" s="143"/>
      <c r="HHR83" s="143"/>
      <c r="HHS83" s="143"/>
      <c r="HHT83" s="143"/>
      <c r="HHU83" s="143"/>
      <c r="HHV83" s="143"/>
      <c r="HHW83" s="143"/>
      <c r="HHX83" s="143"/>
      <c r="HHY83" s="143"/>
      <c r="HHZ83" s="143"/>
      <c r="HIA83" s="143"/>
      <c r="HIB83" s="143"/>
      <c r="HIC83" s="143"/>
      <c r="HID83" s="143"/>
      <c r="HIE83" s="143"/>
      <c r="HIF83" s="143"/>
      <c r="HIG83" s="143"/>
      <c r="HIH83" s="143"/>
      <c r="HII83" s="143"/>
      <c r="HIJ83" s="143"/>
      <c r="HIK83" s="143"/>
      <c r="HIL83" s="143"/>
      <c r="HIM83" s="143"/>
      <c r="HIN83" s="143"/>
      <c r="HIO83" s="143"/>
      <c r="HIP83" s="143"/>
      <c r="HIQ83" s="143"/>
      <c r="HIR83" s="143"/>
      <c r="HIS83" s="143"/>
      <c r="HIT83" s="143"/>
      <c r="HIU83" s="143"/>
      <c r="HIV83" s="143"/>
      <c r="HIW83" s="143"/>
      <c r="HIX83" s="143"/>
      <c r="HIY83" s="143"/>
      <c r="HIZ83" s="143"/>
      <c r="HJA83" s="143"/>
      <c r="HJB83" s="143"/>
      <c r="HJC83" s="143"/>
      <c r="HJD83" s="143"/>
      <c r="HJE83" s="143"/>
      <c r="HJF83" s="143"/>
      <c r="HJG83" s="143"/>
      <c r="HJH83" s="143"/>
      <c r="HJI83" s="143"/>
      <c r="HJJ83" s="143"/>
      <c r="HJK83" s="143"/>
      <c r="HJL83" s="143"/>
      <c r="HJM83" s="143"/>
      <c r="HJN83" s="143"/>
      <c r="HJO83" s="143"/>
      <c r="HJP83" s="143"/>
      <c r="HJQ83" s="143"/>
      <c r="HJR83" s="143"/>
      <c r="HJS83" s="143"/>
      <c r="HJT83" s="143"/>
      <c r="HJU83" s="143"/>
      <c r="HJV83" s="143"/>
      <c r="HJW83" s="143"/>
      <c r="HJX83" s="143"/>
      <c r="HJY83" s="143"/>
      <c r="HJZ83" s="143"/>
      <c r="HKA83" s="143"/>
      <c r="HKB83" s="143"/>
      <c r="HKC83" s="143"/>
      <c r="HKD83" s="143"/>
      <c r="HKE83" s="143"/>
      <c r="HKF83" s="143"/>
      <c r="HKG83" s="143"/>
      <c r="HKH83" s="143"/>
      <c r="HKI83" s="143"/>
      <c r="HKJ83" s="143"/>
      <c r="HKK83" s="143"/>
      <c r="HKL83" s="143"/>
      <c r="HKM83" s="143"/>
      <c r="HKN83" s="143"/>
      <c r="HKO83" s="143"/>
      <c r="HKP83" s="143"/>
      <c r="HKQ83" s="143"/>
      <c r="HKR83" s="143"/>
      <c r="HKS83" s="143"/>
      <c r="HKT83" s="143"/>
      <c r="HKU83" s="143"/>
      <c r="HKV83" s="143"/>
      <c r="HKW83" s="143"/>
      <c r="HKX83" s="143"/>
      <c r="HKY83" s="143"/>
      <c r="HKZ83" s="143"/>
      <c r="HLA83" s="143"/>
      <c r="HLB83" s="143"/>
      <c r="HLC83" s="143"/>
      <c r="HLD83" s="143"/>
      <c r="HLE83" s="143"/>
      <c r="HLF83" s="143"/>
      <c r="HLG83" s="143"/>
      <c r="HLH83" s="143"/>
      <c r="HLI83" s="143"/>
      <c r="HLJ83" s="143"/>
      <c r="HLK83" s="143"/>
      <c r="HLL83" s="143"/>
      <c r="HLM83" s="143"/>
      <c r="HLN83" s="143"/>
      <c r="HLO83" s="143"/>
      <c r="HLP83" s="143"/>
      <c r="HLQ83" s="143"/>
      <c r="HLR83" s="143"/>
      <c r="HLS83" s="143"/>
      <c r="HLT83" s="143"/>
      <c r="HLU83" s="143"/>
      <c r="HLV83" s="143"/>
      <c r="HLW83" s="143"/>
      <c r="HLX83" s="143"/>
      <c r="HLY83" s="143"/>
      <c r="HLZ83" s="143"/>
      <c r="HMA83" s="143"/>
      <c r="HMB83" s="143"/>
      <c r="HMC83" s="143"/>
      <c r="HMD83" s="143"/>
      <c r="HME83" s="143"/>
      <c r="HMF83" s="143"/>
      <c r="HMG83" s="143"/>
      <c r="HMH83" s="143"/>
      <c r="HMI83" s="143"/>
      <c r="HMJ83" s="143"/>
      <c r="HMK83" s="143"/>
      <c r="HML83" s="143"/>
      <c r="HMM83" s="143"/>
      <c r="HMN83" s="143"/>
      <c r="HMO83" s="143"/>
      <c r="HMP83" s="143"/>
      <c r="HMQ83" s="143"/>
      <c r="HMR83" s="143"/>
      <c r="HMS83" s="143"/>
      <c r="HMT83" s="143"/>
      <c r="HMU83" s="143"/>
      <c r="HMV83" s="143"/>
      <c r="HMW83" s="143"/>
      <c r="HMX83" s="143"/>
      <c r="HMY83" s="143"/>
      <c r="HMZ83" s="143"/>
      <c r="HNA83" s="143"/>
      <c r="HNB83" s="143"/>
      <c r="HNC83" s="143"/>
      <c r="HND83" s="143"/>
      <c r="HNE83" s="143"/>
      <c r="HNF83" s="143"/>
      <c r="HNG83" s="143"/>
      <c r="HNH83" s="143"/>
      <c r="HNI83" s="143"/>
      <c r="HNJ83" s="143"/>
      <c r="HNK83" s="143"/>
      <c r="HNL83" s="143"/>
      <c r="HNM83" s="143"/>
      <c r="HNN83" s="143"/>
      <c r="HNO83" s="143"/>
      <c r="HNP83" s="143"/>
      <c r="HNQ83" s="143"/>
      <c r="HNR83" s="143"/>
      <c r="HNS83" s="143"/>
      <c r="HNT83" s="143"/>
      <c r="HNU83" s="143"/>
      <c r="HNV83" s="143"/>
      <c r="HNW83" s="143"/>
      <c r="HNX83" s="143"/>
      <c r="HNY83" s="143"/>
      <c r="HNZ83" s="143"/>
      <c r="HOA83" s="143"/>
      <c r="HOB83" s="143"/>
      <c r="HOC83" s="143"/>
      <c r="HOD83" s="143"/>
      <c r="HOE83" s="143"/>
      <c r="HOF83" s="143"/>
      <c r="HOG83" s="143"/>
      <c r="HOH83" s="143"/>
      <c r="HOI83" s="143"/>
      <c r="HOJ83" s="143"/>
      <c r="HOK83" s="143"/>
      <c r="HOL83" s="143"/>
      <c r="HOM83" s="143"/>
      <c r="HON83" s="143"/>
      <c r="HOO83" s="143"/>
      <c r="HOP83" s="143"/>
      <c r="HOQ83" s="143"/>
      <c r="HOR83" s="143"/>
      <c r="HOS83" s="143"/>
      <c r="HOT83" s="143"/>
      <c r="HOU83" s="143"/>
      <c r="HOV83" s="143"/>
      <c r="HOW83" s="143"/>
      <c r="HOX83" s="143"/>
      <c r="HOY83" s="143"/>
      <c r="HOZ83" s="143"/>
      <c r="HPA83" s="143"/>
      <c r="HPB83" s="143"/>
      <c r="HPC83" s="143"/>
      <c r="HPD83" s="143"/>
      <c r="HPE83" s="143"/>
      <c r="HPF83" s="143"/>
      <c r="HPG83" s="143"/>
      <c r="HPH83" s="143"/>
      <c r="HPI83" s="143"/>
      <c r="HPJ83" s="143"/>
      <c r="HPK83" s="143"/>
      <c r="HPL83" s="143"/>
      <c r="HPM83" s="143"/>
      <c r="HPN83" s="143"/>
      <c r="HPO83" s="143"/>
      <c r="HPP83" s="143"/>
      <c r="HPQ83" s="143"/>
      <c r="HPR83" s="143"/>
      <c r="HPS83" s="143"/>
      <c r="HPT83" s="143"/>
      <c r="HPU83" s="143"/>
      <c r="HPV83" s="143"/>
      <c r="HPW83" s="143"/>
      <c r="HPX83" s="143"/>
      <c r="HPY83" s="143"/>
      <c r="HPZ83" s="143"/>
      <c r="HQA83" s="143"/>
      <c r="HQB83" s="143"/>
      <c r="HQC83" s="143"/>
      <c r="HQD83" s="143"/>
      <c r="HQE83" s="143"/>
      <c r="HQF83" s="143"/>
      <c r="HQG83" s="143"/>
      <c r="HQH83" s="143"/>
      <c r="HQI83" s="143"/>
      <c r="HQJ83" s="143"/>
      <c r="HQK83" s="143"/>
      <c r="HQL83" s="143"/>
      <c r="HQM83" s="143"/>
      <c r="HQN83" s="143"/>
      <c r="HQO83" s="143"/>
      <c r="HQP83" s="143"/>
      <c r="HQQ83" s="143"/>
      <c r="HQR83" s="143"/>
      <c r="HQS83" s="143"/>
      <c r="HQT83" s="143"/>
      <c r="HQU83" s="143"/>
      <c r="HQV83" s="143"/>
      <c r="HQW83" s="143"/>
      <c r="HQX83" s="143"/>
      <c r="HQY83" s="143"/>
      <c r="HQZ83" s="143"/>
      <c r="HRA83" s="143"/>
      <c r="HRB83" s="143"/>
      <c r="HRC83" s="143"/>
      <c r="HRD83" s="143"/>
      <c r="HRE83" s="143"/>
      <c r="HRF83" s="143"/>
      <c r="HRG83" s="143"/>
      <c r="HRH83" s="143"/>
      <c r="HRI83" s="143"/>
      <c r="HRJ83" s="143"/>
      <c r="HRK83" s="143"/>
      <c r="HRL83" s="143"/>
      <c r="HRM83" s="143"/>
      <c r="HRN83" s="143"/>
      <c r="HRO83" s="143"/>
      <c r="HRP83" s="143"/>
      <c r="HRQ83" s="143"/>
      <c r="HRR83" s="143"/>
      <c r="HRS83" s="143"/>
      <c r="HRT83" s="143"/>
      <c r="HRU83" s="143"/>
      <c r="HRV83" s="143"/>
      <c r="HRW83" s="143"/>
      <c r="HRX83" s="143"/>
      <c r="HRY83" s="143"/>
      <c r="HRZ83" s="143"/>
      <c r="HSA83" s="143"/>
      <c r="HSB83" s="143"/>
      <c r="HSC83" s="143"/>
      <c r="HSD83" s="143"/>
      <c r="HSE83" s="143"/>
      <c r="HSF83" s="143"/>
      <c r="HSG83" s="143"/>
      <c r="HSH83" s="143"/>
      <c r="HSI83" s="143"/>
      <c r="HSJ83" s="143"/>
      <c r="HSK83" s="143"/>
      <c r="HSL83" s="143"/>
      <c r="HSM83" s="143"/>
      <c r="HSN83" s="143"/>
      <c r="HSO83" s="143"/>
      <c r="HSP83" s="143"/>
      <c r="HSQ83" s="143"/>
      <c r="HSR83" s="143"/>
      <c r="HSS83" s="143"/>
      <c r="HST83" s="143"/>
      <c r="HSU83" s="143"/>
      <c r="HSV83" s="143"/>
      <c r="HSW83" s="143"/>
      <c r="HSX83" s="143"/>
      <c r="HSY83" s="143"/>
      <c r="HSZ83" s="143"/>
      <c r="HTA83" s="143"/>
      <c r="HTB83" s="143"/>
      <c r="HTC83" s="143"/>
      <c r="HTD83" s="143"/>
      <c r="HTE83" s="143"/>
      <c r="HTF83" s="143"/>
      <c r="HTG83" s="143"/>
      <c r="HTH83" s="143"/>
      <c r="HTI83" s="143"/>
      <c r="HTJ83" s="143"/>
      <c r="HTK83" s="143"/>
      <c r="HTL83" s="143"/>
      <c r="HTM83" s="143"/>
      <c r="HTN83" s="143"/>
      <c r="HTO83" s="143"/>
      <c r="HTP83" s="143"/>
      <c r="HTQ83" s="143"/>
      <c r="HTR83" s="143"/>
      <c r="HTS83" s="143"/>
      <c r="HTT83" s="143"/>
      <c r="HTU83" s="143"/>
      <c r="HTV83" s="143"/>
      <c r="HTW83" s="143"/>
      <c r="HTX83" s="143"/>
      <c r="HTY83" s="143"/>
      <c r="HTZ83" s="143"/>
      <c r="HUA83" s="143"/>
      <c r="HUB83" s="143"/>
      <c r="HUC83" s="143"/>
      <c r="HUD83" s="143"/>
      <c r="HUE83" s="143"/>
      <c r="HUF83" s="143"/>
      <c r="HUG83" s="143"/>
      <c r="HUH83" s="143"/>
      <c r="HUI83" s="143"/>
      <c r="HUJ83" s="143"/>
      <c r="HUK83" s="143"/>
      <c r="HUL83" s="143"/>
      <c r="HUM83" s="143"/>
      <c r="HUN83" s="143"/>
      <c r="HUO83" s="143"/>
      <c r="HUP83" s="143"/>
      <c r="HUQ83" s="143"/>
      <c r="HUR83" s="143"/>
      <c r="HUS83" s="143"/>
      <c r="HUT83" s="143"/>
      <c r="HUU83" s="143"/>
      <c r="HUV83" s="143"/>
      <c r="HUW83" s="143"/>
      <c r="HUX83" s="143"/>
      <c r="HUY83" s="143"/>
      <c r="HUZ83" s="143"/>
      <c r="HVA83" s="143"/>
      <c r="HVB83" s="143"/>
      <c r="HVC83" s="143"/>
      <c r="HVD83" s="143"/>
      <c r="HVE83" s="143"/>
      <c r="HVF83" s="143"/>
      <c r="HVG83" s="143"/>
      <c r="HVH83" s="143"/>
      <c r="HVI83" s="143"/>
      <c r="HVJ83" s="143"/>
      <c r="HVK83" s="143"/>
      <c r="HVL83" s="143"/>
      <c r="HVM83" s="143"/>
      <c r="HVN83" s="143"/>
      <c r="HVO83" s="143"/>
      <c r="HVP83" s="143"/>
      <c r="HVQ83" s="143"/>
      <c r="HVR83" s="143"/>
      <c r="HVS83" s="143"/>
      <c r="HVT83" s="143"/>
      <c r="HVU83" s="143"/>
      <c r="HVV83" s="143"/>
      <c r="HVW83" s="143"/>
      <c r="HVX83" s="143"/>
      <c r="HVY83" s="143"/>
      <c r="HVZ83" s="143"/>
      <c r="HWA83" s="143"/>
      <c r="HWB83" s="143"/>
      <c r="HWC83" s="143"/>
      <c r="HWD83" s="143"/>
      <c r="HWE83" s="143"/>
      <c r="HWF83" s="143"/>
      <c r="HWG83" s="143"/>
      <c r="HWH83" s="143"/>
      <c r="HWI83" s="143"/>
      <c r="HWJ83" s="143"/>
      <c r="HWK83" s="143"/>
      <c r="HWL83" s="143"/>
      <c r="HWM83" s="143"/>
      <c r="HWN83" s="143"/>
      <c r="HWO83" s="143"/>
      <c r="HWP83" s="143"/>
      <c r="HWQ83" s="143"/>
      <c r="HWR83" s="143"/>
      <c r="HWS83" s="143"/>
      <c r="HWT83" s="143"/>
      <c r="HWU83" s="143"/>
      <c r="HWV83" s="143"/>
      <c r="HWW83" s="143"/>
      <c r="HWX83" s="143"/>
      <c r="HWY83" s="143"/>
      <c r="HWZ83" s="143"/>
      <c r="HXA83" s="143"/>
      <c r="HXB83" s="143"/>
      <c r="HXC83" s="143"/>
      <c r="HXD83" s="143"/>
      <c r="HXE83" s="143"/>
      <c r="HXF83" s="143"/>
      <c r="HXG83" s="143"/>
      <c r="HXH83" s="143"/>
      <c r="HXI83" s="143"/>
      <c r="HXJ83" s="143"/>
      <c r="HXK83" s="143"/>
      <c r="HXL83" s="143"/>
      <c r="HXM83" s="143"/>
      <c r="HXN83" s="143"/>
      <c r="HXO83" s="143"/>
      <c r="HXP83" s="143"/>
      <c r="HXQ83" s="143"/>
      <c r="HXR83" s="143"/>
      <c r="HXS83" s="143"/>
      <c r="HXT83" s="143"/>
      <c r="HXU83" s="143"/>
      <c r="HXV83" s="143"/>
      <c r="HXW83" s="143"/>
      <c r="HXX83" s="143"/>
      <c r="HXY83" s="143"/>
      <c r="HXZ83" s="143"/>
      <c r="HYA83" s="143"/>
      <c r="HYB83" s="143"/>
      <c r="HYC83" s="143"/>
      <c r="HYD83" s="143"/>
      <c r="HYE83" s="143"/>
      <c r="HYF83" s="143"/>
      <c r="HYG83" s="143"/>
      <c r="HYH83" s="143"/>
      <c r="HYI83" s="143"/>
      <c r="HYJ83" s="143"/>
      <c r="HYK83" s="143"/>
      <c r="HYL83" s="143"/>
      <c r="HYM83" s="143"/>
      <c r="HYN83" s="143"/>
      <c r="HYO83" s="143"/>
      <c r="HYP83" s="143"/>
      <c r="HYQ83" s="143"/>
      <c r="HYR83" s="143"/>
      <c r="HYS83" s="143"/>
      <c r="HYT83" s="143"/>
      <c r="HYU83" s="143"/>
      <c r="HYV83" s="143"/>
      <c r="HYW83" s="143"/>
      <c r="HYX83" s="143"/>
      <c r="HYY83" s="143"/>
      <c r="HYZ83" s="143"/>
      <c r="HZA83" s="143"/>
      <c r="HZB83" s="143"/>
      <c r="HZC83" s="143"/>
      <c r="HZD83" s="143"/>
      <c r="HZE83" s="143"/>
      <c r="HZF83" s="143"/>
      <c r="HZG83" s="143"/>
      <c r="HZH83" s="143"/>
      <c r="HZI83" s="143"/>
      <c r="HZJ83" s="143"/>
      <c r="HZK83" s="143"/>
      <c r="HZL83" s="143"/>
      <c r="HZM83" s="143"/>
      <c r="HZN83" s="143"/>
      <c r="HZO83" s="143"/>
      <c r="HZP83" s="143"/>
      <c r="HZQ83" s="143"/>
      <c r="HZR83" s="143"/>
      <c r="HZS83" s="143"/>
      <c r="HZT83" s="143"/>
      <c r="HZU83" s="143"/>
      <c r="HZV83" s="143"/>
      <c r="HZW83" s="143"/>
      <c r="HZX83" s="143"/>
      <c r="HZY83" s="143"/>
      <c r="HZZ83" s="143"/>
      <c r="IAA83" s="143"/>
      <c r="IAB83" s="143"/>
      <c r="IAC83" s="143"/>
      <c r="IAD83" s="143"/>
      <c r="IAE83" s="143"/>
      <c r="IAF83" s="143"/>
      <c r="IAG83" s="143"/>
      <c r="IAH83" s="143"/>
      <c r="IAI83" s="143"/>
      <c r="IAJ83" s="143"/>
      <c r="IAK83" s="143"/>
      <c r="IAL83" s="143"/>
      <c r="IAM83" s="143"/>
      <c r="IAN83" s="143"/>
      <c r="IAO83" s="143"/>
      <c r="IAP83" s="143"/>
      <c r="IAQ83" s="143"/>
      <c r="IAR83" s="143"/>
      <c r="IAS83" s="143"/>
      <c r="IAT83" s="143"/>
      <c r="IAU83" s="143"/>
      <c r="IAV83" s="143"/>
      <c r="IAW83" s="143"/>
      <c r="IAX83" s="143"/>
      <c r="IAY83" s="143"/>
      <c r="IAZ83" s="143"/>
      <c r="IBA83" s="143"/>
      <c r="IBB83" s="143"/>
      <c r="IBC83" s="143"/>
      <c r="IBD83" s="143"/>
      <c r="IBE83" s="143"/>
      <c r="IBF83" s="143"/>
      <c r="IBG83" s="143"/>
      <c r="IBH83" s="143"/>
      <c r="IBI83" s="143"/>
      <c r="IBJ83" s="143"/>
      <c r="IBK83" s="143"/>
      <c r="IBL83" s="143"/>
      <c r="IBM83" s="143"/>
      <c r="IBN83" s="143"/>
      <c r="IBO83" s="143"/>
      <c r="IBP83" s="143"/>
      <c r="IBQ83" s="143"/>
      <c r="IBR83" s="143"/>
      <c r="IBS83" s="143"/>
      <c r="IBT83" s="143"/>
      <c r="IBU83" s="143"/>
      <c r="IBV83" s="143"/>
      <c r="IBW83" s="143"/>
      <c r="IBX83" s="143"/>
      <c r="IBY83" s="143"/>
      <c r="IBZ83" s="143"/>
      <c r="ICA83" s="143"/>
      <c r="ICB83" s="143"/>
      <c r="ICC83" s="143"/>
      <c r="ICD83" s="143"/>
      <c r="ICE83" s="143"/>
      <c r="ICF83" s="143"/>
      <c r="ICG83" s="143"/>
      <c r="ICH83" s="143"/>
      <c r="ICI83" s="143"/>
      <c r="ICJ83" s="143"/>
      <c r="ICK83" s="143"/>
      <c r="ICL83" s="143"/>
      <c r="ICM83" s="143"/>
      <c r="ICN83" s="143"/>
      <c r="ICO83" s="143"/>
      <c r="ICP83" s="143"/>
      <c r="ICQ83" s="143"/>
      <c r="ICR83" s="143"/>
      <c r="ICS83" s="143"/>
      <c r="ICT83" s="143"/>
      <c r="ICU83" s="143"/>
      <c r="ICV83" s="143"/>
      <c r="ICW83" s="143"/>
      <c r="ICX83" s="143"/>
      <c r="ICY83" s="143"/>
      <c r="ICZ83" s="143"/>
      <c r="IDA83" s="143"/>
      <c r="IDB83" s="143"/>
      <c r="IDC83" s="143"/>
      <c r="IDD83" s="143"/>
      <c r="IDE83" s="143"/>
      <c r="IDF83" s="143"/>
      <c r="IDG83" s="143"/>
      <c r="IDH83" s="143"/>
      <c r="IDI83" s="143"/>
      <c r="IDJ83" s="143"/>
      <c r="IDK83" s="143"/>
      <c r="IDL83" s="143"/>
      <c r="IDM83" s="143"/>
      <c r="IDN83" s="143"/>
      <c r="IDO83" s="143"/>
      <c r="IDP83" s="143"/>
      <c r="IDQ83" s="143"/>
      <c r="IDR83" s="143"/>
      <c r="IDS83" s="143"/>
      <c r="IDT83" s="143"/>
      <c r="IDU83" s="143"/>
      <c r="IDV83" s="143"/>
      <c r="IDW83" s="143"/>
      <c r="IDX83" s="143"/>
      <c r="IDY83" s="143"/>
      <c r="IDZ83" s="143"/>
      <c r="IEA83" s="143"/>
      <c r="IEB83" s="143"/>
      <c r="IEC83" s="143"/>
      <c r="IED83" s="143"/>
      <c r="IEE83" s="143"/>
      <c r="IEF83" s="143"/>
      <c r="IEG83" s="143"/>
      <c r="IEH83" s="143"/>
      <c r="IEI83" s="143"/>
      <c r="IEJ83" s="143"/>
      <c r="IEK83" s="143"/>
      <c r="IEL83" s="143"/>
      <c r="IEM83" s="143"/>
      <c r="IEN83" s="143"/>
      <c r="IEO83" s="143"/>
      <c r="IEP83" s="143"/>
      <c r="IEQ83" s="143"/>
      <c r="IER83" s="143"/>
      <c r="IES83" s="143"/>
      <c r="IET83" s="143"/>
      <c r="IEU83" s="143"/>
      <c r="IEV83" s="143"/>
      <c r="IEW83" s="143"/>
      <c r="IEX83" s="143"/>
      <c r="IEY83" s="143"/>
      <c r="IEZ83" s="143"/>
      <c r="IFA83" s="143"/>
      <c r="IFB83" s="143"/>
      <c r="IFC83" s="143"/>
      <c r="IFD83" s="143"/>
      <c r="IFE83" s="143"/>
      <c r="IFF83" s="143"/>
      <c r="IFG83" s="143"/>
      <c r="IFH83" s="143"/>
      <c r="IFI83" s="143"/>
      <c r="IFJ83" s="143"/>
      <c r="IFK83" s="143"/>
      <c r="IFL83" s="143"/>
      <c r="IFM83" s="143"/>
      <c r="IFN83" s="143"/>
      <c r="IFO83" s="143"/>
      <c r="IFP83" s="143"/>
      <c r="IFQ83" s="143"/>
      <c r="IFR83" s="143"/>
      <c r="IFS83" s="143"/>
      <c r="IFT83" s="143"/>
      <c r="IFU83" s="143"/>
      <c r="IFV83" s="143"/>
      <c r="IFW83" s="143"/>
      <c r="IFX83" s="143"/>
      <c r="IFY83" s="143"/>
      <c r="IFZ83" s="143"/>
      <c r="IGA83" s="143"/>
      <c r="IGB83" s="143"/>
      <c r="IGC83" s="143"/>
      <c r="IGD83" s="143"/>
      <c r="IGE83" s="143"/>
      <c r="IGF83" s="143"/>
      <c r="IGG83" s="143"/>
      <c r="IGH83" s="143"/>
      <c r="IGI83" s="143"/>
      <c r="IGJ83" s="143"/>
      <c r="IGK83" s="143"/>
      <c r="IGL83" s="143"/>
      <c r="IGM83" s="143"/>
      <c r="IGN83" s="143"/>
      <c r="IGO83" s="143"/>
      <c r="IGP83" s="143"/>
      <c r="IGQ83" s="143"/>
      <c r="IGR83" s="143"/>
      <c r="IGS83" s="143"/>
      <c r="IGT83" s="143"/>
      <c r="IGU83" s="143"/>
      <c r="IGV83" s="143"/>
      <c r="IGW83" s="143"/>
      <c r="IGX83" s="143"/>
      <c r="IGY83" s="143"/>
      <c r="IGZ83" s="143"/>
      <c r="IHA83" s="143"/>
      <c r="IHB83" s="143"/>
      <c r="IHC83" s="143"/>
      <c r="IHD83" s="143"/>
      <c r="IHE83" s="143"/>
      <c r="IHF83" s="143"/>
      <c r="IHG83" s="143"/>
      <c r="IHH83" s="143"/>
      <c r="IHI83" s="143"/>
      <c r="IHJ83" s="143"/>
      <c r="IHK83" s="143"/>
      <c r="IHL83" s="143"/>
      <c r="IHM83" s="143"/>
      <c r="IHN83" s="143"/>
      <c r="IHO83" s="143"/>
      <c r="IHP83" s="143"/>
      <c r="IHQ83" s="143"/>
      <c r="IHR83" s="143"/>
      <c r="IHS83" s="143"/>
      <c r="IHT83" s="143"/>
      <c r="IHU83" s="143"/>
      <c r="IHV83" s="143"/>
      <c r="IHW83" s="143"/>
      <c r="IHX83" s="143"/>
      <c r="IHY83" s="143"/>
      <c r="IHZ83" s="143"/>
      <c r="IIA83" s="143"/>
      <c r="IIB83" s="143"/>
      <c r="IIC83" s="143"/>
      <c r="IID83" s="143"/>
      <c r="IIE83" s="143"/>
      <c r="IIF83" s="143"/>
      <c r="IIG83" s="143"/>
      <c r="IIH83" s="143"/>
      <c r="III83" s="143"/>
      <c r="IIJ83" s="143"/>
      <c r="IIK83" s="143"/>
      <c r="IIL83" s="143"/>
      <c r="IIM83" s="143"/>
      <c r="IIN83" s="143"/>
      <c r="IIO83" s="143"/>
      <c r="IIP83" s="143"/>
      <c r="IIQ83" s="143"/>
      <c r="IIR83" s="143"/>
      <c r="IIS83" s="143"/>
      <c r="IIT83" s="143"/>
      <c r="IIU83" s="143"/>
      <c r="IIV83" s="143"/>
      <c r="IIW83" s="143"/>
      <c r="IIX83" s="143"/>
      <c r="IIY83" s="143"/>
      <c r="IIZ83" s="143"/>
      <c r="IJA83" s="143"/>
      <c r="IJB83" s="143"/>
      <c r="IJC83" s="143"/>
      <c r="IJD83" s="143"/>
      <c r="IJE83" s="143"/>
      <c r="IJF83" s="143"/>
      <c r="IJG83" s="143"/>
      <c r="IJH83" s="143"/>
      <c r="IJI83" s="143"/>
      <c r="IJJ83" s="143"/>
      <c r="IJK83" s="143"/>
      <c r="IJL83" s="143"/>
      <c r="IJM83" s="143"/>
      <c r="IJN83" s="143"/>
      <c r="IJO83" s="143"/>
      <c r="IJP83" s="143"/>
      <c r="IJQ83" s="143"/>
      <c r="IJR83" s="143"/>
      <c r="IJS83" s="143"/>
      <c r="IJT83" s="143"/>
      <c r="IJU83" s="143"/>
      <c r="IJV83" s="143"/>
      <c r="IJW83" s="143"/>
      <c r="IJX83" s="143"/>
      <c r="IJY83" s="143"/>
      <c r="IJZ83" s="143"/>
      <c r="IKA83" s="143"/>
      <c r="IKB83" s="143"/>
      <c r="IKC83" s="143"/>
      <c r="IKD83" s="143"/>
      <c r="IKE83" s="143"/>
      <c r="IKF83" s="143"/>
      <c r="IKG83" s="143"/>
      <c r="IKH83" s="143"/>
      <c r="IKI83" s="143"/>
      <c r="IKJ83" s="143"/>
      <c r="IKK83" s="143"/>
      <c r="IKL83" s="143"/>
      <c r="IKM83" s="143"/>
      <c r="IKN83" s="143"/>
      <c r="IKO83" s="143"/>
      <c r="IKP83" s="143"/>
      <c r="IKQ83" s="143"/>
      <c r="IKR83" s="143"/>
      <c r="IKS83" s="143"/>
      <c r="IKT83" s="143"/>
      <c r="IKU83" s="143"/>
      <c r="IKV83" s="143"/>
      <c r="IKW83" s="143"/>
      <c r="IKX83" s="143"/>
      <c r="IKY83" s="143"/>
      <c r="IKZ83" s="143"/>
      <c r="ILA83" s="143"/>
      <c r="ILB83" s="143"/>
      <c r="ILC83" s="143"/>
      <c r="ILD83" s="143"/>
      <c r="ILE83" s="143"/>
      <c r="ILF83" s="143"/>
      <c r="ILG83" s="143"/>
      <c r="ILH83" s="143"/>
      <c r="ILI83" s="143"/>
      <c r="ILJ83" s="143"/>
      <c r="ILK83" s="143"/>
      <c r="ILL83" s="143"/>
      <c r="ILM83" s="143"/>
      <c r="ILN83" s="143"/>
      <c r="ILO83" s="143"/>
      <c r="ILP83" s="143"/>
      <c r="ILQ83" s="143"/>
      <c r="ILR83" s="143"/>
      <c r="ILS83" s="143"/>
      <c r="ILT83" s="143"/>
      <c r="ILU83" s="143"/>
      <c r="ILV83" s="143"/>
      <c r="ILW83" s="143"/>
      <c r="ILX83" s="143"/>
      <c r="ILY83" s="143"/>
      <c r="ILZ83" s="143"/>
      <c r="IMA83" s="143"/>
      <c r="IMB83" s="143"/>
      <c r="IMC83" s="143"/>
      <c r="IMD83" s="143"/>
      <c r="IME83" s="143"/>
      <c r="IMF83" s="143"/>
      <c r="IMG83" s="143"/>
      <c r="IMH83" s="143"/>
      <c r="IMI83" s="143"/>
      <c r="IMJ83" s="143"/>
      <c r="IMK83" s="143"/>
      <c r="IML83" s="143"/>
      <c r="IMM83" s="143"/>
      <c r="IMN83" s="143"/>
      <c r="IMO83" s="143"/>
      <c r="IMP83" s="143"/>
      <c r="IMQ83" s="143"/>
      <c r="IMR83" s="143"/>
      <c r="IMS83" s="143"/>
      <c r="IMT83" s="143"/>
      <c r="IMU83" s="143"/>
      <c r="IMV83" s="143"/>
      <c r="IMW83" s="143"/>
      <c r="IMX83" s="143"/>
      <c r="IMY83" s="143"/>
      <c r="IMZ83" s="143"/>
      <c r="INA83" s="143"/>
      <c r="INB83" s="143"/>
      <c r="INC83" s="143"/>
      <c r="IND83" s="143"/>
      <c r="INE83" s="143"/>
      <c r="INF83" s="143"/>
      <c r="ING83" s="143"/>
      <c r="INH83" s="143"/>
      <c r="INI83" s="143"/>
      <c r="INJ83" s="143"/>
      <c r="INK83" s="143"/>
      <c r="INL83" s="143"/>
      <c r="INM83" s="143"/>
      <c r="INN83" s="143"/>
      <c r="INO83" s="143"/>
      <c r="INP83" s="143"/>
      <c r="INQ83" s="143"/>
      <c r="INR83" s="143"/>
      <c r="INS83" s="143"/>
      <c r="INT83" s="143"/>
      <c r="INU83" s="143"/>
      <c r="INV83" s="143"/>
      <c r="INW83" s="143"/>
      <c r="INX83" s="143"/>
      <c r="INY83" s="143"/>
      <c r="INZ83" s="143"/>
      <c r="IOA83" s="143"/>
      <c r="IOB83" s="143"/>
      <c r="IOC83" s="143"/>
      <c r="IOD83" s="143"/>
      <c r="IOE83" s="143"/>
      <c r="IOF83" s="143"/>
      <c r="IOG83" s="143"/>
      <c r="IOH83" s="143"/>
      <c r="IOI83" s="143"/>
      <c r="IOJ83" s="143"/>
      <c r="IOK83" s="143"/>
      <c r="IOL83" s="143"/>
      <c r="IOM83" s="143"/>
      <c r="ION83" s="143"/>
      <c r="IOO83" s="143"/>
      <c r="IOP83" s="143"/>
      <c r="IOQ83" s="143"/>
      <c r="IOR83" s="143"/>
      <c r="IOS83" s="143"/>
      <c r="IOT83" s="143"/>
      <c r="IOU83" s="143"/>
      <c r="IOV83" s="143"/>
      <c r="IOW83" s="143"/>
      <c r="IOX83" s="143"/>
      <c r="IOY83" s="143"/>
      <c r="IOZ83" s="143"/>
      <c r="IPA83" s="143"/>
      <c r="IPB83" s="143"/>
      <c r="IPC83" s="143"/>
      <c r="IPD83" s="143"/>
      <c r="IPE83" s="143"/>
      <c r="IPF83" s="143"/>
      <c r="IPG83" s="143"/>
      <c r="IPH83" s="143"/>
      <c r="IPI83" s="143"/>
      <c r="IPJ83" s="143"/>
      <c r="IPK83" s="143"/>
      <c r="IPL83" s="143"/>
      <c r="IPM83" s="143"/>
      <c r="IPN83" s="143"/>
      <c r="IPO83" s="143"/>
      <c r="IPP83" s="143"/>
      <c r="IPQ83" s="143"/>
      <c r="IPR83" s="143"/>
      <c r="IPS83" s="143"/>
      <c r="IPT83" s="143"/>
      <c r="IPU83" s="143"/>
      <c r="IPV83" s="143"/>
      <c r="IPW83" s="143"/>
      <c r="IPX83" s="143"/>
      <c r="IPY83" s="143"/>
      <c r="IPZ83" s="143"/>
      <c r="IQA83" s="143"/>
      <c r="IQB83" s="143"/>
      <c r="IQC83" s="143"/>
      <c r="IQD83" s="143"/>
      <c r="IQE83" s="143"/>
      <c r="IQF83" s="143"/>
      <c r="IQG83" s="143"/>
      <c r="IQH83" s="143"/>
      <c r="IQI83" s="143"/>
      <c r="IQJ83" s="143"/>
      <c r="IQK83" s="143"/>
      <c r="IQL83" s="143"/>
      <c r="IQM83" s="143"/>
      <c r="IQN83" s="143"/>
      <c r="IQO83" s="143"/>
      <c r="IQP83" s="143"/>
      <c r="IQQ83" s="143"/>
      <c r="IQR83" s="143"/>
      <c r="IQS83" s="143"/>
      <c r="IQT83" s="143"/>
      <c r="IQU83" s="143"/>
      <c r="IQV83" s="143"/>
      <c r="IQW83" s="143"/>
      <c r="IQX83" s="143"/>
      <c r="IQY83" s="143"/>
      <c r="IQZ83" s="143"/>
      <c r="IRA83" s="143"/>
      <c r="IRB83" s="143"/>
      <c r="IRC83" s="143"/>
      <c r="IRD83" s="143"/>
      <c r="IRE83" s="143"/>
      <c r="IRF83" s="143"/>
      <c r="IRG83" s="143"/>
      <c r="IRH83" s="143"/>
      <c r="IRI83" s="143"/>
      <c r="IRJ83" s="143"/>
      <c r="IRK83" s="143"/>
      <c r="IRL83" s="143"/>
      <c r="IRM83" s="143"/>
      <c r="IRN83" s="143"/>
      <c r="IRO83" s="143"/>
      <c r="IRP83" s="143"/>
      <c r="IRQ83" s="143"/>
      <c r="IRR83" s="143"/>
      <c r="IRS83" s="143"/>
      <c r="IRT83" s="143"/>
      <c r="IRU83" s="143"/>
      <c r="IRV83" s="143"/>
      <c r="IRW83" s="143"/>
      <c r="IRX83" s="143"/>
      <c r="IRY83" s="143"/>
      <c r="IRZ83" s="143"/>
      <c r="ISA83" s="143"/>
      <c r="ISB83" s="143"/>
      <c r="ISC83" s="143"/>
      <c r="ISD83" s="143"/>
      <c r="ISE83" s="143"/>
      <c r="ISF83" s="143"/>
      <c r="ISG83" s="143"/>
      <c r="ISH83" s="143"/>
      <c r="ISI83" s="143"/>
      <c r="ISJ83" s="143"/>
      <c r="ISK83" s="143"/>
      <c r="ISL83" s="143"/>
      <c r="ISM83" s="143"/>
      <c r="ISN83" s="143"/>
      <c r="ISO83" s="143"/>
      <c r="ISP83" s="143"/>
      <c r="ISQ83" s="143"/>
      <c r="ISR83" s="143"/>
      <c r="ISS83" s="143"/>
      <c r="IST83" s="143"/>
      <c r="ISU83" s="143"/>
      <c r="ISV83" s="143"/>
      <c r="ISW83" s="143"/>
      <c r="ISX83" s="143"/>
      <c r="ISY83" s="143"/>
      <c r="ISZ83" s="143"/>
      <c r="ITA83" s="143"/>
      <c r="ITB83" s="143"/>
      <c r="ITC83" s="143"/>
      <c r="ITD83" s="143"/>
      <c r="ITE83" s="143"/>
      <c r="ITF83" s="143"/>
      <c r="ITG83" s="143"/>
      <c r="ITH83" s="143"/>
      <c r="ITI83" s="143"/>
      <c r="ITJ83" s="143"/>
      <c r="ITK83" s="143"/>
      <c r="ITL83" s="143"/>
      <c r="ITM83" s="143"/>
      <c r="ITN83" s="143"/>
      <c r="ITO83" s="143"/>
      <c r="ITP83" s="143"/>
      <c r="ITQ83" s="143"/>
      <c r="ITR83" s="143"/>
      <c r="ITS83" s="143"/>
      <c r="ITT83" s="143"/>
      <c r="ITU83" s="143"/>
      <c r="ITV83" s="143"/>
      <c r="ITW83" s="143"/>
      <c r="ITX83" s="143"/>
      <c r="ITY83" s="143"/>
      <c r="ITZ83" s="143"/>
      <c r="IUA83" s="143"/>
      <c r="IUB83" s="143"/>
      <c r="IUC83" s="143"/>
      <c r="IUD83" s="143"/>
      <c r="IUE83" s="143"/>
      <c r="IUF83" s="143"/>
      <c r="IUG83" s="143"/>
      <c r="IUH83" s="143"/>
      <c r="IUI83" s="143"/>
      <c r="IUJ83" s="143"/>
      <c r="IUK83" s="143"/>
      <c r="IUL83" s="143"/>
      <c r="IUM83" s="143"/>
      <c r="IUN83" s="143"/>
      <c r="IUO83" s="143"/>
      <c r="IUP83" s="143"/>
      <c r="IUQ83" s="143"/>
      <c r="IUR83" s="143"/>
      <c r="IUS83" s="143"/>
      <c r="IUT83" s="143"/>
      <c r="IUU83" s="143"/>
      <c r="IUV83" s="143"/>
      <c r="IUW83" s="143"/>
      <c r="IUX83" s="143"/>
      <c r="IUY83" s="143"/>
      <c r="IUZ83" s="143"/>
      <c r="IVA83" s="143"/>
      <c r="IVB83" s="143"/>
      <c r="IVC83" s="143"/>
      <c r="IVD83" s="143"/>
      <c r="IVE83" s="143"/>
      <c r="IVF83" s="143"/>
      <c r="IVG83" s="143"/>
      <c r="IVH83" s="143"/>
      <c r="IVI83" s="143"/>
      <c r="IVJ83" s="143"/>
      <c r="IVK83" s="143"/>
      <c r="IVL83" s="143"/>
      <c r="IVM83" s="143"/>
      <c r="IVN83" s="143"/>
      <c r="IVO83" s="143"/>
      <c r="IVP83" s="143"/>
      <c r="IVQ83" s="143"/>
      <c r="IVR83" s="143"/>
      <c r="IVS83" s="143"/>
      <c r="IVT83" s="143"/>
      <c r="IVU83" s="143"/>
      <c r="IVV83" s="143"/>
      <c r="IVW83" s="143"/>
      <c r="IVX83" s="143"/>
      <c r="IVY83" s="143"/>
      <c r="IVZ83" s="143"/>
      <c r="IWA83" s="143"/>
      <c r="IWB83" s="143"/>
      <c r="IWC83" s="143"/>
      <c r="IWD83" s="143"/>
      <c r="IWE83" s="143"/>
      <c r="IWF83" s="143"/>
      <c r="IWG83" s="143"/>
      <c r="IWH83" s="143"/>
      <c r="IWI83" s="143"/>
      <c r="IWJ83" s="143"/>
      <c r="IWK83" s="143"/>
      <c r="IWL83" s="143"/>
      <c r="IWM83" s="143"/>
      <c r="IWN83" s="143"/>
      <c r="IWO83" s="143"/>
      <c r="IWP83" s="143"/>
      <c r="IWQ83" s="143"/>
      <c r="IWR83" s="143"/>
      <c r="IWS83" s="143"/>
      <c r="IWT83" s="143"/>
      <c r="IWU83" s="143"/>
      <c r="IWV83" s="143"/>
      <c r="IWW83" s="143"/>
      <c r="IWX83" s="143"/>
      <c r="IWY83" s="143"/>
      <c r="IWZ83" s="143"/>
      <c r="IXA83" s="143"/>
      <c r="IXB83" s="143"/>
      <c r="IXC83" s="143"/>
      <c r="IXD83" s="143"/>
      <c r="IXE83" s="143"/>
      <c r="IXF83" s="143"/>
      <c r="IXG83" s="143"/>
      <c r="IXH83" s="143"/>
      <c r="IXI83" s="143"/>
      <c r="IXJ83" s="143"/>
      <c r="IXK83" s="143"/>
      <c r="IXL83" s="143"/>
      <c r="IXM83" s="143"/>
      <c r="IXN83" s="143"/>
      <c r="IXO83" s="143"/>
      <c r="IXP83" s="143"/>
      <c r="IXQ83" s="143"/>
      <c r="IXR83" s="143"/>
      <c r="IXS83" s="143"/>
      <c r="IXT83" s="143"/>
      <c r="IXU83" s="143"/>
      <c r="IXV83" s="143"/>
      <c r="IXW83" s="143"/>
      <c r="IXX83" s="143"/>
      <c r="IXY83" s="143"/>
      <c r="IXZ83" s="143"/>
      <c r="IYA83" s="143"/>
      <c r="IYB83" s="143"/>
      <c r="IYC83" s="143"/>
      <c r="IYD83" s="143"/>
      <c r="IYE83" s="143"/>
      <c r="IYF83" s="143"/>
      <c r="IYG83" s="143"/>
      <c r="IYH83" s="143"/>
      <c r="IYI83" s="143"/>
      <c r="IYJ83" s="143"/>
      <c r="IYK83" s="143"/>
      <c r="IYL83" s="143"/>
      <c r="IYM83" s="143"/>
      <c r="IYN83" s="143"/>
      <c r="IYO83" s="143"/>
      <c r="IYP83" s="143"/>
      <c r="IYQ83" s="143"/>
      <c r="IYR83" s="143"/>
      <c r="IYS83" s="143"/>
      <c r="IYT83" s="143"/>
      <c r="IYU83" s="143"/>
      <c r="IYV83" s="143"/>
      <c r="IYW83" s="143"/>
      <c r="IYX83" s="143"/>
      <c r="IYY83" s="143"/>
      <c r="IYZ83" s="143"/>
      <c r="IZA83" s="143"/>
      <c r="IZB83" s="143"/>
      <c r="IZC83" s="143"/>
      <c r="IZD83" s="143"/>
      <c r="IZE83" s="143"/>
      <c r="IZF83" s="143"/>
      <c r="IZG83" s="143"/>
      <c r="IZH83" s="143"/>
      <c r="IZI83" s="143"/>
      <c r="IZJ83" s="143"/>
      <c r="IZK83" s="143"/>
      <c r="IZL83" s="143"/>
      <c r="IZM83" s="143"/>
      <c r="IZN83" s="143"/>
      <c r="IZO83" s="143"/>
      <c r="IZP83" s="143"/>
      <c r="IZQ83" s="143"/>
      <c r="IZR83" s="143"/>
      <c r="IZS83" s="143"/>
      <c r="IZT83" s="143"/>
      <c r="IZU83" s="143"/>
      <c r="IZV83" s="143"/>
      <c r="IZW83" s="143"/>
      <c r="IZX83" s="143"/>
      <c r="IZY83" s="143"/>
      <c r="IZZ83" s="143"/>
      <c r="JAA83" s="143"/>
      <c r="JAB83" s="143"/>
      <c r="JAC83" s="143"/>
      <c r="JAD83" s="143"/>
      <c r="JAE83" s="143"/>
      <c r="JAF83" s="143"/>
      <c r="JAG83" s="143"/>
      <c r="JAH83" s="143"/>
      <c r="JAI83" s="143"/>
      <c r="JAJ83" s="143"/>
      <c r="JAK83" s="143"/>
      <c r="JAL83" s="143"/>
      <c r="JAM83" s="143"/>
      <c r="JAN83" s="143"/>
      <c r="JAO83" s="143"/>
      <c r="JAP83" s="143"/>
      <c r="JAQ83" s="143"/>
      <c r="JAR83" s="143"/>
      <c r="JAS83" s="143"/>
      <c r="JAT83" s="143"/>
      <c r="JAU83" s="143"/>
      <c r="JAV83" s="143"/>
      <c r="JAW83" s="143"/>
      <c r="JAX83" s="143"/>
      <c r="JAY83" s="143"/>
      <c r="JAZ83" s="143"/>
      <c r="JBA83" s="143"/>
      <c r="JBB83" s="143"/>
      <c r="JBC83" s="143"/>
      <c r="JBD83" s="143"/>
      <c r="JBE83" s="143"/>
      <c r="JBF83" s="143"/>
      <c r="JBG83" s="143"/>
      <c r="JBH83" s="143"/>
      <c r="JBI83" s="143"/>
      <c r="JBJ83" s="143"/>
      <c r="JBK83" s="143"/>
      <c r="JBL83" s="143"/>
      <c r="JBM83" s="143"/>
      <c r="JBN83" s="143"/>
      <c r="JBO83" s="143"/>
      <c r="JBP83" s="143"/>
      <c r="JBQ83" s="143"/>
      <c r="JBR83" s="143"/>
      <c r="JBS83" s="143"/>
      <c r="JBT83" s="143"/>
      <c r="JBU83" s="143"/>
      <c r="JBV83" s="143"/>
      <c r="JBW83" s="143"/>
      <c r="JBX83" s="143"/>
      <c r="JBY83" s="143"/>
      <c r="JBZ83" s="143"/>
      <c r="JCA83" s="143"/>
      <c r="JCB83" s="143"/>
      <c r="JCC83" s="143"/>
      <c r="JCD83" s="143"/>
      <c r="JCE83" s="143"/>
      <c r="JCF83" s="143"/>
      <c r="JCG83" s="143"/>
      <c r="JCH83" s="143"/>
      <c r="JCI83" s="143"/>
      <c r="JCJ83" s="143"/>
      <c r="JCK83" s="143"/>
      <c r="JCL83" s="143"/>
      <c r="JCM83" s="143"/>
      <c r="JCN83" s="143"/>
      <c r="JCO83" s="143"/>
      <c r="JCP83" s="143"/>
      <c r="JCQ83" s="143"/>
      <c r="JCR83" s="143"/>
      <c r="JCS83" s="143"/>
      <c r="JCT83" s="143"/>
      <c r="JCU83" s="143"/>
      <c r="JCV83" s="143"/>
      <c r="JCW83" s="143"/>
      <c r="JCX83" s="143"/>
      <c r="JCY83" s="143"/>
      <c r="JCZ83" s="143"/>
      <c r="JDA83" s="143"/>
      <c r="JDB83" s="143"/>
      <c r="JDC83" s="143"/>
      <c r="JDD83" s="143"/>
      <c r="JDE83" s="143"/>
      <c r="JDF83" s="143"/>
      <c r="JDG83" s="143"/>
      <c r="JDH83" s="143"/>
      <c r="JDI83" s="143"/>
      <c r="JDJ83" s="143"/>
      <c r="JDK83" s="143"/>
      <c r="JDL83" s="143"/>
      <c r="JDM83" s="143"/>
      <c r="JDN83" s="143"/>
      <c r="JDO83" s="143"/>
      <c r="JDP83" s="143"/>
      <c r="JDQ83" s="143"/>
      <c r="JDR83" s="143"/>
      <c r="JDS83" s="143"/>
      <c r="JDT83" s="143"/>
      <c r="JDU83" s="143"/>
      <c r="JDV83" s="143"/>
      <c r="JDW83" s="143"/>
      <c r="JDX83" s="143"/>
      <c r="JDY83" s="143"/>
      <c r="JDZ83" s="143"/>
      <c r="JEA83" s="143"/>
      <c r="JEB83" s="143"/>
      <c r="JEC83" s="143"/>
      <c r="JED83" s="143"/>
      <c r="JEE83" s="143"/>
      <c r="JEF83" s="143"/>
      <c r="JEG83" s="143"/>
      <c r="JEH83" s="143"/>
      <c r="JEI83" s="143"/>
      <c r="JEJ83" s="143"/>
      <c r="JEK83" s="143"/>
      <c r="JEL83" s="143"/>
      <c r="JEM83" s="143"/>
      <c r="JEN83" s="143"/>
      <c r="JEO83" s="143"/>
      <c r="JEP83" s="143"/>
      <c r="JEQ83" s="143"/>
      <c r="JER83" s="143"/>
      <c r="JES83" s="143"/>
      <c r="JET83" s="143"/>
      <c r="JEU83" s="143"/>
      <c r="JEV83" s="143"/>
      <c r="JEW83" s="143"/>
      <c r="JEX83" s="143"/>
      <c r="JEY83" s="143"/>
      <c r="JEZ83" s="143"/>
      <c r="JFA83" s="143"/>
      <c r="JFB83" s="143"/>
      <c r="JFC83" s="143"/>
      <c r="JFD83" s="143"/>
      <c r="JFE83" s="143"/>
      <c r="JFF83" s="143"/>
      <c r="JFG83" s="143"/>
      <c r="JFH83" s="143"/>
      <c r="JFI83" s="143"/>
      <c r="JFJ83" s="143"/>
      <c r="JFK83" s="143"/>
      <c r="JFL83" s="143"/>
      <c r="JFM83" s="143"/>
      <c r="JFN83" s="143"/>
      <c r="JFO83" s="143"/>
      <c r="JFP83" s="143"/>
      <c r="JFQ83" s="143"/>
      <c r="JFR83" s="143"/>
      <c r="JFS83" s="143"/>
      <c r="JFT83" s="143"/>
      <c r="JFU83" s="143"/>
      <c r="JFV83" s="143"/>
      <c r="JFW83" s="143"/>
      <c r="JFX83" s="143"/>
      <c r="JFY83" s="143"/>
      <c r="JFZ83" s="143"/>
      <c r="JGA83" s="143"/>
      <c r="JGB83" s="143"/>
      <c r="JGC83" s="143"/>
      <c r="JGD83" s="143"/>
      <c r="JGE83" s="143"/>
      <c r="JGF83" s="143"/>
      <c r="JGG83" s="143"/>
      <c r="JGH83" s="143"/>
      <c r="JGI83" s="143"/>
      <c r="JGJ83" s="143"/>
      <c r="JGK83" s="143"/>
      <c r="JGL83" s="143"/>
      <c r="JGM83" s="143"/>
      <c r="JGN83" s="143"/>
      <c r="JGO83" s="143"/>
      <c r="JGP83" s="143"/>
      <c r="JGQ83" s="143"/>
      <c r="JGR83" s="143"/>
      <c r="JGS83" s="143"/>
      <c r="JGT83" s="143"/>
      <c r="JGU83" s="143"/>
      <c r="JGV83" s="143"/>
      <c r="JGW83" s="143"/>
      <c r="JGX83" s="143"/>
      <c r="JGY83" s="143"/>
      <c r="JGZ83" s="143"/>
      <c r="JHA83" s="143"/>
      <c r="JHB83" s="143"/>
      <c r="JHC83" s="143"/>
      <c r="JHD83" s="143"/>
      <c r="JHE83" s="143"/>
      <c r="JHF83" s="143"/>
      <c r="JHG83" s="143"/>
      <c r="JHH83" s="143"/>
      <c r="JHI83" s="143"/>
      <c r="JHJ83" s="143"/>
      <c r="JHK83" s="143"/>
      <c r="JHL83" s="143"/>
      <c r="JHM83" s="143"/>
      <c r="JHN83" s="143"/>
      <c r="JHO83" s="143"/>
      <c r="JHP83" s="143"/>
      <c r="JHQ83" s="143"/>
      <c r="JHR83" s="143"/>
      <c r="JHS83" s="143"/>
      <c r="JHT83" s="143"/>
      <c r="JHU83" s="143"/>
      <c r="JHV83" s="143"/>
      <c r="JHW83" s="143"/>
      <c r="JHX83" s="143"/>
      <c r="JHY83" s="143"/>
      <c r="JHZ83" s="143"/>
      <c r="JIA83" s="143"/>
      <c r="JIB83" s="143"/>
      <c r="JIC83" s="143"/>
      <c r="JID83" s="143"/>
      <c r="JIE83" s="143"/>
      <c r="JIF83" s="143"/>
      <c r="JIG83" s="143"/>
      <c r="JIH83" s="143"/>
      <c r="JII83" s="143"/>
      <c r="JIJ83" s="143"/>
      <c r="JIK83" s="143"/>
      <c r="JIL83" s="143"/>
      <c r="JIM83" s="143"/>
      <c r="JIN83" s="143"/>
      <c r="JIO83" s="143"/>
      <c r="JIP83" s="143"/>
      <c r="JIQ83" s="143"/>
      <c r="JIR83" s="143"/>
      <c r="JIS83" s="143"/>
      <c r="JIT83" s="143"/>
      <c r="JIU83" s="143"/>
      <c r="JIV83" s="143"/>
      <c r="JIW83" s="143"/>
      <c r="JIX83" s="143"/>
      <c r="JIY83" s="143"/>
      <c r="JIZ83" s="143"/>
      <c r="JJA83" s="143"/>
      <c r="JJB83" s="143"/>
      <c r="JJC83" s="143"/>
      <c r="JJD83" s="143"/>
      <c r="JJE83" s="143"/>
      <c r="JJF83" s="143"/>
      <c r="JJG83" s="143"/>
      <c r="JJH83" s="143"/>
      <c r="JJI83" s="143"/>
      <c r="JJJ83" s="143"/>
      <c r="JJK83" s="143"/>
      <c r="JJL83" s="143"/>
      <c r="JJM83" s="143"/>
      <c r="JJN83" s="143"/>
      <c r="JJO83" s="143"/>
      <c r="JJP83" s="143"/>
      <c r="JJQ83" s="143"/>
      <c r="JJR83" s="143"/>
      <c r="JJS83" s="143"/>
      <c r="JJT83" s="143"/>
      <c r="JJU83" s="143"/>
      <c r="JJV83" s="143"/>
      <c r="JJW83" s="143"/>
      <c r="JJX83" s="143"/>
      <c r="JJY83" s="143"/>
      <c r="JJZ83" s="143"/>
      <c r="JKA83" s="143"/>
      <c r="JKB83" s="143"/>
      <c r="JKC83" s="143"/>
      <c r="JKD83" s="143"/>
      <c r="JKE83" s="143"/>
      <c r="JKF83" s="143"/>
      <c r="JKG83" s="143"/>
      <c r="JKH83" s="143"/>
      <c r="JKI83" s="143"/>
      <c r="JKJ83" s="143"/>
      <c r="JKK83" s="143"/>
      <c r="JKL83" s="143"/>
      <c r="JKM83" s="143"/>
      <c r="JKN83" s="143"/>
      <c r="JKO83" s="143"/>
      <c r="JKP83" s="143"/>
      <c r="JKQ83" s="143"/>
      <c r="JKR83" s="143"/>
      <c r="JKS83" s="143"/>
      <c r="JKT83" s="143"/>
      <c r="JKU83" s="143"/>
      <c r="JKV83" s="143"/>
      <c r="JKW83" s="143"/>
      <c r="JKX83" s="143"/>
      <c r="JKY83" s="143"/>
      <c r="JKZ83" s="143"/>
      <c r="JLA83" s="143"/>
      <c r="JLB83" s="143"/>
      <c r="JLC83" s="143"/>
      <c r="JLD83" s="143"/>
      <c r="JLE83" s="143"/>
      <c r="JLF83" s="143"/>
      <c r="JLG83" s="143"/>
      <c r="JLH83" s="143"/>
      <c r="JLI83" s="143"/>
      <c r="JLJ83" s="143"/>
      <c r="JLK83" s="143"/>
      <c r="JLL83" s="143"/>
      <c r="JLM83" s="143"/>
      <c r="JLN83" s="143"/>
      <c r="JLO83" s="143"/>
      <c r="JLP83" s="143"/>
      <c r="JLQ83" s="143"/>
      <c r="JLR83" s="143"/>
      <c r="JLS83" s="143"/>
      <c r="JLT83" s="143"/>
      <c r="JLU83" s="143"/>
      <c r="JLV83" s="143"/>
      <c r="JLW83" s="143"/>
      <c r="JLX83" s="143"/>
      <c r="JLY83" s="143"/>
      <c r="JLZ83" s="143"/>
      <c r="JMA83" s="143"/>
      <c r="JMB83" s="143"/>
      <c r="JMC83" s="143"/>
      <c r="JMD83" s="143"/>
      <c r="JME83" s="143"/>
      <c r="JMF83" s="143"/>
      <c r="JMG83" s="143"/>
      <c r="JMH83" s="143"/>
      <c r="JMI83" s="143"/>
      <c r="JMJ83" s="143"/>
      <c r="JMK83" s="143"/>
      <c r="JML83" s="143"/>
      <c r="JMM83" s="143"/>
      <c r="JMN83" s="143"/>
      <c r="JMO83" s="143"/>
      <c r="JMP83" s="143"/>
      <c r="JMQ83" s="143"/>
      <c r="JMR83" s="143"/>
      <c r="JMS83" s="143"/>
      <c r="JMT83" s="143"/>
      <c r="JMU83" s="143"/>
      <c r="JMV83" s="143"/>
      <c r="JMW83" s="143"/>
      <c r="JMX83" s="143"/>
      <c r="JMY83" s="143"/>
      <c r="JMZ83" s="143"/>
      <c r="JNA83" s="143"/>
      <c r="JNB83" s="143"/>
      <c r="JNC83" s="143"/>
      <c r="JND83" s="143"/>
      <c r="JNE83" s="143"/>
      <c r="JNF83" s="143"/>
      <c r="JNG83" s="143"/>
      <c r="JNH83" s="143"/>
      <c r="JNI83" s="143"/>
      <c r="JNJ83" s="143"/>
      <c r="JNK83" s="143"/>
      <c r="JNL83" s="143"/>
      <c r="JNM83" s="143"/>
      <c r="JNN83" s="143"/>
      <c r="JNO83" s="143"/>
      <c r="JNP83" s="143"/>
      <c r="JNQ83" s="143"/>
      <c r="JNR83" s="143"/>
      <c r="JNS83" s="143"/>
      <c r="JNT83" s="143"/>
      <c r="JNU83" s="143"/>
      <c r="JNV83" s="143"/>
      <c r="JNW83" s="143"/>
      <c r="JNX83" s="143"/>
      <c r="JNY83" s="143"/>
      <c r="JNZ83" s="143"/>
      <c r="JOA83" s="143"/>
      <c r="JOB83" s="143"/>
      <c r="JOC83" s="143"/>
      <c r="JOD83" s="143"/>
      <c r="JOE83" s="143"/>
      <c r="JOF83" s="143"/>
      <c r="JOG83" s="143"/>
      <c r="JOH83" s="143"/>
      <c r="JOI83" s="143"/>
      <c r="JOJ83" s="143"/>
      <c r="JOK83" s="143"/>
      <c r="JOL83" s="143"/>
      <c r="JOM83" s="143"/>
      <c r="JON83" s="143"/>
      <c r="JOO83" s="143"/>
      <c r="JOP83" s="143"/>
      <c r="JOQ83" s="143"/>
      <c r="JOR83" s="143"/>
      <c r="JOS83" s="143"/>
      <c r="JOT83" s="143"/>
      <c r="JOU83" s="143"/>
      <c r="JOV83" s="143"/>
      <c r="JOW83" s="143"/>
      <c r="JOX83" s="143"/>
      <c r="JOY83" s="143"/>
      <c r="JOZ83" s="143"/>
      <c r="JPA83" s="143"/>
      <c r="JPB83" s="143"/>
      <c r="JPC83" s="143"/>
      <c r="JPD83" s="143"/>
      <c r="JPE83" s="143"/>
      <c r="JPF83" s="143"/>
      <c r="JPG83" s="143"/>
      <c r="JPH83" s="143"/>
      <c r="JPI83" s="143"/>
      <c r="JPJ83" s="143"/>
      <c r="JPK83" s="143"/>
      <c r="JPL83" s="143"/>
      <c r="JPM83" s="143"/>
      <c r="JPN83" s="143"/>
      <c r="JPO83" s="143"/>
      <c r="JPP83" s="143"/>
      <c r="JPQ83" s="143"/>
      <c r="JPR83" s="143"/>
      <c r="JPS83" s="143"/>
      <c r="JPT83" s="143"/>
      <c r="JPU83" s="143"/>
      <c r="JPV83" s="143"/>
      <c r="JPW83" s="143"/>
      <c r="JPX83" s="143"/>
      <c r="JPY83" s="143"/>
      <c r="JPZ83" s="143"/>
      <c r="JQA83" s="143"/>
      <c r="JQB83" s="143"/>
      <c r="JQC83" s="143"/>
      <c r="JQD83" s="143"/>
      <c r="JQE83" s="143"/>
      <c r="JQF83" s="143"/>
      <c r="JQG83" s="143"/>
      <c r="JQH83" s="143"/>
      <c r="JQI83" s="143"/>
      <c r="JQJ83" s="143"/>
      <c r="JQK83" s="143"/>
      <c r="JQL83" s="143"/>
      <c r="JQM83" s="143"/>
      <c r="JQN83" s="143"/>
      <c r="JQO83" s="143"/>
      <c r="JQP83" s="143"/>
      <c r="JQQ83" s="143"/>
      <c r="JQR83" s="143"/>
      <c r="JQS83" s="143"/>
      <c r="JQT83" s="143"/>
      <c r="JQU83" s="143"/>
      <c r="JQV83" s="143"/>
      <c r="JQW83" s="143"/>
      <c r="JQX83" s="143"/>
      <c r="JQY83" s="143"/>
      <c r="JQZ83" s="143"/>
      <c r="JRA83" s="143"/>
      <c r="JRB83" s="143"/>
      <c r="JRC83" s="143"/>
      <c r="JRD83" s="143"/>
      <c r="JRE83" s="143"/>
      <c r="JRF83" s="143"/>
      <c r="JRG83" s="143"/>
      <c r="JRH83" s="143"/>
      <c r="JRI83" s="143"/>
      <c r="JRJ83" s="143"/>
      <c r="JRK83" s="143"/>
      <c r="JRL83" s="143"/>
      <c r="JRM83" s="143"/>
      <c r="JRN83" s="143"/>
      <c r="JRO83" s="143"/>
      <c r="JRP83" s="143"/>
      <c r="JRQ83" s="143"/>
      <c r="JRR83" s="143"/>
      <c r="JRS83" s="143"/>
      <c r="JRT83" s="143"/>
      <c r="JRU83" s="143"/>
      <c r="JRV83" s="143"/>
      <c r="JRW83" s="143"/>
      <c r="JRX83" s="143"/>
      <c r="JRY83" s="143"/>
      <c r="JRZ83" s="143"/>
      <c r="JSA83" s="143"/>
      <c r="JSB83" s="143"/>
      <c r="JSC83" s="143"/>
      <c r="JSD83" s="143"/>
      <c r="JSE83" s="143"/>
      <c r="JSF83" s="143"/>
      <c r="JSG83" s="143"/>
      <c r="JSH83" s="143"/>
      <c r="JSI83" s="143"/>
      <c r="JSJ83" s="143"/>
      <c r="JSK83" s="143"/>
      <c r="JSL83" s="143"/>
      <c r="JSM83" s="143"/>
      <c r="JSN83" s="143"/>
      <c r="JSO83" s="143"/>
      <c r="JSP83" s="143"/>
      <c r="JSQ83" s="143"/>
      <c r="JSR83" s="143"/>
      <c r="JSS83" s="143"/>
      <c r="JST83" s="143"/>
      <c r="JSU83" s="143"/>
      <c r="JSV83" s="143"/>
      <c r="JSW83" s="143"/>
      <c r="JSX83" s="143"/>
      <c r="JSY83" s="143"/>
      <c r="JSZ83" s="143"/>
      <c r="JTA83" s="143"/>
      <c r="JTB83" s="143"/>
      <c r="JTC83" s="143"/>
      <c r="JTD83" s="143"/>
      <c r="JTE83" s="143"/>
      <c r="JTF83" s="143"/>
      <c r="JTG83" s="143"/>
      <c r="JTH83" s="143"/>
      <c r="JTI83" s="143"/>
      <c r="JTJ83" s="143"/>
      <c r="JTK83" s="143"/>
      <c r="JTL83" s="143"/>
      <c r="JTM83" s="143"/>
      <c r="JTN83" s="143"/>
      <c r="JTO83" s="143"/>
      <c r="JTP83" s="143"/>
      <c r="JTQ83" s="143"/>
      <c r="JTR83" s="143"/>
      <c r="JTS83" s="143"/>
      <c r="JTT83" s="143"/>
      <c r="JTU83" s="143"/>
      <c r="JTV83" s="143"/>
      <c r="JTW83" s="143"/>
      <c r="JTX83" s="143"/>
      <c r="JTY83" s="143"/>
      <c r="JTZ83" s="143"/>
      <c r="JUA83" s="143"/>
      <c r="JUB83" s="143"/>
      <c r="JUC83" s="143"/>
      <c r="JUD83" s="143"/>
      <c r="JUE83" s="143"/>
      <c r="JUF83" s="143"/>
      <c r="JUG83" s="143"/>
      <c r="JUH83" s="143"/>
      <c r="JUI83" s="143"/>
      <c r="JUJ83" s="143"/>
      <c r="JUK83" s="143"/>
      <c r="JUL83" s="143"/>
      <c r="JUM83" s="143"/>
      <c r="JUN83" s="143"/>
      <c r="JUO83" s="143"/>
      <c r="JUP83" s="143"/>
      <c r="JUQ83" s="143"/>
      <c r="JUR83" s="143"/>
      <c r="JUS83" s="143"/>
      <c r="JUT83" s="143"/>
      <c r="JUU83" s="143"/>
      <c r="JUV83" s="143"/>
      <c r="JUW83" s="143"/>
      <c r="JUX83" s="143"/>
      <c r="JUY83" s="143"/>
      <c r="JUZ83" s="143"/>
      <c r="JVA83" s="143"/>
      <c r="JVB83" s="143"/>
      <c r="JVC83" s="143"/>
      <c r="JVD83" s="143"/>
      <c r="JVE83" s="143"/>
      <c r="JVF83" s="143"/>
      <c r="JVG83" s="143"/>
      <c r="JVH83" s="143"/>
      <c r="JVI83" s="143"/>
      <c r="JVJ83" s="143"/>
      <c r="JVK83" s="143"/>
      <c r="JVL83" s="143"/>
      <c r="JVM83" s="143"/>
      <c r="JVN83" s="143"/>
      <c r="JVO83" s="143"/>
      <c r="JVP83" s="143"/>
      <c r="JVQ83" s="143"/>
      <c r="JVR83" s="143"/>
      <c r="JVS83" s="143"/>
      <c r="JVT83" s="143"/>
      <c r="JVU83" s="143"/>
      <c r="JVV83" s="143"/>
      <c r="JVW83" s="143"/>
      <c r="JVX83" s="143"/>
      <c r="JVY83" s="143"/>
      <c r="JVZ83" s="143"/>
      <c r="JWA83" s="143"/>
      <c r="JWB83" s="143"/>
      <c r="JWC83" s="143"/>
      <c r="JWD83" s="143"/>
      <c r="JWE83" s="143"/>
      <c r="JWF83" s="143"/>
      <c r="JWG83" s="143"/>
      <c r="JWH83" s="143"/>
      <c r="JWI83" s="143"/>
      <c r="JWJ83" s="143"/>
      <c r="JWK83" s="143"/>
      <c r="JWL83" s="143"/>
      <c r="JWM83" s="143"/>
      <c r="JWN83" s="143"/>
      <c r="JWO83" s="143"/>
      <c r="JWP83" s="143"/>
      <c r="JWQ83" s="143"/>
      <c r="JWR83" s="143"/>
      <c r="JWS83" s="143"/>
      <c r="JWT83" s="143"/>
      <c r="JWU83" s="143"/>
      <c r="JWV83" s="143"/>
      <c r="JWW83" s="143"/>
      <c r="JWX83" s="143"/>
      <c r="JWY83" s="143"/>
      <c r="JWZ83" s="143"/>
      <c r="JXA83" s="143"/>
      <c r="JXB83" s="143"/>
      <c r="JXC83" s="143"/>
      <c r="JXD83" s="143"/>
      <c r="JXE83" s="143"/>
      <c r="JXF83" s="143"/>
      <c r="JXG83" s="143"/>
      <c r="JXH83" s="143"/>
      <c r="JXI83" s="143"/>
      <c r="JXJ83" s="143"/>
      <c r="JXK83" s="143"/>
      <c r="JXL83" s="143"/>
      <c r="JXM83" s="143"/>
      <c r="JXN83" s="143"/>
      <c r="JXO83" s="143"/>
      <c r="JXP83" s="143"/>
      <c r="JXQ83" s="143"/>
      <c r="JXR83" s="143"/>
      <c r="JXS83" s="143"/>
      <c r="JXT83" s="143"/>
      <c r="JXU83" s="143"/>
      <c r="JXV83" s="143"/>
      <c r="JXW83" s="143"/>
      <c r="JXX83" s="143"/>
      <c r="JXY83" s="143"/>
      <c r="JXZ83" s="143"/>
      <c r="JYA83" s="143"/>
      <c r="JYB83" s="143"/>
      <c r="JYC83" s="143"/>
      <c r="JYD83" s="143"/>
      <c r="JYE83" s="143"/>
      <c r="JYF83" s="143"/>
      <c r="JYG83" s="143"/>
      <c r="JYH83" s="143"/>
      <c r="JYI83" s="143"/>
      <c r="JYJ83" s="143"/>
      <c r="JYK83" s="143"/>
      <c r="JYL83" s="143"/>
      <c r="JYM83" s="143"/>
      <c r="JYN83" s="143"/>
      <c r="JYO83" s="143"/>
      <c r="JYP83" s="143"/>
      <c r="JYQ83" s="143"/>
      <c r="JYR83" s="143"/>
      <c r="JYS83" s="143"/>
      <c r="JYT83" s="143"/>
      <c r="JYU83" s="143"/>
      <c r="JYV83" s="143"/>
      <c r="JYW83" s="143"/>
      <c r="JYX83" s="143"/>
      <c r="JYY83" s="143"/>
      <c r="JYZ83" s="143"/>
      <c r="JZA83" s="143"/>
      <c r="JZB83" s="143"/>
      <c r="JZC83" s="143"/>
      <c r="JZD83" s="143"/>
      <c r="JZE83" s="143"/>
      <c r="JZF83" s="143"/>
      <c r="JZG83" s="143"/>
      <c r="JZH83" s="143"/>
      <c r="JZI83" s="143"/>
      <c r="JZJ83" s="143"/>
      <c r="JZK83" s="143"/>
      <c r="JZL83" s="143"/>
      <c r="JZM83" s="143"/>
      <c r="JZN83" s="143"/>
      <c r="JZO83" s="143"/>
      <c r="JZP83" s="143"/>
      <c r="JZQ83" s="143"/>
      <c r="JZR83" s="143"/>
      <c r="JZS83" s="143"/>
      <c r="JZT83" s="143"/>
      <c r="JZU83" s="143"/>
      <c r="JZV83" s="143"/>
      <c r="JZW83" s="143"/>
      <c r="JZX83" s="143"/>
      <c r="JZY83" s="143"/>
      <c r="JZZ83" s="143"/>
      <c r="KAA83" s="143"/>
      <c r="KAB83" s="143"/>
      <c r="KAC83" s="143"/>
      <c r="KAD83" s="143"/>
      <c r="KAE83" s="143"/>
      <c r="KAF83" s="143"/>
      <c r="KAG83" s="143"/>
      <c r="KAH83" s="143"/>
      <c r="KAI83" s="143"/>
      <c r="KAJ83" s="143"/>
      <c r="KAK83" s="143"/>
      <c r="KAL83" s="143"/>
      <c r="KAM83" s="143"/>
      <c r="KAN83" s="143"/>
      <c r="KAO83" s="143"/>
      <c r="KAP83" s="143"/>
      <c r="KAQ83" s="143"/>
      <c r="KAR83" s="143"/>
      <c r="KAS83" s="143"/>
      <c r="KAT83" s="143"/>
      <c r="KAU83" s="143"/>
      <c r="KAV83" s="143"/>
      <c r="KAW83" s="143"/>
      <c r="KAX83" s="143"/>
      <c r="KAY83" s="143"/>
      <c r="KAZ83" s="143"/>
      <c r="KBA83" s="143"/>
      <c r="KBB83" s="143"/>
      <c r="KBC83" s="143"/>
      <c r="KBD83" s="143"/>
      <c r="KBE83" s="143"/>
      <c r="KBF83" s="143"/>
      <c r="KBG83" s="143"/>
      <c r="KBH83" s="143"/>
      <c r="KBI83" s="143"/>
      <c r="KBJ83" s="143"/>
      <c r="KBK83" s="143"/>
      <c r="KBL83" s="143"/>
      <c r="KBM83" s="143"/>
      <c r="KBN83" s="143"/>
      <c r="KBO83" s="143"/>
      <c r="KBP83" s="143"/>
      <c r="KBQ83" s="143"/>
      <c r="KBR83" s="143"/>
      <c r="KBS83" s="143"/>
      <c r="KBT83" s="143"/>
      <c r="KBU83" s="143"/>
      <c r="KBV83" s="143"/>
      <c r="KBW83" s="143"/>
      <c r="KBX83" s="143"/>
      <c r="KBY83" s="143"/>
      <c r="KBZ83" s="143"/>
      <c r="KCA83" s="143"/>
      <c r="KCB83" s="143"/>
      <c r="KCC83" s="143"/>
      <c r="KCD83" s="143"/>
      <c r="KCE83" s="143"/>
      <c r="KCF83" s="143"/>
      <c r="KCG83" s="143"/>
      <c r="KCH83" s="143"/>
      <c r="KCI83" s="143"/>
      <c r="KCJ83" s="143"/>
      <c r="KCK83" s="143"/>
      <c r="KCL83" s="143"/>
      <c r="KCM83" s="143"/>
      <c r="KCN83" s="143"/>
      <c r="KCO83" s="143"/>
      <c r="KCP83" s="143"/>
      <c r="KCQ83" s="143"/>
      <c r="KCR83" s="143"/>
      <c r="KCS83" s="143"/>
      <c r="KCT83" s="143"/>
      <c r="KCU83" s="143"/>
      <c r="KCV83" s="143"/>
      <c r="KCW83" s="143"/>
      <c r="KCX83" s="143"/>
      <c r="KCY83" s="143"/>
      <c r="KCZ83" s="143"/>
      <c r="KDA83" s="143"/>
      <c r="KDB83" s="143"/>
      <c r="KDC83" s="143"/>
      <c r="KDD83" s="143"/>
      <c r="KDE83" s="143"/>
      <c r="KDF83" s="143"/>
      <c r="KDG83" s="143"/>
      <c r="KDH83" s="143"/>
      <c r="KDI83" s="143"/>
      <c r="KDJ83" s="143"/>
      <c r="KDK83" s="143"/>
      <c r="KDL83" s="143"/>
      <c r="KDM83" s="143"/>
      <c r="KDN83" s="143"/>
      <c r="KDO83" s="143"/>
      <c r="KDP83" s="143"/>
      <c r="KDQ83" s="143"/>
      <c r="KDR83" s="143"/>
      <c r="KDS83" s="143"/>
      <c r="KDT83" s="143"/>
      <c r="KDU83" s="143"/>
      <c r="KDV83" s="143"/>
      <c r="KDW83" s="143"/>
      <c r="KDX83" s="143"/>
      <c r="KDY83" s="143"/>
      <c r="KDZ83" s="143"/>
      <c r="KEA83" s="143"/>
      <c r="KEB83" s="143"/>
      <c r="KEC83" s="143"/>
      <c r="KED83" s="143"/>
      <c r="KEE83" s="143"/>
      <c r="KEF83" s="143"/>
      <c r="KEG83" s="143"/>
      <c r="KEH83" s="143"/>
      <c r="KEI83" s="143"/>
      <c r="KEJ83" s="143"/>
      <c r="KEK83" s="143"/>
      <c r="KEL83" s="143"/>
      <c r="KEM83" s="143"/>
      <c r="KEN83" s="143"/>
      <c r="KEO83" s="143"/>
      <c r="KEP83" s="143"/>
      <c r="KEQ83" s="143"/>
      <c r="KER83" s="143"/>
      <c r="KES83" s="143"/>
      <c r="KET83" s="143"/>
      <c r="KEU83" s="143"/>
      <c r="KEV83" s="143"/>
      <c r="KEW83" s="143"/>
      <c r="KEX83" s="143"/>
      <c r="KEY83" s="143"/>
      <c r="KEZ83" s="143"/>
      <c r="KFA83" s="143"/>
      <c r="KFB83" s="143"/>
      <c r="KFC83" s="143"/>
      <c r="KFD83" s="143"/>
      <c r="KFE83" s="143"/>
      <c r="KFF83" s="143"/>
      <c r="KFG83" s="143"/>
      <c r="KFH83" s="143"/>
      <c r="KFI83" s="143"/>
      <c r="KFJ83" s="143"/>
      <c r="KFK83" s="143"/>
      <c r="KFL83" s="143"/>
      <c r="KFM83" s="143"/>
      <c r="KFN83" s="143"/>
      <c r="KFO83" s="143"/>
      <c r="KFP83" s="143"/>
      <c r="KFQ83" s="143"/>
      <c r="KFR83" s="143"/>
      <c r="KFS83" s="143"/>
      <c r="KFT83" s="143"/>
      <c r="KFU83" s="143"/>
      <c r="KFV83" s="143"/>
      <c r="KFW83" s="143"/>
      <c r="KFX83" s="143"/>
      <c r="KFY83" s="143"/>
      <c r="KFZ83" s="143"/>
      <c r="KGA83" s="143"/>
      <c r="KGB83" s="143"/>
      <c r="KGC83" s="143"/>
      <c r="KGD83" s="143"/>
      <c r="KGE83" s="143"/>
      <c r="KGF83" s="143"/>
      <c r="KGG83" s="143"/>
      <c r="KGH83" s="143"/>
      <c r="KGI83" s="143"/>
      <c r="KGJ83" s="143"/>
      <c r="KGK83" s="143"/>
      <c r="KGL83" s="143"/>
      <c r="KGM83" s="143"/>
      <c r="KGN83" s="143"/>
      <c r="KGO83" s="143"/>
      <c r="KGP83" s="143"/>
      <c r="KGQ83" s="143"/>
      <c r="KGR83" s="143"/>
      <c r="KGS83" s="143"/>
      <c r="KGT83" s="143"/>
      <c r="KGU83" s="143"/>
      <c r="KGV83" s="143"/>
      <c r="KGW83" s="143"/>
      <c r="KGX83" s="143"/>
      <c r="KGY83" s="143"/>
      <c r="KGZ83" s="143"/>
      <c r="KHA83" s="143"/>
      <c r="KHB83" s="143"/>
      <c r="KHC83" s="143"/>
      <c r="KHD83" s="143"/>
      <c r="KHE83" s="143"/>
      <c r="KHF83" s="143"/>
      <c r="KHG83" s="143"/>
      <c r="KHH83" s="143"/>
      <c r="KHI83" s="143"/>
      <c r="KHJ83" s="143"/>
      <c r="KHK83" s="143"/>
      <c r="KHL83" s="143"/>
      <c r="KHM83" s="143"/>
      <c r="KHN83" s="143"/>
      <c r="KHO83" s="143"/>
      <c r="KHP83" s="143"/>
      <c r="KHQ83" s="143"/>
      <c r="KHR83" s="143"/>
      <c r="KHS83" s="143"/>
      <c r="KHT83" s="143"/>
      <c r="KHU83" s="143"/>
      <c r="KHV83" s="143"/>
      <c r="KHW83" s="143"/>
      <c r="KHX83" s="143"/>
      <c r="KHY83" s="143"/>
      <c r="KHZ83" s="143"/>
      <c r="KIA83" s="143"/>
      <c r="KIB83" s="143"/>
      <c r="KIC83" s="143"/>
      <c r="KID83" s="143"/>
      <c r="KIE83" s="143"/>
      <c r="KIF83" s="143"/>
      <c r="KIG83" s="143"/>
      <c r="KIH83" s="143"/>
      <c r="KII83" s="143"/>
      <c r="KIJ83" s="143"/>
      <c r="KIK83" s="143"/>
      <c r="KIL83" s="143"/>
      <c r="KIM83" s="143"/>
      <c r="KIN83" s="143"/>
      <c r="KIO83" s="143"/>
      <c r="KIP83" s="143"/>
      <c r="KIQ83" s="143"/>
      <c r="KIR83" s="143"/>
      <c r="KIS83" s="143"/>
      <c r="KIT83" s="143"/>
      <c r="KIU83" s="143"/>
      <c r="KIV83" s="143"/>
      <c r="KIW83" s="143"/>
      <c r="KIX83" s="143"/>
      <c r="KIY83" s="143"/>
      <c r="KIZ83" s="143"/>
      <c r="KJA83" s="143"/>
      <c r="KJB83" s="143"/>
      <c r="KJC83" s="143"/>
      <c r="KJD83" s="143"/>
      <c r="KJE83" s="143"/>
      <c r="KJF83" s="143"/>
      <c r="KJG83" s="143"/>
      <c r="KJH83" s="143"/>
      <c r="KJI83" s="143"/>
      <c r="KJJ83" s="143"/>
      <c r="KJK83" s="143"/>
      <c r="KJL83" s="143"/>
      <c r="KJM83" s="143"/>
      <c r="KJN83" s="143"/>
      <c r="KJO83" s="143"/>
      <c r="KJP83" s="143"/>
      <c r="KJQ83" s="143"/>
      <c r="KJR83" s="143"/>
      <c r="KJS83" s="143"/>
      <c r="KJT83" s="143"/>
      <c r="KJU83" s="143"/>
      <c r="KJV83" s="143"/>
      <c r="KJW83" s="143"/>
      <c r="KJX83" s="143"/>
      <c r="KJY83" s="143"/>
      <c r="KJZ83" s="143"/>
      <c r="KKA83" s="143"/>
      <c r="KKB83" s="143"/>
      <c r="KKC83" s="143"/>
      <c r="KKD83" s="143"/>
      <c r="KKE83" s="143"/>
      <c r="KKF83" s="143"/>
      <c r="KKG83" s="143"/>
      <c r="KKH83" s="143"/>
      <c r="KKI83" s="143"/>
      <c r="KKJ83" s="143"/>
      <c r="KKK83" s="143"/>
      <c r="KKL83" s="143"/>
      <c r="KKM83" s="143"/>
      <c r="KKN83" s="143"/>
      <c r="KKO83" s="143"/>
      <c r="KKP83" s="143"/>
      <c r="KKQ83" s="143"/>
      <c r="KKR83" s="143"/>
      <c r="KKS83" s="143"/>
      <c r="KKT83" s="143"/>
      <c r="KKU83" s="143"/>
      <c r="KKV83" s="143"/>
      <c r="KKW83" s="143"/>
      <c r="KKX83" s="143"/>
      <c r="KKY83" s="143"/>
      <c r="KKZ83" s="143"/>
      <c r="KLA83" s="143"/>
      <c r="KLB83" s="143"/>
      <c r="KLC83" s="143"/>
      <c r="KLD83" s="143"/>
      <c r="KLE83" s="143"/>
      <c r="KLF83" s="143"/>
      <c r="KLG83" s="143"/>
      <c r="KLH83" s="143"/>
      <c r="KLI83" s="143"/>
      <c r="KLJ83" s="143"/>
      <c r="KLK83" s="143"/>
      <c r="KLL83" s="143"/>
      <c r="KLM83" s="143"/>
      <c r="KLN83" s="143"/>
      <c r="KLO83" s="143"/>
      <c r="KLP83" s="143"/>
      <c r="KLQ83" s="143"/>
      <c r="KLR83" s="143"/>
      <c r="KLS83" s="143"/>
      <c r="KLT83" s="143"/>
      <c r="KLU83" s="143"/>
      <c r="KLV83" s="143"/>
      <c r="KLW83" s="143"/>
      <c r="KLX83" s="143"/>
      <c r="KLY83" s="143"/>
      <c r="KLZ83" s="143"/>
      <c r="KMA83" s="143"/>
      <c r="KMB83" s="143"/>
      <c r="KMC83" s="143"/>
      <c r="KMD83" s="143"/>
      <c r="KME83" s="143"/>
      <c r="KMF83" s="143"/>
      <c r="KMG83" s="143"/>
      <c r="KMH83" s="143"/>
      <c r="KMI83" s="143"/>
      <c r="KMJ83" s="143"/>
      <c r="KMK83" s="143"/>
      <c r="KML83" s="143"/>
      <c r="KMM83" s="143"/>
      <c r="KMN83" s="143"/>
      <c r="KMO83" s="143"/>
      <c r="KMP83" s="143"/>
      <c r="KMQ83" s="143"/>
      <c r="KMR83" s="143"/>
      <c r="KMS83" s="143"/>
      <c r="KMT83" s="143"/>
      <c r="KMU83" s="143"/>
      <c r="KMV83" s="143"/>
      <c r="KMW83" s="143"/>
      <c r="KMX83" s="143"/>
      <c r="KMY83" s="143"/>
      <c r="KMZ83" s="143"/>
      <c r="KNA83" s="143"/>
      <c r="KNB83" s="143"/>
      <c r="KNC83" s="143"/>
      <c r="KND83" s="143"/>
      <c r="KNE83" s="143"/>
      <c r="KNF83" s="143"/>
      <c r="KNG83" s="143"/>
      <c r="KNH83" s="143"/>
      <c r="KNI83" s="143"/>
      <c r="KNJ83" s="143"/>
      <c r="KNK83" s="143"/>
      <c r="KNL83" s="143"/>
      <c r="KNM83" s="143"/>
      <c r="KNN83" s="143"/>
      <c r="KNO83" s="143"/>
      <c r="KNP83" s="143"/>
      <c r="KNQ83" s="143"/>
      <c r="KNR83" s="143"/>
      <c r="KNS83" s="143"/>
      <c r="KNT83" s="143"/>
      <c r="KNU83" s="143"/>
      <c r="KNV83" s="143"/>
      <c r="KNW83" s="143"/>
      <c r="KNX83" s="143"/>
      <c r="KNY83" s="143"/>
      <c r="KNZ83" s="143"/>
      <c r="KOA83" s="143"/>
      <c r="KOB83" s="143"/>
      <c r="KOC83" s="143"/>
      <c r="KOD83" s="143"/>
      <c r="KOE83" s="143"/>
      <c r="KOF83" s="143"/>
      <c r="KOG83" s="143"/>
      <c r="KOH83" s="143"/>
      <c r="KOI83" s="143"/>
      <c r="KOJ83" s="143"/>
      <c r="KOK83" s="143"/>
      <c r="KOL83" s="143"/>
      <c r="KOM83" s="143"/>
      <c r="KON83" s="143"/>
      <c r="KOO83" s="143"/>
      <c r="KOP83" s="143"/>
      <c r="KOQ83" s="143"/>
      <c r="KOR83" s="143"/>
      <c r="KOS83" s="143"/>
      <c r="KOT83" s="143"/>
      <c r="KOU83" s="143"/>
      <c r="KOV83" s="143"/>
      <c r="KOW83" s="143"/>
      <c r="KOX83" s="143"/>
      <c r="KOY83" s="143"/>
      <c r="KOZ83" s="143"/>
      <c r="KPA83" s="143"/>
      <c r="KPB83" s="143"/>
      <c r="KPC83" s="143"/>
      <c r="KPD83" s="143"/>
      <c r="KPE83" s="143"/>
      <c r="KPF83" s="143"/>
      <c r="KPG83" s="143"/>
      <c r="KPH83" s="143"/>
      <c r="KPI83" s="143"/>
      <c r="KPJ83" s="143"/>
      <c r="KPK83" s="143"/>
      <c r="KPL83" s="143"/>
      <c r="KPM83" s="143"/>
      <c r="KPN83" s="143"/>
      <c r="KPO83" s="143"/>
      <c r="KPP83" s="143"/>
      <c r="KPQ83" s="143"/>
      <c r="KPR83" s="143"/>
      <c r="KPS83" s="143"/>
      <c r="KPT83" s="143"/>
      <c r="KPU83" s="143"/>
      <c r="KPV83" s="143"/>
      <c r="KPW83" s="143"/>
      <c r="KPX83" s="143"/>
      <c r="KPY83" s="143"/>
      <c r="KPZ83" s="143"/>
      <c r="KQA83" s="143"/>
      <c r="KQB83" s="143"/>
      <c r="KQC83" s="143"/>
      <c r="KQD83" s="143"/>
      <c r="KQE83" s="143"/>
      <c r="KQF83" s="143"/>
      <c r="KQG83" s="143"/>
      <c r="KQH83" s="143"/>
      <c r="KQI83" s="143"/>
      <c r="KQJ83" s="143"/>
      <c r="KQK83" s="143"/>
      <c r="KQL83" s="143"/>
      <c r="KQM83" s="143"/>
      <c r="KQN83" s="143"/>
      <c r="KQO83" s="143"/>
      <c r="KQP83" s="143"/>
      <c r="KQQ83" s="143"/>
      <c r="KQR83" s="143"/>
      <c r="KQS83" s="143"/>
      <c r="KQT83" s="143"/>
      <c r="KQU83" s="143"/>
      <c r="KQV83" s="143"/>
      <c r="KQW83" s="143"/>
      <c r="KQX83" s="143"/>
      <c r="KQY83" s="143"/>
      <c r="KQZ83" s="143"/>
      <c r="KRA83" s="143"/>
      <c r="KRB83" s="143"/>
      <c r="KRC83" s="143"/>
      <c r="KRD83" s="143"/>
      <c r="KRE83" s="143"/>
      <c r="KRF83" s="143"/>
      <c r="KRG83" s="143"/>
      <c r="KRH83" s="143"/>
      <c r="KRI83" s="143"/>
      <c r="KRJ83" s="143"/>
      <c r="KRK83" s="143"/>
      <c r="KRL83" s="143"/>
      <c r="KRM83" s="143"/>
      <c r="KRN83" s="143"/>
      <c r="KRO83" s="143"/>
      <c r="KRP83" s="143"/>
      <c r="KRQ83" s="143"/>
      <c r="KRR83" s="143"/>
      <c r="KRS83" s="143"/>
      <c r="KRT83" s="143"/>
      <c r="KRU83" s="143"/>
      <c r="KRV83" s="143"/>
      <c r="KRW83" s="143"/>
      <c r="KRX83" s="143"/>
      <c r="KRY83" s="143"/>
      <c r="KRZ83" s="143"/>
      <c r="KSA83" s="143"/>
      <c r="KSB83" s="143"/>
      <c r="KSC83" s="143"/>
      <c r="KSD83" s="143"/>
      <c r="KSE83" s="143"/>
      <c r="KSF83" s="143"/>
      <c r="KSG83" s="143"/>
      <c r="KSH83" s="143"/>
      <c r="KSI83" s="143"/>
      <c r="KSJ83" s="143"/>
      <c r="KSK83" s="143"/>
      <c r="KSL83" s="143"/>
      <c r="KSM83" s="143"/>
      <c r="KSN83" s="143"/>
      <c r="KSO83" s="143"/>
      <c r="KSP83" s="143"/>
      <c r="KSQ83" s="143"/>
      <c r="KSR83" s="143"/>
      <c r="KSS83" s="143"/>
      <c r="KST83" s="143"/>
      <c r="KSU83" s="143"/>
      <c r="KSV83" s="143"/>
      <c r="KSW83" s="143"/>
      <c r="KSX83" s="143"/>
      <c r="KSY83" s="143"/>
      <c r="KSZ83" s="143"/>
      <c r="KTA83" s="143"/>
      <c r="KTB83" s="143"/>
      <c r="KTC83" s="143"/>
      <c r="KTD83" s="143"/>
      <c r="KTE83" s="143"/>
      <c r="KTF83" s="143"/>
      <c r="KTG83" s="143"/>
      <c r="KTH83" s="143"/>
      <c r="KTI83" s="143"/>
      <c r="KTJ83" s="143"/>
      <c r="KTK83" s="143"/>
      <c r="KTL83" s="143"/>
      <c r="KTM83" s="143"/>
      <c r="KTN83" s="143"/>
      <c r="KTO83" s="143"/>
      <c r="KTP83" s="143"/>
      <c r="KTQ83" s="143"/>
      <c r="KTR83" s="143"/>
      <c r="KTS83" s="143"/>
      <c r="KTT83" s="143"/>
      <c r="KTU83" s="143"/>
      <c r="KTV83" s="143"/>
      <c r="KTW83" s="143"/>
      <c r="KTX83" s="143"/>
      <c r="KTY83" s="143"/>
      <c r="KTZ83" s="143"/>
      <c r="KUA83" s="143"/>
      <c r="KUB83" s="143"/>
      <c r="KUC83" s="143"/>
      <c r="KUD83" s="143"/>
      <c r="KUE83" s="143"/>
      <c r="KUF83" s="143"/>
      <c r="KUG83" s="143"/>
      <c r="KUH83" s="143"/>
      <c r="KUI83" s="143"/>
      <c r="KUJ83" s="143"/>
      <c r="KUK83" s="143"/>
      <c r="KUL83" s="143"/>
      <c r="KUM83" s="143"/>
      <c r="KUN83" s="143"/>
      <c r="KUO83" s="143"/>
      <c r="KUP83" s="143"/>
      <c r="KUQ83" s="143"/>
      <c r="KUR83" s="143"/>
      <c r="KUS83" s="143"/>
      <c r="KUT83" s="143"/>
      <c r="KUU83" s="143"/>
      <c r="KUV83" s="143"/>
      <c r="KUW83" s="143"/>
      <c r="KUX83" s="143"/>
      <c r="KUY83" s="143"/>
      <c r="KUZ83" s="143"/>
      <c r="KVA83" s="143"/>
      <c r="KVB83" s="143"/>
      <c r="KVC83" s="143"/>
      <c r="KVD83" s="143"/>
      <c r="KVE83" s="143"/>
      <c r="KVF83" s="143"/>
      <c r="KVG83" s="143"/>
      <c r="KVH83" s="143"/>
      <c r="KVI83" s="143"/>
      <c r="KVJ83" s="143"/>
      <c r="KVK83" s="143"/>
      <c r="KVL83" s="143"/>
      <c r="KVM83" s="143"/>
      <c r="KVN83" s="143"/>
      <c r="KVO83" s="143"/>
      <c r="KVP83" s="143"/>
      <c r="KVQ83" s="143"/>
      <c r="KVR83" s="143"/>
      <c r="KVS83" s="143"/>
      <c r="KVT83" s="143"/>
      <c r="KVU83" s="143"/>
      <c r="KVV83" s="143"/>
      <c r="KVW83" s="143"/>
      <c r="KVX83" s="143"/>
      <c r="KVY83" s="143"/>
      <c r="KVZ83" s="143"/>
      <c r="KWA83" s="143"/>
      <c r="KWB83" s="143"/>
      <c r="KWC83" s="143"/>
      <c r="KWD83" s="143"/>
      <c r="KWE83" s="143"/>
      <c r="KWF83" s="143"/>
      <c r="KWG83" s="143"/>
      <c r="KWH83" s="143"/>
      <c r="KWI83" s="143"/>
      <c r="KWJ83" s="143"/>
      <c r="KWK83" s="143"/>
      <c r="KWL83" s="143"/>
      <c r="KWM83" s="143"/>
      <c r="KWN83" s="143"/>
      <c r="KWO83" s="143"/>
      <c r="KWP83" s="143"/>
      <c r="KWQ83" s="143"/>
      <c r="KWR83" s="143"/>
      <c r="KWS83" s="143"/>
      <c r="KWT83" s="143"/>
      <c r="KWU83" s="143"/>
      <c r="KWV83" s="143"/>
      <c r="KWW83" s="143"/>
      <c r="KWX83" s="143"/>
      <c r="KWY83" s="143"/>
      <c r="KWZ83" s="143"/>
      <c r="KXA83" s="143"/>
      <c r="KXB83" s="143"/>
      <c r="KXC83" s="143"/>
      <c r="KXD83" s="143"/>
      <c r="KXE83" s="143"/>
      <c r="KXF83" s="143"/>
      <c r="KXG83" s="143"/>
      <c r="KXH83" s="143"/>
      <c r="KXI83" s="143"/>
      <c r="KXJ83" s="143"/>
      <c r="KXK83" s="143"/>
      <c r="KXL83" s="143"/>
      <c r="KXM83" s="143"/>
      <c r="KXN83" s="143"/>
      <c r="KXO83" s="143"/>
      <c r="KXP83" s="143"/>
      <c r="KXQ83" s="143"/>
      <c r="KXR83" s="143"/>
      <c r="KXS83" s="143"/>
      <c r="KXT83" s="143"/>
      <c r="KXU83" s="143"/>
      <c r="KXV83" s="143"/>
      <c r="KXW83" s="143"/>
      <c r="KXX83" s="143"/>
      <c r="KXY83" s="143"/>
      <c r="KXZ83" s="143"/>
      <c r="KYA83" s="143"/>
      <c r="KYB83" s="143"/>
      <c r="KYC83" s="143"/>
      <c r="KYD83" s="143"/>
      <c r="KYE83" s="143"/>
      <c r="KYF83" s="143"/>
      <c r="KYG83" s="143"/>
      <c r="KYH83" s="143"/>
      <c r="KYI83" s="143"/>
      <c r="KYJ83" s="143"/>
      <c r="KYK83" s="143"/>
      <c r="KYL83" s="143"/>
      <c r="KYM83" s="143"/>
      <c r="KYN83" s="143"/>
      <c r="KYO83" s="143"/>
      <c r="KYP83" s="143"/>
      <c r="KYQ83" s="143"/>
      <c r="KYR83" s="143"/>
      <c r="KYS83" s="143"/>
      <c r="KYT83" s="143"/>
      <c r="KYU83" s="143"/>
      <c r="KYV83" s="143"/>
      <c r="KYW83" s="143"/>
      <c r="KYX83" s="143"/>
      <c r="KYY83" s="143"/>
      <c r="KYZ83" s="143"/>
      <c r="KZA83" s="143"/>
      <c r="KZB83" s="143"/>
      <c r="KZC83" s="143"/>
      <c r="KZD83" s="143"/>
      <c r="KZE83" s="143"/>
      <c r="KZF83" s="143"/>
      <c r="KZG83" s="143"/>
      <c r="KZH83" s="143"/>
      <c r="KZI83" s="143"/>
      <c r="KZJ83" s="143"/>
      <c r="KZK83" s="143"/>
      <c r="KZL83" s="143"/>
      <c r="KZM83" s="143"/>
      <c r="KZN83" s="143"/>
      <c r="KZO83" s="143"/>
      <c r="KZP83" s="143"/>
      <c r="KZQ83" s="143"/>
      <c r="KZR83" s="143"/>
      <c r="KZS83" s="143"/>
      <c r="KZT83" s="143"/>
      <c r="KZU83" s="143"/>
      <c r="KZV83" s="143"/>
      <c r="KZW83" s="143"/>
      <c r="KZX83" s="143"/>
      <c r="KZY83" s="143"/>
      <c r="KZZ83" s="143"/>
      <c r="LAA83" s="143"/>
      <c r="LAB83" s="143"/>
      <c r="LAC83" s="143"/>
      <c r="LAD83" s="143"/>
      <c r="LAE83" s="143"/>
      <c r="LAF83" s="143"/>
      <c r="LAG83" s="143"/>
      <c r="LAH83" s="143"/>
      <c r="LAI83" s="143"/>
      <c r="LAJ83" s="143"/>
      <c r="LAK83" s="143"/>
      <c r="LAL83" s="143"/>
      <c r="LAM83" s="143"/>
      <c r="LAN83" s="143"/>
      <c r="LAO83" s="143"/>
      <c r="LAP83" s="143"/>
      <c r="LAQ83" s="143"/>
      <c r="LAR83" s="143"/>
      <c r="LAS83" s="143"/>
      <c r="LAT83" s="143"/>
      <c r="LAU83" s="143"/>
      <c r="LAV83" s="143"/>
      <c r="LAW83" s="143"/>
      <c r="LAX83" s="143"/>
      <c r="LAY83" s="143"/>
      <c r="LAZ83" s="143"/>
      <c r="LBA83" s="143"/>
      <c r="LBB83" s="143"/>
      <c r="LBC83" s="143"/>
      <c r="LBD83" s="143"/>
      <c r="LBE83" s="143"/>
      <c r="LBF83" s="143"/>
      <c r="LBG83" s="143"/>
      <c r="LBH83" s="143"/>
      <c r="LBI83" s="143"/>
      <c r="LBJ83" s="143"/>
      <c r="LBK83" s="143"/>
      <c r="LBL83" s="143"/>
      <c r="LBM83" s="143"/>
      <c r="LBN83" s="143"/>
      <c r="LBO83" s="143"/>
      <c r="LBP83" s="143"/>
      <c r="LBQ83" s="143"/>
      <c r="LBR83" s="143"/>
      <c r="LBS83" s="143"/>
      <c r="LBT83" s="143"/>
      <c r="LBU83" s="143"/>
      <c r="LBV83" s="143"/>
      <c r="LBW83" s="143"/>
      <c r="LBX83" s="143"/>
      <c r="LBY83" s="143"/>
      <c r="LBZ83" s="143"/>
      <c r="LCA83" s="143"/>
      <c r="LCB83" s="143"/>
      <c r="LCC83" s="143"/>
      <c r="LCD83" s="143"/>
      <c r="LCE83" s="143"/>
      <c r="LCF83" s="143"/>
      <c r="LCG83" s="143"/>
      <c r="LCH83" s="143"/>
      <c r="LCI83" s="143"/>
      <c r="LCJ83" s="143"/>
      <c r="LCK83" s="143"/>
      <c r="LCL83" s="143"/>
      <c r="LCM83" s="143"/>
      <c r="LCN83" s="143"/>
      <c r="LCO83" s="143"/>
      <c r="LCP83" s="143"/>
      <c r="LCQ83" s="143"/>
      <c r="LCR83" s="143"/>
      <c r="LCS83" s="143"/>
      <c r="LCT83" s="143"/>
      <c r="LCU83" s="143"/>
      <c r="LCV83" s="143"/>
      <c r="LCW83" s="143"/>
      <c r="LCX83" s="143"/>
      <c r="LCY83" s="143"/>
      <c r="LCZ83" s="143"/>
      <c r="LDA83" s="143"/>
      <c r="LDB83" s="143"/>
      <c r="LDC83" s="143"/>
      <c r="LDD83" s="143"/>
      <c r="LDE83" s="143"/>
      <c r="LDF83" s="143"/>
      <c r="LDG83" s="143"/>
      <c r="LDH83" s="143"/>
      <c r="LDI83" s="143"/>
      <c r="LDJ83" s="143"/>
      <c r="LDK83" s="143"/>
      <c r="LDL83" s="143"/>
      <c r="LDM83" s="143"/>
      <c r="LDN83" s="143"/>
      <c r="LDO83" s="143"/>
      <c r="LDP83" s="143"/>
      <c r="LDQ83" s="143"/>
      <c r="LDR83" s="143"/>
      <c r="LDS83" s="143"/>
      <c r="LDT83" s="143"/>
      <c r="LDU83" s="143"/>
      <c r="LDV83" s="143"/>
      <c r="LDW83" s="143"/>
      <c r="LDX83" s="143"/>
      <c r="LDY83" s="143"/>
      <c r="LDZ83" s="143"/>
      <c r="LEA83" s="143"/>
      <c r="LEB83" s="143"/>
      <c r="LEC83" s="143"/>
      <c r="LED83" s="143"/>
      <c r="LEE83" s="143"/>
      <c r="LEF83" s="143"/>
      <c r="LEG83" s="143"/>
      <c r="LEH83" s="143"/>
      <c r="LEI83" s="143"/>
      <c r="LEJ83" s="143"/>
      <c r="LEK83" s="143"/>
      <c r="LEL83" s="143"/>
      <c r="LEM83" s="143"/>
      <c r="LEN83" s="143"/>
      <c r="LEO83" s="143"/>
      <c r="LEP83" s="143"/>
      <c r="LEQ83" s="143"/>
      <c r="LER83" s="143"/>
      <c r="LES83" s="143"/>
      <c r="LET83" s="143"/>
      <c r="LEU83" s="143"/>
      <c r="LEV83" s="143"/>
      <c r="LEW83" s="143"/>
      <c r="LEX83" s="143"/>
      <c r="LEY83" s="143"/>
      <c r="LEZ83" s="143"/>
      <c r="LFA83" s="143"/>
      <c r="LFB83" s="143"/>
      <c r="LFC83" s="143"/>
      <c r="LFD83" s="143"/>
      <c r="LFE83" s="143"/>
      <c r="LFF83" s="143"/>
      <c r="LFG83" s="143"/>
      <c r="LFH83" s="143"/>
      <c r="LFI83" s="143"/>
      <c r="LFJ83" s="143"/>
      <c r="LFK83" s="143"/>
      <c r="LFL83" s="143"/>
      <c r="LFM83" s="143"/>
      <c r="LFN83" s="143"/>
      <c r="LFO83" s="143"/>
      <c r="LFP83" s="143"/>
      <c r="LFQ83" s="143"/>
      <c r="LFR83" s="143"/>
      <c r="LFS83" s="143"/>
      <c r="LFT83" s="143"/>
      <c r="LFU83" s="143"/>
      <c r="LFV83" s="143"/>
      <c r="LFW83" s="143"/>
      <c r="LFX83" s="143"/>
      <c r="LFY83" s="143"/>
      <c r="LFZ83" s="143"/>
      <c r="LGA83" s="143"/>
      <c r="LGB83" s="143"/>
      <c r="LGC83" s="143"/>
      <c r="LGD83" s="143"/>
      <c r="LGE83" s="143"/>
      <c r="LGF83" s="143"/>
      <c r="LGG83" s="143"/>
      <c r="LGH83" s="143"/>
      <c r="LGI83" s="143"/>
      <c r="LGJ83" s="143"/>
      <c r="LGK83" s="143"/>
      <c r="LGL83" s="143"/>
      <c r="LGM83" s="143"/>
      <c r="LGN83" s="143"/>
      <c r="LGO83" s="143"/>
      <c r="LGP83" s="143"/>
      <c r="LGQ83" s="143"/>
      <c r="LGR83" s="143"/>
      <c r="LGS83" s="143"/>
      <c r="LGT83" s="143"/>
      <c r="LGU83" s="143"/>
      <c r="LGV83" s="143"/>
      <c r="LGW83" s="143"/>
      <c r="LGX83" s="143"/>
      <c r="LGY83" s="143"/>
      <c r="LGZ83" s="143"/>
      <c r="LHA83" s="143"/>
      <c r="LHB83" s="143"/>
      <c r="LHC83" s="143"/>
      <c r="LHD83" s="143"/>
      <c r="LHE83" s="143"/>
      <c r="LHF83" s="143"/>
      <c r="LHG83" s="143"/>
      <c r="LHH83" s="143"/>
      <c r="LHI83" s="143"/>
      <c r="LHJ83" s="143"/>
      <c r="LHK83" s="143"/>
      <c r="LHL83" s="143"/>
      <c r="LHM83" s="143"/>
      <c r="LHN83" s="143"/>
      <c r="LHO83" s="143"/>
      <c r="LHP83" s="143"/>
      <c r="LHQ83" s="143"/>
      <c r="LHR83" s="143"/>
      <c r="LHS83" s="143"/>
      <c r="LHT83" s="143"/>
      <c r="LHU83" s="143"/>
      <c r="LHV83" s="143"/>
      <c r="LHW83" s="143"/>
      <c r="LHX83" s="143"/>
      <c r="LHY83" s="143"/>
      <c r="LHZ83" s="143"/>
      <c r="LIA83" s="143"/>
      <c r="LIB83" s="143"/>
      <c r="LIC83" s="143"/>
      <c r="LID83" s="143"/>
      <c r="LIE83" s="143"/>
      <c r="LIF83" s="143"/>
      <c r="LIG83" s="143"/>
      <c r="LIH83" s="143"/>
      <c r="LII83" s="143"/>
      <c r="LIJ83" s="143"/>
      <c r="LIK83" s="143"/>
      <c r="LIL83" s="143"/>
      <c r="LIM83" s="143"/>
      <c r="LIN83" s="143"/>
      <c r="LIO83" s="143"/>
      <c r="LIP83" s="143"/>
      <c r="LIQ83" s="143"/>
      <c r="LIR83" s="143"/>
      <c r="LIS83" s="143"/>
      <c r="LIT83" s="143"/>
      <c r="LIU83" s="143"/>
      <c r="LIV83" s="143"/>
      <c r="LIW83" s="143"/>
      <c r="LIX83" s="143"/>
      <c r="LIY83" s="143"/>
      <c r="LIZ83" s="143"/>
      <c r="LJA83" s="143"/>
      <c r="LJB83" s="143"/>
      <c r="LJC83" s="143"/>
      <c r="LJD83" s="143"/>
      <c r="LJE83" s="143"/>
      <c r="LJF83" s="143"/>
      <c r="LJG83" s="143"/>
      <c r="LJH83" s="143"/>
      <c r="LJI83" s="143"/>
      <c r="LJJ83" s="143"/>
      <c r="LJK83" s="143"/>
      <c r="LJL83" s="143"/>
      <c r="LJM83" s="143"/>
      <c r="LJN83" s="143"/>
      <c r="LJO83" s="143"/>
      <c r="LJP83" s="143"/>
      <c r="LJQ83" s="143"/>
      <c r="LJR83" s="143"/>
      <c r="LJS83" s="143"/>
      <c r="LJT83" s="143"/>
      <c r="LJU83" s="143"/>
      <c r="LJV83" s="143"/>
      <c r="LJW83" s="143"/>
      <c r="LJX83" s="143"/>
      <c r="LJY83" s="143"/>
      <c r="LJZ83" s="143"/>
      <c r="LKA83" s="143"/>
      <c r="LKB83" s="143"/>
      <c r="LKC83" s="143"/>
      <c r="LKD83" s="143"/>
      <c r="LKE83" s="143"/>
      <c r="LKF83" s="143"/>
      <c r="LKG83" s="143"/>
      <c r="LKH83" s="143"/>
      <c r="LKI83" s="143"/>
      <c r="LKJ83" s="143"/>
      <c r="LKK83" s="143"/>
      <c r="LKL83" s="143"/>
      <c r="LKM83" s="143"/>
      <c r="LKN83" s="143"/>
      <c r="LKO83" s="143"/>
      <c r="LKP83" s="143"/>
      <c r="LKQ83" s="143"/>
      <c r="LKR83" s="143"/>
      <c r="LKS83" s="143"/>
      <c r="LKT83" s="143"/>
      <c r="LKU83" s="143"/>
      <c r="LKV83" s="143"/>
      <c r="LKW83" s="143"/>
      <c r="LKX83" s="143"/>
      <c r="LKY83" s="143"/>
      <c r="LKZ83" s="143"/>
      <c r="LLA83" s="143"/>
      <c r="LLB83" s="143"/>
      <c r="LLC83" s="143"/>
      <c r="LLD83" s="143"/>
      <c r="LLE83" s="143"/>
      <c r="LLF83" s="143"/>
      <c r="LLG83" s="143"/>
      <c r="LLH83" s="143"/>
      <c r="LLI83" s="143"/>
      <c r="LLJ83" s="143"/>
      <c r="LLK83" s="143"/>
      <c r="LLL83" s="143"/>
      <c r="LLM83" s="143"/>
      <c r="LLN83" s="143"/>
      <c r="LLO83" s="143"/>
      <c r="LLP83" s="143"/>
      <c r="LLQ83" s="143"/>
      <c r="LLR83" s="143"/>
      <c r="LLS83" s="143"/>
      <c r="LLT83" s="143"/>
      <c r="LLU83" s="143"/>
      <c r="LLV83" s="143"/>
      <c r="LLW83" s="143"/>
      <c r="LLX83" s="143"/>
      <c r="LLY83" s="143"/>
      <c r="LLZ83" s="143"/>
      <c r="LMA83" s="143"/>
      <c r="LMB83" s="143"/>
      <c r="LMC83" s="143"/>
      <c r="LMD83" s="143"/>
      <c r="LME83" s="143"/>
      <c r="LMF83" s="143"/>
      <c r="LMG83" s="143"/>
      <c r="LMH83" s="143"/>
      <c r="LMI83" s="143"/>
      <c r="LMJ83" s="143"/>
      <c r="LMK83" s="143"/>
      <c r="LML83" s="143"/>
      <c r="LMM83" s="143"/>
      <c r="LMN83" s="143"/>
      <c r="LMO83" s="143"/>
      <c r="LMP83" s="143"/>
      <c r="LMQ83" s="143"/>
      <c r="LMR83" s="143"/>
      <c r="LMS83" s="143"/>
      <c r="LMT83" s="143"/>
      <c r="LMU83" s="143"/>
      <c r="LMV83" s="143"/>
      <c r="LMW83" s="143"/>
      <c r="LMX83" s="143"/>
      <c r="LMY83" s="143"/>
      <c r="LMZ83" s="143"/>
      <c r="LNA83" s="143"/>
      <c r="LNB83" s="143"/>
      <c r="LNC83" s="143"/>
      <c r="LND83" s="143"/>
      <c r="LNE83" s="143"/>
      <c r="LNF83" s="143"/>
      <c r="LNG83" s="143"/>
      <c r="LNH83" s="143"/>
      <c r="LNI83" s="143"/>
      <c r="LNJ83" s="143"/>
      <c r="LNK83" s="143"/>
      <c r="LNL83" s="143"/>
      <c r="LNM83" s="143"/>
      <c r="LNN83" s="143"/>
      <c r="LNO83" s="143"/>
      <c r="LNP83" s="143"/>
      <c r="LNQ83" s="143"/>
      <c r="LNR83" s="143"/>
      <c r="LNS83" s="143"/>
      <c r="LNT83" s="143"/>
      <c r="LNU83" s="143"/>
      <c r="LNV83" s="143"/>
      <c r="LNW83" s="143"/>
      <c r="LNX83" s="143"/>
      <c r="LNY83" s="143"/>
      <c r="LNZ83" s="143"/>
      <c r="LOA83" s="143"/>
      <c r="LOB83" s="143"/>
      <c r="LOC83" s="143"/>
      <c r="LOD83" s="143"/>
      <c r="LOE83" s="143"/>
      <c r="LOF83" s="143"/>
      <c r="LOG83" s="143"/>
      <c r="LOH83" s="143"/>
      <c r="LOI83" s="143"/>
      <c r="LOJ83" s="143"/>
      <c r="LOK83" s="143"/>
      <c r="LOL83" s="143"/>
      <c r="LOM83" s="143"/>
      <c r="LON83" s="143"/>
      <c r="LOO83" s="143"/>
      <c r="LOP83" s="143"/>
      <c r="LOQ83" s="143"/>
      <c r="LOR83" s="143"/>
      <c r="LOS83" s="143"/>
      <c r="LOT83" s="143"/>
      <c r="LOU83" s="143"/>
      <c r="LOV83" s="143"/>
      <c r="LOW83" s="143"/>
      <c r="LOX83" s="143"/>
      <c r="LOY83" s="143"/>
      <c r="LOZ83" s="143"/>
      <c r="LPA83" s="143"/>
      <c r="LPB83" s="143"/>
      <c r="LPC83" s="143"/>
      <c r="LPD83" s="143"/>
      <c r="LPE83" s="143"/>
      <c r="LPF83" s="143"/>
      <c r="LPG83" s="143"/>
      <c r="LPH83" s="143"/>
      <c r="LPI83" s="143"/>
      <c r="LPJ83" s="143"/>
      <c r="LPK83" s="143"/>
      <c r="LPL83" s="143"/>
      <c r="LPM83" s="143"/>
      <c r="LPN83" s="143"/>
      <c r="LPO83" s="143"/>
      <c r="LPP83" s="143"/>
      <c r="LPQ83" s="143"/>
      <c r="LPR83" s="143"/>
      <c r="LPS83" s="143"/>
      <c r="LPT83" s="143"/>
      <c r="LPU83" s="143"/>
      <c r="LPV83" s="143"/>
      <c r="LPW83" s="143"/>
      <c r="LPX83" s="143"/>
      <c r="LPY83" s="143"/>
      <c r="LPZ83" s="143"/>
      <c r="LQA83" s="143"/>
      <c r="LQB83" s="143"/>
      <c r="LQC83" s="143"/>
      <c r="LQD83" s="143"/>
      <c r="LQE83" s="143"/>
      <c r="LQF83" s="143"/>
      <c r="LQG83" s="143"/>
      <c r="LQH83" s="143"/>
      <c r="LQI83" s="143"/>
      <c r="LQJ83" s="143"/>
      <c r="LQK83" s="143"/>
      <c r="LQL83" s="143"/>
      <c r="LQM83" s="143"/>
      <c r="LQN83" s="143"/>
      <c r="LQO83" s="143"/>
      <c r="LQP83" s="143"/>
      <c r="LQQ83" s="143"/>
      <c r="LQR83" s="143"/>
      <c r="LQS83" s="143"/>
      <c r="LQT83" s="143"/>
      <c r="LQU83" s="143"/>
      <c r="LQV83" s="143"/>
      <c r="LQW83" s="143"/>
      <c r="LQX83" s="143"/>
      <c r="LQY83" s="143"/>
      <c r="LQZ83" s="143"/>
      <c r="LRA83" s="143"/>
      <c r="LRB83" s="143"/>
      <c r="LRC83" s="143"/>
      <c r="LRD83" s="143"/>
      <c r="LRE83" s="143"/>
      <c r="LRF83" s="143"/>
      <c r="LRG83" s="143"/>
      <c r="LRH83" s="143"/>
      <c r="LRI83" s="143"/>
      <c r="LRJ83" s="143"/>
      <c r="LRK83" s="143"/>
      <c r="LRL83" s="143"/>
      <c r="LRM83" s="143"/>
      <c r="LRN83" s="143"/>
      <c r="LRO83" s="143"/>
      <c r="LRP83" s="143"/>
      <c r="LRQ83" s="143"/>
      <c r="LRR83" s="143"/>
      <c r="LRS83" s="143"/>
      <c r="LRT83" s="143"/>
      <c r="LRU83" s="143"/>
      <c r="LRV83" s="143"/>
      <c r="LRW83" s="143"/>
      <c r="LRX83" s="143"/>
      <c r="LRY83" s="143"/>
      <c r="LRZ83" s="143"/>
      <c r="LSA83" s="143"/>
      <c r="LSB83" s="143"/>
      <c r="LSC83" s="143"/>
      <c r="LSD83" s="143"/>
      <c r="LSE83" s="143"/>
      <c r="LSF83" s="143"/>
      <c r="LSG83" s="143"/>
      <c r="LSH83" s="143"/>
      <c r="LSI83" s="143"/>
      <c r="LSJ83" s="143"/>
      <c r="LSK83" s="143"/>
      <c r="LSL83" s="143"/>
      <c r="LSM83" s="143"/>
      <c r="LSN83" s="143"/>
      <c r="LSO83" s="143"/>
      <c r="LSP83" s="143"/>
      <c r="LSQ83" s="143"/>
      <c r="LSR83" s="143"/>
      <c r="LSS83" s="143"/>
      <c r="LST83" s="143"/>
      <c r="LSU83" s="143"/>
      <c r="LSV83" s="143"/>
      <c r="LSW83" s="143"/>
      <c r="LSX83" s="143"/>
      <c r="LSY83" s="143"/>
      <c r="LSZ83" s="143"/>
      <c r="LTA83" s="143"/>
      <c r="LTB83" s="143"/>
      <c r="LTC83" s="143"/>
      <c r="LTD83" s="143"/>
      <c r="LTE83" s="143"/>
      <c r="LTF83" s="143"/>
      <c r="LTG83" s="143"/>
      <c r="LTH83" s="143"/>
      <c r="LTI83" s="143"/>
      <c r="LTJ83" s="143"/>
      <c r="LTK83" s="143"/>
      <c r="LTL83" s="143"/>
      <c r="LTM83" s="143"/>
      <c r="LTN83" s="143"/>
      <c r="LTO83" s="143"/>
      <c r="LTP83" s="143"/>
      <c r="LTQ83" s="143"/>
      <c r="LTR83" s="143"/>
      <c r="LTS83" s="143"/>
      <c r="LTT83" s="143"/>
      <c r="LTU83" s="143"/>
      <c r="LTV83" s="143"/>
      <c r="LTW83" s="143"/>
      <c r="LTX83" s="143"/>
      <c r="LTY83" s="143"/>
      <c r="LTZ83" s="143"/>
      <c r="LUA83" s="143"/>
      <c r="LUB83" s="143"/>
      <c r="LUC83" s="143"/>
      <c r="LUD83" s="143"/>
      <c r="LUE83" s="143"/>
      <c r="LUF83" s="143"/>
      <c r="LUG83" s="143"/>
      <c r="LUH83" s="143"/>
      <c r="LUI83" s="143"/>
      <c r="LUJ83" s="143"/>
      <c r="LUK83" s="143"/>
      <c r="LUL83" s="143"/>
      <c r="LUM83" s="143"/>
      <c r="LUN83" s="143"/>
      <c r="LUO83" s="143"/>
      <c r="LUP83" s="143"/>
      <c r="LUQ83" s="143"/>
      <c r="LUR83" s="143"/>
      <c r="LUS83" s="143"/>
      <c r="LUT83" s="143"/>
      <c r="LUU83" s="143"/>
      <c r="LUV83" s="143"/>
      <c r="LUW83" s="143"/>
      <c r="LUX83" s="143"/>
      <c r="LUY83" s="143"/>
      <c r="LUZ83" s="143"/>
      <c r="LVA83" s="143"/>
      <c r="LVB83" s="143"/>
      <c r="LVC83" s="143"/>
      <c r="LVD83" s="143"/>
      <c r="LVE83" s="143"/>
      <c r="LVF83" s="143"/>
      <c r="LVG83" s="143"/>
      <c r="LVH83" s="143"/>
      <c r="LVI83" s="143"/>
      <c r="LVJ83" s="143"/>
      <c r="LVK83" s="143"/>
      <c r="LVL83" s="143"/>
      <c r="LVM83" s="143"/>
      <c r="LVN83" s="143"/>
      <c r="LVO83" s="143"/>
      <c r="LVP83" s="143"/>
      <c r="LVQ83" s="143"/>
      <c r="LVR83" s="143"/>
      <c r="LVS83" s="143"/>
      <c r="LVT83" s="143"/>
      <c r="LVU83" s="143"/>
      <c r="LVV83" s="143"/>
      <c r="LVW83" s="143"/>
      <c r="LVX83" s="143"/>
      <c r="LVY83" s="143"/>
      <c r="LVZ83" s="143"/>
      <c r="LWA83" s="143"/>
      <c r="LWB83" s="143"/>
      <c r="LWC83" s="143"/>
      <c r="LWD83" s="143"/>
      <c r="LWE83" s="143"/>
      <c r="LWF83" s="143"/>
      <c r="LWG83" s="143"/>
      <c r="LWH83" s="143"/>
      <c r="LWI83" s="143"/>
      <c r="LWJ83" s="143"/>
      <c r="LWK83" s="143"/>
      <c r="LWL83" s="143"/>
      <c r="LWM83" s="143"/>
      <c r="LWN83" s="143"/>
      <c r="LWO83" s="143"/>
      <c r="LWP83" s="143"/>
      <c r="LWQ83" s="143"/>
      <c r="LWR83" s="143"/>
      <c r="LWS83" s="143"/>
      <c r="LWT83" s="143"/>
      <c r="LWU83" s="143"/>
      <c r="LWV83" s="143"/>
      <c r="LWW83" s="143"/>
      <c r="LWX83" s="143"/>
      <c r="LWY83" s="143"/>
      <c r="LWZ83" s="143"/>
      <c r="LXA83" s="143"/>
      <c r="LXB83" s="143"/>
      <c r="LXC83" s="143"/>
      <c r="LXD83" s="143"/>
      <c r="LXE83" s="143"/>
      <c r="LXF83" s="143"/>
      <c r="LXG83" s="143"/>
      <c r="LXH83" s="143"/>
      <c r="LXI83" s="143"/>
      <c r="LXJ83" s="143"/>
      <c r="LXK83" s="143"/>
      <c r="LXL83" s="143"/>
      <c r="LXM83" s="143"/>
      <c r="LXN83" s="143"/>
      <c r="LXO83" s="143"/>
      <c r="LXP83" s="143"/>
      <c r="LXQ83" s="143"/>
      <c r="LXR83" s="143"/>
      <c r="LXS83" s="143"/>
      <c r="LXT83" s="143"/>
      <c r="LXU83" s="143"/>
      <c r="LXV83" s="143"/>
      <c r="LXW83" s="143"/>
      <c r="LXX83" s="143"/>
      <c r="LXY83" s="143"/>
      <c r="LXZ83" s="143"/>
      <c r="LYA83" s="143"/>
      <c r="LYB83" s="143"/>
      <c r="LYC83" s="143"/>
      <c r="LYD83" s="143"/>
      <c r="LYE83" s="143"/>
      <c r="LYF83" s="143"/>
      <c r="LYG83" s="143"/>
      <c r="LYH83" s="143"/>
      <c r="LYI83" s="143"/>
      <c r="LYJ83" s="143"/>
      <c r="LYK83" s="143"/>
      <c r="LYL83" s="143"/>
      <c r="LYM83" s="143"/>
      <c r="LYN83" s="143"/>
      <c r="LYO83" s="143"/>
      <c r="LYP83" s="143"/>
      <c r="LYQ83" s="143"/>
      <c r="LYR83" s="143"/>
      <c r="LYS83" s="143"/>
      <c r="LYT83" s="143"/>
      <c r="LYU83" s="143"/>
      <c r="LYV83" s="143"/>
      <c r="LYW83" s="143"/>
      <c r="LYX83" s="143"/>
      <c r="LYY83" s="143"/>
      <c r="LYZ83" s="143"/>
      <c r="LZA83" s="143"/>
      <c r="LZB83" s="143"/>
      <c r="LZC83" s="143"/>
      <c r="LZD83" s="143"/>
      <c r="LZE83" s="143"/>
      <c r="LZF83" s="143"/>
      <c r="LZG83" s="143"/>
      <c r="LZH83" s="143"/>
      <c r="LZI83" s="143"/>
      <c r="LZJ83" s="143"/>
      <c r="LZK83" s="143"/>
      <c r="LZL83" s="143"/>
      <c r="LZM83" s="143"/>
      <c r="LZN83" s="143"/>
      <c r="LZO83" s="143"/>
      <c r="LZP83" s="143"/>
      <c r="LZQ83" s="143"/>
      <c r="LZR83" s="143"/>
      <c r="LZS83" s="143"/>
      <c r="LZT83" s="143"/>
      <c r="LZU83" s="143"/>
      <c r="LZV83" s="143"/>
      <c r="LZW83" s="143"/>
      <c r="LZX83" s="143"/>
      <c r="LZY83" s="143"/>
      <c r="LZZ83" s="143"/>
      <c r="MAA83" s="143"/>
      <c r="MAB83" s="143"/>
      <c r="MAC83" s="143"/>
      <c r="MAD83" s="143"/>
      <c r="MAE83" s="143"/>
      <c r="MAF83" s="143"/>
      <c r="MAG83" s="143"/>
      <c r="MAH83" s="143"/>
      <c r="MAI83" s="143"/>
      <c r="MAJ83" s="143"/>
      <c r="MAK83" s="143"/>
      <c r="MAL83" s="143"/>
      <c r="MAM83" s="143"/>
      <c r="MAN83" s="143"/>
      <c r="MAO83" s="143"/>
      <c r="MAP83" s="143"/>
      <c r="MAQ83" s="143"/>
      <c r="MAR83" s="143"/>
      <c r="MAS83" s="143"/>
      <c r="MAT83" s="143"/>
      <c r="MAU83" s="143"/>
      <c r="MAV83" s="143"/>
      <c r="MAW83" s="143"/>
      <c r="MAX83" s="143"/>
      <c r="MAY83" s="143"/>
      <c r="MAZ83" s="143"/>
      <c r="MBA83" s="143"/>
      <c r="MBB83" s="143"/>
      <c r="MBC83" s="143"/>
      <c r="MBD83" s="143"/>
      <c r="MBE83" s="143"/>
      <c r="MBF83" s="143"/>
      <c r="MBG83" s="143"/>
      <c r="MBH83" s="143"/>
      <c r="MBI83" s="143"/>
      <c r="MBJ83" s="143"/>
      <c r="MBK83" s="143"/>
      <c r="MBL83" s="143"/>
      <c r="MBM83" s="143"/>
      <c r="MBN83" s="143"/>
      <c r="MBO83" s="143"/>
      <c r="MBP83" s="143"/>
      <c r="MBQ83" s="143"/>
      <c r="MBR83" s="143"/>
      <c r="MBS83" s="143"/>
      <c r="MBT83" s="143"/>
      <c r="MBU83" s="143"/>
      <c r="MBV83" s="143"/>
      <c r="MBW83" s="143"/>
      <c r="MBX83" s="143"/>
      <c r="MBY83" s="143"/>
      <c r="MBZ83" s="143"/>
      <c r="MCA83" s="143"/>
      <c r="MCB83" s="143"/>
      <c r="MCC83" s="143"/>
      <c r="MCD83" s="143"/>
      <c r="MCE83" s="143"/>
      <c r="MCF83" s="143"/>
      <c r="MCG83" s="143"/>
      <c r="MCH83" s="143"/>
      <c r="MCI83" s="143"/>
      <c r="MCJ83" s="143"/>
      <c r="MCK83" s="143"/>
      <c r="MCL83" s="143"/>
      <c r="MCM83" s="143"/>
      <c r="MCN83" s="143"/>
      <c r="MCO83" s="143"/>
      <c r="MCP83" s="143"/>
      <c r="MCQ83" s="143"/>
      <c r="MCR83" s="143"/>
      <c r="MCS83" s="143"/>
      <c r="MCT83" s="143"/>
      <c r="MCU83" s="143"/>
      <c r="MCV83" s="143"/>
      <c r="MCW83" s="143"/>
      <c r="MCX83" s="143"/>
      <c r="MCY83" s="143"/>
      <c r="MCZ83" s="143"/>
      <c r="MDA83" s="143"/>
      <c r="MDB83" s="143"/>
      <c r="MDC83" s="143"/>
      <c r="MDD83" s="143"/>
      <c r="MDE83" s="143"/>
      <c r="MDF83" s="143"/>
      <c r="MDG83" s="143"/>
      <c r="MDH83" s="143"/>
      <c r="MDI83" s="143"/>
      <c r="MDJ83" s="143"/>
      <c r="MDK83" s="143"/>
      <c r="MDL83" s="143"/>
      <c r="MDM83" s="143"/>
      <c r="MDN83" s="143"/>
      <c r="MDO83" s="143"/>
      <c r="MDP83" s="143"/>
      <c r="MDQ83" s="143"/>
      <c r="MDR83" s="143"/>
      <c r="MDS83" s="143"/>
      <c r="MDT83" s="143"/>
      <c r="MDU83" s="143"/>
      <c r="MDV83" s="143"/>
      <c r="MDW83" s="143"/>
      <c r="MDX83" s="143"/>
      <c r="MDY83" s="143"/>
      <c r="MDZ83" s="143"/>
      <c r="MEA83" s="143"/>
      <c r="MEB83" s="143"/>
      <c r="MEC83" s="143"/>
      <c r="MED83" s="143"/>
      <c r="MEE83" s="143"/>
      <c r="MEF83" s="143"/>
      <c r="MEG83" s="143"/>
      <c r="MEH83" s="143"/>
      <c r="MEI83" s="143"/>
      <c r="MEJ83" s="143"/>
      <c r="MEK83" s="143"/>
      <c r="MEL83" s="143"/>
      <c r="MEM83" s="143"/>
      <c r="MEN83" s="143"/>
      <c r="MEO83" s="143"/>
      <c r="MEP83" s="143"/>
      <c r="MEQ83" s="143"/>
      <c r="MER83" s="143"/>
      <c r="MES83" s="143"/>
      <c r="MET83" s="143"/>
      <c r="MEU83" s="143"/>
      <c r="MEV83" s="143"/>
      <c r="MEW83" s="143"/>
      <c r="MEX83" s="143"/>
      <c r="MEY83" s="143"/>
      <c r="MEZ83" s="143"/>
      <c r="MFA83" s="143"/>
      <c r="MFB83" s="143"/>
      <c r="MFC83" s="143"/>
      <c r="MFD83" s="143"/>
      <c r="MFE83" s="143"/>
      <c r="MFF83" s="143"/>
      <c r="MFG83" s="143"/>
      <c r="MFH83" s="143"/>
      <c r="MFI83" s="143"/>
      <c r="MFJ83" s="143"/>
      <c r="MFK83" s="143"/>
      <c r="MFL83" s="143"/>
      <c r="MFM83" s="143"/>
      <c r="MFN83" s="143"/>
      <c r="MFO83" s="143"/>
      <c r="MFP83" s="143"/>
      <c r="MFQ83" s="143"/>
      <c r="MFR83" s="143"/>
      <c r="MFS83" s="143"/>
      <c r="MFT83" s="143"/>
      <c r="MFU83" s="143"/>
      <c r="MFV83" s="143"/>
      <c r="MFW83" s="143"/>
      <c r="MFX83" s="143"/>
      <c r="MFY83" s="143"/>
      <c r="MFZ83" s="143"/>
      <c r="MGA83" s="143"/>
      <c r="MGB83" s="143"/>
      <c r="MGC83" s="143"/>
      <c r="MGD83" s="143"/>
      <c r="MGE83" s="143"/>
      <c r="MGF83" s="143"/>
      <c r="MGG83" s="143"/>
      <c r="MGH83" s="143"/>
      <c r="MGI83" s="143"/>
      <c r="MGJ83" s="143"/>
      <c r="MGK83" s="143"/>
      <c r="MGL83" s="143"/>
      <c r="MGM83" s="143"/>
      <c r="MGN83" s="143"/>
      <c r="MGO83" s="143"/>
      <c r="MGP83" s="143"/>
      <c r="MGQ83" s="143"/>
      <c r="MGR83" s="143"/>
      <c r="MGS83" s="143"/>
      <c r="MGT83" s="143"/>
      <c r="MGU83" s="143"/>
      <c r="MGV83" s="143"/>
      <c r="MGW83" s="143"/>
      <c r="MGX83" s="143"/>
      <c r="MGY83" s="143"/>
      <c r="MGZ83" s="143"/>
      <c r="MHA83" s="143"/>
      <c r="MHB83" s="143"/>
      <c r="MHC83" s="143"/>
      <c r="MHD83" s="143"/>
      <c r="MHE83" s="143"/>
      <c r="MHF83" s="143"/>
      <c r="MHG83" s="143"/>
      <c r="MHH83" s="143"/>
      <c r="MHI83" s="143"/>
      <c r="MHJ83" s="143"/>
      <c r="MHK83" s="143"/>
      <c r="MHL83" s="143"/>
      <c r="MHM83" s="143"/>
      <c r="MHN83" s="143"/>
      <c r="MHO83" s="143"/>
      <c r="MHP83" s="143"/>
      <c r="MHQ83" s="143"/>
      <c r="MHR83" s="143"/>
      <c r="MHS83" s="143"/>
      <c r="MHT83" s="143"/>
      <c r="MHU83" s="143"/>
      <c r="MHV83" s="143"/>
      <c r="MHW83" s="143"/>
      <c r="MHX83" s="143"/>
      <c r="MHY83" s="143"/>
      <c r="MHZ83" s="143"/>
      <c r="MIA83" s="143"/>
      <c r="MIB83" s="143"/>
      <c r="MIC83" s="143"/>
      <c r="MID83" s="143"/>
      <c r="MIE83" s="143"/>
      <c r="MIF83" s="143"/>
      <c r="MIG83" s="143"/>
      <c r="MIH83" s="143"/>
      <c r="MII83" s="143"/>
      <c r="MIJ83" s="143"/>
      <c r="MIK83" s="143"/>
      <c r="MIL83" s="143"/>
      <c r="MIM83" s="143"/>
      <c r="MIN83" s="143"/>
      <c r="MIO83" s="143"/>
      <c r="MIP83" s="143"/>
      <c r="MIQ83" s="143"/>
      <c r="MIR83" s="143"/>
      <c r="MIS83" s="143"/>
      <c r="MIT83" s="143"/>
      <c r="MIU83" s="143"/>
      <c r="MIV83" s="143"/>
      <c r="MIW83" s="143"/>
      <c r="MIX83" s="143"/>
      <c r="MIY83" s="143"/>
      <c r="MIZ83" s="143"/>
      <c r="MJA83" s="143"/>
      <c r="MJB83" s="143"/>
      <c r="MJC83" s="143"/>
      <c r="MJD83" s="143"/>
      <c r="MJE83" s="143"/>
      <c r="MJF83" s="143"/>
      <c r="MJG83" s="143"/>
      <c r="MJH83" s="143"/>
      <c r="MJI83" s="143"/>
      <c r="MJJ83" s="143"/>
      <c r="MJK83" s="143"/>
      <c r="MJL83" s="143"/>
      <c r="MJM83" s="143"/>
      <c r="MJN83" s="143"/>
      <c r="MJO83" s="143"/>
      <c r="MJP83" s="143"/>
      <c r="MJQ83" s="143"/>
      <c r="MJR83" s="143"/>
      <c r="MJS83" s="143"/>
      <c r="MJT83" s="143"/>
      <c r="MJU83" s="143"/>
      <c r="MJV83" s="143"/>
      <c r="MJW83" s="143"/>
      <c r="MJX83" s="143"/>
      <c r="MJY83" s="143"/>
      <c r="MJZ83" s="143"/>
      <c r="MKA83" s="143"/>
      <c r="MKB83" s="143"/>
      <c r="MKC83" s="143"/>
      <c r="MKD83" s="143"/>
      <c r="MKE83" s="143"/>
      <c r="MKF83" s="143"/>
      <c r="MKG83" s="143"/>
      <c r="MKH83" s="143"/>
      <c r="MKI83" s="143"/>
      <c r="MKJ83" s="143"/>
      <c r="MKK83" s="143"/>
      <c r="MKL83" s="143"/>
      <c r="MKM83" s="143"/>
      <c r="MKN83" s="143"/>
      <c r="MKO83" s="143"/>
      <c r="MKP83" s="143"/>
      <c r="MKQ83" s="143"/>
      <c r="MKR83" s="143"/>
      <c r="MKS83" s="143"/>
      <c r="MKT83" s="143"/>
      <c r="MKU83" s="143"/>
      <c r="MKV83" s="143"/>
      <c r="MKW83" s="143"/>
      <c r="MKX83" s="143"/>
      <c r="MKY83" s="143"/>
      <c r="MKZ83" s="143"/>
      <c r="MLA83" s="143"/>
      <c r="MLB83" s="143"/>
      <c r="MLC83" s="143"/>
      <c r="MLD83" s="143"/>
      <c r="MLE83" s="143"/>
      <c r="MLF83" s="143"/>
      <c r="MLG83" s="143"/>
      <c r="MLH83" s="143"/>
      <c r="MLI83" s="143"/>
      <c r="MLJ83" s="143"/>
      <c r="MLK83" s="143"/>
      <c r="MLL83" s="143"/>
      <c r="MLM83" s="143"/>
      <c r="MLN83" s="143"/>
      <c r="MLO83" s="143"/>
      <c r="MLP83" s="143"/>
      <c r="MLQ83" s="143"/>
      <c r="MLR83" s="143"/>
      <c r="MLS83" s="143"/>
      <c r="MLT83" s="143"/>
      <c r="MLU83" s="143"/>
      <c r="MLV83" s="143"/>
      <c r="MLW83" s="143"/>
      <c r="MLX83" s="143"/>
      <c r="MLY83" s="143"/>
      <c r="MLZ83" s="143"/>
      <c r="MMA83" s="143"/>
      <c r="MMB83" s="143"/>
      <c r="MMC83" s="143"/>
      <c r="MMD83" s="143"/>
      <c r="MME83" s="143"/>
      <c r="MMF83" s="143"/>
      <c r="MMG83" s="143"/>
      <c r="MMH83" s="143"/>
      <c r="MMI83" s="143"/>
      <c r="MMJ83" s="143"/>
      <c r="MMK83" s="143"/>
      <c r="MML83" s="143"/>
      <c r="MMM83" s="143"/>
      <c r="MMN83" s="143"/>
      <c r="MMO83" s="143"/>
      <c r="MMP83" s="143"/>
      <c r="MMQ83" s="143"/>
      <c r="MMR83" s="143"/>
      <c r="MMS83" s="143"/>
      <c r="MMT83" s="143"/>
      <c r="MMU83" s="143"/>
      <c r="MMV83" s="143"/>
      <c r="MMW83" s="143"/>
      <c r="MMX83" s="143"/>
      <c r="MMY83" s="143"/>
      <c r="MMZ83" s="143"/>
      <c r="MNA83" s="143"/>
      <c r="MNB83" s="143"/>
      <c r="MNC83" s="143"/>
      <c r="MND83" s="143"/>
      <c r="MNE83" s="143"/>
      <c r="MNF83" s="143"/>
      <c r="MNG83" s="143"/>
      <c r="MNH83" s="143"/>
      <c r="MNI83" s="143"/>
      <c r="MNJ83" s="143"/>
      <c r="MNK83" s="143"/>
      <c r="MNL83" s="143"/>
      <c r="MNM83" s="143"/>
      <c r="MNN83" s="143"/>
      <c r="MNO83" s="143"/>
      <c r="MNP83" s="143"/>
      <c r="MNQ83" s="143"/>
      <c r="MNR83" s="143"/>
      <c r="MNS83" s="143"/>
      <c r="MNT83" s="143"/>
      <c r="MNU83" s="143"/>
      <c r="MNV83" s="143"/>
      <c r="MNW83" s="143"/>
      <c r="MNX83" s="143"/>
      <c r="MNY83" s="143"/>
      <c r="MNZ83" s="143"/>
      <c r="MOA83" s="143"/>
      <c r="MOB83" s="143"/>
      <c r="MOC83" s="143"/>
      <c r="MOD83" s="143"/>
      <c r="MOE83" s="143"/>
      <c r="MOF83" s="143"/>
      <c r="MOG83" s="143"/>
      <c r="MOH83" s="143"/>
      <c r="MOI83" s="143"/>
      <c r="MOJ83" s="143"/>
      <c r="MOK83" s="143"/>
      <c r="MOL83" s="143"/>
      <c r="MOM83" s="143"/>
      <c r="MON83" s="143"/>
      <c r="MOO83" s="143"/>
      <c r="MOP83" s="143"/>
      <c r="MOQ83" s="143"/>
      <c r="MOR83" s="143"/>
      <c r="MOS83" s="143"/>
      <c r="MOT83" s="143"/>
      <c r="MOU83" s="143"/>
      <c r="MOV83" s="143"/>
      <c r="MOW83" s="143"/>
      <c r="MOX83" s="143"/>
      <c r="MOY83" s="143"/>
      <c r="MOZ83" s="143"/>
      <c r="MPA83" s="143"/>
      <c r="MPB83" s="143"/>
      <c r="MPC83" s="143"/>
      <c r="MPD83" s="143"/>
      <c r="MPE83" s="143"/>
      <c r="MPF83" s="143"/>
      <c r="MPG83" s="143"/>
      <c r="MPH83" s="143"/>
      <c r="MPI83" s="143"/>
      <c r="MPJ83" s="143"/>
      <c r="MPK83" s="143"/>
      <c r="MPL83" s="143"/>
      <c r="MPM83" s="143"/>
      <c r="MPN83" s="143"/>
      <c r="MPO83" s="143"/>
      <c r="MPP83" s="143"/>
      <c r="MPQ83" s="143"/>
      <c r="MPR83" s="143"/>
      <c r="MPS83" s="143"/>
      <c r="MPT83" s="143"/>
      <c r="MPU83" s="143"/>
      <c r="MPV83" s="143"/>
      <c r="MPW83" s="143"/>
      <c r="MPX83" s="143"/>
      <c r="MPY83" s="143"/>
      <c r="MPZ83" s="143"/>
      <c r="MQA83" s="143"/>
      <c r="MQB83" s="143"/>
      <c r="MQC83" s="143"/>
      <c r="MQD83" s="143"/>
      <c r="MQE83" s="143"/>
      <c r="MQF83" s="143"/>
      <c r="MQG83" s="143"/>
      <c r="MQH83" s="143"/>
      <c r="MQI83" s="143"/>
      <c r="MQJ83" s="143"/>
      <c r="MQK83" s="143"/>
      <c r="MQL83" s="143"/>
      <c r="MQM83" s="143"/>
      <c r="MQN83" s="143"/>
      <c r="MQO83" s="143"/>
      <c r="MQP83" s="143"/>
      <c r="MQQ83" s="143"/>
      <c r="MQR83" s="143"/>
      <c r="MQS83" s="143"/>
      <c r="MQT83" s="143"/>
      <c r="MQU83" s="143"/>
      <c r="MQV83" s="143"/>
      <c r="MQW83" s="143"/>
      <c r="MQX83" s="143"/>
      <c r="MQY83" s="143"/>
      <c r="MQZ83" s="143"/>
      <c r="MRA83" s="143"/>
      <c r="MRB83" s="143"/>
      <c r="MRC83" s="143"/>
      <c r="MRD83" s="143"/>
      <c r="MRE83" s="143"/>
      <c r="MRF83" s="143"/>
      <c r="MRG83" s="143"/>
      <c r="MRH83" s="143"/>
      <c r="MRI83" s="143"/>
      <c r="MRJ83" s="143"/>
      <c r="MRK83" s="143"/>
      <c r="MRL83" s="143"/>
      <c r="MRM83" s="143"/>
      <c r="MRN83" s="143"/>
      <c r="MRO83" s="143"/>
      <c r="MRP83" s="143"/>
      <c r="MRQ83" s="143"/>
      <c r="MRR83" s="143"/>
      <c r="MRS83" s="143"/>
      <c r="MRT83" s="143"/>
      <c r="MRU83" s="143"/>
      <c r="MRV83" s="143"/>
      <c r="MRW83" s="143"/>
      <c r="MRX83" s="143"/>
      <c r="MRY83" s="143"/>
      <c r="MRZ83" s="143"/>
      <c r="MSA83" s="143"/>
      <c r="MSB83" s="143"/>
      <c r="MSC83" s="143"/>
      <c r="MSD83" s="143"/>
      <c r="MSE83" s="143"/>
      <c r="MSF83" s="143"/>
      <c r="MSG83" s="143"/>
      <c r="MSH83" s="143"/>
      <c r="MSI83" s="143"/>
      <c r="MSJ83" s="143"/>
      <c r="MSK83" s="143"/>
      <c r="MSL83" s="143"/>
      <c r="MSM83" s="143"/>
      <c r="MSN83" s="143"/>
      <c r="MSO83" s="143"/>
      <c r="MSP83" s="143"/>
      <c r="MSQ83" s="143"/>
      <c r="MSR83" s="143"/>
      <c r="MSS83" s="143"/>
      <c r="MST83" s="143"/>
      <c r="MSU83" s="143"/>
      <c r="MSV83" s="143"/>
      <c r="MSW83" s="143"/>
      <c r="MSX83" s="143"/>
      <c r="MSY83" s="143"/>
      <c r="MSZ83" s="143"/>
      <c r="MTA83" s="143"/>
      <c r="MTB83" s="143"/>
      <c r="MTC83" s="143"/>
      <c r="MTD83" s="143"/>
      <c r="MTE83" s="143"/>
      <c r="MTF83" s="143"/>
      <c r="MTG83" s="143"/>
      <c r="MTH83" s="143"/>
      <c r="MTI83" s="143"/>
      <c r="MTJ83" s="143"/>
      <c r="MTK83" s="143"/>
      <c r="MTL83" s="143"/>
      <c r="MTM83" s="143"/>
      <c r="MTN83" s="143"/>
      <c r="MTO83" s="143"/>
      <c r="MTP83" s="143"/>
      <c r="MTQ83" s="143"/>
      <c r="MTR83" s="143"/>
      <c r="MTS83" s="143"/>
      <c r="MTT83" s="143"/>
      <c r="MTU83" s="143"/>
      <c r="MTV83" s="143"/>
      <c r="MTW83" s="143"/>
      <c r="MTX83" s="143"/>
      <c r="MTY83" s="143"/>
      <c r="MTZ83" s="143"/>
      <c r="MUA83" s="143"/>
      <c r="MUB83" s="143"/>
      <c r="MUC83" s="143"/>
      <c r="MUD83" s="143"/>
      <c r="MUE83" s="143"/>
      <c r="MUF83" s="143"/>
      <c r="MUG83" s="143"/>
      <c r="MUH83" s="143"/>
      <c r="MUI83" s="143"/>
      <c r="MUJ83" s="143"/>
      <c r="MUK83" s="143"/>
      <c r="MUL83" s="143"/>
      <c r="MUM83" s="143"/>
      <c r="MUN83" s="143"/>
      <c r="MUO83" s="143"/>
      <c r="MUP83" s="143"/>
      <c r="MUQ83" s="143"/>
      <c r="MUR83" s="143"/>
      <c r="MUS83" s="143"/>
      <c r="MUT83" s="143"/>
      <c r="MUU83" s="143"/>
      <c r="MUV83" s="143"/>
      <c r="MUW83" s="143"/>
      <c r="MUX83" s="143"/>
      <c r="MUY83" s="143"/>
      <c r="MUZ83" s="143"/>
      <c r="MVA83" s="143"/>
      <c r="MVB83" s="143"/>
      <c r="MVC83" s="143"/>
      <c r="MVD83" s="143"/>
      <c r="MVE83" s="143"/>
      <c r="MVF83" s="143"/>
      <c r="MVG83" s="143"/>
      <c r="MVH83" s="143"/>
      <c r="MVI83" s="143"/>
      <c r="MVJ83" s="143"/>
      <c r="MVK83" s="143"/>
      <c r="MVL83" s="143"/>
      <c r="MVM83" s="143"/>
      <c r="MVN83" s="143"/>
      <c r="MVO83" s="143"/>
      <c r="MVP83" s="143"/>
      <c r="MVQ83" s="143"/>
      <c r="MVR83" s="143"/>
      <c r="MVS83" s="143"/>
      <c r="MVT83" s="143"/>
      <c r="MVU83" s="143"/>
      <c r="MVV83" s="143"/>
      <c r="MVW83" s="143"/>
      <c r="MVX83" s="143"/>
      <c r="MVY83" s="143"/>
      <c r="MVZ83" s="143"/>
      <c r="MWA83" s="143"/>
      <c r="MWB83" s="143"/>
      <c r="MWC83" s="143"/>
      <c r="MWD83" s="143"/>
      <c r="MWE83" s="143"/>
      <c r="MWF83" s="143"/>
      <c r="MWG83" s="143"/>
      <c r="MWH83" s="143"/>
      <c r="MWI83" s="143"/>
      <c r="MWJ83" s="143"/>
      <c r="MWK83" s="143"/>
      <c r="MWL83" s="143"/>
      <c r="MWM83" s="143"/>
      <c r="MWN83" s="143"/>
      <c r="MWO83" s="143"/>
      <c r="MWP83" s="143"/>
      <c r="MWQ83" s="143"/>
      <c r="MWR83" s="143"/>
      <c r="MWS83" s="143"/>
      <c r="MWT83" s="143"/>
      <c r="MWU83" s="143"/>
      <c r="MWV83" s="143"/>
      <c r="MWW83" s="143"/>
      <c r="MWX83" s="143"/>
      <c r="MWY83" s="143"/>
      <c r="MWZ83" s="143"/>
      <c r="MXA83" s="143"/>
      <c r="MXB83" s="143"/>
      <c r="MXC83" s="143"/>
      <c r="MXD83" s="143"/>
      <c r="MXE83" s="143"/>
      <c r="MXF83" s="143"/>
      <c r="MXG83" s="143"/>
      <c r="MXH83" s="143"/>
      <c r="MXI83" s="143"/>
      <c r="MXJ83" s="143"/>
      <c r="MXK83" s="143"/>
      <c r="MXL83" s="143"/>
      <c r="MXM83" s="143"/>
      <c r="MXN83" s="143"/>
      <c r="MXO83" s="143"/>
      <c r="MXP83" s="143"/>
      <c r="MXQ83" s="143"/>
      <c r="MXR83" s="143"/>
      <c r="MXS83" s="143"/>
      <c r="MXT83" s="143"/>
      <c r="MXU83" s="143"/>
      <c r="MXV83" s="143"/>
      <c r="MXW83" s="143"/>
      <c r="MXX83" s="143"/>
      <c r="MXY83" s="143"/>
      <c r="MXZ83" s="143"/>
      <c r="MYA83" s="143"/>
      <c r="MYB83" s="143"/>
      <c r="MYC83" s="143"/>
      <c r="MYD83" s="143"/>
      <c r="MYE83" s="143"/>
      <c r="MYF83" s="143"/>
      <c r="MYG83" s="143"/>
      <c r="MYH83" s="143"/>
      <c r="MYI83" s="143"/>
      <c r="MYJ83" s="143"/>
      <c r="MYK83" s="143"/>
      <c r="MYL83" s="143"/>
      <c r="MYM83" s="143"/>
      <c r="MYN83" s="143"/>
      <c r="MYO83" s="143"/>
      <c r="MYP83" s="143"/>
      <c r="MYQ83" s="143"/>
      <c r="MYR83" s="143"/>
      <c r="MYS83" s="143"/>
      <c r="MYT83" s="143"/>
      <c r="MYU83" s="143"/>
      <c r="MYV83" s="143"/>
      <c r="MYW83" s="143"/>
      <c r="MYX83" s="143"/>
      <c r="MYY83" s="143"/>
      <c r="MYZ83" s="143"/>
      <c r="MZA83" s="143"/>
      <c r="MZB83" s="143"/>
      <c r="MZC83" s="143"/>
      <c r="MZD83" s="143"/>
      <c r="MZE83" s="143"/>
      <c r="MZF83" s="143"/>
      <c r="MZG83" s="143"/>
      <c r="MZH83" s="143"/>
      <c r="MZI83" s="143"/>
      <c r="MZJ83" s="143"/>
      <c r="MZK83" s="143"/>
      <c r="MZL83" s="143"/>
      <c r="MZM83" s="143"/>
      <c r="MZN83" s="143"/>
      <c r="MZO83" s="143"/>
      <c r="MZP83" s="143"/>
      <c r="MZQ83" s="143"/>
      <c r="MZR83" s="143"/>
      <c r="MZS83" s="143"/>
      <c r="MZT83" s="143"/>
      <c r="MZU83" s="143"/>
      <c r="MZV83" s="143"/>
      <c r="MZW83" s="143"/>
      <c r="MZX83" s="143"/>
      <c r="MZY83" s="143"/>
      <c r="MZZ83" s="143"/>
      <c r="NAA83" s="143"/>
      <c r="NAB83" s="143"/>
      <c r="NAC83" s="143"/>
      <c r="NAD83" s="143"/>
      <c r="NAE83" s="143"/>
      <c r="NAF83" s="143"/>
      <c r="NAG83" s="143"/>
      <c r="NAH83" s="143"/>
      <c r="NAI83" s="143"/>
      <c r="NAJ83" s="143"/>
      <c r="NAK83" s="143"/>
      <c r="NAL83" s="143"/>
      <c r="NAM83" s="143"/>
      <c r="NAN83" s="143"/>
      <c r="NAO83" s="143"/>
      <c r="NAP83" s="143"/>
      <c r="NAQ83" s="143"/>
      <c r="NAR83" s="143"/>
      <c r="NAS83" s="143"/>
      <c r="NAT83" s="143"/>
      <c r="NAU83" s="143"/>
      <c r="NAV83" s="143"/>
      <c r="NAW83" s="143"/>
      <c r="NAX83" s="143"/>
      <c r="NAY83" s="143"/>
      <c r="NAZ83" s="143"/>
      <c r="NBA83" s="143"/>
      <c r="NBB83" s="143"/>
      <c r="NBC83" s="143"/>
      <c r="NBD83" s="143"/>
      <c r="NBE83" s="143"/>
      <c r="NBF83" s="143"/>
      <c r="NBG83" s="143"/>
      <c r="NBH83" s="143"/>
      <c r="NBI83" s="143"/>
      <c r="NBJ83" s="143"/>
      <c r="NBK83" s="143"/>
      <c r="NBL83" s="143"/>
      <c r="NBM83" s="143"/>
      <c r="NBN83" s="143"/>
      <c r="NBO83" s="143"/>
      <c r="NBP83" s="143"/>
      <c r="NBQ83" s="143"/>
      <c r="NBR83" s="143"/>
      <c r="NBS83" s="143"/>
      <c r="NBT83" s="143"/>
      <c r="NBU83" s="143"/>
      <c r="NBV83" s="143"/>
      <c r="NBW83" s="143"/>
      <c r="NBX83" s="143"/>
      <c r="NBY83" s="143"/>
      <c r="NBZ83" s="143"/>
      <c r="NCA83" s="143"/>
      <c r="NCB83" s="143"/>
      <c r="NCC83" s="143"/>
      <c r="NCD83" s="143"/>
      <c r="NCE83" s="143"/>
      <c r="NCF83" s="143"/>
      <c r="NCG83" s="143"/>
      <c r="NCH83" s="143"/>
      <c r="NCI83" s="143"/>
      <c r="NCJ83" s="143"/>
      <c r="NCK83" s="143"/>
      <c r="NCL83" s="143"/>
      <c r="NCM83" s="143"/>
      <c r="NCN83" s="143"/>
      <c r="NCO83" s="143"/>
      <c r="NCP83" s="143"/>
      <c r="NCQ83" s="143"/>
      <c r="NCR83" s="143"/>
      <c r="NCS83" s="143"/>
      <c r="NCT83" s="143"/>
      <c r="NCU83" s="143"/>
      <c r="NCV83" s="143"/>
      <c r="NCW83" s="143"/>
      <c r="NCX83" s="143"/>
      <c r="NCY83" s="143"/>
      <c r="NCZ83" s="143"/>
      <c r="NDA83" s="143"/>
      <c r="NDB83" s="143"/>
      <c r="NDC83" s="143"/>
      <c r="NDD83" s="143"/>
      <c r="NDE83" s="143"/>
      <c r="NDF83" s="143"/>
      <c r="NDG83" s="143"/>
      <c r="NDH83" s="143"/>
      <c r="NDI83" s="143"/>
      <c r="NDJ83" s="143"/>
      <c r="NDK83" s="143"/>
      <c r="NDL83" s="143"/>
      <c r="NDM83" s="143"/>
      <c r="NDN83" s="143"/>
      <c r="NDO83" s="143"/>
      <c r="NDP83" s="143"/>
      <c r="NDQ83" s="143"/>
      <c r="NDR83" s="143"/>
      <c r="NDS83" s="143"/>
      <c r="NDT83" s="143"/>
      <c r="NDU83" s="143"/>
      <c r="NDV83" s="143"/>
      <c r="NDW83" s="143"/>
      <c r="NDX83" s="143"/>
      <c r="NDY83" s="143"/>
      <c r="NDZ83" s="143"/>
      <c r="NEA83" s="143"/>
      <c r="NEB83" s="143"/>
      <c r="NEC83" s="143"/>
      <c r="NED83" s="143"/>
      <c r="NEE83" s="143"/>
      <c r="NEF83" s="143"/>
      <c r="NEG83" s="143"/>
      <c r="NEH83" s="143"/>
      <c r="NEI83" s="143"/>
      <c r="NEJ83" s="143"/>
      <c r="NEK83" s="143"/>
      <c r="NEL83" s="143"/>
      <c r="NEM83" s="143"/>
      <c r="NEN83" s="143"/>
      <c r="NEO83" s="143"/>
      <c r="NEP83" s="143"/>
      <c r="NEQ83" s="143"/>
      <c r="NER83" s="143"/>
      <c r="NES83" s="143"/>
      <c r="NET83" s="143"/>
      <c r="NEU83" s="143"/>
      <c r="NEV83" s="143"/>
      <c r="NEW83" s="143"/>
      <c r="NEX83" s="143"/>
      <c r="NEY83" s="143"/>
      <c r="NEZ83" s="143"/>
      <c r="NFA83" s="143"/>
      <c r="NFB83" s="143"/>
      <c r="NFC83" s="143"/>
      <c r="NFD83" s="143"/>
      <c r="NFE83" s="143"/>
      <c r="NFF83" s="143"/>
      <c r="NFG83" s="143"/>
      <c r="NFH83" s="143"/>
      <c r="NFI83" s="143"/>
      <c r="NFJ83" s="143"/>
      <c r="NFK83" s="143"/>
      <c r="NFL83" s="143"/>
      <c r="NFM83" s="143"/>
      <c r="NFN83" s="143"/>
      <c r="NFO83" s="143"/>
      <c r="NFP83" s="143"/>
      <c r="NFQ83" s="143"/>
      <c r="NFR83" s="143"/>
      <c r="NFS83" s="143"/>
      <c r="NFT83" s="143"/>
      <c r="NFU83" s="143"/>
      <c r="NFV83" s="143"/>
      <c r="NFW83" s="143"/>
      <c r="NFX83" s="143"/>
      <c r="NFY83" s="143"/>
      <c r="NFZ83" s="143"/>
      <c r="NGA83" s="143"/>
      <c r="NGB83" s="143"/>
      <c r="NGC83" s="143"/>
      <c r="NGD83" s="143"/>
      <c r="NGE83" s="143"/>
      <c r="NGF83" s="143"/>
      <c r="NGG83" s="143"/>
      <c r="NGH83" s="143"/>
      <c r="NGI83" s="143"/>
      <c r="NGJ83" s="143"/>
      <c r="NGK83" s="143"/>
      <c r="NGL83" s="143"/>
      <c r="NGM83" s="143"/>
      <c r="NGN83" s="143"/>
      <c r="NGO83" s="143"/>
      <c r="NGP83" s="143"/>
      <c r="NGQ83" s="143"/>
      <c r="NGR83" s="143"/>
      <c r="NGS83" s="143"/>
      <c r="NGT83" s="143"/>
      <c r="NGU83" s="143"/>
      <c r="NGV83" s="143"/>
      <c r="NGW83" s="143"/>
      <c r="NGX83" s="143"/>
      <c r="NGY83" s="143"/>
      <c r="NGZ83" s="143"/>
      <c r="NHA83" s="143"/>
      <c r="NHB83" s="143"/>
      <c r="NHC83" s="143"/>
      <c r="NHD83" s="143"/>
      <c r="NHE83" s="143"/>
      <c r="NHF83" s="143"/>
      <c r="NHG83" s="143"/>
      <c r="NHH83" s="143"/>
      <c r="NHI83" s="143"/>
      <c r="NHJ83" s="143"/>
      <c r="NHK83" s="143"/>
      <c r="NHL83" s="143"/>
      <c r="NHM83" s="143"/>
      <c r="NHN83" s="143"/>
      <c r="NHO83" s="143"/>
      <c r="NHP83" s="143"/>
      <c r="NHQ83" s="143"/>
      <c r="NHR83" s="143"/>
      <c r="NHS83" s="143"/>
      <c r="NHT83" s="143"/>
      <c r="NHU83" s="143"/>
      <c r="NHV83" s="143"/>
      <c r="NHW83" s="143"/>
      <c r="NHX83" s="143"/>
      <c r="NHY83" s="143"/>
      <c r="NHZ83" s="143"/>
      <c r="NIA83" s="143"/>
      <c r="NIB83" s="143"/>
      <c r="NIC83" s="143"/>
      <c r="NID83" s="143"/>
      <c r="NIE83" s="143"/>
      <c r="NIF83" s="143"/>
      <c r="NIG83" s="143"/>
      <c r="NIH83" s="143"/>
      <c r="NII83" s="143"/>
      <c r="NIJ83" s="143"/>
      <c r="NIK83" s="143"/>
      <c r="NIL83" s="143"/>
      <c r="NIM83" s="143"/>
      <c r="NIN83" s="143"/>
      <c r="NIO83" s="143"/>
      <c r="NIP83" s="143"/>
      <c r="NIQ83" s="143"/>
      <c r="NIR83" s="143"/>
      <c r="NIS83" s="143"/>
      <c r="NIT83" s="143"/>
      <c r="NIU83" s="143"/>
      <c r="NIV83" s="143"/>
      <c r="NIW83" s="143"/>
      <c r="NIX83" s="143"/>
      <c r="NIY83" s="143"/>
      <c r="NIZ83" s="143"/>
      <c r="NJA83" s="143"/>
      <c r="NJB83" s="143"/>
      <c r="NJC83" s="143"/>
      <c r="NJD83" s="143"/>
      <c r="NJE83" s="143"/>
      <c r="NJF83" s="143"/>
      <c r="NJG83" s="143"/>
      <c r="NJH83" s="143"/>
      <c r="NJI83" s="143"/>
      <c r="NJJ83" s="143"/>
      <c r="NJK83" s="143"/>
      <c r="NJL83" s="143"/>
      <c r="NJM83" s="143"/>
      <c r="NJN83" s="143"/>
      <c r="NJO83" s="143"/>
      <c r="NJP83" s="143"/>
      <c r="NJQ83" s="143"/>
      <c r="NJR83" s="143"/>
      <c r="NJS83" s="143"/>
      <c r="NJT83" s="143"/>
      <c r="NJU83" s="143"/>
      <c r="NJV83" s="143"/>
      <c r="NJW83" s="143"/>
      <c r="NJX83" s="143"/>
      <c r="NJY83" s="143"/>
      <c r="NJZ83" s="143"/>
      <c r="NKA83" s="143"/>
      <c r="NKB83" s="143"/>
      <c r="NKC83" s="143"/>
      <c r="NKD83" s="143"/>
      <c r="NKE83" s="143"/>
      <c r="NKF83" s="143"/>
      <c r="NKG83" s="143"/>
      <c r="NKH83" s="143"/>
      <c r="NKI83" s="143"/>
      <c r="NKJ83" s="143"/>
      <c r="NKK83" s="143"/>
      <c r="NKL83" s="143"/>
      <c r="NKM83" s="143"/>
      <c r="NKN83" s="143"/>
      <c r="NKO83" s="143"/>
      <c r="NKP83" s="143"/>
      <c r="NKQ83" s="143"/>
      <c r="NKR83" s="143"/>
      <c r="NKS83" s="143"/>
      <c r="NKT83" s="143"/>
      <c r="NKU83" s="143"/>
      <c r="NKV83" s="143"/>
      <c r="NKW83" s="143"/>
      <c r="NKX83" s="143"/>
      <c r="NKY83" s="143"/>
      <c r="NKZ83" s="143"/>
      <c r="NLA83" s="143"/>
      <c r="NLB83" s="143"/>
      <c r="NLC83" s="143"/>
      <c r="NLD83" s="143"/>
      <c r="NLE83" s="143"/>
      <c r="NLF83" s="143"/>
      <c r="NLG83" s="143"/>
      <c r="NLH83" s="143"/>
      <c r="NLI83" s="143"/>
      <c r="NLJ83" s="143"/>
      <c r="NLK83" s="143"/>
      <c r="NLL83" s="143"/>
      <c r="NLM83" s="143"/>
      <c r="NLN83" s="143"/>
      <c r="NLO83" s="143"/>
      <c r="NLP83" s="143"/>
      <c r="NLQ83" s="143"/>
      <c r="NLR83" s="143"/>
      <c r="NLS83" s="143"/>
      <c r="NLT83" s="143"/>
      <c r="NLU83" s="143"/>
      <c r="NLV83" s="143"/>
      <c r="NLW83" s="143"/>
      <c r="NLX83" s="143"/>
      <c r="NLY83" s="143"/>
      <c r="NLZ83" s="143"/>
      <c r="NMA83" s="143"/>
      <c r="NMB83" s="143"/>
      <c r="NMC83" s="143"/>
      <c r="NMD83" s="143"/>
      <c r="NME83" s="143"/>
      <c r="NMF83" s="143"/>
      <c r="NMG83" s="143"/>
      <c r="NMH83" s="143"/>
      <c r="NMI83" s="143"/>
      <c r="NMJ83" s="143"/>
      <c r="NMK83" s="143"/>
      <c r="NML83" s="143"/>
      <c r="NMM83" s="143"/>
      <c r="NMN83" s="143"/>
      <c r="NMO83" s="143"/>
      <c r="NMP83" s="143"/>
      <c r="NMQ83" s="143"/>
      <c r="NMR83" s="143"/>
      <c r="NMS83" s="143"/>
      <c r="NMT83" s="143"/>
      <c r="NMU83" s="143"/>
      <c r="NMV83" s="143"/>
      <c r="NMW83" s="143"/>
      <c r="NMX83" s="143"/>
      <c r="NMY83" s="143"/>
      <c r="NMZ83" s="143"/>
      <c r="NNA83" s="143"/>
      <c r="NNB83" s="143"/>
      <c r="NNC83" s="143"/>
      <c r="NND83" s="143"/>
      <c r="NNE83" s="143"/>
      <c r="NNF83" s="143"/>
      <c r="NNG83" s="143"/>
      <c r="NNH83" s="143"/>
      <c r="NNI83" s="143"/>
      <c r="NNJ83" s="143"/>
      <c r="NNK83" s="143"/>
      <c r="NNL83" s="143"/>
      <c r="NNM83" s="143"/>
      <c r="NNN83" s="143"/>
      <c r="NNO83" s="143"/>
      <c r="NNP83" s="143"/>
      <c r="NNQ83" s="143"/>
      <c r="NNR83" s="143"/>
      <c r="NNS83" s="143"/>
      <c r="NNT83" s="143"/>
      <c r="NNU83" s="143"/>
      <c r="NNV83" s="143"/>
      <c r="NNW83" s="143"/>
      <c r="NNX83" s="143"/>
      <c r="NNY83" s="143"/>
      <c r="NNZ83" s="143"/>
      <c r="NOA83" s="143"/>
      <c r="NOB83" s="143"/>
      <c r="NOC83" s="143"/>
      <c r="NOD83" s="143"/>
      <c r="NOE83" s="143"/>
      <c r="NOF83" s="143"/>
      <c r="NOG83" s="143"/>
      <c r="NOH83" s="143"/>
      <c r="NOI83" s="143"/>
      <c r="NOJ83" s="143"/>
      <c r="NOK83" s="143"/>
      <c r="NOL83" s="143"/>
      <c r="NOM83" s="143"/>
      <c r="NON83" s="143"/>
      <c r="NOO83" s="143"/>
      <c r="NOP83" s="143"/>
      <c r="NOQ83" s="143"/>
      <c r="NOR83" s="143"/>
      <c r="NOS83" s="143"/>
      <c r="NOT83" s="143"/>
      <c r="NOU83" s="143"/>
      <c r="NOV83" s="143"/>
      <c r="NOW83" s="143"/>
      <c r="NOX83" s="143"/>
      <c r="NOY83" s="143"/>
      <c r="NOZ83" s="143"/>
      <c r="NPA83" s="143"/>
      <c r="NPB83" s="143"/>
      <c r="NPC83" s="143"/>
      <c r="NPD83" s="143"/>
      <c r="NPE83" s="143"/>
      <c r="NPF83" s="143"/>
      <c r="NPG83" s="143"/>
      <c r="NPH83" s="143"/>
      <c r="NPI83" s="143"/>
      <c r="NPJ83" s="143"/>
      <c r="NPK83" s="143"/>
      <c r="NPL83" s="143"/>
      <c r="NPM83" s="143"/>
      <c r="NPN83" s="143"/>
      <c r="NPO83" s="143"/>
      <c r="NPP83" s="143"/>
      <c r="NPQ83" s="143"/>
      <c r="NPR83" s="143"/>
      <c r="NPS83" s="143"/>
      <c r="NPT83" s="143"/>
      <c r="NPU83" s="143"/>
      <c r="NPV83" s="143"/>
      <c r="NPW83" s="143"/>
      <c r="NPX83" s="143"/>
      <c r="NPY83" s="143"/>
      <c r="NPZ83" s="143"/>
      <c r="NQA83" s="143"/>
      <c r="NQB83" s="143"/>
      <c r="NQC83" s="143"/>
      <c r="NQD83" s="143"/>
      <c r="NQE83" s="143"/>
      <c r="NQF83" s="143"/>
      <c r="NQG83" s="143"/>
      <c r="NQH83" s="143"/>
      <c r="NQI83" s="143"/>
      <c r="NQJ83" s="143"/>
      <c r="NQK83" s="143"/>
      <c r="NQL83" s="143"/>
      <c r="NQM83" s="143"/>
      <c r="NQN83" s="143"/>
      <c r="NQO83" s="143"/>
      <c r="NQP83" s="143"/>
      <c r="NQQ83" s="143"/>
      <c r="NQR83" s="143"/>
      <c r="NQS83" s="143"/>
      <c r="NQT83" s="143"/>
      <c r="NQU83" s="143"/>
      <c r="NQV83" s="143"/>
      <c r="NQW83" s="143"/>
      <c r="NQX83" s="143"/>
      <c r="NQY83" s="143"/>
      <c r="NQZ83" s="143"/>
      <c r="NRA83" s="143"/>
      <c r="NRB83" s="143"/>
      <c r="NRC83" s="143"/>
      <c r="NRD83" s="143"/>
      <c r="NRE83" s="143"/>
      <c r="NRF83" s="143"/>
      <c r="NRG83" s="143"/>
      <c r="NRH83" s="143"/>
      <c r="NRI83" s="143"/>
      <c r="NRJ83" s="143"/>
      <c r="NRK83" s="143"/>
      <c r="NRL83" s="143"/>
      <c r="NRM83" s="143"/>
      <c r="NRN83" s="143"/>
      <c r="NRO83" s="143"/>
      <c r="NRP83" s="143"/>
      <c r="NRQ83" s="143"/>
      <c r="NRR83" s="143"/>
      <c r="NRS83" s="143"/>
      <c r="NRT83" s="143"/>
      <c r="NRU83" s="143"/>
      <c r="NRV83" s="143"/>
      <c r="NRW83" s="143"/>
      <c r="NRX83" s="143"/>
      <c r="NRY83" s="143"/>
      <c r="NRZ83" s="143"/>
      <c r="NSA83" s="143"/>
      <c r="NSB83" s="143"/>
      <c r="NSC83" s="143"/>
      <c r="NSD83" s="143"/>
      <c r="NSE83" s="143"/>
      <c r="NSF83" s="143"/>
      <c r="NSG83" s="143"/>
      <c r="NSH83" s="143"/>
      <c r="NSI83" s="143"/>
      <c r="NSJ83" s="143"/>
      <c r="NSK83" s="143"/>
      <c r="NSL83" s="143"/>
      <c r="NSM83" s="143"/>
      <c r="NSN83" s="143"/>
      <c r="NSO83" s="143"/>
      <c r="NSP83" s="143"/>
      <c r="NSQ83" s="143"/>
      <c r="NSR83" s="143"/>
      <c r="NSS83" s="143"/>
      <c r="NST83" s="143"/>
      <c r="NSU83" s="143"/>
      <c r="NSV83" s="143"/>
      <c r="NSW83" s="143"/>
      <c r="NSX83" s="143"/>
      <c r="NSY83" s="143"/>
      <c r="NSZ83" s="143"/>
      <c r="NTA83" s="143"/>
      <c r="NTB83" s="143"/>
      <c r="NTC83" s="143"/>
      <c r="NTD83" s="143"/>
      <c r="NTE83" s="143"/>
      <c r="NTF83" s="143"/>
      <c r="NTG83" s="143"/>
      <c r="NTH83" s="143"/>
      <c r="NTI83" s="143"/>
      <c r="NTJ83" s="143"/>
      <c r="NTK83" s="143"/>
      <c r="NTL83" s="143"/>
      <c r="NTM83" s="143"/>
      <c r="NTN83" s="143"/>
      <c r="NTO83" s="143"/>
      <c r="NTP83" s="143"/>
      <c r="NTQ83" s="143"/>
      <c r="NTR83" s="143"/>
      <c r="NTS83" s="143"/>
      <c r="NTT83" s="143"/>
      <c r="NTU83" s="143"/>
      <c r="NTV83" s="143"/>
      <c r="NTW83" s="143"/>
      <c r="NTX83" s="143"/>
      <c r="NTY83" s="143"/>
      <c r="NTZ83" s="143"/>
      <c r="NUA83" s="143"/>
      <c r="NUB83" s="143"/>
      <c r="NUC83" s="143"/>
      <c r="NUD83" s="143"/>
      <c r="NUE83" s="143"/>
      <c r="NUF83" s="143"/>
      <c r="NUG83" s="143"/>
      <c r="NUH83" s="143"/>
      <c r="NUI83" s="143"/>
      <c r="NUJ83" s="143"/>
      <c r="NUK83" s="143"/>
      <c r="NUL83" s="143"/>
      <c r="NUM83" s="143"/>
      <c r="NUN83" s="143"/>
      <c r="NUO83" s="143"/>
      <c r="NUP83" s="143"/>
      <c r="NUQ83" s="143"/>
      <c r="NUR83" s="143"/>
      <c r="NUS83" s="143"/>
      <c r="NUT83" s="143"/>
      <c r="NUU83" s="143"/>
      <c r="NUV83" s="143"/>
      <c r="NUW83" s="143"/>
      <c r="NUX83" s="143"/>
      <c r="NUY83" s="143"/>
      <c r="NUZ83" s="143"/>
      <c r="NVA83" s="143"/>
      <c r="NVB83" s="143"/>
      <c r="NVC83" s="143"/>
      <c r="NVD83" s="143"/>
      <c r="NVE83" s="143"/>
      <c r="NVF83" s="143"/>
      <c r="NVG83" s="143"/>
      <c r="NVH83" s="143"/>
      <c r="NVI83" s="143"/>
      <c r="NVJ83" s="143"/>
      <c r="NVK83" s="143"/>
      <c r="NVL83" s="143"/>
      <c r="NVM83" s="143"/>
      <c r="NVN83" s="143"/>
      <c r="NVO83" s="143"/>
      <c r="NVP83" s="143"/>
      <c r="NVQ83" s="143"/>
      <c r="NVR83" s="143"/>
      <c r="NVS83" s="143"/>
      <c r="NVT83" s="143"/>
      <c r="NVU83" s="143"/>
      <c r="NVV83" s="143"/>
      <c r="NVW83" s="143"/>
      <c r="NVX83" s="143"/>
      <c r="NVY83" s="143"/>
      <c r="NVZ83" s="143"/>
      <c r="NWA83" s="143"/>
      <c r="NWB83" s="143"/>
      <c r="NWC83" s="143"/>
      <c r="NWD83" s="143"/>
      <c r="NWE83" s="143"/>
      <c r="NWF83" s="143"/>
      <c r="NWG83" s="143"/>
      <c r="NWH83" s="143"/>
      <c r="NWI83" s="143"/>
      <c r="NWJ83" s="143"/>
      <c r="NWK83" s="143"/>
      <c r="NWL83" s="143"/>
      <c r="NWM83" s="143"/>
      <c r="NWN83" s="143"/>
      <c r="NWO83" s="143"/>
      <c r="NWP83" s="143"/>
      <c r="NWQ83" s="143"/>
      <c r="NWR83" s="143"/>
      <c r="NWS83" s="143"/>
      <c r="NWT83" s="143"/>
      <c r="NWU83" s="143"/>
      <c r="NWV83" s="143"/>
      <c r="NWW83" s="143"/>
      <c r="NWX83" s="143"/>
      <c r="NWY83" s="143"/>
      <c r="NWZ83" s="143"/>
      <c r="NXA83" s="143"/>
      <c r="NXB83" s="143"/>
      <c r="NXC83" s="143"/>
      <c r="NXD83" s="143"/>
      <c r="NXE83" s="143"/>
      <c r="NXF83" s="143"/>
      <c r="NXG83" s="143"/>
      <c r="NXH83" s="143"/>
      <c r="NXI83" s="143"/>
      <c r="NXJ83" s="143"/>
      <c r="NXK83" s="143"/>
      <c r="NXL83" s="143"/>
      <c r="NXM83" s="143"/>
      <c r="NXN83" s="143"/>
      <c r="NXO83" s="143"/>
      <c r="NXP83" s="143"/>
      <c r="NXQ83" s="143"/>
      <c r="NXR83" s="143"/>
      <c r="NXS83" s="143"/>
      <c r="NXT83" s="143"/>
      <c r="NXU83" s="143"/>
      <c r="NXV83" s="143"/>
      <c r="NXW83" s="143"/>
      <c r="NXX83" s="143"/>
      <c r="NXY83" s="143"/>
      <c r="NXZ83" s="143"/>
      <c r="NYA83" s="143"/>
      <c r="NYB83" s="143"/>
      <c r="NYC83" s="143"/>
      <c r="NYD83" s="143"/>
      <c r="NYE83" s="143"/>
      <c r="NYF83" s="143"/>
      <c r="NYG83" s="143"/>
      <c r="NYH83" s="143"/>
      <c r="NYI83" s="143"/>
      <c r="NYJ83" s="143"/>
      <c r="NYK83" s="143"/>
      <c r="NYL83" s="143"/>
      <c r="NYM83" s="143"/>
      <c r="NYN83" s="143"/>
      <c r="NYO83" s="143"/>
      <c r="NYP83" s="143"/>
      <c r="NYQ83" s="143"/>
      <c r="NYR83" s="143"/>
      <c r="NYS83" s="143"/>
      <c r="NYT83" s="143"/>
      <c r="NYU83" s="143"/>
      <c r="NYV83" s="143"/>
      <c r="NYW83" s="143"/>
      <c r="NYX83" s="143"/>
      <c r="NYY83" s="143"/>
      <c r="NYZ83" s="143"/>
      <c r="NZA83" s="143"/>
      <c r="NZB83" s="143"/>
      <c r="NZC83" s="143"/>
      <c r="NZD83" s="143"/>
      <c r="NZE83" s="143"/>
      <c r="NZF83" s="143"/>
      <c r="NZG83" s="143"/>
      <c r="NZH83" s="143"/>
      <c r="NZI83" s="143"/>
      <c r="NZJ83" s="143"/>
      <c r="NZK83" s="143"/>
      <c r="NZL83" s="143"/>
      <c r="NZM83" s="143"/>
      <c r="NZN83" s="143"/>
      <c r="NZO83" s="143"/>
      <c r="NZP83" s="143"/>
      <c r="NZQ83" s="143"/>
      <c r="NZR83" s="143"/>
      <c r="NZS83" s="143"/>
      <c r="NZT83" s="143"/>
      <c r="NZU83" s="143"/>
      <c r="NZV83" s="143"/>
      <c r="NZW83" s="143"/>
      <c r="NZX83" s="143"/>
      <c r="NZY83" s="143"/>
      <c r="NZZ83" s="143"/>
      <c r="OAA83" s="143"/>
      <c r="OAB83" s="143"/>
      <c r="OAC83" s="143"/>
      <c r="OAD83" s="143"/>
      <c r="OAE83" s="143"/>
      <c r="OAF83" s="143"/>
      <c r="OAG83" s="143"/>
      <c r="OAH83" s="143"/>
      <c r="OAI83" s="143"/>
      <c r="OAJ83" s="143"/>
      <c r="OAK83" s="143"/>
      <c r="OAL83" s="143"/>
      <c r="OAM83" s="143"/>
      <c r="OAN83" s="143"/>
      <c r="OAO83" s="143"/>
      <c r="OAP83" s="143"/>
      <c r="OAQ83" s="143"/>
      <c r="OAR83" s="143"/>
      <c r="OAS83" s="143"/>
      <c r="OAT83" s="143"/>
      <c r="OAU83" s="143"/>
      <c r="OAV83" s="143"/>
      <c r="OAW83" s="143"/>
      <c r="OAX83" s="143"/>
      <c r="OAY83" s="143"/>
      <c r="OAZ83" s="143"/>
      <c r="OBA83" s="143"/>
      <c r="OBB83" s="143"/>
      <c r="OBC83" s="143"/>
      <c r="OBD83" s="143"/>
      <c r="OBE83" s="143"/>
      <c r="OBF83" s="143"/>
      <c r="OBG83" s="143"/>
      <c r="OBH83" s="143"/>
      <c r="OBI83" s="143"/>
      <c r="OBJ83" s="143"/>
      <c r="OBK83" s="143"/>
      <c r="OBL83" s="143"/>
      <c r="OBM83" s="143"/>
      <c r="OBN83" s="143"/>
      <c r="OBO83" s="143"/>
      <c r="OBP83" s="143"/>
      <c r="OBQ83" s="143"/>
      <c r="OBR83" s="143"/>
      <c r="OBS83" s="143"/>
      <c r="OBT83" s="143"/>
      <c r="OBU83" s="143"/>
      <c r="OBV83" s="143"/>
      <c r="OBW83" s="143"/>
      <c r="OBX83" s="143"/>
      <c r="OBY83" s="143"/>
      <c r="OBZ83" s="143"/>
      <c r="OCA83" s="143"/>
      <c r="OCB83" s="143"/>
      <c r="OCC83" s="143"/>
      <c r="OCD83" s="143"/>
      <c r="OCE83" s="143"/>
      <c r="OCF83" s="143"/>
      <c r="OCG83" s="143"/>
      <c r="OCH83" s="143"/>
      <c r="OCI83" s="143"/>
      <c r="OCJ83" s="143"/>
      <c r="OCK83" s="143"/>
      <c r="OCL83" s="143"/>
      <c r="OCM83" s="143"/>
      <c r="OCN83" s="143"/>
      <c r="OCO83" s="143"/>
      <c r="OCP83" s="143"/>
      <c r="OCQ83" s="143"/>
      <c r="OCR83" s="143"/>
      <c r="OCS83" s="143"/>
      <c r="OCT83" s="143"/>
      <c r="OCU83" s="143"/>
      <c r="OCV83" s="143"/>
      <c r="OCW83" s="143"/>
      <c r="OCX83" s="143"/>
      <c r="OCY83" s="143"/>
      <c r="OCZ83" s="143"/>
      <c r="ODA83" s="143"/>
      <c r="ODB83" s="143"/>
      <c r="ODC83" s="143"/>
      <c r="ODD83" s="143"/>
      <c r="ODE83" s="143"/>
      <c r="ODF83" s="143"/>
      <c r="ODG83" s="143"/>
      <c r="ODH83" s="143"/>
      <c r="ODI83" s="143"/>
      <c r="ODJ83" s="143"/>
      <c r="ODK83" s="143"/>
      <c r="ODL83" s="143"/>
      <c r="ODM83" s="143"/>
      <c r="ODN83" s="143"/>
      <c r="ODO83" s="143"/>
      <c r="ODP83" s="143"/>
      <c r="ODQ83" s="143"/>
      <c r="ODR83" s="143"/>
      <c r="ODS83" s="143"/>
      <c r="ODT83" s="143"/>
      <c r="ODU83" s="143"/>
      <c r="ODV83" s="143"/>
      <c r="ODW83" s="143"/>
      <c r="ODX83" s="143"/>
      <c r="ODY83" s="143"/>
      <c r="ODZ83" s="143"/>
      <c r="OEA83" s="143"/>
      <c r="OEB83" s="143"/>
      <c r="OEC83" s="143"/>
      <c r="OED83" s="143"/>
      <c r="OEE83" s="143"/>
      <c r="OEF83" s="143"/>
      <c r="OEG83" s="143"/>
      <c r="OEH83" s="143"/>
      <c r="OEI83" s="143"/>
      <c r="OEJ83" s="143"/>
      <c r="OEK83" s="143"/>
      <c r="OEL83" s="143"/>
      <c r="OEM83" s="143"/>
      <c r="OEN83" s="143"/>
      <c r="OEO83" s="143"/>
      <c r="OEP83" s="143"/>
      <c r="OEQ83" s="143"/>
      <c r="OER83" s="143"/>
      <c r="OES83" s="143"/>
      <c r="OET83" s="143"/>
      <c r="OEU83" s="143"/>
      <c r="OEV83" s="143"/>
      <c r="OEW83" s="143"/>
      <c r="OEX83" s="143"/>
      <c r="OEY83" s="143"/>
      <c r="OEZ83" s="143"/>
      <c r="OFA83" s="143"/>
      <c r="OFB83" s="143"/>
      <c r="OFC83" s="143"/>
      <c r="OFD83" s="143"/>
      <c r="OFE83" s="143"/>
      <c r="OFF83" s="143"/>
      <c r="OFG83" s="143"/>
      <c r="OFH83" s="143"/>
      <c r="OFI83" s="143"/>
      <c r="OFJ83" s="143"/>
      <c r="OFK83" s="143"/>
      <c r="OFL83" s="143"/>
      <c r="OFM83" s="143"/>
      <c r="OFN83" s="143"/>
      <c r="OFO83" s="143"/>
      <c r="OFP83" s="143"/>
      <c r="OFQ83" s="143"/>
      <c r="OFR83" s="143"/>
      <c r="OFS83" s="143"/>
      <c r="OFT83" s="143"/>
      <c r="OFU83" s="143"/>
      <c r="OFV83" s="143"/>
      <c r="OFW83" s="143"/>
      <c r="OFX83" s="143"/>
      <c r="OFY83" s="143"/>
      <c r="OFZ83" s="143"/>
      <c r="OGA83" s="143"/>
      <c r="OGB83" s="143"/>
      <c r="OGC83" s="143"/>
      <c r="OGD83" s="143"/>
      <c r="OGE83" s="143"/>
      <c r="OGF83" s="143"/>
      <c r="OGG83" s="143"/>
      <c r="OGH83" s="143"/>
      <c r="OGI83" s="143"/>
      <c r="OGJ83" s="143"/>
      <c r="OGK83" s="143"/>
      <c r="OGL83" s="143"/>
      <c r="OGM83" s="143"/>
      <c r="OGN83" s="143"/>
      <c r="OGO83" s="143"/>
      <c r="OGP83" s="143"/>
      <c r="OGQ83" s="143"/>
      <c r="OGR83" s="143"/>
      <c r="OGS83" s="143"/>
      <c r="OGT83" s="143"/>
      <c r="OGU83" s="143"/>
      <c r="OGV83" s="143"/>
      <c r="OGW83" s="143"/>
      <c r="OGX83" s="143"/>
      <c r="OGY83" s="143"/>
      <c r="OGZ83" s="143"/>
      <c r="OHA83" s="143"/>
      <c r="OHB83" s="143"/>
      <c r="OHC83" s="143"/>
      <c r="OHD83" s="143"/>
      <c r="OHE83" s="143"/>
      <c r="OHF83" s="143"/>
      <c r="OHG83" s="143"/>
      <c r="OHH83" s="143"/>
      <c r="OHI83" s="143"/>
      <c r="OHJ83" s="143"/>
      <c r="OHK83" s="143"/>
      <c r="OHL83" s="143"/>
      <c r="OHM83" s="143"/>
      <c r="OHN83" s="143"/>
      <c r="OHO83" s="143"/>
      <c r="OHP83" s="143"/>
      <c r="OHQ83" s="143"/>
      <c r="OHR83" s="143"/>
      <c r="OHS83" s="143"/>
      <c r="OHT83" s="143"/>
      <c r="OHU83" s="143"/>
      <c r="OHV83" s="143"/>
      <c r="OHW83" s="143"/>
      <c r="OHX83" s="143"/>
      <c r="OHY83" s="143"/>
      <c r="OHZ83" s="143"/>
      <c r="OIA83" s="143"/>
      <c r="OIB83" s="143"/>
      <c r="OIC83" s="143"/>
      <c r="OID83" s="143"/>
      <c r="OIE83" s="143"/>
      <c r="OIF83" s="143"/>
      <c r="OIG83" s="143"/>
      <c r="OIH83" s="143"/>
      <c r="OII83" s="143"/>
      <c r="OIJ83" s="143"/>
      <c r="OIK83" s="143"/>
      <c r="OIL83" s="143"/>
      <c r="OIM83" s="143"/>
      <c r="OIN83" s="143"/>
      <c r="OIO83" s="143"/>
      <c r="OIP83" s="143"/>
      <c r="OIQ83" s="143"/>
      <c r="OIR83" s="143"/>
      <c r="OIS83" s="143"/>
      <c r="OIT83" s="143"/>
      <c r="OIU83" s="143"/>
      <c r="OIV83" s="143"/>
      <c r="OIW83" s="143"/>
      <c r="OIX83" s="143"/>
      <c r="OIY83" s="143"/>
      <c r="OIZ83" s="143"/>
      <c r="OJA83" s="143"/>
      <c r="OJB83" s="143"/>
      <c r="OJC83" s="143"/>
      <c r="OJD83" s="143"/>
      <c r="OJE83" s="143"/>
      <c r="OJF83" s="143"/>
      <c r="OJG83" s="143"/>
      <c r="OJH83" s="143"/>
      <c r="OJI83" s="143"/>
      <c r="OJJ83" s="143"/>
      <c r="OJK83" s="143"/>
      <c r="OJL83" s="143"/>
      <c r="OJM83" s="143"/>
      <c r="OJN83" s="143"/>
      <c r="OJO83" s="143"/>
      <c r="OJP83" s="143"/>
      <c r="OJQ83" s="143"/>
      <c r="OJR83" s="143"/>
      <c r="OJS83" s="143"/>
      <c r="OJT83" s="143"/>
      <c r="OJU83" s="143"/>
      <c r="OJV83" s="143"/>
      <c r="OJW83" s="143"/>
      <c r="OJX83" s="143"/>
      <c r="OJY83" s="143"/>
      <c r="OJZ83" s="143"/>
      <c r="OKA83" s="143"/>
      <c r="OKB83" s="143"/>
      <c r="OKC83" s="143"/>
      <c r="OKD83" s="143"/>
      <c r="OKE83" s="143"/>
      <c r="OKF83" s="143"/>
      <c r="OKG83" s="143"/>
      <c r="OKH83" s="143"/>
      <c r="OKI83" s="143"/>
      <c r="OKJ83" s="143"/>
      <c r="OKK83" s="143"/>
      <c r="OKL83" s="143"/>
      <c r="OKM83" s="143"/>
      <c r="OKN83" s="143"/>
      <c r="OKO83" s="143"/>
      <c r="OKP83" s="143"/>
      <c r="OKQ83" s="143"/>
      <c r="OKR83" s="143"/>
      <c r="OKS83" s="143"/>
      <c r="OKT83" s="143"/>
      <c r="OKU83" s="143"/>
      <c r="OKV83" s="143"/>
      <c r="OKW83" s="143"/>
      <c r="OKX83" s="143"/>
      <c r="OKY83" s="143"/>
      <c r="OKZ83" s="143"/>
      <c r="OLA83" s="143"/>
      <c r="OLB83" s="143"/>
      <c r="OLC83" s="143"/>
      <c r="OLD83" s="143"/>
      <c r="OLE83" s="143"/>
      <c r="OLF83" s="143"/>
      <c r="OLG83" s="143"/>
      <c r="OLH83" s="143"/>
      <c r="OLI83" s="143"/>
      <c r="OLJ83" s="143"/>
      <c r="OLK83" s="143"/>
      <c r="OLL83" s="143"/>
      <c r="OLM83" s="143"/>
      <c r="OLN83" s="143"/>
      <c r="OLO83" s="143"/>
      <c r="OLP83" s="143"/>
      <c r="OLQ83" s="143"/>
      <c r="OLR83" s="143"/>
      <c r="OLS83" s="143"/>
      <c r="OLT83" s="143"/>
      <c r="OLU83" s="143"/>
      <c r="OLV83" s="143"/>
      <c r="OLW83" s="143"/>
      <c r="OLX83" s="143"/>
      <c r="OLY83" s="143"/>
      <c r="OLZ83" s="143"/>
      <c r="OMA83" s="143"/>
      <c r="OMB83" s="143"/>
      <c r="OMC83" s="143"/>
      <c r="OMD83" s="143"/>
      <c r="OME83" s="143"/>
      <c r="OMF83" s="143"/>
      <c r="OMG83" s="143"/>
      <c r="OMH83" s="143"/>
      <c r="OMI83" s="143"/>
      <c r="OMJ83" s="143"/>
      <c r="OMK83" s="143"/>
      <c r="OML83" s="143"/>
      <c r="OMM83" s="143"/>
      <c r="OMN83" s="143"/>
      <c r="OMO83" s="143"/>
      <c r="OMP83" s="143"/>
      <c r="OMQ83" s="143"/>
      <c r="OMR83" s="143"/>
      <c r="OMS83" s="143"/>
      <c r="OMT83" s="143"/>
      <c r="OMU83" s="143"/>
      <c r="OMV83" s="143"/>
      <c r="OMW83" s="143"/>
      <c r="OMX83" s="143"/>
      <c r="OMY83" s="143"/>
      <c r="OMZ83" s="143"/>
      <c r="ONA83" s="143"/>
      <c r="ONB83" s="143"/>
      <c r="ONC83" s="143"/>
      <c r="OND83" s="143"/>
      <c r="ONE83" s="143"/>
      <c r="ONF83" s="143"/>
      <c r="ONG83" s="143"/>
      <c r="ONH83" s="143"/>
      <c r="ONI83" s="143"/>
      <c r="ONJ83" s="143"/>
      <c r="ONK83" s="143"/>
      <c r="ONL83" s="143"/>
      <c r="ONM83" s="143"/>
      <c r="ONN83" s="143"/>
      <c r="ONO83" s="143"/>
      <c r="ONP83" s="143"/>
      <c r="ONQ83" s="143"/>
      <c r="ONR83" s="143"/>
      <c r="ONS83" s="143"/>
      <c r="ONT83" s="143"/>
      <c r="ONU83" s="143"/>
      <c r="ONV83" s="143"/>
      <c r="ONW83" s="143"/>
      <c r="ONX83" s="143"/>
      <c r="ONY83" s="143"/>
      <c r="ONZ83" s="143"/>
      <c r="OOA83" s="143"/>
      <c r="OOB83" s="143"/>
      <c r="OOC83" s="143"/>
      <c r="OOD83" s="143"/>
      <c r="OOE83" s="143"/>
      <c r="OOF83" s="143"/>
      <c r="OOG83" s="143"/>
      <c r="OOH83" s="143"/>
      <c r="OOI83" s="143"/>
      <c r="OOJ83" s="143"/>
      <c r="OOK83" s="143"/>
      <c r="OOL83" s="143"/>
      <c r="OOM83" s="143"/>
      <c r="OON83" s="143"/>
      <c r="OOO83" s="143"/>
      <c r="OOP83" s="143"/>
      <c r="OOQ83" s="143"/>
      <c r="OOR83" s="143"/>
      <c r="OOS83" s="143"/>
      <c r="OOT83" s="143"/>
      <c r="OOU83" s="143"/>
      <c r="OOV83" s="143"/>
      <c r="OOW83" s="143"/>
      <c r="OOX83" s="143"/>
      <c r="OOY83" s="143"/>
      <c r="OOZ83" s="143"/>
      <c r="OPA83" s="143"/>
      <c r="OPB83" s="143"/>
      <c r="OPC83" s="143"/>
      <c r="OPD83" s="143"/>
      <c r="OPE83" s="143"/>
      <c r="OPF83" s="143"/>
      <c r="OPG83" s="143"/>
      <c r="OPH83" s="143"/>
      <c r="OPI83" s="143"/>
      <c r="OPJ83" s="143"/>
      <c r="OPK83" s="143"/>
      <c r="OPL83" s="143"/>
      <c r="OPM83" s="143"/>
      <c r="OPN83" s="143"/>
      <c r="OPO83" s="143"/>
      <c r="OPP83" s="143"/>
      <c r="OPQ83" s="143"/>
      <c r="OPR83" s="143"/>
      <c r="OPS83" s="143"/>
      <c r="OPT83" s="143"/>
      <c r="OPU83" s="143"/>
      <c r="OPV83" s="143"/>
      <c r="OPW83" s="143"/>
      <c r="OPX83" s="143"/>
      <c r="OPY83" s="143"/>
      <c r="OPZ83" s="143"/>
      <c r="OQA83" s="143"/>
      <c r="OQB83" s="143"/>
      <c r="OQC83" s="143"/>
      <c r="OQD83" s="143"/>
      <c r="OQE83" s="143"/>
      <c r="OQF83" s="143"/>
      <c r="OQG83" s="143"/>
      <c r="OQH83" s="143"/>
      <c r="OQI83" s="143"/>
      <c r="OQJ83" s="143"/>
      <c r="OQK83" s="143"/>
      <c r="OQL83" s="143"/>
      <c r="OQM83" s="143"/>
      <c r="OQN83" s="143"/>
      <c r="OQO83" s="143"/>
      <c r="OQP83" s="143"/>
      <c r="OQQ83" s="143"/>
      <c r="OQR83" s="143"/>
      <c r="OQS83" s="143"/>
      <c r="OQT83" s="143"/>
      <c r="OQU83" s="143"/>
      <c r="OQV83" s="143"/>
      <c r="OQW83" s="143"/>
      <c r="OQX83" s="143"/>
      <c r="OQY83" s="143"/>
      <c r="OQZ83" s="143"/>
      <c r="ORA83" s="143"/>
      <c r="ORB83" s="143"/>
      <c r="ORC83" s="143"/>
      <c r="ORD83" s="143"/>
      <c r="ORE83" s="143"/>
      <c r="ORF83" s="143"/>
      <c r="ORG83" s="143"/>
      <c r="ORH83" s="143"/>
      <c r="ORI83" s="143"/>
      <c r="ORJ83" s="143"/>
      <c r="ORK83" s="143"/>
      <c r="ORL83" s="143"/>
      <c r="ORM83" s="143"/>
      <c r="ORN83" s="143"/>
      <c r="ORO83" s="143"/>
      <c r="ORP83" s="143"/>
      <c r="ORQ83" s="143"/>
      <c r="ORR83" s="143"/>
      <c r="ORS83" s="143"/>
      <c r="ORT83" s="143"/>
      <c r="ORU83" s="143"/>
      <c r="ORV83" s="143"/>
      <c r="ORW83" s="143"/>
      <c r="ORX83" s="143"/>
      <c r="ORY83" s="143"/>
      <c r="ORZ83" s="143"/>
      <c r="OSA83" s="143"/>
      <c r="OSB83" s="143"/>
      <c r="OSC83" s="143"/>
      <c r="OSD83" s="143"/>
      <c r="OSE83" s="143"/>
      <c r="OSF83" s="143"/>
      <c r="OSG83" s="143"/>
      <c r="OSH83" s="143"/>
      <c r="OSI83" s="143"/>
      <c r="OSJ83" s="143"/>
      <c r="OSK83" s="143"/>
      <c r="OSL83" s="143"/>
      <c r="OSM83" s="143"/>
      <c r="OSN83" s="143"/>
      <c r="OSO83" s="143"/>
      <c r="OSP83" s="143"/>
      <c r="OSQ83" s="143"/>
      <c r="OSR83" s="143"/>
      <c r="OSS83" s="143"/>
      <c r="OST83" s="143"/>
      <c r="OSU83" s="143"/>
      <c r="OSV83" s="143"/>
      <c r="OSW83" s="143"/>
      <c r="OSX83" s="143"/>
      <c r="OSY83" s="143"/>
      <c r="OSZ83" s="143"/>
      <c r="OTA83" s="143"/>
      <c r="OTB83" s="143"/>
      <c r="OTC83" s="143"/>
      <c r="OTD83" s="143"/>
      <c r="OTE83" s="143"/>
      <c r="OTF83" s="143"/>
      <c r="OTG83" s="143"/>
      <c r="OTH83" s="143"/>
      <c r="OTI83" s="143"/>
      <c r="OTJ83" s="143"/>
      <c r="OTK83" s="143"/>
      <c r="OTL83" s="143"/>
      <c r="OTM83" s="143"/>
      <c r="OTN83" s="143"/>
      <c r="OTO83" s="143"/>
      <c r="OTP83" s="143"/>
      <c r="OTQ83" s="143"/>
      <c r="OTR83" s="143"/>
      <c r="OTS83" s="143"/>
      <c r="OTT83" s="143"/>
      <c r="OTU83" s="143"/>
      <c r="OTV83" s="143"/>
      <c r="OTW83" s="143"/>
      <c r="OTX83" s="143"/>
      <c r="OTY83" s="143"/>
      <c r="OTZ83" s="143"/>
      <c r="OUA83" s="143"/>
      <c r="OUB83" s="143"/>
      <c r="OUC83" s="143"/>
      <c r="OUD83" s="143"/>
      <c r="OUE83" s="143"/>
      <c r="OUF83" s="143"/>
      <c r="OUG83" s="143"/>
      <c r="OUH83" s="143"/>
      <c r="OUI83" s="143"/>
      <c r="OUJ83" s="143"/>
      <c r="OUK83" s="143"/>
      <c r="OUL83" s="143"/>
      <c r="OUM83" s="143"/>
      <c r="OUN83" s="143"/>
      <c r="OUO83" s="143"/>
      <c r="OUP83" s="143"/>
      <c r="OUQ83" s="143"/>
      <c r="OUR83" s="143"/>
      <c r="OUS83" s="143"/>
      <c r="OUT83" s="143"/>
      <c r="OUU83" s="143"/>
      <c r="OUV83" s="143"/>
      <c r="OUW83" s="143"/>
      <c r="OUX83" s="143"/>
      <c r="OUY83" s="143"/>
      <c r="OUZ83" s="143"/>
      <c r="OVA83" s="143"/>
      <c r="OVB83" s="143"/>
      <c r="OVC83" s="143"/>
      <c r="OVD83" s="143"/>
      <c r="OVE83" s="143"/>
      <c r="OVF83" s="143"/>
      <c r="OVG83" s="143"/>
      <c r="OVH83" s="143"/>
      <c r="OVI83" s="143"/>
      <c r="OVJ83" s="143"/>
      <c r="OVK83" s="143"/>
      <c r="OVL83" s="143"/>
      <c r="OVM83" s="143"/>
      <c r="OVN83" s="143"/>
      <c r="OVO83" s="143"/>
      <c r="OVP83" s="143"/>
      <c r="OVQ83" s="143"/>
      <c r="OVR83" s="143"/>
      <c r="OVS83" s="143"/>
      <c r="OVT83" s="143"/>
      <c r="OVU83" s="143"/>
      <c r="OVV83" s="143"/>
      <c r="OVW83" s="143"/>
      <c r="OVX83" s="143"/>
      <c r="OVY83" s="143"/>
      <c r="OVZ83" s="143"/>
      <c r="OWA83" s="143"/>
      <c r="OWB83" s="143"/>
      <c r="OWC83" s="143"/>
      <c r="OWD83" s="143"/>
      <c r="OWE83" s="143"/>
      <c r="OWF83" s="143"/>
      <c r="OWG83" s="143"/>
      <c r="OWH83" s="143"/>
      <c r="OWI83" s="143"/>
      <c r="OWJ83" s="143"/>
      <c r="OWK83" s="143"/>
      <c r="OWL83" s="143"/>
      <c r="OWM83" s="143"/>
      <c r="OWN83" s="143"/>
      <c r="OWO83" s="143"/>
      <c r="OWP83" s="143"/>
      <c r="OWQ83" s="143"/>
      <c r="OWR83" s="143"/>
      <c r="OWS83" s="143"/>
      <c r="OWT83" s="143"/>
      <c r="OWU83" s="143"/>
      <c r="OWV83" s="143"/>
      <c r="OWW83" s="143"/>
      <c r="OWX83" s="143"/>
      <c r="OWY83" s="143"/>
      <c r="OWZ83" s="143"/>
      <c r="OXA83" s="143"/>
      <c r="OXB83" s="143"/>
      <c r="OXC83" s="143"/>
      <c r="OXD83" s="143"/>
      <c r="OXE83" s="143"/>
      <c r="OXF83" s="143"/>
      <c r="OXG83" s="143"/>
      <c r="OXH83" s="143"/>
      <c r="OXI83" s="143"/>
      <c r="OXJ83" s="143"/>
      <c r="OXK83" s="143"/>
      <c r="OXL83" s="143"/>
      <c r="OXM83" s="143"/>
      <c r="OXN83" s="143"/>
      <c r="OXO83" s="143"/>
      <c r="OXP83" s="143"/>
      <c r="OXQ83" s="143"/>
      <c r="OXR83" s="143"/>
      <c r="OXS83" s="143"/>
      <c r="OXT83" s="143"/>
      <c r="OXU83" s="143"/>
      <c r="OXV83" s="143"/>
      <c r="OXW83" s="143"/>
      <c r="OXX83" s="143"/>
      <c r="OXY83" s="143"/>
      <c r="OXZ83" s="143"/>
      <c r="OYA83" s="143"/>
      <c r="OYB83" s="143"/>
      <c r="OYC83" s="143"/>
      <c r="OYD83" s="143"/>
      <c r="OYE83" s="143"/>
      <c r="OYF83" s="143"/>
      <c r="OYG83" s="143"/>
      <c r="OYH83" s="143"/>
      <c r="OYI83" s="143"/>
      <c r="OYJ83" s="143"/>
      <c r="OYK83" s="143"/>
      <c r="OYL83" s="143"/>
      <c r="OYM83" s="143"/>
      <c r="OYN83" s="143"/>
      <c r="OYO83" s="143"/>
      <c r="OYP83" s="143"/>
      <c r="OYQ83" s="143"/>
      <c r="OYR83" s="143"/>
      <c r="OYS83" s="143"/>
      <c r="OYT83" s="143"/>
      <c r="OYU83" s="143"/>
      <c r="OYV83" s="143"/>
      <c r="OYW83" s="143"/>
      <c r="OYX83" s="143"/>
      <c r="OYY83" s="143"/>
      <c r="OYZ83" s="143"/>
      <c r="OZA83" s="143"/>
      <c r="OZB83" s="143"/>
      <c r="OZC83" s="143"/>
      <c r="OZD83" s="143"/>
      <c r="OZE83" s="143"/>
      <c r="OZF83" s="143"/>
      <c r="OZG83" s="143"/>
      <c r="OZH83" s="143"/>
      <c r="OZI83" s="143"/>
      <c r="OZJ83" s="143"/>
      <c r="OZK83" s="143"/>
      <c r="OZL83" s="143"/>
      <c r="OZM83" s="143"/>
      <c r="OZN83" s="143"/>
      <c r="OZO83" s="143"/>
      <c r="OZP83" s="143"/>
      <c r="OZQ83" s="143"/>
      <c r="OZR83" s="143"/>
      <c r="OZS83" s="143"/>
      <c r="OZT83" s="143"/>
      <c r="OZU83" s="143"/>
      <c r="OZV83" s="143"/>
      <c r="OZW83" s="143"/>
      <c r="OZX83" s="143"/>
      <c r="OZY83" s="143"/>
      <c r="OZZ83" s="143"/>
      <c r="PAA83" s="143"/>
      <c r="PAB83" s="143"/>
      <c r="PAC83" s="143"/>
      <c r="PAD83" s="143"/>
      <c r="PAE83" s="143"/>
      <c r="PAF83" s="143"/>
      <c r="PAG83" s="143"/>
      <c r="PAH83" s="143"/>
      <c r="PAI83" s="143"/>
      <c r="PAJ83" s="143"/>
      <c r="PAK83" s="143"/>
      <c r="PAL83" s="143"/>
      <c r="PAM83" s="143"/>
      <c r="PAN83" s="143"/>
      <c r="PAO83" s="143"/>
      <c r="PAP83" s="143"/>
      <c r="PAQ83" s="143"/>
      <c r="PAR83" s="143"/>
      <c r="PAS83" s="143"/>
      <c r="PAT83" s="143"/>
      <c r="PAU83" s="143"/>
      <c r="PAV83" s="143"/>
      <c r="PAW83" s="143"/>
      <c r="PAX83" s="143"/>
      <c r="PAY83" s="143"/>
      <c r="PAZ83" s="143"/>
      <c r="PBA83" s="143"/>
      <c r="PBB83" s="143"/>
      <c r="PBC83" s="143"/>
      <c r="PBD83" s="143"/>
      <c r="PBE83" s="143"/>
      <c r="PBF83" s="143"/>
      <c r="PBG83" s="143"/>
      <c r="PBH83" s="143"/>
      <c r="PBI83" s="143"/>
      <c r="PBJ83" s="143"/>
      <c r="PBK83" s="143"/>
      <c r="PBL83" s="143"/>
      <c r="PBM83" s="143"/>
      <c r="PBN83" s="143"/>
      <c r="PBO83" s="143"/>
      <c r="PBP83" s="143"/>
      <c r="PBQ83" s="143"/>
      <c r="PBR83" s="143"/>
      <c r="PBS83" s="143"/>
      <c r="PBT83" s="143"/>
      <c r="PBU83" s="143"/>
      <c r="PBV83" s="143"/>
      <c r="PBW83" s="143"/>
      <c r="PBX83" s="143"/>
      <c r="PBY83" s="143"/>
      <c r="PBZ83" s="143"/>
      <c r="PCA83" s="143"/>
      <c r="PCB83" s="143"/>
      <c r="PCC83" s="143"/>
      <c r="PCD83" s="143"/>
      <c r="PCE83" s="143"/>
      <c r="PCF83" s="143"/>
      <c r="PCG83" s="143"/>
      <c r="PCH83" s="143"/>
      <c r="PCI83" s="143"/>
      <c r="PCJ83" s="143"/>
      <c r="PCK83" s="143"/>
      <c r="PCL83" s="143"/>
      <c r="PCM83" s="143"/>
      <c r="PCN83" s="143"/>
      <c r="PCO83" s="143"/>
      <c r="PCP83" s="143"/>
      <c r="PCQ83" s="143"/>
      <c r="PCR83" s="143"/>
      <c r="PCS83" s="143"/>
      <c r="PCT83" s="143"/>
      <c r="PCU83" s="143"/>
      <c r="PCV83" s="143"/>
      <c r="PCW83" s="143"/>
      <c r="PCX83" s="143"/>
      <c r="PCY83" s="143"/>
      <c r="PCZ83" s="143"/>
      <c r="PDA83" s="143"/>
      <c r="PDB83" s="143"/>
      <c r="PDC83" s="143"/>
      <c r="PDD83" s="143"/>
      <c r="PDE83" s="143"/>
      <c r="PDF83" s="143"/>
      <c r="PDG83" s="143"/>
      <c r="PDH83" s="143"/>
      <c r="PDI83" s="143"/>
      <c r="PDJ83" s="143"/>
      <c r="PDK83" s="143"/>
      <c r="PDL83" s="143"/>
      <c r="PDM83" s="143"/>
      <c r="PDN83" s="143"/>
      <c r="PDO83" s="143"/>
      <c r="PDP83" s="143"/>
      <c r="PDQ83" s="143"/>
      <c r="PDR83" s="143"/>
      <c r="PDS83" s="143"/>
      <c r="PDT83" s="143"/>
      <c r="PDU83" s="143"/>
      <c r="PDV83" s="143"/>
      <c r="PDW83" s="143"/>
      <c r="PDX83" s="143"/>
      <c r="PDY83" s="143"/>
      <c r="PDZ83" s="143"/>
      <c r="PEA83" s="143"/>
      <c r="PEB83" s="143"/>
      <c r="PEC83" s="143"/>
      <c r="PED83" s="143"/>
      <c r="PEE83" s="143"/>
      <c r="PEF83" s="143"/>
      <c r="PEG83" s="143"/>
      <c r="PEH83" s="143"/>
      <c r="PEI83" s="143"/>
      <c r="PEJ83" s="143"/>
      <c r="PEK83" s="143"/>
      <c r="PEL83" s="143"/>
      <c r="PEM83" s="143"/>
      <c r="PEN83" s="143"/>
      <c r="PEO83" s="143"/>
      <c r="PEP83" s="143"/>
      <c r="PEQ83" s="143"/>
      <c r="PER83" s="143"/>
      <c r="PES83" s="143"/>
      <c r="PET83" s="143"/>
      <c r="PEU83" s="143"/>
      <c r="PEV83" s="143"/>
      <c r="PEW83" s="143"/>
      <c r="PEX83" s="143"/>
      <c r="PEY83" s="143"/>
      <c r="PEZ83" s="143"/>
      <c r="PFA83" s="143"/>
      <c r="PFB83" s="143"/>
      <c r="PFC83" s="143"/>
      <c r="PFD83" s="143"/>
      <c r="PFE83" s="143"/>
      <c r="PFF83" s="143"/>
      <c r="PFG83" s="143"/>
      <c r="PFH83" s="143"/>
      <c r="PFI83" s="143"/>
      <c r="PFJ83" s="143"/>
      <c r="PFK83" s="143"/>
      <c r="PFL83" s="143"/>
      <c r="PFM83" s="143"/>
      <c r="PFN83" s="143"/>
      <c r="PFO83" s="143"/>
      <c r="PFP83" s="143"/>
      <c r="PFQ83" s="143"/>
      <c r="PFR83" s="143"/>
      <c r="PFS83" s="143"/>
      <c r="PFT83" s="143"/>
      <c r="PFU83" s="143"/>
      <c r="PFV83" s="143"/>
      <c r="PFW83" s="143"/>
      <c r="PFX83" s="143"/>
      <c r="PFY83" s="143"/>
      <c r="PFZ83" s="143"/>
      <c r="PGA83" s="143"/>
      <c r="PGB83" s="143"/>
      <c r="PGC83" s="143"/>
      <c r="PGD83" s="143"/>
      <c r="PGE83" s="143"/>
      <c r="PGF83" s="143"/>
      <c r="PGG83" s="143"/>
      <c r="PGH83" s="143"/>
      <c r="PGI83" s="143"/>
      <c r="PGJ83" s="143"/>
      <c r="PGK83" s="143"/>
      <c r="PGL83" s="143"/>
      <c r="PGM83" s="143"/>
      <c r="PGN83" s="143"/>
      <c r="PGO83" s="143"/>
      <c r="PGP83" s="143"/>
      <c r="PGQ83" s="143"/>
      <c r="PGR83" s="143"/>
      <c r="PGS83" s="143"/>
      <c r="PGT83" s="143"/>
      <c r="PGU83" s="143"/>
      <c r="PGV83" s="143"/>
      <c r="PGW83" s="143"/>
      <c r="PGX83" s="143"/>
      <c r="PGY83" s="143"/>
      <c r="PGZ83" s="143"/>
      <c r="PHA83" s="143"/>
      <c r="PHB83" s="143"/>
      <c r="PHC83" s="143"/>
      <c r="PHD83" s="143"/>
      <c r="PHE83" s="143"/>
      <c r="PHF83" s="143"/>
      <c r="PHG83" s="143"/>
      <c r="PHH83" s="143"/>
      <c r="PHI83" s="143"/>
      <c r="PHJ83" s="143"/>
      <c r="PHK83" s="143"/>
      <c r="PHL83" s="143"/>
      <c r="PHM83" s="143"/>
      <c r="PHN83" s="143"/>
      <c r="PHO83" s="143"/>
      <c r="PHP83" s="143"/>
      <c r="PHQ83" s="143"/>
      <c r="PHR83" s="143"/>
      <c r="PHS83" s="143"/>
      <c r="PHT83" s="143"/>
      <c r="PHU83" s="143"/>
      <c r="PHV83" s="143"/>
      <c r="PHW83" s="143"/>
      <c r="PHX83" s="143"/>
      <c r="PHY83" s="143"/>
      <c r="PHZ83" s="143"/>
      <c r="PIA83" s="143"/>
      <c r="PIB83" s="143"/>
      <c r="PIC83" s="143"/>
      <c r="PID83" s="143"/>
      <c r="PIE83" s="143"/>
      <c r="PIF83" s="143"/>
      <c r="PIG83" s="143"/>
      <c r="PIH83" s="143"/>
      <c r="PII83" s="143"/>
      <c r="PIJ83" s="143"/>
      <c r="PIK83" s="143"/>
      <c r="PIL83" s="143"/>
      <c r="PIM83" s="143"/>
      <c r="PIN83" s="143"/>
      <c r="PIO83" s="143"/>
      <c r="PIP83" s="143"/>
      <c r="PIQ83" s="143"/>
      <c r="PIR83" s="143"/>
      <c r="PIS83" s="143"/>
      <c r="PIT83" s="143"/>
      <c r="PIU83" s="143"/>
      <c r="PIV83" s="143"/>
      <c r="PIW83" s="143"/>
      <c r="PIX83" s="143"/>
      <c r="PIY83" s="143"/>
      <c r="PIZ83" s="143"/>
      <c r="PJA83" s="143"/>
      <c r="PJB83" s="143"/>
      <c r="PJC83" s="143"/>
      <c r="PJD83" s="143"/>
      <c r="PJE83" s="143"/>
      <c r="PJF83" s="143"/>
      <c r="PJG83" s="143"/>
      <c r="PJH83" s="143"/>
      <c r="PJI83" s="143"/>
      <c r="PJJ83" s="143"/>
      <c r="PJK83" s="143"/>
      <c r="PJL83" s="143"/>
      <c r="PJM83" s="143"/>
      <c r="PJN83" s="143"/>
      <c r="PJO83" s="143"/>
      <c r="PJP83" s="143"/>
      <c r="PJQ83" s="143"/>
      <c r="PJR83" s="143"/>
      <c r="PJS83" s="143"/>
      <c r="PJT83" s="143"/>
      <c r="PJU83" s="143"/>
      <c r="PJV83" s="143"/>
      <c r="PJW83" s="143"/>
      <c r="PJX83" s="143"/>
      <c r="PJY83" s="143"/>
      <c r="PJZ83" s="143"/>
      <c r="PKA83" s="143"/>
      <c r="PKB83" s="143"/>
      <c r="PKC83" s="143"/>
      <c r="PKD83" s="143"/>
      <c r="PKE83" s="143"/>
      <c r="PKF83" s="143"/>
      <c r="PKG83" s="143"/>
      <c r="PKH83" s="143"/>
      <c r="PKI83" s="143"/>
      <c r="PKJ83" s="143"/>
      <c r="PKK83" s="143"/>
      <c r="PKL83" s="143"/>
      <c r="PKM83" s="143"/>
      <c r="PKN83" s="143"/>
      <c r="PKO83" s="143"/>
      <c r="PKP83" s="143"/>
      <c r="PKQ83" s="143"/>
      <c r="PKR83" s="143"/>
      <c r="PKS83" s="143"/>
      <c r="PKT83" s="143"/>
      <c r="PKU83" s="143"/>
      <c r="PKV83" s="143"/>
      <c r="PKW83" s="143"/>
      <c r="PKX83" s="143"/>
      <c r="PKY83" s="143"/>
      <c r="PKZ83" s="143"/>
      <c r="PLA83" s="143"/>
      <c r="PLB83" s="143"/>
      <c r="PLC83" s="143"/>
      <c r="PLD83" s="143"/>
      <c r="PLE83" s="143"/>
      <c r="PLF83" s="143"/>
      <c r="PLG83" s="143"/>
      <c r="PLH83" s="143"/>
      <c r="PLI83" s="143"/>
      <c r="PLJ83" s="143"/>
      <c r="PLK83" s="143"/>
      <c r="PLL83" s="143"/>
      <c r="PLM83" s="143"/>
      <c r="PLN83" s="143"/>
      <c r="PLO83" s="143"/>
      <c r="PLP83" s="143"/>
      <c r="PLQ83" s="143"/>
      <c r="PLR83" s="143"/>
      <c r="PLS83" s="143"/>
      <c r="PLT83" s="143"/>
      <c r="PLU83" s="143"/>
      <c r="PLV83" s="143"/>
      <c r="PLW83" s="143"/>
      <c r="PLX83" s="143"/>
      <c r="PLY83" s="143"/>
      <c r="PLZ83" s="143"/>
      <c r="PMA83" s="143"/>
      <c r="PMB83" s="143"/>
      <c r="PMC83" s="143"/>
      <c r="PMD83" s="143"/>
      <c r="PME83" s="143"/>
      <c r="PMF83" s="143"/>
      <c r="PMG83" s="143"/>
      <c r="PMH83" s="143"/>
      <c r="PMI83" s="143"/>
      <c r="PMJ83" s="143"/>
      <c r="PMK83" s="143"/>
      <c r="PML83" s="143"/>
      <c r="PMM83" s="143"/>
      <c r="PMN83" s="143"/>
      <c r="PMO83" s="143"/>
      <c r="PMP83" s="143"/>
      <c r="PMQ83" s="143"/>
      <c r="PMR83" s="143"/>
      <c r="PMS83" s="143"/>
      <c r="PMT83" s="143"/>
      <c r="PMU83" s="143"/>
      <c r="PMV83" s="143"/>
      <c r="PMW83" s="143"/>
      <c r="PMX83" s="143"/>
      <c r="PMY83" s="143"/>
      <c r="PMZ83" s="143"/>
      <c r="PNA83" s="143"/>
      <c r="PNB83" s="143"/>
      <c r="PNC83" s="143"/>
      <c r="PND83" s="143"/>
      <c r="PNE83" s="143"/>
      <c r="PNF83" s="143"/>
      <c r="PNG83" s="143"/>
      <c r="PNH83" s="143"/>
      <c r="PNI83" s="143"/>
      <c r="PNJ83" s="143"/>
      <c r="PNK83" s="143"/>
      <c r="PNL83" s="143"/>
      <c r="PNM83" s="143"/>
      <c r="PNN83" s="143"/>
      <c r="PNO83" s="143"/>
      <c r="PNP83" s="143"/>
      <c r="PNQ83" s="143"/>
      <c r="PNR83" s="143"/>
      <c r="PNS83" s="143"/>
      <c r="PNT83" s="143"/>
      <c r="PNU83" s="143"/>
      <c r="PNV83" s="143"/>
      <c r="PNW83" s="143"/>
      <c r="PNX83" s="143"/>
      <c r="PNY83" s="143"/>
      <c r="PNZ83" s="143"/>
      <c r="POA83" s="143"/>
      <c r="POB83" s="143"/>
      <c r="POC83" s="143"/>
      <c r="POD83" s="143"/>
      <c r="POE83" s="143"/>
      <c r="POF83" s="143"/>
      <c r="POG83" s="143"/>
      <c r="POH83" s="143"/>
      <c r="POI83" s="143"/>
      <c r="POJ83" s="143"/>
      <c r="POK83" s="143"/>
      <c r="POL83" s="143"/>
      <c r="POM83" s="143"/>
      <c r="PON83" s="143"/>
      <c r="POO83" s="143"/>
      <c r="POP83" s="143"/>
      <c r="POQ83" s="143"/>
      <c r="POR83" s="143"/>
      <c r="POS83" s="143"/>
      <c r="POT83" s="143"/>
      <c r="POU83" s="143"/>
      <c r="POV83" s="143"/>
      <c r="POW83" s="143"/>
      <c r="POX83" s="143"/>
      <c r="POY83" s="143"/>
      <c r="POZ83" s="143"/>
      <c r="PPA83" s="143"/>
      <c r="PPB83" s="143"/>
      <c r="PPC83" s="143"/>
      <c r="PPD83" s="143"/>
      <c r="PPE83" s="143"/>
      <c r="PPF83" s="143"/>
      <c r="PPG83" s="143"/>
      <c r="PPH83" s="143"/>
      <c r="PPI83" s="143"/>
      <c r="PPJ83" s="143"/>
      <c r="PPK83" s="143"/>
      <c r="PPL83" s="143"/>
      <c r="PPM83" s="143"/>
      <c r="PPN83" s="143"/>
      <c r="PPO83" s="143"/>
      <c r="PPP83" s="143"/>
      <c r="PPQ83" s="143"/>
      <c r="PPR83" s="143"/>
      <c r="PPS83" s="143"/>
      <c r="PPT83" s="143"/>
      <c r="PPU83" s="143"/>
      <c r="PPV83" s="143"/>
      <c r="PPW83" s="143"/>
      <c r="PPX83" s="143"/>
      <c r="PPY83" s="143"/>
      <c r="PPZ83" s="143"/>
      <c r="PQA83" s="143"/>
      <c r="PQB83" s="143"/>
      <c r="PQC83" s="143"/>
      <c r="PQD83" s="143"/>
      <c r="PQE83" s="143"/>
      <c r="PQF83" s="143"/>
      <c r="PQG83" s="143"/>
      <c r="PQH83" s="143"/>
      <c r="PQI83" s="143"/>
      <c r="PQJ83" s="143"/>
      <c r="PQK83" s="143"/>
      <c r="PQL83" s="143"/>
      <c r="PQM83" s="143"/>
      <c r="PQN83" s="143"/>
      <c r="PQO83" s="143"/>
      <c r="PQP83" s="143"/>
      <c r="PQQ83" s="143"/>
      <c r="PQR83" s="143"/>
      <c r="PQS83" s="143"/>
      <c r="PQT83" s="143"/>
      <c r="PQU83" s="143"/>
      <c r="PQV83" s="143"/>
      <c r="PQW83" s="143"/>
      <c r="PQX83" s="143"/>
      <c r="PQY83" s="143"/>
      <c r="PQZ83" s="143"/>
      <c r="PRA83" s="143"/>
      <c r="PRB83" s="143"/>
      <c r="PRC83" s="143"/>
      <c r="PRD83" s="143"/>
      <c r="PRE83" s="143"/>
      <c r="PRF83" s="143"/>
      <c r="PRG83" s="143"/>
      <c r="PRH83" s="143"/>
      <c r="PRI83" s="143"/>
      <c r="PRJ83" s="143"/>
      <c r="PRK83" s="143"/>
      <c r="PRL83" s="143"/>
      <c r="PRM83" s="143"/>
      <c r="PRN83" s="143"/>
      <c r="PRO83" s="143"/>
      <c r="PRP83" s="143"/>
      <c r="PRQ83" s="143"/>
      <c r="PRR83" s="143"/>
      <c r="PRS83" s="143"/>
      <c r="PRT83" s="143"/>
      <c r="PRU83" s="143"/>
      <c r="PRV83" s="143"/>
      <c r="PRW83" s="143"/>
      <c r="PRX83" s="143"/>
      <c r="PRY83" s="143"/>
      <c r="PRZ83" s="143"/>
      <c r="PSA83" s="143"/>
      <c r="PSB83" s="143"/>
      <c r="PSC83" s="143"/>
      <c r="PSD83" s="143"/>
      <c r="PSE83" s="143"/>
      <c r="PSF83" s="143"/>
      <c r="PSG83" s="143"/>
      <c r="PSH83" s="143"/>
      <c r="PSI83" s="143"/>
      <c r="PSJ83" s="143"/>
      <c r="PSK83" s="143"/>
      <c r="PSL83" s="143"/>
      <c r="PSM83" s="143"/>
      <c r="PSN83" s="143"/>
      <c r="PSO83" s="143"/>
      <c r="PSP83" s="143"/>
      <c r="PSQ83" s="143"/>
      <c r="PSR83" s="143"/>
      <c r="PSS83" s="143"/>
      <c r="PST83" s="143"/>
      <c r="PSU83" s="143"/>
      <c r="PSV83" s="143"/>
      <c r="PSW83" s="143"/>
      <c r="PSX83" s="143"/>
      <c r="PSY83" s="143"/>
      <c r="PSZ83" s="143"/>
      <c r="PTA83" s="143"/>
      <c r="PTB83" s="143"/>
      <c r="PTC83" s="143"/>
      <c r="PTD83" s="143"/>
      <c r="PTE83" s="143"/>
      <c r="PTF83" s="143"/>
      <c r="PTG83" s="143"/>
      <c r="PTH83" s="143"/>
      <c r="PTI83" s="143"/>
      <c r="PTJ83" s="143"/>
      <c r="PTK83" s="143"/>
      <c r="PTL83" s="143"/>
      <c r="PTM83" s="143"/>
      <c r="PTN83" s="143"/>
      <c r="PTO83" s="143"/>
      <c r="PTP83" s="143"/>
      <c r="PTQ83" s="143"/>
      <c r="PTR83" s="143"/>
      <c r="PTS83" s="143"/>
      <c r="PTT83" s="143"/>
      <c r="PTU83" s="143"/>
      <c r="PTV83" s="143"/>
      <c r="PTW83" s="143"/>
      <c r="PTX83" s="143"/>
      <c r="PTY83" s="143"/>
      <c r="PTZ83" s="143"/>
      <c r="PUA83" s="143"/>
      <c r="PUB83" s="143"/>
      <c r="PUC83" s="143"/>
      <c r="PUD83" s="143"/>
      <c r="PUE83" s="143"/>
      <c r="PUF83" s="143"/>
      <c r="PUG83" s="143"/>
      <c r="PUH83" s="143"/>
      <c r="PUI83" s="143"/>
      <c r="PUJ83" s="143"/>
      <c r="PUK83" s="143"/>
      <c r="PUL83" s="143"/>
      <c r="PUM83" s="143"/>
      <c r="PUN83" s="143"/>
      <c r="PUO83" s="143"/>
      <c r="PUP83" s="143"/>
      <c r="PUQ83" s="143"/>
      <c r="PUR83" s="143"/>
      <c r="PUS83" s="143"/>
      <c r="PUT83" s="143"/>
      <c r="PUU83" s="143"/>
      <c r="PUV83" s="143"/>
      <c r="PUW83" s="143"/>
      <c r="PUX83" s="143"/>
      <c r="PUY83" s="143"/>
      <c r="PUZ83" s="143"/>
      <c r="PVA83" s="143"/>
      <c r="PVB83" s="143"/>
      <c r="PVC83" s="143"/>
      <c r="PVD83" s="143"/>
      <c r="PVE83" s="143"/>
      <c r="PVF83" s="143"/>
      <c r="PVG83" s="143"/>
      <c r="PVH83" s="143"/>
      <c r="PVI83" s="143"/>
      <c r="PVJ83" s="143"/>
      <c r="PVK83" s="143"/>
      <c r="PVL83" s="143"/>
      <c r="PVM83" s="143"/>
      <c r="PVN83" s="143"/>
      <c r="PVO83" s="143"/>
      <c r="PVP83" s="143"/>
      <c r="PVQ83" s="143"/>
      <c r="PVR83" s="143"/>
      <c r="PVS83" s="143"/>
      <c r="PVT83" s="143"/>
      <c r="PVU83" s="143"/>
      <c r="PVV83" s="143"/>
      <c r="PVW83" s="143"/>
      <c r="PVX83" s="143"/>
      <c r="PVY83" s="143"/>
      <c r="PVZ83" s="143"/>
      <c r="PWA83" s="143"/>
      <c r="PWB83" s="143"/>
      <c r="PWC83" s="143"/>
      <c r="PWD83" s="143"/>
      <c r="PWE83" s="143"/>
      <c r="PWF83" s="143"/>
      <c r="PWG83" s="143"/>
      <c r="PWH83" s="143"/>
      <c r="PWI83" s="143"/>
      <c r="PWJ83" s="143"/>
      <c r="PWK83" s="143"/>
      <c r="PWL83" s="143"/>
      <c r="PWM83" s="143"/>
      <c r="PWN83" s="143"/>
      <c r="PWO83" s="143"/>
      <c r="PWP83" s="143"/>
      <c r="PWQ83" s="143"/>
      <c r="PWR83" s="143"/>
      <c r="PWS83" s="143"/>
      <c r="PWT83" s="143"/>
      <c r="PWU83" s="143"/>
      <c r="PWV83" s="143"/>
      <c r="PWW83" s="143"/>
      <c r="PWX83" s="143"/>
      <c r="PWY83" s="143"/>
      <c r="PWZ83" s="143"/>
      <c r="PXA83" s="143"/>
      <c r="PXB83" s="143"/>
      <c r="PXC83" s="143"/>
      <c r="PXD83" s="143"/>
      <c r="PXE83" s="143"/>
      <c r="PXF83" s="143"/>
      <c r="PXG83" s="143"/>
      <c r="PXH83" s="143"/>
      <c r="PXI83" s="143"/>
      <c r="PXJ83" s="143"/>
      <c r="PXK83" s="143"/>
      <c r="PXL83" s="143"/>
      <c r="PXM83" s="143"/>
      <c r="PXN83" s="143"/>
      <c r="PXO83" s="143"/>
      <c r="PXP83" s="143"/>
      <c r="PXQ83" s="143"/>
      <c r="PXR83" s="143"/>
      <c r="PXS83" s="143"/>
      <c r="PXT83" s="143"/>
      <c r="PXU83" s="143"/>
      <c r="PXV83" s="143"/>
      <c r="PXW83" s="143"/>
      <c r="PXX83" s="143"/>
      <c r="PXY83" s="143"/>
      <c r="PXZ83" s="143"/>
      <c r="PYA83" s="143"/>
      <c r="PYB83" s="143"/>
      <c r="PYC83" s="143"/>
      <c r="PYD83" s="143"/>
      <c r="PYE83" s="143"/>
      <c r="PYF83" s="143"/>
      <c r="PYG83" s="143"/>
      <c r="PYH83" s="143"/>
      <c r="PYI83" s="143"/>
      <c r="PYJ83" s="143"/>
      <c r="PYK83" s="143"/>
      <c r="PYL83" s="143"/>
      <c r="PYM83" s="143"/>
      <c r="PYN83" s="143"/>
      <c r="PYO83" s="143"/>
      <c r="PYP83" s="143"/>
      <c r="PYQ83" s="143"/>
      <c r="PYR83" s="143"/>
      <c r="PYS83" s="143"/>
      <c r="PYT83" s="143"/>
      <c r="PYU83" s="143"/>
      <c r="PYV83" s="143"/>
      <c r="PYW83" s="143"/>
      <c r="PYX83" s="143"/>
      <c r="PYY83" s="143"/>
      <c r="PYZ83" s="143"/>
      <c r="PZA83" s="143"/>
      <c r="PZB83" s="143"/>
      <c r="PZC83" s="143"/>
      <c r="PZD83" s="143"/>
      <c r="PZE83" s="143"/>
      <c r="PZF83" s="143"/>
      <c r="PZG83" s="143"/>
      <c r="PZH83" s="143"/>
      <c r="PZI83" s="143"/>
      <c r="PZJ83" s="143"/>
      <c r="PZK83" s="143"/>
      <c r="PZL83" s="143"/>
      <c r="PZM83" s="143"/>
      <c r="PZN83" s="143"/>
      <c r="PZO83" s="143"/>
      <c r="PZP83" s="143"/>
      <c r="PZQ83" s="143"/>
      <c r="PZR83" s="143"/>
      <c r="PZS83" s="143"/>
      <c r="PZT83" s="143"/>
      <c r="PZU83" s="143"/>
      <c r="PZV83" s="143"/>
      <c r="PZW83" s="143"/>
      <c r="PZX83" s="143"/>
      <c r="PZY83" s="143"/>
      <c r="PZZ83" s="143"/>
      <c r="QAA83" s="143"/>
      <c r="QAB83" s="143"/>
      <c r="QAC83" s="143"/>
      <c r="QAD83" s="143"/>
      <c r="QAE83" s="143"/>
      <c r="QAF83" s="143"/>
      <c r="QAG83" s="143"/>
      <c r="QAH83" s="143"/>
      <c r="QAI83" s="143"/>
      <c r="QAJ83" s="143"/>
      <c r="QAK83" s="143"/>
      <c r="QAL83" s="143"/>
      <c r="QAM83" s="143"/>
      <c r="QAN83" s="143"/>
      <c r="QAO83" s="143"/>
      <c r="QAP83" s="143"/>
      <c r="QAQ83" s="143"/>
      <c r="QAR83" s="143"/>
      <c r="QAS83" s="143"/>
      <c r="QAT83" s="143"/>
      <c r="QAU83" s="143"/>
      <c r="QAV83" s="143"/>
      <c r="QAW83" s="143"/>
      <c r="QAX83" s="143"/>
      <c r="QAY83" s="143"/>
      <c r="QAZ83" s="143"/>
      <c r="QBA83" s="143"/>
      <c r="QBB83" s="143"/>
      <c r="QBC83" s="143"/>
      <c r="QBD83" s="143"/>
      <c r="QBE83" s="143"/>
      <c r="QBF83" s="143"/>
      <c r="QBG83" s="143"/>
      <c r="QBH83" s="143"/>
      <c r="QBI83" s="143"/>
      <c r="QBJ83" s="143"/>
      <c r="QBK83" s="143"/>
      <c r="QBL83" s="143"/>
      <c r="QBM83" s="143"/>
      <c r="QBN83" s="143"/>
      <c r="QBO83" s="143"/>
      <c r="QBP83" s="143"/>
      <c r="QBQ83" s="143"/>
      <c r="QBR83" s="143"/>
      <c r="QBS83" s="143"/>
      <c r="QBT83" s="143"/>
      <c r="QBU83" s="143"/>
      <c r="QBV83" s="143"/>
      <c r="QBW83" s="143"/>
      <c r="QBX83" s="143"/>
      <c r="QBY83" s="143"/>
      <c r="QBZ83" s="143"/>
      <c r="QCA83" s="143"/>
      <c r="QCB83" s="143"/>
      <c r="QCC83" s="143"/>
      <c r="QCD83" s="143"/>
      <c r="QCE83" s="143"/>
      <c r="QCF83" s="143"/>
      <c r="QCG83" s="143"/>
      <c r="QCH83" s="143"/>
      <c r="QCI83" s="143"/>
      <c r="QCJ83" s="143"/>
      <c r="QCK83" s="143"/>
      <c r="QCL83" s="143"/>
      <c r="QCM83" s="143"/>
      <c r="QCN83" s="143"/>
      <c r="QCO83" s="143"/>
      <c r="QCP83" s="143"/>
      <c r="QCQ83" s="143"/>
      <c r="QCR83" s="143"/>
      <c r="QCS83" s="143"/>
      <c r="QCT83" s="143"/>
      <c r="QCU83" s="143"/>
      <c r="QCV83" s="143"/>
      <c r="QCW83" s="143"/>
      <c r="QCX83" s="143"/>
      <c r="QCY83" s="143"/>
      <c r="QCZ83" s="143"/>
      <c r="QDA83" s="143"/>
      <c r="QDB83" s="143"/>
      <c r="QDC83" s="143"/>
      <c r="QDD83" s="143"/>
      <c r="QDE83" s="143"/>
      <c r="QDF83" s="143"/>
      <c r="QDG83" s="143"/>
      <c r="QDH83" s="143"/>
      <c r="QDI83" s="143"/>
      <c r="QDJ83" s="143"/>
      <c r="QDK83" s="143"/>
      <c r="QDL83" s="143"/>
      <c r="QDM83" s="143"/>
      <c r="QDN83" s="143"/>
      <c r="QDO83" s="143"/>
      <c r="QDP83" s="143"/>
      <c r="QDQ83" s="143"/>
      <c r="QDR83" s="143"/>
      <c r="QDS83" s="143"/>
      <c r="QDT83" s="143"/>
      <c r="QDU83" s="143"/>
      <c r="QDV83" s="143"/>
      <c r="QDW83" s="143"/>
      <c r="QDX83" s="143"/>
      <c r="QDY83" s="143"/>
      <c r="QDZ83" s="143"/>
      <c r="QEA83" s="143"/>
      <c r="QEB83" s="143"/>
      <c r="QEC83" s="143"/>
      <c r="QED83" s="143"/>
      <c r="QEE83" s="143"/>
      <c r="QEF83" s="143"/>
      <c r="QEG83" s="143"/>
      <c r="QEH83" s="143"/>
      <c r="QEI83" s="143"/>
      <c r="QEJ83" s="143"/>
      <c r="QEK83" s="143"/>
      <c r="QEL83" s="143"/>
      <c r="QEM83" s="143"/>
      <c r="QEN83" s="143"/>
      <c r="QEO83" s="143"/>
      <c r="QEP83" s="143"/>
      <c r="QEQ83" s="143"/>
      <c r="QER83" s="143"/>
      <c r="QES83" s="143"/>
      <c r="QET83" s="143"/>
      <c r="QEU83" s="143"/>
      <c r="QEV83" s="143"/>
      <c r="QEW83" s="143"/>
      <c r="QEX83" s="143"/>
      <c r="QEY83" s="143"/>
      <c r="QEZ83" s="143"/>
      <c r="QFA83" s="143"/>
      <c r="QFB83" s="143"/>
      <c r="QFC83" s="143"/>
      <c r="QFD83" s="143"/>
      <c r="QFE83" s="143"/>
      <c r="QFF83" s="143"/>
      <c r="QFG83" s="143"/>
      <c r="QFH83" s="143"/>
      <c r="QFI83" s="143"/>
      <c r="QFJ83" s="143"/>
      <c r="QFK83" s="143"/>
      <c r="QFL83" s="143"/>
      <c r="QFM83" s="143"/>
      <c r="QFN83" s="143"/>
      <c r="QFO83" s="143"/>
      <c r="QFP83" s="143"/>
      <c r="QFQ83" s="143"/>
      <c r="QFR83" s="143"/>
      <c r="QFS83" s="143"/>
      <c r="QFT83" s="143"/>
      <c r="QFU83" s="143"/>
      <c r="QFV83" s="143"/>
      <c r="QFW83" s="143"/>
      <c r="QFX83" s="143"/>
      <c r="QFY83" s="143"/>
      <c r="QFZ83" s="143"/>
      <c r="QGA83" s="143"/>
      <c r="QGB83" s="143"/>
      <c r="QGC83" s="143"/>
      <c r="QGD83" s="143"/>
      <c r="QGE83" s="143"/>
      <c r="QGF83" s="143"/>
      <c r="QGG83" s="143"/>
      <c r="QGH83" s="143"/>
      <c r="QGI83" s="143"/>
      <c r="QGJ83" s="143"/>
      <c r="QGK83" s="143"/>
      <c r="QGL83" s="143"/>
      <c r="QGM83" s="143"/>
      <c r="QGN83" s="143"/>
      <c r="QGO83" s="143"/>
      <c r="QGP83" s="143"/>
      <c r="QGQ83" s="143"/>
      <c r="QGR83" s="143"/>
      <c r="QGS83" s="143"/>
      <c r="QGT83" s="143"/>
      <c r="QGU83" s="143"/>
      <c r="QGV83" s="143"/>
      <c r="QGW83" s="143"/>
      <c r="QGX83" s="143"/>
      <c r="QGY83" s="143"/>
      <c r="QGZ83" s="143"/>
      <c r="QHA83" s="143"/>
      <c r="QHB83" s="143"/>
      <c r="QHC83" s="143"/>
      <c r="QHD83" s="143"/>
      <c r="QHE83" s="143"/>
      <c r="QHF83" s="143"/>
      <c r="QHG83" s="143"/>
      <c r="QHH83" s="143"/>
      <c r="QHI83" s="143"/>
      <c r="QHJ83" s="143"/>
      <c r="QHK83" s="143"/>
      <c r="QHL83" s="143"/>
      <c r="QHM83" s="143"/>
      <c r="QHN83" s="143"/>
      <c r="QHO83" s="143"/>
      <c r="QHP83" s="143"/>
      <c r="QHQ83" s="143"/>
      <c r="QHR83" s="143"/>
      <c r="QHS83" s="143"/>
      <c r="QHT83" s="143"/>
      <c r="QHU83" s="143"/>
      <c r="QHV83" s="143"/>
      <c r="QHW83" s="143"/>
      <c r="QHX83" s="143"/>
      <c r="QHY83" s="143"/>
      <c r="QHZ83" s="143"/>
      <c r="QIA83" s="143"/>
      <c r="QIB83" s="143"/>
      <c r="QIC83" s="143"/>
      <c r="QID83" s="143"/>
      <c r="QIE83" s="143"/>
      <c r="QIF83" s="143"/>
      <c r="QIG83" s="143"/>
      <c r="QIH83" s="143"/>
      <c r="QII83" s="143"/>
      <c r="QIJ83" s="143"/>
      <c r="QIK83" s="143"/>
      <c r="QIL83" s="143"/>
      <c r="QIM83" s="143"/>
      <c r="QIN83" s="143"/>
      <c r="QIO83" s="143"/>
      <c r="QIP83" s="143"/>
      <c r="QIQ83" s="143"/>
      <c r="QIR83" s="143"/>
      <c r="QIS83" s="143"/>
      <c r="QIT83" s="143"/>
      <c r="QIU83" s="143"/>
      <c r="QIV83" s="143"/>
      <c r="QIW83" s="143"/>
      <c r="QIX83" s="143"/>
      <c r="QIY83" s="143"/>
      <c r="QIZ83" s="143"/>
      <c r="QJA83" s="143"/>
      <c r="QJB83" s="143"/>
      <c r="QJC83" s="143"/>
      <c r="QJD83" s="143"/>
      <c r="QJE83" s="143"/>
      <c r="QJF83" s="143"/>
      <c r="QJG83" s="143"/>
      <c r="QJH83" s="143"/>
      <c r="QJI83" s="143"/>
      <c r="QJJ83" s="143"/>
      <c r="QJK83" s="143"/>
      <c r="QJL83" s="143"/>
      <c r="QJM83" s="143"/>
      <c r="QJN83" s="143"/>
      <c r="QJO83" s="143"/>
      <c r="QJP83" s="143"/>
      <c r="QJQ83" s="143"/>
      <c r="QJR83" s="143"/>
      <c r="QJS83" s="143"/>
      <c r="QJT83" s="143"/>
      <c r="QJU83" s="143"/>
      <c r="QJV83" s="143"/>
      <c r="QJW83" s="143"/>
      <c r="QJX83" s="143"/>
      <c r="QJY83" s="143"/>
      <c r="QJZ83" s="143"/>
      <c r="QKA83" s="143"/>
      <c r="QKB83" s="143"/>
      <c r="QKC83" s="143"/>
      <c r="QKD83" s="143"/>
      <c r="QKE83" s="143"/>
      <c r="QKF83" s="143"/>
      <c r="QKG83" s="143"/>
      <c r="QKH83" s="143"/>
      <c r="QKI83" s="143"/>
      <c r="QKJ83" s="143"/>
      <c r="QKK83" s="143"/>
      <c r="QKL83" s="143"/>
      <c r="QKM83" s="143"/>
      <c r="QKN83" s="143"/>
      <c r="QKO83" s="143"/>
      <c r="QKP83" s="143"/>
      <c r="QKQ83" s="143"/>
      <c r="QKR83" s="143"/>
      <c r="QKS83" s="143"/>
      <c r="QKT83" s="143"/>
      <c r="QKU83" s="143"/>
      <c r="QKV83" s="143"/>
      <c r="QKW83" s="143"/>
      <c r="QKX83" s="143"/>
      <c r="QKY83" s="143"/>
      <c r="QKZ83" s="143"/>
      <c r="QLA83" s="143"/>
      <c r="QLB83" s="143"/>
      <c r="QLC83" s="143"/>
      <c r="QLD83" s="143"/>
      <c r="QLE83" s="143"/>
      <c r="QLF83" s="143"/>
      <c r="QLG83" s="143"/>
      <c r="QLH83" s="143"/>
      <c r="QLI83" s="143"/>
      <c r="QLJ83" s="143"/>
      <c r="QLK83" s="143"/>
      <c r="QLL83" s="143"/>
      <c r="QLM83" s="143"/>
      <c r="QLN83" s="143"/>
      <c r="QLO83" s="143"/>
      <c r="QLP83" s="143"/>
      <c r="QLQ83" s="143"/>
      <c r="QLR83" s="143"/>
      <c r="QLS83" s="143"/>
      <c r="QLT83" s="143"/>
      <c r="QLU83" s="143"/>
      <c r="QLV83" s="143"/>
      <c r="QLW83" s="143"/>
      <c r="QLX83" s="143"/>
      <c r="QLY83" s="143"/>
      <c r="QLZ83" s="143"/>
      <c r="QMA83" s="143"/>
      <c r="QMB83" s="143"/>
      <c r="QMC83" s="143"/>
      <c r="QMD83" s="143"/>
      <c r="QME83" s="143"/>
      <c r="QMF83" s="143"/>
      <c r="QMG83" s="143"/>
      <c r="QMH83" s="143"/>
      <c r="QMI83" s="143"/>
      <c r="QMJ83" s="143"/>
      <c r="QMK83" s="143"/>
      <c r="QML83" s="143"/>
      <c r="QMM83" s="143"/>
      <c r="QMN83" s="143"/>
      <c r="QMO83" s="143"/>
      <c r="QMP83" s="143"/>
      <c r="QMQ83" s="143"/>
      <c r="QMR83" s="143"/>
      <c r="QMS83" s="143"/>
      <c r="QMT83" s="143"/>
      <c r="QMU83" s="143"/>
      <c r="QMV83" s="143"/>
      <c r="QMW83" s="143"/>
      <c r="QMX83" s="143"/>
      <c r="QMY83" s="143"/>
      <c r="QMZ83" s="143"/>
      <c r="QNA83" s="143"/>
      <c r="QNB83" s="143"/>
      <c r="QNC83" s="143"/>
      <c r="QND83" s="143"/>
      <c r="QNE83" s="143"/>
      <c r="QNF83" s="143"/>
      <c r="QNG83" s="143"/>
      <c r="QNH83" s="143"/>
      <c r="QNI83" s="143"/>
      <c r="QNJ83" s="143"/>
      <c r="QNK83" s="143"/>
      <c r="QNL83" s="143"/>
      <c r="QNM83" s="143"/>
      <c r="QNN83" s="143"/>
      <c r="QNO83" s="143"/>
      <c r="QNP83" s="143"/>
      <c r="QNQ83" s="143"/>
      <c r="QNR83" s="143"/>
      <c r="QNS83" s="143"/>
      <c r="QNT83" s="143"/>
      <c r="QNU83" s="143"/>
      <c r="QNV83" s="143"/>
      <c r="QNW83" s="143"/>
      <c r="QNX83" s="143"/>
      <c r="QNY83" s="143"/>
      <c r="QNZ83" s="143"/>
      <c r="QOA83" s="143"/>
      <c r="QOB83" s="143"/>
      <c r="QOC83" s="143"/>
      <c r="QOD83" s="143"/>
      <c r="QOE83" s="143"/>
      <c r="QOF83" s="143"/>
      <c r="QOG83" s="143"/>
      <c r="QOH83" s="143"/>
      <c r="QOI83" s="143"/>
      <c r="QOJ83" s="143"/>
      <c r="QOK83" s="143"/>
      <c r="QOL83" s="143"/>
      <c r="QOM83" s="143"/>
      <c r="QON83" s="143"/>
      <c r="QOO83" s="143"/>
      <c r="QOP83" s="143"/>
      <c r="QOQ83" s="143"/>
      <c r="QOR83" s="143"/>
      <c r="QOS83" s="143"/>
      <c r="QOT83" s="143"/>
      <c r="QOU83" s="143"/>
      <c r="QOV83" s="143"/>
      <c r="QOW83" s="143"/>
      <c r="QOX83" s="143"/>
      <c r="QOY83" s="143"/>
      <c r="QOZ83" s="143"/>
      <c r="QPA83" s="143"/>
      <c r="QPB83" s="143"/>
      <c r="QPC83" s="143"/>
      <c r="QPD83" s="143"/>
      <c r="QPE83" s="143"/>
      <c r="QPF83" s="143"/>
      <c r="QPG83" s="143"/>
      <c r="QPH83" s="143"/>
      <c r="QPI83" s="143"/>
      <c r="QPJ83" s="143"/>
      <c r="QPK83" s="143"/>
      <c r="QPL83" s="143"/>
      <c r="QPM83" s="143"/>
      <c r="QPN83" s="143"/>
      <c r="QPO83" s="143"/>
      <c r="QPP83" s="143"/>
      <c r="QPQ83" s="143"/>
      <c r="QPR83" s="143"/>
      <c r="QPS83" s="143"/>
      <c r="QPT83" s="143"/>
      <c r="QPU83" s="143"/>
      <c r="QPV83" s="143"/>
      <c r="QPW83" s="143"/>
      <c r="QPX83" s="143"/>
      <c r="QPY83" s="143"/>
      <c r="QPZ83" s="143"/>
      <c r="QQA83" s="143"/>
      <c r="QQB83" s="143"/>
      <c r="QQC83" s="143"/>
      <c r="QQD83" s="143"/>
      <c r="QQE83" s="143"/>
      <c r="QQF83" s="143"/>
      <c r="QQG83" s="143"/>
      <c r="QQH83" s="143"/>
      <c r="QQI83" s="143"/>
      <c r="QQJ83" s="143"/>
      <c r="QQK83" s="143"/>
      <c r="QQL83" s="143"/>
      <c r="QQM83" s="143"/>
      <c r="QQN83" s="143"/>
      <c r="QQO83" s="143"/>
      <c r="QQP83" s="143"/>
      <c r="QQQ83" s="143"/>
      <c r="QQR83" s="143"/>
      <c r="QQS83" s="143"/>
      <c r="QQT83" s="143"/>
      <c r="QQU83" s="143"/>
      <c r="QQV83" s="143"/>
      <c r="QQW83" s="143"/>
      <c r="QQX83" s="143"/>
      <c r="QQY83" s="143"/>
      <c r="QQZ83" s="143"/>
      <c r="QRA83" s="143"/>
      <c r="QRB83" s="143"/>
      <c r="QRC83" s="143"/>
      <c r="QRD83" s="143"/>
      <c r="QRE83" s="143"/>
      <c r="QRF83" s="143"/>
      <c r="QRG83" s="143"/>
      <c r="QRH83" s="143"/>
      <c r="QRI83" s="143"/>
      <c r="QRJ83" s="143"/>
      <c r="QRK83" s="143"/>
      <c r="QRL83" s="143"/>
      <c r="QRM83" s="143"/>
      <c r="QRN83" s="143"/>
      <c r="QRO83" s="143"/>
      <c r="QRP83" s="143"/>
      <c r="QRQ83" s="143"/>
      <c r="QRR83" s="143"/>
      <c r="QRS83" s="143"/>
      <c r="QRT83" s="143"/>
      <c r="QRU83" s="143"/>
      <c r="QRV83" s="143"/>
      <c r="QRW83" s="143"/>
      <c r="QRX83" s="143"/>
      <c r="QRY83" s="143"/>
      <c r="QRZ83" s="143"/>
      <c r="QSA83" s="143"/>
      <c r="QSB83" s="143"/>
      <c r="QSC83" s="143"/>
      <c r="QSD83" s="143"/>
      <c r="QSE83" s="143"/>
      <c r="QSF83" s="143"/>
      <c r="QSG83" s="143"/>
      <c r="QSH83" s="143"/>
      <c r="QSI83" s="143"/>
      <c r="QSJ83" s="143"/>
      <c r="QSK83" s="143"/>
      <c r="QSL83" s="143"/>
      <c r="QSM83" s="143"/>
      <c r="QSN83" s="143"/>
      <c r="QSO83" s="143"/>
      <c r="QSP83" s="143"/>
      <c r="QSQ83" s="143"/>
      <c r="QSR83" s="143"/>
      <c r="QSS83" s="143"/>
      <c r="QST83" s="143"/>
      <c r="QSU83" s="143"/>
      <c r="QSV83" s="143"/>
      <c r="QSW83" s="143"/>
      <c r="QSX83" s="143"/>
      <c r="QSY83" s="143"/>
      <c r="QSZ83" s="143"/>
      <c r="QTA83" s="143"/>
      <c r="QTB83" s="143"/>
      <c r="QTC83" s="143"/>
      <c r="QTD83" s="143"/>
      <c r="QTE83" s="143"/>
      <c r="QTF83" s="143"/>
      <c r="QTG83" s="143"/>
      <c r="QTH83" s="143"/>
      <c r="QTI83" s="143"/>
      <c r="QTJ83" s="143"/>
      <c r="QTK83" s="143"/>
      <c r="QTL83" s="143"/>
      <c r="QTM83" s="143"/>
      <c r="QTN83" s="143"/>
      <c r="QTO83" s="143"/>
      <c r="QTP83" s="143"/>
      <c r="QTQ83" s="143"/>
      <c r="QTR83" s="143"/>
      <c r="QTS83" s="143"/>
      <c r="QTT83" s="143"/>
      <c r="QTU83" s="143"/>
      <c r="QTV83" s="143"/>
      <c r="QTW83" s="143"/>
      <c r="QTX83" s="143"/>
      <c r="QTY83" s="143"/>
      <c r="QTZ83" s="143"/>
      <c r="QUA83" s="143"/>
      <c r="QUB83" s="143"/>
      <c r="QUC83" s="143"/>
      <c r="QUD83" s="143"/>
      <c r="QUE83" s="143"/>
      <c r="QUF83" s="143"/>
      <c r="QUG83" s="143"/>
      <c r="QUH83" s="143"/>
      <c r="QUI83" s="143"/>
      <c r="QUJ83" s="143"/>
      <c r="QUK83" s="143"/>
      <c r="QUL83" s="143"/>
      <c r="QUM83" s="143"/>
      <c r="QUN83" s="143"/>
      <c r="QUO83" s="143"/>
      <c r="QUP83" s="143"/>
      <c r="QUQ83" s="143"/>
      <c r="QUR83" s="143"/>
      <c r="QUS83" s="143"/>
      <c r="QUT83" s="143"/>
      <c r="QUU83" s="143"/>
      <c r="QUV83" s="143"/>
      <c r="QUW83" s="143"/>
      <c r="QUX83" s="143"/>
      <c r="QUY83" s="143"/>
      <c r="QUZ83" s="143"/>
      <c r="QVA83" s="143"/>
      <c r="QVB83" s="143"/>
      <c r="QVC83" s="143"/>
      <c r="QVD83" s="143"/>
      <c r="QVE83" s="143"/>
      <c r="QVF83" s="143"/>
      <c r="QVG83" s="143"/>
      <c r="QVH83" s="143"/>
      <c r="QVI83" s="143"/>
      <c r="QVJ83" s="143"/>
      <c r="QVK83" s="143"/>
      <c r="QVL83" s="143"/>
      <c r="QVM83" s="143"/>
      <c r="QVN83" s="143"/>
      <c r="QVO83" s="143"/>
      <c r="QVP83" s="143"/>
      <c r="QVQ83" s="143"/>
      <c r="QVR83" s="143"/>
      <c r="QVS83" s="143"/>
      <c r="QVT83" s="143"/>
      <c r="QVU83" s="143"/>
      <c r="QVV83" s="143"/>
      <c r="QVW83" s="143"/>
      <c r="QVX83" s="143"/>
      <c r="QVY83" s="143"/>
      <c r="QVZ83" s="143"/>
      <c r="QWA83" s="143"/>
      <c r="QWB83" s="143"/>
      <c r="QWC83" s="143"/>
      <c r="QWD83" s="143"/>
      <c r="QWE83" s="143"/>
      <c r="QWF83" s="143"/>
      <c r="QWG83" s="143"/>
      <c r="QWH83" s="143"/>
      <c r="QWI83" s="143"/>
      <c r="QWJ83" s="143"/>
      <c r="QWK83" s="143"/>
      <c r="QWL83" s="143"/>
      <c r="QWM83" s="143"/>
      <c r="QWN83" s="143"/>
      <c r="QWO83" s="143"/>
      <c r="QWP83" s="143"/>
      <c r="QWQ83" s="143"/>
      <c r="QWR83" s="143"/>
      <c r="QWS83" s="143"/>
      <c r="QWT83" s="143"/>
      <c r="QWU83" s="143"/>
      <c r="QWV83" s="143"/>
      <c r="QWW83" s="143"/>
      <c r="QWX83" s="143"/>
      <c r="QWY83" s="143"/>
      <c r="QWZ83" s="143"/>
      <c r="QXA83" s="143"/>
      <c r="QXB83" s="143"/>
      <c r="QXC83" s="143"/>
      <c r="QXD83" s="143"/>
      <c r="QXE83" s="143"/>
      <c r="QXF83" s="143"/>
      <c r="QXG83" s="143"/>
      <c r="QXH83" s="143"/>
      <c r="QXI83" s="143"/>
      <c r="QXJ83" s="143"/>
      <c r="QXK83" s="143"/>
      <c r="QXL83" s="143"/>
      <c r="QXM83" s="143"/>
      <c r="QXN83" s="143"/>
      <c r="QXO83" s="143"/>
      <c r="QXP83" s="143"/>
      <c r="QXQ83" s="143"/>
      <c r="QXR83" s="143"/>
      <c r="QXS83" s="143"/>
      <c r="QXT83" s="143"/>
      <c r="QXU83" s="143"/>
      <c r="QXV83" s="143"/>
      <c r="QXW83" s="143"/>
      <c r="QXX83" s="143"/>
      <c r="QXY83" s="143"/>
      <c r="QXZ83" s="143"/>
      <c r="QYA83" s="143"/>
      <c r="QYB83" s="143"/>
      <c r="QYC83" s="143"/>
      <c r="QYD83" s="143"/>
      <c r="QYE83" s="143"/>
      <c r="QYF83" s="143"/>
      <c r="QYG83" s="143"/>
      <c r="QYH83" s="143"/>
      <c r="QYI83" s="143"/>
      <c r="QYJ83" s="143"/>
      <c r="QYK83" s="143"/>
      <c r="QYL83" s="143"/>
      <c r="QYM83" s="143"/>
      <c r="QYN83" s="143"/>
      <c r="QYO83" s="143"/>
      <c r="QYP83" s="143"/>
      <c r="QYQ83" s="143"/>
      <c r="QYR83" s="143"/>
      <c r="QYS83" s="143"/>
      <c r="QYT83" s="143"/>
      <c r="QYU83" s="143"/>
      <c r="QYV83" s="143"/>
      <c r="QYW83" s="143"/>
      <c r="QYX83" s="143"/>
      <c r="QYY83" s="143"/>
      <c r="QYZ83" s="143"/>
      <c r="QZA83" s="143"/>
      <c r="QZB83" s="143"/>
      <c r="QZC83" s="143"/>
      <c r="QZD83" s="143"/>
      <c r="QZE83" s="143"/>
      <c r="QZF83" s="143"/>
      <c r="QZG83" s="143"/>
      <c r="QZH83" s="143"/>
      <c r="QZI83" s="143"/>
      <c r="QZJ83" s="143"/>
      <c r="QZK83" s="143"/>
      <c r="QZL83" s="143"/>
      <c r="QZM83" s="143"/>
      <c r="QZN83" s="143"/>
      <c r="QZO83" s="143"/>
      <c r="QZP83" s="143"/>
      <c r="QZQ83" s="143"/>
      <c r="QZR83" s="143"/>
      <c r="QZS83" s="143"/>
      <c r="QZT83" s="143"/>
      <c r="QZU83" s="143"/>
      <c r="QZV83" s="143"/>
      <c r="QZW83" s="143"/>
      <c r="QZX83" s="143"/>
      <c r="QZY83" s="143"/>
      <c r="QZZ83" s="143"/>
      <c r="RAA83" s="143"/>
      <c r="RAB83" s="143"/>
      <c r="RAC83" s="143"/>
      <c r="RAD83" s="143"/>
      <c r="RAE83" s="143"/>
      <c r="RAF83" s="143"/>
      <c r="RAG83" s="143"/>
      <c r="RAH83" s="143"/>
      <c r="RAI83" s="143"/>
      <c r="RAJ83" s="143"/>
      <c r="RAK83" s="143"/>
      <c r="RAL83" s="143"/>
      <c r="RAM83" s="143"/>
      <c r="RAN83" s="143"/>
      <c r="RAO83" s="143"/>
      <c r="RAP83" s="143"/>
      <c r="RAQ83" s="143"/>
      <c r="RAR83" s="143"/>
      <c r="RAS83" s="143"/>
      <c r="RAT83" s="143"/>
      <c r="RAU83" s="143"/>
      <c r="RAV83" s="143"/>
      <c r="RAW83" s="143"/>
      <c r="RAX83" s="143"/>
      <c r="RAY83" s="143"/>
      <c r="RAZ83" s="143"/>
      <c r="RBA83" s="143"/>
      <c r="RBB83" s="143"/>
      <c r="RBC83" s="143"/>
      <c r="RBD83" s="143"/>
      <c r="RBE83" s="143"/>
      <c r="RBF83" s="143"/>
      <c r="RBG83" s="143"/>
      <c r="RBH83" s="143"/>
      <c r="RBI83" s="143"/>
      <c r="RBJ83" s="143"/>
      <c r="RBK83" s="143"/>
      <c r="RBL83" s="143"/>
      <c r="RBM83" s="143"/>
      <c r="RBN83" s="143"/>
      <c r="RBO83" s="143"/>
      <c r="RBP83" s="143"/>
      <c r="RBQ83" s="143"/>
      <c r="RBR83" s="143"/>
      <c r="RBS83" s="143"/>
      <c r="RBT83" s="143"/>
      <c r="RBU83" s="143"/>
      <c r="RBV83" s="143"/>
      <c r="RBW83" s="143"/>
      <c r="RBX83" s="143"/>
      <c r="RBY83" s="143"/>
      <c r="RBZ83" s="143"/>
      <c r="RCA83" s="143"/>
      <c r="RCB83" s="143"/>
      <c r="RCC83" s="143"/>
      <c r="RCD83" s="143"/>
      <c r="RCE83" s="143"/>
      <c r="RCF83" s="143"/>
      <c r="RCG83" s="143"/>
      <c r="RCH83" s="143"/>
      <c r="RCI83" s="143"/>
      <c r="RCJ83" s="143"/>
      <c r="RCK83" s="143"/>
      <c r="RCL83" s="143"/>
      <c r="RCM83" s="143"/>
      <c r="RCN83" s="143"/>
      <c r="RCO83" s="143"/>
      <c r="RCP83" s="143"/>
      <c r="RCQ83" s="143"/>
      <c r="RCR83" s="143"/>
      <c r="RCS83" s="143"/>
      <c r="RCT83" s="143"/>
      <c r="RCU83" s="143"/>
      <c r="RCV83" s="143"/>
      <c r="RCW83" s="143"/>
      <c r="RCX83" s="143"/>
      <c r="RCY83" s="143"/>
      <c r="RCZ83" s="143"/>
      <c r="RDA83" s="143"/>
      <c r="RDB83" s="143"/>
      <c r="RDC83" s="143"/>
      <c r="RDD83" s="143"/>
      <c r="RDE83" s="143"/>
      <c r="RDF83" s="143"/>
      <c r="RDG83" s="143"/>
      <c r="RDH83" s="143"/>
      <c r="RDI83" s="143"/>
      <c r="RDJ83" s="143"/>
      <c r="RDK83" s="143"/>
      <c r="RDL83" s="143"/>
      <c r="RDM83" s="143"/>
      <c r="RDN83" s="143"/>
      <c r="RDO83" s="143"/>
      <c r="RDP83" s="143"/>
      <c r="RDQ83" s="143"/>
      <c r="RDR83" s="143"/>
      <c r="RDS83" s="143"/>
      <c r="RDT83" s="143"/>
      <c r="RDU83" s="143"/>
      <c r="RDV83" s="143"/>
      <c r="RDW83" s="143"/>
      <c r="RDX83" s="143"/>
      <c r="RDY83" s="143"/>
      <c r="RDZ83" s="143"/>
      <c r="REA83" s="143"/>
      <c r="REB83" s="143"/>
      <c r="REC83" s="143"/>
      <c r="RED83" s="143"/>
      <c r="REE83" s="143"/>
      <c r="REF83" s="143"/>
      <c r="REG83" s="143"/>
      <c r="REH83" s="143"/>
      <c r="REI83" s="143"/>
      <c r="REJ83" s="143"/>
      <c r="REK83" s="143"/>
      <c r="REL83" s="143"/>
      <c r="REM83" s="143"/>
      <c r="REN83" s="143"/>
      <c r="REO83" s="143"/>
      <c r="REP83" s="143"/>
      <c r="REQ83" s="143"/>
      <c r="RER83" s="143"/>
      <c r="RES83" s="143"/>
      <c r="RET83" s="143"/>
      <c r="REU83" s="143"/>
      <c r="REV83" s="143"/>
      <c r="REW83" s="143"/>
      <c r="REX83" s="143"/>
      <c r="REY83" s="143"/>
      <c r="REZ83" s="143"/>
      <c r="RFA83" s="143"/>
      <c r="RFB83" s="143"/>
      <c r="RFC83" s="143"/>
      <c r="RFD83" s="143"/>
      <c r="RFE83" s="143"/>
      <c r="RFF83" s="143"/>
      <c r="RFG83" s="143"/>
      <c r="RFH83" s="143"/>
      <c r="RFI83" s="143"/>
      <c r="RFJ83" s="143"/>
      <c r="RFK83" s="143"/>
      <c r="RFL83" s="143"/>
      <c r="RFM83" s="143"/>
      <c r="RFN83" s="143"/>
      <c r="RFO83" s="143"/>
      <c r="RFP83" s="143"/>
      <c r="RFQ83" s="143"/>
      <c r="RFR83" s="143"/>
      <c r="RFS83" s="143"/>
      <c r="RFT83" s="143"/>
      <c r="RFU83" s="143"/>
      <c r="RFV83" s="143"/>
      <c r="RFW83" s="143"/>
      <c r="RFX83" s="143"/>
      <c r="RFY83" s="143"/>
      <c r="RFZ83" s="143"/>
      <c r="RGA83" s="143"/>
      <c r="RGB83" s="143"/>
      <c r="RGC83" s="143"/>
      <c r="RGD83" s="143"/>
      <c r="RGE83" s="143"/>
      <c r="RGF83" s="143"/>
      <c r="RGG83" s="143"/>
      <c r="RGH83" s="143"/>
      <c r="RGI83" s="143"/>
      <c r="RGJ83" s="143"/>
      <c r="RGK83" s="143"/>
      <c r="RGL83" s="143"/>
      <c r="RGM83" s="143"/>
      <c r="RGN83" s="143"/>
      <c r="RGO83" s="143"/>
      <c r="RGP83" s="143"/>
      <c r="RGQ83" s="143"/>
      <c r="RGR83" s="143"/>
      <c r="RGS83" s="143"/>
      <c r="RGT83" s="143"/>
      <c r="RGU83" s="143"/>
      <c r="RGV83" s="143"/>
      <c r="RGW83" s="143"/>
      <c r="RGX83" s="143"/>
      <c r="RGY83" s="143"/>
      <c r="RGZ83" s="143"/>
      <c r="RHA83" s="143"/>
      <c r="RHB83" s="143"/>
      <c r="RHC83" s="143"/>
      <c r="RHD83" s="143"/>
      <c r="RHE83" s="143"/>
      <c r="RHF83" s="143"/>
      <c r="RHG83" s="143"/>
      <c r="RHH83" s="143"/>
      <c r="RHI83" s="143"/>
      <c r="RHJ83" s="143"/>
      <c r="RHK83" s="143"/>
      <c r="RHL83" s="143"/>
      <c r="RHM83" s="143"/>
      <c r="RHN83" s="143"/>
      <c r="RHO83" s="143"/>
      <c r="RHP83" s="143"/>
      <c r="RHQ83" s="143"/>
      <c r="RHR83" s="143"/>
      <c r="RHS83" s="143"/>
      <c r="RHT83" s="143"/>
      <c r="RHU83" s="143"/>
      <c r="RHV83" s="143"/>
      <c r="RHW83" s="143"/>
      <c r="RHX83" s="143"/>
      <c r="RHY83" s="143"/>
      <c r="RHZ83" s="143"/>
      <c r="RIA83" s="143"/>
      <c r="RIB83" s="143"/>
      <c r="RIC83" s="143"/>
      <c r="RID83" s="143"/>
      <c r="RIE83" s="143"/>
      <c r="RIF83" s="143"/>
      <c r="RIG83" s="143"/>
      <c r="RIH83" s="143"/>
      <c r="RII83" s="143"/>
      <c r="RIJ83" s="143"/>
      <c r="RIK83" s="143"/>
      <c r="RIL83" s="143"/>
      <c r="RIM83" s="143"/>
      <c r="RIN83" s="143"/>
      <c r="RIO83" s="143"/>
      <c r="RIP83" s="143"/>
      <c r="RIQ83" s="143"/>
      <c r="RIR83" s="143"/>
      <c r="RIS83" s="143"/>
      <c r="RIT83" s="143"/>
      <c r="RIU83" s="143"/>
      <c r="RIV83" s="143"/>
      <c r="RIW83" s="143"/>
      <c r="RIX83" s="143"/>
      <c r="RIY83" s="143"/>
      <c r="RIZ83" s="143"/>
      <c r="RJA83" s="143"/>
      <c r="RJB83" s="143"/>
      <c r="RJC83" s="143"/>
      <c r="RJD83" s="143"/>
      <c r="RJE83" s="143"/>
      <c r="RJF83" s="143"/>
      <c r="RJG83" s="143"/>
      <c r="RJH83" s="143"/>
      <c r="RJI83" s="143"/>
      <c r="RJJ83" s="143"/>
      <c r="RJK83" s="143"/>
      <c r="RJL83" s="143"/>
      <c r="RJM83" s="143"/>
      <c r="RJN83" s="143"/>
      <c r="RJO83" s="143"/>
      <c r="RJP83" s="143"/>
      <c r="RJQ83" s="143"/>
      <c r="RJR83" s="143"/>
      <c r="RJS83" s="143"/>
      <c r="RJT83" s="143"/>
      <c r="RJU83" s="143"/>
      <c r="RJV83" s="143"/>
      <c r="RJW83" s="143"/>
      <c r="RJX83" s="143"/>
      <c r="RJY83" s="143"/>
      <c r="RJZ83" s="143"/>
      <c r="RKA83" s="143"/>
      <c r="RKB83" s="143"/>
      <c r="RKC83" s="143"/>
      <c r="RKD83" s="143"/>
      <c r="RKE83" s="143"/>
      <c r="RKF83" s="143"/>
      <c r="RKG83" s="143"/>
      <c r="RKH83" s="143"/>
      <c r="RKI83" s="143"/>
      <c r="RKJ83" s="143"/>
      <c r="RKK83" s="143"/>
      <c r="RKL83" s="143"/>
      <c r="RKM83" s="143"/>
      <c r="RKN83" s="143"/>
      <c r="RKO83" s="143"/>
      <c r="RKP83" s="143"/>
      <c r="RKQ83" s="143"/>
      <c r="RKR83" s="143"/>
      <c r="RKS83" s="143"/>
      <c r="RKT83" s="143"/>
      <c r="RKU83" s="143"/>
      <c r="RKV83" s="143"/>
      <c r="RKW83" s="143"/>
      <c r="RKX83" s="143"/>
      <c r="RKY83" s="143"/>
      <c r="RKZ83" s="143"/>
      <c r="RLA83" s="143"/>
      <c r="RLB83" s="143"/>
      <c r="RLC83" s="143"/>
      <c r="RLD83" s="143"/>
      <c r="RLE83" s="143"/>
      <c r="RLF83" s="143"/>
      <c r="RLG83" s="143"/>
      <c r="RLH83" s="143"/>
      <c r="RLI83" s="143"/>
      <c r="RLJ83" s="143"/>
      <c r="RLK83" s="143"/>
      <c r="RLL83" s="143"/>
      <c r="RLM83" s="143"/>
      <c r="RLN83" s="143"/>
      <c r="RLO83" s="143"/>
      <c r="RLP83" s="143"/>
      <c r="RLQ83" s="143"/>
      <c r="RLR83" s="143"/>
      <c r="RLS83" s="143"/>
      <c r="RLT83" s="143"/>
      <c r="RLU83" s="143"/>
      <c r="RLV83" s="143"/>
      <c r="RLW83" s="143"/>
      <c r="RLX83" s="143"/>
      <c r="RLY83" s="143"/>
      <c r="RLZ83" s="143"/>
      <c r="RMA83" s="143"/>
      <c r="RMB83" s="143"/>
      <c r="RMC83" s="143"/>
      <c r="RMD83" s="143"/>
      <c r="RME83" s="143"/>
      <c r="RMF83" s="143"/>
      <c r="RMG83" s="143"/>
      <c r="RMH83" s="143"/>
      <c r="RMI83" s="143"/>
      <c r="RMJ83" s="143"/>
      <c r="RMK83" s="143"/>
      <c r="RML83" s="143"/>
      <c r="RMM83" s="143"/>
      <c r="RMN83" s="143"/>
      <c r="RMO83" s="143"/>
      <c r="RMP83" s="143"/>
      <c r="RMQ83" s="143"/>
      <c r="RMR83" s="143"/>
      <c r="RMS83" s="143"/>
      <c r="RMT83" s="143"/>
      <c r="RMU83" s="143"/>
      <c r="RMV83" s="143"/>
      <c r="RMW83" s="143"/>
      <c r="RMX83" s="143"/>
      <c r="RMY83" s="143"/>
      <c r="RMZ83" s="143"/>
      <c r="RNA83" s="143"/>
      <c r="RNB83" s="143"/>
      <c r="RNC83" s="143"/>
      <c r="RND83" s="143"/>
      <c r="RNE83" s="143"/>
      <c r="RNF83" s="143"/>
      <c r="RNG83" s="143"/>
      <c r="RNH83" s="143"/>
      <c r="RNI83" s="143"/>
      <c r="RNJ83" s="143"/>
      <c r="RNK83" s="143"/>
      <c r="RNL83" s="143"/>
      <c r="RNM83" s="143"/>
      <c r="RNN83" s="143"/>
      <c r="RNO83" s="143"/>
      <c r="RNP83" s="143"/>
      <c r="RNQ83" s="143"/>
      <c r="RNR83" s="143"/>
      <c r="RNS83" s="143"/>
      <c r="RNT83" s="143"/>
      <c r="RNU83" s="143"/>
      <c r="RNV83" s="143"/>
      <c r="RNW83" s="143"/>
      <c r="RNX83" s="143"/>
      <c r="RNY83" s="143"/>
      <c r="RNZ83" s="143"/>
      <c r="ROA83" s="143"/>
      <c r="ROB83" s="143"/>
      <c r="ROC83" s="143"/>
      <c r="ROD83" s="143"/>
      <c r="ROE83" s="143"/>
      <c r="ROF83" s="143"/>
      <c r="ROG83" s="143"/>
      <c r="ROH83" s="143"/>
      <c r="ROI83" s="143"/>
      <c r="ROJ83" s="143"/>
      <c r="ROK83" s="143"/>
      <c r="ROL83" s="143"/>
      <c r="ROM83" s="143"/>
      <c r="RON83" s="143"/>
      <c r="ROO83" s="143"/>
      <c r="ROP83" s="143"/>
      <c r="ROQ83" s="143"/>
      <c r="ROR83" s="143"/>
      <c r="ROS83" s="143"/>
      <c r="ROT83" s="143"/>
      <c r="ROU83" s="143"/>
      <c r="ROV83" s="143"/>
      <c r="ROW83" s="143"/>
      <c r="ROX83" s="143"/>
      <c r="ROY83" s="143"/>
      <c r="ROZ83" s="143"/>
      <c r="RPA83" s="143"/>
      <c r="RPB83" s="143"/>
      <c r="RPC83" s="143"/>
      <c r="RPD83" s="143"/>
      <c r="RPE83" s="143"/>
      <c r="RPF83" s="143"/>
      <c r="RPG83" s="143"/>
      <c r="RPH83" s="143"/>
      <c r="RPI83" s="143"/>
      <c r="RPJ83" s="143"/>
      <c r="RPK83" s="143"/>
      <c r="RPL83" s="143"/>
      <c r="RPM83" s="143"/>
      <c r="RPN83" s="143"/>
      <c r="RPO83" s="143"/>
      <c r="RPP83" s="143"/>
      <c r="RPQ83" s="143"/>
      <c r="RPR83" s="143"/>
      <c r="RPS83" s="143"/>
      <c r="RPT83" s="143"/>
      <c r="RPU83" s="143"/>
      <c r="RPV83" s="143"/>
      <c r="RPW83" s="143"/>
      <c r="RPX83" s="143"/>
      <c r="RPY83" s="143"/>
      <c r="RPZ83" s="143"/>
      <c r="RQA83" s="143"/>
      <c r="RQB83" s="143"/>
      <c r="RQC83" s="143"/>
      <c r="RQD83" s="143"/>
      <c r="RQE83" s="143"/>
      <c r="RQF83" s="143"/>
      <c r="RQG83" s="143"/>
      <c r="RQH83" s="143"/>
      <c r="RQI83" s="143"/>
      <c r="RQJ83" s="143"/>
      <c r="RQK83" s="143"/>
      <c r="RQL83" s="143"/>
      <c r="RQM83" s="143"/>
      <c r="RQN83" s="143"/>
      <c r="RQO83" s="143"/>
      <c r="RQP83" s="143"/>
      <c r="RQQ83" s="143"/>
      <c r="RQR83" s="143"/>
      <c r="RQS83" s="143"/>
      <c r="RQT83" s="143"/>
      <c r="RQU83" s="143"/>
      <c r="RQV83" s="143"/>
      <c r="RQW83" s="143"/>
      <c r="RQX83" s="143"/>
      <c r="RQY83" s="143"/>
      <c r="RQZ83" s="143"/>
      <c r="RRA83" s="143"/>
      <c r="RRB83" s="143"/>
      <c r="RRC83" s="143"/>
      <c r="RRD83" s="143"/>
      <c r="RRE83" s="143"/>
      <c r="RRF83" s="143"/>
      <c r="RRG83" s="143"/>
      <c r="RRH83" s="143"/>
      <c r="RRI83" s="143"/>
      <c r="RRJ83" s="143"/>
      <c r="RRK83" s="143"/>
      <c r="RRL83" s="143"/>
      <c r="RRM83" s="143"/>
      <c r="RRN83" s="143"/>
      <c r="RRO83" s="143"/>
      <c r="RRP83" s="143"/>
      <c r="RRQ83" s="143"/>
      <c r="RRR83" s="143"/>
      <c r="RRS83" s="143"/>
      <c r="RRT83" s="143"/>
      <c r="RRU83" s="143"/>
      <c r="RRV83" s="143"/>
      <c r="RRW83" s="143"/>
      <c r="RRX83" s="143"/>
      <c r="RRY83" s="143"/>
      <c r="RRZ83" s="143"/>
      <c r="RSA83" s="143"/>
      <c r="RSB83" s="143"/>
      <c r="RSC83" s="143"/>
      <c r="RSD83" s="143"/>
      <c r="RSE83" s="143"/>
      <c r="RSF83" s="143"/>
      <c r="RSG83" s="143"/>
      <c r="RSH83" s="143"/>
      <c r="RSI83" s="143"/>
      <c r="RSJ83" s="143"/>
      <c r="RSK83" s="143"/>
      <c r="RSL83" s="143"/>
      <c r="RSM83" s="143"/>
      <c r="RSN83" s="143"/>
      <c r="RSO83" s="143"/>
      <c r="RSP83" s="143"/>
      <c r="RSQ83" s="143"/>
      <c r="RSR83" s="143"/>
      <c r="RSS83" s="143"/>
      <c r="RST83" s="143"/>
      <c r="RSU83" s="143"/>
      <c r="RSV83" s="143"/>
      <c r="RSW83" s="143"/>
      <c r="RSX83" s="143"/>
      <c r="RSY83" s="143"/>
      <c r="RSZ83" s="143"/>
      <c r="RTA83" s="143"/>
      <c r="RTB83" s="143"/>
      <c r="RTC83" s="143"/>
      <c r="RTD83" s="143"/>
      <c r="RTE83" s="143"/>
      <c r="RTF83" s="143"/>
      <c r="RTG83" s="143"/>
      <c r="RTH83" s="143"/>
      <c r="RTI83" s="143"/>
      <c r="RTJ83" s="143"/>
      <c r="RTK83" s="143"/>
      <c r="RTL83" s="143"/>
      <c r="RTM83" s="143"/>
      <c r="RTN83" s="143"/>
      <c r="RTO83" s="143"/>
      <c r="RTP83" s="143"/>
      <c r="RTQ83" s="143"/>
      <c r="RTR83" s="143"/>
      <c r="RTS83" s="143"/>
      <c r="RTT83" s="143"/>
      <c r="RTU83" s="143"/>
      <c r="RTV83" s="143"/>
      <c r="RTW83" s="143"/>
      <c r="RTX83" s="143"/>
      <c r="RTY83" s="143"/>
      <c r="RTZ83" s="143"/>
      <c r="RUA83" s="143"/>
      <c r="RUB83" s="143"/>
      <c r="RUC83" s="143"/>
      <c r="RUD83" s="143"/>
      <c r="RUE83" s="143"/>
      <c r="RUF83" s="143"/>
      <c r="RUG83" s="143"/>
      <c r="RUH83" s="143"/>
      <c r="RUI83" s="143"/>
      <c r="RUJ83" s="143"/>
      <c r="RUK83" s="143"/>
      <c r="RUL83" s="143"/>
      <c r="RUM83" s="143"/>
      <c r="RUN83" s="143"/>
      <c r="RUO83" s="143"/>
      <c r="RUP83" s="143"/>
      <c r="RUQ83" s="143"/>
      <c r="RUR83" s="143"/>
      <c r="RUS83" s="143"/>
      <c r="RUT83" s="143"/>
      <c r="RUU83" s="143"/>
      <c r="RUV83" s="143"/>
      <c r="RUW83" s="143"/>
      <c r="RUX83" s="143"/>
      <c r="RUY83" s="143"/>
      <c r="RUZ83" s="143"/>
      <c r="RVA83" s="143"/>
      <c r="RVB83" s="143"/>
      <c r="RVC83" s="143"/>
      <c r="RVD83" s="143"/>
      <c r="RVE83" s="143"/>
      <c r="RVF83" s="143"/>
      <c r="RVG83" s="143"/>
      <c r="RVH83" s="143"/>
      <c r="RVI83" s="143"/>
      <c r="RVJ83" s="143"/>
      <c r="RVK83" s="143"/>
      <c r="RVL83" s="143"/>
      <c r="RVM83" s="143"/>
      <c r="RVN83" s="143"/>
      <c r="RVO83" s="143"/>
      <c r="RVP83" s="143"/>
      <c r="RVQ83" s="143"/>
      <c r="RVR83" s="143"/>
      <c r="RVS83" s="143"/>
      <c r="RVT83" s="143"/>
      <c r="RVU83" s="143"/>
      <c r="RVV83" s="143"/>
      <c r="RVW83" s="143"/>
      <c r="RVX83" s="143"/>
      <c r="RVY83" s="143"/>
      <c r="RVZ83" s="143"/>
      <c r="RWA83" s="143"/>
      <c r="RWB83" s="143"/>
      <c r="RWC83" s="143"/>
      <c r="RWD83" s="143"/>
      <c r="RWE83" s="143"/>
      <c r="RWF83" s="143"/>
      <c r="RWG83" s="143"/>
      <c r="RWH83" s="143"/>
      <c r="RWI83" s="143"/>
      <c r="RWJ83" s="143"/>
      <c r="RWK83" s="143"/>
      <c r="RWL83" s="143"/>
      <c r="RWM83" s="143"/>
      <c r="RWN83" s="143"/>
      <c r="RWO83" s="143"/>
      <c r="RWP83" s="143"/>
      <c r="RWQ83" s="143"/>
      <c r="RWR83" s="143"/>
      <c r="RWS83" s="143"/>
      <c r="RWT83" s="143"/>
      <c r="RWU83" s="143"/>
      <c r="RWV83" s="143"/>
      <c r="RWW83" s="143"/>
      <c r="RWX83" s="143"/>
      <c r="RWY83" s="143"/>
      <c r="RWZ83" s="143"/>
      <c r="RXA83" s="143"/>
      <c r="RXB83" s="143"/>
      <c r="RXC83" s="143"/>
      <c r="RXD83" s="143"/>
      <c r="RXE83" s="143"/>
      <c r="RXF83" s="143"/>
      <c r="RXG83" s="143"/>
      <c r="RXH83" s="143"/>
      <c r="RXI83" s="143"/>
      <c r="RXJ83" s="143"/>
      <c r="RXK83" s="143"/>
      <c r="RXL83" s="143"/>
      <c r="RXM83" s="143"/>
      <c r="RXN83" s="143"/>
      <c r="RXO83" s="143"/>
      <c r="RXP83" s="143"/>
      <c r="RXQ83" s="143"/>
      <c r="RXR83" s="143"/>
      <c r="RXS83" s="143"/>
      <c r="RXT83" s="143"/>
      <c r="RXU83" s="143"/>
      <c r="RXV83" s="143"/>
      <c r="RXW83" s="143"/>
      <c r="RXX83" s="143"/>
      <c r="RXY83" s="143"/>
      <c r="RXZ83" s="143"/>
      <c r="RYA83" s="143"/>
      <c r="RYB83" s="143"/>
      <c r="RYC83" s="143"/>
      <c r="RYD83" s="143"/>
      <c r="RYE83" s="143"/>
      <c r="RYF83" s="143"/>
      <c r="RYG83" s="143"/>
      <c r="RYH83" s="143"/>
      <c r="RYI83" s="143"/>
      <c r="RYJ83" s="143"/>
      <c r="RYK83" s="143"/>
      <c r="RYL83" s="143"/>
      <c r="RYM83" s="143"/>
      <c r="RYN83" s="143"/>
      <c r="RYO83" s="143"/>
      <c r="RYP83" s="143"/>
      <c r="RYQ83" s="143"/>
      <c r="RYR83" s="143"/>
      <c r="RYS83" s="143"/>
      <c r="RYT83" s="143"/>
      <c r="RYU83" s="143"/>
      <c r="RYV83" s="143"/>
      <c r="RYW83" s="143"/>
      <c r="RYX83" s="143"/>
      <c r="RYY83" s="143"/>
      <c r="RYZ83" s="143"/>
      <c r="RZA83" s="143"/>
      <c r="RZB83" s="143"/>
      <c r="RZC83" s="143"/>
      <c r="RZD83" s="143"/>
      <c r="RZE83" s="143"/>
      <c r="RZF83" s="143"/>
      <c r="RZG83" s="143"/>
      <c r="RZH83" s="143"/>
      <c r="RZI83" s="143"/>
      <c r="RZJ83" s="143"/>
      <c r="RZK83" s="143"/>
      <c r="RZL83" s="143"/>
      <c r="RZM83" s="143"/>
      <c r="RZN83" s="143"/>
      <c r="RZO83" s="143"/>
      <c r="RZP83" s="143"/>
      <c r="RZQ83" s="143"/>
      <c r="RZR83" s="143"/>
      <c r="RZS83" s="143"/>
      <c r="RZT83" s="143"/>
      <c r="RZU83" s="143"/>
      <c r="RZV83" s="143"/>
      <c r="RZW83" s="143"/>
      <c r="RZX83" s="143"/>
      <c r="RZY83" s="143"/>
      <c r="RZZ83" s="143"/>
      <c r="SAA83" s="143"/>
      <c r="SAB83" s="143"/>
      <c r="SAC83" s="143"/>
      <c r="SAD83" s="143"/>
      <c r="SAE83" s="143"/>
      <c r="SAF83" s="143"/>
      <c r="SAG83" s="143"/>
      <c r="SAH83" s="143"/>
      <c r="SAI83" s="143"/>
      <c r="SAJ83" s="143"/>
      <c r="SAK83" s="143"/>
      <c r="SAL83" s="143"/>
      <c r="SAM83" s="143"/>
      <c r="SAN83" s="143"/>
      <c r="SAO83" s="143"/>
      <c r="SAP83" s="143"/>
      <c r="SAQ83" s="143"/>
      <c r="SAR83" s="143"/>
      <c r="SAS83" s="143"/>
      <c r="SAT83" s="143"/>
      <c r="SAU83" s="143"/>
      <c r="SAV83" s="143"/>
      <c r="SAW83" s="143"/>
      <c r="SAX83" s="143"/>
      <c r="SAY83" s="143"/>
      <c r="SAZ83" s="143"/>
      <c r="SBA83" s="143"/>
      <c r="SBB83" s="143"/>
      <c r="SBC83" s="143"/>
      <c r="SBD83" s="143"/>
      <c r="SBE83" s="143"/>
      <c r="SBF83" s="143"/>
      <c r="SBG83" s="143"/>
      <c r="SBH83" s="143"/>
      <c r="SBI83" s="143"/>
      <c r="SBJ83" s="143"/>
      <c r="SBK83" s="143"/>
      <c r="SBL83" s="143"/>
      <c r="SBM83" s="143"/>
      <c r="SBN83" s="143"/>
      <c r="SBO83" s="143"/>
      <c r="SBP83" s="143"/>
      <c r="SBQ83" s="143"/>
      <c r="SBR83" s="143"/>
      <c r="SBS83" s="143"/>
      <c r="SBT83" s="143"/>
      <c r="SBU83" s="143"/>
      <c r="SBV83" s="143"/>
      <c r="SBW83" s="143"/>
      <c r="SBX83" s="143"/>
      <c r="SBY83" s="143"/>
      <c r="SBZ83" s="143"/>
      <c r="SCA83" s="143"/>
      <c r="SCB83" s="143"/>
      <c r="SCC83" s="143"/>
      <c r="SCD83" s="143"/>
      <c r="SCE83" s="143"/>
      <c r="SCF83" s="143"/>
      <c r="SCG83" s="143"/>
      <c r="SCH83" s="143"/>
      <c r="SCI83" s="143"/>
      <c r="SCJ83" s="143"/>
      <c r="SCK83" s="143"/>
      <c r="SCL83" s="143"/>
      <c r="SCM83" s="143"/>
      <c r="SCN83" s="143"/>
      <c r="SCO83" s="143"/>
      <c r="SCP83" s="143"/>
      <c r="SCQ83" s="143"/>
      <c r="SCR83" s="143"/>
      <c r="SCS83" s="143"/>
      <c r="SCT83" s="143"/>
      <c r="SCU83" s="143"/>
      <c r="SCV83" s="143"/>
      <c r="SCW83" s="143"/>
      <c r="SCX83" s="143"/>
      <c r="SCY83" s="143"/>
      <c r="SCZ83" s="143"/>
      <c r="SDA83" s="143"/>
      <c r="SDB83" s="143"/>
      <c r="SDC83" s="143"/>
      <c r="SDD83" s="143"/>
      <c r="SDE83" s="143"/>
      <c r="SDF83" s="143"/>
      <c r="SDG83" s="143"/>
      <c r="SDH83" s="143"/>
      <c r="SDI83" s="143"/>
      <c r="SDJ83" s="143"/>
      <c r="SDK83" s="143"/>
      <c r="SDL83" s="143"/>
      <c r="SDM83" s="143"/>
      <c r="SDN83" s="143"/>
      <c r="SDO83" s="143"/>
      <c r="SDP83" s="143"/>
      <c r="SDQ83" s="143"/>
      <c r="SDR83" s="143"/>
      <c r="SDS83" s="143"/>
      <c r="SDT83" s="143"/>
      <c r="SDU83" s="143"/>
      <c r="SDV83" s="143"/>
      <c r="SDW83" s="143"/>
      <c r="SDX83" s="143"/>
      <c r="SDY83" s="143"/>
      <c r="SDZ83" s="143"/>
      <c r="SEA83" s="143"/>
      <c r="SEB83" s="143"/>
      <c r="SEC83" s="143"/>
      <c r="SED83" s="143"/>
      <c r="SEE83" s="143"/>
      <c r="SEF83" s="143"/>
      <c r="SEG83" s="143"/>
      <c r="SEH83" s="143"/>
      <c r="SEI83" s="143"/>
      <c r="SEJ83" s="143"/>
      <c r="SEK83" s="143"/>
      <c r="SEL83" s="143"/>
      <c r="SEM83" s="143"/>
      <c r="SEN83" s="143"/>
      <c r="SEO83" s="143"/>
      <c r="SEP83" s="143"/>
      <c r="SEQ83" s="143"/>
      <c r="SER83" s="143"/>
      <c r="SES83" s="143"/>
      <c r="SET83" s="143"/>
      <c r="SEU83" s="143"/>
      <c r="SEV83" s="143"/>
      <c r="SEW83" s="143"/>
      <c r="SEX83" s="143"/>
      <c r="SEY83" s="143"/>
      <c r="SEZ83" s="143"/>
      <c r="SFA83" s="143"/>
      <c r="SFB83" s="143"/>
      <c r="SFC83" s="143"/>
      <c r="SFD83" s="143"/>
      <c r="SFE83" s="143"/>
      <c r="SFF83" s="143"/>
      <c r="SFG83" s="143"/>
      <c r="SFH83" s="143"/>
      <c r="SFI83" s="143"/>
      <c r="SFJ83" s="143"/>
      <c r="SFK83" s="143"/>
      <c r="SFL83" s="143"/>
      <c r="SFM83" s="143"/>
      <c r="SFN83" s="143"/>
      <c r="SFO83" s="143"/>
      <c r="SFP83" s="143"/>
      <c r="SFQ83" s="143"/>
      <c r="SFR83" s="143"/>
      <c r="SFS83" s="143"/>
      <c r="SFT83" s="143"/>
      <c r="SFU83" s="143"/>
      <c r="SFV83" s="143"/>
      <c r="SFW83" s="143"/>
      <c r="SFX83" s="143"/>
      <c r="SFY83" s="143"/>
      <c r="SFZ83" s="143"/>
      <c r="SGA83" s="143"/>
      <c r="SGB83" s="143"/>
      <c r="SGC83" s="143"/>
      <c r="SGD83" s="143"/>
      <c r="SGE83" s="143"/>
      <c r="SGF83" s="143"/>
      <c r="SGG83" s="143"/>
      <c r="SGH83" s="143"/>
      <c r="SGI83" s="143"/>
      <c r="SGJ83" s="143"/>
      <c r="SGK83" s="143"/>
      <c r="SGL83" s="143"/>
      <c r="SGM83" s="143"/>
      <c r="SGN83" s="143"/>
      <c r="SGO83" s="143"/>
      <c r="SGP83" s="143"/>
      <c r="SGQ83" s="143"/>
      <c r="SGR83" s="143"/>
      <c r="SGS83" s="143"/>
      <c r="SGT83" s="143"/>
      <c r="SGU83" s="143"/>
      <c r="SGV83" s="143"/>
      <c r="SGW83" s="143"/>
      <c r="SGX83" s="143"/>
      <c r="SGY83" s="143"/>
      <c r="SGZ83" s="143"/>
      <c r="SHA83" s="143"/>
      <c r="SHB83" s="143"/>
      <c r="SHC83" s="143"/>
      <c r="SHD83" s="143"/>
      <c r="SHE83" s="143"/>
      <c r="SHF83" s="143"/>
      <c r="SHG83" s="143"/>
      <c r="SHH83" s="143"/>
      <c r="SHI83" s="143"/>
      <c r="SHJ83" s="143"/>
      <c r="SHK83" s="143"/>
      <c r="SHL83" s="143"/>
      <c r="SHM83" s="143"/>
      <c r="SHN83" s="143"/>
      <c r="SHO83" s="143"/>
      <c r="SHP83" s="143"/>
      <c r="SHQ83" s="143"/>
      <c r="SHR83" s="143"/>
      <c r="SHS83" s="143"/>
      <c r="SHT83" s="143"/>
      <c r="SHU83" s="143"/>
      <c r="SHV83" s="143"/>
      <c r="SHW83" s="143"/>
      <c r="SHX83" s="143"/>
      <c r="SHY83" s="143"/>
      <c r="SHZ83" s="143"/>
      <c r="SIA83" s="143"/>
      <c r="SIB83" s="143"/>
      <c r="SIC83" s="143"/>
      <c r="SID83" s="143"/>
      <c r="SIE83" s="143"/>
      <c r="SIF83" s="143"/>
      <c r="SIG83" s="143"/>
      <c r="SIH83" s="143"/>
      <c r="SII83" s="143"/>
      <c r="SIJ83" s="143"/>
      <c r="SIK83" s="143"/>
      <c r="SIL83" s="143"/>
      <c r="SIM83" s="143"/>
      <c r="SIN83" s="143"/>
      <c r="SIO83" s="143"/>
      <c r="SIP83" s="143"/>
      <c r="SIQ83" s="143"/>
      <c r="SIR83" s="143"/>
      <c r="SIS83" s="143"/>
      <c r="SIT83" s="143"/>
      <c r="SIU83" s="143"/>
      <c r="SIV83" s="143"/>
      <c r="SIW83" s="143"/>
      <c r="SIX83" s="143"/>
      <c r="SIY83" s="143"/>
      <c r="SIZ83" s="143"/>
      <c r="SJA83" s="143"/>
      <c r="SJB83" s="143"/>
      <c r="SJC83" s="143"/>
      <c r="SJD83" s="143"/>
      <c r="SJE83" s="143"/>
      <c r="SJF83" s="143"/>
      <c r="SJG83" s="143"/>
      <c r="SJH83" s="143"/>
      <c r="SJI83" s="143"/>
      <c r="SJJ83" s="143"/>
      <c r="SJK83" s="143"/>
      <c r="SJL83" s="143"/>
      <c r="SJM83" s="143"/>
      <c r="SJN83" s="143"/>
      <c r="SJO83" s="143"/>
      <c r="SJP83" s="143"/>
      <c r="SJQ83" s="143"/>
      <c r="SJR83" s="143"/>
      <c r="SJS83" s="143"/>
      <c r="SJT83" s="143"/>
      <c r="SJU83" s="143"/>
      <c r="SJV83" s="143"/>
      <c r="SJW83" s="143"/>
      <c r="SJX83" s="143"/>
      <c r="SJY83" s="143"/>
      <c r="SJZ83" s="143"/>
      <c r="SKA83" s="143"/>
      <c r="SKB83" s="143"/>
      <c r="SKC83" s="143"/>
      <c r="SKD83" s="143"/>
      <c r="SKE83" s="143"/>
      <c r="SKF83" s="143"/>
      <c r="SKG83" s="143"/>
      <c r="SKH83" s="143"/>
      <c r="SKI83" s="143"/>
      <c r="SKJ83" s="143"/>
      <c r="SKK83" s="143"/>
      <c r="SKL83" s="143"/>
      <c r="SKM83" s="143"/>
      <c r="SKN83" s="143"/>
      <c r="SKO83" s="143"/>
      <c r="SKP83" s="143"/>
      <c r="SKQ83" s="143"/>
      <c r="SKR83" s="143"/>
      <c r="SKS83" s="143"/>
      <c r="SKT83" s="143"/>
      <c r="SKU83" s="143"/>
      <c r="SKV83" s="143"/>
      <c r="SKW83" s="143"/>
      <c r="SKX83" s="143"/>
      <c r="SKY83" s="143"/>
      <c r="SKZ83" s="143"/>
      <c r="SLA83" s="143"/>
      <c r="SLB83" s="143"/>
      <c r="SLC83" s="143"/>
      <c r="SLD83" s="143"/>
      <c r="SLE83" s="143"/>
      <c r="SLF83" s="143"/>
      <c r="SLG83" s="143"/>
      <c r="SLH83" s="143"/>
      <c r="SLI83" s="143"/>
      <c r="SLJ83" s="143"/>
      <c r="SLK83" s="143"/>
      <c r="SLL83" s="143"/>
      <c r="SLM83" s="143"/>
      <c r="SLN83" s="143"/>
      <c r="SLO83" s="143"/>
      <c r="SLP83" s="143"/>
      <c r="SLQ83" s="143"/>
      <c r="SLR83" s="143"/>
      <c r="SLS83" s="143"/>
      <c r="SLT83" s="143"/>
      <c r="SLU83" s="143"/>
      <c r="SLV83" s="143"/>
      <c r="SLW83" s="143"/>
      <c r="SLX83" s="143"/>
      <c r="SLY83" s="143"/>
      <c r="SLZ83" s="143"/>
      <c r="SMA83" s="143"/>
      <c r="SMB83" s="143"/>
      <c r="SMC83" s="143"/>
      <c r="SMD83" s="143"/>
      <c r="SME83" s="143"/>
      <c r="SMF83" s="143"/>
      <c r="SMG83" s="143"/>
      <c r="SMH83" s="143"/>
      <c r="SMI83" s="143"/>
      <c r="SMJ83" s="143"/>
      <c r="SMK83" s="143"/>
      <c r="SML83" s="143"/>
      <c r="SMM83" s="143"/>
      <c r="SMN83" s="143"/>
      <c r="SMO83" s="143"/>
      <c r="SMP83" s="143"/>
      <c r="SMQ83" s="143"/>
      <c r="SMR83" s="143"/>
      <c r="SMS83" s="143"/>
      <c r="SMT83" s="143"/>
      <c r="SMU83" s="143"/>
      <c r="SMV83" s="143"/>
      <c r="SMW83" s="143"/>
      <c r="SMX83" s="143"/>
      <c r="SMY83" s="143"/>
      <c r="SMZ83" s="143"/>
      <c r="SNA83" s="143"/>
      <c r="SNB83" s="143"/>
      <c r="SNC83" s="143"/>
      <c r="SND83" s="143"/>
      <c r="SNE83" s="143"/>
      <c r="SNF83" s="143"/>
      <c r="SNG83" s="143"/>
      <c r="SNH83" s="143"/>
      <c r="SNI83" s="143"/>
      <c r="SNJ83" s="143"/>
      <c r="SNK83" s="143"/>
      <c r="SNL83" s="143"/>
      <c r="SNM83" s="143"/>
      <c r="SNN83" s="143"/>
      <c r="SNO83" s="143"/>
      <c r="SNP83" s="143"/>
      <c r="SNQ83" s="143"/>
      <c r="SNR83" s="143"/>
      <c r="SNS83" s="143"/>
      <c r="SNT83" s="143"/>
      <c r="SNU83" s="143"/>
      <c r="SNV83" s="143"/>
      <c r="SNW83" s="143"/>
      <c r="SNX83" s="143"/>
      <c r="SNY83" s="143"/>
      <c r="SNZ83" s="143"/>
      <c r="SOA83" s="143"/>
      <c r="SOB83" s="143"/>
      <c r="SOC83" s="143"/>
      <c r="SOD83" s="143"/>
      <c r="SOE83" s="143"/>
      <c r="SOF83" s="143"/>
      <c r="SOG83" s="143"/>
      <c r="SOH83" s="143"/>
      <c r="SOI83" s="143"/>
      <c r="SOJ83" s="143"/>
      <c r="SOK83" s="143"/>
      <c r="SOL83" s="143"/>
      <c r="SOM83" s="143"/>
      <c r="SON83" s="143"/>
      <c r="SOO83" s="143"/>
      <c r="SOP83" s="143"/>
      <c r="SOQ83" s="143"/>
      <c r="SOR83" s="143"/>
      <c r="SOS83" s="143"/>
      <c r="SOT83" s="143"/>
      <c r="SOU83" s="143"/>
      <c r="SOV83" s="143"/>
      <c r="SOW83" s="143"/>
      <c r="SOX83" s="143"/>
      <c r="SOY83" s="143"/>
      <c r="SOZ83" s="143"/>
      <c r="SPA83" s="143"/>
      <c r="SPB83" s="143"/>
      <c r="SPC83" s="143"/>
      <c r="SPD83" s="143"/>
      <c r="SPE83" s="143"/>
      <c r="SPF83" s="143"/>
      <c r="SPG83" s="143"/>
      <c r="SPH83" s="143"/>
      <c r="SPI83" s="143"/>
      <c r="SPJ83" s="143"/>
      <c r="SPK83" s="143"/>
      <c r="SPL83" s="143"/>
      <c r="SPM83" s="143"/>
      <c r="SPN83" s="143"/>
      <c r="SPO83" s="143"/>
      <c r="SPP83" s="143"/>
      <c r="SPQ83" s="143"/>
      <c r="SPR83" s="143"/>
      <c r="SPS83" s="143"/>
      <c r="SPT83" s="143"/>
      <c r="SPU83" s="143"/>
      <c r="SPV83" s="143"/>
      <c r="SPW83" s="143"/>
      <c r="SPX83" s="143"/>
      <c r="SPY83" s="143"/>
      <c r="SPZ83" s="143"/>
      <c r="SQA83" s="143"/>
      <c r="SQB83" s="143"/>
      <c r="SQC83" s="143"/>
      <c r="SQD83" s="143"/>
      <c r="SQE83" s="143"/>
      <c r="SQF83" s="143"/>
      <c r="SQG83" s="143"/>
      <c r="SQH83" s="143"/>
      <c r="SQI83" s="143"/>
      <c r="SQJ83" s="143"/>
      <c r="SQK83" s="143"/>
      <c r="SQL83" s="143"/>
      <c r="SQM83" s="143"/>
      <c r="SQN83" s="143"/>
      <c r="SQO83" s="143"/>
      <c r="SQP83" s="143"/>
      <c r="SQQ83" s="143"/>
      <c r="SQR83" s="143"/>
      <c r="SQS83" s="143"/>
      <c r="SQT83" s="143"/>
      <c r="SQU83" s="143"/>
      <c r="SQV83" s="143"/>
      <c r="SQW83" s="143"/>
      <c r="SQX83" s="143"/>
      <c r="SQY83" s="143"/>
      <c r="SQZ83" s="143"/>
      <c r="SRA83" s="143"/>
      <c r="SRB83" s="143"/>
      <c r="SRC83" s="143"/>
      <c r="SRD83" s="143"/>
      <c r="SRE83" s="143"/>
      <c r="SRF83" s="143"/>
      <c r="SRG83" s="143"/>
      <c r="SRH83" s="143"/>
      <c r="SRI83" s="143"/>
      <c r="SRJ83" s="143"/>
      <c r="SRK83" s="143"/>
      <c r="SRL83" s="143"/>
      <c r="SRM83" s="143"/>
      <c r="SRN83" s="143"/>
      <c r="SRO83" s="143"/>
      <c r="SRP83" s="143"/>
      <c r="SRQ83" s="143"/>
      <c r="SRR83" s="143"/>
      <c r="SRS83" s="143"/>
      <c r="SRT83" s="143"/>
      <c r="SRU83" s="143"/>
      <c r="SRV83" s="143"/>
      <c r="SRW83" s="143"/>
      <c r="SRX83" s="143"/>
      <c r="SRY83" s="143"/>
      <c r="SRZ83" s="143"/>
      <c r="SSA83" s="143"/>
      <c r="SSB83" s="143"/>
      <c r="SSC83" s="143"/>
      <c r="SSD83" s="143"/>
      <c r="SSE83" s="143"/>
      <c r="SSF83" s="143"/>
      <c r="SSG83" s="143"/>
      <c r="SSH83" s="143"/>
      <c r="SSI83" s="143"/>
      <c r="SSJ83" s="143"/>
      <c r="SSK83" s="143"/>
      <c r="SSL83" s="143"/>
      <c r="SSM83" s="143"/>
      <c r="SSN83" s="143"/>
      <c r="SSO83" s="143"/>
      <c r="SSP83" s="143"/>
      <c r="SSQ83" s="143"/>
      <c r="SSR83" s="143"/>
      <c r="SSS83" s="143"/>
      <c r="SST83" s="143"/>
      <c r="SSU83" s="143"/>
      <c r="SSV83" s="143"/>
      <c r="SSW83" s="143"/>
      <c r="SSX83" s="143"/>
      <c r="SSY83" s="143"/>
      <c r="SSZ83" s="143"/>
      <c r="STA83" s="143"/>
      <c r="STB83" s="143"/>
      <c r="STC83" s="143"/>
      <c r="STD83" s="143"/>
      <c r="STE83" s="143"/>
      <c r="STF83" s="143"/>
      <c r="STG83" s="143"/>
      <c r="STH83" s="143"/>
      <c r="STI83" s="143"/>
      <c r="STJ83" s="143"/>
      <c r="STK83" s="143"/>
      <c r="STL83" s="143"/>
      <c r="STM83" s="143"/>
      <c r="STN83" s="143"/>
      <c r="STO83" s="143"/>
      <c r="STP83" s="143"/>
      <c r="STQ83" s="143"/>
      <c r="STR83" s="143"/>
      <c r="STS83" s="143"/>
      <c r="STT83" s="143"/>
      <c r="STU83" s="143"/>
      <c r="STV83" s="143"/>
      <c r="STW83" s="143"/>
      <c r="STX83" s="143"/>
      <c r="STY83" s="143"/>
      <c r="STZ83" s="143"/>
      <c r="SUA83" s="143"/>
      <c r="SUB83" s="143"/>
      <c r="SUC83" s="143"/>
      <c r="SUD83" s="143"/>
      <c r="SUE83" s="143"/>
      <c r="SUF83" s="143"/>
      <c r="SUG83" s="143"/>
      <c r="SUH83" s="143"/>
      <c r="SUI83" s="143"/>
      <c r="SUJ83" s="143"/>
      <c r="SUK83" s="143"/>
      <c r="SUL83" s="143"/>
      <c r="SUM83" s="143"/>
      <c r="SUN83" s="143"/>
      <c r="SUO83" s="143"/>
      <c r="SUP83" s="143"/>
      <c r="SUQ83" s="143"/>
      <c r="SUR83" s="143"/>
      <c r="SUS83" s="143"/>
      <c r="SUT83" s="143"/>
      <c r="SUU83" s="143"/>
      <c r="SUV83" s="143"/>
      <c r="SUW83" s="143"/>
      <c r="SUX83" s="143"/>
      <c r="SUY83" s="143"/>
      <c r="SUZ83" s="143"/>
      <c r="SVA83" s="143"/>
      <c r="SVB83" s="143"/>
      <c r="SVC83" s="143"/>
      <c r="SVD83" s="143"/>
      <c r="SVE83" s="143"/>
      <c r="SVF83" s="143"/>
      <c r="SVG83" s="143"/>
      <c r="SVH83" s="143"/>
      <c r="SVI83" s="143"/>
      <c r="SVJ83" s="143"/>
      <c r="SVK83" s="143"/>
      <c r="SVL83" s="143"/>
      <c r="SVM83" s="143"/>
      <c r="SVN83" s="143"/>
      <c r="SVO83" s="143"/>
      <c r="SVP83" s="143"/>
      <c r="SVQ83" s="143"/>
      <c r="SVR83" s="143"/>
      <c r="SVS83" s="143"/>
      <c r="SVT83" s="143"/>
      <c r="SVU83" s="143"/>
      <c r="SVV83" s="143"/>
      <c r="SVW83" s="143"/>
      <c r="SVX83" s="143"/>
      <c r="SVY83" s="143"/>
      <c r="SVZ83" s="143"/>
      <c r="SWA83" s="143"/>
      <c r="SWB83" s="143"/>
      <c r="SWC83" s="143"/>
      <c r="SWD83" s="143"/>
      <c r="SWE83" s="143"/>
      <c r="SWF83" s="143"/>
      <c r="SWG83" s="143"/>
      <c r="SWH83" s="143"/>
      <c r="SWI83" s="143"/>
      <c r="SWJ83" s="143"/>
      <c r="SWK83" s="143"/>
      <c r="SWL83" s="143"/>
      <c r="SWM83" s="143"/>
      <c r="SWN83" s="143"/>
      <c r="SWO83" s="143"/>
      <c r="SWP83" s="143"/>
      <c r="SWQ83" s="143"/>
      <c r="SWR83" s="143"/>
      <c r="SWS83" s="143"/>
      <c r="SWT83" s="143"/>
      <c r="SWU83" s="143"/>
      <c r="SWV83" s="143"/>
      <c r="SWW83" s="143"/>
      <c r="SWX83" s="143"/>
      <c r="SWY83" s="143"/>
      <c r="SWZ83" s="143"/>
      <c r="SXA83" s="143"/>
      <c r="SXB83" s="143"/>
      <c r="SXC83" s="143"/>
      <c r="SXD83" s="143"/>
      <c r="SXE83" s="143"/>
      <c r="SXF83" s="143"/>
      <c r="SXG83" s="143"/>
      <c r="SXH83" s="143"/>
      <c r="SXI83" s="143"/>
      <c r="SXJ83" s="143"/>
      <c r="SXK83" s="143"/>
      <c r="SXL83" s="143"/>
      <c r="SXM83" s="143"/>
      <c r="SXN83" s="143"/>
      <c r="SXO83" s="143"/>
      <c r="SXP83" s="143"/>
      <c r="SXQ83" s="143"/>
      <c r="SXR83" s="143"/>
      <c r="SXS83" s="143"/>
      <c r="SXT83" s="143"/>
      <c r="SXU83" s="143"/>
      <c r="SXV83" s="143"/>
      <c r="SXW83" s="143"/>
      <c r="SXX83" s="143"/>
      <c r="SXY83" s="143"/>
      <c r="SXZ83" s="143"/>
      <c r="SYA83" s="143"/>
      <c r="SYB83" s="143"/>
      <c r="SYC83" s="143"/>
      <c r="SYD83" s="143"/>
      <c r="SYE83" s="143"/>
      <c r="SYF83" s="143"/>
      <c r="SYG83" s="143"/>
      <c r="SYH83" s="143"/>
      <c r="SYI83" s="143"/>
      <c r="SYJ83" s="143"/>
      <c r="SYK83" s="143"/>
      <c r="SYL83" s="143"/>
      <c r="SYM83" s="143"/>
      <c r="SYN83" s="143"/>
      <c r="SYO83" s="143"/>
      <c r="SYP83" s="143"/>
      <c r="SYQ83" s="143"/>
      <c r="SYR83" s="143"/>
      <c r="SYS83" s="143"/>
      <c r="SYT83" s="143"/>
      <c r="SYU83" s="143"/>
      <c r="SYV83" s="143"/>
      <c r="SYW83" s="143"/>
      <c r="SYX83" s="143"/>
      <c r="SYY83" s="143"/>
      <c r="SYZ83" s="143"/>
      <c r="SZA83" s="143"/>
      <c r="SZB83" s="143"/>
      <c r="SZC83" s="143"/>
      <c r="SZD83" s="143"/>
      <c r="SZE83" s="143"/>
      <c r="SZF83" s="143"/>
      <c r="SZG83" s="143"/>
      <c r="SZH83" s="143"/>
      <c r="SZI83" s="143"/>
      <c r="SZJ83" s="143"/>
      <c r="SZK83" s="143"/>
      <c r="SZL83" s="143"/>
      <c r="SZM83" s="143"/>
      <c r="SZN83" s="143"/>
      <c r="SZO83" s="143"/>
      <c r="SZP83" s="143"/>
      <c r="SZQ83" s="143"/>
      <c r="SZR83" s="143"/>
      <c r="SZS83" s="143"/>
      <c r="SZT83" s="143"/>
      <c r="SZU83" s="143"/>
      <c r="SZV83" s="143"/>
      <c r="SZW83" s="143"/>
      <c r="SZX83" s="143"/>
      <c r="SZY83" s="143"/>
      <c r="SZZ83" s="143"/>
      <c r="TAA83" s="143"/>
      <c r="TAB83" s="143"/>
      <c r="TAC83" s="143"/>
      <c r="TAD83" s="143"/>
      <c r="TAE83" s="143"/>
      <c r="TAF83" s="143"/>
      <c r="TAG83" s="143"/>
      <c r="TAH83" s="143"/>
      <c r="TAI83" s="143"/>
      <c r="TAJ83" s="143"/>
      <c r="TAK83" s="143"/>
      <c r="TAL83" s="143"/>
      <c r="TAM83" s="143"/>
      <c r="TAN83" s="143"/>
      <c r="TAO83" s="143"/>
      <c r="TAP83" s="143"/>
      <c r="TAQ83" s="143"/>
      <c r="TAR83" s="143"/>
      <c r="TAS83" s="143"/>
      <c r="TAT83" s="143"/>
      <c r="TAU83" s="143"/>
      <c r="TAV83" s="143"/>
      <c r="TAW83" s="143"/>
      <c r="TAX83" s="143"/>
      <c r="TAY83" s="143"/>
      <c r="TAZ83" s="143"/>
      <c r="TBA83" s="143"/>
      <c r="TBB83" s="143"/>
      <c r="TBC83" s="143"/>
      <c r="TBD83" s="143"/>
      <c r="TBE83" s="143"/>
      <c r="TBF83" s="143"/>
      <c r="TBG83" s="143"/>
      <c r="TBH83" s="143"/>
      <c r="TBI83" s="143"/>
      <c r="TBJ83" s="143"/>
      <c r="TBK83" s="143"/>
      <c r="TBL83" s="143"/>
      <c r="TBM83" s="143"/>
      <c r="TBN83" s="143"/>
      <c r="TBO83" s="143"/>
      <c r="TBP83" s="143"/>
      <c r="TBQ83" s="143"/>
      <c r="TBR83" s="143"/>
      <c r="TBS83" s="143"/>
      <c r="TBT83" s="143"/>
      <c r="TBU83" s="143"/>
      <c r="TBV83" s="143"/>
      <c r="TBW83" s="143"/>
      <c r="TBX83" s="143"/>
      <c r="TBY83" s="143"/>
      <c r="TBZ83" s="143"/>
      <c r="TCA83" s="143"/>
      <c r="TCB83" s="143"/>
      <c r="TCC83" s="143"/>
      <c r="TCD83" s="143"/>
      <c r="TCE83" s="143"/>
      <c r="TCF83" s="143"/>
      <c r="TCG83" s="143"/>
      <c r="TCH83" s="143"/>
      <c r="TCI83" s="143"/>
      <c r="TCJ83" s="143"/>
      <c r="TCK83" s="143"/>
      <c r="TCL83" s="143"/>
      <c r="TCM83" s="143"/>
      <c r="TCN83" s="143"/>
      <c r="TCO83" s="143"/>
      <c r="TCP83" s="143"/>
      <c r="TCQ83" s="143"/>
      <c r="TCR83" s="143"/>
      <c r="TCS83" s="143"/>
      <c r="TCT83" s="143"/>
      <c r="TCU83" s="143"/>
      <c r="TCV83" s="143"/>
      <c r="TCW83" s="143"/>
      <c r="TCX83" s="143"/>
      <c r="TCY83" s="143"/>
      <c r="TCZ83" s="143"/>
      <c r="TDA83" s="143"/>
      <c r="TDB83" s="143"/>
      <c r="TDC83" s="143"/>
      <c r="TDD83" s="143"/>
      <c r="TDE83" s="143"/>
      <c r="TDF83" s="143"/>
      <c r="TDG83" s="143"/>
      <c r="TDH83" s="143"/>
      <c r="TDI83" s="143"/>
      <c r="TDJ83" s="143"/>
      <c r="TDK83" s="143"/>
      <c r="TDL83" s="143"/>
      <c r="TDM83" s="143"/>
      <c r="TDN83" s="143"/>
      <c r="TDO83" s="143"/>
      <c r="TDP83" s="143"/>
      <c r="TDQ83" s="143"/>
      <c r="TDR83" s="143"/>
      <c r="TDS83" s="143"/>
      <c r="TDT83" s="143"/>
      <c r="TDU83" s="143"/>
      <c r="TDV83" s="143"/>
      <c r="TDW83" s="143"/>
      <c r="TDX83" s="143"/>
      <c r="TDY83" s="143"/>
      <c r="TDZ83" s="143"/>
      <c r="TEA83" s="143"/>
      <c r="TEB83" s="143"/>
      <c r="TEC83" s="143"/>
      <c r="TED83" s="143"/>
      <c r="TEE83" s="143"/>
      <c r="TEF83" s="143"/>
      <c r="TEG83" s="143"/>
      <c r="TEH83" s="143"/>
      <c r="TEI83" s="143"/>
      <c r="TEJ83" s="143"/>
      <c r="TEK83" s="143"/>
      <c r="TEL83" s="143"/>
      <c r="TEM83" s="143"/>
      <c r="TEN83" s="143"/>
      <c r="TEO83" s="143"/>
      <c r="TEP83" s="143"/>
      <c r="TEQ83" s="143"/>
      <c r="TER83" s="143"/>
      <c r="TES83" s="143"/>
      <c r="TET83" s="143"/>
      <c r="TEU83" s="143"/>
      <c r="TEV83" s="143"/>
      <c r="TEW83" s="143"/>
      <c r="TEX83" s="143"/>
      <c r="TEY83" s="143"/>
      <c r="TEZ83" s="143"/>
      <c r="TFA83" s="143"/>
      <c r="TFB83" s="143"/>
      <c r="TFC83" s="143"/>
      <c r="TFD83" s="143"/>
      <c r="TFE83" s="143"/>
      <c r="TFF83" s="143"/>
      <c r="TFG83" s="143"/>
      <c r="TFH83" s="143"/>
      <c r="TFI83" s="143"/>
      <c r="TFJ83" s="143"/>
      <c r="TFK83" s="143"/>
      <c r="TFL83" s="143"/>
      <c r="TFM83" s="143"/>
      <c r="TFN83" s="143"/>
      <c r="TFO83" s="143"/>
      <c r="TFP83" s="143"/>
      <c r="TFQ83" s="143"/>
      <c r="TFR83" s="143"/>
      <c r="TFS83" s="143"/>
      <c r="TFT83" s="143"/>
      <c r="TFU83" s="143"/>
      <c r="TFV83" s="143"/>
      <c r="TFW83" s="143"/>
      <c r="TFX83" s="143"/>
      <c r="TFY83" s="143"/>
      <c r="TFZ83" s="143"/>
      <c r="TGA83" s="143"/>
      <c r="TGB83" s="143"/>
      <c r="TGC83" s="143"/>
      <c r="TGD83" s="143"/>
      <c r="TGE83" s="143"/>
      <c r="TGF83" s="143"/>
      <c r="TGG83" s="143"/>
      <c r="TGH83" s="143"/>
      <c r="TGI83" s="143"/>
      <c r="TGJ83" s="143"/>
      <c r="TGK83" s="143"/>
      <c r="TGL83" s="143"/>
      <c r="TGM83" s="143"/>
      <c r="TGN83" s="143"/>
      <c r="TGO83" s="143"/>
      <c r="TGP83" s="143"/>
      <c r="TGQ83" s="143"/>
      <c r="TGR83" s="143"/>
      <c r="TGS83" s="143"/>
      <c r="TGT83" s="143"/>
      <c r="TGU83" s="143"/>
      <c r="TGV83" s="143"/>
      <c r="TGW83" s="143"/>
      <c r="TGX83" s="143"/>
      <c r="TGY83" s="143"/>
      <c r="TGZ83" s="143"/>
      <c r="THA83" s="143"/>
      <c r="THB83" s="143"/>
      <c r="THC83" s="143"/>
      <c r="THD83" s="143"/>
      <c r="THE83" s="143"/>
      <c r="THF83" s="143"/>
      <c r="THG83" s="143"/>
      <c r="THH83" s="143"/>
      <c r="THI83" s="143"/>
      <c r="THJ83" s="143"/>
      <c r="THK83" s="143"/>
      <c r="THL83" s="143"/>
      <c r="THM83" s="143"/>
      <c r="THN83" s="143"/>
      <c r="THO83" s="143"/>
      <c r="THP83" s="143"/>
      <c r="THQ83" s="143"/>
      <c r="THR83" s="143"/>
      <c r="THS83" s="143"/>
      <c r="THT83" s="143"/>
      <c r="THU83" s="143"/>
      <c r="THV83" s="143"/>
      <c r="THW83" s="143"/>
      <c r="THX83" s="143"/>
      <c r="THY83" s="143"/>
      <c r="THZ83" s="143"/>
      <c r="TIA83" s="143"/>
      <c r="TIB83" s="143"/>
      <c r="TIC83" s="143"/>
      <c r="TID83" s="143"/>
      <c r="TIE83" s="143"/>
      <c r="TIF83" s="143"/>
      <c r="TIG83" s="143"/>
      <c r="TIH83" s="143"/>
      <c r="TII83" s="143"/>
      <c r="TIJ83" s="143"/>
      <c r="TIK83" s="143"/>
      <c r="TIL83" s="143"/>
      <c r="TIM83" s="143"/>
      <c r="TIN83" s="143"/>
      <c r="TIO83" s="143"/>
      <c r="TIP83" s="143"/>
      <c r="TIQ83" s="143"/>
      <c r="TIR83" s="143"/>
      <c r="TIS83" s="143"/>
      <c r="TIT83" s="143"/>
      <c r="TIU83" s="143"/>
      <c r="TIV83" s="143"/>
      <c r="TIW83" s="143"/>
      <c r="TIX83" s="143"/>
      <c r="TIY83" s="143"/>
      <c r="TIZ83" s="143"/>
      <c r="TJA83" s="143"/>
      <c r="TJB83" s="143"/>
      <c r="TJC83" s="143"/>
      <c r="TJD83" s="143"/>
      <c r="TJE83" s="143"/>
      <c r="TJF83" s="143"/>
      <c r="TJG83" s="143"/>
      <c r="TJH83" s="143"/>
      <c r="TJI83" s="143"/>
      <c r="TJJ83" s="143"/>
      <c r="TJK83" s="143"/>
      <c r="TJL83" s="143"/>
      <c r="TJM83" s="143"/>
      <c r="TJN83" s="143"/>
      <c r="TJO83" s="143"/>
      <c r="TJP83" s="143"/>
      <c r="TJQ83" s="143"/>
      <c r="TJR83" s="143"/>
      <c r="TJS83" s="143"/>
      <c r="TJT83" s="143"/>
      <c r="TJU83" s="143"/>
      <c r="TJV83" s="143"/>
      <c r="TJW83" s="143"/>
      <c r="TJX83" s="143"/>
      <c r="TJY83" s="143"/>
      <c r="TJZ83" s="143"/>
      <c r="TKA83" s="143"/>
      <c r="TKB83" s="143"/>
      <c r="TKC83" s="143"/>
      <c r="TKD83" s="143"/>
      <c r="TKE83" s="143"/>
      <c r="TKF83" s="143"/>
      <c r="TKG83" s="143"/>
      <c r="TKH83" s="143"/>
      <c r="TKI83" s="143"/>
      <c r="TKJ83" s="143"/>
      <c r="TKK83" s="143"/>
      <c r="TKL83" s="143"/>
      <c r="TKM83" s="143"/>
      <c r="TKN83" s="143"/>
      <c r="TKO83" s="143"/>
      <c r="TKP83" s="143"/>
      <c r="TKQ83" s="143"/>
      <c r="TKR83" s="143"/>
      <c r="TKS83" s="143"/>
      <c r="TKT83" s="143"/>
      <c r="TKU83" s="143"/>
      <c r="TKV83" s="143"/>
      <c r="TKW83" s="143"/>
      <c r="TKX83" s="143"/>
      <c r="TKY83" s="143"/>
      <c r="TKZ83" s="143"/>
      <c r="TLA83" s="143"/>
      <c r="TLB83" s="143"/>
      <c r="TLC83" s="143"/>
      <c r="TLD83" s="143"/>
      <c r="TLE83" s="143"/>
      <c r="TLF83" s="143"/>
      <c r="TLG83" s="143"/>
      <c r="TLH83" s="143"/>
      <c r="TLI83" s="143"/>
      <c r="TLJ83" s="143"/>
      <c r="TLK83" s="143"/>
      <c r="TLL83" s="143"/>
      <c r="TLM83" s="143"/>
      <c r="TLN83" s="143"/>
      <c r="TLO83" s="143"/>
      <c r="TLP83" s="143"/>
      <c r="TLQ83" s="143"/>
      <c r="TLR83" s="143"/>
      <c r="TLS83" s="143"/>
      <c r="TLT83" s="143"/>
      <c r="TLU83" s="143"/>
      <c r="TLV83" s="143"/>
      <c r="TLW83" s="143"/>
      <c r="TLX83" s="143"/>
      <c r="TLY83" s="143"/>
      <c r="TLZ83" s="143"/>
      <c r="TMA83" s="143"/>
      <c r="TMB83" s="143"/>
      <c r="TMC83" s="143"/>
      <c r="TMD83" s="143"/>
      <c r="TME83" s="143"/>
      <c r="TMF83" s="143"/>
      <c r="TMG83" s="143"/>
      <c r="TMH83" s="143"/>
      <c r="TMI83" s="143"/>
      <c r="TMJ83" s="143"/>
      <c r="TMK83" s="143"/>
      <c r="TML83" s="143"/>
      <c r="TMM83" s="143"/>
      <c r="TMN83" s="143"/>
      <c r="TMO83" s="143"/>
      <c r="TMP83" s="143"/>
      <c r="TMQ83" s="143"/>
      <c r="TMR83" s="143"/>
      <c r="TMS83" s="143"/>
      <c r="TMT83" s="143"/>
      <c r="TMU83" s="143"/>
      <c r="TMV83" s="143"/>
      <c r="TMW83" s="143"/>
      <c r="TMX83" s="143"/>
      <c r="TMY83" s="143"/>
      <c r="TMZ83" s="143"/>
      <c r="TNA83" s="143"/>
      <c r="TNB83" s="143"/>
      <c r="TNC83" s="143"/>
      <c r="TND83" s="143"/>
      <c r="TNE83" s="143"/>
      <c r="TNF83" s="143"/>
      <c r="TNG83" s="143"/>
      <c r="TNH83" s="143"/>
      <c r="TNI83" s="143"/>
      <c r="TNJ83" s="143"/>
      <c r="TNK83" s="143"/>
      <c r="TNL83" s="143"/>
      <c r="TNM83" s="143"/>
      <c r="TNN83" s="143"/>
      <c r="TNO83" s="143"/>
      <c r="TNP83" s="143"/>
      <c r="TNQ83" s="143"/>
      <c r="TNR83" s="143"/>
      <c r="TNS83" s="143"/>
      <c r="TNT83" s="143"/>
      <c r="TNU83" s="143"/>
      <c r="TNV83" s="143"/>
      <c r="TNW83" s="143"/>
      <c r="TNX83" s="143"/>
      <c r="TNY83" s="143"/>
      <c r="TNZ83" s="143"/>
      <c r="TOA83" s="143"/>
      <c r="TOB83" s="143"/>
      <c r="TOC83" s="143"/>
      <c r="TOD83" s="143"/>
      <c r="TOE83" s="143"/>
      <c r="TOF83" s="143"/>
      <c r="TOG83" s="143"/>
      <c r="TOH83" s="143"/>
      <c r="TOI83" s="143"/>
      <c r="TOJ83" s="143"/>
      <c r="TOK83" s="143"/>
      <c r="TOL83" s="143"/>
      <c r="TOM83" s="143"/>
      <c r="TON83" s="143"/>
      <c r="TOO83" s="143"/>
      <c r="TOP83" s="143"/>
      <c r="TOQ83" s="143"/>
      <c r="TOR83" s="143"/>
      <c r="TOS83" s="143"/>
      <c r="TOT83" s="143"/>
      <c r="TOU83" s="143"/>
      <c r="TOV83" s="143"/>
      <c r="TOW83" s="143"/>
      <c r="TOX83" s="143"/>
      <c r="TOY83" s="143"/>
      <c r="TOZ83" s="143"/>
      <c r="TPA83" s="143"/>
      <c r="TPB83" s="143"/>
      <c r="TPC83" s="143"/>
      <c r="TPD83" s="143"/>
      <c r="TPE83" s="143"/>
      <c r="TPF83" s="143"/>
      <c r="TPG83" s="143"/>
      <c r="TPH83" s="143"/>
      <c r="TPI83" s="143"/>
      <c r="TPJ83" s="143"/>
      <c r="TPK83" s="143"/>
      <c r="TPL83" s="143"/>
      <c r="TPM83" s="143"/>
      <c r="TPN83" s="143"/>
      <c r="TPO83" s="143"/>
      <c r="TPP83" s="143"/>
      <c r="TPQ83" s="143"/>
      <c r="TPR83" s="143"/>
      <c r="TPS83" s="143"/>
      <c r="TPT83" s="143"/>
      <c r="TPU83" s="143"/>
      <c r="TPV83" s="143"/>
      <c r="TPW83" s="143"/>
      <c r="TPX83" s="143"/>
      <c r="TPY83" s="143"/>
      <c r="TPZ83" s="143"/>
      <c r="TQA83" s="143"/>
      <c r="TQB83" s="143"/>
      <c r="TQC83" s="143"/>
      <c r="TQD83" s="143"/>
      <c r="TQE83" s="143"/>
      <c r="TQF83" s="143"/>
      <c r="TQG83" s="143"/>
      <c r="TQH83" s="143"/>
      <c r="TQI83" s="143"/>
      <c r="TQJ83" s="143"/>
      <c r="TQK83" s="143"/>
      <c r="TQL83" s="143"/>
      <c r="TQM83" s="143"/>
      <c r="TQN83" s="143"/>
      <c r="TQO83" s="143"/>
      <c r="TQP83" s="143"/>
      <c r="TQQ83" s="143"/>
      <c r="TQR83" s="143"/>
      <c r="TQS83" s="143"/>
      <c r="TQT83" s="143"/>
      <c r="TQU83" s="143"/>
      <c r="TQV83" s="143"/>
      <c r="TQW83" s="143"/>
      <c r="TQX83" s="143"/>
      <c r="TQY83" s="143"/>
      <c r="TQZ83" s="143"/>
      <c r="TRA83" s="143"/>
      <c r="TRB83" s="143"/>
      <c r="TRC83" s="143"/>
      <c r="TRD83" s="143"/>
      <c r="TRE83" s="143"/>
      <c r="TRF83" s="143"/>
      <c r="TRG83" s="143"/>
      <c r="TRH83" s="143"/>
      <c r="TRI83" s="143"/>
      <c r="TRJ83" s="143"/>
      <c r="TRK83" s="143"/>
      <c r="TRL83" s="143"/>
      <c r="TRM83" s="143"/>
      <c r="TRN83" s="143"/>
      <c r="TRO83" s="143"/>
      <c r="TRP83" s="143"/>
      <c r="TRQ83" s="143"/>
      <c r="TRR83" s="143"/>
      <c r="TRS83" s="143"/>
      <c r="TRT83" s="143"/>
      <c r="TRU83" s="143"/>
      <c r="TRV83" s="143"/>
      <c r="TRW83" s="143"/>
      <c r="TRX83" s="143"/>
      <c r="TRY83" s="143"/>
      <c r="TRZ83" s="143"/>
      <c r="TSA83" s="143"/>
      <c r="TSB83" s="143"/>
      <c r="TSC83" s="143"/>
      <c r="TSD83" s="143"/>
      <c r="TSE83" s="143"/>
      <c r="TSF83" s="143"/>
      <c r="TSG83" s="143"/>
      <c r="TSH83" s="143"/>
      <c r="TSI83" s="143"/>
      <c r="TSJ83" s="143"/>
      <c r="TSK83" s="143"/>
      <c r="TSL83" s="143"/>
      <c r="TSM83" s="143"/>
      <c r="TSN83" s="143"/>
      <c r="TSO83" s="143"/>
      <c r="TSP83" s="143"/>
      <c r="TSQ83" s="143"/>
      <c r="TSR83" s="143"/>
      <c r="TSS83" s="143"/>
      <c r="TST83" s="143"/>
      <c r="TSU83" s="143"/>
      <c r="TSV83" s="143"/>
      <c r="TSW83" s="143"/>
      <c r="TSX83" s="143"/>
      <c r="TSY83" s="143"/>
      <c r="TSZ83" s="143"/>
      <c r="TTA83" s="143"/>
      <c r="TTB83" s="143"/>
      <c r="TTC83" s="143"/>
      <c r="TTD83" s="143"/>
      <c r="TTE83" s="143"/>
      <c r="TTF83" s="143"/>
      <c r="TTG83" s="143"/>
      <c r="TTH83" s="143"/>
      <c r="TTI83" s="143"/>
      <c r="TTJ83" s="143"/>
      <c r="TTK83" s="143"/>
      <c r="TTL83" s="143"/>
      <c r="TTM83" s="143"/>
      <c r="TTN83" s="143"/>
      <c r="TTO83" s="143"/>
      <c r="TTP83" s="143"/>
      <c r="TTQ83" s="143"/>
      <c r="TTR83" s="143"/>
      <c r="TTS83" s="143"/>
      <c r="TTT83" s="143"/>
      <c r="TTU83" s="143"/>
      <c r="TTV83" s="143"/>
      <c r="TTW83" s="143"/>
      <c r="TTX83" s="143"/>
      <c r="TTY83" s="143"/>
      <c r="TTZ83" s="143"/>
      <c r="TUA83" s="143"/>
      <c r="TUB83" s="143"/>
      <c r="TUC83" s="143"/>
      <c r="TUD83" s="143"/>
      <c r="TUE83" s="143"/>
      <c r="TUF83" s="143"/>
      <c r="TUG83" s="143"/>
      <c r="TUH83" s="143"/>
      <c r="TUI83" s="143"/>
      <c r="TUJ83" s="143"/>
      <c r="TUK83" s="143"/>
      <c r="TUL83" s="143"/>
      <c r="TUM83" s="143"/>
      <c r="TUN83" s="143"/>
      <c r="TUO83" s="143"/>
      <c r="TUP83" s="143"/>
      <c r="TUQ83" s="143"/>
      <c r="TUR83" s="143"/>
      <c r="TUS83" s="143"/>
      <c r="TUT83" s="143"/>
      <c r="TUU83" s="143"/>
      <c r="TUV83" s="143"/>
      <c r="TUW83" s="143"/>
      <c r="TUX83" s="143"/>
      <c r="TUY83" s="143"/>
      <c r="TUZ83" s="143"/>
      <c r="TVA83" s="143"/>
      <c r="TVB83" s="143"/>
      <c r="TVC83" s="143"/>
      <c r="TVD83" s="143"/>
      <c r="TVE83" s="143"/>
      <c r="TVF83" s="143"/>
      <c r="TVG83" s="143"/>
      <c r="TVH83" s="143"/>
      <c r="TVI83" s="143"/>
      <c r="TVJ83" s="143"/>
      <c r="TVK83" s="143"/>
      <c r="TVL83" s="143"/>
      <c r="TVM83" s="143"/>
      <c r="TVN83" s="143"/>
      <c r="TVO83" s="143"/>
      <c r="TVP83" s="143"/>
      <c r="TVQ83" s="143"/>
      <c r="TVR83" s="143"/>
      <c r="TVS83" s="143"/>
      <c r="TVT83" s="143"/>
      <c r="TVU83" s="143"/>
      <c r="TVV83" s="143"/>
      <c r="TVW83" s="143"/>
      <c r="TVX83" s="143"/>
      <c r="TVY83" s="143"/>
      <c r="TVZ83" s="143"/>
      <c r="TWA83" s="143"/>
      <c r="TWB83" s="143"/>
      <c r="TWC83" s="143"/>
      <c r="TWD83" s="143"/>
      <c r="TWE83" s="143"/>
      <c r="TWF83" s="143"/>
      <c r="TWG83" s="143"/>
      <c r="TWH83" s="143"/>
      <c r="TWI83" s="143"/>
      <c r="TWJ83" s="143"/>
      <c r="TWK83" s="143"/>
      <c r="TWL83" s="143"/>
      <c r="TWM83" s="143"/>
      <c r="TWN83" s="143"/>
      <c r="TWO83" s="143"/>
      <c r="TWP83" s="143"/>
      <c r="TWQ83" s="143"/>
      <c r="TWR83" s="143"/>
      <c r="TWS83" s="143"/>
      <c r="TWT83" s="143"/>
      <c r="TWU83" s="143"/>
      <c r="TWV83" s="143"/>
      <c r="TWW83" s="143"/>
      <c r="TWX83" s="143"/>
      <c r="TWY83" s="143"/>
      <c r="TWZ83" s="143"/>
      <c r="TXA83" s="143"/>
      <c r="TXB83" s="143"/>
      <c r="TXC83" s="143"/>
      <c r="TXD83" s="143"/>
      <c r="TXE83" s="143"/>
      <c r="TXF83" s="143"/>
      <c r="TXG83" s="143"/>
      <c r="TXH83" s="143"/>
      <c r="TXI83" s="143"/>
      <c r="TXJ83" s="143"/>
      <c r="TXK83" s="143"/>
      <c r="TXL83" s="143"/>
      <c r="TXM83" s="143"/>
      <c r="TXN83" s="143"/>
      <c r="TXO83" s="143"/>
      <c r="TXP83" s="143"/>
      <c r="TXQ83" s="143"/>
      <c r="TXR83" s="143"/>
      <c r="TXS83" s="143"/>
      <c r="TXT83" s="143"/>
      <c r="TXU83" s="143"/>
      <c r="TXV83" s="143"/>
      <c r="TXW83" s="143"/>
      <c r="TXX83" s="143"/>
      <c r="TXY83" s="143"/>
      <c r="TXZ83" s="143"/>
      <c r="TYA83" s="143"/>
      <c r="TYB83" s="143"/>
      <c r="TYC83" s="143"/>
      <c r="TYD83" s="143"/>
      <c r="TYE83" s="143"/>
      <c r="TYF83" s="143"/>
      <c r="TYG83" s="143"/>
      <c r="TYH83" s="143"/>
      <c r="TYI83" s="143"/>
      <c r="TYJ83" s="143"/>
      <c r="TYK83" s="143"/>
      <c r="TYL83" s="143"/>
      <c r="TYM83" s="143"/>
      <c r="TYN83" s="143"/>
      <c r="TYO83" s="143"/>
      <c r="TYP83" s="143"/>
      <c r="TYQ83" s="143"/>
      <c r="TYR83" s="143"/>
      <c r="TYS83" s="143"/>
      <c r="TYT83" s="143"/>
      <c r="TYU83" s="143"/>
      <c r="TYV83" s="143"/>
      <c r="TYW83" s="143"/>
      <c r="TYX83" s="143"/>
      <c r="TYY83" s="143"/>
      <c r="TYZ83" s="143"/>
      <c r="TZA83" s="143"/>
      <c r="TZB83" s="143"/>
      <c r="TZC83" s="143"/>
      <c r="TZD83" s="143"/>
      <c r="TZE83" s="143"/>
      <c r="TZF83" s="143"/>
      <c r="TZG83" s="143"/>
      <c r="TZH83" s="143"/>
      <c r="TZI83" s="143"/>
      <c r="TZJ83" s="143"/>
      <c r="TZK83" s="143"/>
      <c r="TZL83" s="143"/>
      <c r="TZM83" s="143"/>
      <c r="TZN83" s="143"/>
      <c r="TZO83" s="143"/>
      <c r="TZP83" s="143"/>
      <c r="TZQ83" s="143"/>
      <c r="TZR83" s="143"/>
      <c r="TZS83" s="143"/>
      <c r="TZT83" s="143"/>
      <c r="TZU83" s="143"/>
      <c r="TZV83" s="143"/>
      <c r="TZW83" s="143"/>
      <c r="TZX83" s="143"/>
      <c r="TZY83" s="143"/>
      <c r="TZZ83" s="143"/>
      <c r="UAA83" s="143"/>
      <c r="UAB83" s="143"/>
      <c r="UAC83" s="143"/>
      <c r="UAD83" s="143"/>
      <c r="UAE83" s="143"/>
      <c r="UAF83" s="143"/>
      <c r="UAG83" s="143"/>
      <c r="UAH83" s="143"/>
      <c r="UAI83" s="143"/>
      <c r="UAJ83" s="143"/>
      <c r="UAK83" s="143"/>
      <c r="UAL83" s="143"/>
      <c r="UAM83" s="143"/>
      <c r="UAN83" s="143"/>
      <c r="UAO83" s="143"/>
      <c r="UAP83" s="143"/>
      <c r="UAQ83" s="143"/>
      <c r="UAR83" s="143"/>
      <c r="UAS83" s="143"/>
      <c r="UAT83" s="143"/>
      <c r="UAU83" s="143"/>
      <c r="UAV83" s="143"/>
      <c r="UAW83" s="143"/>
      <c r="UAX83" s="143"/>
      <c r="UAY83" s="143"/>
      <c r="UAZ83" s="143"/>
      <c r="UBA83" s="143"/>
      <c r="UBB83" s="143"/>
      <c r="UBC83" s="143"/>
      <c r="UBD83" s="143"/>
      <c r="UBE83" s="143"/>
      <c r="UBF83" s="143"/>
      <c r="UBG83" s="143"/>
      <c r="UBH83" s="143"/>
      <c r="UBI83" s="143"/>
      <c r="UBJ83" s="143"/>
      <c r="UBK83" s="143"/>
      <c r="UBL83" s="143"/>
      <c r="UBM83" s="143"/>
      <c r="UBN83" s="143"/>
      <c r="UBO83" s="143"/>
      <c r="UBP83" s="143"/>
      <c r="UBQ83" s="143"/>
      <c r="UBR83" s="143"/>
      <c r="UBS83" s="143"/>
      <c r="UBT83" s="143"/>
      <c r="UBU83" s="143"/>
      <c r="UBV83" s="143"/>
      <c r="UBW83" s="143"/>
      <c r="UBX83" s="143"/>
      <c r="UBY83" s="143"/>
      <c r="UBZ83" s="143"/>
      <c r="UCA83" s="143"/>
      <c r="UCB83" s="143"/>
      <c r="UCC83" s="143"/>
      <c r="UCD83" s="143"/>
      <c r="UCE83" s="143"/>
      <c r="UCF83" s="143"/>
      <c r="UCG83" s="143"/>
      <c r="UCH83" s="143"/>
      <c r="UCI83" s="143"/>
      <c r="UCJ83" s="143"/>
      <c r="UCK83" s="143"/>
      <c r="UCL83" s="143"/>
      <c r="UCM83" s="143"/>
      <c r="UCN83" s="143"/>
      <c r="UCO83" s="143"/>
      <c r="UCP83" s="143"/>
      <c r="UCQ83" s="143"/>
      <c r="UCR83" s="143"/>
      <c r="UCS83" s="143"/>
      <c r="UCT83" s="143"/>
      <c r="UCU83" s="143"/>
      <c r="UCV83" s="143"/>
      <c r="UCW83" s="143"/>
      <c r="UCX83" s="143"/>
      <c r="UCY83" s="143"/>
      <c r="UCZ83" s="143"/>
      <c r="UDA83" s="143"/>
      <c r="UDB83" s="143"/>
      <c r="UDC83" s="143"/>
      <c r="UDD83" s="143"/>
      <c r="UDE83" s="143"/>
      <c r="UDF83" s="143"/>
      <c r="UDG83" s="143"/>
      <c r="UDH83" s="143"/>
      <c r="UDI83" s="143"/>
      <c r="UDJ83" s="143"/>
      <c r="UDK83" s="143"/>
      <c r="UDL83" s="143"/>
      <c r="UDM83" s="143"/>
      <c r="UDN83" s="143"/>
      <c r="UDO83" s="143"/>
      <c r="UDP83" s="143"/>
      <c r="UDQ83" s="143"/>
      <c r="UDR83" s="143"/>
      <c r="UDS83" s="143"/>
      <c r="UDT83" s="143"/>
      <c r="UDU83" s="143"/>
      <c r="UDV83" s="143"/>
      <c r="UDW83" s="143"/>
      <c r="UDX83" s="143"/>
      <c r="UDY83" s="143"/>
      <c r="UDZ83" s="143"/>
      <c r="UEA83" s="143"/>
      <c r="UEB83" s="143"/>
      <c r="UEC83" s="143"/>
      <c r="UED83" s="143"/>
      <c r="UEE83" s="143"/>
      <c r="UEF83" s="143"/>
      <c r="UEG83" s="143"/>
      <c r="UEH83" s="143"/>
      <c r="UEI83" s="143"/>
      <c r="UEJ83" s="143"/>
      <c r="UEK83" s="143"/>
      <c r="UEL83" s="143"/>
      <c r="UEM83" s="143"/>
      <c r="UEN83" s="143"/>
      <c r="UEO83" s="143"/>
      <c r="UEP83" s="143"/>
      <c r="UEQ83" s="143"/>
      <c r="UER83" s="143"/>
      <c r="UES83" s="143"/>
      <c r="UET83" s="143"/>
      <c r="UEU83" s="143"/>
      <c r="UEV83" s="143"/>
      <c r="UEW83" s="143"/>
      <c r="UEX83" s="143"/>
      <c r="UEY83" s="143"/>
      <c r="UEZ83" s="143"/>
      <c r="UFA83" s="143"/>
      <c r="UFB83" s="143"/>
      <c r="UFC83" s="143"/>
      <c r="UFD83" s="143"/>
      <c r="UFE83" s="143"/>
      <c r="UFF83" s="143"/>
      <c r="UFG83" s="143"/>
      <c r="UFH83" s="143"/>
      <c r="UFI83" s="143"/>
      <c r="UFJ83" s="143"/>
      <c r="UFK83" s="143"/>
      <c r="UFL83" s="143"/>
      <c r="UFM83" s="143"/>
      <c r="UFN83" s="143"/>
      <c r="UFO83" s="143"/>
      <c r="UFP83" s="143"/>
      <c r="UFQ83" s="143"/>
      <c r="UFR83" s="143"/>
      <c r="UFS83" s="143"/>
      <c r="UFT83" s="143"/>
      <c r="UFU83" s="143"/>
      <c r="UFV83" s="143"/>
      <c r="UFW83" s="143"/>
      <c r="UFX83" s="143"/>
      <c r="UFY83" s="143"/>
      <c r="UFZ83" s="143"/>
      <c r="UGA83" s="143"/>
      <c r="UGB83" s="143"/>
      <c r="UGC83" s="143"/>
      <c r="UGD83" s="143"/>
      <c r="UGE83" s="143"/>
      <c r="UGF83" s="143"/>
      <c r="UGG83" s="143"/>
      <c r="UGH83" s="143"/>
      <c r="UGI83" s="143"/>
      <c r="UGJ83" s="143"/>
      <c r="UGK83" s="143"/>
      <c r="UGL83" s="143"/>
      <c r="UGM83" s="143"/>
      <c r="UGN83" s="143"/>
      <c r="UGO83" s="143"/>
      <c r="UGP83" s="143"/>
      <c r="UGQ83" s="143"/>
      <c r="UGR83" s="143"/>
      <c r="UGS83" s="143"/>
      <c r="UGT83" s="143"/>
      <c r="UGU83" s="143"/>
      <c r="UGV83" s="143"/>
      <c r="UGW83" s="143"/>
      <c r="UGX83" s="143"/>
      <c r="UGY83" s="143"/>
      <c r="UGZ83" s="143"/>
      <c r="UHA83" s="143"/>
      <c r="UHB83" s="143"/>
      <c r="UHC83" s="143"/>
      <c r="UHD83" s="143"/>
      <c r="UHE83" s="143"/>
      <c r="UHF83" s="143"/>
      <c r="UHG83" s="143"/>
      <c r="UHH83" s="143"/>
      <c r="UHI83" s="143"/>
      <c r="UHJ83" s="143"/>
      <c r="UHK83" s="143"/>
      <c r="UHL83" s="143"/>
      <c r="UHM83" s="143"/>
      <c r="UHN83" s="143"/>
      <c r="UHO83" s="143"/>
      <c r="UHP83" s="143"/>
      <c r="UHQ83" s="143"/>
      <c r="UHR83" s="143"/>
      <c r="UHS83" s="143"/>
      <c r="UHT83" s="143"/>
      <c r="UHU83" s="143"/>
      <c r="UHV83" s="143"/>
      <c r="UHW83" s="143"/>
      <c r="UHX83" s="143"/>
      <c r="UHY83" s="143"/>
      <c r="UHZ83" s="143"/>
      <c r="UIA83" s="143"/>
      <c r="UIB83" s="143"/>
      <c r="UIC83" s="143"/>
      <c r="UID83" s="143"/>
      <c r="UIE83" s="143"/>
      <c r="UIF83" s="143"/>
      <c r="UIG83" s="143"/>
      <c r="UIH83" s="143"/>
      <c r="UII83" s="143"/>
      <c r="UIJ83" s="143"/>
      <c r="UIK83" s="143"/>
      <c r="UIL83" s="143"/>
      <c r="UIM83" s="143"/>
      <c r="UIN83" s="143"/>
      <c r="UIO83" s="143"/>
      <c r="UIP83" s="143"/>
      <c r="UIQ83" s="143"/>
      <c r="UIR83" s="143"/>
      <c r="UIS83" s="143"/>
      <c r="UIT83" s="143"/>
      <c r="UIU83" s="143"/>
      <c r="UIV83" s="143"/>
      <c r="UIW83" s="143"/>
      <c r="UIX83" s="143"/>
      <c r="UIY83" s="143"/>
      <c r="UIZ83" s="143"/>
      <c r="UJA83" s="143"/>
      <c r="UJB83" s="143"/>
      <c r="UJC83" s="143"/>
      <c r="UJD83" s="143"/>
      <c r="UJE83" s="143"/>
      <c r="UJF83" s="143"/>
      <c r="UJG83" s="143"/>
      <c r="UJH83" s="143"/>
      <c r="UJI83" s="143"/>
      <c r="UJJ83" s="143"/>
      <c r="UJK83" s="143"/>
      <c r="UJL83" s="143"/>
      <c r="UJM83" s="143"/>
      <c r="UJN83" s="143"/>
      <c r="UJO83" s="143"/>
      <c r="UJP83" s="143"/>
      <c r="UJQ83" s="143"/>
      <c r="UJR83" s="143"/>
      <c r="UJS83" s="143"/>
      <c r="UJT83" s="143"/>
      <c r="UJU83" s="143"/>
      <c r="UJV83" s="143"/>
      <c r="UJW83" s="143"/>
      <c r="UJX83" s="143"/>
      <c r="UJY83" s="143"/>
      <c r="UJZ83" s="143"/>
      <c r="UKA83" s="143"/>
      <c r="UKB83" s="143"/>
      <c r="UKC83" s="143"/>
      <c r="UKD83" s="143"/>
      <c r="UKE83" s="143"/>
      <c r="UKF83" s="143"/>
      <c r="UKG83" s="143"/>
      <c r="UKH83" s="143"/>
      <c r="UKI83" s="143"/>
      <c r="UKJ83" s="143"/>
      <c r="UKK83" s="143"/>
      <c r="UKL83" s="143"/>
      <c r="UKM83" s="143"/>
      <c r="UKN83" s="143"/>
      <c r="UKO83" s="143"/>
      <c r="UKP83" s="143"/>
      <c r="UKQ83" s="143"/>
      <c r="UKR83" s="143"/>
      <c r="UKS83" s="143"/>
      <c r="UKT83" s="143"/>
      <c r="UKU83" s="143"/>
      <c r="UKV83" s="143"/>
      <c r="UKW83" s="143"/>
      <c r="UKX83" s="143"/>
      <c r="UKY83" s="143"/>
      <c r="UKZ83" s="143"/>
      <c r="ULA83" s="143"/>
      <c r="ULB83" s="143"/>
      <c r="ULC83" s="143"/>
      <c r="ULD83" s="143"/>
      <c r="ULE83" s="143"/>
      <c r="ULF83" s="143"/>
      <c r="ULG83" s="143"/>
      <c r="ULH83" s="143"/>
      <c r="ULI83" s="143"/>
      <c r="ULJ83" s="143"/>
      <c r="ULK83" s="143"/>
      <c r="ULL83" s="143"/>
      <c r="ULM83" s="143"/>
      <c r="ULN83" s="143"/>
      <c r="ULO83" s="143"/>
      <c r="ULP83" s="143"/>
      <c r="ULQ83" s="143"/>
      <c r="ULR83" s="143"/>
      <c r="ULS83" s="143"/>
      <c r="ULT83" s="143"/>
      <c r="ULU83" s="143"/>
      <c r="ULV83" s="143"/>
      <c r="ULW83" s="143"/>
      <c r="ULX83" s="143"/>
      <c r="ULY83" s="143"/>
      <c r="ULZ83" s="143"/>
      <c r="UMA83" s="143"/>
      <c r="UMB83" s="143"/>
      <c r="UMC83" s="143"/>
      <c r="UMD83" s="143"/>
      <c r="UME83" s="143"/>
      <c r="UMF83" s="143"/>
      <c r="UMG83" s="143"/>
      <c r="UMH83" s="143"/>
      <c r="UMI83" s="143"/>
      <c r="UMJ83" s="143"/>
      <c r="UMK83" s="143"/>
      <c r="UML83" s="143"/>
      <c r="UMM83" s="143"/>
      <c r="UMN83" s="143"/>
      <c r="UMO83" s="143"/>
      <c r="UMP83" s="143"/>
      <c r="UMQ83" s="143"/>
      <c r="UMR83" s="143"/>
      <c r="UMS83" s="143"/>
      <c r="UMT83" s="143"/>
      <c r="UMU83" s="143"/>
      <c r="UMV83" s="143"/>
      <c r="UMW83" s="143"/>
      <c r="UMX83" s="143"/>
      <c r="UMY83" s="143"/>
      <c r="UMZ83" s="143"/>
      <c r="UNA83" s="143"/>
      <c r="UNB83" s="143"/>
      <c r="UNC83" s="143"/>
      <c r="UND83" s="143"/>
      <c r="UNE83" s="143"/>
      <c r="UNF83" s="143"/>
      <c r="UNG83" s="143"/>
      <c r="UNH83" s="143"/>
      <c r="UNI83" s="143"/>
      <c r="UNJ83" s="143"/>
      <c r="UNK83" s="143"/>
      <c r="UNL83" s="143"/>
      <c r="UNM83" s="143"/>
      <c r="UNN83" s="143"/>
      <c r="UNO83" s="143"/>
      <c r="UNP83" s="143"/>
      <c r="UNQ83" s="143"/>
      <c r="UNR83" s="143"/>
      <c r="UNS83" s="143"/>
      <c r="UNT83" s="143"/>
      <c r="UNU83" s="143"/>
      <c r="UNV83" s="143"/>
      <c r="UNW83" s="143"/>
      <c r="UNX83" s="143"/>
      <c r="UNY83" s="143"/>
      <c r="UNZ83" s="143"/>
      <c r="UOA83" s="143"/>
      <c r="UOB83" s="143"/>
      <c r="UOC83" s="143"/>
      <c r="UOD83" s="143"/>
      <c r="UOE83" s="143"/>
      <c r="UOF83" s="143"/>
      <c r="UOG83" s="143"/>
      <c r="UOH83" s="143"/>
      <c r="UOI83" s="143"/>
      <c r="UOJ83" s="143"/>
      <c r="UOK83" s="143"/>
      <c r="UOL83" s="143"/>
      <c r="UOM83" s="143"/>
      <c r="UON83" s="143"/>
      <c r="UOO83" s="143"/>
      <c r="UOP83" s="143"/>
      <c r="UOQ83" s="143"/>
      <c r="UOR83" s="143"/>
      <c r="UOS83" s="143"/>
      <c r="UOT83" s="143"/>
      <c r="UOU83" s="143"/>
      <c r="UOV83" s="143"/>
      <c r="UOW83" s="143"/>
      <c r="UOX83" s="143"/>
      <c r="UOY83" s="143"/>
      <c r="UOZ83" s="143"/>
      <c r="UPA83" s="143"/>
      <c r="UPB83" s="143"/>
      <c r="UPC83" s="143"/>
      <c r="UPD83" s="143"/>
      <c r="UPE83" s="143"/>
      <c r="UPF83" s="143"/>
      <c r="UPG83" s="143"/>
      <c r="UPH83" s="143"/>
      <c r="UPI83" s="143"/>
      <c r="UPJ83" s="143"/>
      <c r="UPK83" s="143"/>
      <c r="UPL83" s="143"/>
      <c r="UPM83" s="143"/>
      <c r="UPN83" s="143"/>
      <c r="UPO83" s="143"/>
      <c r="UPP83" s="143"/>
      <c r="UPQ83" s="143"/>
      <c r="UPR83" s="143"/>
      <c r="UPS83" s="143"/>
      <c r="UPT83" s="143"/>
      <c r="UPU83" s="143"/>
      <c r="UPV83" s="143"/>
      <c r="UPW83" s="143"/>
      <c r="UPX83" s="143"/>
      <c r="UPY83" s="143"/>
      <c r="UPZ83" s="143"/>
      <c r="UQA83" s="143"/>
      <c r="UQB83" s="143"/>
      <c r="UQC83" s="143"/>
      <c r="UQD83" s="143"/>
      <c r="UQE83" s="143"/>
      <c r="UQF83" s="143"/>
      <c r="UQG83" s="143"/>
      <c r="UQH83" s="143"/>
      <c r="UQI83" s="143"/>
      <c r="UQJ83" s="143"/>
      <c r="UQK83" s="143"/>
      <c r="UQL83" s="143"/>
      <c r="UQM83" s="143"/>
      <c r="UQN83" s="143"/>
      <c r="UQO83" s="143"/>
      <c r="UQP83" s="143"/>
      <c r="UQQ83" s="143"/>
      <c r="UQR83" s="143"/>
      <c r="UQS83" s="143"/>
      <c r="UQT83" s="143"/>
      <c r="UQU83" s="143"/>
      <c r="UQV83" s="143"/>
      <c r="UQW83" s="143"/>
      <c r="UQX83" s="143"/>
      <c r="UQY83" s="143"/>
      <c r="UQZ83" s="143"/>
      <c r="URA83" s="143"/>
      <c r="URB83" s="143"/>
      <c r="URC83" s="143"/>
      <c r="URD83" s="143"/>
      <c r="URE83" s="143"/>
      <c r="URF83" s="143"/>
      <c r="URG83" s="143"/>
      <c r="URH83" s="143"/>
      <c r="URI83" s="143"/>
      <c r="URJ83" s="143"/>
      <c r="URK83" s="143"/>
      <c r="URL83" s="143"/>
      <c r="URM83" s="143"/>
      <c r="URN83" s="143"/>
      <c r="URO83" s="143"/>
      <c r="URP83" s="143"/>
      <c r="URQ83" s="143"/>
      <c r="URR83" s="143"/>
      <c r="URS83" s="143"/>
      <c r="URT83" s="143"/>
      <c r="URU83" s="143"/>
      <c r="URV83" s="143"/>
      <c r="URW83" s="143"/>
      <c r="URX83" s="143"/>
      <c r="URY83" s="143"/>
      <c r="URZ83" s="143"/>
      <c r="USA83" s="143"/>
      <c r="USB83" s="143"/>
      <c r="USC83" s="143"/>
      <c r="USD83" s="143"/>
      <c r="USE83" s="143"/>
      <c r="USF83" s="143"/>
      <c r="USG83" s="143"/>
      <c r="USH83" s="143"/>
      <c r="USI83" s="143"/>
      <c r="USJ83" s="143"/>
      <c r="USK83" s="143"/>
      <c r="USL83" s="143"/>
      <c r="USM83" s="143"/>
      <c r="USN83" s="143"/>
      <c r="USO83" s="143"/>
      <c r="USP83" s="143"/>
      <c r="USQ83" s="143"/>
      <c r="USR83" s="143"/>
      <c r="USS83" s="143"/>
      <c r="UST83" s="143"/>
      <c r="USU83" s="143"/>
      <c r="USV83" s="143"/>
      <c r="USW83" s="143"/>
      <c r="USX83" s="143"/>
      <c r="USY83" s="143"/>
      <c r="USZ83" s="143"/>
      <c r="UTA83" s="143"/>
      <c r="UTB83" s="143"/>
      <c r="UTC83" s="143"/>
      <c r="UTD83" s="143"/>
      <c r="UTE83" s="143"/>
      <c r="UTF83" s="143"/>
      <c r="UTG83" s="143"/>
      <c r="UTH83" s="143"/>
      <c r="UTI83" s="143"/>
      <c r="UTJ83" s="143"/>
      <c r="UTK83" s="143"/>
      <c r="UTL83" s="143"/>
      <c r="UTM83" s="143"/>
      <c r="UTN83" s="143"/>
      <c r="UTO83" s="143"/>
      <c r="UTP83" s="143"/>
      <c r="UTQ83" s="143"/>
      <c r="UTR83" s="143"/>
      <c r="UTS83" s="143"/>
      <c r="UTT83" s="143"/>
      <c r="UTU83" s="143"/>
      <c r="UTV83" s="143"/>
      <c r="UTW83" s="143"/>
      <c r="UTX83" s="143"/>
      <c r="UTY83" s="143"/>
      <c r="UTZ83" s="143"/>
      <c r="UUA83" s="143"/>
      <c r="UUB83" s="143"/>
      <c r="UUC83" s="143"/>
      <c r="UUD83" s="143"/>
      <c r="UUE83" s="143"/>
      <c r="UUF83" s="143"/>
      <c r="UUG83" s="143"/>
      <c r="UUH83" s="143"/>
      <c r="UUI83" s="143"/>
      <c r="UUJ83" s="143"/>
      <c r="UUK83" s="143"/>
      <c r="UUL83" s="143"/>
      <c r="UUM83" s="143"/>
      <c r="UUN83" s="143"/>
      <c r="UUO83" s="143"/>
      <c r="UUP83" s="143"/>
      <c r="UUQ83" s="143"/>
      <c r="UUR83" s="143"/>
      <c r="UUS83" s="143"/>
      <c r="UUT83" s="143"/>
      <c r="UUU83" s="143"/>
      <c r="UUV83" s="143"/>
      <c r="UUW83" s="143"/>
      <c r="UUX83" s="143"/>
      <c r="UUY83" s="143"/>
      <c r="UUZ83" s="143"/>
      <c r="UVA83" s="143"/>
      <c r="UVB83" s="143"/>
      <c r="UVC83" s="143"/>
      <c r="UVD83" s="143"/>
      <c r="UVE83" s="143"/>
      <c r="UVF83" s="143"/>
      <c r="UVG83" s="143"/>
      <c r="UVH83" s="143"/>
      <c r="UVI83" s="143"/>
      <c r="UVJ83" s="143"/>
      <c r="UVK83" s="143"/>
      <c r="UVL83" s="143"/>
      <c r="UVM83" s="143"/>
      <c r="UVN83" s="143"/>
      <c r="UVO83" s="143"/>
      <c r="UVP83" s="143"/>
      <c r="UVQ83" s="143"/>
      <c r="UVR83" s="143"/>
      <c r="UVS83" s="143"/>
      <c r="UVT83" s="143"/>
      <c r="UVU83" s="143"/>
      <c r="UVV83" s="143"/>
      <c r="UVW83" s="143"/>
      <c r="UVX83" s="143"/>
      <c r="UVY83" s="143"/>
      <c r="UVZ83" s="143"/>
      <c r="UWA83" s="143"/>
      <c r="UWB83" s="143"/>
      <c r="UWC83" s="143"/>
      <c r="UWD83" s="143"/>
      <c r="UWE83" s="143"/>
      <c r="UWF83" s="143"/>
      <c r="UWG83" s="143"/>
      <c r="UWH83" s="143"/>
      <c r="UWI83" s="143"/>
      <c r="UWJ83" s="143"/>
      <c r="UWK83" s="143"/>
      <c r="UWL83" s="143"/>
      <c r="UWM83" s="143"/>
      <c r="UWN83" s="143"/>
      <c r="UWO83" s="143"/>
      <c r="UWP83" s="143"/>
      <c r="UWQ83" s="143"/>
      <c r="UWR83" s="143"/>
      <c r="UWS83" s="143"/>
      <c r="UWT83" s="143"/>
      <c r="UWU83" s="143"/>
      <c r="UWV83" s="143"/>
      <c r="UWW83" s="143"/>
      <c r="UWX83" s="143"/>
      <c r="UWY83" s="143"/>
      <c r="UWZ83" s="143"/>
      <c r="UXA83" s="143"/>
      <c r="UXB83" s="143"/>
      <c r="UXC83" s="143"/>
      <c r="UXD83" s="143"/>
      <c r="UXE83" s="143"/>
      <c r="UXF83" s="143"/>
      <c r="UXG83" s="143"/>
      <c r="UXH83" s="143"/>
      <c r="UXI83" s="143"/>
      <c r="UXJ83" s="143"/>
      <c r="UXK83" s="143"/>
      <c r="UXL83" s="143"/>
      <c r="UXM83" s="143"/>
      <c r="UXN83" s="143"/>
      <c r="UXO83" s="143"/>
      <c r="UXP83" s="143"/>
      <c r="UXQ83" s="143"/>
      <c r="UXR83" s="143"/>
      <c r="UXS83" s="143"/>
      <c r="UXT83" s="143"/>
      <c r="UXU83" s="143"/>
      <c r="UXV83" s="143"/>
      <c r="UXW83" s="143"/>
      <c r="UXX83" s="143"/>
      <c r="UXY83" s="143"/>
      <c r="UXZ83" s="143"/>
      <c r="UYA83" s="143"/>
      <c r="UYB83" s="143"/>
      <c r="UYC83" s="143"/>
      <c r="UYD83" s="143"/>
      <c r="UYE83" s="143"/>
      <c r="UYF83" s="143"/>
      <c r="UYG83" s="143"/>
      <c r="UYH83" s="143"/>
      <c r="UYI83" s="143"/>
      <c r="UYJ83" s="143"/>
      <c r="UYK83" s="143"/>
      <c r="UYL83" s="143"/>
      <c r="UYM83" s="143"/>
      <c r="UYN83" s="143"/>
      <c r="UYO83" s="143"/>
      <c r="UYP83" s="143"/>
      <c r="UYQ83" s="143"/>
      <c r="UYR83" s="143"/>
      <c r="UYS83" s="143"/>
      <c r="UYT83" s="143"/>
      <c r="UYU83" s="143"/>
      <c r="UYV83" s="143"/>
      <c r="UYW83" s="143"/>
      <c r="UYX83" s="143"/>
      <c r="UYY83" s="143"/>
      <c r="UYZ83" s="143"/>
      <c r="UZA83" s="143"/>
      <c r="UZB83" s="143"/>
      <c r="UZC83" s="143"/>
      <c r="UZD83" s="143"/>
      <c r="UZE83" s="143"/>
      <c r="UZF83" s="143"/>
      <c r="UZG83" s="143"/>
      <c r="UZH83" s="143"/>
      <c r="UZI83" s="143"/>
      <c r="UZJ83" s="143"/>
      <c r="UZK83" s="143"/>
      <c r="UZL83" s="143"/>
      <c r="UZM83" s="143"/>
      <c r="UZN83" s="143"/>
      <c r="UZO83" s="143"/>
      <c r="UZP83" s="143"/>
      <c r="UZQ83" s="143"/>
      <c r="UZR83" s="143"/>
      <c r="UZS83" s="143"/>
      <c r="UZT83" s="143"/>
      <c r="UZU83" s="143"/>
      <c r="UZV83" s="143"/>
      <c r="UZW83" s="143"/>
      <c r="UZX83" s="143"/>
      <c r="UZY83" s="143"/>
      <c r="UZZ83" s="143"/>
      <c r="VAA83" s="143"/>
      <c r="VAB83" s="143"/>
      <c r="VAC83" s="143"/>
      <c r="VAD83" s="143"/>
      <c r="VAE83" s="143"/>
      <c r="VAF83" s="143"/>
      <c r="VAG83" s="143"/>
      <c r="VAH83" s="143"/>
      <c r="VAI83" s="143"/>
      <c r="VAJ83" s="143"/>
      <c r="VAK83" s="143"/>
      <c r="VAL83" s="143"/>
      <c r="VAM83" s="143"/>
      <c r="VAN83" s="143"/>
      <c r="VAO83" s="143"/>
      <c r="VAP83" s="143"/>
      <c r="VAQ83" s="143"/>
      <c r="VAR83" s="143"/>
      <c r="VAS83" s="143"/>
      <c r="VAT83" s="143"/>
      <c r="VAU83" s="143"/>
      <c r="VAV83" s="143"/>
      <c r="VAW83" s="143"/>
      <c r="VAX83" s="143"/>
      <c r="VAY83" s="143"/>
      <c r="VAZ83" s="143"/>
      <c r="VBA83" s="143"/>
      <c r="VBB83" s="143"/>
      <c r="VBC83" s="143"/>
      <c r="VBD83" s="143"/>
      <c r="VBE83" s="143"/>
      <c r="VBF83" s="143"/>
      <c r="VBG83" s="143"/>
      <c r="VBH83" s="143"/>
      <c r="VBI83" s="143"/>
      <c r="VBJ83" s="143"/>
      <c r="VBK83" s="143"/>
      <c r="VBL83" s="143"/>
      <c r="VBM83" s="143"/>
      <c r="VBN83" s="143"/>
      <c r="VBO83" s="143"/>
      <c r="VBP83" s="143"/>
      <c r="VBQ83" s="143"/>
      <c r="VBR83" s="143"/>
      <c r="VBS83" s="143"/>
      <c r="VBT83" s="143"/>
      <c r="VBU83" s="143"/>
      <c r="VBV83" s="143"/>
      <c r="VBW83" s="143"/>
      <c r="VBX83" s="143"/>
      <c r="VBY83" s="143"/>
      <c r="VBZ83" s="143"/>
      <c r="VCA83" s="143"/>
      <c r="VCB83" s="143"/>
      <c r="VCC83" s="143"/>
      <c r="VCD83" s="143"/>
      <c r="VCE83" s="143"/>
      <c r="VCF83" s="143"/>
      <c r="VCG83" s="143"/>
      <c r="VCH83" s="143"/>
      <c r="VCI83" s="143"/>
      <c r="VCJ83" s="143"/>
      <c r="VCK83" s="143"/>
      <c r="VCL83" s="143"/>
      <c r="VCM83" s="143"/>
      <c r="VCN83" s="143"/>
      <c r="VCO83" s="143"/>
      <c r="VCP83" s="143"/>
      <c r="VCQ83" s="143"/>
      <c r="VCR83" s="143"/>
      <c r="VCS83" s="143"/>
      <c r="VCT83" s="143"/>
      <c r="VCU83" s="143"/>
      <c r="VCV83" s="143"/>
      <c r="VCW83" s="143"/>
      <c r="VCX83" s="143"/>
      <c r="VCY83" s="143"/>
      <c r="VCZ83" s="143"/>
      <c r="VDA83" s="143"/>
      <c r="VDB83" s="143"/>
      <c r="VDC83" s="143"/>
      <c r="VDD83" s="143"/>
      <c r="VDE83" s="143"/>
      <c r="VDF83" s="143"/>
      <c r="VDG83" s="143"/>
      <c r="VDH83" s="143"/>
      <c r="VDI83" s="143"/>
      <c r="VDJ83" s="143"/>
      <c r="VDK83" s="143"/>
      <c r="VDL83" s="143"/>
      <c r="VDM83" s="143"/>
      <c r="VDN83" s="143"/>
      <c r="VDO83" s="143"/>
      <c r="VDP83" s="143"/>
      <c r="VDQ83" s="143"/>
      <c r="VDR83" s="143"/>
      <c r="VDS83" s="143"/>
      <c r="VDT83" s="143"/>
      <c r="VDU83" s="143"/>
      <c r="VDV83" s="143"/>
      <c r="VDW83" s="143"/>
      <c r="VDX83" s="143"/>
      <c r="VDY83" s="143"/>
      <c r="VDZ83" s="143"/>
      <c r="VEA83" s="143"/>
      <c r="VEB83" s="143"/>
      <c r="VEC83" s="143"/>
      <c r="VED83" s="143"/>
      <c r="VEE83" s="143"/>
      <c r="VEF83" s="143"/>
      <c r="VEG83" s="143"/>
      <c r="VEH83" s="143"/>
      <c r="VEI83" s="143"/>
      <c r="VEJ83" s="143"/>
      <c r="VEK83" s="143"/>
      <c r="VEL83" s="143"/>
      <c r="VEM83" s="143"/>
      <c r="VEN83" s="143"/>
      <c r="VEO83" s="143"/>
      <c r="VEP83" s="143"/>
      <c r="VEQ83" s="143"/>
      <c r="VER83" s="143"/>
      <c r="VES83" s="143"/>
      <c r="VET83" s="143"/>
      <c r="VEU83" s="143"/>
      <c r="VEV83" s="143"/>
      <c r="VEW83" s="143"/>
      <c r="VEX83" s="143"/>
      <c r="VEY83" s="143"/>
      <c r="VEZ83" s="143"/>
      <c r="VFA83" s="143"/>
      <c r="VFB83" s="143"/>
      <c r="VFC83" s="143"/>
      <c r="VFD83" s="143"/>
      <c r="VFE83" s="143"/>
      <c r="VFF83" s="143"/>
      <c r="VFG83" s="143"/>
      <c r="VFH83" s="143"/>
      <c r="VFI83" s="143"/>
      <c r="VFJ83" s="143"/>
      <c r="VFK83" s="143"/>
      <c r="VFL83" s="143"/>
      <c r="VFM83" s="143"/>
      <c r="VFN83" s="143"/>
      <c r="VFO83" s="143"/>
      <c r="VFP83" s="143"/>
      <c r="VFQ83" s="143"/>
      <c r="VFR83" s="143"/>
      <c r="VFS83" s="143"/>
      <c r="VFT83" s="143"/>
      <c r="VFU83" s="143"/>
      <c r="VFV83" s="143"/>
      <c r="VFW83" s="143"/>
      <c r="VFX83" s="143"/>
      <c r="VFY83" s="143"/>
      <c r="VFZ83" s="143"/>
      <c r="VGA83" s="143"/>
      <c r="VGB83" s="143"/>
      <c r="VGC83" s="143"/>
      <c r="VGD83" s="143"/>
      <c r="VGE83" s="143"/>
      <c r="VGF83" s="143"/>
      <c r="VGG83" s="143"/>
      <c r="VGH83" s="143"/>
      <c r="VGI83" s="143"/>
      <c r="VGJ83" s="143"/>
      <c r="VGK83" s="143"/>
      <c r="VGL83" s="143"/>
      <c r="VGM83" s="143"/>
      <c r="VGN83" s="143"/>
      <c r="VGO83" s="143"/>
      <c r="VGP83" s="143"/>
      <c r="VGQ83" s="143"/>
      <c r="VGR83" s="143"/>
      <c r="VGS83" s="143"/>
      <c r="VGT83" s="143"/>
      <c r="VGU83" s="143"/>
      <c r="VGV83" s="143"/>
      <c r="VGW83" s="143"/>
      <c r="VGX83" s="143"/>
      <c r="VGY83" s="143"/>
      <c r="VGZ83" s="143"/>
      <c r="VHA83" s="143"/>
      <c r="VHB83" s="143"/>
      <c r="VHC83" s="143"/>
      <c r="VHD83" s="143"/>
      <c r="VHE83" s="143"/>
      <c r="VHF83" s="143"/>
      <c r="VHG83" s="143"/>
      <c r="VHH83" s="143"/>
      <c r="VHI83" s="143"/>
      <c r="VHJ83" s="143"/>
      <c r="VHK83" s="143"/>
      <c r="VHL83" s="143"/>
      <c r="VHM83" s="143"/>
      <c r="VHN83" s="143"/>
      <c r="VHO83" s="143"/>
      <c r="VHP83" s="143"/>
      <c r="VHQ83" s="143"/>
      <c r="VHR83" s="143"/>
      <c r="VHS83" s="143"/>
      <c r="VHT83" s="143"/>
      <c r="VHU83" s="143"/>
      <c r="VHV83" s="143"/>
      <c r="VHW83" s="143"/>
      <c r="VHX83" s="143"/>
      <c r="VHY83" s="143"/>
      <c r="VHZ83" s="143"/>
      <c r="VIA83" s="143"/>
      <c r="VIB83" s="143"/>
      <c r="VIC83" s="143"/>
      <c r="VID83" s="143"/>
      <c r="VIE83" s="143"/>
      <c r="VIF83" s="143"/>
      <c r="VIG83" s="143"/>
      <c r="VIH83" s="143"/>
      <c r="VII83" s="143"/>
      <c r="VIJ83" s="143"/>
      <c r="VIK83" s="143"/>
      <c r="VIL83" s="143"/>
      <c r="VIM83" s="143"/>
      <c r="VIN83" s="143"/>
      <c r="VIO83" s="143"/>
      <c r="VIP83" s="143"/>
      <c r="VIQ83" s="143"/>
      <c r="VIR83" s="143"/>
      <c r="VIS83" s="143"/>
      <c r="VIT83" s="143"/>
      <c r="VIU83" s="143"/>
      <c r="VIV83" s="143"/>
      <c r="VIW83" s="143"/>
      <c r="VIX83" s="143"/>
      <c r="VIY83" s="143"/>
      <c r="VIZ83" s="143"/>
      <c r="VJA83" s="143"/>
      <c r="VJB83" s="143"/>
      <c r="VJC83" s="143"/>
      <c r="VJD83" s="143"/>
      <c r="VJE83" s="143"/>
      <c r="VJF83" s="143"/>
      <c r="VJG83" s="143"/>
      <c r="VJH83" s="143"/>
      <c r="VJI83" s="143"/>
      <c r="VJJ83" s="143"/>
      <c r="VJK83" s="143"/>
      <c r="VJL83" s="143"/>
      <c r="VJM83" s="143"/>
      <c r="VJN83" s="143"/>
      <c r="VJO83" s="143"/>
      <c r="VJP83" s="143"/>
      <c r="VJQ83" s="143"/>
      <c r="VJR83" s="143"/>
      <c r="VJS83" s="143"/>
      <c r="VJT83" s="143"/>
      <c r="VJU83" s="143"/>
      <c r="VJV83" s="143"/>
      <c r="VJW83" s="143"/>
      <c r="VJX83" s="143"/>
      <c r="VJY83" s="143"/>
      <c r="VJZ83" s="143"/>
      <c r="VKA83" s="143"/>
      <c r="VKB83" s="143"/>
      <c r="VKC83" s="143"/>
      <c r="VKD83" s="143"/>
      <c r="VKE83" s="143"/>
      <c r="VKF83" s="143"/>
      <c r="VKG83" s="143"/>
      <c r="VKH83" s="143"/>
      <c r="VKI83" s="143"/>
      <c r="VKJ83" s="143"/>
      <c r="VKK83" s="143"/>
      <c r="VKL83" s="143"/>
      <c r="VKM83" s="143"/>
      <c r="VKN83" s="143"/>
      <c r="VKO83" s="143"/>
      <c r="VKP83" s="143"/>
      <c r="VKQ83" s="143"/>
      <c r="VKR83" s="143"/>
      <c r="VKS83" s="143"/>
      <c r="VKT83" s="143"/>
      <c r="VKU83" s="143"/>
      <c r="VKV83" s="143"/>
      <c r="VKW83" s="143"/>
      <c r="VKX83" s="143"/>
      <c r="VKY83" s="143"/>
      <c r="VKZ83" s="143"/>
      <c r="VLA83" s="143"/>
      <c r="VLB83" s="143"/>
      <c r="VLC83" s="143"/>
      <c r="VLD83" s="143"/>
      <c r="VLE83" s="143"/>
      <c r="VLF83" s="143"/>
      <c r="VLG83" s="143"/>
      <c r="VLH83" s="143"/>
      <c r="VLI83" s="143"/>
      <c r="VLJ83" s="143"/>
      <c r="VLK83" s="143"/>
      <c r="VLL83" s="143"/>
      <c r="VLM83" s="143"/>
      <c r="VLN83" s="143"/>
      <c r="VLO83" s="143"/>
      <c r="VLP83" s="143"/>
      <c r="VLQ83" s="143"/>
      <c r="VLR83" s="143"/>
      <c r="VLS83" s="143"/>
      <c r="VLT83" s="143"/>
      <c r="VLU83" s="143"/>
      <c r="VLV83" s="143"/>
      <c r="VLW83" s="143"/>
      <c r="VLX83" s="143"/>
      <c r="VLY83" s="143"/>
      <c r="VLZ83" s="143"/>
      <c r="VMA83" s="143"/>
      <c r="VMB83" s="143"/>
      <c r="VMC83" s="143"/>
      <c r="VMD83" s="143"/>
      <c r="VME83" s="143"/>
      <c r="VMF83" s="143"/>
      <c r="VMG83" s="143"/>
      <c r="VMH83" s="143"/>
      <c r="VMI83" s="143"/>
      <c r="VMJ83" s="143"/>
      <c r="VMK83" s="143"/>
      <c r="VML83" s="143"/>
      <c r="VMM83" s="143"/>
      <c r="VMN83" s="143"/>
      <c r="VMO83" s="143"/>
      <c r="VMP83" s="143"/>
      <c r="VMQ83" s="143"/>
      <c r="VMR83" s="143"/>
      <c r="VMS83" s="143"/>
      <c r="VMT83" s="143"/>
      <c r="VMU83" s="143"/>
      <c r="VMV83" s="143"/>
      <c r="VMW83" s="143"/>
      <c r="VMX83" s="143"/>
      <c r="VMY83" s="143"/>
      <c r="VMZ83" s="143"/>
      <c r="VNA83" s="143"/>
      <c r="VNB83" s="143"/>
      <c r="VNC83" s="143"/>
      <c r="VND83" s="143"/>
      <c r="VNE83" s="143"/>
      <c r="VNF83" s="143"/>
      <c r="VNG83" s="143"/>
      <c r="VNH83" s="143"/>
      <c r="VNI83" s="143"/>
      <c r="VNJ83" s="143"/>
      <c r="VNK83" s="143"/>
      <c r="VNL83" s="143"/>
      <c r="VNM83" s="143"/>
      <c r="VNN83" s="143"/>
      <c r="VNO83" s="143"/>
      <c r="VNP83" s="143"/>
      <c r="VNQ83" s="143"/>
      <c r="VNR83" s="143"/>
      <c r="VNS83" s="143"/>
      <c r="VNT83" s="143"/>
      <c r="VNU83" s="143"/>
      <c r="VNV83" s="143"/>
      <c r="VNW83" s="143"/>
      <c r="VNX83" s="143"/>
      <c r="VNY83" s="143"/>
      <c r="VNZ83" s="143"/>
      <c r="VOA83" s="143"/>
      <c r="VOB83" s="143"/>
      <c r="VOC83" s="143"/>
      <c r="VOD83" s="143"/>
      <c r="VOE83" s="143"/>
      <c r="VOF83" s="143"/>
      <c r="VOG83" s="143"/>
      <c r="VOH83" s="143"/>
      <c r="VOI83" s="143"/>
      <c r="VOJ83" s="143"/>
      <c r="VOK83" s="143"/>
      <c r="VOL83" s="143"/>
      <c r="VOM83" s="143"/>
      <c r="VON83" s="143"/>
      <c r="VOO83" s="143"/>
      <c r="VOP83" s="143"/>
      <c r="VOQ83" s="143"/>
      <c r="VOR83" s="143"/>
      <c r="VOS83" s="143"/>
      <c r="VOT83" s="143"/>
      <c r="VOU83" s="143"/>
      <c r="VOV83" s="143"/>
      <c r="VOW83" s="143"/>
      <c r="VOX83" s="143"/>
      <c r="VOY83" s="143"/>
      <c r="VOZ83" s="143"/>
      <c r="VPA83" s="143"/>
      <c r="VPB83" s="143"/>
      <c r="VPC83" s="143"/>
      <c r="VPD83" s="143"/>
      <c r="VPE83" s="143"/>
      <c r="VPF83" s="143"/>
      <c r="VPG83" s="143"/>
      <c r="VPH83" s="143"/>
      <c r="VPI83" s="143"/>
      <c r="VPJ83" s="143"/>
      <c r="VPK83" s="143"/>
      <c r="VPL83" s="143"/>
      <c r="VPM83" s="143"/>
      <c r="VPN83" s="143"/>
      <c r="VPO83" s="143"/>
      <c r="VPP83" s="143"/>
      <c r="VPQ83" s="143"/>
      <c r="VPR83" s="143"/>
      <c r="VPS83" s="143"/>
      <c r="VPT83" s="143"/>
      <c r="VPU83" s="143"/>
      <c r="VPV83" s="143"/>
      <c r="VPW83" s="143"/>
      <c r="VPX83" s="143"/>
      <c r="VPY83" s="143"/>
      <c r="VPZ83" s="143"/>
      <c r="VQA83" s="143"/>
      <c r="VQB83" s="143"/>
      <c r="VQC83" s="143"/>
      <c r="VQD83" s="143"/>
      <c r="VQE83" s="143"/>
      <c r="VQF83" s="143"/>
      <c r="VQG83" s="143"/>
      <c r="VQH83" s="143"/>
      <c r="VQI83" s="143"/>
      <c r="VQJ83" s="143"/>
      <c r="VQK83" s="143"/>
      <c r="VQL83" s="143"/>
      <c r="VQM83" s="143"/>
      <c r="VQN83" s="143"/>
      <c r="VQO83" s="143"/>
      <c r="VQP83" s="143"/>
      <c r="VQQ83" s="143"/>
      <c r="VQR83" s="143"/>
      <c r="VQS83" s="143"/>
      <c r="VQT83" s="143"/>
      <c r="VQU83" s="143"/>
      <c r="VQV83" s="143"/>
      <c r="VQW83" s="143"/>
      <c r="VQX83" s="143"/>
      <c r="VQY83" s="143"/>
      <c r="VQZ83" s="143"/>
      <c r="VRA83" s="143"/>
      <c r="VRB83" s="143"/>
      <c r="VRC83" s="143"/>
      <c r="VRD83" s="143"/>
      <c r="VRE83" s="143"/>
      <c r="VRF83" s="143"/>
      <c r="VRG83" s="143"/>
      <c r="VRH83" s="143"/>
      <c r="VRI83" s="143"/>
      <c r="VRJ83" s="143"/>
      <c r="VRK83" s="143"/>
      <c r="VRL83" s="143"/>
      <c r="VRM83" s="143"/>
      <c r="VRN83" s="143"/>
      <c r="VRO83" s="143"/>
      <c r="VRP83" s="143"/>
      <c r="VRQ83" s="143"/>
      <c r="VRR83" s="143"/>
      <c r="VRS83" s="143"/>
      <c r="VRT83" s="143"/>
      <c r="VRU83" s="143"/>
      <c r="VRV83" s="143"/>
      <c r="VRW83" s="143"/>
      <c r="VRX83" s="143"/>
      <c r="VRY83" s="143"/>
      <c r="VRZ83" s="143"/>
      <c r="VSA83" s="143"/>
      <c r="VSB83" s="143"/>
      <c r="VSC83" s="143"/>
      <c r="VSD83" s="143"/>
      <c r="VSE83" s="143"/>
      <c r="VSF83" s="143"/>
      <c r="VSG83" s="143"/>
      <c r="VSH83" s="143"/>
      <c r="VSI83" s="143"/>
      <c r="VSJ83" s="143"/>
      <c r="VSK83" s="143"/>
      <c r="VSL83" s="143"/>
      <c r="VSM83" s="143"/>
      <c r="VSN83" s="143"/>
      <c r="VSO83" s="143"/>
      <c r="VSP83" s="143"/>
      <c r="VSQ83" s="143"/>
      <c r="VSR83" s="143"/>
      <c r="VSS83" s="143"/>
      <c r="VST83" s="143"/>
      <c r="VSU83" s="143"/>
      <c r="VSV83" s="143"/>
      <c r="VSW83" s="143"/>
      <c r="VSX83" s="143"/>
      <c r="VSY83" s="143"/>
      <c r="VSZ83" s="143"/>
      <c r="VTA83" s="143"/>
      <c r="VTB83" s="143"/>
      <c r="VTC83" s="143"/>
      <c r="VTD83" s="143"/>
      <c r="VTE83" s="143"/>
      <c r="VTF83" s="143"/>
      <c r="VTG83" s="143"/>
      <c r="VTH83" s="143"/>
      <c r="VTI83" s="143"/>
      <c r="VTJ83" s="143"/>
      <c r="VTK83" s="143"/>
      <c r="VTL83" s="143"/>
      <c r="VTM83" s="143"/>
      <c r="VTN83" s="143"/>
      <c r="VTO83" s="143"/>
      <c r="VTP83" s="143"/>
      <c r="VTQ83" s="143"/>
      <c r="VTR83" s="143"/>
      <c r="VTS83" s="143"/>
      <c r="VTT83" s="143"/>
      <c r="VTU83" s="143"/>
      <c r="VTV83" s="143"/>
      <c r="VTW83" s="143"/>
      <c r="VTX83" s="143"/>
      <c r="VTY83" s="143"/>
      <c r="VTZ83" s="143"/>
      <c r="VUA83" s="143"/>
      <c r="VUB83" s="143"/>
      <c r="VUC83" s="143"/>
      <c r="VUD83" s="143"/>
      <c r="VUE83" s="143"/>
      <c r="VUF83" s="143"/>
      <c r="VUG83" s="143"/>
      <c r="VUH83" s="143"/>
      <c r="VUI83" s="143"/>
      <c r="VUJ83" s="143"/>
      <c r="VUK83" s="143"/>
      <c r="VUL83" s="143"/>
      <c r="VUM83" s="143"/>
      <c r="VUN83" s="143"/>
      <c r="VUO83" s="143"/>
      <c r="VUP83" s="143"/>
      <c r="VUQ83" s="143"/>
      <c r="VUR83" s="143"/>
      <c r="VUS83" s="143"/>
      <c r="VUT83" s="143"/>
      <c r="VUU83" s="143"/>
      <c r="VUV83" s="143"/>
      <c r="VUW83" s="143"/>
      <c r="VUX83" s="143"/>
      <c r="VUY83" s="143"/>
      <c r="VUZ83" s="143"/>
      <c r="VVA83" s="143"/>
      <c r="VVB83" s="143"/>
      <c r="VVC83" s="143"/>
      <c r="VVD83" s="143"/>
      <c r="VVE83" s="143"/>
      <c r="VVF83" s="143"/>
      <c r="VVG83" s="143"/>
      <c r="VVH83" s="143"/>
      <c r="VVI83" s="143"/>
      <c r="VVJ83" s="143"/>
      <c r="VVK83" s="143"/>
      <c r="VVL83" s="143"/>
      <c r="VVM83" s="143"/>
      <c r="VVN83" s="143"/>
      <c r="VVO83" s="143"/>
      <c r="VVP83" s="143"/>
      <c r="VVQ83" s="143"/>
      <c r="VVR83" s="143"/>
      <c r="VVS83" s="143"/>
      <c r="VVT83" s="143"/>
      <c r="VVU83" s="143"/>
      <c r="VVV83" s="143"/>
      <c r="VVW83" s="143"/>
      <c r="VVX83" s="143"/>
      <c r="VVY83" s="143"/>
      <c r="VVZ83" s="143"/>
      <c r="VWA83" s="143"/>
      <c r="VWB83" s="143"/>
      <c r="VWC83" s="143"/>
      <c r="VWD83" s="143"/>
      <c r="VWE83" s="143"/>
      <c r="VWF83" s="143"/>
      <c r="VWG83" s="143"/>
      <c r="VWH83" s="143"/>
      <c r="VWI83" s="143"/>
      <c r="VWJ83" s="143"/>
      <c r="VWK83" s="143"/>
      <c r="VWL83" s="143"/>
      <c r="VWM83" s="143"/>
      <c r="VWN83" s="143"/>
      <c r="VWO83" s="143"/>
      <c r="VWP83" s="143"/>
      <c r="VWQ83" s="143"/>
      <c r="VWR83" s="143"/>
      <c r="VWS83" s="143"/>
      <c r="VWT83" s="143"/>
      <c r="VWU83" s="143"/>
      <c r="VWV83" s="143"/>
      <c r="VWW83" s="143"/>
      <c r="VWX83" s="143"/>
      <c r="VWY83" s="143"/>
      <c r="VWZ83" s="143"/>
      <c r="VXA83" s="143"/>
      <c r="VXB83" s="143"/>
      <c r="VXC83" s="143"/>
      <c r="VXD83" s="143"/>
      <c r="VXE83" s="143"/>
      <c r="VXF83" s="143"/>
      <c r="VXG83" s="143"/>
      <c r="VXH83" s="143"/>
      <c r="VXI83" s="143"/>
      <c r="VXJ83" s="143"/>
      <c r="VXK83" s="143"/>
      <c r="VXL83" s="143"/>
      <c r="VXM83" s="143"/>
      <c r="VXN83" s="143"/>
      <c r="VXO83" s="143"/>
      <c r="VXP83" s="143"/>
      <c r="VXQ83" s="143"/>
      <c r="VXR83" s="143"/>
      <c r="VXS83" s="143"/>
      <c r="VXT83" s="143"/>
      <c r="VXU83" s="143"/>
      <c r="VXV83" s="143"/>
      <c r="VXW83" s="143"/>
      <c r="VXX83" s="143"/>
      <c r="VXY83" s="143"/>
      <c r="VXZ83" s="143"/>
      <c r="VYA83" s="143"/>
      <c r="VYB83" s="143"/>
      <c r="VYC83" s="143"/>
      <c r="VYD83" s="143"/>
      <c r="VYE83" s="143"/>
      <c r="VYF83" s="143"/>
      <c r="VYG83" s="143"/>
      <c r="VYH83" s="143"/>
      <c r="VYI83" s="143"/>
      <c r="VYJ83" s="143"/>
      <c r="VYK83" s="143"/>
      <c r="VYL83" s="143"/>
      <c r="VYM83" s="143"/>
      <c r="VYN83" s="143"/>
      <c r="VYO83" s="143"/>
      <c r="VYP83" s="143"/>
      <c r="VYQ83" s="143"/>
      <c r="VYR83" s="143"/>
      <c r="VYS83" s="143"/>
      <c r="VYT83" s="143"/>
      <c r="VYU83" s="143"/>
      <c r="VYV83" s="143"/>
      <c r="VYW83" s="143"/>
      <c r="VYX83" s="143"/>
      <c r="VYY83" s="143"/>
      <c r="VYZ83" s="143"/>
      <c r="VZA83" s="143"/>
      <c r="VZB83" s="143"/>
      <c r="VZC83" s="143"/>
      <c r="VZD83" s="143"/>
      <c r="VZE83" s="143"/>
      <c r="VZF83" s="143"/>
      <c r="VZG83" s="143"/>
      <c r="VZH83" s="143"/>
      <c r="VZI83" s="143"/>
      <c r="VZJ83" s="143"/>
      <c r="VZK83" s="143"/>
      <c r="VZL83" s="143"/>
      <c r="VZM83" s="143"/>
      <c r="VZN83" s="143"/>
      <c r="VZO83" s="143"/>
      <c r="VZP83" s="143"/>
      <c r="VZQ83" s="143"/>
      <c r="VZR83" s="143"/>
      <c r="VZS83" s="143"/>
      <c r="VZT83" s="143"/>
      <c r="VZU83" s="143"/>
      <c r="VZV83" s="143"/>
      <c r="VZW83" s="143"/>
      <c r="VZX83" s="143"/>
      <c r="VZY83" s="143"/>
      <c r="VZZ83" s="143"/>
      <c r="WAA83" s="143"/>
      <c r="WAB83" s="143"/>
      <c r="WAC83" s="143"/>
      <c r="WAD83" s="143"/>
      <c r="WAE83" s="143"/>
      <c r="WAF83" s="143"/>
      <c r="WAG83" s="143"/>
      <c r="WAH83" s="143"/>
      <c r="WAI83" s="143"/>
      <c r="WAJ83" s="143"/>
      <c r="WAK83" s="143"/>
      <c r="WAL83" s="143"/>
      <c r="WAM83" s="143"/>
      <c r="WAN83" s="143"/>
      <c r="WAO83" s="143"/>
      <c r="WAP83" s="143"/>
      <c r="WAQ83" s="143"/>
      <c r="WAR83" s="143"/>
      <c r="WAS83" s="143"/>
      <c r="WAT83" s="143"/>
      <c r="WAU83" s="143"/>
      <c r="WAV83" s="143"/>
      <c r="WAW83" s="143"/>
      <c r="WAX83" s="143"/>
      <c r="WAY83" s="143"/>
      <c r="WAZ83" s="143"/>
      <c r="WBA83" s="143"/>
      <c r="WBB83" s="143"/>
      <c r="WBC83" s="143"/>
      <c r="WBD83" s="143"/>
      <c r="WBE83" s="143"/>
      <c r="WBF83" s="143"/>
      <c r="WBG83" s="143"/>
      <c r="WBH83" s="143"/>
      <c r="WBI83" s="143"/>
      <c r="WBJ83" s="143"/>
      <c r="WBK83" s="143"/>
      <c r="WBL83" s="143"/>
      <c r="WBM83" s="143"/>
      <c r="WBN83" s="143"/>
      <c r="WBO83" s="143"/>
      <c r="WBP83" s="143"/>
      <c r="WBQ83" s="143"/>
      <c r="WBR83" s="143"/>
      <c r="WBS83" s="143"/>
      <c r="WBT83" s="143"/>
      <c r="WBU83" s="143"/>
      <c r="WBV83" s="143"/>
      <c r="WBW83" s="143"/>
      <c r="WBX83" s="143"/>
      <c r="WBY83" s="143"/>
      <c r="WBZ83" s="143"/>
      <c r="WCA83" s="143"/>
      <c r="WCB83" s="143"/>
      <c r="WCC83" s="143"/>
      <c r="WCD83" s="143"/>
      <c r="WCE83" s="143"/>
      <c r="WCF83" s="143"/>
      <c r="WCG83" s="143"/>
      <c r="WCH83" s="143"/>
      <c r="WCI83" s="143"/>
      <c r="WCJ83" s="143"/>
      <c r="WCK83" s="143"/>
      <c r="WCL83" s="143"/>
      <c r="WCM83" s="143"/>
      <c r="WCN83" s="143"/>
      <c r="WCO83" s="143"/>
      <c r="WCP83" s="143"/>
      <c r="WCQ83" s="143"/>
      <c r="WCR83" s="143"/>
      <c r="WCS83" s="143"/>
      <c r="WCT83" s="143"/>
      <c r="WCU83" s="143"/>
      <c r="WCV83" s="143"/>
      <c r="WCW83" s="143"/>
      <c r="WCX83" s="143"/>
      <c r="WCY83" s="143"/>
      <c r="WCZ83" s="143"/>
      <c r="WDA83" s="143"/>
      <c r="WDB83" s="143"/>
      <c r="WDC83" s="143"/>
      <c r="WDD83" s="143"/>
      <c r="WDE83" s="143"/>
      <c r="WDF83" s="143"/>
      <c r="WDG83" s="143"/>
      <c r="WDH83" s="143"/>
      <c r="WDI83" s="143"/>
      <c r="WDJ83" s="143"/>
      <c r="WDK83" s="143"/>
      <c r="WDL83" s="143"/>
      <c r="WDM83" s="143"/>
      <c r="WDN83" s="143"/>
      <c r="WDO83" s="143"/>
      <c r="WDP83" s="143"/>
      <c r="WDQ83" s="143"/>
      <c r="WDR83" s="143"/>
      <c r="WDS83" s="143"/>
      <c r="WDT83" s="143"/>
      <c r="WDU83" s="143"/>
      <c r="WDV83" s="143"/>
      <c r="WDW83" s="143"/>
      <c r="WDX83" s="143"/>
      <c r="WDY83" s="143"/>
      <c r="WDZ83" s="143"/>
      <c r="WEA83" s="143"/>
      <c r="WEB83" s="143"/>
      <c r="WEC83" s="143"/>
      <c r="WED83" s="143"/>
      <c r="WEE83" s="143"/>
      <c r="WEF83" s="143"/>
      <c r="WEG83" s="143"/>
      <c r="WEH83" s="143"/>
      <c r="WEI83" s="143"/>
      <c r="WEJ83" s="143"/>
      <c r="WEK83" s="143"/>
      <c r="WEL83" s="143"/>
      <c r="WEM83" s="143"/>
      <c r="WEN83" s="143"/>
      <c r="WEO83" s="143"/>
      <c r="WEP83" s="143"/>
      <c r="WEQ83" s="143"/>
      <c r="WER83" s="143"/>
      <c r="WES83" s="143"/>
      <c r="WET83" s="143"/>
      <c r="WEU83" s="143"/>
      <c r="WEV83" s="143"/>
      <c r="WEW83" s="143"/>
      <c r="WEX83" s="143"/>
      <c r="WEY83" s="143"/>
      <c r="WEZ83" s="143"/>
      <c r="WFA83" s="143"/>
      <c r="WFB83" s="143"/>
      <c r="WFC83" s="143"/>
      <c r="WFD83" s="143"/>
      <c r="WFE83" s="143"/>
      <c r="WFF83" s="143"/>
      <c r="WFG83" s="143"/>
      <c r="WFH83" s="143"/>
      <c r="WFI83" s="143"/>
      <c r="WFJ83" s="143"/>
      <c r="WFK83" s="143"/>
      <c r="WFL83" s="143"/>
      <c r="WFM83" s="143"/>
      <c r="WFN83" s="143"/>
      <c r="WFO83" s="143"/>
      <c r="WFP83" s="143"/>
      <c r="WFQ83" s="143"/>
      <c r="WFR83" s="143"/>
      <c r="WFS83" s="143"/>
      <c r="WFT83" s="143"/>
      <c r="WFU83" s="143"/>
      <c r="WFV83" s="143"/>
      <c r="WFW83" s="143"/>
      <c r="WFX83" s="143"/>
      <c r="WFY83" s="143"/>
      <c r="WFZ83" s="143"/>
      <c r="WGA83" s="143"/>
      <c r="WGB83" s="143"/>
      <c r="WGC83" s="143"/>
      <c r="WGD83" s="143"/>
      <c r="WGE83" s="143"/>
      <c r="WGF83" s="143"/>
      <c r="WGG83" s="143"/>
      <c r="WGH83" s="143"/>
      <c r="WGI83" s="143"/>
      <c r="WGJ83" s="143"/>
      <c r="WGK83" s="143"/>
      <c r="WGL83" s="143"/>
      <c r="WGM83" s="143"/>
      <c r="WGN83" s="143"/>
      <c r="WGO83" s="143"/>
      <c r="WGP83" s="143"/>
      <c r="WGQ83" s="143"/>
      <c r="WGR83" s="143"/>
      <c r="WGS83" s="143"/>
      <c r="WGT83" s="143"/>
      <c r="WGU83" s="143"/>
      <c r="WGV83" s="143"/>
      <c r="WGW83" s="143"/>
      <c r="WGX83" s="143"/>
      <c r="WGY83" s="143"/>
      <c r="WGZ83" s="143"/>
      <c r="WHA83" s="143"/>
      <c r="WHB83" s="143"/>
      <c r="WHC83" s="143"/>
      <c r="WHD83" s="143"/>
      <c r="WHE83" s="143"/>
      <c r="WHF83" s="143"/>
      <c r="WHG83" s="143"/>
      <c r="WHH83" s="143"/>
      <c r="WHI83" s="143"/>
      <c r="WHJ83" s="143"/>
      <c r="WHK83" s="143"/>
      <c r="WHL83" s="143"/>
      <c r="WHM83" s="143"/>
      <c r="WHN83" s="143"/>
      <c r="WHO83" s="143"/>
      <c r="WHP83" s="143"/>
      <c r="WHQ83" s="143"/>
      <c r="WHR83" s="143"/>
      <c r="WHS83" s="143"/>
      <c r="WHT83" s="143"/>
      <c r="WHU83" s="143"/>
      <c r="WHV83" s="143"/>
      <c r="WHW83" s="143"/>
      <c r="WHX83" s="143"/>
      <c r="WHY83" s="143"/>
      <c r="WHZ83" s="143"/>
      <c r="WIA83" s="143"/>
      <c r="WIB83" s="143"/>
      <c r="WIC83" s="143"/>
      <c r="WID83" s="143"/>
      <c r="WIE83" s="143"/>
      <c r="WIF83" s="143"/>
      <c r="WIG83" s="143"/>
      <c r="WIH83" s="143"/>
      <c r="WII83" s="143"/>
      <c r="WIJ83" s="143"/>
      <c r="WIK83" s="143"/>
      <c r="WIL83" s="143"/>
      <c r="WIM83" s="143"/>
      <c r="WIN83" s="143"/>
      <c r="WIO83" s="143"/>
      <c r="WIP83" s="143"/>
      <c r="WIQ83" s="143"/>
      <c r="WIR83" s="143"/>
      <c r="WIS83" s="143"/>
      <c r="WIT83" s="143"/>
      <c r="WIU83" s="143"/>
      <c r="WIV83" s="143"/>
      <c r="WIW83" s="143"/>
      <c r="WIX83" s="143"/>
      <c r="WIY83" s="143"/>
      <c r="WIZ83" s="143"/>
      <c r="WJA83" s="143"/>
      <c r="WJB83" s="143"/>
      <c r="WJC83" s="143"/>
      <c r="WJD83" s="143"/>
      <c r="WJE83" s="143"/>
      <c r="WJF83" s="143"/>
      <c r="WJG83" s="143"/>
      <c r="WJH83" s="143"/>
      <c r="WJI83" s="143"/>
      <c r="WJJ83" s="143"/>
      <c r="WJK83" s="143"/>
      <c r="WJL83" s="143"/>
      <c r="WJM83" s="143"/>
      <c r="WJN83" s="143"/>
      <c r="WJO83" s="143"/>
      <c r="WJP83" s="143"/>
      <c r="WJQ83" s="143"/>
      <c r="WJR83" s="143"/>
      <c r="WJS83" s="143"/>
      <c r="WJT83" s="143"/>
      <c r="WJU83" s="143"/>
      <c r="WJV83" s="143"/>
      <c r="WJW83" s="143"/>
      <c r="WJX83" s="143"/>
      <c r="WJY83" s="143"/>
      <c r="WJZ83" s="143"/>
      <c r="WKA83" s="143"/>
      <c r="WKB83" s="143"/>
      <c r="WKC83" s="143"/>
      <c r="WKD83" s="143"/>
      <c r="WKE83" s="143"/>
      <c r="WKF83" s="143"/>
      <c r="WKG83" s="143"/>
      <c r="WKH83" s="143"/>
      <c r="WKI83" s="143"/>
      <c r="WKJ83" s="143"/>
      <c r="WKK83" s="143"/>
      <c r="WKL83" s="143"/>
      <c r="WKM83" s="143"/>
      <c r="WKN83" s="143"/>
      <c r="WKO83" s="143"/>
      <c r="WKP83" s="143"/>
      <c r="WKQ83" s="143"/>
      <c r="WKR83" s="143"/>
      <c r="WKS83" s="143"/>
      <c r="WKT83" s="143"/>
      <c r="WKU83" s="143"/>
      <c r="WKV83" s="143"/>
      <c r="WKW83" s="143"/>
      <c r="WKX83" s="143"/>
      <c r="WKY83" s="143"/>
      <c r="WKZ83" s="143"/>
      <c r="WLA83" s="143"/>
      <c r="WLB83" s="143"/>
      <c r="WLC83" s="143"/>
      <c r="WLD83" s="143"/>
      <c r="WLE83" s="143"/>
      <c r="WLF83" s="143"/>
      <c r="WLG83" s="143"/>
      <c r="WLH83" s="143"/>
      <c r="WLI83" s="143"/>
      <c r="WLJ83" s="143"/>
      <c r="WLK83" s="143"/>
      <c r="WLL83" s="143"/>
      <c r="WLM83" s="143"/>
      <c r="WLN83" s="143"/>
      <c r="WLO83" s="143"/>
      <c r="WLP83" s="143"/>
      <c r="WLQ83" s="143"/>
      <c r="WLR83" s="143"/>
      <c r="WLS83" s="143"/>
      <c r="WLT83" s="143"/>
      <c r="WLU83" s="143"/>
      <c r="WLV83" s="143"/>
      <c r="WLW83" s="143"/>
      <c r="WLX83" s="143"/>
      <c r="WLY83" s="143"/>
      <c r="WLZ83" s="143"/>
      <c r="WMA83" s="143"/>
      <c r="WMB83" s="143"/>
      <c r="WMC83" s="143"/>
      <c r="WMD83" s="143"/>
      <c r="WME83" s="143"/>
      <c r="WMF83" s="143"/>
      <c r="WMG83" s="143"/>
      <c r="WMH83" s="143"/>
      <c r="WMI83" s="143"/>
      <c r="WMJ83" s="143"/>
      <c r="WMK83" s="143"/>
      <c r="WML83" s="143"/>
      <c r="WMM83" s="143"/>
      <c r="WMN83" s="143"/>
      <c r="WMO83" s="143"/>
      <c r="WMP83" s="143"/>
      <c r="WMQ83" s="143"/>
      <c r="WMR83" s="143"/>
      <c r="WMS83" s="143"/>
      <c r="WMT83" s="143"/>
      <c r="WMU83" s="143"/>
      <c r="WMV83" s="143"/>
      <c r="WMW83" s="143"/>
      <c r="WMX83" s="143"/>
      <c r="WMY83" s="143"/>
      <c r="WMZ83" s="143"/>
      <c r="WNA83" s="143"/>
      <c r="WNB83" s="143"/>
      <c r="WNC83" s="143"/>
      <c r="WND83" s="143"/>
      <c r="WNE83" s="143"/>
      <c r="WNF83" s="143"/>
      <c r="WNG83" s="143"/>
      <c r="WNH83" s="143"/>
      <c r="WNI83" s="143"/>
      <c r="WNJ83" s="143"/>
      <c r="WNK83" s="143"/>
      <c r="WNL83" s="143"/>
      <c r="WNM83" s="143"/>
      <c r="WNN83" s="143"/>
      <c r="WNO83" s="143"/>
      <c r="WNP83" s="143"/>
      <c r="WNQ83" s="143"/>
      <c r="WNR83" s="143"/>
      <c r="WNS83" s="143"/>
      <c r="WNT83" s="143"/>
      <c r="WNU83" s="143"/>
      <c r="WNV83" s="143"/>
      <c r="WNW83" s="143"/>
      <c r="WNX83" s="143"/>
      <c r="WNY83" s="143"/>
      <c r="WNZ83" s="143"/>
      <c r="WOA83" s="143"/>
      <c r="WOB83" s="143"/>
      <c r="WOC83" s="143"/>
      <c r="WOD83" s="143"/>
      <c r="WOE83" s="143"/>
      <c r="WOF83" s="143"/>
      <c r="WOG83" s="143"/>
      <c r="WOH83" s="143"/>
      <c r="WOI83" s="143"/>
      <c r="WOJ83" s="143"/>
      <c r="WOK83" s="143"/>
      <c r="WOL83" s="143"/>
      <c r="WOM83" s="143"/>
      <c r="WON83" s="143"/>
      <c r="WOO83" s="143"/>
      <c r="WOP83" s="143"/>
      <c r="WOQ83" s="143"/>
      <c r="WOR83" s="143"/>
      <c r="WOS83" s="143"/>
      <c r="WOT83" s="143"/>
      <c r="WOU83" s="143"/>
      <c r="WOV83" s="143"/>
      <c r="WOW83" s="143"/>
      <c r="WOX83" s="143"/>
      <c r="WOY83" s="143"/>
      <c r="WOZ83" s="143"/>
      <c r="WPA83" s="143"/>
      <c r="WPB83" s="143"/>
      <c r="WPC83" s="143"/>
      <c r="WPD83" s="143"/>
      <c r="WPE83" s="143"/>
      <c r="WPF83" s="143"/>
      <c r="WPG83" s="143"/>
      <c r="WPH83" s="143"/>
      <c r="WPI83" s="143"/>
      <c r="WPJ83" s="143"/>
      <c r="WPK83" s="143"/>
      <c r="WPL83" s="143"/>
      <c r="WPM83" s="143"/>
      <c r="WPN83" s="143"/>
      <c r="WPO83" s="143"/>
      <c r="WPP83" s="143"/>
      <c r="WPQ83" s="143"/>
      <c r="WPR83" s="143"/>
      <c r="WPS83" s="143"/>
      <c r="WPT83" s="143"/>
      <c r="WPU83" s="143"/>
      <c r="WPV83" s="143"/>
      <c r="WPW83" s="143"/>
      <c r="WPX83" s="143"/>
      <c r="WPY83" s="143"/>
      <c r="WPZ83" s="143"/>
      <c r="WQA83" s="143"/>
      <c r="WQB83" s="143"/>
      <c r="WQC83" s="143"/>
      <c r="WQD83" s="143"/>
      <c r="WQE83" s="143"/>
      <c r="WQF83" s="143"/>
      <c r="WQG83" s="143"/>
      <c r="WQH83" s="143"/>
      <c r="WQI83" s="143"/>
      <c r="WQJ83" s="143"/>
      <c r="WQK83" s="143"/>
      <c r="WQL83" s="143"/>
      <c r="WQM83" s="143"/>
      <c r="WQN83" s="143"/>
      <c r="WQO83" s="143"/>
      <c r="WQP83" s="143"/>
      <c r="WQQ83" s="143"/>
      <c r="WQR83" s="143"/>
      <c r="WQS83" s="143"/>
      <c r="WQT83" s="143"/>
      <c r="WQU83" s="143"/>
      <c r="WQV83" s="143"/>
      <c r="WQW83" s="143"/>
      <c r="WQX83" s="143"/>
      <c r="WQY83" s="143"/>
      <c r="WQZ83" s="143"/>
      <c r="WRA83" s="143"/>
      <c r="WRB83" s="143"/>
      <c r="WRC83" s="143"/>
      <c r="WRD83" s="143"/>
      <c r="WRE83" s="143"/>
      <c r="WRF83" s="143"/>
      <c r="WRG83" s="143"/>
      <c r="WRH83" s="143"/>
      <c r="WRI83" s="143"/>
      <c r="WRJ83" s="143"/>
      <c r="WRK83" s="143"/>
      <c r="WRL83" s="143"/>
      <c r="WRM83" s="143"/>
      <c r="WRN83" s="143"/>
      <c r="WRO83" s="143"/>
      <c r="WRP83" s="143"/>
      <c r="WRQ83" s="143"/>
      <c r="WRR83" s="143"/>
      <c r="WRS83" s="143"/>
      <c r="WRT83" s="143"/>
      <c r="WRU83" s="143"/>
      <c r="WRV83" s="143"/>
      <c r="WRW83" s="143"/>
      <c r="WRX83" s="143"/>
      <c r="WRY83" s="143"/>
      <c r="WRZ83" s="143"/>
      <c r="WSA83" s="143"/>
      <c r="WSB83" s="143"/>
      <c r="WSC83" s="143"/>
      <c r="WSD83" s="143"/>
      <c r="WSE83" s="143"/>
      <c r="WSF83" s="143"/>
      <c r="WSG83" s="143"/>
      <c r="WSH83" s="143"/>
      <c r="WSI83" s="143"/>
      <c r="WSJ83" s="143"/>
      <c r="WSK83" s="143"/>
      <c r="WSL83" s="143"/>
      <c r="WSM83" s="143"/>
      <c r="WSN83" s="143"/>
      <c r="WSO83" s="143"/>
      <c r="WSP83" s="143"/>
      <c r="WSQ83" s="143"/>
      <c r="WSR83" s="143"/>
      <c r="WSS83" s="143"/>
      <c r="WST83" s="143"/>
      <c r="WSU83" s="143"/>
      <c r="WSV83" s="143"/>
      <c r="WSW83" s="143"/>
      <c r="WSX83" s="143"/>
      <c r="WSY83" s="143"/>
      <c r="WSZ83" s="143"/>
      <c r="WTA83" s="143"/>
      <c r="WTB83" s="143"/>
      <c r="WTC83" s="143"/>
      <c r="WTD83" s="143"/>
      <c r="WTE83" s="143"/>
      <c r="WTF83" s="143"/>
      <c r="WTG83" s="143"/>
      <c r="WTH83" s="143"/>
      <c r="WTI83" s="143"/>
      <c r="WTJ83" s="143"/>
      <c r="WTK83" s="143"/>
      <c r="WTL83" s="143"/>
      <c r="WTM83" s="143"/>
      <c r="WTN83" s="143"/>
      <c r="WTO83" s="143"/>
      <c r="WTP83" s="143"/>
      <c r="WTQ83" s="143"/>
      <c r="WTR83" s="143"/>
      <c r="WTS83" s="143"/>
      <c r="WTT83" s="143"/>
      <c r="WTU83" s="143"/>
      <c r="WTV83" s="143"/>
      <c r="WTW83" s="143"/>
      <c r="WTX83" s="143"/>
      <c r="WTY83" s="143"/>
      <c r="WTZ83" s="143"/>
      <c r="WUA83" s="143"/>
      <c r="WUB83" s="143"/>
      <c r="WUC83" s="143"/>
      <c r="WUD83" s="143"/>
      <c r="WUE83" s="143"/>
      <c r="WUF83" s="143"/>
      <c r="WUG83" s="143"/>
      <c r="WUH83" s="143"/>
      <c r="WUI83" s="143"/>
      <c r="WUJ83" s="143"/>
      <c r="WUK83" s="143"/>
      <c r="WUL83" s="143"/>
      <c r="WUM83" s="143"/>
      <c r="WUN83" s="143"/>
      <c r="WUO83" s="143"/>
      <c r="WUP83" s="143"/>
      <c r="WUQ83" s="143"/>
      <c r="WUR83" s="143"/>
      <c r="WUS83" s="143"/>
      <c r="WUT83" s="143"/>
      <c r="WUU83" s="143"/>
      <c r="WUV83" s="143"/>
      <c r="WUW83" s="143"/>
      <c r="WUX83" s="143"/>
      <c r="WUY83" s="143"/>
      <c r="WUZ83" s="143"/>
      <c r="WVA83" s="143"/>
      <c r="WVB83" s="143"/>
      <c r="WVC83" s="143"/>
      <c r="WVD83" s="143"/>
      <c r="WVE83" s="143"/>
      <c r="WVF83" s="143"/>
      <c r="WVG83" s="143"/>
      <c r="WVH83" s="143"/>
      <c r="WVI83" s="143"/>
      <c r="WVJ83" s="143"/>
      <c r="WVK83" s="143"/>
      <c r="WVL83" s="143"/>
      <c r="WVM83" s="143"/>
      <c r="WVN83" s="143"/>
      <c r="WVO83" s="143"/>
      <c r="WVP83" s="143"/>
      <c r="WVQ83" s="143"/>
      <c r="WVR83" s="143"/>
      <c r="WVS83" s="143"/>
      <c r="WVT83" s="143"/>
      <c r="WVU83" s="143"/>
      <c r="WVV83" s="143"/>
      <c r="WVW83" s="143"/>
      <c r="WVX83" s="143"/>
      <c r="WVY83" s="143"/>
      <c r="WVZ83" s="143"/>
      <c r="WWA83" s="143"/>
      <c r="WWB83" s="143"/>
      <c r="WWC83" s="143"/>
      <c r="WWD83" s="143"/>
      <c r="WWE83" s="143"/>
      <c r="WWF83" s="143"/>
      <c r="WWG83" s="143"/>
      <c r="WWH83" s="143"/>
      <c r="WWI83" s="143"/>
      <c r="WWJ83" s="143"/>
      <c r="WWK83" s="143"/>
      <c r="WWL83" s="143"/>
      <c r="WWM83" s="143"/>
      <c r="WWN83" s="143"/>
      <c r="WWO83" s="143"/>
      <c r="WWP83" s="143"/>
      <c r="WWQ83" s="143"/>
      <c r="WWR83" s="143"/>
      <c r="WWS83" s="143"/>
      <c r="WWT83" s="143"/>
      <c r="WWU83" s="143"/>
      <c r="WWV83" s="143"/>
      <c r="WWW83" s="143"/>
      <c r="WWX83" s="143"/>
      <c r="WWY83" s="143"/>
      <c r="WWZ83" s="143"/>
      <c r="WXA83" s="143"/>
      <c r="WXB83" s="143"/>
      <c r="WXC83" s="143"/>
      <c r="WXD83" s="143"/>
      <c r="WXE83" s="143"/>
      <c r="WXF83" s="143"/>
      <c r="WXG83" s="143"/>
      <c r="WXH83" s="143"/>
      <c r="WXI83" s="143"/>
      <c r="WXJ83" s="143"/>
      <c r="WXK83" s="143"/>
      <c r="WXL83" s="143"/>
      <c r="WXM83" s="143"/>
      <c r="WXN83" s="143"/>
      <c r="WXO83" s="143"/>
      <c r="WXP83" s="143"/>
      <c r="WXQ83" s="143"/>
      <c r="WXR83" s="143"/>
      <c r="WXS83" s="143"/>
      <c r="WXT83" s="143"/>
      <c r="WXU83" s="143"/>
      <c r="WXV83" s="143"/>
      <c r="WXW83" s="143"/>
      <c r="WXX83" s="143"/>
      <c r="WXY83" s="143"/>
      <c r="WXZ83" s="143"/>
      <c r="WYA83" s="143"/>
      <c r="WYB83" s="143"/>
      <c r="WYC83" s="143"/>
      <c r="WYD83" s="143"/>
      <c r="WYE83" s="143"/>
      <c r="WYF83" s="143"/>
      <c r="WYG83" s="143"/>
      <c r="WYH83" s="143"/>
      <c r="WYI83" s="143"/>
      <c r="WYJ83" s="143"/>
      <c r="WYK83" s="143"/>
      <c r="WYL83" s="143"/>
      <c r="WYM83" s="143"/>
      <c r="WYN83" s="143"/>
      <c r="WYO83" s="143"/>
      <c r="WYP83" s="143"/>
      <c r="WYQ83" s="143"/>
      <c r="WYR83" s="143"/>
      <c r="WYS83" s="143"/>
      <c r="WYT83" s="143"/>
      <c r="WYU83" s="143"/>
      <c r="WYV83" s="143"/>
      <c r="WYW83" s="143"/>
      <c r="WYX83" s="143"/>
      <c r="WYY83" s="143"/>
      <c r="WYZ83" s="143"/>
      <c r="WZA83" s="143"/>
      <c r="WZB83" s="143"/>
      <c r="WZC83" s="143"/>
      <c r="WZD83" s="143"/>
      <c r="WZE83" s="143"/>
      <c r="WZF83" s="143"/>
      <c r="WZG83" s="143"/>
      <c r="WZH83" s="143"/>
      <c r="WZI83" s="143"/>
      <c r="WZJ83" s="143"/>
      <c r="WZK83" s="143"/>
      <c r="WZL83" s="143"/>
      <c r="WZM83" s="143"/>
      <c r="WZN83" s="143"/>
      <c r="WZO83" s="143"/>
      <c r="WZP83" s="143"/>
      <c r="WZQ83" s="143"/>
      <c r="WZR83" s="143"/>
      <c r="WZS83" s="143"/>
      <c r="WZT83" s="143"/>
      <c r="WZU83" s="143"/>
      <c r="WZV83" s="143"/>
      <c r="WZW83" s="143"/>
      <c r="WZX83" s="143"/>
      <c r="WZY83" s="143"/>
      <c r="WZZ83" s="143"/>
      <c r="XAA83" s="143"/>
      <c r="XAB83" s="143"/>
      <c r="XAC83" s="143"/>
      <c r="XAD83" s="143"/>
      <c r="XAE83" s="143"/>
      <c r="XAF83" s="143"/>
      <c r="XAG83" s="143"/>
      <c r="XAH83" s="143"/>
      <c r="XAI83" s="143"/>
      <c r="XAJ83" s="143"/>
      <c r="XAK83" s="143"/>
      <c r="XAL83" s="143"/>
      <c r="XAM83" s="143"/>
      <c r="XAN83" s="143"/>
      <c r="XAO83" s="143"/>
      <c r="XAP83" s="143"/>
      <c r="XAQ83" s="143"/>
      <c r="XAR83" s="143"/>
      <c r="XAS83" s="143"/>
      <c r="XAT83" s="143"/>
      <c r="XAU83" s="143"/>
      <c r="XAV83" s="143"/>
      <c r="XAW83" s="143"/>
      <c r="XAX83" s="143"/>
      <c r="XAY83" s="143"/>
      <c r="XAZ83" s="143"/>
      <c r="XBA83" s="143"/>
      <c r="XBB83" s="143"/>
      <c r="XBC83" s="143"/>
      <c r="XBD83" s="143"/>
      <c r="XBE83" s="143"/>
      <c r="XBF83" s="143"/>
      <c r="XBG83" s="143"/>
      <c r="XBH83" s="143"/>
      <c r="XBI83" s="143"/>
      <c r="XBJ83" s="143"/>
      <c r="XBK83" s="143"/>
      <c r="XBL83" s="143"/>
      <c r="XBM83" s="143"/>
      <c r="XBN83" s="143"/>
      <c r="XBO83" s="143"/>
      <c r="XBP83" s="143"/>
      <c r="XBQ83" s="143"/>
      <c r="XBR83" s="143"/>
      <c r="XBS83" s="143"/>
      <c r="XBT83" s="143"/>
      <c r="XBU83" s="143"/>
      <c r="XBV83" s="143"/>
      <c r="XBW83" s="143"/>
      <c r="XBX83" s="143"/>
      <c r="XBY83" s="143"/>
    </row>
    <row r="84" spans="1:16301" s="143" customFormat="1" ht="30.75" customHeight="1" thickTop="1" thickBot="1">
      <c r="A84" s="143">
        <v>77</v>
      </c>
      <c r="B84" s="56"/>
      <c r="C84" s="142" t="s">
        <v>368</v>
      </c>
      <c r="D84" s="310" t="s">
        <v>369</v>
      </c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AH84" s="87"/>
      <c r="AI84" s="159"/>
      <c r="AJ84" s="298"/>
      <c r="AK84" s="299"/>
      <c r="AL84" s="88"/>
      <c r="AM84" s="291"/>
      <c r="AN84" s="291"/>
      <c r="AO84" s="291"/>
      <c r="AP84" s="291"/>
      <c r="AQ84" s="300"/>
      <c r="AR84" s="300"/>
      <c r="AS84" s="300"/>
      <c r="AT84" s="300"/>
      <c r="AU84" s="300"/>
      <c r="AV84" s="300"/>
      <c r="AW84" s="300"/>
      <c r="AX84" s="300"/>
      <c r="AY84" s="300"/>
      <c r="AZ84" s="300"/>
      <c r="BA84" s="300"/>
      <c r="BB84" s="300"/>
      <c r="BC84" s="300"/>
      <c r="BD84" s="300"/>
      <c r="BE84" s="300"/>
      <c r="BF84" s="300"/>
      <c r="BG84" s="300"/>
      <c r="BH84" s="300"/>
      <c r="BI84" s="300"/>
      <c r="BJ84" s="300"/>
      <c r="BK84" s="300"/>
      <c r="BL84" s="300"/>
      <c r="BM84" s="300"/>
      <c r="BN84" s="300"/>
      <c r="BO84" s="301"/>
      <c r="BP84" s="301"/>
      <c r="BQ84" s="301"/>
      <c r="BR84" s="301"/>
      <c r="BS84" s="301"/>
      <c r="BT84" s="301"/>
      <c r="BU84" s="301"/>
      <c r="BV84" s="301"/>
      <c r="BW84" s="301"/>
      <c r="BX84" s="301"/>
      <c r="BY84" s="301"/>
      <c r="BZ84" s="301"/>
      <c r="CA84" s="301"/>
      <c r="CB84" s="302"/>
      <c r="CC84" s="302"/>
      <c r="CD84" s="302"/>
      <c r="CE84" s="302"/>
      <c r="CF84" s="302"/>
      <c r="CG84" s="302"/>
      <c r="CH84" s="302"/>
      <c r="CI84" s="302"/>
      <c r="CJ84" s="302"/>
      <c r="CK84" s="303"/>
      <c r="CL84" s="303"/>
      <c r="CM84" s="304"/>
      <c r="CN84" s="304"/>
      <c r="CO84" s="304"/>
      <c r="CP84" s="304"/>
      <c r="CQ84" s="304"/>
      <c r="CR84" s="304"/>
      <c r="CS84" s="304"/>
      <c r="CT84" s="304"/>
      <c r="CU84" s="304"/>
      <c r="CV84" s="304"/>
      <c r="CW84" s="304"/>
      <c r="CX84" s="304"/>
      <c r="CY84" s="304"/>
      <c r="DA84" s="6"/>
      <c r="DB84" s="6"/>
    </row>
    <row r="85" spans="1:16301" s="143" customFormat="1" ht="30.75" customHeight="1" thickTop="1" thickBot="1">
      <c r="C85" s="57" t="s">
        <v>370</v>
      </c>
      <c r="D85" s="58" t="s">
        <v>371</v>
      </c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AH85" s="87"/>
      <c r="AI85" s="159"/>
      <c r="AJ85" s="298"/>
      <c r="AK85" s="299"/>
      <c r="AL85" s="88"/>
      <c r="AM85" s="291"/>
      <c r="AN85" s="291"/>
      <c r="AO85" s="291"/>
      <c r="AP85" s="291"/>
      <c r="AQ85" s="300"/>
      <c r="AR85" s="300"/>
      <c r="AS85" s="300"/>
      <c r="AT85" s="300"/>
      <c r="AU85" s="300"/>
      <c r="AV85" s="300"/>
      <c r="AW85" s="300"/>
      <c r="AX85" s="300"/>
      <c r="AY85" s="300"/>
      <c r="AZ85" s="300"/>
      <c r="BA85" s="300"/>
      <c r="BB85" s="300"/>
      <c r="BC85" s="300"/>
      <c r="BD85" s="300"/>
      <c r="BE85" s="300"/>
      <c r="BF85" s="300"/>
      <c r="BG85" s="300"/>
      <c r="BH85" s="300"/>
      <c r="BI85" s="300"/>
      <c r="BJ85" s="300"/>
      <c r="BK85" s="300"/>
      <c r="BL85" s="300"/>
      <c r="BM85" s="300"/>
      <c r="BN85" s="300"/>
      <c r="BO85" s="301"/>
      <c r="BP85" s="301"/>
      <c r="BQ85" s="301"/>
      <c r="BR85" s="301"/>
      <c r="BS85" s="301"/>
      <c r="BT85" s="301"/>
      <c r="BU85" s="301"/>
      <c r="BV85" s="301"/>
      <c r="BW85" s="301"/>
      <c r="BX85" s="301"/>
      <c r="BY85" s="301"/>
      <c r="BZ85" s="301"/>
      <c r="CA85" s="301"/>
      <c r="CB85" s="302"/>
      <c r="CC85" s="302"/>
      <c r="CD85" s="302"/>
      <c r="CE85" s="302"/>
      <c r="CF85" s="302"/>
      <c r="CG85" s="302"/>
      <c r="CH85" s="302"/>
      <c r="CI85" s="302"/>
      <c r="CJ85" s="302"/>
      <c r="CK85" s="303"/>
      <c r="CL85" s="303"/>
      <c r="CM85" s="304"/>
      <c r="CN85" s="304"/>
      <c r="CO85" s="304"/>
      <c r="CP85" s="304"/>
      <c r="CQ85" s="304"/>
      <c r="CR85" s="304"/>
      <c r="CS85" s="304"/>
      <c r="CT85" s="304"/>
      <c r="CU85" s="304"/>
      <c r="CV85" s="304"/>
      <c r="CW85" s="304"/>
      <c r="CX85" s="304"/>
      <c r="CY85" s="304"/>
      <c r="DA85" s="6"/>
      <c r="DB85" s="6"/>
    </row>
    <row r="86" spans="1:16301" s="143" customFormat="1" ht="30.75" customHeight="1" thickTop="1" thickBot="1">
      <c r="C86" s="315" t="s">
        <v>372</v>
      </c>
      <c r="D86" s="316" t="s">
        <v>373</v>
      </c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AH86" s="87"/>
      <c r="AI86" s="159"/>
      <c r="AJ86" s="298"/>
      <c r="AK86" s="299"/>
      <c r="AL86" s="88"/>
      <c r="AM86" s="291"/>
      <c r="AN86" s="291"/>
      <c r="AO86" s="291"/>
      <c r="AP86" s="291"/>
      <c r="AQ86" s="300"/>
      <c r="AR86" s="300"/>
      <c r="AS86" s="300"/>
      <c r="AT86" s="300"/>
      <c r="AU86" s="300"/>
      <c r="AV86" s="300"/>
      <c r="AW86" s="300"/>
      <c r="AX86" s="300"/>
      <c r="AY86" s="300"/>
      <c r="AZ86" s="300"/>
      <c r="BA86" s="300"/>
      <c r="BB86" s="300"/>
      <c r="BC86" s="300"/>
      <c r="BD86" s="300"/>
      <c r="BE86" s="300"/>
      <c r="BF86" s="300"/>
      <c r="BG86" s="300"/>
      <c r="BH86" s="300"/>
      <c r="BI86" s="300"/>
      <c r="BJ86" s="300"/>
      <c r="BK86" s="300"/>
      <c r="BL86" s="300"/>
      <c r="BM86" s="300"/>
      <c r="BN86" s="300"/>
      <c r="BO86" s="301"/>
      <c r="BP86" s="301"/>
      <c r="BQ86" s="301"/>
      <c r="BR86" s="301"/>
      <c r="BS86" s="301"/>
      <c r="BT86" s="301"/>
      <c r="BU86" s="301"/>
      <c r="BV86" s="301"/>
      <c r="BW86" s="301"/>
      <c r="BX86" s="301"/>
      <c r="BY86" s="301"/>
      <c r="BZ86" s="301"/>
      <c r="CA86" s="301"/>
      <c r="CB86" s="302"/>
      <c r="CC86" s="302"/>
      <c r="CD86" s="302"/>
      <c r="CE86" s="302"/>
      <c r="CF86" s="302"/>
      <c r="CG86" s="302"/>
      <c r="CH86" s="302"/>
      <c r="CI86" s="302"/>
      <c r="CJ86" s="302"/>
      <c r="CK86" s="303"/>
      <c r="CL86" s="303"/>
      <c r="CM86" s="304"/>
      <c r="CN86" s="304"/>
      <c r="CO86" s="304"/>
      <c r="CP86" s="304"/>
      <c r="CQ86" s="304"/>
      <c r="CR86" s="304"/>
      <c r="CS86" s="304"/>
      <c r="CT86" s="304"/>
      <c r="CU86" s="304"/>
      <c r="CV86" s="304"/>
      <c r="CW86" s="304"/>
      <c r="CX86" s="304"/>
      <c r="CY86" s="304"/>
      <c r="DA86" s="6"/>
      <c r="DB86" s="6"/>
    </row>
    <row r="87" spans="1:16301" s="143" customFormat="1" ht="30.75" customHeight="1" thickTop="1" thickBot="1">
      <c r="C87" s="315" t="s">
        <v>372</v>
      </c>
      <c r="D87" s="316" t="s">
        <v>376</v>
      </c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AH87" s="87"/>
      <c r="AI87" s="159"/>
      <c r="AJ87" s="298"/>
      <c r="AK87" s="299"/>
      <c r="AL87" s="88"/>
      <c r="AM87" s="291"/>
      <c r="AN87" s="291"/>
      <c r="AO87" s="291"/>
      <c r="AP87" s="291"/>
      <c r="AQ87" s="300"/>
      <c r="AR87" s="300"/>
      <c r="AS87" s="300"/>
      <c r="AT87" s="300"/>
      <c r="AU87" s="300"/>
      <c r="AV87" s="300"/>
      <c r="AW87" s="300"/>
      <c r="AX87" s="300"/>
      <c r="AY87" s="300"/>
      <c r="AZ87" s="300"/>
      <c r="BA87" s="300"/>
      <c r="BB87" s="300"/>
      <c r="BC87" s="300"/>
      <c r="BD87" s="300"/>
      <c r="BE87" s="300"/>
      <c r="BF87" s="300"/>
      <c r="BG87" s="300"/>
      <c r="BH87" s="300"/>
      <c r="BI87" s="300"/>
      <c r="BJ87" s="300"/>
      <c r="BK87" s="300"/>
      <c r="BL87" s="300"/>
      <c r="BM87" s="300"/>
      <c r="BN87" s="300"/>
      <c r="BO87" s="301"/>
      <c r="BP87" s="301"/>
      <c r="BQ87" s="301"/>
      <c r="BR87" s="301"/>
      <c r="BS87" s="301"/>
      <c r="BT87" s="301"/>
      <c r="BU87" s="301"/>
      <c r="BV87" s="301"/>
      <c r="BW87" s="301"/>
      <c r="BX87" s="301"/>
      <c r="BY87" s="301"/>
      <c r="BZ87" s="301"/>
      <c r="CA87" s="301"/>
      <c r="CB87" s="302"/>
      <c r="CC87" s="302"/>
      <c r="CD87" s="302"/>
      <c r="CE87" s="302"/>
      <c r="CF87" s="302"/>
      <c r="CG87" s="302"/>
      <c r="CH87" s="302"/>
      <c r="CI87" s="302"/>
      <c r="CJ87" s="302"/>
      <c r="CK87" s="303"/>
      <c r="CL87" s="303"/>
      <c r="CM87" s="304"/>
      <c r="CN87" s="304"/>
      <c r="CO87" s="304"/>
      <c r="CP87" s="304"/>
      <c r="CQ87" s="304"/>
      <c r="CR87" s="304"/>
      <c r="CS87" s="304"/>
      <c r="CT87" s="304"/>
      <c r="CU87" s="304"/>
      <c r="CV87" s="304"/>
      <c r="CW87" s="304"/>
      <c r="CX87" s="304"/>
      <c r="CY87" s="304"/>
      <c r="DA87" s="6"/>
      <c r="DB87" s="6"/>
    </row>
    <row r="88" spans="1:16301" s="143" customFormat="1" ht="30.75" customHeight="1" thickTop="1" thickBot="1">
      <c r="C88" s="315" t="s">
        <v>372</v>
      </c>
      <c r="D88" s="316" t="s">
        <v>378</v>
      </c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AH88" s="87"/>
      <c r="AI88" s="159"/>
      <c r="AJ88" s="298"/>
      <c r="AK88" s="299"/>
      <c r="AL88" s="88"/>
      <c r="AM88" s="291"/>
      <c r="AN88" s="291"/>
      <c r="AO88" s="291"/>
      <c r="AP88" s="291"/>
      <c r="AQ88" s="300"/>
      <c r="AR88" s="300"/>
      <c r="AS88" s="300"/>
      <c r="AT88" s="300"/>
      <c r="AU88" s="300"/>
      <c r="AV88" s="300"/>
      <c r="AW88" s="300"/>
      <c r="AX88" s="300"/>
      <c r="AY88" s="300"/>
      <c r="AZ88" s="300"/>
      <c r="BA88" s="300"/>
      <c r="BB88" s="300"/>
      <c r="BC88" s="300"/>
      <c r="BD88" s="300"/>
      <c r="BE88" s="300"/>
      <c r="BF88" s="300"/>
      <c r="BG88" s="300"/>
      <c r="BH88" s="300"/>
      <c r="BI88" s="300"/>
      <c r="BJ88" s="300"/>
      <c r="BK88" s="300"/>
      <c r="BL88" s="300"/>
      <c r="BM88" s="300"/>
      <c r="BN88" s="300"/>
      <c r="BO88" s="301"/>
      <c r="BP88" s="301"/>
      <c r="BQ88" s="301"/>
      <c r="BR88" s="301"/>
      <c r="BS88" s="301"/>
      <c r="BT88" s="301"/>
      <c r="BU88" s="301"/>
      <c r="BV88" s="301"/>
      <c r="BW88" s="301"/>
      <c r="BX88" s="301"/>
      <c r="BY88" s="301"/>
      <c r="BZ88" s="301"/>
      <c r="CA88" s="301"/>
      <c r="CB88" s="302"/>
      <c r="CC88" s="302"/>
      <c r="CD88" s="302"/>
      <c r="CE88" s="302"/>
      <c r="CF88" s="302"/>
      <c r="CG88" s="302"/>
      <c r="CH88" s="302"/>
      <c r="CI88" s="302"/>
      <c r="CJ88" s="302"/>
      <c r="CK88" s="303"/>
      <c r="CL88" s="303"/>
      <c r="CM88" s="304"/>
      <c r="CN88" s="304"/>
      <c r="CO88" s="304"/>
      <c r="CP88" s="304"/>
      <c r="CQ88" s="304"/>
      <c r="CR88" s="304"/>
      <c r="CS88" s="304"/>
      <c r="CT88" s="304"/>
      <c r="CU88" s="304"/>
      <c r="CV88" s="304"/>
      <c r="CW88" s="304"/>
      <c r="CX88" s="304"/>
      <c r="CY88" s="304"/>
      <c r="DA88" s="6"/>
      <c r="DB88" s="6"/>
    </row>
    <row r="89" spans="1:16301" s="143" customFormat="1" ht="30.75" customHeight="1" thickTop="1" thickBot="1">
      <c r="C89" s="57" t="s">
        <v>357</v>
      </c>
      <c r="D89" s="320" t="s">
        <v>380</v>
      </c>
      <c r="AH89" s="87"/>
      <c r="AI89" s="159"/>
      <c r="AJ89" s="298"/>
      <c r="AK89" s="299"/>
      <c r="AL89" s="88"/>
      <c r="AM89" s="291"/>
      <c r="AN89" s="291"/>
      <c r="AO89" s="291"/>
      <c r="AP89" s="291"/>
      <c r="AQ89" s="300"/>
      <c r="AR89" s="300"/>
      <c r="AS89" s="300"/>
      <c r="AT89" s="300"/>
      <c r="AU89" s="300"/>
      <c r="AV89" s="300"/>
      <c r="AW89" s="300"/>
      <c r="AX89" s="300"/>
      <c r="AY89" s="300"/>
      <c r="AZ89" s="300"/>
      <c r="BA89" s="300"/>
      <c r="BB89" s="300"/>
      <c r="BC89" s="300"/>
      <c r="BD89" s="300"/>
      <c r="BE89" s="300"/>
      <c r="BF89" s="300"/>
      <c r="BG89" s="300"/>
      <c r="BH89" s="300"/>
      <c r="BI89" s="300"/>
      <c r="BJ89" s="300"/>
      <c r="BK89" s="300"/>
      <c r="BL89" s="300"/>
      <c r="BM89" s="300"/>
      <c r="BN89" s="300"/>
      <c r="BO89" s="301"/>
      <c r="BP89" s="301"/>
      <c r="BQ89" s="301"/>
      <c r="BR89" s="301"/>
      <c r="BS89" s="301"/>
      <c r="BT89" s="301"/>
      <c r="BU89" s="301"/>
      <c r="BV89" s="301"/>
      <c r="BW89" s="301"/>
      <c r="BX89" s="301"/>
      <c r="BY89" s="301"/>
      <c r="BZ89" s="301"/>
      <c r="CA89" s="301"/>
      <c r="CB89" s="302"/>
      <c r="CC89" s="302"/>
      <c r="CD89" s="302"/>
      <c r="CE89" s="302"/>
      <c r="CF89" s="302"/>
      <c r="CG89" s="302"/>
      <c r="CH89" s="302"/>
      <c r="CI89" s="302"/>
      <c r="CJ89" s="302"/>
      <c r="CK89" s="303"/>
      <c r="CL89" s="303"/>
      <c r="CM89" s="304"/>
      <c r="CN89" s="304"/>
      <c r="CO89" s="304"/>
      <c r="CP89" s="304"/>
      <c r="CQ89" s="304"/>
      <c r="CR89" s="304"/>
      <c r="CS89" s="304"/>
      <c r="CT89" s="304"/>
      <c r="CU89" s="304"/>
      <c r="CV89" s="304"/>
      <c r="CW89" s="304"/>
      <c r="CX89" s="304"/>
      <c r="CY89" s="304"/>
      <c r="DA89" s="6"/>
      <c r="DB89" s="6"/>
    </row>
    <row r="90" spans="1:16301" s="143" customFormat="1" ht="30.75" customHeight="1" thickTop="1" thickBot="1">
      <c r="AH90" s="87"/>
      <c r="AI90" s="159"/>
      <c r="AJ90" s="298"/>
      <c r="AK90" s="299"/>
      <c r="AL90" s="88"/>
      <c r="AM90" s="291"/>
      <c r="AN90" s="291"/>
      <c r="AO90" s="291"/>
      <c r="AP90" s="291"/>
      <c r="AQ90" s="300"/>
      <c r="AR90" s="300"/>
      <c r="AS90" s="300"/>
      <c r="AT90" s="300"/>
      <c r="AU90" s="300"/>
      <c r="AV90" s="300"/>
      <c r="AW90" s="300"/>
      <c r="AX90" s="300"/>
      <c r="AY90" s="300"/>
      <c r="AZ90" s="300"/>
      <c r="BA90" s="300"/>
      <c r="BB90" s="300"/>
      <c r="BC90" s="300"/>
      <c r="BD90" s="300"/>
      <c r="BE90" s="300"/>
      <c r="BF90" s="300"/>
      <c r="BG90" s="300"/>
      <c r="BH90" s="300"/>
      <c r="BI90" s="300"/>
      <c r="BJ90" s="300"/>
      <c r="BK90" s="300"/>
      <c r="BL90" s="300"/>
      <c r="BM90" s="300"/>
      <c r="BN90" s="300"/>
      <c r="BO90" s="301"/>
      <c r="BP90" s="301"/>
      <c r="BQ90" s="301"/>
      <c r="BR90" s="301"/>
      <c r="BS90" s="301"/>
      <c r="BT90" s="301"/>
      <c r="BU90" s="301"/>
      <c r="BV90" s="301"/>
      <c r="BW90" s="301"/>
      <c r="BX90" s="301"/>
      <c r="BY90" s="301"/>
      <c r="BZ90" s="301"/>
      <c r="CA90" s="301"/>
      <c r="CB90" s="302"/>
      <c r="CC90" s="302"/>
      <c r="CD90" s="302"/>
      <c r="CE90" s="302"/>
      <c r="CF90" s="302"/>
      <c r="CG90" s="302"/>
      <c r="CH90" s="302"/>
      <c r="CI90" s="302"/>
      <c r="CJ90" s="302"/>
      <c r="CK90" s="303"/>
      <c r="CL90" s="303"/>
      <c r="CM90" s="304"/>
      <c r="CN90" s="304"/>
      <c r="CO90" s="304"/>
      <c r="CP90" s="304"/>
      <c r="CQ90" s="304"/>
      <c r="CR90" s="304"/>
      <c r="CS90" s="304"/>
      <c r="CT90" s="304"/>
      <c r="CU90" s="304"/>
      <c r="CV90" s="304"/>
      <c r="CW90" s="304"/>
      <c r="CX90" s="304"/>
      <c r="CY90" s="304"/>
      <c r="DA90" s="6"/>
      <c r="DB90" s="6"/>
    </row>
    <row r="91" spans="1:16301" s="143" customFormat="1" ht="30.75" customHeight="1" thickTop="1" thickBot="1">
      <c r="AH91" s="87"/>
      <c r="AI91" s="159"/>
      <c r="AJ91" s="298"/>
      <c r="AK91" s="299"/>
      <c r="AL91" s="88"/>
      <c r="AM91" s="291"/>
      <c r="AN91" s="291"/>
      <c r="AO91" s="291"/>
      <c r="AP91" s="291"/>
      <c r="AQ91" s="300"/>
      <c r="AR91" s="300"/>
      <c r="AS91" s="300"/>
      <c r="AT91" s="300"/>
      <c r="AU91" s="300"/>
      <c r="AV91" s="300"/>
      <c r="AW91" s="300"/>
      <c r="AX91" s="300"/>
      <c r="AY91" s="300"/>
      <c r="AZ91" s="300"/>
      <c r="BA91" s="300"/>
      <c r="BB91" s="300"/>
      <c r="BC91" s="300"/>
      <c r="BD91" s="300"/>
      <c r="BE91" s="300"/>
      <c r="BF91" s="300"/>
      <c r="BG91" s="300"/>
      <c r="BH91" s="300"/>
      <c r="BI91" s="300"/>
      <c r="BJ91" s="300"/>
      <c r="BK91" s="300"/>
      <c r="BL91" s="300"/>
      <c r="BM91" s="300"/>
      <c r="BN91" s="300"/>
      <c r="BO91" s="301"/>
      <c r="BP91" s="301"/>
      <c r="BQ91" s="301"/>
      <c r="BR91" s="301"/>
      <c r="BS91" s="301"/>
      <c r="BT91" s="301"/>
      <c r="BU91" s="301"/>
      <c r="BV91" s="301"/>
      <c r="BW91" s="301"/>
      <c r="BX91" s="301"/>
      <c r="BY91" s="301"/>
      <c r="BZ91" s="301"/>
      <c r="CA91" s="301"/>
      <c r="CB91" s="302"/>
      <c r="CC91" s="302"/>
      <c r="CD91" s="302"/>
      <c r="CE91" s="302"/>
      <c r="CF91" s="302"/>
      <c r="CG91" s="302"/>
      <c r="CH91" s="302"/>
      <c r="CI91" s="302"/>
      <c r="CJ91" s="302"/>
      <c r="CK91" s="303"/>
      <c r="CL91" s="303"/>
      <c r="CM91" s="304"/>
      <c r="CN91" s="304"/>
      <c r="CO91" s="304"/>
      <c r="CP91" s="304"/>
      <c r="CQ91" s="304"/>
      <c r="CR91" s="304"/>
      <c r="CS91" s="304"/>
      <c r="CT91" s="304"/>
      <c r="CU91" s="304"/>
      <c r="CV91" s="304"/>
      <c r="CW91" s="304"/>
      <c r="CX91" s="304"/>
      <c r="CY91" s="304"/>
      <c r="DA91" s="6"/>
      <c r="DB91" s="6"/>
    </row>
    <row r="92" spans="1:16301" s="143" customFormat="1" ht="30.75" customHeight="1" thickTop="1" thickBot="1">
      <c r="AH92" s="87"/>
      <c r="AI92" s="159"/>
      <c r="AJ92" s="298"/>
      <c r="AK92" s="299"/>
      <c r="AL92" s="88"/>
      <c r="AM92" s="291"/>
      <c r="AN92" s="291"/>
      <c r="AO92" s="291"/>
      <c r="AP92" s="291"/>
      <c r="AQ92" s="300"/>
      <c r="AR92" s="300"/>
      <c r="AS92" s="300"/>
      <c r="AT92" s="300"/>
      <c r="AU92" s="300"/>
      <c r="AV92" s="300"/>
      <c r="AW92" s="300"/>
      <c r="AX92" s="300"/>
      <c r="AY92" s="300"/>
      <c r="AZ92" s="300"/>
      <c r="BA92" s="300"/>
      <c r="BB92" s="300"/>
      <c r="BC92" s="300"/>
      <c r="BD92" s="300"/>
      <c r="BE92" s="300"/>
      <c r="BF92" s="300"/>
      <c r="BG92" s="300"/>
      <c r="BH92" s="300"/>
      <c r="BI92" s="300"/>
      <c r="BJ92" s="300"/>
      <c r="BK92" s="300"/>
      <c r="BL92" s="300"/>
      <c r="BM92" s="300"/>
      <c r="BN92" s="300"/>
      <c r="BO92" s="301"/>
      <c r="BP92" s="301"/>
      <c r="BQ92" s="301"/>
      <c r="BR92" s="301"/>
      <c r="BS92" s="301"/>
      <c r="BT92" s="301"/>
      <c r="BU92" s="301"/>
      <c r="BV92" s="301"/>
      <c r="BW92" s="301"/>
      <c r="BX92" s="301"/>
      <c r="BY92" s="301"/>
      <c r="BZ92" s="301"/>
      <c r="CA92" s="301"/>
      <c r="CB92" s="302"/>
      <c r="CC92" s="302"/>
      <c r="CD92" s="302"/>
      <c r="CE92" s="302"/>
      <c r="CF92" s="302"/>
      <c r="CG92" s="302"/>
      <c r="CH92" s="302"/>
      <c r="CI92" s="302"/>
      <c r="CJ92" s="302"/>
      <c r="CK92" s="303"/>
      <c r="CL92" s="303"/>
      <c r="CM92" s="304"/>
      <c r="CN92" s="304"/>
      <c r="CO92" s="304"/>
      <c r="CP92" s="304"/>
      <c r="CQ92" s="304"/>
      <c r="CR92" s="304"/>
      <c r="CS92" s="304"/>
      <c r="CT92" s="304"/>
      <c r="CU92" s="304"/>
      <c r="CV92" s="304"/>
      <c r="CW92" s="304"/>
      <c r="CX92" s="304"/>
      <c r="CY92" s="304"/>
      <c r="DA92" s="6"/>
      <c r="DB92" s="6"/>
    </row>
    <row r="93" spans="1:16301" s="143" customFormat="1" ht="30.75" customHeight="1" thickTop="1" thickBot="1">
      <c r="AH93" s="87"/>
      <c r="AI93" s="159"/>
      <c r="AJ93" s="298"/>
      <c r="AK93" s="299"/>
      <c r="AL93" s="88"/>
      <c r="AM93" s="291"/>
      <c r="AN93" s="291"/>
      <c r="AO93" s="291"/>
      <c r="AP93" s="291"/>
      <c r="AQ93" s="300"/>
      <c r="AR93" s="300"/>
      <c r="AS93" s="300"/>
      <c r="AT93" s="300"/>
      <c r="AU93" s="300"/>
      <c r="AV93" s="300"/>
      <c r="AW93" s="300"/>
      <c r="AX93" s="300"/>
      <c r="AY93" s="300"/>
      <c r="AZ93" s="300"/>
      <c r="BA93" s="300"/>
      <c r="BB93" s="300"/>
      <c r="BC93" s="300"/>
      <c r="BD93" s="300"/>
      <c r="BE93" s="300"/>
      <c r="BF93" s="300"/>
      <c r="BG93" s="300"/>
      <c r="BH93" s="300"/>
      <c r="BI93" s="300"/>
      <c r="BJ93" s="300"/>
      <c r="BK93" s="300"/>
      <c r="BL93" s="300"/>
      <c r="BM93" s="300"/>
      <c r="BN93" s="300"/>
      <c r="BO93" s="301"/>
      <c r="BP93" s="301"/>
      <c r="BQ93" s="301"/>
      <c r="BR93" s="301"/>
      <c r="BS93" s="301"/>
      <c r="BT93" s="301"/>
      <c r="BU93" s="301"/>
      <c r="BV93" s="301"/>
      <c r="BW93" s="301"/>
      <c r="BX93" s="301"/>
      <c r="BY93" s="301"/>
      <c r="BZ93" s="301"/>
      <c r="CA93" s="301"/>
      <c r="CB93" s="302"/>
      <c r="CC93" s="302"/>
      <c r="CD93" s="302"/>
      <c r="CE93" s="302"/>
      <c r="CF93" s="302"/>
      <c r="CG93" s="302"/>
      <c r="CH93" s="302"/>
      <c r="CI93" s="302"/>
      <c r="CJ93" s="302"/>
      <c r="CK93" s="303"/>
      <c r="CL93" s="303"/>
      <c r="CM93" s="304"/>
      <c r="CN93" s="304"/>
      <c r="CO93" s="304"/>
      <c r="CP93" s="304"/>
      <c r="CQ93" s="304"/>
      <c r="CR93" s="304"/>
      <c r="CS93" s="304"/>
      <c r="CT93" s="304"/>
      <c r="CU93" s="304"/>
      <c r="CV93" s="304"/>
      <c r="CW93" s="304"/>
      <c r="CX93" s="304"/>
      <c r="CY93" s="304"/>
      <c r="DA93" s="6"/>
      <c r="DB93" s="6"/>
    </row>
    <row r="94" spans="1:16301" s="143" customFormat="1" ht="30.75" customHeight="1" thickTop="1" thickBot="1">
      <c r="AH94" s="87"/>
      <c r="AI94" s="159"/>
      <c r="AJ94" s="298"/>
      <c r="AK94" s="299"/>
      <c r="AL94" s="88"/>
      <c r="AM94" s="291"/>
      <c r="AN94" s="291"/>
      <c r="AO94" s="291"/>
      <c r="AP94" s="291"/>
      <c r="AQ94" s="300"/>
      <c r="AR94" s="300"/>
      <c r="AS94" s="300"/>
      <c r="AT94" s="300"/>
      <c r="AU94" s="300"/>
      <c r="AV94" s="300"/>
      <c r="AW94" s="300"/>
      <c r="AX94" s="300"/>
      <c r="AY94" s="300"/>
      <c r="AZ94" s="300"/>
      <c r="BA94" s="300"/>
      <c r="BB94" s="300"/>
      <c r="BC94" s="300"/>
      <c r="BD94" s="300"/>
      <c r="BE94" s="300"/>
      <c r="BF94" s="300"/>
      <c r="BG94" s="300"/>
      <c r="BH94" s="300"/>
      <c r="BI94" s="300"/>
      <c r="BJ94" s="300"/>
      <c r="BK94" s="300"/>
      <c r="BL94" s="300"/>
      <c r="BM94" s="300"/>
      <c r="BN94" s="300"/>
      <c r="BO94" s="301"/>
      <c r="BP94" s="301"/>
      <c r="BQ94" s="301"/>
      <c r="BR94" s="301"/>
      <c r="BS94" s="301"/>
      <c r="BT94" s="301"/>
      <c r="BU94" s="301"/>
      <c r="BV94" s="301"/>
      <c r="BW94" s="301"/>
      <c r="BX94" s="301"/>
      <c r="BY94" s="301"/>
      <c r="BZ94" s="301"/>
      <c r="CA94" s="301"/>
      <c r="CB94" s="302"/>
      <c r="CC94" s="302"/>
      <c r="CD94" s="302"/>
      <c r="CE94" s="302"/>
      <c r="CF94" s="302"/>
      <c r="CG94" s="302"/>
      <c r="CH94" s="302"/>
      <c r="CI94" s="302"/>
      <c r="CJ94" s="302"/>
      <c r="CK94" s="303"/>
      <c r="CL94" s="303"/>
      <c r="CM94" s="304"/>
      <c r="CN94" s="304"/>
      <c r="CO94" s="304"/>
      <c r="CP94" s="304"/>
      <c r="CQ94" s="304"/>
      <c r="CR94" s="304"/>
      <c r="CS94" s="304"/>
      <c r="CT94" s="304"/>
      <c r="CU94" s="304"/>
      <c r="CV94" s="304"/>
      <c r="CW94" s="304"/>
      <c r="CX94" s="304"/>
      <c r="CY94" s="304"/>
      <c r="DA94" s="6"/>
      <c r="DB94" s="6"/>
    </row>
    <row r="95" spans="1:16301" s="143" customFormat="1" ht="18.5" thickTop="1" thickBot="1">
      <c r="AH95" s="87"/>
      <c r="AI95" s="323"/>
      <c r="AJ95" s="298"/>
      <c r="AK95" s="324"/>
      <c r="AL95" s="246"/>
      <c r="AM95" s="291"/>
      <c r="AN95" s="291"/>
      <c r="AO95" s="291"/>
      <c r="AP95" s="291"/>
      <c r="AQ95" s="325"/>
      <c r="AR95" s="325"/>
      <c r="AS95" s="325"/>
      <c r="AT95" s="325"/>
      <c r="AU95" s="325"/>
      <c r="AV95" s="325"/>
      <c r="AW95" s="325"/>
      <c r="AX95" s="325"/>
      <c r="AY95" s="325"/>
      <c r="AZ95" s="325"/>
      <c r="BA95" s="325"/>
      <c r="BB95" s="325"/>
      <c r="BC95" s="325"/>
      <c r="BD95" s="325"/>
      <c r="BE95" s="325"/>
      <c r="BF95" s="325"/>
      <c r="BG95" s="325"/>
      <c r="BH95" s="325"/>
      <c r="BI95" s="325"/>
      <c r="BJ95" s="325"/>
      <c r="BK95" s="325"/>
      <c r="BL95" s="325"/>
      <c r="BM95" s="325"/>
      <c r="BN95" s="325"/>
      <c r="BO95" s="326"/>
      <c r="BP95" s="326"/>
      <c r="BQ95" s="326"/>
      <c r="BR95" s="326"/>
      <c r="BS95" s="326"/>
      <c r="BT95" s="326"/>
      <c r="BU95" s="326"/>
      <c r="BV95" s="326"/>
      <c r="BW95" s="326"/>
      <c r="BX95" s="326"/>
      <c r="BY95" s="326"/>
      <c r="BZ95" s="326"/>
      <c r="CA95" s="326"/>
      <c r="CB95" s="327"/>
      <c r="CC95" s="327"/>
      <c r="CD95" s="327"/>
      <c r="CE95" s="327"/>
      <c r="CF95" s="327"/>
      <c r="CG95" s="327"/>
      <c r="CH95" s="327"/>
      <c r="CI95" s="327"/>
      <c r="CJ95" s="327"/>
      <c r="CK95" s="328"/>
      <c r="CL95" s="328"/>
      <c r="CM95" s="329"/>
      <c r="CN95" s="329"/>
      <c r="CO95" s="329"/>
      <c r="CP95" s="329"/>
      <c r="CQ95" s="329"/>
      <c r="CR95" s="329"/>
      <c r="CS95" s="329"/>
      <c r="CT95" s="329"/>
      <c r="CU95" s="329"/>
      <c r="CV95" s="329"/>
      <c r="CW95" s="329"/>
      <c r="CX95" s="329"/>
      <c r="CY95" s="329"/>
      <c r="DA95" s="6"/>
      <c r="DB95" s="6"/>
    </row>
    <row r="96" spans="1:16301" s="143" customFormat="1" ht="18.5" thickTop="1" thickBot="1">
      <c r="AH96" s="87"/>
      <c r="AI96" s="159"/>
      <c r="AJ96" s="298"/>
      <c r="AK96" s="299"/>
      <c r="AL96" s="88"/>
      <c r="AM96" s="291"/>
      <c r="AN96" s="291"/>
      <c r="AO96" s="291"/>
      <c r="AP96" s="291"/>
      <c r="AQ96" s="300"/>
      <c r="AR96" s="300"/>
      <c r="AS96" s="300"/>
      <c r="AT96" s="300"/>
      <c r="AU96" s="300"/>
      <c r="AV96" s="300"/>
      <c r="AW96" s="300"/>
      <c r="AX96" s="300"/>
      <c r="AY96" s="300"/>
      <c r="AZ96" s="300"/>
      <c r="BA96" s="300"/>
      <c r="BB96" s="300"/>
      <c r="BC96" s="300"/>
      <c r="BD96" s="300"/>
      <c r="BE96" s="300"/>
      <c r="BF96" s="300"/>
      <c r="BG96" s="300"/>
      <c r="BH96" s="300"/>
      <c r="BI96" s="300"/>
      <c r="BJ96" s="300"/>
      <c r="BK96" s="300"/>
      <c r="BL96" s="300"/>
      <c r="BM96" s="300"/>
      <c r="BN96" s="300"/>
      <c r="BO96" s="301"/>
      <c r="BP96" s="301"/>
      <c r="BQ96" s="301"/>
      <c r="BR96" s="301"/>
      <c r="BS96" s="301"/>
      <c r="BT96" s="301"/>
      <c r="BU96" s="301"/>
      <c r="BV96" s="301"/>
      <c r="BW96" s="301"/>
      <c r="BX96" s="301"/>
      <c r="BY96" s="301"/>
      <c r="BZ96" s="301"/>
      <c r="CA96" s="301"/>
      <c r="CB96" s="302"/>
      <c r="CC96" s="302"/>
      <c r="CD96" s="302"/>
      <c r="CE96" s="302"/>
      <c r="CF96" s="302"/>
      <c r="CG96" s="302"/>
      <c r="CH96" s="302"/>
      <c r="CI96" s="302"/>
      <c r="CJ96" s="302"/>
      <c r="CK96" s="303"/>
      <c r="CL96" s="303"/>
      <c r="CM96" s="304"/>
      <c r="CN96" s="304"/>
      <c r="CO96" s="304"/>
      <c r="CP96" s="304"/>
      <c r="CQ96" s="304"/>
      <c r="CR96" s="304"/>
      <c r="CS96" s="304"/>
      <c r="CT96" s="304"/>
      <c r="CU96" s="304"/>
      <c r="CV96" s="304"/>
      <c r="CW96" s="304"/>
      <c r="CX96" s="304"/>
      <c r="CY96" s="304"/>
      <c r="DA96" s="6"/>
      <c r="DB96" s="6"/>
    </row>
    <row r="97" spans="34:106" s="143" customFormat="1" ht="18.5" thickTop="1" thickBot="1">
      <c r="AH97" s="87"/>
      <c r="AI97" s="159"/>
      <c r="AJ97" s="298"/>
      <c r="AK97" s="299"/>
      <c r="AL97" s="88"/>
      <c r="AM97" s="291"/>
      <c r="AN97" s="291"/>
      <c r="AO97" s="291"/>
      <c r="AP97" s="291"/>
      <c r="AQ97" s="300"/>
      <c r="AR97" s="300"/>
      <c r="AS97" s="300"/>
      <c r="AT97" s="300"/>
      <c r="AU97" s="300"/>
      <c r="AV97" s="300"/>
      <c r="AW97" s="300"/>
      <c r="AX97" s="300"/>
      <c r="AY97" s="300"/>
      <c r="AZ97" s="300"/>
      <c r="BA97" s="300"/>
      <c r="BB97" s="300"/>
      <c r="BC97" s="300"/>
      <c r="BD97" s="300"/>
      <c r="BE97" s="300"/>
      <c r="BF97" s="300"/>
      <c r="BG97" s="300"/>
      <c r="BH97" s="300"/>
      <c r="BI97" s="300"/>
      <c r="BJ97" s="300"/>
      <c r="BK97" s="300"/>
      <c r="BL97" s="300"/>
      <c r="BM97" s="300"/>
      <c r="BN97" s="300"/>
      <c r="BO97" s="301"/>
      <c r="BP97" s="301"/>
      <c r="BQ97" s="301"/>
      <c r="BR97" s="301"/>
      <c r="BS97" s="301"/>
      <c r="BT97" s="301"/>
      <c r="BU97" s="301"/>
      <c r="BV97" s="301"/>
      <c r="BW97" s="301"/>
      <c r="BX97" s="301"/>
      <c r="BY97" s="301"/>
      <c r="BZ97" s="301"/>
      <c r="CA97" s="301"/>
      <c r="CB97" s="302"/>
      <c r="CC97" s="302"/>
      <c r="CD97" s="302"/>
      <c r="CE97" s="302"/>
      <c r="CF97" s="302"/>
      <c r="CG97" s="302"/>
      <c r="CH97" s="302"/>
      <c r="CI97" s="302"/>
      <c r="CJ97" s="302"/>
      <c r="CK97" s="303"/>
      <c r="CL97" s="303"/>
      <c r="CM97" s="304"/>
      <c r="CN97" s="304"/>
      <c r="CO97" s="304"/>
      <c r="CP97" s="304"/>
      <c r="CQ97" s="304"/>
      <c r="CR97" s="304"/>
      <c r="CS97" s="304"/>
      <c r="CT97" s="304"/>
      <c r="CU97" s="304"/>
      <c r="CV97" s="304"/>
      <c r="CW97" s="304"/>
      <c r="CX97" s="304"/>
      <c r="CY97" s="304"/>
      <c r="DA97" s="6"/>
      <c r="DB97" s="6"/>
    </row>
    <row r="98" spans="34:106" s="143" customFormat="1" ht="18.5" thickTop="1" thickBot="1">
      <c r="AH98" s="87"/>
      <c r="AI98" s="159"/>
      <c r="AJ98" s="298"/>
      <c r="AK98" s="299"/>
      <c r="AL98" s="88"/>
      <c r="AM98" s="291"/>
      <c r="AN98" s="291"/>
      <c r="AO98" s="291"/>
      <c r="AP98" s="291"/>
      <c r="AQ98" s="300"/>
      <c r="AR98" s="300"/>
      <c r="AS98" s="300"/>
      <c r="AT98" s="300"/>
      <c r="AU98" s="300"/>
      <c r="AV98" s="300"/>
      <c r="AW98" s="300"/>
      <c r="AX98" s="300"/>
      <c r="AY98" s="300"/>
      <c r="AZ98" s="300"/>
      <c r="BA98" s="300"/>
      <c r="BB98" s="300"/>
      <c r="BC98" s="300"/>
      <c r="BD98" s="300"/>
      <c r="BE98" s="300"/>
      <c r="BF98" s="300"/>
      <c r="BG98" s="300"/>
      <c r="BH98" s="300"/>
      <c r="BI98" s="300"/>
      <c r="BJ98" s="300"/>
      <c r="BK98" s="300"/>
      <c r="BL98" s="300"/>
      <c r="BM98" s="300"/>
      <c r="BN98" s="300"/>
      <c r="BO98" s="301"/>
      <c r="BP98" s="301"/>
      <c r="BQ98" s="301"/>
      <c r="BR98" s="301"/>
      <c r="BS98" s="301"/>
      <c r="BT98" s="301"/>
      <c r="BU98" s="301"/>
      <c r="BV98" s="301"/>
      <c r="BW98" s="301"/>
      <c r="BX98" s="301"/>
      <c r="BY98" s="301"/>
      <c r="BZ98" s="301"/>
      <c r="CA98" s="301"/>
      <c r="CB98" s="302"/>
      <c r="CC98" s="302"/>
      <c r="CD98" s="302"/>
      <c r="CE98" s="302"/>
      <c r="CF98" s="302"/>
      <c r="CG98" s="302"/>
      <c r="CH98" s="302"/>
      <c r="CI98" s="302"/>
      <c r="CJ98" s="302"/>
      <c r="CK98" s="303"/>
      <c r="CL98" s="303"/>
      <c r="CM98" s="304"/>
      <c r="CN98" s="304"/>
      <c r="CO98" s="304"/>
      <c r="CP98" s="304"/>
      <c r="CQ98" s="304"/>
      <c r="CR98" s="304"/>
      <c r="CS98" s="304"/>
      <c r="CT98" s="304"/>
      <c r="CU98" s="304"/>
      <c r="CV98" s="304"/>
      <c r="CW98" s="304"/>
      <c r="CX98" s="304"/>
      <c r="CY98" s="304"/>
      <c r="DA98" s="6"/>
      <c r="DB98" s="6"/>
    </row>
    <row r="99" spans="34:106" s="143" customFormat="1" ht="18.5" thickTop="1" thickBot="1">
      <c r="AH99" s="87"/>
      <c r="AI99" s="159"/>
      <c r="AJ99" s="298"/>
      <c r="AK99" s="299"/>
      <c r="AL99" s="88"/>
      <c r="AM99" s="291"/>
      <c r="AN99" s="291"/>
      <c r="AO99" s="291"/>
      <c r="AP99" s="291"/>
      <c r="AQ99" s="300"/>
      <c r="AR99" s="300"/>
      <c r="AS99" s="300"/>
      <c r="AT99" s="300"/>
      <c r="AU99" s="300"/>
      <c r="AV99" s="300"/>
      <c r="AW99" s="300"/>
      <c r="AX99" s="300"/>
      <c r="AY99" s="300"/>
      <c r="AZ99" s="300"/>
      <c r="BA99" s="300"/>
      <c r="BB99" s="300"/>
      <c r="BC99" s="300"/>
      <c r="BD99" s="300"/>
      <c r="BE99" s="300"/>
      <c r="BF99" s="300"/>
      <c r="BG99" s="300"/>
      <c r="BH99" s="300"/>
      <c r="BI99" s="300"/>
      <c r="BJ99" s="300"/>
      <c r="BK99" s="300"/>
      <c r="BL99" s="300"/>
      <c r="BM99" s="300"/>
      <c r="BN99" s="300"/>
      <c r="BO99" s="301"/>
      <c r="BP99" s="301"/>
      <c r="BQ99" s="301"/>
      <c r="BR99" s="301"/>
      <c r="BS99" s="301"/>
      <c r="BT99" s="301"/>
      <c r="BU99" s="301"/>
      <c r="BV99" s="301"/>
      <c r="BW99" s="301"/>
      <c r="BX99" s="301"/>
      <c r="BY99" s="301"/>
      <c r="BZ99" s="301"/>
      <c r="CA99" s="301"/>
      <c r="CB99" s="302"/>
      <c r="CC99" s="302"/>
      <c r="CD99" s="302"/>
      <c r="CE99" s="302"/>
      <c r="CF99" s="302"/>
      <c r="CG99" s="302"/>
      <c r="CH99" s="302"/>
      <c r="CI99" s="302"/>
      <c r="CJ99" s="302"/>
      <c r="CK99" s="303"/>
      <c r="CL99" s="303"/>
      <c r="CM99" s="304"/>
      <c r="CN99" s="304"/>
      <c r="CO99" s="304"/>
      <c r="CP99" s="304"/>
      <c r="CQ99" s="304"/>
      <c r="CR99" s="304"/>
      <c r="CS99" s="304"/>
      <c r="CT99" s="304"/>
      <c r="CU99" s="304"/>
      <c r="CV99" s="304"/>
      <c r="CW99" s="304"/>
      <c r="CX99" s="304"/>
      <c r="CY99" s="304"/>
      <c r="DA99" s="6"/>
      <c r="DB99" s="6"/>
    </row>
    <row r="100" spans="34:106" s="143" customFormat="1" ht="18.5" thickTop="1" thickBot="1">
      <c r="AH100" s="87"/>
      <c r="AI100" s="159"/>
      <c r="AJ100" s="298"/>
      <c r="AK100" s="299"/>
      <c r="AL100" s="88"/>
      <c r="AM100" s="291"/>
      <c r="AN100" s="291"/>
      <c r="AO100" s="291"/>
      <c r="AP100" s="291"/>
      <c r="AQ100" s="300"/>
      <c r="AR100" s="300"/>
      <c r="AS100" s="300"/>
      <c r="AT100" s="300"/>
      <c r="AU100" s="300"/>
      <c r="AV100" s="300"/>
      <c r="AW100" s="300"/>
      <c r="AX100" s="300"/>
      <c r="AY100" s="300"/>
      <c r="AZ100" s="300"/>
      <c r="BA100" s="300"/>
      <c r="BB100" s="300"/>
      <c r="BC100" s="300"/>
      <c r="BD100" s="300"/>
      <c r="BE100" s="300"/>
      <c r="BF100" s="300"/>
      <c r="BG100" s="300"/>
      <c r="BH100" s="300"/>
      <c r="BI100" s="300"/>
      <c r="BJ100" s="300"/>
      <c r="BK100" s="300"/>
      <c r="BL100" s="300"/>
      <c r="BM100" s="300"/>
      <c r="BN100" s="300"/>
      <c r="BO100" s="301"/>
      <c r="BP100" s="301"/>
      <c r="BQ100" s="301"/>
      <c r="BR100" s="301"/>
      <c r="BS100" s="301"/>
      <c r="BT100" s="301"/>
      <c r="BU100" s="301"/>
      <c r="BV100" s="301"/>
      <c r="BW100" s="301"/>
      <c r="BX100" s="301"/>
      <c r="BY100" s="301"/>
      <c r="BZ100" s="301"/>
      <c r="CA100" s="301"/>
      <c r="CB100" s="302"/>
      <c r="CC100" s="302"/>
      <c r="CD100" s="302"/>
      <c r="CE100" s="302"/>
      <c r="CF100" s="302"/>
      <c r="CG100" s="302"/>
      <c r="CH100" s="302"/>
      <c r="CI100" s="302"/>
      <c r="CJ100" s="302"/>
      <c r="CK100" s="303"/>
      <c r="CL100" s="303"/>
      <c r="CM100" s="304"/>
      <c r="CN100" s="304"/>
      <c r="CO100" s="304"/>
      <c r="CP100" s="304"/>
      <c r="CQ100" s="304"/>
      <c r="CR100" s="304"/>
      <c r="CS100" s="304"/>
      <c r="CT100" s="304"/>
      <c r="CU100" s="304"/>
      <c r="CV100" s="304"/>
      <c r="CW100" s="304"/>
      <c r="CX100" s="304"/>
      <c r="CY100" s="304"/>
      <c r="DA100" s="6"/>
      <c r="DB100" s="6"/>
    </row>
    <row r="101" spans="34:106" s="143" customFormat="1" ht="18.5" thickTop="1" thickBot="1">
      <c r="AH101" s="87"/>
      <c r="AI101" s="159"/>
      <c r="AJ101" s="298"/>
      <c r="AK101" s="299"/>
      <c r="AL101" s="88"/>
      <c r="AM101" s="291"/>
      <c r="AN101" s="291"/>
      <c r="AO101" s="291"/>
      <c r="AP101" s="291"/>
      <c r="AQ101" s="300"/>
      <c r="AR101" s="300"/>
      <c r="AS101" s="300"/>
      <c r="AT101" s="300"/>
      <c r="AU101" s="300"/>
      <c r="AV101" s="300"/>
      <c r="AW101" s="300"/>
      <c r="AX101" s="300"/>
      <c r="AY101" s="300"/>
      <c r="AZ101" s="300"/>
      <c r="BA101" s="300"/>
      <c r="BB101" s="300"/>
      <c r="BC101" s="300"/>
      <c r="BD101" s="300"/>
      <c r="BE101" s="300"/>
      <c r="BF101" s="300"/>
      <c r="BG101" s="300"/>
      <c r="BH101" s="300"/>
      <c r="BI101" s="300"/>
      <c r="BJ101" s="300"/>
      <c r="BK101" s="300"/>
      <c r="BL101" s="300"/>
      <c r="BM101" s="300"/>
      <c r="BN101" s="300"/>
      <c r="BO101" s="301"/>
      <c r="BP101" s="301"/>
      <c r="BQ101" s="301"/>
      <c r="BR101" s="301"/>
      <c r="BS101" s="301"/>
      <c r="BT101" s="301"/>
      <c r="BU101" s="301"/>
      <c r="BV101" s="301"/>
      <c r="BW101" s="301"/>
      <c r="BX101" s="301"/>
      <c r="BY101" s="301"/>
      <c r="BZ101" s="301"/>
      <c r="CA101" s="301"/>
      <c r="CB101" s="302"/>
      <c r="CC101" s="302"/>
      <c r="CD101" s="302"/>
      <c r="CE101" s="302"/>
      <c r="CF101" s="302"/>
      <c r="CG101" s="302"/>
      <c r="CH101" s="302"/>
      <c r="CI101" s="302"/>
      <c r="CJ101" s="302"/>
      <c r="CK101" s="303"/>
      <c r="CL101" s="303"/>
      <c r="CM101" s="304"/>
      <c r="CN101" s="304"/>
      <c r="CO101" s="304"/>
      <c r="CP101" s="304"/>
      <c r="CQ101" s="304"/>
      <c r="CR101" s="304"/>
      <c r="CS101" s="304"/>
      <c r="CT101" s="304"/>
      <c r="CU101" s="304"/>
      <c r="CV101" s="304"/>
      <c r="CW101" s="304"/>
      <c r="CX101" s="304"/>
      <c r="CY101" s="304"/>
      <c r="DA101" s="6"/>
      <c r="DB101" s="6"/>
    </row>
    <row r="102" spans="34:106" s="143" customFormat="1" ht="18.5" thickTop="1" thickBot="1">
      <c r="AH102" s="87"/>
      <c r="AI102" s="159"/>
      <c r="AJ102" s="298"/>
      <c r="AK102" s="299"/>
      <c r="AL102" s="88"/>
      <c r="AM102" s="291"/>
      <c r="AN102" s="291"/>
      <c r="AO102" s="291"/>
      <c r="AP102" s="291"/>
      <c r="AQ102" s="300"/>
      <c r="AR102" s="300"/>
      <c r="AS102" s="300"/>
      <c r="AT102" s="300"/>
      <c r="AU102" s="300"/>
      <c r="AV102" s="300"/>
      <c r="AW102" s="300"/>
      <c r="AX102" s="300"/>
      <c r="AY102" s="300"/>
      <c r="AZ102" s="300"/>
      <c r="BA102" s="300"/>
      <c r="BB102" s="300"/>
      <c r="BC102" s="300"/>
      <c r="BD102" s="300"/>
      <c r="BE102" s="300"/>
      <c r="BF102" s="300"/>
      <c r="BG102" s="300"/>
      <c r="BH102" s="300"/>
      <c r="BI102" s="300"/>
      <c r="BJ102" s="300"/>
      <c r="BK102" s="300"/>
      <c r="BL102" s="300"/>
      <c r="BM102" s="300"/>
      <c r="BN102" s="300"/>
      <c r="BO102" s="301"/>
      <c r="BP102" s="301"/>
      <c r="BQ102" s="301"/>
      <c r="BR102" s="301"/>
      <c r="BS102" s="301"/>
      <c r="BT102" s="301"/>
      <c r="BU102" s="301"/>
      <c r="BV102" s="301"/>
      <c r="BW102" s="301"/>
      <c r="BX102" s="301"/>
      <c r="BY102" s="301"/>
      <c r="BZ102" s="301"/>
      <c r="CA102" s="301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3"/>
      <c r="CL102" s="303"/>
      <c r="CM102" s="304"/>
      <c r="CN102" s="304"/>
      <c r="CO102" s="304"/>
      <c r="CP102" s="304"/>
      <c r="CQ102" s="304"/>
      <c r="CR102" s="304"/>
      <c r="CS102" s="304"/>
      <c r="CT102" s="304"/>
      <c r="CU102" s="304"/>
      <c r="CV102" s="304"/>
      <c r="CW102" s="304"/>
      <c r="CX102" s="304"/>
      <c r="CY102" s="304"/>
      <c r="DA102" s="6"/>
      <c r="DB102" s="6"/>
    </row>
    <row r="103" spans="34:106" s="143" customFormat="1" ht="18.5" thickTop="1" thickBot="1">
      <c r="AH103" s="87"/>
      <c r="AI103" s="159"/>
      <c r="AJ103" s="298"/>
      <c r="AK103" s="299"/>
      <c r="AL103" s="88"/>
      <c r="AM103" s="291"/>
      <c r="AN103" s="291"/>
      <c r="AO103" s="291"/>
      <c r="AP103" s="291"/>
      <c r="AQ103" s="300"/>
      <c r="AR103" s="300"/>
      <c r="AS103" s="300"/>
      <c r="AT103" s="300"/>
      <c r="AU103" s="300"/>
      <c r="AV103" s="300"/>
      <c r="AW103" s="300"/>
      <c r="AX103" s="300"/>
      <c r="AY103" s="300"/>
      <c r="AZ103" s="300"/>
      <c r="BA103" s="300"/>
      <c r="BB103" s="300"/>
      <c r="BC103" s="300"/>
      <c r="BD103" s="300"/>
      <c r="BE103" s="300"/>
      <c r="BF103" s="300"/>
      <c r="BG103" s="300"/>
      <c r="BH103" s="300"/>
      <c r="BI103" s="300"/>
      <c r="BJ103" s="300"/>
      <c r="BK103" s="300"/>
      <c r="BL103" s="300"/>
      <c r="BM103" s="300"/>
      <c r="BN103" s="300"/>
      <c r="BO103" s="301"/>
      <c r="BP103" s="301"/>
      <c r="BQ103" s="301"/>
      <c r="BR103" s="301"/>
      <c r="BS103" s="301"/>
      <c r="BT103" s="301"/>
      <c r="BU103" s="301"/>
      <c r="BV103" s="301"/>
      <c r="BW103" s="301"/>
      <c r="BX103" s="301"/>
      <c r="BY103" s="301"/>
      <c r="BZ103" s="301"/>
      <c r="CA103" s="301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3"/>
      <c r="CL103" s="303"/>
      <c r="CM103" s="304"/>
      <c r="CN103" s="304"/>
      <c r="CO103" s="304"/>
      <c r="CP103" s="304"/>
      <c r="CQ103" s="304"/>
      <c r="CR103" s="304"/>
      <c r="CS103" s="304"/>
      <c r="CT103" s="304"/>
      <c r="CU103" s="304"/>
      <c r="CV103" s="304"/>
      <c r="CW103" s="304"/>
      <c r="CX103" s="304"/>
      <c r="CY103" s="304"/>
      <c r="DA103" s="6"/>
      <c r="DB103" s="6"/>
    </row>
    <row r="104" spans="34:106" s="143" customFormat="1" ht="18.5" thickTop="1" thickBot="1">
      <c r="AH104" s="87"/>
      <c r="AI104" s="159"/>
      <c r="AJ104" s="298"/>
      <c r="AK104" s="299"/>
      <c r="AL104" s="88"/>
      <c r="AM104" s="291"/>
      <c r="AN104" s="291"/>
      <c r="AO104" s="291"/>
      <c r="AP104" s="291"/>
      <c r="AQ104" s="300"/>
      <c r="AR104" s="300"/>
      <c r="AS104" s="300"/>
      <c r="AT104" s="300"/>
      <c r="AU104" s="300"/>
      <c r="AV104" s="300"/>
      <c r="AW104" s="300"/>
      <c r="AX104" s="300"/>
      <c r="AY104" s="300"/>
      <c r="AZ104" s="300"/>
      <c r="BA104" s="300"/>
      <c r="BB104" s="300"/>
      <c r="BC104" s="300"/>
      <c r="BD104" s="300"/>
      <c r="BE104" s="300"/>
      <c r="BF104" s="300"/>
      <c r="BG104" s="300"/>
      <c r="BH104" s="300"/>
      <c r="BI104" s="300"/>
      <c r="BJ104" s="300"/>
      <c r="BK104" s="300"/>
      <c r="BL104" s="300"/>
      <c r="BM104" s="300"/>
      <c r="BN104" s="300"/>
      <c r="BO104" s="301"/>
      <c r="BP104" s="301"/>
      <c r="BQ104" s="301"/>
      <c r="BR104" s="301"/>
      <c r="BS104" s="301"/>
      <c r="BT104" s="301"/>
      <c r="BU104" s="301"/>
      <c r="BV104" s="301"/>
      <c r="BW104" s="301"/>
      <c r="BX104" s="301"/>
      <c r="BY104" s="301"/>
      <c r="BZ104" s="301"/>
      <c r="CA104" s="301"/>
      <c r="CB104" s="302"/>
      <c r="CC104" s="302"/>
      <c r="CD104" s="302"/>
      <c r="CE104" s="302"/>
      <c r="CF104" s="302"/>
      <c r="CG104" s="302"/>
      <c r="CH104" s="302"/>
      <c r="CI104" s="302"/>
      <c r="CJ104" s="302"/>
      <c r="CK104" s="303"/>
      <c r="CL104" s="303"/>
      <c r="CM104" s="304"/>
      <c r="CN104" s="304"/>
      <c r="CO104" s="304"/>
      <c r="CP104" s="304"/>
      <c r="CQ104" s="304"/>
      <c r="CR104" s="304"/>
      <c r="CS104" s="304"/>
      <c r="CT104" s="304"/>
      <c r="CU104" s="304"/>
      <c r="CV104" s="304"/>
      <c r="CW104" s="304"/>
      <c r="CX104" s="304"/>
      <c r="CY104" s="304"/>
      <c r="DA104" s="6"/>
      <c r="DB104" s="6"/>
    </row>
    <row r="105" spans="34:106" s="143" customFormat="1" ht="18.5" thickTop="1" thickBot="1">
      <c r="AH105" s="87"/>
      <c r="AI105" s="159"/>
      <c r="AJ105" s="298"/>
      <c r="AK105" s="299"/>
      <c r="AL105" s="88"/>
      <c r="AM105" s="291"/>
      <c r="AN105" s="291"/>
      <c r="AO105" s="291"/>
      <c r="AP105" s="291"/>
      <c r="AQ105" s="300"/>
      <c r="AR105" s="300"/>
      <c r="AS105" s="300"/>
      <c r="AT105" s="300"/>
      <c r="AU105" s="300"/>
      <c r="AV105" s="300"/>
      <c r="AW105" s="300"/>
      <c r="AX105" s="300"/>
      <c r="AY105" s="300"/>
      <c r="AZ105" s="300"/>
      <c r="BA105" s="300"/>
      <c r="BB105" s="300"/>
      <c r="BC105" s="300"/>
      <c r="BD105" s="300"/>
      <c r="BE105" s="300"/>
      <c r="BF105" s="300"/>
      <c r="BG105" s="300"/>
      <c r="BH105" s="300"/>
      <c r="BI105" s="300"/>
      <c r="BJ105" s="300"/>
      <c r="BK105" s="300"/>
      <c r="BL105" s="300"/>
      <c r="BM105" s="300"/>
      <c r="BN105" s="300"/>
      <c r="BO105" s="301"/>
      <c r="BP105" s="301"/>
      <c r="BQ105" s="301"/>
      <c r="BR105" s="301"/>
      <c r="BS105" s="301"/>
      <c r="BT105" s="301"/>
      <c r="BU105" s="301"/>
      <c r="BV105" s="301"/>
      <c r="BW105" s="301"/>
      <c r="BX105" s="301"/>
      <c r="BY105" s="301"/>
      <c r="BZ105" s="301"/>
      <c r="CA105" s="301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3"/>
      <c r="CL105" s="303"/>
      <c r="CM105" s="304"/>
      <c r="CN105" s="304"/>
      <c r="CO105" s="304"/>
      <c r="CP105" s="304"/>
      <c r="CQ105" s="304"/>
      <c r="CR105" s="304"/>
      <c r="CS105" s="304"/>
      <c r="CT105" s="304"/>
      <c r="CU105" s="304"/>
      <c r="CV105" s="304"/>
      <c r="CW105" s="304"/>
      <c r="CX105" s="304"/>
      <c r="CY105" s="304"/>
      <c r="DA105" s="6"/>
      <c r="DB105" s="6"/>
    </row>
    <row r="106" spans="34:106" s="143" customFormat="1" ht="18.5" thickTop="1" thickBot="1">
      <c r="AH106" s="87"/>
      <c r="AI106" s="159"/>
      <c r="AJ106" s="298"/>
      <c r="AK106" s="299"/>
      <c r="AL106" s="88"/>
      <c r="AM106" s="291"/>
      <c r="AN106" s="291"/>
      <c r="AO106" s="291"/>
      <c r="AP106" s="291"/>
      <c r="AQ106" s="300"/>
      <c r="AR106" s="300"/>
      <c r="AS106" s="300"/>
      <c r="AT106" s="300"/>
      <c r="AU106" s="300"/>
      <c r="AV106" s="300"/>
      <c r="AW106" s="300"/>
      <c r="AX106" s="300"/>
      <c r="AY106" s="300"/>
      <c r="AZ106" s="300"/>
      <c r="BA106" s="300"/>
      <c r="BB106" s="300"/>
      <c r="BC106" s="300"/>
      <c r="BD106" s="300"/>
      <c r="BE106" s="300"/>
      <c r="BF106" s="300"/>
      <c r="BG106" s="300"/>
      <c r="BH106" s="300"/>
      <c r="BI106" s="300"/>
      <c r="BJ106" s="300"/>
      <c r="BK106" s="300"/>
      <c r="BL106" s="300"/>
      <c r="BM106" s="300"/>
      <c r="BN106" s="300"/>
      <c r="BO106" s="301"/>
      <c r="BP106" s="301"/>
      <c r="BQ106" s="301"/>
      <c r="BR106" s="301"/>
      <c r="BS106" s="301"/>
      <c r="BT106" s="301"/>
      <c r="BU106" s="301"/>
      <c r="BV106" s="301"/>
      <c r="BW106" s="301"/>
      <c r="BX106" s="301"/>
      <c r="BY106" s="301"/>
      <c r="BZ106" s="301"/>
      <c r="CA106" s="301"/>
      <c r="CB106" s="159"/>
      <c r="CC106" s="302"/>
      <c r="CD106" s="302"/>
      <c r="CE106" s="302"/>
      <c r="CF106" s="302"/>
      <c r="CG106" s="302"/>
      <c r="CH106" s="302"/>
      <c r="CI106" s="302"/>
      <c r="CJ106" s="302"/>
      <c r="CK106" s="303"/>
      <c r="CL106" s="303"/>
      <c r="CM106" s="304"/>
      <c r="CN106" s="304"/>
      <c r="CO106" s="304"/>
      <c r="CP106" s="304"/>
      <c r="CQ106" s="304"/>
      <c r="CR106" s="304"/>
      <c r="CS106" s="304"/>
      <c r="CT106" s="304"/>
      <c r="CU106" s="304"/>
      <c r="CV106" s="304"/>
      <c r="CW106" s="304"/>
      <c r="CX106" s="304"/>
      <c r="CY106" s="304"/>
      <c r="DA106" s="6"/>
      <c r="DB106" s="6"/>
    </row>
    <row r="107" spans="34:106" s="143" customFormat="1" ht="18.5" thickTop="1" thickBot="1">
      <c r="AH107" s="87"/>
      <c r="AI107" s="159"/>
      <c r="AJ107" s="298"/>
      <c r="AK107" s="299"/>
      <c r="AL107" s="88"/>
      <c r="AM107" s="291"/>
      <c r="AN107" s="291"/>
      <c r="AO107" s="291"/>
      <c r="AP107" s="291"/>
      <c r="AQ107" s="300"/>
      <c r="AR107" s="300"/>
      <c r="AS107" s="300"/>
      <c r="AT107" s="300"/>
      <c r="AU107" s="300"/>
      <c r="AV107" s="300"/>
      <c r="AW107" s="300"/>
      <c r="AX107" s="300"/>
      <c r="AY107" s="300"/>
      <c r="AZ107" s="300"/>
      <c r="BA107" s="300"/>
      <c r="BB107" s="300"/>
      <c r="BC107" s="300"/>
      <c r="BD107" s="300"/>
      <c r="BE107" s="300"/>
      <c r="BF107" s="300"/>
      <c r="BG107" s="300"/>
      <c r="BH107" s="300"/>
      <c r="BI107" s="300"/>
      <c r="BJ107" s="300"/>
      <c r="BK107" s="300"/>
      <c r="BL107" s="300"/>
      <c r="BM107" s="300"/>
      <c r="BN107" s="300"/>
      <c r="BO107" s="301"/>
      <c r="BP107" s="301"/>
      <c r="BQ107" s="301"/>
      <c r="BR107" s="301"/>
      <c r="BS107" s="301"/>
      <c r="BT107" s="301"/>
      <c r="BU107" s="301"/>
      <c r="BV107" s="301"/>
      <c r="BW107" s="301"/>
      <c r="BX107" s="301"/>
      <c r="BY107" s="301"/>
      <c r="BZ107" s="301"/>
      <c r="CA107" s="301"/>
      <c r="CB107" s="302"/>
      <c r="CC107" s="302"/>
      <c r="CD107" s="302"/>
      <c r="CE107" s="302"/>
      <c r="CF107" s="302"/>
      <c r="CG107" s="302"/>
      <c r="CH107" s="302"/>
      <c r="CI107" s="302"/>
      <c r="CJ107" s="302"/>
      <c r="CK107" s="303"/>
      <c r="CL107" s="303"/>
      <c r="CM107" s="304"/>
      <c r="CN107" s="304"/>
      <c r="CO107" s="304"/>
      <c r="CP107" s="304"/>
      <c r="CQ107" s="304"/>
      <c r="CR107" s="304"/>
      <c r="CS107" s="304"/>
      <c r="CT107" s="304"/>
      <c r="CU107" s="304"/>
      <c r="CV107" s="304"/>
      <c r="CW107" s="304"/>
      <c r="CX107" s="304"/>
      <c r="CY107" s="304"/>
      <c r="DA107" s="6"/>
      <c r="DB107" s="6"/>
    </row>
    <row r="108" spans="34:106" s="143" customFormat="1" ht="18.5" thickTop="1" thickBot="1">
      <c r="AH108" s="87"/>
      <c r="AI108" s="330"/>
      <c r="AJ108" s="331"/>
      <c r="AK108" s="289"/>
      <c r="AL108" s="332"/>
      <c r="AM108" s="291"/>
      <c r="AN108" s="291"/>
      <c r="AO108" s="291"/>
      <c r="AP108" s="291"/>
      <c r="AQ108" s="292"/>
      <c r="AR108" s="292"/>
      <c r="AS108" s="292"/>
      <c r="AT108" s="292"/>
      <c r="AU108" s="292"/>
      <c r="AV108" s="292"/>
      <c r="AW108" s="292"/>
      <c r="AX108" s="292"/>
      <c r="AY108" s="292"/>
      <c r="AZ108" s="292"/>
      <c r="BA108" s="292"/>
      <c r="BB108" s="292"/>
      <c r="BC108" s="292"/>
      <c r="BD108" s="292"/>
      <c r="BE108" s="292"/>
      <c r="BF108" s="292"/>
      <c r="BG108" s="292"/>
      <c r="BH108" s="292"/>
      <c r="BI108" s="292"/>
      <c r="BJ108" s="292"/>
      <c r="BK108" s="292"/>
      <c r="BL108" s="292"/>
      <c r="BM108" s="292"/>
      <c r="BN108" s="292"/>
      <c r="BO108" s="293"/>
      <c r="BP108" s="301"/>
      <c r="BQ108" s="301"/>
      <c r="BR108" s="301"/>
      <c r="BS108" s="301"/>
      <c r="BT108" s="301"/>
      <c r="BU108" s="301"/>
      <c r="BV108" s="301"/>
      <c r="BW108" s="301"/>
      <c r="BX108" s="301"/>
      <c r="BY108" s="301"/>
      <c r="BZ108" s="301"/>
      <c r="CA108" s="301"/>
      <c r="CB108" s="302"/>
      <c r="CC108" s="302"/>
      <c r="CD108" s="302"/>
      <c r="CE108" s="302"/>
      <c r="CF108" s="302"/>
      <c r="CG108" s="302"/>
      <c r="CH108" s="302"/>
      <c r="CI108" s="302"/>
      <c r="CJ108" s="302"/>
      <c r="CK108" s="303"/>
      <c r="CL108" s="303"/>
      <c r="CM108" s="304"/>
      <c r="CN108" s="304"/>
      <c r="CO108" s="304"/>
      <c r="CP108" s="304"/>
      <c r="CQ108" s="304"/>
      <c r="CR108" s="304"/>
      <c r="CS108" s="304"/>
      <c r="CT108" s="304"/>
      <c r="CU108" s="304"/>
      <c r="CV108" s="304"/>
      <c r="CW108" s="304"/>
      <c r="CX108" s="304"/>
      <c r="CY108" s="304"/>
      <c r="DA108" s="6"/>
      <c r="DB108" s="6"/>
    </row>
    <row r="109" spans="34:106" s="143" customFormat="1" ht="18.5" thickTop="1" thickBot="1">
      <c r="AH109" s="87"/>
      <c r="AI109" s="150"/>
      <c r="AJ109" s="298"/>
      <c r="AK109" s="333"/>
      <c r="AL109" s="88"/>
      <c r="AM109" s="291"/>
      <c r="AN109" s="291"/>
      <c r="AO109" s="291"/>
      <c r="AP109" s="291"/>
      <c r="AQ109" s="334"/>
      <c r="AR109" s="334"/>
      <c r="AS109" s="334"/>
      <c r="AT109" s="334"/>
      <c r="AU109" s="334"/>
      <c r="AV109" s="334"/>
      <c r="AW109" s="334"/>
      <c r="AX109" s="334"/>
      <c r="AY109" s="334"/>
      <c r="AZ109" s="334"/>
      <c r="BA109" s="334"/>
      <c r="BB109" s="334"/>
      <c r="BC109" s="334"/>
      <c r="BD109" s="334"/>
      <c r="BE109" s="334"/>
      <c r="BF109" s="334"/>
      <c r="BG109" s="334"/>
      <c r="BH109" s="334"/>
      <c r="BI109" s="334"/>
      <c r="BJ109" s="334"/>
      <c r="BK109" s="334"/>
      <c r="BL109" s="334"/>
      <c r="BM109" s="334"/>
      <c r="BN109" s="334"/>
      <c r="BO109" s="335"/>
      <c r="BP109" s="301"/>
      <c r="BQ109" s="301"/>
      <c r="BR109" s="301"/>
      <c r="BS109" s="301"/>
      <c r="BT109" s="301"/>
      <c r="BU109" s="301"/>
      <c r="BV109" s="301"/>
      <c r="BW109" s="301"/>
      <c r="BX109" s="301"/>
      <c r="BY109" s="301"/>
      <c r="BZ109" s="301"/>
      <c r="CA109" s="301"/>
      <c r="CB109" s="302"/>
      <c r="CC109" s="302"/>
      <c r="CD109" s="302"/>
      <c r="CE109" s="302"/>
      <c r="CF109" s="302"/>
      <c r="CG109" s="302"/>
      <c r="CH109" s="302"/>
      <c r="CI109" s="302"/>
      <c r="CJ109" s="302"/>
      <c r="CK109" s="303"/>
      <c r="CL109" s="303"/>
      <c r="CM109" s="304"/>
      <c r="CN109" s="304"/>
      <c r="CO109" s="304"/>
      <c r="CP109" s="304"/>
      <c r="CQ109" s="304"/>
      <c r="CR109" s="304"/>
      <c r="CS109" s="304"/>
      <c r="CT109" s="304"/>
      <c r="CU109" s="304"/>
      <c r="CV109" s="304"/>
      <c r="CW109" s="304"/>
      <c r="CX109" s="304"/>
      <c r="CY109" s="304"/>
      <c r="DA109" s="6"/>
      <c r="DB109" s="6"/>
    </row>
    <row r="110" spans="34:106" s="143" customFormat="1" ht="18.5" thickTop="1" thickBot="1">
      <c r="AH110" s="87"/>
      <c r="AI110" s="159"/>
      <c r="AJ110" s="298"/>
      <c r="AK110" s="299"/>
      <c r="AL110" s="88"/>
      <c r="AM110" s="291"/>
      <c r="AN110" s="291"/>
      <c r="AO110" s="291"/>
      <c r="AP110" s="291"/>
      <c r="AQ110" s="300"/>
      <c r="AR110" s="300"/>
      <c r="AS110" s="300"/>
      <c r="AT110" s="300"/>
      <c r="AU110" s="300"/>
      <c r="AV110" s="300"/>
      <c r="AW110" s="300"/>
      <c r="AX110" s="300"/>
      <c r="AY110" s="300"/>
      <c r="AZ110" s="300"/>
      <c r="BA110" s="300"/>
      <c r="BB110" s="300"/>
      <c r="BC110" s="300"/>
      <c r="BD110" s="300"/>
      <c r="BE110" s="300"/>
      <c r="BF110" s="300"/>
      <c r="BG110" s="300"/>
      <c r="BH110" s="300"/>
      <c r="BI110" s="300"/>
      <c r="BJ110" s="300"/>
      <c r="BK110" s="300"/>
      <c r="BL110" s="300"/>
      <c r="BM110" s="300"/>
      <c r="BN110" s="300"/>
      <c r="BO110" s="301"/>
      <c r="BP110" s="301"/>
      <c r="BQ110" s="301"/>
      <c r="BR110" s="301"/>
      <c r="BS110" s="301"/>
      <c r="BT110" s="301"/>
      <c r="BU110" s="301"/>
      <c r="BV110" s="301"/>
      <c r="BW110" s="301"/>
      <c r="BX110" s="301"/>
      <c r="BY110" s="301"/>
      <c r="BZ110" s="301"/>
      <c r="CA110" s="301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3"/>
      <c r="CL110" s="303"/>
      <c r="CM110" s="304"/>
      <c r="CN110" s="304"/>
      <c r="CO110" s="304"/>
      <c r="CP110" s="304"/>
      <c r="CQ110" s="304"/>
      <c r="CR110" s="304"/>
      <c r="CS110" s="304"/>
      <c r="CT110" s="304"/>
      <c r="CU110" s="304"/>
      <c r="CV110" s="304"/>
      <c r="CW110" s="304"/>
      <c r="CX110" s="304"/>
      <c r="CY110" s="304"/>
      <c r="DA110" s="6"/>
      <c r="DB110" s="6"/>
    </row>
    <row r="111" spans="34:106" s="143" customFormat="1" ht="18.5" thickTop="1" thickBot="1">
      <c r="AH111" s="87"/>
      <c r="AI111" s="159"/>
      <c r="AJ111" s="298"/>
      <c r="AK111" s="299"/>
      <c r="AL111" s="88"/>
      <c r="AM111" s="291"/>
      <c r="AN111" s="291"/>
      <c r="AO111" s="291"/>
      <c r="AP111" s="291"/>
      <c r="AQ111" s="300"/>
      <c r="AR111" s="300"/>
      <c r="AS111" s="300"/>
      <c r="AT111" s="300"/>
      <c r="AU111" s="300"/>
      <c r="AV111" s="300"/>
      <c r="AW111" s="300"/>
      <c r="AX111" s="300"/>
      <c r="AY111" s="300"/>
      <c r="AZ111" s="300"/>
      <c r="BA111" s="300"/>
      <c r="BB111" s="300"/>
      <c r="BC111" s="300"/>
      <c r="BD111" s="300"/>
      <c r="BE111" s="300"/>
      <c r="BF111" s="300"/>
      <c r="BG111" s="300"/>
      <c r="BH111" s="300"/>
      <c r="BI111" s="300"/>
      <c r="BJ111" s="300"/>
      <c r="BK111" s="300"/>
      <c r="BL111" s="300"/>
      <c r="BM111" s="300"/>
      <c r="BN111" s="300"/>
      <c r="BO111" s="301"/>
      <c r="BP111" s="301"/>
      <c r="BQ111" s="301"/>
      <c r="BR111" s="301"/>
      <c r="BS111" s="301"/>
      <c r="BT111" s="301"/>
      <c r="BU111" s="301"/>
      <c r="BV111" s="301"/>
      <c r="BW111" s="301"/>
      <c r="BX111" s="301"/>
      <c r="BY111" s="301"/>
      <c r="BZ111" s="301"/>
      <c r="CA111" s="301"/>
      <c r="CB111" s="302"/>
      <c r="CC111" s="302"/>
      <c r="CD111" s="302"/>
      <c r="CE111" s="302"/>
      <c r="CF111" s="302"/>
      <c r="CG111" s="302"/>
      <c r="CH111" s="302"/>
      <c r="CI111" s="302"/>
      <c r="CJ111" s="302"/>
      <c r="CK111" s="303"/>
      <c r="CL111" s="303"/>
      <c r="CM111" s="304"/>
      <c r="CN111" s="304"/>
      <c r="CO111" s="304"/>
      <c r="CP111" s="304"/>
      <c r="CQ111" s="304"/>
      <c r="CR111" s="304"/>
      <c r="CS111" s="304"/>
      <c r="CT111" s="304"/>
      <c r="CU111" s="304"/>
      <c r="CV111" s="304"/>
      <c r="CW111" s="304"/>
      <c r="CX111" s="304"/>
      <c r="CY111" s="304"/>
      <c r="DA111" s="6"/>
      <c r="DB111" s="6"/>
    </row>
    <row r="112" spans="34:106" s="143" customFormat="1" ht="18.5" thickTop="1" thickBot="1">
      <c r="AH112" s="87"/>
      <c r="AI112" s="159"/>
      <c r="AJ112" s="298"/>
      <c r="AK112" s="299"/>
      <c r="AL112" s="88"/>
      <c r="AM112" s="291"/>
      <c r="AN112" s="291"/>
      <c r="AO112" s="291"/>
      <c r="AP112" s="291"/>
      <c r="AQ112" s="300"/>
      <c r="AR112" s="300"/>
      <c r="AS112" s="300"/>
      <c r="AT112" s="300"/>
      <c r="AU112" s="300"/>
      <c r="AV112" s="300"/>
      <c r="AW112" s="300"/>
      <c r="AX112" s="300"/>
      <c r="AY112" s="300"/>
      <c r="AZ112" s="300"/>
      <c r="BA112" s="300"/>
      <c r="BB112" s="300"/>
      <c r="BC112" s="300"/>
      <c r="BD112" s="300"/>
      <c r="BE112" s="300"/>
      <c r="BF112" s="300"/>
      <c r="BG112" s="300"/>
      <c r="BH112" s="300"/>
      <c r="BI112" s="300"/>
      <c r="BJ112" s="300"/>
      <c r="BK112" s="300"/>
      <c r="BL112" s="300"/>
      <c r="BM112" s="300"/>
      <c r="BN112" s="300"/>
      <c r="BO112" s="301"/>
      <c r="BP112" s="301"/>
      <c r="BQ112" s="301"/>
      <c r="BR112" s="301"/>
      <c r="BS112" s="301"/>
      <c r="BT112" s="301"/>
      <c r="BU112" s="301"/>
      <c r="BV112" s="301"/>
      <c r="BW112" s="301"/>
      <c r="BX112" s="301"/>
      <c r="BY112" s="301"/>
      <c r="BZ112" s="301"/>
      <c r="CA112" s="301"/>
      <c r="CB112" s="302"/>
      <c r="CC112" s="302"/>
      <c r="CD112" s="302"/>
      <c r="CE112" s="302"/>
      <c r="CF112" s="302"/>
      <c r="CG112" s="302"/>
      <c r="CH112" s="302"/>
      <c r="CI112" s="302"/>
      <c r="CJ112" s="302"/>
      <c r="CK112" s="303"/>
      <c r="CL112" s="303"/>
      <c r="CM112" s="304"/>
      <c r="CN112" s="304"/>
      <c r="CO112" s="304"/>
      <c r="CP112" s="304"/>
      <c r="CQ112" s="304"/>
      <c r="CR112" s="304"/>
      <c r="CS112" s="304"/>
      <c r="CT112" s="304"/>
      <c r="CU112" s="304"/>
      <c r="CV112" s="304"/>
      <c r="CW112" s="304"/>
      <c r="CX112" s="304"/>
      <c r="CY112" s="304"/>
      <c r="DA112" s="6"/>
      <c r="DB112" s="6"/>
    </row>
    <row r="113" spans="34:106" s="143" customFormat="1" ht="18.5" thickTop="1" thickBot="1">
      <c r="AH113" s="336"/>
      <c r="AI113" s="159"/>
      <c r="AJ113" s="298"/>
      <c r="AK113" s="299"/>
      <c r="AL113" s="337"/>
      <c r="AM113" s="291"/>
      <c r="AN113" s="291"/>
      <c r="AO113" s="291"/>
      <c r="AP113" s="291"/>
      <c r="AQ113" s="300"/>
      <c r="AR113" s="300"/>
      <c r="AS113" s="300"/>
      <c r="AT113" s="300"/>
      <c r="AU113" s="300"/>
      <c r="AV113" s="300"/>
      <c r="AW113" s="300"/>
      <c r="AX113" s="300"/>
      <c r="AY113" s="300"/>
      <c r="AZ113" s="300"/>
      <c r="BA113" s="300"/>
      <c r="BB113" s="300"/>
      <c r="BC113" s="300"/>
      <c r="BD113" s="300"/>
      <c r="BE113" s="300"/>
      <c r="BF113" s="300"/>
      <c r="BG113" s="300"/>
      <c r="BH113" s="300"/>
      <c r="BI113" s="300"/>
      <c r="BJ113" s="300"/>
      <c r="BK113" s="300"/>
      <c r="BL113" s="300"/>
      <c r="BM113" s="300"/>
      <c r="BN113" s="300"/>
      <c r="BO113" s="301"/>
      <c r="BP113" s="301"/>
      <c r="BQ113" s="301"/>
      <c r="BR113" s="301"/>
      <c r="BS113" s="301"/>
      <c r="BT113" s="301"/>
      <c r="BU113" s="301"/>
      <c r="BV113" s="301"/>
      <c r="BW113" s="301"/>
      <c r="BX113" s="301"/>
      <c r="BY113" s="301"/>
      <c r="BZ113" s="301"/>
      <c r="CA113" s="301"/>
      <c r="CB113" s="302"/>
      <c r="CC113" s="302"/>
      <c r="CD113" s="302"/>
      <c r="CE113" s="302"/>
      <c r="CF113" s="302"/>
      <c r="CG113" s="302"/>
      <c r="CH113" s="302"/>
      <c r="CI113" s="302"/>
      <c r="CJ113" s="302"/>
      <c r="CK113" s="303"/>
      <c r="CL113" s="303"/>
      <c r="CM113" s="304"/>
      <c r="CN113" s="304"/>
      <c r="CO113" s="304"/>
      <c r="CP113" s="304"/>
      <c r="CQ113" s="304"/>
      <c r="CR113" s="304"/>
      <c r="CS113" s="304"/>
      <c r="CT113" s="304"/>
      <c r="CU113" s="304"/>
      <c r="CV113" s="304"/>
      <c r="CW113" s="304"/>
      <c r="CX113" s="304"/>
      <c r="CY113" s="304"/>
      <c r="DA113" s="6"/>
      <c r="DB113" s="6"/>
    </row>
    <row r="114" spans="34:106" s="143" customFormat="1" ht="18.5" thickTop="1" thickBot="1">
      <c r="AH114" s="87"/>
      <c r="AI114" s="159"/>
      <c r="AJ114" s="298"/>
      <c r="AK114" s="299"/>
      <c r="AL114" s="88"/>
      <c r="AM114" s="291"/>
      <c r="AN114" s="291"/>
      <c r="AO114" s="291"/>
      <c r="AP114" s="291"/>
      <c r="AQ114" s="300"/>
      <c r="AR114" s="300"/>
      <c r="AS114" s="300"/>
      <c r="AT114" s="300"/>
      <c r="AU114" s="300"/>
      <c r="AV114" s="300"/>
      <c r="AW114" s="300"/>
      <c r="AX114" s="300"/>
      <c r="AY114" s="300"/>
      <c r="AZ114" s="300"/>
      <c r="BA114" s="300"/>
      <c r="BB114" s="300"/>
      <c r="BC114" s="300"/>
      <c r="BD114" s="300"/>
      <c r="BE114" s="300"/>
      <c r="BF114" s="300"/>
      <c r="BG114" s="300"/>
      <c r="BH114" s="300"/>
      <c r="BI114" s="300"/>
      <c r="BJ114" s="300"/>
      <c r="BK114" s="300"/>
      <c r="BL114" s="300"/>
      <c r="BM114" s="300"/>
      <c r="BN114" s="300"/>
      <c r="BO114" s="301"/>
      <c r="BP114" s="301"/>
      <c r="BQ114" s="301"/>
      <c r="BR114" s="301"/>
      <c r="BS114" s="301"/>
      <c r="BT114" s="301"/>
      <c r="BU114" s="301"/>
      <c r="BV114" s="301"/>
      <c r="BW114" s="301"/>
      <c r="BX114" s="301"/>
      <c r="BY114" s="301"/>
      <c r="BZ114" s="301"/>
      <c r="CA114" s="301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3"/>
      <c r="CL114" s="303"/>
      <c r="CM114" s="304"/>
      <c r="CN114" s="304"/>
      <c r="CO114" s="304"/>
      <c r="CP114" s="304"/>
      <c r="CQ114" s="304"/>
      <c r="CR114" s="304"/>
      <c r="CS114" s="304"/>
      <c r="CT114" s="304"/>
      <c r="CU114" s="304"/>
      <c r="CV114" s="304"/>
      <c r="CW114" s="304"/>
      <c r="CX114" s="304"/>
      <c r="CY114" s="304"/>
      <c r="DA114" s="6"/>
      <c r="DB114" s="6"/>
    </row>
    <row r="115" spans="34:106" s="143" customFormat="1" ht="18.5" thickTop="1" thickBot="1">
      <c r="AH115" s="87"/>
      <c r="AI115" s="159"/>
      <c r="AJ115" s="298"/>
      <c r="AK115" s="299"/>
      <c r="AL115" s="88"/>
      <c r="AM115" s="291"/>
      <c r="AN115" s="291"/>
      <c r="AO115" s="291"/>
      <c r="AP115" s="291"/>
      <c r="AQ115" s="300"/>
      <c r="AR115" s="300"/>
      <c r="AS115" s="300"/>
      <c r="AT115" s="300"/>
      <c r="AU115" s="300"/>
      <c r="AV115" s="300"/>
      <c r="AW115" s="300"/>
      <c r="AX115" s="300"/>
      <c r="AY115" s="300"/>
      <c r="AZ115" s="300"/>
      <c r="BA115" s="300"/>
      <c r="BB115" s="300"/>
      <c r="BC115" s="300"/>
      <c r="BD115" s="300"/>
      <c r="BE115" s="300"/>
      <c r="BF115" s="300"/>
      <c r="BG115" s="300"/>
      <c r="BH115" s="300"/>
      <c r="BI115" s="300"/>
      <c r="BJ115" s="300"/>
      <c r="BK115" s="300"/>
      <c r="BL115" s="300"/>
      <c r="BM115" s="300"/>
      <c r="BN115" s="300"/>
      <c r="BO115" s="301"/>
      <c r="BP115" s="301"/>
      <c r="BQ115" s="301"/>
      <c r="BR115" s="301"/>
      <c r="BS115" s="301"/>
      <c r="BT115" s="301"/>
      <c r="BU115" s="301"/>
      <c r="BV115" s="301"/>
      <c r="BW115" s="301"/>
      <c r="BX115" s="301"/>
      <c r="BY115" s="301"/>
      <c r="BZ115" s="301"/>
      <c r="CA115" s="301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3"/>
      <c r="CL115" s="303"/>
      <c r="CM115" s="304"/>
      <c r="CN115" s="304"/>
      <c r="CO115" s="304"/>
      <c r="CP115" s="304"/>
      <c r="CQ115" s="304"/>
      <c r="CR115" s="304"/>
      <c r="CS115" s="304"/>
      <c r="CT115" s="304"/>
      <c r="CU115" s="304"/>
      <c r="CV115" s="304"/>
      <c r="CW115" s="304"/>
      <c r="CX115" s="304"/>
      <c r="CY115" s="304"/>
      <c r="DA115" s="6"/>
      <c r="DB115" s="6"/>
    </row>
    <row r="116" spans="34:106" s="143" customFormat="1" ht="18.5" thickTop="1" thickBot="1">
      <c r="AH116" s="336"/>
      <c r="AI116" s="159"/>
      <c r="AJ116" s="298"/>
      <c r="AK116" s="324"/>
      <c r="AL116" s="337"/>
      <c r="AM116" s="338"/>
      <c r="AN116" s="338"/>
      <c r="AO116" s="338"/>
      <c r="AP116" s="339"/>
      <c r="AQ116" s="325"/>
      <c r="AR116" s="325"/>
      <c r="AS116" s="325"/>
      <c r="AT116" s="325"/>
      <c r="AU116" s="325"/>
      <c r="AV116" s="325"/>
      <c r="AW116" s="325"/>
      <c r="AX116" s="325"/>
      <c r="AY116" s="325"/>
      <c r="AZ116" s="325"/>
      <c r="BA116" s="325"/>
      <c r="BB116" s="325"/>
      <c r="BC116" s="325"/>
      <c r="BD116" s="325"/>
      <c r="BE116" s="325"/>
      <c r="BF116" s="325"/>
      <c r="BG116" s="325"/>
      <c r="BH116" s="325"/>
      <c r="BI116" s="325"/>
      <c r="BJ116" s="325"/>
      <c r="BK116" s="325"/>
      <c r="BL116" s="325"/>
      <c r="BM116" s="325"/>
      <c r="BN116" s="325"/>
      <c r="BO116" s="326"/>
      <c r="BP116" s="326"/>
      <c r="BQ116" s="326"/>
      <c r="BR116" s="326"/>
      <c r="BS116" s="326"/>
      <c r="BT116" s="326"/>
      <c r="BU116" s="326"/>
      <c r="BV116" s="326"/>
      <c r="BW116" s="326"/>
      <c r="BX116" s="326"/>
      <c r="BY116" s="326"/>
      <c r="BZ116" s="326"/>
      <c r="CA116" s="326"/>
      <c r="CB116" s="327"/>
      <c r="CC116" s="327"/>
      <c r="CD116" s="327"/>
      <c r="CE116" s="327"/>
      <c r="CF116" s="327"/>
      <c r="CG116" s="327"/>
      <c r="CH116" s="327"/>
      <c r="CI116" s="327"/>
      <c r="CJ116" s="327"/>
      <c r="CK116" s="328"/>
      <c r="CL116" s="328"/>
      <c r="CM116" s="329"/>
      <c r="CN116" s="329"/>
      <c r="CO116" s="329"/>
      <c r="CP116" s="329"/>
      <c r="CQ116" s="329"/>
      <c r="CR116" s="329"/>
      <c r="CS116" s="329"/>
      <c r="CT116" s="329"/>
      <c r="CU116" s="329"/>
      <c r="CV116" s="329"/>
      <c r="CW116" s="329"/>
      <c r="CX116" s="329"/>
      <c r="CY116" s="329"/>
      <c r="DA116" s="6"/>
      <c r="DB116" s="6"/>
    </row>
    <row r="117" spans="34:106" s="143" customFormat="1" ht="18.5" thickTop="1" thickBot="1">
      <c r="AH117" s="87"/>
      <c r="AI117" s="323"/>
      <c r="AJ117" s="298"/>
      <c r="AK117" s="324"/>
      <c r="AL117" s="246"/>
      <c r="AM117" s="339"/>
      <c r="AN117" s="339"/>
      <c r="AO117" s="339"/>
      <c r="AP117" s="339"/>
      <c r="AQ117" s="340"/>
      <c r="AR117" s="325"/>
      <c r="AS117" s="325"/>
      <c r="AT117" s="325"/>
      <c r="AU117" s="325"/>
      <c r="AV117" s="325"/>
      <c r="AW117" s="325"/>
      <c r="AX117" s="325"/>
      <c r="AY117" s="325"/>
      <c r="AZ117" s="325"/>
      <c r="BA117" s="325"/>
      <c r="BB117" s="325"/>
      <c r="BC117" s="325"/>
      <c r="BD117" s="325"/>
      <c r="BE117" s="325"/>
      <c r="BF117" s="325"/>
      <c r="BG117" s="325"/>
      <c r="BH117" s="325"/>
      <c r="BI117" s="325"/>
      <c r="BJ117" s="325"/>
      <c r="BK117" s="325"/>
      <c r="BL117" s="325"/>
      <c r="BM117" s="325"/>
      <c r="BN117" s="325"/>
      <c r="BO117" s="326"/>
      <c r="BP117" s="326"/>
      <c r="BQ117" s="326"/>
      <c r="BR117" s="326"/>
      <c r="BS117" s="326"/>
      <c r="BT117" s="326"/>
      <c r="BU117" s="326"/>
      <c r="BV117" s="326"/>
      <c r="BW117" s="326"/>
      <c r="BX117" s="326"/>
      <c r="BY117" s="326"/>
      <c r="BZ117" s="326"/>
      <c r="CA117" s="326"/>
      <c r="CB117" s="327"/>
      <c r="CC117" s="327"/>
      <c r="CD117" s="327"/>
      <c r="CE117" s="327"/>
      <c r="CF117" s="327"/>
      <c r="CG117" s="327"/>
      <c r="CH117" s="327"/>
      <c r="CI117" s="327"/>
      <c r="CJ117" s="327"/>
      <c r="CK117" s="328"/>
      <c r="CL117" s="328"/>
      <c r="CM117" s="329"/>
      <c r="CN117" s="329"/>
      <c r="CO117" s="329"/>
      <c r="CP117" s="329"/>
      <c r="CQ117" s="329"/>
      <c r="CR117" s="329"/>
      <c r="CS117" s="329"/>
      <c r="CT117" s="329"/>
      <c r="CU117" s="329"/>
      <c r="CV117" s="329"/>
      <c r="CW117" s="329"/>
      <c r="CX117" s="329"/>
      <c r="CY117" s="329"/>
      <c r="DA117" s="6"/>
      <c r="DB117" s="6"/>
    </row>
    <row r="118" spans="34:106" s="143" customFormat="1" ht="18.5" thickTop="1" thickBot="1">
      <c r="AH118" s="256"/>
      <c r="AI118" s="257"/>
      <c r="AJ118" s="258"/>
      <c r="AK118" s="341"/>
      <c r="AL118" s="259"/>
      <c r="AM118" s="342"/>
      <c r="AN118" s="342"/>
      <c r="AO118" s="342"/>
      <c r="AP118" s="342"/>
      <c r="AQ118" s="343"/>
      <c r="AR118" s="343"/>
      <c r="AS118" s="343"/>
      <c r="AT118" s="343"/>
      <c r="AU118" s="343"/>
      <c r="AV118" s="343"/>
      <c r="AW118" s="343"/>
      <c r="AX118" s="343"/>
      <c r="AY118" s="343"/>
      <c r="AZ118" s="343"/>
      <c r="BA118" s="343"/>
      <c r="BB118" s="344"/>
      <c r="BC118" s="344"/>
      <c r="BD118" s="344"/>
      <c r="BE118" s="344"/>
      <c r="BF118" s="344"/>
      <c r="BG118" s="344"/>
      <c r="BH118" s="344"/>
      <c r="BI118" s="344"/>
      <c r="BJ118" s="345"/>
      <c r="BK118" s="344"/>
      <c r="BL118" s="344"/>
      <c r="BM118" s="344"/>
      <c r="BN118" s="344"/>
      <c r="BO118" s="344"/>
      <c r="BP118" s="344"/>
      <c r="BQ118" s="344"/>
      <c r="BR118" s="344"/>
      <c r="BS118" s="344"/>
      <c r="BT118" s="344"/>
      <c r="BU118" s="344"/>
      <c r="BV118" s="344"/>
      <c r="BW118" s="344"/>
      <c r="BX118" s="344"/>
      <c r="BY118" s="344"/>
      <c r="BZ118" s="344"/>
      <c r="CA118" s="344"/>
      <c r="CB118" s="346"/>
      <c r="CC118" s="346"/>
      <c r="CD118" s="346"/>
      <c r="CE118" s="346"/>
      <c r="CF118" s="346"/>
      <c r="CG118" s="346"/>
      <c r="CH118" s="346"/>
      <c r="CI118" s="346"/>
      <c r="CJ118" s="346"/>
      <c r="CK118" s="347"/>
      <c r="CL118" s="347"/>
      <c r="CM118" s="348"/>
      <c r="CN118" s="348"/>
      <c r="CO118" s="348"/>
      <c r="CP118" s="348"/>
      <c r="CQ118" s="348"/>
      <c r="CR118" s="348"/>
      <c r="CS118" s="348"/>
      <c r="CT118" s="348"/>
      <c r="CU118" s="348"/>
      <c r="CV118" s="348"/>
      <c r="CW118" s="348"/>
      <c r="CX118" s="349"/>
      <c r="CY118" s="349"/>
      <c r="DA118" s="6"/>
      <c r="DB118" s="6"/>
    </row>
    <row r="119" spans="34:106" s="143" customFormat="1" ht="18.5" thickTop="1" thickBot="1">
      <c r="AH119" s="256"/>
      <c r="AI119" s="265"/>
      <c r="AJ119" s="266"/>
      <c r="AK119" s="350"/>
      <c r="AL119" s="267"/>
      <c r="AM119" s="351"/>
      <c r="AN119" s="351"/>
      <c r="AO119" s="351"/>
      <c r="AP119" s="351"/>
      <c r="AQ119" s="352"/>
      <c r="AR119" s="352"/>
      <c r="AS119" s="352"/>
      <c r="AT119" s="352"/>
      <c r="AU119" s="352"/>
      <c r="AV119" s="352"/>
      <c r="AW119" s="352"/>
      <c r="AX119" s="352"/>
      <c r="AY119" s="352"/>
      <c r="AZ119" s="352"/>
      <c r="BA119" s="352"/>
      <c r="BB119" s="353"/>
      <c r="BC119" s="353"/>
      <c r="BD119" s="353"/>
      <c r="BE119" s="353"/>
      <c r="BF119" s="353"/>
      <c r="BG119" s="353"/>
      <c r="BH119" s="353"/>
      <c r="BI119" s="353"/>
      <c r="BJ119" s="354"/>
      <c r="BK119" s="353"/>
      <c r="BL119" s="353"/>
      <c r="BM119" s="353"/>
      <c r="BN119" s="353"/>
      <c r="BO119" s="355"/>
      <c r="BP119" s="353"/>
      <c r="BQ119" s="353"/>
      <c r="BR119" s="353"/>
      <c r="BS119" s="353"/>
      <c r="BT119" s="353"/>
      <c r="BU119" s="353"/>
      <c r="BV119" s="353"/>
      <c r="BW119" s="353"/>
      <c r="BX119" s="353"/>
      <c r="BY119" s="353"/>
      <c r="BZ119" s="353"/>
      <c r="CA119" s="353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7"/>
      <c r="CL119" s="357"/>
      <c r="CM119" s="358"/>
      <c r="CN119" s="358"/>
      <c r="CO119" s="358"/>
      <c r="CP119" s="358"/>
      <c r="CQ119" s="358"/>
      <c r="CR119" s="358"/>
      <c r="CS119" s="358"/>
      <c r="CT119" s="358"/>
      <c r="CU119" s="358"/>
      <c r="CV119" s="358"/>
      <c r="CW119" s="358"/>
      <c r="CX119" s="359"/>
      <c r="CY119" s="359"/>
      <c r="DA119" s="6"/>
      <c r="DB119" s="6"/>
    </row>
    <row r="120" spans="34:106" s="143" customFormat="1" ht="18.5" thickTop="1" thickBot="1">
      <c r="AH120" s="256"/>
      <c r="AI120" s="276"/>
      <c r="AJ120" s="277"/>
      <c r="AK120" s="360"/>
      <c r="AL120" s="278"/>
      <c r="AM120" s="361"/>
      <c r="AN120" s="361"/>
      <c r="AO120" s="361"/>
      <c r="AP120" s="361"/>
      <c r="AQ120" s="362"/>
      <c r="AR120" s="362"/>
      <c r="AS120" s="362"/>
      <c r="AT120" s="362"/>
      <c r="AU120" s="362"/>
      <c r="AV120" s="362"/>
      <c r="AW120" s="362"/>
      <c r="AX120" s="362"/>
      <c r="AY120" s="362"/>
      <c r="AZ120" s="362"/>
      <c r="BA120" s="362"/>
      <c r="BB120" s="363"/>
      <c r="BC120" s="363"/>
      <c r="BD120" s="363"/>
      <c r="BE120" s="363"/>
      <c r="BF120" s="363"/>
      <c r="BG120" s="363"/>
      <c r="BH120" s="363"/>
      <c r="BI120" s="363"/>
      <c r="BJ120" s="364"/>
      <c r="BK120" s="363"/>
      <c r="BL120" s="363"/>
      <c r="BM120" s="363"/>
      <c r="BN120" s="363"/>
      <c r="BO120" s="363"/>
      <c r="BP120" s="363"/>
      <c r="BQ120" s="363"/>
      <c r="BR120" s="363"/>
      <c r="BS120" s="363"/>
      <c r="BT120" s="363"/>
      <c r="BU120" s="363"/>
      <c r="BV120" s="363"/>
      <c r="BW120" s="363"/>
      <c r="BX120" s="363"/>
      <c r="BY120" s="363"/>
      <c r="BZ120" s="363"/>
      <c r="CA120" s="363"/>
      <c r="CB120" s="365"/>
      <c r="CC120" s="365"/>
      <c r="CD120" s="365"/>
      <c r="CE120" s="365"/>
      <c r="CF120" s="365"/>
      <c r="CG120" s="365"/>
      <c r="CH120" s="365"/>
      <c r="CI120" s="365"/>
      <c r="CJ120" s="365"/>
      <c r="CK120" s="366"/>
      <c r="CL120" s="366"/>
      <c r="CM120" s="367"/>
      <c r="CN120" s="367"/>
      <c r="CO120" s="367"/>
      <c r="CP120" s="367"/>
      <c r="CQ120" s="367"/>
      <c r="CR120" s="367"/>
      <c r="CS120" s="367"/>
      <c r="CT120" s="367"/>
      <c r="CU120" s="367"/>
      <c r="CV120" s="367"/>
      <c r="CW120" s="367"/>
      <c r="CX120" s="368"/>
      <c r="CY120" s="368"/>
      <c r="DA120" s="6"/>
      <c r="DB120" s="6"/>
    </row>
    <row r="121" spans="34:106" s="143" customFormat="1" ht="18" thickTop="1">
      <c r="AM121" s="157"/>
      <c r="AN121" s="157"/>
      <c r="AO121" s="157"/>
      <c r="AP121" s="157"/>
      <c r="DA121" s="6"/>
      <c r="DB121" s="6"/>
    </row>
    <row r="122" spans="34:106" s="143" customFormat="1" ht="17.5">
      <c r="AM122" s="157"/>
      <c r="AN122" s="157"/>
      <c r="AO122" s="157"/>
      <c r="AP122" s="157"/>
      <c r="DA122" s="6"/>
      <c r="DB122" s="6"/>
    </row>
    <row r="123" spans="34:106" s="143" customFormat="1" ht="17.5">
      <c r="AM123" s="157"/>
      <c r="AN123" s="157"/>
      <c r="AO123" s="157"/>
      <c r="AP123" s="157"/>
      <c r="DA123" s="6"/>
      <c r="DB123" s="6"/>
    </row>
    <row r="124" spans="34:106" s="143" customFormat="1" ht="17.5">
      <c r="AM124" s="157"/>
      <c r="AN124" s="157"/>
      <c r="AO124" s="157"/>
      <c r="AP124" s="157"/>
      <c r="DA124" s="6"/>
      <c r="DB124" s="6"/>
    </row>
    <row r="125" spans="34:106" s="143" customFormat="1" ht="14">
      <c r="AM125" s="157"/>
      <c r="AN125" s="157"/>
      <c r="AO125" s="157"/>
      <c r="AP125" s="157"/>
    </row>
    <row r="126" spans="34:106" s="143" customFormat="1" ht="14">
      <c r="AM126" s="157"/>
      <c r="AN126" s="157"/>
      <c r="AO126" s="157"/>
      <c r="AP126" s="157"/>
    </row>
    <row r="127" spans="34:106" s="143" customFormat="1" ht="14">
      <c r="AM127" s="157"/>
      <c r="AN127" s="157"/>
      <c r="AO127" s="157"/>
      <c r="AP127" s="157"/>
    </row>
    <row r="128" spans="34:106" s="143" customFormat="1" ht="14">
      <c r="AM128" s="157"/>
      <c r="AN128" s="157"/>
      <c r="AO128" s="157"/>
      <c r="AP128" s="157"/>
    </row>
    <row r="129" spans="39:42" s="143" customFormat="1" ht="14">
      <c r="AM129" s="157"/>
      <c r="AN129" s="157"/>
      <c r="AO129" s="157"/>
      <c r="AP129" s="157"/>
    </row>
    <row r="130" spans="39:42" s="143" customFormat="1" ht="14">
      <c r="AM130" s="157"/>
      <c r="AN130" s="157"/>
      <c r="AO130" s="157"/>
      <c r="AP130" s="157"/>
    </row>
    <row r="131" spans="39:42" s="143" customFormat="1" ht="14">
      <c r="AM131" s="157"/>
      <c r="AN131" s="157"/>
      <c r="AO131" s="157"/>
      <c r="AP131" s="157"/>
    </row>
    <row r="132" spans="39:42" s="143" customFormat="1" ht="14">
      <c r="AM132" s="157"/>
      <c r="AN132" s="157"/>
      <c r="AO132" s="157"/>
      <c r="AP132" s="157"/>
    </row>
    <row r="133" spans="39:42" s="143" customFormat="1" ht="14">
      <c r="AM133" s="157"/>
      <c r="AN133" s="157"/>
      <c r="AO133" s="157"/>
      <c r="AP133" s="157"/>
    </row>
    <row r="134" spans="39:42" s="143" customFormat="1" ht="14">
      <c r="AM134" s="157"/>
      <c r="AN134" s="157"/>
      <c r="AO134" s="157"/>
      <c r="AP134" s="157"/>
    </row>
    <row r="135" spans="39:42" s="143" customFormat="1" ht="14">
      <c r="AM135" s="157"/>
      <c r="AN135" s="157"/>
      <c r="AO135" s="157"/>
      <c r="AP135" s="157"/>
    </row>
    <row r="136" spans="39:42" s="143" customFormat="1" ht="14">
      <c r="AM136" s="157"/>
      <c r="AN136" s="157"/>
      <c r="AO136" s="157"/>
      <c r="AP136" s="157"/>
    </row>
    <row r="137" spans="39:42" s="143" customFormat="1" ht="14">
      <c r="AM137" s="157"/>
      <c r="AN137" s="157"/>
      <c r="AO137" s="157"/>
      <c r="AP137" s="157"/>
    </row>
    <row r="138" spans="39:42" s="143" customFormat="1" ht="14">
      <c r="AM138" s="157"/>
      <c r="AN138" s="157"/>
      <c r="AO138" s="157"/>
      <c r="AP138" s="157"/>
    </row>
    <row r="139" spans="39:42" s="143" customFormat="1" ht="14">
      <c r="AM139" s="157"/>
      <c r="AN139" s="157"/>
      <c r="AO139" s="157"/>
      <c r="AP139" s="157"/>
    </row>
    <row r="140" spans="39:42" s="143" customFormat="1" ht="14">
      <c r="AM140" s="157"/>
      <c r="AN140" s="157"/>
      <c r="AO140" s="157"/>
      <c r="AP140" s="157"/>
    </row>
    <row r="141" spans="39:42" s="143" customFormat="1" ht="14">
      <c r="AM141" s="157"/>
      <c r="AN141" s="157"/>
      <c r="AO141" s="157"/>
      <c r="AP141" s="157"/>
    </row>
    <row r="142" spans="39:42" s="143" customFormat="1" ht="14">
      <c r="AM142" s="157"/>
      <c r="AN142" s="157"/>
      <c r="AO142" s="157"/>
      <c r="AP142" s="157"/>
    </row>
    <row r="143" spans="39:42" s="143" customFormat="1" ht="14">
      <c r="AM143" s="157"/>
      <c r="AN143" s="157"/>
      <c r="AO143" s="157"/>
      <c r="AP143" s="157"/>
    </row>
    <row r="144" spans="39:42" s="143" customFormat="1" ht="14">
      <c r="AM144" s="157"/>
      <c r="AN144" s="157"/>
      <c r="AO144" s="157"/>
      <c r="AP144" s="157"/>
    </row>
    <row r="145" spans="39:42" s="143" customFormat="1" ht="14">
      <c r="AM145" s="157"/>
      <c r="AN145" s="157"/>
      <c r="AO145" s="157"/>
      <c r="AP145" s="157"/>
    </row>
    <row r="146" spans="39:42" s="143" customFormat="1" ht="14">
      <c r="AM146" s="157"/>
      <c r="AN146" s="157"/>
      <c r="AO146" s="157"/>
      <c r="AP146" s="157"/>
    </row>
    <row r="147" spans="39:42" s="143" customFormat="1" ht="14">
      <c r="AM147" s="157"/>
      <c r="AN147" s="157"/>
      <c r="AO147" s="157"/>
      <c r="AP147" s="157"/>
    </row>
    <row r="148" spans="39:42" s="143" customFormat="1" ht="14">
      <c r="AM148" s="157"/>
      <c r="AN148" s="157"/>
      <c r="AO148" s="157"/>
      <c r="AP148" s="157"/>
    </row>
    <row r="149" spans="39:42" s="143" customFormat="1" ht="14">
      <c r="AM149" s="157"/>
      <c r="AN149" s="157"/>
      <c r="AO149" s="157"/>
      <c r="AP149" s="157"/>
    </row>
    <row r="150" spans="39:42" s="143" customFormat="1" ht="14">
      <c r="AM150" s="157"/>
      <c r="AN150" s="157"/>
      <c r="AO150" s="157"/>
      <c r="AP150" s="157"/>
    </row>
    <row r="151" spans="39:42" s="143" customFormat="1" ht="14">
      <c r="AM151" s="157"/>
      <c r="AN151" s="157"/>
      <c r="AO151" s="157"/>
      <c r="AP151" s="157"/>
    </row>
    <row r="152" spans="39:42" s="143" customFormat="1" ht="14">
      <c r="AM152" s="157"/>
      <c r="AN152" s="157"/>
      <c r="AO152" s="157"/>
      <c r="AP152" s="157"/>
    </row>
    <row r="153" spans="39:42" s="143" customFormat="1" ht="14">
      <c r="AM153" s="157"/>
      <c r="AN153" s="157"/>
      <c r="AO153" s="157"/>
      <c r="AP153" s="157"/>
    </row>
    <row r="154" spans="39:42" s="143" customFormat="1" ht="14">
      <c r="AM154" s="157"/>
      <c r="AN154" s="157"/>
      <c r="AO154" s="157"/>
      <c r="AP154" s="157"/>
    </row>
    <row r="155" spans="39:42" s="143" customFormat="1" ht="14">
      <c r="AM155" s="157"/>
      <c r="AN155" s="157"/>
      <c r="AO155" s="157"/>
      <c r="AP155" s="157"/>
    </row>
    <row r="199" spans="4:42" s="143" customFormat="1" ht="15" customHeight="1">
      <c r="D199" s="369"/>
      <c r="AM199" s="157"/>
      <c r="AN199" s="157"/>
      <c r="AO199" s="157"/>
      <c r="AP199" s="157"/>
    </row>
  </sheetData>
  <mergeCells count="2">
    <mergeCell ref="E7:S7"/>
    <mergeCell ref="T7:AE7"/>
  </mergeCells>
  <phoneticPr fontId="43" type="noConversion"/>
  <conditionalFormatting sqref="AM67:CY79 AQ80:CY82 AM80:AP117 AQ83:BC83 AQ84:CY92 AR93:CY103 BP104:CY105 AR104:BO107 CC106:CY106 BP107:CY109 AQ108:BO109 AQ110:CY117 AM118:CY120">
    <cfRule type="cellIs" dxfId="2" priority="1" operator="lessThan">
      <formula>0</formula>
    </cfRule>
  </conditionalFormatting>
  <conditionalFormatting sqref="AQ93:AQ107">
    <cfRule type="cellIs" dxfId="1" priority="3" operator="lessThan">
      <formula>0</formula>
    </cfRule>
  </conditionalFormatting>
  <conditionalFormatting sqref="BP106:CA10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Capex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Zhu Yue</cp:lastModifiedBy>
  <dcterms:created xsi:type="dcterms:W3CDTF">2025-04-06T04:59:20Z</dcterms:created>
  <dcterms:modified xsi:type="dcterms:W3CDTF">2025-04-06T06:42:21Z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2025-04-06T06:29:56Z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592f2649-5b55-4261-9e4f-cbe58a8d5d71</vt:lpwstr>
  </property>
  <property fmtid="{D5CDD505-2E9C-101B-9397-08002B2CF9AE}" pid="8" name="MSIP_Label_e9fea72e-161c-48c8-8e82-3fc1e9b3162c_ContentBits">
    <vt:lpwstr>0</vt:lpwstr>
  </property>
</Properties>
</file>