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8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fessional\04_Git\AI_Power_Studio\20250405_Spend_Tracker\01_source\"/>
    </mc:Choice>
  </mc:AlternateContent>
  <xr:revisionPtr revIDLastSave="0" documentId="13_ncr:1_{7DAD14D2-BA6B-4ABF-B99C-F79D3DFA5483}" xr6:coauthVersionLast="47" xr6:coauthVersionMax="47" xr10:uidLastSave="{00000000-0000-0000-0000-000000000000}"/>
  <bookViews>
    <workbookView xWindow="5380" yWindow="12680" windowWidth="28300" windowHeight="20370" activeTab="2" xr2:uid="{638F5D37-76E6-4ACB-AB9C-AF6A6C2CEBE7}"/>
  </bookViews>
  <sheets>
    <sheet name="Product Category" sheetId="1" r:id="rId1"/>
    <sheet name="Volume guideance" sheetId="4" r:id="rId2"/>
    <sheet name="FX Rate" sheetId="2" r:id="rId3"/>
    <sheet name="对照表" sheetId="3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5" i="2" l="1"/>
  <c r="D6" i="2"/>
  <c r="D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Cailine Huang</author>
    <author>tc={5FF12EEE-D08D-4F49-9863-253261716766}</author>
    <author>tc={7BE13AB9-9E70-4A6A-AACF-C61A52DE40B2}</author>
    <author>tc={4CB04D69-37C3-47B7-A86D-5D5E19A3BA60}</author>
  </authors>
  <commentList>
    <comment ref="B8" authorId="0" shapeId="0" xr:uid="{76A80D2E-5E1E-4AD0-8A96-4D49893E3FC9}">
      <text>
        <r>
          <rPr>
            <b/>
            <sz val="9"/>
            <color indexed="81"/>
            <rFont val="Tahoma"/>
            <family val="2"/>
          </rPr>
          <t>Amortize only in 1K Pen Default/Full and Box Full (Box Default not amorize as not meet cost target from finance)</t>
        </r>
      </text>
    </comment>
    <comment ref="B30" authorId="1" shapeId="0" xr:uid="{5FF12EEE-D08D-4F49-9863-253261716766}">
      <text>
        <r>
          <rPr>
            <sz val="11"/>
            <color theme="1"/>
            <rFont val="等线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@Candy Zhang @Roy Zhu </t>
        </r>
      </text>
    </comment>
    <comment ref="A39" authorId="2" shapeId="0" xr:uid="{7BE13AB9-9E70-4A6A-AACF-C61A52DE40B2}">
      <text>
        <r>
          <rPr>
            <sz val="11"/>
            <color theme="1"/>
            <rFont val="等线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ODM</t>
        </r>
      </text>
    </comment>
    <comment ref="A40" authorId="3" shapeId="0" xr:uid="{4CB04D69-37C3-47B7-A86D-5D5E19A3BA60}">
      <text>
        <r>
          <rPr>
            <sz val="11"/>
            <color theme="1"/>
            <rFont val="等线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ODM</t>
        </r>
      </text>
    </comment>
  </commentList>
</comments>
</file>

<file path=xl/sharedStrings.xml><?xml version="1.0" encoding="utf-8"?>
<sst xmlns="http://schemas.openxmlformats.org/spreadsheetml/2006/main" count="267" uniqueCount="172">
  <si>
    <t>Product Category</t>
  </si>
  <si>
    <t>RCS DEVICE</t>
  </si>
  <si>
    <t>RCS POD</t>
  </si>
  <si>
    <t>MODI</t>
  </si>
  <si>
    <t>HP</t>
  </si>
  <si>
    <t>Vapour Device</t>
  </si>
  <si>
    <t>Vapour Consumables</t>
  </si>
  <si>
    <t>Vapour Disposable</t>
  </si>
  <si>
    <t>HP Device</t>
  </si>
  <si>
    <t>FX (GBP/CNY)</t>
  </si>
  <si>
    <t>Vapour</t>
  </si>
  <si>
    <t>Project</t>
  </si>
  <si>
    <t>KUMA E-ROW E Pen 1.0</t>
  </si>
  <si>
    <t>KUMA E-Pen 1.0 ROW</t>
  </si>
  <si>
    <t>Vuse Go 2.0 8K Box Full</t>
  </si>
  <si>
    <t>Box 8000 Full 2.0</t>
  </si>
  <si>
    <t>X3 1P</t>
  </si>
  <si>
    <t>X3 2P</t>
  </si>
  <si>
    <t>X3 CORE</t>
  </si>
  <si>
    <t>Kuma E 2.0 Pen tooling initial</t>
  </si>
  <si>
    <t>KUMA-E 2.0 Pen</t>
  </si>
  <si>
    <t>Hestia 1.0 New Tooling + ePod3 Pod Tooling included</t>
  </si>
  <si>
    <t>Hestia 1.0</t>
  </si>
  <si>
    <t>HYPER BESPOKE</t>
  </si>
  <si>
    <t>X2</t>
  </si>
  <si>
    <t>X2 Air</t>
  </si>
  <si>
    <t>ePod3 Pod tooling</t>
  </si>
  <si>
    <t>ePod 3</t>
  </si>
  <si>
    <t>Artemis 1.1 PRO</t>
  </si>
  <si>
    <t>Kuma E Max Tooling</t>
  </si>
  <si>
    <t>Modi Max</t>
  </si>
  <si>
    <t>Hestia 1.1 tooling initial smart and commont parts</t>
  </si>
  <si>
    <t>HESTIA 1.1 (smart)</t>
  </si>
  <si>
    <t>Hestia 1.1 tooling NON-smart unique+ECN</t>
  </si>
  <si>
    <t>HESTIA 1.1 (non smart)</t>
  </si>
  <si>
    <t>Artemis 1.1 core</t>
  </si>
  <si>
    <t>Artemis 1.1 Brush</t>
  </si>
  <si>
    <t>Artemis 1P</t>
  </si>
  <si>
    <t>Artemis 2P</t>
  </si>
  <si>
    <t>Artemis Brush</t>
  </si>
  <si>
    <t>Mimosa 1.0 tooling initial</t>
  </si>
  <si>
    <t>MIMOSA 1.0</t>
  </si>
  <si>
    <t>Vuse Go 2.0 1K Pen Default</t>
  </si>
  <si>
    <t>Pen 800 Default 2.0</t>
  </si>
  <si>
    <t>Vuse Go 2.0 1K Pen Full</t>
  </si>
  <si>
    <t>Pen 800 Full 2.0</t>
  </si>
  <si>
    <t>ePod2 POD</t>
  </si>
  <si>
    <t>ePod 2</t>
  </si>
  <si>
    <t>HESTIA 1.1 ( smart)</t>
  </si>
  <si>
    <t>Vuse Go 2.0 1K Box Full</t>
  </si>
  <si>
    <t>Box 800 Full 2.0</t>
  </si>
  <si>
    <t>Vuse Go 2.0 3K Box Full</t>
  </si>
  <si>
    <t>Box 3000 Full 2.0</t>
  </si>
  <si>
    <t>Vuse Go 2.0 5K Box Full(Include Sensa)</t>
  </si>
  <si>
    <t>Box 5000 Full 2.0</t>
  </si>
  <si>
    <t>X3 Pro</t>
  </si>
  <si>
    <t>Adonis 1P</t>
  </si>
  <si>
    <t>Kuma E 2.0 Box Tooling</t>
  </si>
  <si>
    <t>KUMA-E 2.0 BOX</t>
  </si>
  <si>
    <t>KUMA MAX</t>
  </si>
  <si>
    <t>Adonis 2P</t>
  </si>
  <si>
    <t>VEGA tooling</t>
  </si>
  <si>
    <t>Vega</t>
  </si>
  <si>
    <t>KUMA E BOX NZ</t>
  </si>
  <si>
    <t>KUMA E-Box NZ</t>
  </si>
  <si>
    <t>Prismatic Pod Indo Black</t>
  </si>
  <si>
    <t>Prismatic Pod</t>
  </si>
  <si>
    <t xml:space="preserve">Hyper Pro </t>
  </si>
  <si>
    <t>Hyper Core</t>
  </si>
  <si>
    <t>Alto tooling</t>
  </si>
  <si>
    <t xml:space="preserve">Alto Pod </t>
  </si>
  <si>
    <t>Prismatic Device</t>
  </si>
  <si>
    <t>Alto Device</t>
  </si>
  <si>
    <t>Hyper Pro</t>
  </si>
  <si>
    <t>Vuse Go 2.0  1K Box Default</t>
  </si>
  <si>
    <t>Box 800 Default 2.0</t>
  </si>
  <si>
    <t>KUMA E BOX ROW</t>
  </si>
  <si>
    <t>KUMA E-Box ROW</t>
  </si>
  <si>
    <t>epod 3+ device tooling, To be Included in ePod 4+ no risk to flag yet.</t>
  </si>
  <si>
    <t>ePod 3+ Device</t>
  </si>
  <si>
    <t>epod 3 device tooling, To be Included in ePod 4+ no risk to flag yet.</t>
  </si>
  <si>
    <t>ePod 3 Device</t>
  </si>
  <si>
    <t>ePod 3 DEVICE</t>
  </si>
  <si>
    <t>ePod 3+</t>
  </si>
  <si>
    <t>DP 1500 tooling</t>
  </si>
  <si>
    <t>DP1500</t>
  </si>
  <si>
    <t>ePod2 Device - Wave 1-B design</t>
  </si>
  <si>
    <t>ePod2 device(Wave1)</t>
  </si>
  <si>
    <t>ePod2+ Device</t>
  </si>
  <si>
    <t>黑银</t>
  </si>
  <si>
    <t>黑金</t>
  </si>
  <si>
    <t>Hard tool ECN(按总价分摊不分产品）</t>
  </si>
  <si>
    <t>　</t>
  </si>
  <si>
    <t>Hestia 1.0 + ePod3 Pod Carry over</t>
  </si>
  <si>
    <t>Portfolio</t>
  </si>
  <si>
    <t>Project Description</t>
  </si>
  <si>
    <t>Alto &amp; ePod</t>
  </si>
  <si>
    <t>APA - Automation Production Agreement</t>
  </si>
  <si>
    <t>Alto</t>
  </si>
  <si>
    <t>Addendum No.10 - Indonesia</t>
  </si>
  <si>
    <t>Device to Indo Equipment move cost</t>
  </si>
  <si>
    <t>Alto Blister Reduction Capex</t>
  </si>
  <si>
    <t>Prismastic China project capex</t>
  </si>
  <si>
    <t>Epod&amp;Modi</t>
  </si>
  <si>
    <t>Tax Stamp(Pod2+ePod3 Czech,Germany,Poland&amp;Italy)</t>
    <phoneticPr fontId="0" type="noConversion"/>
  </si>
  <si>
    <t>Modi 2.0</t>
  </si>
  <si>
    <t>Automation Flexible Line for Modi 2.0 Platform 1K PEN Default/Full and 1k BOX Full</t>
  </si>
  <si>
    <t>Hestia 1.0 Automation Lines Modification (Modified from ePod3 to Hestia1.0) (1-4 line)</t>
  </si>
  <si>
    <t>ePod3 Pod</t>
  </si>
  <si>
    <t>Kuma</t>
  </si>
  <si>
    <t>KUMA E-ROW Ultra Sonic Machine</t>
  </si>
  <si>
    <t>KUMA E-Pen Laser  welding machine &amp; Kuma E-Pen 1.0 air tightness test machine</t>
  </si>
  <si>
    <t>Modi &amp; RCS</t>
  </si>
  <si>
    <t>CCD&amp;Tax Stamp Machine MD2.0  1K PEN Default Czech/Germany/Poland/Italy/BUL (Machines can be cross-used by both Modi &amp; RCS)</t>
  </si>
  <si>
    <t>Modi</t>
  </si>
  <si>
    <t>T&amp;T longterm solution cost
Amortize at Uzbekistan TX500 and DP1500（UZB—乌兹别克斯坦）</t>
  </si>
  <si>
    <t>KZ MODI testing / support for T&amp;T
Amortize at KAZ TX500 and DP1500（KZ—哈萨克斯坦）</t>
  </si>
  <si>
    <t>T&amp;T Interim programme of Azerbaijan
Amortize at Azerbaijan 1k/3k/5k product（AZB—阿塞拜疆）</t>
  </si>
  <si>
    <t>T&amp;T for Pre-Dispatch Advice --add extra function（UZB—乌兹别克斯坦
KZ—哈萨克斯坦）</t>
  </si>
  <si>
    <t>KZ MODI testing / support for T&amp;T
Amortize at BOX3K&amp;5K KAZ&amp;UZB market（KZ—哈萨克斯坦）</t>
  </si>
  <si>
    <t>AZB T&amp;T longterm solution cost for TX500&amp;DP1500&amp;BOX1K&amp;3K&amp;5K for AZB Market（AZB—阿塞拜疆）</t>
  </si>
  <si>
    <t>Custom development
BAT CMO INEXTRACK GS1
Novarator removal CR for AZB
regulation（AZB—阿塞拜疆）</t>
  </si>
  <si>
    <t>Hestia 1.1</t>
  </si>
  <si>
    <t>Kuma E 2.0 Pen</t>
  </si>
  <si>
    <t>semi-auto for Kuma E 2.0 Pen</t>
  </si>
  <si>
    <t>Kuma E 2.0 Box</t>
  </si>
  <si>
    <t>semi-auto for Kuma E 2.0 Box</t>
  </si>
  <si>
    <t>Mimosa</t>
  </si>
  <si>
    <t>semi-auto for Mimosa1.0 + 2 Glue Machine</t>
  </si>
  <si>
    <t>Tax stamp and CCD capex amortization</t>
  </si>
  <si>
    <t>Alto tooling(IM tooling for 2p cost reduction)</t>
  </si>
  <si>
    <t>epod 2 Device</t>
  </si>
  <si>
    <t xml:space="preserve"> epod 3 pod Tooling, Included in Hestia Carryover</t>
  </si>
  <si>
    <t>epod 3 Device</t>
  </si>
  <si>
    <t>epod 3+ Device</t>
  </si>
  <si>
    <t xml:space="preserve">Kuma </t>
  </si>
  <si>
    <t>DP 1500</t>
    <phoneticPr fontId="0" type="noConversion"/>
  </si>
  <si>
    <t>BOX 1K</t>
  </si>
  <si>
    <t>BOX 1000</t>
  </si>
  <si>
    <t>Hestia 1.1 tooling incremental</t>
  </si>
  <si>
    <t>Kuma E 2.0</t>
  </si>
  <si>
    <t>Kuma E 2.0 Pen tooling incremental</t>
  </si>
  <si>
    <t>Mimosa 1.0 tooling incremental</t>
  </si>
  <si>
    <t xml:space="preserve"> China</t>
  </si>
  <si>
    <t>Prismatic Pod Indo  white</t>
  </si>
  <si>
    <t>Mimosa 1.0 - PCBA Tooling</t>
  </si>
  <si>
    <t>Epod 3</t>
  </si>
  <si>
    <t>Epod 3 - PCBA Tooling</t>
  </si>
  <si>
    <t>Epod 3+</t>
  </si>
  <si>
    <t>Epod 3+ - PCBA Tooling</t>
  </si>
  <si>
    <t>Hestia 1.1 - PCBA Tooling</t>
  </si>
  <si>
    <t>Kuma E 2.0 Pen NZ</t>
  </si>
  <si>
    <t>Kuma E 2.0 Pen NZ - PCBA Tooling</t>
  </si>
  <si>
    <t>Kuma E 2.0 Box - PCBA Tooling</t>
  </si>
  <si>
    <t>Kuma E Max</t>
  </si>
  <si>
    <t>Kuma E Max - PCBA Tooling</t>
  </si>
  <si>
    <t>Aquila-US</t>
  </si>
  <si>
    <t>Aquila-US - PCBA Tooling</t>
  </si>
  <si>
    <t>Indo POD T1 transfer Capex</t>
  </si>
  <si>
    <t>ePod 2 to Hestia1.0 / ePod compatible line (6th line)</t>
  </si>
  <si>
    <t>Prismatic Kit</t>
  </si>
  <si>
    <t>Primsmatic Kit VAT/qualification cost</t>
  </si>
  <si>
    <t>epod2 pod</t>
  </si>
  <si>
    <t>ePod 3 Pod</t>
  </si>
  <si>
    <t>Hestia total（include Kuma）</t>
  </si>
  <si>
    <t>Epod Starter Kit</t>
  </si>
  <si>
    <t>Alto Pods total (cartridge +bundle kit pod)</t>
  </si>
  <si>
    <t>Prismatic Pods total(cartridge+Taste kit）</t>
  </si>
  <si>
    <t>BAT Demand Waterfall</t>
  </si>
  <si>
    <t>Alto bundle kit</t>
  </si>
  <si>
    <t>KUMA E-Box ROW</t>
    <phoneticPr fontId="0" type="noConversion"/>
  </si>
  <si>
    <t>Kuma 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</si>
</sst>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 * #,##0.00_ ;_ * \-#,##0.00_ ;_ * &quot;-&quot;??_ ;_ @_ "/>
    <numFmt numFmtId="176" formatCode="yyyy"/>
    <numFmt numFmtId="177" formatCode="0.00000"/>
    <numFmt numFmtId="178" formatCode="[$¥-804]#,##0;[$¥-804]\-#,##0"/>
    <numFmt numFmtId="179" formatCode="[$-409]mmm\-yy;@"/>
    <numFmt numFmtId="181" formatCode="_ * #,##0_ ;_ * \-#,##0_ ;_ * &quot;-&quot;??_ ;_ @_ "/>
  </numFmts>
  <fonts count="13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b/>
      <sz val="11"/>
      <color theme="0"/>
      <name val="等线"/>
      <family val="2"/>
      <scheme val="minor"/>
    </font>
    <font>
      <i/>
      <sz val="11"/>
      <color theme="1"/>
      <name val="Calibri"/>
      <family val="2"/>
    </font>
    <font>
      <b/>
      <sz val="10"/>
      <color theme="0"/>
      <name val="等线"/>
      <family val="2"/>
      <scheme val="minor"/>
    </font>
    <font>
      <sz val="10"/>
      <color rgb="FF000000"/>
      <name val="等线"/>
      <family val="2"/>
      <scheme val="minor"/>
    </font>
    <font>
      <i/>
      <sz val="12"/>
      <color theme="1"/>
      <name val="等线"/>
      <family val="2"/>
      <scheme val="minor"/>
    </font>
    <font>
      <sz val="12"/>
      <color theme="1"/>
      <name val="等线"/>
      <family val="2"/>
      <scheme val="minor"/>
    </font>
    <font>
      <sz val="10"/>
      <color theme="1"/>
      <name val="等线"/>
      <family val="2"/>
      <scheme val="minor"/>
    </font>
    <font>
      <b/>
      <sz val="12"/>
      <color theme="0"/>
      <name val="等线"/>
      <family val="2"/>
      <scheme val="minor"/>
    </font>
    <font>
      <b/>
      <sz val="9"/>
      <color indexed="81"/>
      <name val="Tahoma"/>
      <family val="2"/>
    </font>
    <font>
      <sz val="12"/>
      <color rgb="FF000000"/>
      <name val="等线"/>
      <family val="2"/>
      <scheme val="minor"/>
    </font>
    <font>
      <sz val="9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0" fontId="1" fillId="0" borderId="0"/>
    <xf numFmtId="178" fontId="1" fillId="0" borderId="0"/>
    <xf numFmtId="179" fontId="1" fillId="0" borderId="0">
      <alignment vertical="center"/>
    </xf>
    <xf numFmtId="43" fontId="1" fillId="0" borderId="0" applyFont="0" applyFill="0" applyBorder="0" applyAlignment="0" applyProtection="0">
      <alignment vertical="center"/>
    </xf>
  </cellStyleXfs>
  <cellXfs count="20">
    <xf numFmtId="0" fontId="0" fillId="0" borderId="0" xfId="0"/>
    <xf numFmtId="1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176" fontId="3" fillId="0" borderId="0" xfId="0" applyNumberFormat="1" applyFont="1" applyAlignment="1">
      <alignment horizontal="left"/>
    </xf>
    <xf numFmtId="177" fontId="0" fillId="0" borderId="0" xfId="0" applyNumberFormat="1" applyAlignment="1">
      <alignment horizontal="left"/>
    </xf>
    <xf numFmtId="177" fontId="3" fillId="0" borderId="0" xfId="0" applyNumberFormat="1" applyFont="1" applyAlignment="1">
      <alignment horizontal="left"/>
    </xf>
    <xf numFmtId="0" fontId="4" fillId="3" borderId="2" xfId="0" applyFont="1" applyFill="1" applyBorder="1" applyAlignment="1" applyProtection="1">
      <alignment horizontal="left" vertical="center"/>
      <protection locked="0"/>
    </xf>
    <xf numFmtId="0" fontId="5" fillId="0" borderId="2" xfId="0" applyFont="1" applyBorder="1" applyAlignment="1">
      <alignment horizontal="left" vertical="center"/>
    </xf>
    <xf numFmtId="0" fontId="6" fillId="0" borderId="0" xfId="1" applyFont="1" applyAlignment="1">
      <alignment horizontal="left" vertical="center" wrapText="1"/>
    </xf>
    <xf numFmtId="0" fontId="7" fillId="0" borderId="0" xfId="1" applyFont="1" applyAlignment="1">
      <alignment horizontal="center" vertical="center"/>
    </xf>
    <xf numFmtId="0" fontId="8" fillId="4" borderId="0" xfId="0" applyFont="1" applyFill="1" applyAlignment="1" applyProtection="1">
      <alignment vertical="center"/>
      <protection locked="0"/>
    </xf>
    <xf numFmtId="0" fontId="8" fillId="4" borderId="0" xfId="0" applyFont="1" applyFill="1" applyAlignment="1" applyProtection="1">
      <alignment horizontal="left" vertical="center"/>
      <protection locked="0"/>
    </xf>
    <xf numFmtId="0" fontId="9" fillId="5" borderId="3" xfId="1" applyFont="1" applyFill="1" applyBorder="1" applyAlignment="1">
      <alignment horizontal="center" vertical="center" wrapText="1"/>
    </xf>
    <xf numFmtId="0" fontId="7" fillId="0" borderId="0" xfId="1" applyFont="1" applyAlignment="1">
      <alignment horizontal="left" vertical="center" wrapText="1"/>
    </xf>
    <xf numFmtId="0" fontId="6" fillId="0" borderId="0" xfId="1" applyFont="1" applyAlignment="1">
      <alignment horizontal="left" vertical="center"/>
    </xf>
    <xf numFmtId="0" fontId="0" fillId="0" borderId="0" xfId="1" applyFont="1" applyAlignment="1">
      <alignment horizontal="left" vertical="center"/>
    </xf>
    <xf numFmtId="0" fontId="0" fillId="0" borderId="0" xfId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181" fontId="0" fillId="0" borderId="0" xfId="4" applyNumberFormat="1" applyFont="1" applyAlignment="1"/>
  </cellXfs>
  <cellStyles count="5">
    <cellStyle name="Normal 2 2 2 3" xfId="1" xr:uid="{1E4A2E24-F941-47EB-8A90-D85FAC8C6F2F}"/>
    <cellStyle name="Normal 6 3" xfId="3" xr:uid="{15E4FDC3-630E-4025-BB3F-4CA1C881DEA6}"/>
    <cellStyle name="常规" xfId="0" builtinId="0"/>
    <cellStyle name="常规 7" xfId="2" xr:uid="{D76BEB83-680B-44CB-969B-39755DD8CD9A}"/>
    <cellStyle name="千位分隔" xfId="4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andy Zhang" id="{C2E8CE49-8A51-4F19-9491-EEBBF5B2DD23}" userId="85194835@bat.com" providerId="PeoplePicker"/>
  <person displayName="Roy Zhu" id="{6B8D20D0-C3E2-4A02-BB98-F246A995F276}" userId="85195622@bat.com" providerId="PeoplePicker"/>
  <person displayName="Candy Zhang" id="{E871F0D8-91EB-46A1-AF48-21C418E318F3}" userId="S::85194835@bat.com::215fbd32-35c6-4cb7-80b9-e1d5aeba28c1" providerId="AD"/>
  <person displayName="Daniel Aguirre" id="{43B569D9-AAE1-4A62-84AA-92B857B28220}" userId="S::daniel_eugenio_aguirre1@bat.com::29c07d64-c781-4147-bb32-e556cc9e0777" providerId="AD"/>
</personList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0" dT="2024-05-24T10:20:05.97" personId="{43B569D9-AAE1-4A62-84AA-92B857B28220}" id="{5FF12EEE-D08D-4F49-9863-253261716766}">
    <text xml:space="preserve">@Candy Zhang @Roy Zhu </text>
    <mentions>
      <mention mentionpersonId="{C2E8CE49-8A51-4F19-9491-EEBBF5B2DD23}" mentionId="{DF8E5B68-E181-4C68-818C-C7B2ED8CD9E4}" startIndex="0" length="12"/>
      <mention mentionpersonId="{6B8D20D0-C3E2-4A02-BB98-F246A995F276}" mentionId="{8005F1CF-6DF2-4F3F-B3C2-D3FAECB44FC7}" startIndex="13" length="8"/>
    </mentions>
  </threadedComment>
  <threadedComment ref="A39" dT="2024-10-28T03:30:42.10" personId="{E871F0D8-91EB-46A1-AF48-21C418E318F3}" id="{7BE13AB9-9E70-4A6A-AACF-C61A52DE40B2}">
    <text>ODM</text>
  </threadedComment>
  <threadedComment ref="A40" dT="2024-10-28T03:30:55.55" personId="{E871F0D8-91EB-46A1-AF48-21C418E318F3}" id="{4CB04D69-37C3-47B7-A86D-5D5E19A3BA60}">
    <text>ODM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50B74-D227-429F-BA39-2255EFBAD94D}">
  <dimension ref="A1:C5"/>
  <sheetViews>
    <sheetView workbookViewId="0">
      <selection activeCell="G33" sqref="G33"/>
    </sheetView>
  </sheetViews>
  <sheetFormatPr defaultRowHeight="14" x14ac:dyDescent="0.3"/>
  <cols>
    <col min="1" max="1" width="9.25" customWidth="1"/>
    <col min="2" max="2" width="19.75" customWidth="1"/>
    <col min="3" max="3" width="17.6640625" customWidth="1"/>
  </cols>
  <sheetData>
    <row r="1" spans="1:3" x14ac:dyDescent="0.3">
      <c r="A1" s="1" t="s">
        <v>94</v>
      </c>
      <c r="B1" s="1" t="s">
        <v>0</v>
      </c>
      <c r="C1" s="1" t="s">
        <v>0</v>
      </c>
    </row>
    <row r="2" spans="1:3" x14ac:dyDescent="0.3">
      <c r="A2" t="s">
        <v>10</v>
      </c>
      <c r="B2" t="s">
        <v>5</v>
      </c>
      <c r="C2" t="s">
        <v>1</v>
      </c>
    </row>
    <row r="3" spans="1:3" x14ac:dyDescent="0.3">
      <c r="A3" t="s">
        <v>10</v>
      </c>
      <c r="B3" t="s">
        <v>6</v>
      </c>
      <c r="C3" t="s">
        <v>2</v>
      </c>
    </row>
    <row r="4" spans="1:3" x14ac:dyDescent="0.3">
      <c r="A4" t="s">
        <v>10</v>
      </c>
      <c r="B4" t="s">
        <v>7</v>
      </c>
      <c r="C4" t="s">
        <v>3</v>
      </c>
    </row>
    <row r="5" spans="1:3" x14ac:dyDescent="0.3">
      <c r="A5" t="s">
        <v>4</v>
      </c>
      <c r="B5" t="s">
        <v>8</v>
      </c>
      <c r="C5" t="s">
        <v>4</v>
      </c>
    </row>
  </sheetData>
  <phoneticPr fontId="1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BAFDC-5DA9-4B2F-AC65-2D56A6AB811A}">
  <dimension ref="A1:H67"/>
  <sheetViews>
    <sheetView showGridLines="0" topLeftCell="A5" zoomScale="80" zoomScaleNormal="80" workbookViewId="0">
      <selection activeCell="E5" sqref="E5"/>
    </sheetView>
  </sheetViews>
  <sheetFormatPr defaultRowHeight="14" x14ac:dyDescent="0.3"/>
  <cols>
    <col min="1" max="1" width="16.75" customWidth="1"/>
    <col min="2" max="2" width="37.9140625" customWidth="1"/>
    <col min="3" max="3" width="21.83203125" customWidth="1"/>
    <col min="4" max="4" width="18.08203125" customWidth="1"/>
    <col min="5" max="5" width="19.6640625" customWidth="1"/>
    <col min="6" max="6" width="14.75" customWidth="1"/>
    <col min="7" max="7" width="23.08203125" customWidth="1"/>
    <col min="8" max="8" width="22.6640625" customWidth="1"/>
  </cols>
  <sheetData>
    <row r="1" spans="1:8" ht="34" customHeight="1" x14ac:dyDescent="0.3">
      <c r="A1" s="11" t="s">
        <v>11</v>
      </c>
      <c r="B1" s="11" t="s">
        <v>95</v>
      </c>
      <c r="C1" s="11" t="s">
        <v>168</v>
      </c>
      <c r="D1" s="11" t="s">
        <v>168</v>
      </c>
      <c r="E1" s="11" t="s">
        <v>168</v>
      </c>
      <c r="F1" s="11" t="s">
        <v>168</v>
      </c>
      <c r="G1" s="11" t="s">
        <v>168</v>
      </c>
      <c r="H1" s="11" t="s">
        <v>168</v>
      </c>
    </row>
    <row r="2" spans="1:8" ht="31.5" customHeight="1" x14ac:dyDescent="0.3">
      <c r="A2" s="8" t="s">
        <v>96</v>
      </c>
      <c r="B2" s="7" t="s">
        <v>97</v>
      </c>
      <c r="C2" s="16" t="s">
        <v>162</v>
      </c>
      <c r="D2" s="16" t="s">
        <v>163</v>
      </c>
      <c r="E2" s="16" t="s">
        <v>164</v>
      </c>
      <c r="F2" s="16" t="s">
        <v>165</v>
      </c>
      <c r="G2" s="16" t="s">
        <v>166</v>
      </c>
      <c r="H2" s="16" t="s">
        <v>167</v>
      </c>
    </row>
    <row r="3" spans="1:8" ht="62.5" customHeight="1" x14ac:dyDescent="0.3">
      <c r="A3" s="8" t="s">
        <v>98</v>
      </c>
      <c r="B3" s="7" t="s">
        <v>99</v>
      </c>
      <c r="C3" s="16" t="s">
        <v>166</v>
      </c>
      <c r="D3" s="16" t="s">
        <v>167</v>
      </c>
      <c r="E3" s="17"/>
      <c r="F3" s="17"/>
      <c r="G3" s="17"/>
      <c r="H3" s="17"/>
    </row>
    <row r="4" spans="1:8" ht="31.5" customHeight="1" x14ac:dyDescent="0.3">
      <c r="A4" s="8" t="s">
        <v>98</v>
      </c>
      <c r="B4" s="7" t="s">
        <v>100</v>
      </c>
      <c r="C4" s="16" t="s">
        <v>72</v>
      </c>
      <c r="D4" s="16" t="s">
        <v>169</v>
      </c>
      <c r="E4" s="17"/>
      <c r="F4" s="17"/>
      <c r="G4" s="17"/>
      <c r="H4" s="17"/>
    </row>
    <row r="5" spans="1:8" ht="40" customHeight="1" x14ac:dyDescent="0.3">
      <c r="A5" s="8" t="s">
        <v>98</v>
      </c>
      <c r="B5" s="7" t="s">
        <v>101</v>
      </c>
      <c r="C5" s="16" t="s">
        <v>166</v>
      </c>
      <c r="D5" s="16"/>
      <c r="E5" s="17"/>
      <c r="F5" s="17"/>
      <c r="G5" s="17"/>
      <c r="H5" s="17"/>
    </row>
    <row r="6" spans="1:8" ht="31.5" customHeight="1" x14ac:dyDescent="0.3">
      <c r="A6" s="8" t="s">
        <v>66</v>
      </c>
      <c r="B6" s="12" t="s">
        <v>102</v>
      </c>
      <c r="C6" s="17"/>
      <c r="D6" s="17"/>
      <c r="E6" s="17"/>
      <c r="F6" s="17"/>
      <c r="G6" s="17"/>
      <c r="H6" s="17"/>
    </row>
    <row r="7" spans="1:8" ht="31.5" customHeight="1" x14ac:dyDescent="0.3">
      <c r="A7" s="8" t="s">
        <v>103</v>
      </c>
      <c r="B7" s="7" t="s">
        <v>104</v>
      </c>
      <c r="C7" s="17"/>
      <c r="D7" s="17"/>
      <c r="E7" s="17"/>
      <c r="F7" s="17"/>
      <c r="G7" s="17"/>
      <c r="H7" s="17"/>
    </row>
    <row r="8" spans="1:8" ht="31.5" customHeight="1" x14ac:dyDescent="0.3">
      <c r="A8" s="8" t="s">
        <v>105</v>
      </c>
      <c r="B8" s="7" t="s">
        <v>106</v>
      </c>
      <c r="C8" s="16" t="s">
        <v>50</v>
      </c>
      <c r="D8" s="16" t="s">
        <v>43</v>
      </c>
      <c r="E8" s="16" t="s">
        <v>45</v>
      </c>
      <c r="F8" s="17"/>
      <c r="G8" s="17"/>
      <c r="H8" s="17"/>
    </row>
    <row r="9" spans="1:8" ht="31.5" customHeight="1" x14ac:dyDescent="0.3">
      <c r="A9" s="8" t="s">
        <v>22</v>
      </c>
      <c r="B9" s="12" t="s">
        <v>107</v>
      </c>
      <c r="C9" s="16" t="s">
        <v>22</v>
      </c>
      <c r="D9" s="17"/>
      <c r="E9" s="17"/>
      <c r="F9" s="17"/>
      <c r="G9" s="17"/>
      <c r="H9" s="17"/>
    </row>
    <row r="10" spans="1:8" ht="31.5" customHeight="1" x14ac:dyDescent="0.3">
      <c r="A10" s="18" t="s">
        <v>171</v>
      </c>
      <c r="B10" s="7" t="s">
        <v>110</v>
      </c>
      <c r="C10" s="16" t="s">
        <v>170</v>
      </c>
      <c r="D10" s="17"/>
      <c r="E10" s="17"/>
      <c r="F10" s="17"/>
      <c r="G10" s="17"/>
      <c r="H10" s="17"/>
    </row>
    <row r="11" spans="1:8" ht="31.5" customHeight="1" x14ac:dyDescent="0.3">
      <c r="A11" s="18" t="s">
        <v>171</v>
      </c>
      <c r="B11" s="12" t="s">
        <v>111</v>
      </c>
      <c r="C11" s="17" t="s">
        <v>13</v>
      </c>
      <c r="D11" s="17"/>
      <c r="E11" s="17"/>
      <c r="F11" s="17"/>
      <c r="G11" s="17"/>
      <c r="H11" s="17"/>
    </row>
    <row r="12" spans="1:8" ht="31.5" customHeight="1" x14ac:dyDescent="0.3">
      <c r="A12" s="8" t="s">
        <v>112</v>
      </c>
      <c r="B12" s="7" t="s">
        <v>113</v>
      </c>
      <c r="C12" s="17"/>
      <c r="D12" s="17"/>
      <c r="E12" s="17"/>
      <c r="F12" s="17"/>
      <c r="G12" s="17"/>
      <c r="H12" s="17"/>
    </row>
    <row r="13" spans="1:8" ht="31.5" customHeight="1" x14ac:dyDescent="0.3">
      <c r="A13" s="8" t="s">
        <v>114</v>
      </c>
      <c r="B13" s="7" t="s">
        <v>115</v>
      </c>
      <c r="C13" s="17"/>
      <c r="D13" s="17"/>
      <c r="E13" s="17"/>
      <c r="F13" s="17"/>
      <c r="G13" s="17"/>
      <c r="H13" s="17"/>
    </row>
    <row r="14" spans="1:8" ht="31.5" customHeight="1" x14ac:dyDescent="0.3">
      <c r="A14" s="8" t="s">
        <v>114</v>
      </c>
      <c r="B14" s="7" t="s">
        <v>116</v>
      </c>
      <c r="C14" s="17"/>
      <c r="D14" s="17"/>
      <c r="E14" s="17"/>
      <c r="F14" s="17"/>
      <c r="G14" s="17"/>
      <c r="H14" s="17"/>
    </row>
    <row r="15" spans="1:8" ht="31.5" customHeight="1" x14ac:dyDescent="0.3">
      <c r="A15" s="8" t="s">
        <v>114</v>
      </c>
      <c r="B15" s="12" t="s">
        <v>117</v>
      </c>
      <c r="C15" s="17"/>
      <c r="D15" s="17"/>
      <c r="E15" s="17"/>
      <c r="F15" s="17"/>
      <c r="G15" s="17"/>
      <c r="H15" s="17"/>
    </row>
    <row r="16" spans="1:8" ht="31.5" customHeight="1" x14ac:dyDescent="0.3">
      <c r="A16" s="8" t="s">
        <v>114</v>
      </c>
      <c r="B16" s="12" t="s">
        <v>118</v>
      </c>
      <c r="C16" s="17"/>
      <c r="D16" s="17"/>
      <c r="E16" s="17"/>
      <c r="F16" s="17"/>
      <c r="G16" s="17"/>
      <c r="H16" s="17"/>
    </row>
    <row r="17" spans="1:8" ht="31.5" customHeight="1" x14ac:dyDescent="0.3">
      <c r="A17" s="8" t="s">
        <v>114</v>
      </c>
      <c r="B17" s="7" t="s">
        <v>119</v>
      </c>
      <c r="C17" s="17"/>
      <c r="D17" s="17"/>
      <c r="E17" s="17"/>
      <c r="F17" s="17"/>
      <c r="G17" s="17"/>
      <c r="H17" s="17"/>
    </row>
    <row r="18" spans="1:8" ht="31.5" customHeight="1" x14ac:dyDescent="0.3">
      <c r="A18" s="8" t="s">
        <v>114</v>
      </c>
      <c r="B18" s="12" t="s">
        <v>120</v>
      </c>
      <c r="C18" s="17"/>
      <c r="D18" s="17"/>
      <c r="E18" s="17"/>
      <c r="F18" s="17"/>
      <c r="G18" s="17"/>
      <c r="H18" s="17"/>
    </row>
    <row r="19" spans="1:8" ht="31.5" customHeight="1" x14ac:dyDescent="0.3">
      <c r="A19" s="8" t="s">
        <v>114</v>
      </c>
      <c r="B19" s="12" t="s">
        <v>121</v>
      </c>
      <c r="C19" s="17"/>
      <c r="D19" s="17"/>
      <c r="E19" s="17"/>
      <c r="F19" s="17"/>
      <c r="G19" s="17"/>
      <c r="H19" s="17"/>
    </row>
    <row r="20" spans="1:8" ht="31.5" customHeight="1" x14ac:dyDescent="0.3">
      <c r="A20" s="8" t="s">
        <v>123</v>
      </c>
      <c r="B20" s="7" t="s">
        <v>124</v>
      </c>
      <c r="C20" s="17"/>
      <c r="D20" s="17"/>
      <c r="E20" s="17"/>
      <c r="F20" s="17"/>
      <c r="G20" s="17"/>
      <c r="H20" s="17"/>
    </row>
    <row r="21" spans="1:8" ht="31.5" customHeight="1" x14ac:dyDescent="0.3">
      <c r="A21" s="8" t="s">
        <v>125</v>
      </c>
      <c r="B21" s="7" t="s">
        <v>126</v>
      </c>
      <c r="C21" s="17"/>
      <c r="D21" s="17"/>
      <c r="E21" s="17"/>
      <c r="F21" s="17"/>
      <c r="G21" s="17"/>
      <c r="H21" s="17"/>
    </row>
    <row r="22" spans="1:8" ht="31.5" customHeight="1" x14ac:dyDescent="0.3">
      <c r="A22" s="8" t="s">
        <v>127</v>
      </c>
      <c r="B22" s="7" t="s">
        <v>128</v>
      </c>
      <c r="C22" s="17"/>
      <c r="D22" s="17"/>
      <c r="E22" s="17"/>
      <c r="F22" s="17"/>
      <c r="G22" s="17"/>
      <c r="H22" s="17"/>
    </row>
    <row r="23" spans="1:8" ht="31.5" customHeight="1" x14ac:dyDescent="0.3">
      <c r="A23" s="8" t="s">
        <v>22</v>
      </c>
      <c r="B23" s="12" t="s">
        <v>129</v>
      </c>
      <c r="C23" s="17"/>
      <c r="D23" s="17"/>
      <c r="E23" s="17"/>
      <c r="F23" s="17"/>
      <c r="G23" s="17"/>
      <c r="H23" s="17"/>
    </row>
    <row r="24" spans="1:8" ht="31.5" customHeight="1" x14ac:dyDescent="0.3">
      <c r="A24" s="8" t="s">
        <v>98</v>
      </c>
      <c r="B24" s="7" t="s">
        <v>130</v>
      </c>
      <c r="C24" s="17"/>
      <c r="D24" s="17"/>
      <c r="E24" s="17"/>
      <c r="F24" s="17"/>
      <c r="G24" s="17"/>
      <c r="H24" s="17"/>
    </row>
    <row r="25" spans="1:8" ht="31.5" customHeight="1" x14ac:dyDescent="0.3">
      <c r="A25" s="8" t="s">
        <v>46</v>
      </c>
      <c r="B25" s="7" t="s">
        <v>46</v>
      </c>
      <c r="C25" s="17"/>
      <c r="D25" s="17"/>
      <c r="E25" s="17"/>
      <c r="F25" s="17"/>
      <c r="G25" s="17"/>
      <c r="H25" s="17"/>
    </row>
    <row r="26" spans="1:8" ht="31.5" customHeight="1" x14ac:dyDescent="0.3">
      <c r="A26" s="8" t="s">
        <v>131</v>
      </c>
      <c r="B26" s="7" t="s">
        <v>86</v>
      </c>
      <c r="C26" s="17"/>
      <c r="D26" s="17"/>
      <c r="E26" s="17"/>
      <c r="F26" s="17"/>
      <c r="G26" s="17"/>
      <c r="H26" s="17"/>
    </row>
    <row r="27" spans="1:8" ht="31.5" customHeight="1" x14ac:dyDescent="0.3">
      <c r="A27" s="8" t="s">
        <v>88</v>
      </c>
      <c r="B27" s="7" t="s">
        <v>88</v>
      </c>
      <c r="C27" s="17"/>
      <c r="D27" s="17"/>
      <c r="E27" s="17"/>
      <c r="F27" s="17"/>
      <c r="G27" s="17"/>
      <c r="H27" s="17"/>
    </row>
    <row r="28" spans="1:8" ht="31.5" customHeight="1" x14ac:dyDescent="0.3">
      <c r="A28" s="8" t="s">
        <v>22</v>
      </c>
      <c r="B28" s="7" t="s">
        <v>132</v>
      </c>
      <c r="C28" s="17"/>
      <c r="D28" s="17"/>
      <c r="E28" s="17"/>
      <c r="F28" s="17"/>
      <c r="G28" s="17"/>
      <c r="H28" s="17"/>
    </row>
    <row r="29" spans="1:8" ht="31.5" customHeight="1" x14ac:dyDescent="0.3">
      <c r="A29" s="8" t="s">
        <v>133</v>
      </c>
      <c r="B29" s="7" t="s">
        <v>80</v>
      </c>
      <c r="C29" s="17"/>
      <c r="D29" s="17"/>
      <c r="E29" s="17"/>
      <c r="F29" s="17"/>
      <c r="G29" s="17"/>
      <c r="H29" s="17"/>
    </row>
    <row r="30" spans="1:8" ht="31.5" customHeight="1" x14ac:dyDescent="0.3">
      <c r="A30" s="8" t="s">
        <v>134</v>
      </c>
      <c r="B30" s="7" t="s">
        <v>78</v>
      </c>
      <c r="C30" s="17"/>
      <c r="D30" s="17"/>
      <c r="E30" s="17"/>
      <c r="F30" s="17"/>
      <c r="G30" s="17"/>
      <c r="H30" s="17"/>
    </row>
    <row r="31" spans="1:8" ht="31.5" customHeight="1" x14ac:dyDescent="0.3">
      <c r="A31" s="8" t="s">
        <v>22</v>
      </c>
      <c r="B31" s="7" t="s">
        <v>21</v>
      </c>
      <c r="C31" s="17"/>
      <c r="D31" s="17"/>
      <c r="E31" s="17"/>
      <c r="F31" s="17"/>
      <c r="G31" s="17"/>
      <c r="H31" s="17"/>
    </row>
    <row r="32" spans="1:8" ht="31.5" customHeight="1" x14ac:dyDescent="0.3">
      <c r="A32" s="8" t="s">
        <v>135</v>
      </c>
      <c r="B32" s="7" t="s">
        <v>63</v>
      </c>
      <c r="C32" s="17"/>
      <c r="D32" s="17"/>
      <c r="E32" s="17"/>
      <c r="F32" s="17"/>
      <c r="G32" s="17"/>
      <c r="H32" s="17"/>
    </row>
    <row r="33" spans="1:8" ht="31.5" customHeight="1" x14ac:dyDescent="0.3">
      <c r="A33" s="8" t="s">
        <v>109</v>
      </c>
      <c r="B33" s="7" t="s">
        <v>76</v>
      </c>
      <c r="C33" s="17"/>
      <c r="D33" s="17"/>
      <c r="E33" s="17"/>
      <c r="F33" s="17"/>
      <c r="G33" s="17"/>
      <c r="H33" s="17"/>
    </row>
    <row r="34" spans="1:8" ht="31.5" customHeight="1" x14ac:dyDescent="0.3">
      <c r="A34" s="8" t="s">
        <v>109</v>
      </c>
      <c r="B34" s="7" t="s">
        <v>12</v>
      </c>
      <c r="C34" s="17"/>
      <c r="D34" s="17"/>
      <c r="E34" s="17"/>
      <c r="F34" s="17"/>
      <c r="G34" s="17"/>
      <c r="H34" s="17"/>
    </row>
    <row r="35" spans="1:8" ht="31.5" customHeight="1" x14ac:dyDescent="0.3">
      <c r="A35" s="8" t="s">
        <v>105</v>
      </c>
      <c r="B35" s="7" t="s">
        <v>42</v>
      </c>
      <c r="C35" s="17"/>
      <c r="D35" s="17"/>
      <c r="E35" s="17"/>
      <c r="F35" s="17"/>
      <c r="G35" s="17"/>
      <c r="H35" s="17"/>
    </row>
    <row r="36" spans="1:8" ht="31.5" customHeight="1" x14ac:dyDescent="0.3">
      <c r="A36" s="8" t="s">
        <v>105</v>
      </c>
      <c r="B36" s="7" t="s">
        <v>74</v>
      </c>
      <c r="C36" s="17"/>
      <c r="D36" s="17"/>
      <c r="E36" s="17"/>
      <c r="F36" s="17"/>
      <c r="G36" s="17"/>
      <c r="H36" s="17"/>
    </row>
    <row r="37" spans="1:8" ht="31.5" customHeight="1" x14ac:dyDescent="0.3">
      <c r="A37" s="8" t="s">
        <v>105</v>
      </c>
      <c r="B37" s="7" t="s">
        <v>49</v>
      </c>
      <c r="C37" s="17"/>
      <c r="D37" s="17"/>
      <c r="E37" s="17"/>
      <c r="F37" s="17"/>
      <c r="G37" s="17"/>
      <c r="H37" s="17"/>
    </row>
    <row r="38" spans="1:8" ht="31.5" customHeight="1" x14ac:dyDescent="0.3">
      <c r="A38" s="8" t="s">
        <v>105</v>
      </c>
      <c r="B38" s="7" t="s">
        <v>44</v>
      </c>
      <c r="C38" s="17"/>
      <c r="D38" s="17"/>
      <c r="E38" s="17"/>
      <c r="F38" s="17"/>
      <c r="G38" s="17"/>
      <c r="H38" s="17"/>
    </row>
    <row r="39" spans="1:8" ht="31.5" customHeight="1" x14ac:dyDescent="0.3">
      <c r="A39" s="8" t="s">
        <v>136</v>
      </c>
      <c r="B39" s="7" t="s">
        <v>84</v>
      </c>
      <c r="C39" s="17"/>
      <c r="D39" s="17"/>
      <c r="E39" s="17"/>
      <c r="F39" s="17"/>
      <c r="G39" s="17"/>
      <c r="H39" s="17"/>
    </row>
    <row r="40" spans="1:8" ht="31.5" customHeight="1" x14ac:dyDescent="0.3">
      <c r="A40" s="8" t="s">
        <v>137</v>
      </c>
      <c r="B40" s="7" t="s">
        <v>138</v>
      </c>
      <c r="C40" s="17"/>
      <c r="D40" s="17"/>
      <c r="E40" s="17"/>
      <c r="F40" s="17"/>
      <c r="G40" s="17"/>
      <c r="H40" s="17"/>
    </row>
    <row r="41" spans="1:8" ht="31.5" customHeight="1" x14ac:dyDescent="0.3">
      <c r="A41" s="8" t="s">
        <v>105</v>
      </c>
      <c r="B41" s="7" t="s">
        <v>53</v>
      </c>
      <c r="C41" s="17"/>
      <c r="D41" s="17"/>
      <c r="E41" s="17"/>
      <c r="F41" s="17"/>
      <c r="G41" s="17"/>
      <c r="H41" s="17"/>
    </row>
    <row r="42" spans="1:8" ht="31.5" customHeight="1" x14ac:dyDescent="0.3">
      <c r="A42" s="8" t="s">
        <v>105</v>
      </c>
      <c r="B42" s="7" t="s">
        <v>14</v>
      </c>
      <c r="C42" s="17"/>
      <c r="D42" s="17"/>
      <c r="E42" s="17"/>
      <c r="F42" s="17"/>
      <c r="G42" s="17"/>
      <c r="H42" s="17"/>
    </row>
    <row r="43" spans="1:8" ht="31.5" customHeight="1" x14ac:dyDescent="0.3">
      <c r="A43" s="8" t="s">
        <v>105</v>
      </c>
      <c r="B43" s="7" t="s">
        <v>51</v>
      </c>
      <c r="C43" s="17"/>
      <c r="D43" s="17"/>
      <c r="E43" s="17"/>
      <c r="F43" s="17"/>
      <c r="G43" s="17"/>
      <c r="H43" s="17"/>
    </row>
    <row r="44" spans="1:8" ht="31.5" customHeight="1" x14ac:dyDescent="0.3">
      <c r="A44" s="8" t="s">
        <v>108</v>
      </c>
      <c r="B44" s="13" t="s">
        <v>26</v>
      </c>
      <c r="C44" s="17"/>
      <c r="D44" s="17"/>
      <c r="E44" s="17"/>
      <c r="F44" s="17"/>
      <c r="G44" s="17"/>
      <c r="H44" s="17"/>
    </row>
    <row r="45" spans="1:8" ht="31.5" customHeight="1" x14ac:dyDescent="0.3">
      <c r="A45" s="8" t="s">
        <v>98</v>
      </c>
      <c r="B45" s="7" t="s">
        <v>69</v>
      </c>
      <c r="C45" s="17"/>
      <c r="D45" s="17"/>
      <c r="E45" s="17"/>
      <c r="F45" s="17"/>
      <c r="G45" s="17"/>
      <c r="H45" s="17"/>
    </row>
    <row r="46" spans="1:8" ht="31.5" customHeight="1" x14ac:dyDescent="0.3">
      <c r="A46" s="8" t="s">
        <v>122</v>
      </c>
      <c r="B46" s="7" t="s">
        <v>33</v>
      </c>
      <c r="C46" s="17"/>
      <c r="D46" s="17"/>
      <c r="E46" s="17"/>
      <c r="F46" s="17"/>
      <c r="G46" s="17"/>
      <c r="H46" s="17"/>
    </row>
    <row r="47" spans="1:8" ht="31.5" customHeight="1" x14ac:dyDescent="0.3">
      <c r="A47" s="8" t="s">
        <v>122</v>
      </c>
      <c r="B47" s="7" t="s">
        <v>31</v>
      </c>
      <c r="C47" s="17"/>
      <c r="D47" s="17"/>
      <c r="E47" s="17"/>
      <c r="F47" s="17"/>
      <c r="G47" s="17"/>
      <c r="H47" s="17"/>
    </row>
    <row r="48" spans="1:8" ht="31.5" customHeight="1" x14ac:dyDescent="0.3">
      <c r="A48" s="8" t="s">
        <v>122</v>
      </c>
      <c r="B48" s="7" t="s">
        <v>139</v>
      </c>
      <c r="C48" s="17"/>
      <c r="D48" s="17"/>
      <c r="E48" s="17"/>
      <c r="F48" s="17"/>
      <c r="G48" s="17"/>
      <c r="H48" s="17"/>
    </row>
    <row r="49" spans="1:8" ht="31.5" customHeight="1" x14ac:dyDescent="0.3">
      <c r="A49" s="8" t="s">
        <v>140</v>
      </c>
      <c r="B49" s="7" t="s">
        <v>19</v>
      </c>
      <c r="C49" s="17"/>
      <c r="D49" s="17"/>
      <c r="E49" s="17"/>
      <c r="F49" s="17"/>
      <c r="G49" s="17"/>
      <c r="H49" s="17"/>
    </row>
    <row r="50" spans="1:8" ht="31.5" customHeight="1" x14ac:dyDescent="0.3">
      <c r="A50" s="8" t="s">
        <v>140</v>
      </c>
      <c r="B50" s="7" t="s">
        <v>141</v>
      </c>
      <c r="C50" s="17"/>
      <c r="D50" s="17"/>
      <c r="E50" s="17"/>
      <c r="F50" s="17"/>
      <c r="G50" s="17"/>
      <c r="H50" s="17"/>
    </row>
    <row r="51" spans="1:8" ht="31.5" customHeight="1" x14ac:dyDescent="0.3">
      <c r="A51" s="8" t="s">
        <v>127</v>
      </c>
      <c r="B51" s="7" t="s">
        <v>40</v>
      </c>
      <c r="C51" s="17"/>
      <c r="D51" s="17"/>
      <c r="E51" s="17"/>
      <c r="F51" s="17"/>
      <c r="G51" s="17"/>
      <c r="H51" s="17"/>
    </row>
    <row r="52" spans="1:8" ht="31.5" customHeight="1" x14ac:dyDescent="0.3">
      <c r="A52" s="8" t="s">
        <v>127</v>
      </c>
      <c r="B52" s="7" t="s">
        <v>142</v>
      </c>
      <c r="C52" s="17"/>
      <c r="D52" s="17"/>
      <c r="E52" s="17"/>
      <c r="F52" s="17"/>
      <c r="G52" s="17"/>
      <c r="H52" s="17"/>
    </row>
    <row r="53" spans="1:8" ht="31.5" customHeight="1" x14ac:dyDescent="0.3">
      <c r="A53" s="8" t="s">
        <v>66</v>
      </c>
      <c r="B53" s="7" t="s">
        <v>143</v>
      </c>
      <c r="C53" s="17"/>
      <c r="D53" s="17"/>
      <c r="E53" s="17"/>
      <c r="F53" s="17"/>
      <c r="G53" s="17"/>
      <c r="H53" s="17"/>
    </row>
    <row r="54" spans="1:8" ht="31.5" customHeight="1" x14ac:dyDescent="0.3">
      <c r="A54" s="8" t="s">
        <v>66</v>
      </c>
      <c r="B54" s="7" t="s">
        <v>65</v>
      </c>
      <c r="C54" s="17"/>
      <c r="D54" s="17"/>
      <c r="E54" s="17"/>
      <c r="F54" s="17"/>
      <c r="G54" s="17"/>
      <c r="H54" s="17"/>
    </row>
    <row r="55" spans="1:8" ht="31.5" customHeight="1" x14ac:dyDescent="0.3">
      <c r="A55" s="8" t="s">
        <v>66</v>
      </c>
      <c r="B55" s="7" t="s">
        <v>144</v>
      </c>
      <c r="C55" s="17"/>
      <c r="D55" s="17"/>
      <c r="E55" s="17"/>
      <c r="F55" s="17"/>
      <c r="G55" s="17"/>
      <c r="H55" s="17"/>
    </row>
    <row r="56" spans="1:8" ht="31.5" customHeight="1" x14ac:dyDescent="0.3">
      <c r="A56" s="8" t="s">
        <v>127</v>
      </c>
      <c r="B56" s="7" t="s">
        <v>145</v>
      </c>
      <c r="C56" s="17"/>
      <c r="D56" s="17"/>
      <c r="E56" s="17"/>
      <c r="F56" s="17"/>
      <c r="G56" s="17"/>
      <c r="H56" s="17"/>
    </row>
    <row r="57" spans="1:8" ht="31.5" customHeight="1" x14ac:dyDescent="0.3">
      <c r="A57" s="8" t="s">
        <v>146</v>
      </c>
      <c r="B57" s="7" t="s">
        <v>147</v>
      </c>
      <c r="C57" s="17"/>
      <c r="D57" s="17"/>
      <c r="E57" s="17"/>
      <c r="F57" s="17"/>
      <c r="G57" s="17"/>
      <c r="H57" s="17"/>
    </row>
    <row r="58" spans="1:8" ht="31.5" customHeight="1" x14ac:dyDescent="0.3">
      <c r="A58" s="8" t="s">
        <v>148</v>
      </c>
      <c r="B58" s="7" t="s">
        <v>149</v>
      </c>
      <c r="C58" s="17"/>
      <c r="D58" s="17"/>
      <c r="E58" s="17"/>
      <c r="F58" s="17"/>
      <c r="G58" s="17"/>
      <c r="H58" s="17"/>
    </row>
    <row r="59" spans="1:8" ht="31.5" customHeight="1" x14ac:dyDescent="0.3">
      <c r="A59" s="8" t="s">
        <v>122</v>
      </c>
      <c r="B59" s="7" t="s">
        <v>150</v>
      </c>
      <c r="C59" s="17"/>
      <c r="D59" s="17"/>
      <c r="E59" s="17"/>
      <c r="F59" s="17"/>
      <c r="G59" s="17"/>
      <c r="H59" s="17"/>
    </row>
    <row r="60" spans="1:8" ht="31.5" customHeight="1" x14ac:dyDescent="0.3">
      <c r="A60" s="8" t="s">
        <v>151</v>
      </c>
      <c r="B60" s="7" t="s">
        <v>152</v>
      </c>
      <c r="C60" s="17"/>
      <c r="D60" s="17"/>
      <c r="E60" s="17"/>
      <c r="F60" s="17"/>
      <c r="G60" s="17"/>
      <c r="H60" s="17"/>
    </row>
    <row r="61" spans="1:8" ht="31.5" customHeight="1" x14ac:dyDescent="0.3">
      <c r="A61" s="8" t="s">
        <v>125</v>
      </c>
      <c r="B61" s="7" t="s">
        <v>153</v>
      </c>
      <c r="C61" s="17"/>
      <c r="D61" s="17"/>
      <c r="E61" s="17"/>
      <c r="F61" s="17"/>
      <c r="G61" s="17"/>
      <c r="H61" s="17"/>
    </row>
    <row r="62" spans="1:8" ht="31.5" customHeight="1" x14ac:dyDescent="0.3">
      <c r="A62" s="8" t="s">
        <v>154</v>
      </c>
      <c r="B62" s="7" t="s">
        <v>155</v>
      </c>
      <c r="C62" s="17"/>
      <c r="D62" s="17"/>
      <c r="E62" s="17"/>
      <c r="F62" s="17"/>
      <c r="G62" s="17"/>
      <c r="H62" s="17"/>
    </row>
    <row r="63" spans="1:8" ht="31.5" customHeight="1" x14ac:dyDescent="0.3">
      <c r="A63" s="8" t="s">
        <v>156</v>
      </c>
      <c r="B63" s="7" t="s">
        <v>157</v>
      </c>
      <c r="C63" s="17"/>
      <c r="D63" s="17"/>
      <c r="E63" s="17"/>
      <c r="F63" s="17"/>
      <c r="G63" s="17"/>
      <c r="H63" s="17"/>
    </row>
    <row r="64" spans="1:8" ht="31.5" customHeight="1" x14ac:dyDescent="0.3">
      <c r="A64" s="8" t="s">
        <v>66</v>
      </c>
      <c r="B64" s="14" t="s">
        <v>158</v>
      </c>
      <c r="C64" s="17"/>
      <c r="D64" s="17"/>
      <c r="E64" s="17"/>
      <c r="F64" s="17"/>
      <c r="G64" s="17"/>
      <c r="H64" s="17"/>
    </row>
    <row r="65" spans="1:8" ht="31.5" customHeight="1" x14ac:dyDescent="0.3">
      <c r="A65" s="8" t="s">
        <v>22</v>
      </c>
      <c r="B65" s="12" t="s">
        <v>159</v>
      </c>
      <c r="C65" s="17"/>
      <c r="D65" s="17"/>
      <c r="E65" s="17"/>
      <c r="F65" s="17"/>
      <c r="G65" s="17"/>
      <c r="H65" s="17"/>
    </row>
    <row r="66" spans="1:8" ht="31.5" customHeight="1" x14ac:dyDescent="0.3">
      <c r="A66" s="8" t="s">
        <v>125</v>
      </c>
      <c r="B66" s="7" t="s">
        <v>57</v>
      </c>
      <c r="C66" s="17"/>
      <c r="D66" s="17"/>
      <c r="E66" s="17"/>
      <c r="F66" s="17"/>
      <c r="G66" s="17"/>
      <c r="H66" s="17"/>
    </row>
    <row r="67" spans="1:8" ht="31.5" customHeight="1" x14ac:dyDescent="0.3">
      <c r="A67" s="15" t="s">
        <v>160</v>
      </c>
      <c r="B67" s="14" t="s">
        <v>161</v>
      </c>
      <c r="C67" s="17"/>
      <c r="D67" s="17"/>
      <c r="E67" s="17"/>
      <c r="F67" s="17"/>
      <c r="G67" s="17"/>
      <c r="H67" s="17"/>
    </row>
  </sheetData>
  <phoneticPr fontId="12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0E8FE-35D6-4197-A26C-7B03E7F2A80E}">
  <dimension ref="A1:D7"/>
  <sheetViews>
    <sheetView tabSelected="1" workbookViewId="0">
      <selection activeCell="D5" sqref="D5"/>
    </sheetView>
  </sheetViews>
  <sheetFormatPr defaultRowHeight="14" x14ac:dyDescent="0.3"/>
  <cols>
    <col min="1" max="2" width="17.25" customWidth="1"/>
    <col min="3" max="3" width="16.6640625" customWidth="1"/>
    <col min="4" max="4" width="12.58203125" bestFit="1" customWidth="1"/>
  </cols>
  <sheetData>
    <row r="1" spans="1:4" x14ac:dyDescent="0.3">
      <c r="A1" t="s">
        <v>9</v>
      </c>
    </row>
    <row r="2" spans="1:4" ht="14.5" x14ac:dyDescent="0.35">
      <c r="A2" s="2">
        <v>45658</v>
      </c>
      <c r="B2" s="3">
        <v>9.1977399999999996</v>
      </c>
    </row>
    <row r="3" spans="1:4" ht="14.5" x14ac:dyDescent="0.35">
      <c r="A3" s="2">
        <v>45292</v>
      </c>
      <c r="B3" s="4">
        <v>8.81203</v>
      </c>
    </row>
    <row r="5" spans="1:4" x14ac:dyDescent="0.3">
      <c r="C5">
        <v>58470540.802900001</v>
      </c>
      <c r="D5" s="19">
        <f>C5/B3</f>
        <v>6635308.8678658605</v>
      </c>
    </row>
    <row r="6" spans="1:4" x14ac:dyDescent="0.3">
      <c r="C6">
        <v>19930879.645599999</v>
      </c>
      <c r="D6" s="19">
        <f>C6/B3</f>
        <v>2261780.729933965</v>
      </c>
    </row>
    <row r="7" spans="1:4" x14ac:dyDescent="0.3">
      <c r="C7" s="19">
        <v>6847295.0014000004</v>
      </c>
      <c r="D7" s="19">
        <f>C7/B2</f>
        <v>744454.07256565208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017C0-1CD7-468B-9D97-5F61F7A4C89D}">
  <dimension ref="A1:B6591"/>
  <sheetViews>
    <sheetView workbookViewId="0">
      <selection activeCell="A26" sqref="A26"/>
    </sheetView>
  </sheetViews>
  <sheetFormatPr defaultRowHeight="14" x14ac:dyDescent="0.3"/>
  <cols>
    <col min="1" max="1" width="38.5" style="9" customWidth="1"/>
    <col min="2" max="2" width="18.83203125" style="10" bestFit="1" customWidth="1"/>
  </cols>
  <sheetData>
    <row r="1" spans="1:2" x14ac:dyDescent="0.3">
      <c r="A1" s="5" t="s">
        <v>11</v>
      </c>
      <c r="B1" s="5" t="s">
        <v>11</v>
      </c>
    </row>
    <row r="2" spans="1:2" x14ac:dyDescent="0.3">
      <c r="A2" s="6" t="s">
        <v>12</v>
      </c>
      <c r="B2" s="6" t="s">
        <v>13</v>
      </c>
    </row>
    <row r="3" spans="1:2" x14ac:dyDescent="0.3">
      <c r="A3" s="6" t="s">
        <v>14</v>
      </c>
      <c r="B3" s="6" t="s">
        <v>15</v>
      </c>
    </row>
    <row r="4" spans="1:2" x14ac:dyDescent="0.3">
      <c r="A4" s="6"/>
      <c r="B4" s="6" t="s">
        <v>16</v>
      </c>
    </row>
    <row r="5" spans="1:2" x14ac:dyDescent="0.3">
      <c r="A5" s="6"/>
      <c r="B5" s="6" t="s">
        <v>17</v>
      </c>
    </row>
    <row r="6" spans="1:2" x14ac:dyDescent="0.3">
      <c r="A6" s="6"/>
      <c r="B6" s="6" t="s">
        <v>18</v>
      </c>
    </row>
    <row r="7" spans="1:2" x14ac:dyDescent="0.3">
      <c r="A7" s="6" t="s">
        <v>19</v>
      </c>
      <c r="B7" s="6" t="s">
        <v>20</v>
      </c>
    </row>
    <row r="8" spans="1:2" x14ac:dyDescent="0.3">
      <c r="A8" s="6" t="s">
        <v>93</v>
      </c>
      <c r="B8" s="6" t="s">
        <v>22</v>
      </c>
    </row>
    <row r="9" spans="1:2" x14ac:dyDescent="0.3">
      <c r="A9" s="6"/>
      <c r="B9" s="6" t="s">
        <v>23</v>
      </c>
    </row>
    <row r="10" spans="1:2" x14ac:dyDescent="0.3">
      <c r="A10" s="6"/>
      <c r="B10" s="6" t="s">
        <v>24</v>
      </c>
    </row>
    <row r="11" spans="1:2" x14ac:dyDescent="0.3">
      <c r="A11" s="6"/>
      <c r="B11" s="6" t="s">
        <v>25</v>
      </c>
    </row>
    <row r="12" spans="1:2" x14ac:dyDescent="0.3">
      <c r="A12" s="6" t="s">
        <v>26</v>
      </c>
      <c r="B12" s="6" t="s">
        <v>27</v>
      </c>
    </row>
    <row r="13" spans="1:2" x14ac:dyDescent="0.3">
      <c r="A13" s="6"/>
      <c r="B13" s="6" t="s">
        <v>28</v>
      </c>
    </row>
    <row r="14" spans="1:2" x14ac:dyDescent="0.3">
      <c r="A14" s="6" t="s">
        <v>29</v>
      </c>
      <c r="B14" s="6" t="s">
        <v>30</v>
      </c>
    </row>
    <row r="15" spans="1:2" x14ac:dyDescent="0.3">
      <c r="A15" s="6" t="s">
        <v>32</v>
      </c>
      <c r="B15" s="6" t="s">
        <v>32</v>
      </c>
    </row>
    <row r="16" spans="1:2" x14ac:dyDescent="0.3">
      <c r="A16" s="6" t="s">
        <v>34</v>
      </c>
      <c r="B16" s="6" t="s">
        <v>34</v>
      </c>
    </row>
    <row r="17" spans="1:2" x14ac:dyDescent="0.3">
      <c r="A17" s="6"/>
      <c r="B17" s="6" t="s">
        <v>35</v>
      </c>
    </row>
    <row r="18" spans="1:2" x14ac:dyDescent="0.3">
      <c r="A18" s="6"/>
      <c r="B18" s="6" t="s">
        <v>36</v>
      </c>
    </row>
    <row r="19" spans="1:2" x14ac:dyDescent="0.3">
      <c r="A19" s="6"/>
      <c r="B19" s="6" t="s">
        <v>37</v>
      </c>
    </row>
    <row r="20" spans="1:2" x14ac:dyDescent="0.3">
      <c r="A20" s="6"/>
      <c r="B20" s="6" t="s">
        <v>38</v>
      </c>
    </row>
    <row r="21" spans="1:2" x14ac:dyDescent="0.3">
      <c r="A21" s="6"/>
      <c r="B21" s="6" t="s">
        <v>39</v>
      </c>
    </row>
    <row r="22" spans="1:2" x14ac:dyDescent="0.3">
      <c r="A22" s="6" t="s">
        <v>41</v>
      </c>
      <c r="B22" s="6" t="s">
        <v>41</v>
      </c>
    </row>
    <row r="23" spans="1:2" x14ac:dyDescent="0.3">
      <c r="A23" s="6" t="s">
        <v>42</v>
      </c>
      <c r="B23" s="6" t="s">
        <v>43</v>
      </c>
    </row>
    <row r="24" spans="1:2" x14ac:dyDescent="0.3">
      <c r="A24" s="6" t="s">
        <v>44</v>
      </c>
      <c r="B24" s="6" t="s">
        <v>45</v>
      </c>
    </row>
    <row r="25" spans="1:2" x14ac:dyDescent="0.3">
      <c r="A25" s="6" t="s">
        <v>46</v>
      </c>
      <c r="B25" s="6" t="s">
        <v>47</v>
      </c>
    </row>
    <row r="26" spans="1:2" x14ac:dyDescent="0.3">
      <c r="A26" s="6" t="s">
        <v>48</v>
      </c>
      <c r="B26" s="6" t="s">
        <v>48</v>
      </c>
    </row>
    <row r="27" spans="1:2" x14ac:dyDescent="0.3">
      <c r="A27" s="6" t="s">
        <v>49</v>
      </c>
      <c r="B27" s="6" t="s">
        <v>50</v>
      </c>
    </row>
    <row r="28" spans="1:2" x14ac:dyDescent="0.3">
      <c r="A28" s="6" t="s">
        <v>51</v>
      </c>
      <c r="B28" s="6" t="s">
        <v>52</v>
      </c>
    </row>
    <row r="29" spans="1:2" x14ac:dyDescent="0.3">
      <c r="A29" s="6" t="s">
        <v>53</v>
      </c>
      <c r="B29" s="6" t="s">
        <v>54</v>
      </c>
    </row>
    <row r="30" spans="1:2" x14ac:dyDescent="0.3">
      <c r="A30" s="6"/>
      <c r="B30" s="6" t="s">
        <v>55</v>
      </c>
    </row>
    <row r="31" spans="1:2" x14ac:dyDescent="0.3">
      <c r="A31" s="6"/>
      <c r="B31" s="6" t="s">
        <v>56</v>
      </c>
    </row>
    <row r="32" spans="1:2" x14ac:dyDescent="0.3">
      <c r="A32" s="6" t="s">
        <v>57</v>
      </c>
      <c r="B32" s="6" t="s">
        <v>58</v>
      </c>
    </row>
    <row r="33" spans="1:2" x14ac:dyDescent="0.3">
      <c r="A33" s="6" t="s">
        <v>29</v>
      </c>
      <c r="B33" s="6" t="s">
        <v>59</v>
      </c>
    </row>
    <row r="34" spans="1:2" x14ac:dyDescent="0.3">
      <c r="A34" s="6"/>
      <c r="B34" s="6" t="s">
        <v>60</v>
      </c>
    </row>
    <row r="35" spans="1:2" x14ac:dyDescent="0.3">
      <c r="A35" s="6" t="s">
        <v>61</v>
      </c>
      <c r="B35" s="6" t="s">
        <v>62</v>
      </c>
    </row>
    <row r="36" spans="1:2" x14ac:dyDescent="0.3">
      <c r="A36" s="6" t="s">
        <v>63</v>
      </c>
      <c r="B36" s="6" t="s">
        <v>64</v>
      </c>
    </row>
    <row r="37" spans="1:2" x14ac:dyDescent="0.3">
      <c r="A37" s="6" t="s">
        <v>65</v>
      </c>
      <c r="B37" s="6" t="s">
        <v>66</v>
      </c>
    </row>
    <row r="38" spans="1:2" x14ac:dyDescent="0.3">
      <c r="A38" s="6"/>
      <c r="B38" s="6" t="s">
        <v>67</v>
      </c>
    </row>
    <row r="39" spans="1:2" x14ac:dyDescent="0.3">
      <c r="A39" s="6"/>
      <c r="B39" s="6" t="s">
        <v>68</v>
      </c>
    </row>
    <row r="40" spans="1:2" x14ac:dyDescent="0.3">
      <c r="A40" s="6" t="s">
        <v>69</v>
      </c>
      <c r="B40" s="6" t="s">
        <v>70</v>
      </c>
    </row>
    <row r="41" spans="1:2" x14ac:dyDescent="0.3">
      <c r="A41" s="6"/>
      <c r="B41" s="6" t="s">
        <v>71</v>
      </c>
    </row>
    <row r="42" spans="1:2" x14ac:dyDescent="0.3">
      <c r="A42" s="6"/>
      <c r="B42" s="6" t="s">
        <v>72</v>
      </c>
    </row>
    <row r="43" spans="1:2" x14ac:dyDescent="0.3">
      <c r="A43" s="6"/>
      <c r="B43" s="6" t="s">
        <v>73</v>
      </c>
    </row>
    <row r="44" spans="1:2" x14ac:dyDescent="0.3">
      <c r="A44" s="6" t="s">
        <v>74</v>
      </c>
      <c r="B44" s="6" t="s">
        <v>75</v>
      </c>
    </row>
    <row r="45" spans="1:2" x14ac:dyDescent="0.3">
      <c r="A45" s="6" t="s">
        <v>76</v>
      </c>
      <c r="B45" s="6" t="s">
        <v>77</v>
      </c>
    </row>
    <row r="46" spans="1:2" x14ac:dyDescent="0.3">
      <c r="A46" s="6" t="s">
        <v>78</v>
      </c>
      <c r="B46" s="6" t="s">
        <v>79</v>
      </c>
    </row>
    <row r="47" spans="1:2" x14ac:dyDescent="0.3">
      <c r="A47" s="6" t="s">
        <v>80</v>
      </c>
      <c r="B47" s="6" t="s">
        <v>81</v>
      </c>
    </row>
    <row r="48" spans="1:2" x14ac:dyDescent="0.3">
      <c r="A48" s="6" t="s">
        <v>21</v>
      </c>
      <c r="B48" s="6" t="s">
        <v>27</v>
      </c>
    </row>
    <row r="49" spans="1:2" x14ac:dyDescent="0.3">
      <c r="A49" s="6" t="s">
        <v>26</v>
      </c>
      <c r="B49" s="6" t="s">
        <v>82</v>
      </c>
    </row>
    <row r="50" spans="1:2" x14ac:dyDescent="0.3">
      <c r="A50" s="6" t="s">
        <v>78</v>
      </c>
      <c r="B50" s="6" t="s">
        <v>83</v>
      </c>
    </row>
    <row r="51" spans="1:2" x14ac:dyDescent="0.3">
      <c r="A51" s="6" t="s">
        <v>84</v>
      </c>
      <c r="B51" s="6" t="s">
        <v>85</v>
      </c>
    </row>
    <row r="52" spans="1:2" x14ac:dyDescent="0.3">
      <c r="A52" s="6" t="s">
        <v>86</v>
      </c>
      <c r="B52" s="6" t="s">
        <v>87</v>
      </c>
    </row>
    <row r="53" spans="1:2" x14ac:dyDescent="0.3">
      <c r="A53" s="6" t="s">
        <v>88</v>
      </c>
      <c r="B53" s="6" t="s">
        <v>88</v>
      </c>
    </row>
    <row r="54" spans="1:2" x14ac:dyDescent="0.3">
      <c r="A54" s="6" t="s">
        <v>89</v>
      </c>
      <c r="B54" s="6" t="s">
        <v>71</v>
      </c>
    </row>
    <row r="55" spans="1:2" x14ac:dyDescent="0.3">
      <c r="A55" s="6" t="s">
        <v>90</v>
      </c>
      <c r="B55" s="6" t="s">
        <v>71</v>
      </c>
    </row>
    <row r="56" spans="1:2" x14ac:dyDescent="0.3">
      <c r="A56" s="6" t="s">
        <v>91</v>
      </c>
      <c r="B56" s="6" t="s">
        <v>68</v>
      </c>
    </row>
    <row r="57" spans="1:2" x14ac:dyDescent="0.3">
      <c r="A57" s="6" t="s">
        <v>92</v>
      </c>
      <c r="B57" s="6" t="s">
        <v>17</v>
      </c>
    </row>
    <row r="58" spans="1:2" x14ac:dyDescent="0.3">
      <c r="A58"/>
      <c r="B58"/>
    </row>
    <row r="59" spans="1:2" x14ac:dyDescent="0.3">
      <c r="A59"/>
      <c r="B59"/>
    </row>
    <row r="60" spans="1:2" x14ac:dyDescent="0.3">
      <c r="A60"/>
      <c r="B60"/>
    </row>
    <row r="61" spans="1:2" x14ac:dyDescent="0.3">
      <c r="A61"/>
      <c r="B61"/>
    </row>
    <row r="62" spans="1:2" x14ac:dyDescent="0.3">
      <c r="A62"/>
      <c r="B62"/>
    </row>
    <row r="63" spans="1:2" x14ac:dyDescent="0.3">
      <c r="A63"/>
      <c r="B63"/>
    </row>
    <row r="64" spans="1:2" x14ac:dyDescent="0.3">
      <c r="A64"/>
      <c r="B64"/>
    </row>
    <row r="65" customFormat="1" x14ac:dyDescent="0.3"/>
    <row r="66" customFormat="1" x14ac:dyDescent="0.3"/>
    <row r="67" customFormat="1" x14ac:dyDescent="0.3"/>
    <row r="68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spans="1:2" x14ac:dyDescent="0.3">
      <c r="A6577"/>
      <c r="B6577"/>
    </row>
    <row r="6578" spans="1:2" x14ac:dyDescent="0.3">
      <c r="A6578"/>
      <c r="B6578"/>
    </row>
    <row r="6579" spans="1:2" x14ac:dyDescent="0.3">
      <c r="A6579"/>
      <c r="B6579"/>
    </row>
    <row r="6580" spans="1:2" x14ac:dyDescent="0.3">
      <c r="A6580"/>
      <c r="B6580"/>
    </row>
    <row r="6581" spans="1:2" x14ac:dyDescent="0.3">
      <c r="A6581"/>
      <c r="B6581"/>
    </row>
    <row r="6582" spans="1:2" x14ac:dyDescent="0.3">
      <c r="A6582"/>
      <c r="B6582"/>
    </row>
    <row r="6583" spans="1:2" x14ac:dyDescent="0.3">
      <c r="A6583"/>
      <c r="B6583"/>
    </row>
    <row r="6584" spans="1:2" x14ac:dyDescent="0.3">
      <c r="A6584"/>
      <c r="B6584"/>
    </row>
    <row r="6585" spans="1:2" x14ac:dyDescent="0.3">
      <c r="A6585"/>
      <c r="B6585"/>
    </row>
    <row r="6586" spans="1:2" x14ac:dyDescent="0.3">
      <c r="A6586"/>
      <c r="B6586"/>
    </row>
    <row r="6587" spans="1:2" x14ac:dyDescent="0.3">
      <c r="A6587"/>
      <c r="B6587"/>
    </row>
    <row r="6588" spans="1:2" x14ac:dyDescent="0.3">
      <c r="A6588"/>
      <c r="B6588"/>
    </row>
    <row r="6589" spans="1:2" x14ac:dyDescent="0.3">
      <c r="A6589"/>
      <c r="B6589"/>
    </row>
    <row r="6590" spans="1:2" x14ac:dyDescent="0.3">
      <c r="A6590"/>
      <c r="B6590"/>
    </row>
    <row r="6591" spans="1:2" x14ac:dyDescent="0.3">
      <c r="A6591"/>
      <c r="B6591"/>
    </row>
  </sheetData>
  <protectedRanges>
    <protectedRange sqref="B3:B11 B419:B421 B15:B17 A8 A15:A16" name="Range1_1"/>
    <protectedRange sqref="B615:B710" name="Range1_9"/>
    <protectedRange sqref="B717:B719" name="Range1_7_1"/>
    <protectedRange sqref="B720:B733" name="Range1_8_2"/>
    <protectedRange sqref="B734:B735 B741:B742 B747 B751:B752 B756" name="Range1_11"/>
    <protectedRange sqref="B908:B950" name="Range1_1_2"/>
    <protectedRange sqref="B951:B959" name="Range1_12"/>
    <protectedRange sqref="B960:B961 B963:B967 B969:B970 B975:B976 B981:B982 B987:B988 B972:B973 B978:B979 B984:B985" name="Range1_13"/>
    <protectedRange sqref="B1144 B990:B1138" name="Range1_14"/>
    <protectedRange sqref="B1139:B1143" name="Range1_5_3"/>
    <protectedRange sqref="B1726:B1775 B1841:B2098 B2159:B2167 B2108:B2130" name="Range1_15"/>
    <protectedRange sqref="B1841:B1847 B2108" name="Range1_1_5"/>
    <protectedRange sqref="B1776:B1840 B2099:B2107" name="Range1_2_4"/>
    <protectedRange sqref="B2360:B2363" name="Range1_4_4"/>
    <protectedRange sqref="B2384:B2387 B2428:B2431 B2389:B2392" name="Range1_16"/>
    <protectedRange sqref="B2364:B2383 B2388 B2393 B2417 B5675 B2432 B2454 B2456 B5696 B5698 B6036 B971 B977 B983 B989 B2415" name="Range1_11_1"/>
    <protectedRange sqref="B2394:B2412 B2433:B2451" name="Range1_1_6"/>
    <protectedRange sqref="B2413:B2414 B2452:B2453 B2455 B2416" name="Range1_2_5"/>
    <protectedRange sqref="B2418:B2427 B2457:B2466" name="Range1_5_4"/>
    <protectedRange sqref="B3382:B3711" name="Range1_17"/>
    <protectedRange sqref="B3757:B3823" name="Range1_18"/>
    <protectedRange sqref="B4158 B3824:B4014" name="Range1_19"/>
    <protectedRange sqref="B4015:B4157" name="Range1_7_5"/>
    <protectedRange sqref="B4420:B4426 B4366:B4383 B4344:B4361 B4322:B4339 B4300:B4317 B4276:B4295 B4232:B4249 B4254:B4271 B4522:B4528 B4532:B4546 B4548:B4554 B4584:B4606 B4558:B4580 B4388:B4415" name="Range1_1_8"/>
    <protectedRange sqref="B4487:B4495 B4480:B4485 B4497:B4502 B4506:B4507 B4441:B4443 B4445:B4476" name="Range1_8_4"/>
    <protectedRange sqref="B4433:B4440" name="Range1_9_2"/>
    <protectedRange sqref="B4159:B4227 B5805:B5807" name="Range1_3_8"/>
    <protectedRange sqref="B4228:B4231" name="Range1_14_1"/>
    <protectedRange sqref="B4416:B4419" name="Range1_15_1"/>
    <protectedRange sqref="B4428:B4431" name="Range1_16_1"/>
    <protectedRange sqref="B4477:B4479" name="Range1_17_1"/>
    <protectedRange sqref="B4607:B5081" name="Range1_20"/>
    <protectedRange sqref="B5184:B5187" name="Range1_21"/>
    <protectedRange sqref="B5567:B5569" name="Range1_22"/>
    <protectedRange sqref="B5577" name="Range1_1_9"/>
    <protectedRange sqref="B5578" name="Range1_1_10"/>
    <protectedRange sqref="B5579" name="Range1_1_11"/>
    <protectedRange sqref="B5580" name="Range1_23"/>
    <protectedRange sqref="B5581" name="Range1_24"/>
    <protectedRange sqref="B5582" name="Range1_25"/>
    <protectedRange sqref="B5583" name="Range1_26"/>
    <protectedRange sqref="B5584" name="Range1_27"/>
    <protectedRange sqref="B5585" name="Range1_28"/>
    <protectedRange sqref="B5586" name="Range1_29"/>
    <protectedRange sqref="B5587" name="Range1_30"/>
    <protectedRange sqref="B5588" name="Range1_31"/>
    <protectedRange sqref="B5589" name="Range1_32"/>
    <protectedRange sqref="B5590" name="Range1_33"/>
    <protectedRange sqref="B5591" name="Range1_34"/>
    <protectedRange sqref="B5592" name="Range1_35"/>
    <protectedRange sqref="B5593" name="Range1_36"/>
    <protectedRange sqref="B5594" name="Range1_37"/>
    <protectedRange sqref="B5595" name="Range1_38"/>
    <protectedRange sqref="B5596" name="Range1_39"/>
    <protectedRange sqref="B5597" name="Range1_40"/>
    <protectedRange sqref="B5598" name="Range1_41"/>
    <protectedRange sqref="B5599" name="Range1_42"/>
    <protectedRange sqref="B5600" name="Range1_43"/>
    <protectedRange sqref="B5601:B5603" name="Range1_44"/>
    <protectedRange sqref="B5604:B5606" name="Range1_45"/>
    <protectedRange sqref="B5607:B5609" name="Range1_46"/>
    <protectedRange sqref="B5610:B5612" name="Range1_47"/>
    <protectedRange sqref="B5613" name="Range1_48"/>
    <protectedRange sqref="B5671:B5674" name="Range1_49"/>
    <protectedRange sqref="B5676:B5693" name="Range1_1_13"/>
    <protectedRange sqref="B5694:B5695 B5697" name="Range1_2_9"/>
    <protectedRange sqref="B5699:B5708" name="Range1_5_8"/>
    <protectedRange sqref="B5784" name="Range1_50"/>
    <protectedRange sqref="B5789" name="Range1_55"/>
    <protectedRange sqref="B5790" name="Range1_56"/>
    <protectedRange sqref="B5791" name="Range1_57"/>
    <protectedRange sqref="B5792" name="Range1_58"/>
    <protectedRange sqref="B5793" name="Range1_59"/>
    <protectedRange sqref="B5794" name="Range1_60"/>
    <protectedRange sqref="B5795" name="Range1_61"/>
    <protectedRange sqref="B5796" name="Range1_7_11"/>
    <protectedRange sqref="B5797" name="Range1_7_12"/>
    <protectedRange sqref="B5798" name="Range1_7_13"/>
    <protectedRange sqref="B5799" name="Range1_7_14"/>
    <protectedRange sqref="B5800" name="Range1_7_15"/>
    <protectedRange sqref="B5801" name="Range1_7_16"/>
    <protectedRange sqref="B5802" name="Range1_7_17"/>
    <protectedRange sqref="B5803" name="Range1_7_18"/>
    <protectedRange sqref="B5804" name="Range1_7_19"/>
    <protectedRange sqref="B5808" name="Range1_14_2"/>
    <protectedRange sqref="B5816" name="Range1_15_2"/>
    <protectedRange sqref="B5817" name="Range1_16_2"/>
    <protectedRange sqref="B5847" name="Range1_62"/>
    <protectedRange sqref="B5963" name="Range1_63"/>
    <protectedRange sqref="B5964" name="Range1_64"/>
    <protectedRange sqref="B5965:B5966" name="Range1_65"/>
    <protectedRange sqref="B5967:B5968" name="Range1_66"/>
    <protectedRange sqref="B5992:B5993 B5995:B5997" name="Range1_67"/>
    <protectedRange sqref="B5998" name="Range1_68"/>
    <protectedRange sqref="B5999" name="Range1_69"/>
    <protectedRange sqref="B6000" name="Range1_70"/>
    <protectedRange sqref="B6001" name="Range1_71"/>
    <protectedRange sqref="B6002" name="Range1_72"/>
    <protectedRange sqref="B6003" name="Range1_73"/>
    <protectedRange sqref="B6004" name="Range1_74"/>
    <protectedRange sqref="B5785" name="Range1_79"/>
    <protectedRange sqref="B5786" name="Range1_80"/>
    <protectedRange sqref="B5787" name="Range1_81"/>
    <protectedRange sqref="B5788" name="Range1_82"/>
  </protectedRanges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Product Category</vt:lpstr>
      <vt:lpstr>Volume guideance</vt:lpstr>
      <vt:lpstr>FX Rate</vt:lpstr>
      <vt:lpstr>对照表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Daisy Cai</dc:creator>
  <cp:lastModifiedBy>Zhu Yue</cp:lastModifiedBy>
  <dcterms:created xsi:type="dcterms:W3CDTF">2025-04-05T02:07:08Z</dcterms:created>
  <dcterms:modified xsi:type="dcterms:W3CDTF">2025-04-13T13:47:03Z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9fea72e-161c-48c8-8e82-3fc1e9b3162c_Enabled">
    <vt:lpwstr>true</vt:lpwstr>
  </property>
  <property fmtid="{D5CDD505-2E9C-101B-9397-08002B2CF9AE}" pid="3" name="MSIP_Label_e9fea72e-161c-48c8-8e82-3fc1e9b3162c_SetDate">
    <vt:lpwstr>2025-04-05T09:57:44Z</vt:lpwstr>
  </property>
  <property fmtid="{D5CDD505-2E9C-101B-9397-08002B2CF9AE}" pid="4" name="MSIP_Label_e9fea72e-161c-48c8-8e82-3fc1e9b3162c_Method">
    <vt:lpwstr>Standard</vt:lpwstr>
  </property>
  <property fmtid="{D5CDD505-2E9C-101B-9397-08002B2CF9AE}" pid="5" name="MSIP_Label_e9fea72e-161c-48c8-8e82-3fc1e9b3162c_Name">
    <vt:lpwstr>Normal sensitivity label</vt:lpwstr>
  </property>
  <property fmtid="{D5CDD505-2E9C-101B-9397-08002B2CF9AE}" pid="6" name="MSIP_Label_e9fea72e-161c-48c8-8e82-3fc1e9b3162c_SiteId">
    <vt:lpwstr>ff9c7474-421d-4957-8d47-c4b64dec87b5</vt:lpwstr>
  </property>
  <property fmtid="{D5CDD505-2E9C-101B-9397-08002B2CF9AE}" pid="7" name="MSIP_Label_e9fea72e-161c-48c8-8e82-3fc1e9b3162c_ActionId">
    <vt:lpwstr>440398ab-20d6-45ba-aea0-d573de2124ae</vt:lpwstr>
  </property>
  <property fmtid="{D5CDD505-2E9C-101B-9397-08002B2CF9AE}" pid="8" name="MSIP_Label_e9fea72e-161c-48c8-8e82-3fc1e9b3162c_ContentBits">
    <vt:lpwstr>0</vt:lpwstr>
  </property>
</Properties>
</file>