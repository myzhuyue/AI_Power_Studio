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saf-my.dps.mil/personal/jennifer_shelton_4_us_af_mil/Documents/Desktop/Barge Status/sample files/"/>
    </mc:Choice>
  </mc:AlternateContent>
  <xr:revisionPtr revIDLastSave="0" documentId="8_{EB525312-2EF7-41FF-97F6-E22731FAD6D1}" xr6:coauthVersionLast="47" xr6:coauthVersionMax="47" xr10:uidLastSave="{00000000-0000-0000-0000-000000000000}"/>
  <bookViews>
    <workbookView xWindow="-110" yWindow="30" windowWidth="19420" windowHeight="10160" xr2:uid="{D57191A7-072D-41EA-8092-424E663EF309}"/>
  </bookViews>
  <sheets>
    <sheet name="Staffing Manpower Data" sheetId="3" r:id="rId1"/>
    <sheet name="Chart 2025" sheetId="2" r:id="rId2"/>
    <sheet name="Chart 2024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N3" i="2" s="1"/>
  <c r="L3" i="2"/>
  <c r="C4" i="2"/>
  <c r="E4" i="2"/>
  <c r="F4" i="2"/>
  <c r="G4" i="2" s="1"/>
  <c r="I4" i="2"/>
  <c r="K4" i="2"/>
  <c r="L4" i="2"/>
  <c r="M4" i="2"/>
  <c r="N4" i="2"/>
  <c r="C5" i="2"/>
  <c r="E5" i="2"/>
  <c r="F5" i="2"/>
  <c r="I5" i="2"/>
  <c r="K5" i="2"/>
  <c r="L5" i="2"/>
  <c r="M6" i="2" s="1"/>
  <c r="C6" i="2"/>
  <c r="E6" i="2"/>
  <c r="F6" i="2"/>
  <c r="G7" i="2" s="1"/>
  <c r="G6" i="2"/>
  <c r="I6" i="2"/>
  <c r="K6" i="2"/>
  <c r="L6" i="2"/>
  <c r="C7" i="2"/>
  <c r="E7" i="2"/>
  <c r="F7" i="2"/>
  <c r="I7" i="2"/>
  <c r="K7" i="2"/>
  <c r="L7" i="2"/>
  <c r="M8" i="2" s="1"/>
  <c r="N7" i="2"/>
  <c r="O8" i="2" s="1"/>
  <c r="C8" i="2"/>
  <c r="E8" i="2"/>
  <c r="F8" i="2"/>
  <c r="G8" i="2" s="1"/>
  <c r="I8" i="2"/>
  <c r="K8" i="2"/>
  <c r="L8" i="2"/>
  <c r="N8" i="2"/>
  <c r="C9" i="2"/>
  <c r="E9" i="2"/>
  <c r="F9" i="2"/>
  <c r="G9" i="2" s="1"/>
  <c r="I9" i="2"/>
  <c r="K9" i="2"/>
  <c r="L9" i="2"/>
  <c r="C10" i="2"/>
  <c r="E10" i="2"/>
  <c r="F10" i="2"/>
  <c r="G10" i="2" s="1"/>
  <c r="I10" i="2"/>
  <c r="K10" i="2"/>
  <c r="L10" i="2"/>
  <c r="C11" i="2"/>
  <c r="E11" i="2"/>
  <c r="F11" i="2"/>
  <c r="I11" i="2"/>
  <c r="K11" i="2"/>
  <c r="L11" i="2"/>
  <c r="C12" i="2"/>
  <c r="E12" i="2"/>
  <c r="F12" i="2"/>
  <c r="I12" i="2"/>
  <c r="K12" i="2"/>
  <c r="L12" i="2"/>
  <c r="M12" i="2" s="1"/>
  <c r="C13" i="2"/>
  <c r="E13" i="2"/>
  <c r="F13" i="2"/>
  <c r="I13" i="2"/>
  <c r="K13" i="2"/>
  <c r="L13" i="2"/>
  <c r="C14" i="2"/>
  <c r="E14" i="2"/>
  <c r="F14" i="2"/>
  <c r="G14" i="2" s="1"/>
  <c r="I14" i="2"/>
  <c r="K14" i="2"/>
  <c r="L14" i="2"/>
  <c r="M15" i="2" s="1"/>
  <c r="C15" i="2"/>
  <c r="E15" i="2"/>
  <c r="F15" i="2"/>
  <c r="I15" i="2"/>
  <c r="K15" i="2"/>
  <c r="L15" i="2"/>
  <c r="M16" i="2" s="1"/>
  <c r="N15" i="2"/>
  <c r="O16" i="2" s="1"/>
  <c r="C16" i="2"/>
  <c r="E16" i="2"/>
  <c r="F16" i="2"/>
  <c r="G16" i="2" s="1"/>
  <c r="I16" i="2"/>
  <c r="K16" i="2"/>
  <c r="L16" i="2"/>
  <c r="N16" i="2"/>
  <c r="C17" i="2"/>
  <c r="E17" i="2"/>
  <c r="F17" i="2"/>
  <c r="N17" i="2" s="1"/>
  <c r="O17" i="2" s="1"/>
  <c r="G17" i="2"/>
  <c r="I17" i="2"/>
  <c r="K17" i="2"/>
  <c r="L17" i="2"/>
  <c r="F53" i="1"/>
  <c r="G53" i="1" s="1"/>
  <c r="E53" i="1"/>
  <c r="C53" i="1"/>
  <c r="F52" i="1"/>
  <c r="E52" i="1"/>
  <c r="C52" i="1"/>
  <c r="F51" i="1"/>
  <c r="E51" i="1"/>
  <c r="C51" i="1"/>
  <c r="F50" i="1"/>
  <c r="E50" i="1"/>
  <c r="C50" i="1"/>
  <c r="F49" i="1"/>
  <c r="G49" i="1" s="1"/>
  <c r="E49" i="1"/>
  <c r="C49" i="1"/>
  <c r="F48" i="1"/>
  <c r="E48" i="1"/>
  <c r="C48" i="1"/>
  <c r="F47" i="1"/>
  <c r="E47" i="1"/>
  <c r="C47" i="1"/>
  <c r="F46" i="1"/>
  <c r="E46" i="1"/>
  <c r="C46" i="1"/>
  <c r="F45" i="1"/>
  <c r="G45" i="1" s="1"/>
  <c r="E45" i="1"/>
  <c r="C45" i="1"/>
  <c r="F44" i="1"/>
  <c r="E44" i="1"/>
  <c r="C44" i="1"/>
  <c r="F43" i="1"/>
  <c r="E43" i="1"/>
  <c r="C43" i="1"/>
  <c r="F42" i="1"/>
  <c r="E42" i="1"/>
  <c r="C42" i="1"/>
  <c r="F41" i="1"/>
  <c r="G41" i="1" s="1"/>
  <c r="E41" i="1"/>
  <c r="C41" i="1"/>
  <c r="F40" i="1"/>
  <c r="E40" i="1"/>
  <c r="C40" i="1"/>
  <c r="F39" i="1"/>
  <c r="E39" i="1"/>
  <c r="C39" i="1"/>
  <c r="F38" i="1"/>
  <c r="E38" i="1"/>
  <c r="C38" i="1"/>
  <c r="F37" i="1"/>
  <c r="G37" i="1" s="1"/>
  <c r="E37" i="1"/>
  <c r="C37" i="1"/>
  <c r="F36" i="1"/>
  <c r="E36" i="1"/>
  <c r="C36" i="1"/>
  <c r="F35" i="1"/>
  <c r="E35" i="1"/>
  <c r="C35" i="1"/>
  <c r="F34" i="1"/>
  <c r="E34" i="1"/>
  <c r="C34" i="1"/>
  <c r="F33" i="1"/>
  <c r="G33" i="1" s="1"/>
  <c r="E33" i="1"/>
  <c r="C33" i="1"/>
  <c r="F32" i="1"/>
  <c r="E32" i="1"/>
  <c r="C32" i="1"/>
  <c r="F31" i="1"/>
  <c r="E31" i="1"/>
  <c r="C31" i="1"/>
  <c r="F30" i="1"/>
  <c r="E30" i="1"/>
  <c r="C30" i="1"/>
  <c r="F29" i="1"/>
  <c r="G29" i="1" s="1"/>
  <c r="E29" i="1"/>
  <c r="C29" i="1"/>
  <c r="F28" i="1"/>
  <c r="E28" i="1"/>
  <c r="C28" i="1"/>
  <c r="F27" i="1"/>
  <c r="E27" i="1"/>
  <c r="C27" i="1"/>
  <c r="F26" i="1"/>
  <c r="E26" i="1"/>
  <c r="C26" i="1"/>
  <c r="F25" i="1"/>
  <c r="G25" i="1" s="1"/>
  <c r="E25" i="1"/>
  <c r="C25" i="1"/>
  <c r="F24" i="1"/>
  <c r="E24" i="1"/>
  <c r="C24" i="1"/>
  <c r="F23" i="1"/>
  <c r="G24" i="1" s="1"/>
  <c r="E23" i="1"/>
  <c r="C23" i="1"/>
  <c r="F22" i="1"/>
  <c r="E22" i="1"/>
  <c r="C22" i="1"/>
  <c r="F21" i="1"/>
  <c r="G21" i="1" s="1"/>
  <c r="E21" i="1"/>
  <c r="C21" i="1"/>
  <c r="F20" i="1"/>
  <c r="E20" i="1"/>
  <c r="C20" i="1"/>
  <c r="F19" i="1"/>
  <c r="E19" i="1"/>
  <c r="C19" i="1"/>
  <c r="F18" i="1"/>
  <c r="E18" i="1"/>
  <c r="C18" i="1"/>
  <c r="F17" i="1"/>
  <c r="G17" i="1" s="1"/>
  <c r="E17" i="1"/>
  <c r="C17" i="1"/>
  <c r="F16" i="1"/>
  <c r="E16" i="1"/>
  <c r="C16" i="1"/>
  <c r="F15" i="1"/>
  <c r="E15" i="1"/>
  <c r="C15" i="1"/>
  <c r="F14" i="1"/>
  <c r="E14" i="1"/>
  <c r="C14" i="1"/>
  <c r="F13" i="1"/>
  <c r="G13" i="1" s="1"/>
  <c r="E13" i="1"/>
  <c r="C13" i="1"/>
  <c r="F12" i="1"/>
  <c r="E12" i="1"/>
  <c r="C12" i="1"/>
  <c r="F11" i="1"/>
  <c r="E11" i="1"/>
  <c r="C11" i="1"/>
  <c r="F10" i="1"/>
  <c r="E10" i="1"/>
  <c r="C10" i="1"/>
  <c r="F9" i="1"/>
  <c r="E9" i="1"/>
  <c r="C9" i="1"/>
  <c r="F8" i="1"/>
  <c r="E8" i="1"/>
  <c r="C8" i="1"/>
  <c r="F7" i="1"/>
  <c r="E7" i="1"/>
  <c r="C7" i="1"/>
  <c r="F6" i="1"/>
  <c r="E6" i="1"/>
  <c r="C6" i="1"/>
  <c r="F5" i="1"/>
  <c r="G5" i="1" s="1"/>
  <c r="E5" i="1"/>
  <c r="C5" i="1"/>
  <c r="F4" i="1"/>
  <c r="E4" i="1"/>
  <c r="C4" i="1"/>
  <c r="F3" i="1"/>
  <c r="M14" i="2" l="1"/>
  <c r="N5" i="2"/>
  <c r="O5" i="2" s="1"/>
  <c r="G15" i="2"/>
  <c r="G5" i="2"/>
  <c r="N12" i="2"/>
  <c r="O13" i="2" s="1"/>
  <c r="M11" i="2"/>
  <c r="N9" i="2"/>
  <c r="O9" i="2"/>
  <c r="M10" i="2"/>
  <c r="N6" i="2"/>
  <c r="G13" i="2"/>
  <c r="N14" i="2"/>
  <c r="O15" i="2" s="1"/>
  <c r="N13" i="2"/>
  <c r="G12" i="2"/>
  <c r="M7" i="2"/>
  <c r="O4" i="2"/>
  <c r="G11" i="2"/>
  <c r="M5" i="2"/>
  <c r="M9" i="2"/>
  <c r="M17" i="2"/>
  <c r="M13" i="2"/>
  <c r="N11" i="2"/>
  <c r="N10" i="2"/>
  <c r="G6" i="1"/>
  <c r="G10" i="1"/>
  <c r="G18" i="1"/>
  <c r="G22" i="1"/>
  <c r="G30" i="1"/>
  <c r="G34" i="1"/>
  <c r="G42" i="1"/>
  <c r="G50" i="1"/>
  <c r="G7" i="1"/>
  <c r="G11" i="1"/>
  <c r="G15" i="1"/>
  <c r="G19" i="1"/>
  <c r="G27" i="1"/>
  <c r="G31" i="1"/>
  <c r="G35" i="1"/>
  <c r="G39" i="1"/>
  <c r="G43" i="1"/>
  <c r="G51" i="1"/>
  <c r="G4" i="1"/>
  <c r="G9" i="1"/>
  <c r="G12" i="1"/>
  <c r="G16" i="1"/>
  <c r="G20" i="1"/>
  <c r="G28" i="1"/>
  <c r="G32" i="1"/>
  <c r="G36" i="1"/>
  <c r="G40" i="1"/>
  <c r="G44" i="1"/>
  <c r="G48" i="1"/>
  <c r="G52" i="1"/>
  <c r="G14" i="1"/>
  <c r="G26" i="1"/>
  <c r="G38" i="1"/>
  <c r="G46" i="1"/>
  <c r="G47" i="1"/>
  <c r="G23" i="1"/>
  <c r="G8" i="1"/>
  <c r="O7" i="2" l="1"/>
  <c r="O6" i="2"/>
  <c r="O14" i="2"/>
  <c r="O10" i="2"/>
  <c r="O11" i="2"/>
  <c r="O12" i="2"/>
</calcChain>
</file>

<file path=xl/sharedStrings.xml><?xml version="1.0" encoding="utf-8"?>
<sst xmlns="http://schemas.openxmlformats.org/spreadsheetml/2006/main" count="25" uniqueCount="19">
  <si>
    <t>Balance to Go</t>
  </si>
  <si>
    <t>AC 1</t>
  </si>
  <si>
    <t>AC 1 Diff</t>
  </si>
  <si>
    <t>AC 2</t>
  </si>
  <si>
    <t>AC 2 Diff</t>
  </si>
  <si>
    <t>Total</t>
  </si>
  <si>
    <t>Difference</t>
  </si>
  <si>
    <t xml:space="preserve">  </t>
  </si>
  <si>
    <t>AC 2 NBL Diff</t>
  </si>
  <si>
    <t>AC 2 NBL</t>
  </si>
  <si>
    <t>AC 2 BL Diff</t>
  </si>
  <si>
    <t>AC 2 BL</t>
  </si>
  <si>
    <t>AC 1 Total</t>
  </si>
  <si>
    <t>AC 1 NBL Diff</t>
  </si>
  <si>
    <t>AC 1 NBL</t>
  </si>
  <si>
    <t>AC 1 BL Diff</t>
  </si>
  <si>
    <t>AC 1 BL</t>
  </si>
  <si>
    <t xml:space="preserve">Structures (On the Floor) </t>
  </si>
  <si>
    <t>Structures (In the Door)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</si>
</sst>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2" fillId="0" borderId="1" xfId="0" applyFont="1" applyBorder="1"/>
    <xf numFmtId="0" fontId="3" fillId="0" borderId="1" xfId="0" applyFont="1" applyBorder="1" applyAlignment="1">
      <alignment horizontal="center" vertical="center" wrapText="1"/>
    </xf>
    <xf numFmtId="0" fontId="2" fillId="0" borderId="0" xfId="0" applyFont="1"/>
    <xf numFmtId="0" fontId="3" fillId="0" borderId="1" xfId="0" applyFont="1" applyBorder="1" applyAlignment="1">
      <alignment horizontal="center"/>
    </xf>
    <xf numFmtId="16" fontId="2" fillId="0" borderId="1" xfId="0" applyNumberFormat="1" applyFont="1" applyBorder="1"/>
    <xf numFmtId="0" fontId="2" fillId="0" borderId="1" xfId="0" applyFont="1" applyBorder="1" applyAlignment="1">
      <alignment horizontal="right" vertical="center" wrapText="1"/>
    </xf>
    <xf numFmtId="0" fontId="2" fillId="0" borderId="1" xfId="0" applyFont="1" applyBorder="1" applyAlignment="1">
      <alignment horizontal="right"/>
    </xf>
    <xf numFmtId="0" fontId="3" fillId="0" borderId="0" xfId="0" applyFont="1"/>
    <xf numFmtId="1" fontId="2" fillId="0" borderId="1" xfId="0" applyNumberFormat="1" applyFont="1" applyBorder="1"/>
    <xf numFmtId="0" fontId="2" fillId="0" borderId="2" xfId="0" applyFont="1" applyBorder="1"/>
    <xf numFmtId="16" fontId="2" fillId="0" borderId="3" xfId="0" applyNumberFormat="1" applyFont="1" applyBorder="1"/>
    <xf numFmtId="0" fontId="2" fillId="0" borderId="3" xfId="0" applyFont="1" applyBorder="1"/>
    <xf numFmtId="16" fontId="2" fillId="0" borderId="2" xfId="0" applyNumberFormat="1" applyFont="1" applyBorder="1"/>
    <xf numFmtId="16" fontId="2" fillId="0" borderId="4" xfId="0" applyNumberFormat="1" applyFont="1" applyBorder="1"/>
    <xf numFmtId="0" fontId="2" fillId="0" borderId="4" xfId="0" applyFont="1" applyBorder="1"/>
    <xf numFmtId="0" fontId="2" fillId="0" borderId="3" xfId="0" applyFont="1" applyBorder="1" applyAlignment="1">
      <alignment horizontal="right" vertical="center" wrapText="1"/>
    </xf>
    <xf numFmtId="0" fontId="2" fillId="0" borderId="3" xfId="0" applyFont="1" applyBorder="1" applyAlignment="1">
      <alignment horizontal="right"/>
    </xf>
    <xf numFmtId="0" fontId="4" fillId="0" borderId="1" xfId="0" applyFont="1" applyBorder="1"/>
    <xf numFmtId="1" fontId="2" fillId="0" borderId="0" xfId="0" applyNumberFormat="1" applyFont="1"/>
    <xf numFmtId="0" fontId="2" fillId="0" borderId="5" xfId="0" applyFont="1" applyBorder="1"/>
    <xf numFmtId="0" fontId="2" fillId="0" borderId="2" xfId="0" applyFont="1" applyBorder="1" applyAlignment="1">
      <alignment horizontal="right" vertical="center" wrapText="1"/>
    </xf>
    <xf numFmtId="0" fontId="2" fillId="0" borderId="6" xfId="0" applyFont="1" applyBorder="1" applyAlignment="1">
      <alignment horizontal="right" vertical="center" wrapText="1"/>
    </xf>
    <xf numFmtId="1" fontId="2" fillId="0" borderId="2" xfId="0" applyNumberFormat="1" applyFont="1" applyBorder="1"/>
    <xf numFmtId="0" fontId="2" fillId="0" borderId="7" xfId="0" applyFont="1" applyBorder="1"/>
    <xf numFmtId="0" fontId="2" fillId="0" borderId="8" xfId="0" applyFont="1" applyBorder="1" applyAlignment="1">
      <alignment horizontal="right" vertical="center" wrapText="1"/>
    </xf>
    <xf numFmtId="0" fontId="2" fillId="0" borderId="7" xfId="0" applyFont="1" applyBorder="1" applyAlignment="1">
      <alignment horizontal="right" vertical="center" wrapText="1"/>
    </xf>
    <xf numFmtId="0" fontId="4" fillId="0" borderId="7" xfId="0" applyFont="1" applyBorder="1"/>
    <xf numFmtId="0" fontId="2" fillId="0" borderId="9" xfId="0" applyFont="1" applyBorder="1" applyAlignment="1">
      <alignment horizontal="right" vertical="center" wrapText="1"/>
    </xf>
    <xf numFmtId="0" fontId="2" fillId="0" borderId="10" xfId="0" applyFont="1" applyBorder="1"/>
    <xf numFmtId="1" fontId="2" fillId="0" borderId="4" xfId="0" applyNumberFormat="1" applyFont="1" applyBorder="1"/>
    <xf numFmtId="0" fontId="2" fillId="0" borderId="8" xfId="0" applyFont="1" applyBorder="1"/>
    <xf numFmtId="0" fontId="2" fillId="0" borderId="11" xfId="0" applyFont="1" applyBorder="1" applyAlignment="1">
      <alignment horizontal="right" vertical="center" wrapText="1"/>
    </xf>
    <xf numFmtId="1" fontId="2" fillId="0" borderId="3" xfId="0" applyNumberFormat="1" applyFont="1" applyBorder="1"/>
    <xf numFmtId="0" fontId="2" fillId="2" borderId="1" xfId="0" applyFont="1" applyFill="1" applyBorder="1" applyAlignment="1">
      <alignment horizontal="right"/>
    </xf>
    <xf numFmtId="0" fontId="2" fillId="2" borderId="1" xfId="0" applyFont="1" applyFill="1" applyBorder="1" applyAlignment="1">
      <alignment horizontal="right" vertical="center" wrapText="1"/>
    </xf>
    <xf numFmtId="1" fontId="2" fillId="2" borderId="1" xfId="0" applyNumberFormat="1" applyFont="1" applyFill="1" applyBorder="1"/>
    <xf numFmtId="16" fontId="2" fillId="2" borderId="1" xfId="0" applyNumberFormat="1" applyFont="1" applyFill="1" applyBorder="1"/>
    <xf numFmtId="1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/>
    <xf numFmtId="1" fontId="3" fillId="0" borderId="1" xfId="0" applyNumberFormat="1" applyFont="1" applyBorder="1" applyAlignment="1">
      <alignment horizontal="center"/>
    </xf>
    <xf numFmtId="0" fontId="1" fillId="3" borderId="7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1" fontId="3" fillId="3" borderId="6" xfId="0" applyNumberFormat="1" applyFont="1" applyFill="1" applyBorder="1" applyAlignment="1">
      <alignment horizontal="center" vertical="center" wrapText="1"/>
    </xf>
    <xf numFmtId="165" fontId="2" fillId="0" borderId="0" xfId="0" applyNumberFormat="1" applyFont="1"/>
    <xf numFmtId="0" fontId="2" fillId="2" borderId="0" xfId="0" applyFont="1" applyFill="1"/>
    <xf numFmtId="165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74CF3-2B0A-4943-94D7-52B62D86295C}">
  <dimension ref="A1:C45"/>
  <sheetViews>
    <sheetView tabSelected="1" workbookViewId="0">
      <selection activeCell="E1" sqref="E1:L35"/>
    </sheetView>
  </sheetViews>
  <sheetFormatPr defaultColWidth="8.7265625" defaultRowHeight="12.5" x14ac:dyDescent="0.25"/>
  <cols>
    <col min="1" max="1" width="9.26953125" style="44" bestFit="1" customWidth="1"/>
    <col min="2" max="2" width="21.54296875" style="3" bestFit="1" customWidth="1"/>
    <col min="3" max="3" width="23.453125" style="3" bestFit="1" customWidth="1"/>
    <col min="4" max="4" width="8.7265625" style="3"/>
    <col min="5" max="5" width="11.54296875" style="3" bestFit="1" customWidth="1"/>
    <col min="6" max="16384" width="8.7265625" style="3"/>
  </cols>
  <sheetData>
    <row r="1" spans="1:3" ht="13" x14ac:dyDescent="0.3">
      <c r="B1" s="8" t="s">
        <v>18</v>
      </c>
      <c r="C1" s="8" t="s">
        <v>17</v>
      </c>
    </row>
    <row r="2" spans="1:3" x14ac:dyDescent="0.25">
      <c r="A2" s="44">
        <v>45448</v>
      </c>
      <c r="B2" s="3">
        <v>252</v>
      </c>
      <c r="C2" s="3">
        <v>225</v>
      </c>
    </row>
    <row r="3" spans="1:3" x14ac:dyDescent="0.25">
      <c r="A3" s="44">
        <v>45455</v>
      </c>
      <c r="B3" s="3">
        <v>263</v>
      </c>
      <c r="C3" s="3">
        <v>237</v>
      </c>
    </row>
    <row r="4" spans="1:3" x14ac:dyDescent="0.25">
      <c r="A4" s="44">
        <v>45462</v>
      </c>
      <c r="B4" s="3">
        <v>263</v>
      </c>
      <c r="C4" s="3">
        <v>237</v>
      </c>
    </row>
    <row r="5" spans="1:3" x14ac:dyDescent="0.25">
      <c r="A5" s="44">
        <v>45469</v>
      </c>
      <c r="B5" s="3">
        <v>263</v>
      </c>
      <c r="C5" s="3">
        <v>237</v>
      </c>
    </row>
    <row r="6" spans="1:3" x14ac:dyDescent="0.25">
      <c r="A6" s="44">
        <v>45476</v>
      </c>
      <c r="B6" s="3">
        <v>263</v>
      </c>
      <c r="C6" s="3">
        <v>237</v>
      </c>
    </row>
    <row r="7" spans="1:3" x14ac:dyDescent="0.25">
      <c r="A7" s="44">
        <v>45483</v>
      </c>
      <c r="B7" s="3">
        <v>263</v>
      </c>
      <c r="C7" s="3">
        <v>237</v>
      </c>
    </row>
    <row r="8" spans="1:3" x14ac:dyDescent="0.25">
      <c r="A8" s="44">
        <v>45490</v>
      </c>
      <c r="B8" s="3">
        <v>263</v>
      </c>
      <c r="C8" s="3">
        <v>237</v>
      </c>
    </row>
    <row r="9" spans="1:3" x14ac:dyDescent="0.25">
      <c r="A9" s="44">
        <v>45497</v>
      </c>
      <c r="B9" s="3">
        <v>263</v>
      </c>
      <c r="C9" s="3">
        <v>237</v>
      </c>
    </row>
    <row r="10" spans="1:3" x14ac:dyDescent="0.25">
      <c r="A10" s="44">
        <v>45504</v>
      </c>
      <c r="B10" s="3">
        <v>265</v>
      </c>
      <c r="C10" s="3">
        <v>237</v>
      </c>
    </row>
    <row r="11" spans="1:3" x14ac:dyDescent="0.25">
      <c r="A11" s="44">
        <v>45511</v>
      </c>
      <c r="B11" s="3">
        <v>263</v>
      </c>
      <c r="C11" s="3">
        <v>237</v>
      </c>
    </row>
    <row r="12" spans="1:3" x14ac:dyDescent="0.25">
      <c r="A12" s="44">
        <v>45518</v>
      </c>
      <c r="B12" s="3">
        <v>260</v>
      </c>
      <c r="C12" s="3">
        <v>228</v>
      </c>
    </row>
    <row r="13" spans="1:3" x14ac:dyDescent="0.25">
      <c r="A13" s="44">
        <v>45525</v>
      </c>
      <c r="B13" s="3">
        <v>263</v>
      </c>
      <c r="C13" s="3">
        <v>230</v>
      </c>
    </row>
    <row r="14" spans="1:3" x14ac:dyDescent="0.25">
      <c r="A14" s="44">
        <v>45532</v>
      </c>
      <c r="B14" s="3">
        <v>263</v>
      </c>
      <c r="C14" s="3">
        <v>230</v>
      </c>
    </row>
    <row r="15" spans="1:3" x14ac:dyDescent="0.25">
      <c r="A15" s="44">
        <v>45539</v>
      </c>
      <c r="B15" s="3">
        <v>263</v>
      </c>
      <c r="C15" s="3">
        <v>230</v>
      </c>
    </row>
    <row r="16" spans="1:3" x14ac:dyDescent="0.25">
      <c r="A16" s="44">
        <v>45546</v>
      </c>
      <c r="B16" s="3">
        <v>256</v>
      </c>
      <c r="C16" s="3">
        <v>223</v>
      </c>
    </row>
    <row r="17" spans="1:3" x14ac:dyDescent="0.25">
      <c r="A17" s="44">
        <v>45553</v>
      </c>
      <c r="B17" s="3">
        <v>262</v>
      </c>
      <c r="C17" s="3">
        <v>230</v>
      </c>
    </row>
    <row r="18" spans="1:3" x14ac:dyDescent="0.25">
      <c r="A18" s="44">
        <v>45560</v>
      </c>
      <c r="B18" s="3">
        <v>262</v>
      </c>
      <c r="C18" s="3">
        <v>230</v>
      </c>
    </row>
    <row r="19" spans="1:3" x14ac:dyDescent="0.25">
      <c r="A19" s="44">
        <v>45567</v>
      </c>
      <c r="B19" s="3">
        <v>263</v>
      </c>
      <c r="C19" s="3">
        <v>243</v>
      </c>
    </row>
    <row r="20" spans="1:3" x14ac:dyDescent="0.25">
      <c r="A20" s="44">
        <v>45574</v>
      </c>
      <c r="B20" s="3">
        <v>263</v>
      </c>
      <c r="C20" s="3">
        <v>243</v>
      </c>
    </row>
    <row r="21" spans="1:3" x14ac:dyDescent="0.25">
      <c r="A21" s="44">
        <v>45581</v>
      </c>
      <c r="B21" s="3">
        <v>263</v>
      </c>
      <c r="C21" s="3">
        <v>243</v>
      </c>
    </row>
    <row r="22" spans="1:3" x14ac:dyDescent="0.25">
      <c r="A22" s="44">
        <v>45588</v>
      </c>
      <c r="B22" s="3">
        <v>260</v>
      </c>
      <c r="C22" s="3">
        <v>241</v>
      </c>
    </row>
    <row r="23" spans="1:3" x14ac:dyDescent="0.25">
      <c r="A23" s="44">
        <v>45595</v>
      </c>
      <c r="B23" s="3">
        <v>260</v>
      </c>
      <c r="C23" s="3">
        <v>241</v>
      </c>
    </row>
    <row r="24" spans="1:3" x14ac:dyDescent="0.25">
      <c r="A24" s="44">
        <v>45602</v>
      </c>
      <c r="B24" s="3">
        <v>262</v>
      </c>
      <c r="C24" s="3">
        <v>243</v>
      </c>
    </row>
    <row r="25" spans="1:3" x14ac:dyDescent="0.25">
      <c r="A25" s="44">
        <v>45609</v>
      </c>
      <c r="B25" s="3">
        <v>262</v>
      </c>
      <c r="C25" s="3">
        <v>243</v>
      </c>
    </row>
    <row r="26" spans="1:3" x14ac:dyDescent="0.25">
      <c r="A26" s="44">
        <v>45616</v>
      </c>
      <c r="B26" s="3">
        <v>258</v>
      </c>
      <c r="C26" s="3">
        <v>236</v>
      </c>
    </row>
    <row r="27" spans="1:3" x14ac:dyDescent="0.25">
      <c r="A27" s="44">
        <v>45623</v>
      </c>
      <c r="B27" s="3">
        <v>258</v>
      </c>
      <c r="C27" s="3">
        <v>236</v>
      </c>
    </row>
    <row r="28" spans="1:3" x14ac:dyDescent="0.25">
      <c r="A28" s="44">
        <v>45630</v>
      </c>
      <c r="B28" s="3">
        <v>264</v>
      </c>
      <c r="C28" s="3">
        <v>243</v>
      </c>
    </row>
    <row r="29" spans="1:3" x14ac:dyDescent="0.25">
      <c r="A29" s="44">
        <v>45637</v>
      </c>
      <c r="B29" s="3">
        <v>262</v>
      </c>
      <c r="C29" s="3">
        <v>247</v>
      </c>
    </row>
    <row r="30" spans="1:3" x14ac:dyDescent="0.25">
      <c r="A30" s="44">
        <v>45644</v>
      </c>
      <c r="B30" s="3">
        <v>262</v>
      </c>
      <c r="C30" s="3">
        <v>247</v>
      </c>
    </row>
    <row r="31" spans="1:3" x14ac:dyDescent="0.25">
      <c r="A31" s="44">
        <v>45665</v>
      </c>
      <c r="B31" s="3">
        <v>262</v>
      </c>
      <c r="C31" s="3">
        <v>247</v>
      </c>
    </row>
    <row r="32" spans="1:3" x14ac:dyDescent="0.25">
      <c r="A32" s="44">
        <v>45672</v>
      </c>
      <c r="B32" s="3">
        <v>257</v>
      </c>
      <c r="C32" s="3">
        <v>242</v>
      </c>
    </row>
    <row r="33" spans="1:3" x14ac:dyDescent="0.25">
      <c r="A33" s="44">
        <v>45679</v>
      </c>
      <c r="B33" s="3">
        <v>257</v>
      </c>
      <c r="C33" s="3">
        <v>244</v>
      </c>
    </row>
    <row r="34" spans="1:3" x14ac:dyDescent="0.25">
      <c r="A34" s="44">
        <v>45686</v>
      </c>
      <c r="B34" s="3">
        <v>258</v>
      </c>
      <c r="C34" s="3">
        <v>241</v>
      </c>
    </row>
    <row r="35" spans="1:3" x14ac:dyDescent="0.25">
      <c r="A35" s="46">
        <v>45693</v>
      </c>
      <c r="B35" s="45">
        <v>252</v>
      </c>
      <c r="C35" s="45">
        <v>232</v>
      </c>
    </row>
    <row r="36" spans="1:3" x14ac:dyDescent="0.25">
      <c r="A36" s="44">
        <v>45700</v>
      </c>
      <c r="B36" s="3">
        <v>252</v>
      </c>
      <c r="C36" s="3">
        <v>231</v>
      </c>
    </row>
    <row r="37" spans="1:3" x14ac:dyDescent="0.25">
      <c r="A37" s="44">
        <v>45707</v>
      </c>
      <c r="B37" s="3">
        <v>250</v>
      </c>
      <c r="C37" s="3">
        <v>225</v>
      </c>
    </row>
    <row r="38" spans="1:3" x14ac:dyDescent="0.25">
      <c r="A38" s="44">
        <v>45714</v>
      </c>
      <c r="B38" s="3">
        <v>255</v>
      </c>
      <c r="C38" s="3">
        <v>230</v>
      </c>
    </row>
    <row r="39" spans="1:3" x14ac:dyDescent="0.25">
      <c r="A39" s="44">
        <v>45721</v>
      </c>
      <c r="B39" s="3">
        <v>255</v>
      </c>
      <c r="C39" s="3">
        <v>233</v>
      </c>
    </row>
    <row r="40" spans="1:3" x14ac:dyDescent="0.25">
      <c r="A40" s="44">
        <v>45728</v>
      </c>
      <c r="B40" s="3">
        <v>259</v>
      </c>
      <c r="C40" s="3">
        <v>232</v>
      </c>
    </row>
    <row r="41" spans="1:3" x14ac:dyDescent="0.25">
      <c r="A41" s="44">
        <v>45735</v>
      </c>
      <c r="B41" s="3">
        <v>263</v>
      </c>
      <c r="C41" s="3">
        <v>239</v>
      </c>
    </row>
    <row r="42" spans="1:3" x14ac:dyDescent="0.25">
      <c r="A42" s="44">
        <v>45742</v>
      </c>
      <c r="B42" s="3">
        <v>263</v>
      </c>
      <c r="C42" s="3">
        <v>239</v>
      </c>
    </row>
    <row r="43" spans="1:3" x14ac:dyDescent="0.25">
      <c r="A43" s="44">
        <v>45750</v>
      </c>
      <c r="B43" s="3">
        <v>289</v>
      </c>
      <c r="C43" s="3">
        <v>238</v>
      </c>
    </row>
    <row r="44" spans="1:3" x14ac:dyDescent="0.25">
      <c r="A44" s="44">
        <v>45757</v>
      </c>
      <c r="B44" s="3">
        <v>289</v>
      </c>
      <c r="C44" s="3">
        <v>238</v>
      </c>
    </row>
    <row r="45" spans="1:3" x14ac:dyDescent="0.25">
      <c r="B45" s="3">
        <v>304</v>
      </c>
      <c r="C45" s="3">
        <v>246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37384-53DC-42B9-8EB6-375D57E3EA4E}">
  <dimension ref="A1:P54"/>
  <sheetViews>
    <sheetView workbookViewId="0">
      <pane xSplit="1" topLeftCell="K1" activePane="topRight" state="frozen"/>
      <selection pane="topRight" activeCell="Q2" sqref="Q2:X35"/>
    </sheetView>
  </sheetViews>
  <sheetFormatPr defaultColWidth="8.7265625" defaultRowHeight="12.5" x14ac:dyDescent="0.25"/>
  <cols>
    <col min="1" max="1" width="9.81640625" style="3" bestFit="1" customWidth="1"/>
    <col min="2" max="2" width="8.7265625" style="19"/>
    <col min="3" max="3" width="11.26953125" style="19" bestFit="1" customWidth="1"/>
    <col min="4" max="4" width="8.7265625" style="19"/>
    <col min="5" max="5" width="12.54296875" style="19" bestFit="1" customWidth="1"/>
    <col min="6" max="6" width="9.7265625" style="3" bestFit="1" customWidth="1"/>
    <col min="7" max="7" width="8.7265625" style="3"/>
    <col min="8" max="8" width="7.7265625" style="3" bestFit="1" customWidth="1"/>
    <col min="9" max="9" width="11.26953125" style="3" bestFit="1" customWidth="1"/>
    <col min="10" max="10" width="9" style="3" bestFit="1" customWidth="1"/>
    <col min="11" max="11" width="12.54296875" style="3" bestFit="1" customWidth="1"/>
    <col min="12" max="14" width="8.7265625" style="3"/>
    <col min="15" max="15" width="9.7265625" style="3" customWidth="1"/>
    <col min="16" max="20" width="8.7265625" style="3"/>
    <col min="21" max="21" width="28.7265625" style="3" bestFit="1" customWidth="1"/>
    <col min="22" max="16384" width="8.7265625" style="3"/>
  </cols>
  <sheetData>
    <row r="1" spans="1:16" ht="13" customHeight="1" x14ac:dyDescent="0.25">
      <c r="A1" s="1"/>
      <c r="B1" s="43" t="s">
        <v>0</v>
      </c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1"/>
    </row>
    <row r="2" spans="1:16" ht="13" x14ac:dyDescent="0.3">
      <c r="A2" s="1"/>
      <c r="B2" s="40" t="s">
        <v>16</v>
      </c>
      <c r="C2" s="40" t="s">
        <v>15</v>
      </c>
      <c r="D2" s="40" t="s">
        <v>14</v>
      </c>
      <c r="E2" s="40" t="s">
        <v>13</v>
      </c>
      <c r="F2" s="4" t="s">
        <v>12</v>
      </c>
      <c r="G2" s="4" t="s">
        <v>2</v>
      </c>
      <c r="H2" s="4" t="s">
        <v>11</v>
      </c>
      <c r="I2" s="4" t="s">
        <v>10</v>
      </c>
      <c r="J2" s="4" t="s">
        <v>9</v>
      </c>
      <c r="K2" s="4" t="s">
        <v>8</v>
      </c>
      <c r="L2" s="4" t="s">
        <v>3</v>
      </c>
      <c r="M2" s="4" t="s">
        <v>4</v>
      </c>
      <c r="N2" s="4" t="s">
        <v>5</v>
      </c>
      <c r="O2" s="4" t="s">
        <v>6</v>
      </c>
    </row>
    <row r="3" spans="1:16" x14ac:dyDescent="0.25">
      <c r="A3" s="39">
        <v>45650</v>
      </c>
      <c r="B3" s="38">
        <v>534</v>
      </c>
      <c r="C3" s="38"/>
      <c r="D3" s="38">
        <v>2552</v>
      </c>
      <c r="E3" s="38"/>
      <c r="F3" s="6">
        <f>B3+D3</f>
        <v>3086</v>
      </c>
      <c r="G3" s="7"/>
      <c r="H3" s="7">
        <v>707</v>
      </c>
      <c r="I3" s="7"/>
      <c r="J3" s="7">
        <v>4290</v>
      </c>
      <c r="K3" s="7"/>
      <c r="L3" s="6">
        <f>H3+J3</f>
        <v>4997</v>
      </c>
      <c r="M3" s="7"/>
      <c r="N3" s="6">
        <f>F3+L3</f>
        <v>8083</v>
      </c>
      <c r="O3" s="7"/>
    </row>
    <row r="4" spans="1:16" x14ac:dyDescent="0.25">
      <c r="A4" s="5">
        <v>45664</v>
      </c>
      <c r="B4" s="9">
        <v>380</v>
      </c>
      <c r="C4" s="9">
        <f>B4-B3</f>
        <v>-154</v>
      </c>
      <c r="D4" s="9">
        <v>2679</v>
      </c>
      <c r="E4" s="9">
        <f>D4-D3</f>
        <v>127</v>
      </c>
      <c r="F4" s="6">
        <f>B4+D4</f>
        <v>3059</v>
      </c>
      <c r="G4" s="6">
        <f>F4-F3</f>
        <v>-27</v>
      </c>
      <c r="H4" s="6">
        <v>704</v>
      </c>
      <c r="I4" s="6">
        <f>H4-H3</f>
        <v>-3</v>
      </c>
      <c r="J4" s="6">
        <v>4280</v>
      </c>
      <c r="K4" s="6">
        <f>J4-J3</f>
        <v>-10</v>
      </c>
      <c r="L4" s="6">
        <f>H4+J4</f>
        <v>4984</v>
      </c>
      <c r="M4" s="6">
        <f>L4-L3</f>
        <v>-13</v>
      </c>
      <c r="N4" s="6">
        <f>F4+L4</f>
        <v>8043</v>
      </c>
      <c r="O4" s="7">
        <f>N4-N3</f>
        <v>-40</v>
      </c>
    </row>
    <row r="5" spans="1:16" x14ac:dyDescent="0.25">
      <c r="A5" s="5">
        <v>45671</v>
      </c>
      <c r="B5" s="9">
        <v>378</v>
      </c>
      <c r="C5" s="9">
        <f>B5-B4</f>
        <v>-2</v>
      </c>
      <c r="D5" s="9">
        <v>2663</v>
      </c>
      <c r="E5" s="9">
        <f>D5-D4</f>
        <v>-16</v>
      </c>
      <c r="F5" s="6">
        <f>B5+D5</f>
        <v>3041</v>
      </c>
      <c r="G5" s="6">
        <f>F5-F4</f>
        <v>-18</v>
      </c>
      <c r="H5" s="6">
        <v>698</v>
      </c>
      <c r="I5" s="6">
        <f>H5-H4</f>
        <v>-6</v>
      </c>
      <c r="J5" s="6">
        <v>4268</v>
      </c>
      <c r="K5" s="6">
        <f>J5-J4</f>
        <v>-12</v>
      </c>
      <c r="L5" s="6">
        <f>H5+J5</f>
        <v>4966</v>
      </c>
      <c r="M5" s="6">
        <f>L5-L4</f>
        <v>-18</v>
      </c>
      <c r="N5" s="6">
        <f>F5+L5</f>
        <v>8007</v>
      </c>
      <c r="O5" s="7">
        <f>N5-N4</f>
        <v>-36</v>
      </c>
    </row>
    <row r="6" spans="1:16" x14ac:dyDescent="0.25">
      <c r="A6" s="5">
        <v>45678</v>
      </c>
      <c r="B6" s="9">
        <v>373</v>
      </c>
      <c r="C6" s="9">
        <f>B6-B5</f>
        <v>-5</v>
      </c>
      <c r="D6" s="9">
        <v>2646</v>
      </c>
      <c r="E6" s="9">
        <f>D6-D5</f>
        <v>-17</v>
      </c>
      <c r="F6" s="6">
        <f>B6+D6</f>
        <v>3019</v>
      </c>
      <c r="G6" s="6">
        <f>F6-F5</f>
        <v>-22</v>
      </c>
      <c r="H6" s="6">
        <v>691</v>
      </c>
      <c r="I6" s="6">
        <f>H6-H5</f>
        <v>-7</v>
      </c>
      <c r="J6" s="6">
        <v>4254</v>
      </c>
      <c r="K6" s="6">
        <f>J6-J5</f>
        <v>-14</v>
      </c>
      <c r="L6" s="6">
        <f>H6+J6</f>
        <v>4945</v>
      </c>
      <c r="M6" s="6">
        <f>L6-L5</f>
        <v>-21</v>
      </c>
      <c r="N6" s="6">
        <f>F6+L6</f>
        <v>7964</v>
      </c>
      <c r="O6" s="7">
        <f>N6-N5</f>
        <v>-43</v>
      </c>
    </row>
    <row r="7" spans="1:16" x14ac:dyDescent="0.25">
      <c r="A7" s="5">
        <v>45685</v>
      </c>
      <c r="B7" s="9">
        <v>370</v>
      </c>
      <c r="C7" s="9">
        <f>B7-B6</f>
        <v>-3</v>
      </c>
      <c r="D7" s="9">
        <v>2637</v>
      </c>
      <c r="E7" s="9">
        <f>D7-D6</f>
        <v>-9</v>
      </c>
      <c r="F7" s="6">
        <f>B7+D7</f>
        <v>3007</v>
      </c>
      <c r="G7" s="6">
        <f>F7-F6</f>
        <v>-12</v>
      </c>
      <c r="H7" s="6">
        <v>681</v>
      </c>
      <c r="I7" s="6">
        <f>H7-H6</f>
        <v>-10</v>
      </c>
      <c r="J7" s="6">
        <v>4244</v>
      </c>
      <c r="K7" s="6">
        <f>J7-J6</f>
        <v>-10</v>
      </c>
      <c r="L7" s="6">
        <f>H7+J7</f>
        <v>4925</v>
      </c>
      <c r="M7" s="6">
        <f>L7-L6</f>
        <v>-20</v>
      </c>
      <c r="N7" s="6">
        <f>F7+L7</f>
        <v>7932</v>
      </c>
      <c r="O7" s="7">
        <f>N7-N6</f>
        <v>-32</v>
      </c>
    </row>
    <row r="8" spans="1:16" x14ac:dyDescent="0.25">
      <c r="A8" s="5">
        <v>45692</v>
      </c>
      <c r="B8" s="9">
        <v>367</v>
      </c>
      <c r="C8" s="9">
        <f>B8-B7</f>
        <v>-3</v>
      </c>
      <c r="D8" s="9">
        <v>2606</v>
      </c>
      <c r="E8" s="9">
        <f>D8-D7</f>
        <v>-31</v>
      </c>
      <c r="F8" s="6">
        <f>B8+D8</f>
        <v>2973</v>
      </c>
      <c r="G8" s="6">
        <f>F8-F7</f>
        <v>-34</v>
      </c>
      <c r="H8" s="6">
        <v>671</v>
      </c>
      <c r="I8" s="6">
        <f>H8-H7</f>
        <v>-10</v>
      </c>
      <c r="J8" s="6">
        <v>4220</v>
      </c>
      <c r="K8" s="6">
        <f>J8-J7</f>
        <v>-24</v>
      </c>
      <c r="L8" s="6">
        <f>H8+J8</f>
        <v>4891</v>
      </c>
      <c r="M8" s="6">
        <f>L8-L7</f>
        <v>-34</v>
      </c>
      <c r="N8" s="6">
        <f>F8+L8</f>
        <v>7864</v>
      </c>
      <c r="O8" s="7">
        <f>N8-N7</f>
        <v>-68</v>
      </c>
    </row>
    <row r="9" spans="1:16" x14ac:dyDescent="0.25">
      <c r="A9" s="5">
        <v>45699</v>
      </c>
      <c r="B9" s="9">
        <v>360</v>
      </c>
      <c r="C9" s="9">
        <f>B9-B8</f>
        <v>-7</v>
      </c>
      <c r="D9" s="9">
        <v>2562</v>
      </c>
      <c r="E9" s="9">
        <f>D9-D8</f>
        <v>-44</v>
      </c>
      <c r="F9" s="6">
        <f>B9+D9</f>
        <v>2922</v>
      </c>
      <c r="G9" s="6">
        <f>F9-F8</f>
        <v>-51</v>
      </c>
      <c r="H9" s="6">
        <v>658</v>
      </c>
      <c r="I9" s="6">
        <f>H9-H8</f>
        <v>-13</v>
      </c>
      <c r="J9" s="6">
        <v>4188</v>
      </c>
      <c r="K9" s="6">
        <f>J9-J8</f>
        <v>-32</v>
      </c>
      <c r="L9" s="6">
        <f>H9+J9</f>
        <v>4846</v>
      </c>
      <c r="M9" s="6">
        <f>L9-L8</f>
        <v>-45</v>
      </c>
      <c r="N9" s="6">
        <f>F9+L9</f>
        <v>7768</v>
      </c>
      <c r="O9" s="7">
        <f>N9-N8</f>
        <v>-96</v>
      </c>
    </row>
    <row r="10" spans="1:16" x14ac:dyDescent="0.25">
      <c r="A10" s="37">
        <v>45706</v>
      </c>
      <c r="B10" s="36">
        <v>355</v>
      </c>
      <c r="C10" s="36">
        <f>B10-B9</f>
        <v>-5</v>
      </c>
      <c r="D10" s="36">
        <v>4003</v>
      </c>
      <c r="E10" s="36">
        <f>D10-D9</f>
        <v>1441</v>
      </c>
      <c r="F10" s="35">
        <f>B10+D10</f>
        <v>4358</v>
      </c>
      <c r="G10" s="35">
        <f>F10-F9</f>
        <v>1436</v>
      </c>
      <c r="H10" s="35">
        <v>640</v>
      </c>
      <c r="I10" s="35">
        <f>H10-H9</f>
        <v>-18</v>
      </c>
      <c r="J10" s="35">
        <v>5486</v>
      </c>
      <c r="K10" s="35">
        <f>J10-J9</f>
        <v>1298</v>
      </c>
      <c r="L10" s="35">
        <f>H10+J10</f>
        <v>6126</v>
      </c>
      <c r="M10" s="35">
        <f>L10-L9</f>
        <v>1280</v>
      </c>
      <c r="N10" s="35">
        <f>F10+L10</f>
        <v>10484</v>
      </c>
      <c r="O10" s="34">
        <f>N10-N9</f>
        <v>2716</v>
      </c>
    </row>
    <row r="11" spans="1:16" x14ac:dyDescent="0.25">
      <c r="A11" s="5">
        <v>45713</v>
      </c>
      <c r="B11" s="9">
        <v>352</v>
      </c>
      <c r="C11" s="9">
        <f>B11-B10</f>
        <v>-3</v>
      </c>
      <c r="D11" s="9">
        <v>4000</v>
      </c>
      <c r="E11" s="9">
        <f>D11-D10</f>
        <v>-3</v>
      </c>
      <c r="F11" s="6">
        <f>B11+D11</f>
        <v>4352</v>
      </c>
      <c r="G11" s="6">
        <f>F11-F10</f>
        <v>-6</v>
      </c>
      <c r="H11" s="6">
        <v>625</v>
      </c>
      <c r="I11" s="6">
        <f>H11-H10</f>
        <v>-15</v>
      </c>
      <c r="J11" s="6">
        <v>5455</v>
      </c>
      <c r="K11" s="6">
        <f>J11-J10</f>
        <v>-31</v>
      </c>
      <c r="L11" s="6">
        <f>H11+J11</f>
        <v>6080</v>
      </c>
      <c r="M11" s="6">
        <f>L11-L10</f>
        <v>-46</v>
      </c>
      <c r="N11" s="6">
        <f>F11+L11</f>
        <v>10432</v>
      </c>
      <c r="O11" s="7">
        <f>N11-N10</f>
        <v>-52</v>
      </c>
      <c r="P11" s="3" t="s">
        <v>7</v>
      </c>
    </row>
    <row r="12" spans="1:16" x14ac:dyDescent="0.25">
      <c r="A12" s="5">
        <v>45721</v>
      </c>
      <c r="B12" s="9">
        <v>378</v>
      </c>
      <c r="C12" s="9">
        <f>B12-B11</f>
        <v>26</v>
      </c>
      <c r="D12" s="9">
        <v>3980</v>
      </c>
      <c r="E12" s="9">
        <f>D12-D11</f>
        <v>-20</v>
      </c>
      <c r="F12" s="6">
        <f>B12+D12</f>
        <v>4358</v>
      </c>
      <c r="G12" s="6">
        <f>F12-F11</f>
        <v>6</v>
      </c>
      <c r="H12" s="6">
        <v>652</v>
      </c>
      <c r="I12" s="6">
        <f>H12-H11</f>
        <v>27</v>
      </c>
      <c r="J12" s="6">
        <v>5411</v>
      </c>
      <c r="K12" s="6">
        <f>J12-J11</f>
        <v>-44</v>
      </c>
      <c r="L12" s="6">
        <f>H12+J12</f>
        <v>6063</v>
      </c>
      <c r="M12" s="6">
        <f>L12-L11</f>
        <v>-17</v>
      </c>
      <c r="N12" s="6">
        <f>F12+L12</f>
        <v>10421</v>
      </c>
      <c r="O12" s="7">
        <f>N12-N11</f>
        <v>-11</v>
      </c>
    </row>
    <row r="13" spans="1:16" x14ac:dyDescent="0.25">
      <c r="A13" s="5">
        <v>45728</v>
      </c>
      <c r="B13" s="9">
        <v>351</v>
      </c>
      <c r="C13" s="9">
        <f>B13-B12</f>
        <v>-27</v>
      </c>
      <c r="D13" s="9">
        <v>3933</v>
      </c>
      <c r="E13" s="9">
        <f>D13-D12</f>
        <v>-47</v>
      </c>
      <c r="F13" s="6">
        <f>B13+D13</f>
        <v>4284</v>
      </c>
      <c r="G13" s="6">
        <f>F13-F12</f>
        <v>-74</v>
      </c>
      <c r="H13" s="6">
        <v>601</v>
      </c>
      <c r="I13" s="6">
        <f>H13-H12</f>
        <v>-51</v>
      </c>
      <c r="J13" s="6">
        <v>5345</v>
      </c>
      <c r="K13" s="6">
        <f>J13-J12</f>
        <v>-66</v>
      </c>
      <c r="L13" s="6">
        <f>H13+J13</f>
        <v>5946</v>
      </c>
      <c r="M13" s="6">
        <f>L13-L12</f>
        <v>-117</v>
      </c>
      <c r="N13" s="6">
        <f>F13+L13</f>
        <v>10230</v>
      </c>
      <c r="O13" s="7">
        <f>N13-N12</f>
        <v>-191</v>
      </c>
    </row>
    <row r="14" spans="1:16" x14ac:dyDescent="0.25">
      <c r="A14" s="5">
        <v>45735</v>
      </c>
      <c r="B14" s="9">
        <v>335</v>
      </c>
      <c r="C14" s="9">
        <f>B14-B13</f>
        <v>-16</v>
      </c>
      <c r="D14" s="9">
        <v>3901</v>
      </c>
      <c r="E14" s="9">
        <f>D14-D13</f>
        <v>-32</v>
      </c>
      <c r="F14" s="6">
        <f>B14+D14</f>
        <v>4236</v>
      </c>
      <c r="G14" s="6">
        <f>F14-F13</f>
        <v>-48</v>
      </c>
      <c r="H14" s="6">
        <v>567</v>
      </c>
      <c r="I14" s="6">
        <f>H14-H13</f>
        <v>-34</v>
      </c>
      <c r="J14" s="6">
        <v>5302</v>
      </c>
      <c r="K14" s="6">
        <f>J14-J13</f>
        <v>-43</v>
      </c>
      <c r="L14" s="6">
        <f>H14+J14</f>
        <v>5869</v>
      </c>
      <c r="M14" s="6">
        <f>L14-L13</f>
        <v>-77</v>
      </c>
      <c r="N14" s="6">
        <f>F14+L14</f>
        <v>10105</v>
      </c>
      <c r="O14" s="7">
        <f>N14-N13</f>
        <v>-125</v>
      </c>
    </row>
    <row r="15" spans="1:16" x14ac:dyDescent="0.25">
      <c r="A15" s="5">
        <v>45742</v>
      </c>
      <c r="B15" s="9">
        <v>329</v>
      </c>
      <c r="C15" s="9">
        <f>B15-B14</f>
        <v>-6</v>
      </c>
      <c r="D15" s="9">
        <v>3861</v>
      </c>
      <c r="E15" s="9">
        <f>D15-D14</f>
        <v>-40</v>
      </c>
      <c r="F15" s="6">
        <f>B15+D15</f>
        <v>4190</v>
      </c>
      <c r="G15" s="6">
        <f>F15-F14</f>
        <v>-46</v>
      </c>
      <c r="H15" s="6">
        <v>543</v>
      </c>
      <c r="I15" s="6">
        <f>H15-H14</f>
        <v>-24</v>
      </c>
      <c r="J15" s="6">
        <v>5217</v>
      </c>
      <c r="K15" s="6">
        <f>J15-J14</f>
        <v>-85</v>
      </c>
      <c r="L15" s="6">
        <f>H15+J15</f>
        <v>5760</v>
      </c>
      <c r="M15" s="6">
        <f>L15-L14</f>
        <v>-109</v>
      </c>
      <c r="N15" s="6">
        <f>F15+L15</f>
        <v>9950</v>
      </c>
      <c r="O15" s="7">
        <f>N15-N14</f>
        <v>-155</v>
      </c>
    </row>
    <row r="16" spans="1:16" x14ac:dyDescent="0.25">
      <c r="A16" s="5">
        <v>45749</v>
      </c>
      <c r="B16" s="9">
        <v>319</v>
      </c>
      <c r="C16" s="9">
        <f>B16-B15</f>
        <v>-10</v>
      </c>
      <c r="D16" s="9">
        <v>3812</v>
      </c>
      <c r="E16" s="9">
        <f>D16-D15</f>
        <v>-49</v>
      </c>
      <c r="F16" s="6">
        <f>B16+D16</f>
        <v>4131</v>
      </c>
      <c r="G16" s="6">
        <f>F16-F15</f>
        <v>-59</v>
      </c>
      <c r="H16" s="6">
        <v>521</v>
      </c>
      <c r="I16" s="6">
        <f>H16-H15</f>
        <v>-22</v>
      </c>
      <c r="J16" s="6">
        <v>5133</v>
      </c>
      <c r="K16" s="6">
        <f>J16-J15</f>
        <v>-84</v>
      </c>
      <c r="L16" s="6">
        <f>H16+J16</f>
        <v>5654</v>
      </c>
      <c r="M16" s="6">
        <f>L16-L15</f>
        <v>-106</v>
      </c>
      <c r="N16" s="6">
        <f>F16+L16</f>
        <v>9785</v>
      </c>
      <c r="O16" s="7">
        <f>N16-N15</f>
        <v>-165</v>
      </c>
    </row>
    <row r="17" spans="1:15" x14ac:dyDescent="0.25">
      <c r="A17" s="5">
        <v>45756</v>
      </c>
      <c r="B17" s="9">
        <v>305</v>
      </c>
      <c r="C17" s="9">
        <f>B17-B16</f>
        <v>-14</v>
      </c>
      <c r="D17" s="9">
        <v>3771</v>
      </c>
      <c r="E17" s="9">
        <f>D17-D16</f>
        <v>-41</v>
      </c>
      <c r="F17" s="6">
        <f>B17+D17</f>
        <v>4076</v>
      </c>
      <c r="G17" s="6">
        <f>F17-F16</f>
        <v>-55</v>
      </c>
      <c r="H17" s="6">
        <v>505</v>
      </c>
      <c r="I17" s="6">
        <f>H17-H16</f>
        <v>-16</v>
      </c>
      <c r="J17" s="6">
        <v>5061</v>
      </c>
      <c r="K17" s="6">
        <f>J17-J16</f>
        <v>-72</v>
      </c>
      <c r="L17" s="6">
        <f>H17+J17</f>
        <v>5566</v>
      </c>
      <c r="M17" s="6">
        <f>L17-L16</f>
        <v>-88</v>
      </c>
      <c r="N17" s="6">
        <f>F17+L17</f>
        <v>9642</v>
      </c>
      <c r="O17" s="7">
        <f>N17-N16</f>
        <v>-143</v>
      </c>
    </row>
    <row r="18" spans="1:15" x14ac:dyDescent="0.25">
      <c r="A18" s="5"/>
      <c r="B18" s="9"/>
      <c r="C18" s="9"/>
      <c r="D18" s="9"/>
      <c r="E18" s="9"/>
      <c r="F18" s="6"/>
      <c r="G18" s="6"/>
      <c r="H18" s="6"/>
      <c r="I18" s="6"/>
      <c r="J18" s="6"/>
      <c r="K18" s="6"/>
      <c r="L18" s="6"/>
      <c r="M18" s="6"/>
      <c r="N18" s="6"/>
      <c r="O18" s="7"/>
    </row>
    <row r="19" spans="1:15" x14ac:dyDescent="0.25">
      <c r="A19" s="5"/>
      <c r="B19" s="9"/>
      <c r="C19" s="9"/>
      <c r="D19" s="9"/>
      <c r="E19" s="9"/>
      <c r="F19" s="6"/>
      <c r="G19" s="6"/>
      <c r="H19" s="6"/>
      <c r="I19" s="6"/>
      <c r="J19" s="6"/>
      <c r="K19" s="6"/>
      <c r="L19" s="6"/>
      <c r="M19" s="6"/>
      <c r="N19" s="6"/>
      <c r="O19" s="7"/>
    </row>
    <row r="20" spans="1:15" x14ac:dyDescent="0.25">
      <c r="A20" s="5"/>
      <c r="B20" s="9"/>
      <c r="C20" s="9"/>
      <c r="D20" s="9"/>
      <c r="E20" s="9"/>
      <c r="F20" s="6"/>
      <c r="G20" s="6"/>
      <c r="H20" s="6"/>
      <c r="I20" s="6"/>
      <c r="J20" s="6"/>
      <c r="K20" s="6"/>
      <c r="L20" s="6"/>
      <c r="M20" s="6"/>
      <c r="N20" s="6"/>
      <c r="O20" s="7"/>
    </row>
    <row r="21" spans="1:15" x14ac:dyDescent="0.3">
      <c r="A21" s="5"/>
      <c r="B21" s="9"/>
      <c r="C21" s="9"/>
      <c r="D21" s="9"/>
      <c r="E21" s="9"/>
      <c r="F21" s="6"/>
      <c r="G21" s="6"/>
      <c r="H21" s="6"/>
      <c r="I21" s="6"/>
      <c r="J21" s="6"/>
      <c r="K21" s="6"/>
      <c r="L21" s="6"/>
      <c r="M21" s="6"/>
      <c r="N21" s="6"/>
      <c r="O21" s="7"/>
    </row>
    <row r="22" spans="1:15" x14ac:dyDescent="0.25">
      <c r="A22" s="5"/>
      <c r="B22" s="9"/>
      <c r="C22" s="9"/>
      <c r="D22" s="9"/>
      <c r="E22" s="9"/>
      <c r="F22" s="6"/>
      <c r="G22" s="6"/>
      <c r="H22" s="6"/>
      <c r="I22" s="6"/>
      <c r="J22" s="6"/>
      <c r="K22" s="6"/>
      <c r="L22" s="6"/>
      <c r="M22" s="6"/>
      <c r="N22" s="6"/>
      <c r="O22" s="7"/>
    </row>
    <row r="23" spans="1:15" x14ac:dyDescent="0.25">
      <c r="A23" s="5"/>
      <c r="B23" s="9"/>
      <c r="C23" s="9"/>
      <c r="D23" s="9"/>
      <c r="E23" s="9"/>
      <c r="F23" s="6"/>
      <c r="G23" s="6"/>
      <c r="H23" s="6"/>
      <c r="I23" s="6"/>
      <c r="J23" s="6"/>
      <c r="K23" s="6"/>
      <c r="L23" s="6"/>
      <c r="M23" s="6"/>
      <c r="N23" s="6"/>
      <c r="O23" s="7"/>
    </row>
    <row r="24" spans="1:15" x14ac:dyDescent="0.25">
      <c r="A24" s="5"/>
      <c r="B24" s="9"/>
      <c r="C24" s="9"/>
      <c r="D24" s="9"/>
      <c r="E24" s="9"/>
      <c r="F24" s="6"/>
      <c r="G24" s="6"/>
      <c r="H24" s="6"/>
      <c r="I24" s="6"/>
      <c r="J24" s="6"/>
      <c r="K24" s="6"/>
      <c r="L24" s="6"/>
      <c r="M24" s="6"/>
      <c r="N24" s="6"/>
      <c r="O24" s="7"/>
    </row>
    <row r="25" spans="1:15" x14ac:dyDescent="0.25">
      <c r="A25" s="5"/>
      <c r="B25" s="9"/>
      <c r="C25" s="9"/>
      <c r="D25" s="9"/>
      <c r="E25" s="9"/>
      <c r="F25" s="6"/>
      <c r="G25" s="6"/>
      <c r="H25" s="6"/>
      <c r="I25" s="6"/>
      <c r="J25" s="6"/>
      <c r="K25" s="6"/>
      <c r="L25" s="6"/>
      <c r="M25" s="6"/>
      <c r="N25" s="6"/>
      <c r="O25" s="7"/>
    </row>
    <row r="26" spans="1:15" x14ac:dyDescent="0.25">
      <c r="A26" s="5"/>
      <c r="B26" s="9"/>
      <c r="C26" s="9"/>
      <c r="D26" s="9"/>
      <c r="E26" s="9"/>
      <c r="F26" s="6"/>
      <c r="G26" s="6"/>
      <c r="H26" s="6"/>
      <c r="I26" s="6"/>
      <c r="J26" s="6"/>
      <c r="K26" s="6"/>
      <c r="L26" s="6"/>
      <c r="M26" s="6"/>
      <c r="N26" s="6"/>
      <c r="O26" s="7"/>
    </row>
    <row r="27" spans="1:15" x14ac:dyDescent="0.25">
      <c r="A27" s="5"/>
      <c r="B27" s="9"/>
      <c r="C27" s="9"/>
      <c r="D27" s="9"/>
      <c r="E27" s="9"/>
      <c r="F27" s="6"/>
      <c r="G27" s="6"/>
      <c r="H27" s="6"/>
      <c r="I27" s="6"/>
      <c r="J27" s="6"/>
      <c r="K27" s="6"/>
      <c r="L27" s="6"/>
      <c r="M27" s="6"/>
      <c r="N27" s="6"/>
      <c r="O27" s="7"/>
    </row>
    <row r="28" spans="1:15" x14ac:dyDescent="0.25">
      <c r="A28" s="5"/>
      <c r="B28" s="9"/>
      <c r="C28" s="9"/>
      <c r="D28" s="9"/>
      <c r="E28" s="9"/>
      <c r="F28" s="6"/>
      <c r="G28" s="6"/>
      <c r="H28" s="6"/>
      <c r="I28" s="6"/>
      <c r="J28" s="6"/>
      <c r="K28" s="6"/>
      <c r="L28" s="6"/>
      <c r="M28" s="6"/>
      <c r="N28" s="6"/>
      <c r="O28" s="7"/>
    </row>
    <row r="29" spans="1:15" x14ac:dyDescent="0.25">
      <c r="A29" s="5"/>
      <c r="B29" s="9"/>
      <c r="C29" s="9"/>
      <c r="D29" s="9"/>
      <c r="E29" s="9"/>
      <c r="F29" s="6"/>
      <c r="G29" s="6"/>
      <c r="H29" s="6"/>
      <c r="I29" s="6"/>
      <c r="J29" s="6"/>
      <c r="K29" s="6"/>
      <c r="L29" s="6"/>
      <c r="M29" s="6"/>
      <c r="N29" s="6"/>
      <c r="O29" s="7"/>
    </row>
    <row r="30" spans="1:15" x14ac:dyDescent="0.25">
      <c r="A30" s="5"/>
      <c r="B30" s="9"/>
      <c r="C30" s="9"/>
      <c r="D30" s="9"/>
      <c r="E30" s="9"/>
      <c r="F30" s="6"/>
      <c r="G30" s="6"/>
      <c r="H30" s="6"/>
      <c r="I30" s="6"/>
      <c r="J30" s="6"/>
      <c r="K30" s="6"/>
      <c r="L30" s="6"/>
      <c r="M30" s="6"/>
      <c r="N30" s="6"/>
      <c r="O30" s="7"/>
    </row>
    <row r="31" spans="1:15" x14ac:dyDescent="0.25">
      <c r="A31" s="5"/>
      <c r="B31" s="9"/>
      <c r="C31" s="9"/>
      <c r="D31" s="9"/>
      <c r="E31" s="9"/>
      <c r="F31" s="6"/>
      <c r="G31" s="6"/>
      <c r="H31" s="6"/>
      <c r="I31" s="6"/>
      <c r="J31" s="6"/>
      <c r="K31" s="6"/>
      <c r="L31" s="6"/>
      <c r="M31" s="6"/>
      <c r="N31" s="6"/>
      <c r="O31" s="7"/>
    </row>
    <row r="32" spans="1:15" x14ac:dyDescent="0.25">
      <c r="A32" s="5"/>
      <c r="B32" s="9"/>
      <c r="C32" s="9"/>
      <c r="D32" s="9"/>
      <c r="E32" s="9"/>
      <c r="F32" s="6"/>
      <c r="G32" s="6"/>
      <c r="H32" s="6"/>
      <c r="I32" s="6"/>
      <c r="J32" s="6"/>
      <c r="K32" s="6"/>
      <c r="L32" s="6"/>
      <c r="M32" s="6"/>
      <c r="N32" s="6"/>
      <c r="O32" s="7"/>
    </row>
    <row r="33" spans="1:15" x14ac:dyDescent="0.25">
      <c r="A33" s="5"/>
      <c r="B33" s="9"/>
      <c r="C33" s="9"/>
      <c r="D33" s="9"/>
      <c r="E33" s="9"/>
      <c r="F33" s="6"/>
      <c r="G33" s="6"/>
      <c r="H33" s="6"/>
      <c r="I33" s="6"/>
      <c r="J33" s="6"/>
      <c r="K33" s="6"/>
      <c r="L33" s="6"/>
      <c r="M33" s="6"/>
      <c r="N33" s="6"/>
      <c r="O33" s="7"/>
    </row>
    <row r="34" spans="1:15" x14ac:dyDescent="0.25">
      <c r="A34" s="5"/>
      <c r="B34" s="9"/>
      <c r="C34" s="9"/>
      <c r="D34" s="9"/>
      <c r="E34" s="9"/>
      <c r="F34" s="1"/>
      <c r="G34" s="6"/>
      <c r="H34" s="6"/>
      <c r="I34" s="6"/>
      <c r="J34" s="6"/>
      <c r="K34" s="6"/>
      <c r="L34" s="1"/>
      <c r="M34" s="6"/>
      <c r="N34" s="6"/>
      <c r="O34" s="7"/>
    </row>
    <row r="35" spans="1:15" x14ac:dyDescent="0.25">
      <c r="A35" s="5"/>
      <c r="B35" s="9"/>
      <c r="C35" s="9"/>
      <c r="D35" s="9"/>
      <c r="E35" s="9"/>
      <c r="F35" s="1"/>
      <c r="G35" s="6"/>
      <c r="H35" s="6"/>
      <c r="I35" s="6"/>
      <c r="J35" s="6"/>
      <c r="K35" s="6"/>
      <c r="L35" s="1"/>
      <c r="M35" s="6"/>
      <c r="N35" s="6"/>
      <c r="O35" s="7"/>
    </row>
    <row r="36" spans="1:15" x14ac:dyDescent="0.25">
      <c r="A36" s="5"/>
      <c r="B36" s="9"/>
      <c r="C36" s="9"/>
      <c r="D36" s="9"/>
      <c r="E36" s="9"/>
      <c r="F36" s="1"/>
      <c r="G36" s="6"/>
      <c r="H36" s="6"/>
      <c r="I36" s="6"/>
      <c r="J36" s="6"/>
      <c r="K36" s="6"/>
      <c r="L36" s="1"/>
      <c r="M36" s="6"/>
      <c r="N36" s="6"/>
      <c r="O36" s="7"/>
    </row>
    <row r="37" spans="1:15" x14ac:dyDescent="0.25">
      <c r="A37" s="5"/>
      <c r="B37" s="9"/>
      <c r="C37" s="9"/>
      <c r="D37" s="9"/>
      <c r="E37" s="9"/>
      <c r="F37" s="1"/>
      <c r="G37" s="6"/>
      <c r="H37" s="6"/>
      <c r="I37" s="6"/>
      <c r="J37" s="6"/>
      <c r="K37" s="6"/>
      <c r="L37" s="1"/>
      <c r="M37" s="6"/>
      <c r="N37" s="6"/>
      <c r="O37" s="7"/>
    </row>
    <row r="38" spans="1:15" x14ac:dyDescent="0.25">
      <c r="A38" s="5"/>
      <c r="B38" s="9"/>
      <c r="C38" s="9"/>
      <c r="D38" s="9"/>
      <c r="E38" s="9"/>
      <c r="F38" s="1"/>
      <c r="G38" s="6"/>
      <c r="H38" s="6"/>
      <c r="I38" s="6"/>
      <c r="J38" s="6"/>
      <c r="K38" s="6"/>
      <c r="L38" s="1"/>
      <c r="M38" s="6"/>
      <c r="N38" s="6"/>
      <c r="O38" s="7"/>
    </row>
    <row r="39" spans="1:15" x14ac:dyDescent="0.25">
      <c r="A39" s="5"/>
      <c r="B39" s="9"/>
      <c r="C39" s="9"/>
      <c r="D39" s="9"/>
      <c r="E39" s="9"/>
      <c r="F39" s="1"/>
      <c r="G39" s="6"/>
      <c r="H39" s="6"/>
      <c r="I39" s="6"/>
      <c r="J39" s="6"/>
      <c r="K39" s="6"/>
      <c r="L39" s="1"/>
      <c r="M39" s="6"/>
      <c r="N39" s="6"/>
      <c r="O39" s="7"/>
    </row>
    <row r="40" spans="1:15" x14ac:dyDescent="0.25">
      <c r="A40" s="5"/>
      <c r="B40" s="9"/>
      <c r="C40" s="9"/>
      <c r="D40" s="9"/>
      <c r="E40" s="9"/>
      <c r="F40" s="1"/>
      <c r="G40" s="6"/>
      <c r="H40" s="6"/>
      <c r="I40" s="6"/>
      <c r="J40" s="6"/>
      <c r="K40" s="6"/>
      <c r="L40" s="1"/>
      <c r="M40" s="6"/>
      <c r="N40" s="6"/>
      <c r="O40" s="7"/>
    </row>
    <row r="41" spans="1:15" x14ac:dyDescent="0.25">
      <c r="A41" s="5"/>
      <c r="B41" s="9"/>
      <c r="C41" s="9"/>
      <c r="D41" s="9"/>
      <c r="E41" s="9"/>
      <c r="F41" s="1"/>
      <c r="G41" s="6"/>
      <c r="H41" s="6"/>
      <c r="I41" s="6"/>
      <c r="J41" s="6"/>
      <c r="K41" s="6"/>
      <c r="L41" s="1"/>
      <c r="M41" s="6"/>
      <c r="N41" s="6"/>
      <c r="O41" s="7"/>
    </row>
    <row r="42" spans="1:15" x14ac:dyDescent="0.25">
      <c r="A42" s="5"/>
      <c r="B42" s="9"/>
      <c r="C42" s="9"/>
      <c r="D42" s="9"/>
      <c r="E42" s="9"/>
      <c r="F42" s="1"/>
      <c r="G42" s="6"/>
      <c r="H42" s="6"/>
      <c r="I42" s="6"/>
      <c r="J42" s="6"/>
      <c r="K42" s="6"/>
      <c r="L42" s="1"/>
      <c r="M42" s="6"/>
      <c r="N42" s="6"/>
      <c r="O42" s="7"/>
    </row>
    <row r="43" spans="1:15" x14ac:dyDescent="0.25">
      <c r="A43" s="5"/>
      <c r="B43" s="9"/>
      <c r="C43" s="9"/>
      <c r="D43" s="9"/>
      <c r="E43" s="9"/>
      <c r="F43" s="1"/>
      <c r="G43" s="6"/>
      <c r="H43" s="6"/>
      <c r="I43" s="6"/>
      <c r="J43" s="6"/>
      <c r="K43" s="6"/>
      <c r="L43" s="1"/>
      <c r="M43" s="6"/>
      <c r="N43" s="6"/>
      <c r="O43" s="7"/>
    </row>
    <row r="44" spans="1:15" x14ac:dyDescent="0.25">
      <c r="A44" s="5"/>
      <c r="B44" s="9"/>
      <c r="C44" s="9"/>
      <c r="D44" s="9"/>
      <c r="E44" s="9"/>
      <c r="F44" s="1"/>
      <c r="G44" s="6"/>
      <c r="H44" s="6"/>
      <c r="I44" s="6"/>
      <c r="J44" s="6"/>
      <c r="K44" s="16"/>
      <c r="L44" s="1"/>
      <c r="M44" s="6"/>
      <c r="N44" s="6"/>
      <c r="O44" s="7"/>
    </row>
    <row r="45" spans="1:15" x14ac:dyDescent="0.25">
      <c r="A45" s="11"/>
      <c r="B45" s="33"/>
      <c r="C45" s="33"/>
      <c r="D45" s="33"/>
      <c r="E45" s="33"/>
      <c r="F45" s="12"/>
      <c r="G45" s="6"/>
      <c r="H45" s="16"/>
      <c r="I45" s="16"/>
      <c r="J45" s="32"/>
      <c r="K45" s="21"/>
      <c r="L45" s="31"/>
      <c r="M45" s="6"/>
      <c r="N45" s="6"/>
      <c r="O45" s="7"/>
    </row>
    <row r="46" spans="1:15" x14ac:dyDescent="0.25">
      <c r="A46" s="13"/>
      <c r="B46" s="23"/>
      <c r="C46" s="23"/>
      <c r="D46" s="23"/>
      <c r="E46" s="23"/>
      <c r="F46" s="10"/>
      <c r="G46" s="6"/>
      <c r="H46" s="6"/>
      <c r="I46" s="6"/>
      <c r="J46" s="22"/>
      <c r="K46" s="21"/>
      <c r="L46" s="20"/>
      <c r="M46" s="6"/>
      <c r="N46" s="6"/>
      <c r="O46" s="7"/>
    </row>
    <row r="47" spans="1:15" x14ac:dyDescent="0.25">
      <c r="A47" s="14"/>
      <c r="B47" s="30"/>
      <c r="C47" s="30"/>
      <c r="D47" s="30"/>
      <c r="E47" s="30"/>
      <c r="F47" s="15"/>
      <c r="G47" s="16"/>
      <c r="H47" s="6"/>
      <c r="I47" s="6"/>
      <c r="J47" s="22"/>
      <c r="K47" s="21"/>
      <c r="L47" s="29"/>
      <c r="M47" s="16"/>
      <c r="N47" s="16"/>
      <c r="O47" s="17"/>
    </row>
    <row r="48" spans="1:15" x14ac:dyDescent="0.25">
      <c r="A48" s="5"/>
      <c r="B48" s="9"/>
      <c r="C48" s="9"/>
      <c r="D48" s="9"/>
      <c r="E48" s="9"/>
      <c r="F48" s="1"/>
      <c r="G48" s="6"/>
      <c r="H48" s="6"/>
      <c r="I48" s="6"/>
      <c r="J48" s="6"/>
      <c r="K48" s="28"/>
      <c r="L48" s="24"/>
      <c r="M48" s="6"/>
      <c r="N48" s="6"/>
      <c r="O48" s="7"/>
    </row>
    <row r="49" spans="1:15" x14ac:dyDescent="0.25">
      <c r="A49" s="5"/>
      <c r="B49" s="9"/>
      <c r="C49" s="9"/>
      <c r="D49" s="9"/>
      <c r="E49" s="9"/>
      <c r="F49" s="1"/>
      <c r="G49" s="6"/>
      <c r="H49" s="6"/>
      <c r="I49" s="6"/>
      <c r="J49" s="6"/>
      <c r="K49" s="26"/>
      <c r="L49" s="27"/>
      <c r="M49" s="6"/>
      <c r="N49" s="6"/>
      <c r="O49" s="7"/>
    </row>
    <row r="50" spans="1:15" x14ac:dyDescent="0.25">
      <c r="A50" s="5"/>
      <c r="B50" s="9"/>
      <c r="C50" s="9"/>
      <c r="D50" s="9"/>
      <c r="E50" s="9"/>
      <c r="F50" s="1"/>
      <c r="G50" s="6"/>
      <c r="H50" s="6"/>
      <c r="I50" s="6"/>
      <c r="J50" s="6"/>
      <c r="K50" s="26"/>
      <c r="L50" s="24"/>
      <c r="M50" s="6"/>
      <c r="N50" s="6"/>
      <c r="O50" s="7"/>
    </row>
    <row r="51" spans="1:15" x14ac:dyDescent="0.25">
      <c r="A51" s="5"/>
      <c r="B51" s="9"/>
      <c r="C51" s="9"/>
      <c r="D51" s="9"/>
      <c r="E51" s="9"/>
      <c r="F51" s="1"/>
      <c r="G51" s="6"/>
      <c r="H51" s="6"/>
      <c r="I51" s="6"/>
      <c r="J51" s="6"/>
      <c r="K51" s="25"/>
      <c r="L51" s="24"/>
      <c r="M51" s="6"/>
      <c r="N51" s="6"/>
      <c r="O51" s="7"/>
    </row>
    <row r="52" spans="1:15" x14ac:dyDescent="0.25">
      <c r="A52" s="13"/>
      <c r="B52" s="23"/>
      <c r="C52" s="23"/>
      <c r="D52" s="23"/>
      <c r="E52" s="23"/>
      <c r="F52" s="10"/>
      <c r="G52" s="6"/>
      <c r="H52" s="6"/>
      <c r="I52" s="6"/>
      <c r="J52" s="22"/>
      <c r="K52" s="21"/>
      <c r="L52" s="20"/>
      <c r="M52" s="6"/>
      <c r="N52" s="10"/>
      <c r="O52" s="7"/>
    </row>
    <row r="53" spans="1:15" x14ac:dyDescent="0.25">
      <c r="A53" s="13"/>
      <c r="B53" s="23"/>
      <c r="C53" s="23"/>
      <c r="D53" s="23"/>
      <c r="E53" s="23"/>
      <c r="F53" s="10"/>
      <c r="G53" s="6"/>
      <c r="H53" s="6"/>
      <c r="I53" s="6"/>
      <c r="J53" s="22"/>
      <c r="K53" s="21"/>
      <c r="L53" s="20"/>
      <c r="M53" s="6"/>
      <c r="N53" s="10"/>
      <c r="O53" s="7"/>
    </row>
    <row r="54" spans="1:15" x14ac:dyDescent="0.25">
      <c r="A54" s="13"/>
      <c r="B54" s="23"/>
      <c r="C54" s="23"/>
      <c r="D54" s="23"/>
      <c r="E54" s="23"/>
      <c r="F54" s="10"/>
      <c r="G54" s="6"/>
      <c r="H54" s="6"/>
      <c r="I54" s="6"/>
      <c r="J54" s="22"/>
      <c r="K54" s="21"/>
      <c r="L54" s="20"/>
      <c r="M54" s="6"/>
      <c r="N54" s="10"/>
      <c r="O54" s="7"/>
    </row>
  </sheetData>
  <mergeCells count="1">
    <mergeCell ref="B1:O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BC2F5-EF44-4725-A3CE-79EEE40B2D9F}">
  <dimension ref="A1:G53"/>
  <sheetViews>
    <sheetView workbookViewId="0">
      <selection activeCell="I1" sqref="I1:Q43"/>
    </sheetView>
  </sheetViews>
  <sheetFormatPr defaultColWidth="8.7265625" defaultRowHeight="12.5" x14ac:dyDescent="0.25"/>
  <cols>
    <col min="1" max="1" width="8.7265625" style="3"/>
    <col min="2" max="2" width="0" style="3" hidden="1" customWidth="1"/>
    <col min="3" max="3" width="8.7265625" style="3"/>
    <col min="4" max="4" width="0" style="3" hidden="1" customWidth="1"/>
    <col min="5" max="6" width="8.7265625" style="3"/>
    <col min="7" max="7" width="9.7265625" style="3" customWidth="1"/>
    <col min="8" max="12" width="8.7265625" style="3"/>
    <col min="13" max="13" width="28.7265625" style="3" bestFit="1" customWidth="1"/>
    <col min="14" max="16384" width="8.7265625" style="3"/>
  </cols>
  <sheetData>
    <row r="1" spans="1:7" ht="13" x14ac:dyDescent="0.25">
      <c r="A1" s="1"/>
      <c r="B1" s="2" t="s">
        <v>0</v>
      </c>
      <c r="C1" s="2"/>
      <c r="D1" s="2"/>
      <c r="E1" s="2"/>
      <c r="F1" s="2"/>
      <c r="G1" s="1"/>
    </row>
    <row r="2" spans="1:7" ht="13" x14ac:dyDescent="0.3">
      <c r="A2" s="1"/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</row>
    <row r="3" spans="1:7" x14ac:dyDescent="0.25">
      <c r="A3" s="5">
        <v>45295</v>
      </c>
      <c r="B3" s="6">
        <v>4080</v>
      </c>
      <c r="C3" s="6"/>
      <c r="D3" s="6">
        <v>5964</v>
      </c>
      <c r="E3" s="6"/>
      <c r="F3" s="6">
        <f>SUM(B3,D3)</f>
        <v>10044</v>
      </c>
      <c r="G3" s="7"/>
    </row>
    <row r="4" spans="1:7" x14ac:dyDescent="0.25">
      <c r="A4" s="5">
        <v>45302</v>
      </c>
      <c r="B4" s="6">
        <v>4060</v>
      </c>
      <c r="C4" s="6">
        <f>B4-B3</f>
        <v>-20</v>
      </c>
      <c r="D4" s="6">
        <v>5949</v>
      </c>
      <c r="E4" s="6">
        <f>D4-D3</f>
        <v>-15</v>
      </c>
      <c r="F4" s="6">
        <f t="shared" ref="F4:F53" si="0">SUM(B4,D4)</f>
        <v>10009</v>
      </c>
      <c r="G4" s="7">
        <f>F4-F3</f>
        <v>-35</v>
      </c>
    </row>
    <row r="5" spans="1:7" x14ac:dyDescent="0.25">
      <c r="A5" s="5">
        <v>45309</v>
      </c>
      <c r="B5" s="6">
        <v>4041</v>
      </c>
      <c r="C5" s="6">
        <f t="shared" ref="C5:C53" si="1">B5-B4</f>
        <v>-19</v>
      </c>
      <c r="D5" s="6">
        <v>5935</v>
      </c>
      <c r="E5" s="6">
        <f t="shared" ref="E5:E53" si="2">D5-D4</f>
        <v>-14</v>
      </c>
      <c r="F5" s="6">
        <f t="shared" si="0"/>
        <v>9976</v>
      </c>
      <c r="G5" s="7">
        <f t="shared" ref="G5:G53" si="3">F5-F4</f>
        <v>-33</v>
      </c>
    </row>
    <row r="6" spans="1:7" x14ac:dyDescent="0.25">
      <c r="A6" s="5">
        <v>45316</v>
      </c>
      <c r="B6" s="6">
        <v>4016</v>
      </c>
      <c r="C6" s="6">
        <f t="shared" si="1"/>
        <v>-25</v>
      </c>
      <c r="D6" s="6">
        <v>5922</v>
      </c>
      <c r="E6" s="6">
        <f t="shared" si="2"/>
        <v>-13</v>
      </c>
      <c r="F6" s="6">
        <f t="shared" si="0"/>
        <v>9938</v>
      </c>
      <c r="G6" s="7">
        <f t="shared" si="3"/>
        <v>-38</v>
      </c>
    </row>
    <row r="7" spans="1:7" x14ac:dyDescent="0.25">
      <c r="A7" s="5">
        <v>45323</v>
      </c>
      <c r="B7" s="6">
        <v>3986</v>
      </c>
      <c r="C7" s="6">
        <f t="shared" si="1"/>
        <v>-30</v>
      </c>
      <c r="D7" s="6">
        <v>5909</v>
      </c>
      <c r="E7" s="6">
        <f t="shared" si="2"/>
        <v>-13</v>
      </c>
      <c r="F7" s="6">
        <f t="shared" si="0"/>
        <v>9895</v>
      </c>
      <c r="G7" s="7">
        <f t="shared" si="3"/>
        <v>-43</v>
      </c>
    </row>
    <row r="8" spans="1:7" x14ac:dyDescent="0.25">
      <c r="A8" s="5">
        <v>45330</v>
      </c>
      <c r="B8" s="6">
        <v>3968</v>
      </c>
      <c r="C8" s="6">
        <f t="shared" si="1"/>
        <v>-18</v>
      </c>
      <c r="D8" s="6">
        <v>5899</v>
      </c>
      <c r="E8" s="6">
        <f t="shared" si="2"/>
        <v>-10</v>
      </c>
      <c r="F8" s="6">
        <f t="shared" si="0"/>
        <v>9867</v>
      </c>
      <c r="G8" s="7">
        <f t="shared" si="3"/>
        <v>-28</v>
      </c>
    </row>
    <row r="9" spans="1:7" x14ac:dyDescent="0.25">
      <c r="A9" s="5">
        <v>45337</v>
      </c>
      <c r="B9" s="6">
        <v>3959</v>
      </c>
      <c r="C9" s="6">
        <f t="shared" si="1"/>
        <v>-9</v>
      </c>
      <c r="D9" s="6">
        <v>5893</v>
      </c>
      <c r="E9" s="6">
        <f t="shared" si="2"/>
        <v>-6</v>
      </c>
      <c r="F9" s="6">
        <f t="shared" si="0"/>
        <v>9852</v>
      </c>
      <c r="G9" s="7">
        <f t="shared" si="3"/>
        <v>-15</v>
      </c>
    </row>
    <row r="10" spans="1:7" x14ac:dyDescent="0.25">
      <c r="A10" s="5">
        <v>45344</v>
      </c>
      <c r="B10" s="6">
        <v>3943</v>
      </c>
      <c r="C10" s="6">
        <f t="shared" si="1"/>
        <v>-16</v>
      </c>
      <c r="D10" s="6">
        <v>5866</v>
      </c>
      <c r="E10" s="6">
        <f t="shared" si="2"/>
        <v>-27</v>
      </c>
      <c r="F10" s="6">
        <f t="shared" si="0"/>
        <v>9809</v>
      </c>
      <c r="G10" s="7">
        <f t="shared" si="3"/>
        <v>-43</v>
      </c>
    </row>
    <row r="11" spans="1:7" x14ac:dyDescent="0.25">
      <c r="A11" s="5">
        <v>45351</v>
      </c>
      <c r="B11" s="6">
        <v>3926</v>
      </c>
      <c r="C11" s="6">
        <f t="shared" si="1"/>
        <v>-17</v>
      </c>
      <c r="D11" s="6">
        <v>5847</v>
      </c>
      <c r="E11" s="6">
        <f t="shared" si="2"/>
        <v>-19</v>
      </c>
      <c r="F11" s="6">
        <f t="shared" si="0"/>
        <v>9773</v>
      </c>
      <c r="G11" s="7">
        <f t="shared" si="3"/>
        <v>-36</v>
      </c>
    </row>
    <row r="12" spans="1:7" x14ac:dyDescent="0.25">
      <c r="A12" s="5">
        <v>45358</v>
      </c>
      <c r="B12" s="6">
        <v>3904</v>
      </c>
      <c r="C12" s="6">
        <f t="shared" si="1"/>
        <v>-22</v>
      </c>
      <c r="D12" s="6">
        <v>5819</v>
      </c>
      <c r="E12" s="6">
        <f t="shared" si="2"/>
        <v>-28</v>
      </c>
      <c r="F12" s="6">
        <f t="shared" si="0"/>
        <v>9723</v>
      </c>
      <c r="G12" s="7">
        <f t="shared" si="3"/>
        <v>-50</v>
      </c>
    </row>
    <row r="13" spans="1:7" x14ac:dyDescent="0.25">
      <c r="A13" s="5">
        <v>45365</v>
      </c>
      <c r="B13" s="6">
        <v>3890</v>
      </c>
      <c r="C13" s="6">
        <f t="shared" si="1"/>
        <v>-14</v>
      </c>
      <c r="D13" s="6">
        <v>5807</v>
      </c>
      <c r="E13" s="6">
        <f t="shared" si="2"/>
        <v>-12</v>
      </c>
      <c r="F13" s="6">
        <f t="shared" si="0"/>
        <v>9697</v>
      </c>
      <c r="G13" s="7">
        <f t="shared" si="3"/>
        <v>-26</v>
      </c>
    </row>
    <row r="14" spans="1:7" x14ac:dyDescent="0.25">
      <c r="A14" s="5">
        <v>45372</v>
      </c>
      <c r="B14" s="6">
        <v>3842</v>
      </c>
      <c r="C14" s="6">
        <f t="shared" si="1"/>
        <v>-48</v>
      </c>
      <c r="D14" s="6">
        <v>5754</v>
      </c>
      <c r="E14" s="6">
        <f t="shared" si="2"/>
        <v>-53</v>
      </c>
      <c r="F14" s="6">
        <f t="shared" si="0"/>
        <v>9596</v>
      </c>
      <c r="G14" s="7">
        <f t="shared" si="3"/>
        <v>-101</v>
      </c>
    </row>
    <row r="15" spans="1:7" x14ac:dyDescent="0.25">
      <c r="A15" s="5">
        <v>45379</v>
      </c>
      <c r="B15" s="6">
        <v>3834</v>
      </c>
      <c r="C15" s="6">
        <f t="shared" si="1"/>
        <v>-8</v>
      </c>
      <c r="D15" s="6">
        <v>5725</v>
      </c>
      <c r="E15" s="6">
        <f t="shared" si="2"/>
        <v>-29</v>
      </c>
      <c r="F15" s="6">
        <f t="shared" si="0"/>
        <v>9559</v>
      </c>
      <c r="G15" s="7">
        <f t="shared" si="3"/>
        <v>-37</v>
      </c>
    </row>
    <row r="16" spans="1:7" x14ac:dyDescent="0.25">
      <c r="A16" s="5">
        <v>45386</v>
      </c>
      <c r="B16" s="6">
        <v>3826</v>
      </c>
      <c r="C16" s="6">
        <f t="shared" si="1"/>
        <v>-8</v>
      </c>
      <c r="D16" s="6">
        <v>5706</v>
      </c>
      <c r="E16" s="6">
        <f t="shared" si="2"/>
        <v>-19</v>
      </c>
      <c r="F16" s="6">
        <f t="shared" si="0"/>
        <v>9532</v>
      </c>
      <c r="G16" s="7">
        <f t="shared" si="3"/>
        <v>-27</v>
      </c>
    </row>
    <row r="17" spans="1:7" x14ac:dyDescent="0.25">
      <c r="A17" s="5">
        <v>45393</v>
      </c>
      <c r="B17" s="6">
        <v>3812</v>
      </c>
      <c r="C17" s="6">
        <f t="shared" si="1"/>
        <v>-14</v>
      </c>
      <c r="D17" s="6">
        <v>5695</v>
      </c>
      <c r="E17" s="6">
        <f t="shared" si="2"/>
        <v>-11</v>
      </c>
      <c r="F17" s="6">
        <f t="shared" si="0"/>
        <v>9507</v>
      </c>
      <c r="G17" s="7">
        <f t="shared" si="3"/>
        <v>-25</v>
      </c>
    </row>
    <row r="18" spans="1:7" ht="13" x14ac:dyDescent="0.3">
      <c r="A18" s="5">
        <v>45400</v>
      </c>
      <c r="B18" s="6">
        <v>3798</v>
      </c>
      <c r="C18" s="6">
        <f t="shared" si="1"/>
        <v>-14</v>
      </c>
      <c r="D18" s="6">
        <v>5680</v>
      </c>
      <c r="E18" s="6">
        <f t="shared" si="2"/>
        <v>-15</v>
      </c>
      <c r="F18" s="6">
        <f t="shared" si="0"/>
        <v>9478</v>
      </c>
      <c r="G18" s="7">
        <f t="shared" si="3"/>
        <v>-29</v>
      </c>
    </row>
    <row r="19" spans="1:7" x14ac:dyDescent="0.25">
      <c r="A19" s="5">
        <v>45407</v>
      </c>
      <c r="B19" s="6">
        <v>3779</v>
      </c>
      <c r="C19" s="6">
        <f t="shared" si="1"/>
        <v>-19</v>
      </c>
      <c r="D19" s="6">
        <v>5842</v>
      </c>
      <c r="E19" s="6">
        <f t="shared" si="2"/>
        <v>162</v>
      </c>
      <c r="F19" s="6">
        <f t="shared" si="0"/>
        <v>9621</v>
      </c>
      <c r="G19" s="7">
        <f t="shared" si="3"/>
        <v>143</v>
      </c>
    </row>
    <row r="20" spans="1:7" x14ac:dyDescent="0.25">
      <c r="A20" s="5">
        <v>45414</v>
      </c>
      <c r="B20" s="6">
        <v>3763</v>
      </c>
      <c r="C20" s="6">
        <f t="shared" si="1"/>
        <v>-16</v>
      </c>
      <c r="D20" s="6">
        <v>5653</v>
      </c>
      <c r="E20" s="6">
        <f t="shared" si="2"/>
        <v>-189</v>
      </c>
      <c r="F20" s="6">
        <f t="shared" si="0"/>
        <v>9416</v>
      </c>
      <c r="G20" s="7">
        <f t="shared" si="3"/>
        <v>-205</v>
      </c>
    </row>
    <row r="21" spans="1:7" x14ac:dyDescent="0.25">
      <c r="A21" s="5">
        <v>45421</v>
      </c>
      <c r="B21" s="6">
        <v>3749</v>
      </c>
      <c r="C21" s="6">
        <f t="shared" si="1"/>
        <v>-14</v>
      </c>
      <c r="D21" s="6">
        <v>5641</v>
      </c>
      <c r="E21" s="6">
        <f t="shared" si="2"/>
        <v>-12</v>
      </c>
      <c r="F21" s="6">
        <f t="shared" si="0"/>
        <v>9390</v>
      </c>
      <c r="G21" s="7">
        <f t="shared" si="3"/>
        <v>-26</v>
      </c>
    </row>
    <row r="22" spans="1:7" x14ac:dyDescent="0.25">
      <c r="A22" s="5">
        <v>45428</v>
      </c>
      <c r="B22" s="6">
        <v>3736</v>
      </c>
      <c r="C22" s="6">
        <f t="shared" si="1"/>
        <v>-13</v>
      </c>
      <c r="D22" s="6">
        <v>5622</v>
      </c>
      <c r="E22" s="6">
        <f t="shared" si="2"/>
        <v>-19</v>
      </c>
      <c r="F22" s="6">
        <f t="shared" si="0"/>
        <v>9358</v>
      </c>
      <c r="G22" s="7">
        <f t="shared" si="3"/>
        <v>-32</v>
      </c>
    </row>
    <row r="23" spans="1:7" x14ac:dyDescent="0.25">
      <c r="A23" s="5">
        <v>45435</v>
      </c>
      <c r="B23" s="6">
        <v>3716</v>
      </c>
      <c r="C23" s="6">
        <f t="shared" si="1"/>
        <v>-20</v>
      </c>
      <c r="D23" s="6">
        <v>5610</v>
      </c>
      <c r="E23" s="6">
        <f t="shared" si="2"/>
        <v>-12</v>
      </c>
      <c r="F23" s="6">
        <f t="shared" si="0"/>
        <v>9326</v>
      </c>
      <c r="G23" s="7">
        <f t="shared" si="3"/>
        <v>-32</v>
      </c>
    </row>
    <row r="24" spans="1:7" x14ac:dyDescent="0.25">
      <c r="A24" s="5">
        <v>45442</v>
      </c>
      <c r="B24" s="6">
        <v>3709</v>
      </c>
      <c r="C24" s="6">
        <f t="shared" si="1"/>
        <v>-7</v>
      </c>
      <c r="D24" s="6">
        <v>5600</v>
      </c>
      <c r="E24" s="6">
        <f t="shared" si="2"/>
        <v>-10</v>
      </c>
      <c r="F24" s="6">
        <f t="shared" si="0"/>
        <v>9309</v>
      </c>
      <c r="G24" s="7">
        <f t="shared" si="3"/>
        <v>-17</v>
      </c>
    </row>
    <row r="25" spans="1:7" x14ac:dyDescent="0.25">
      <c r="A25" s="5">
        <v>45449</v>
      </c>
      <c r="B25" s="6">
        <v>3697</v>
      </c>
      <c r="C25" s="6">
        <f t="shared" si="1"/>
        <v>-12</v>
      </c>
      <c r="D25" s="6">
        <v>5600</v>
      </c>
      <c r="E25" s="6">
        <f t="shared" si="2"/>
        <v>0</v>
      </c>
      <c r="F25" s="6">
        <f t="shared" si="0"/>
        <v>9297</v>
      </c>
      <c r="G25" s="7">
        <f t="shared" si="3"/>
        <v>-12</v>
      </c>
    </row>
    <row r="26" spans="1:7" x14ac:dyDescent="0.25">
      <c r="A26" s="5">
        <v>45456</v>
      </c>
      <c r="B26" s="6">
        <v>3687</v>
      </c>
      <c r="C26" s="6">
        <f t="shared" si="1"/>
        <v>-10</v>
      </c>
      <c r="D26" s="6">
        <v>5575</v>
      </c>
      <c r="E26" s="6">
        <f t="shared" si="2"/>
        <v>-25</v>
      </c>
      <c r="F26" s="6">
        <f t="shared" si="0"/>
        <v>9262</v>
      </c>
      <c r="G26" s="7">
        <f t="shared" si="3"/>
        <v>-35</v>
      </c>
    </row>
    <row r="27" spans="1:7" x14ac:dyDescent="0.25">
      <c r="A27" s="5">
        <v>45463</v>
      </c>
      <c r="B27" s="6">
        <v>3664</v>
      </c>
      <c r="C27" s="6">
        <f t="shared" si="1"/>
        <v>-23</v>
      </c>
      <c r="D27" s="6">
        <v>5550</v>
      </c>
      <c r="E27" s="6">
        <f t="shared" si="2"/>
        <v>-25</v>
      </c>
      <c r="F27" s="6">
        <f t="shared" si="0"/>
        <v>9214</v>
      </c>
      <c r="G27" s="7">
        <f t="shared" si="3"/>
        <v>-48</v>
      </c>
    </row>
    <row r="28" spans="1:7" x14ac:dyDescent="0.25">
      <c r="A28" s="5">
        <v>45470</v>
      </c>
      <c r="B28" s="6">
        <v>3654</v>
      </c>
      <c r="C28" s="6">
        <f t="shared" si="1"/>
        <v>-10</v>
      </c>
      <c r="D28" s="6">
        <v>5536</v>
      </c>
      <c r="E28" s="6">
        <f t="shared" si="2"/>
        <v>-14</v>
      </c>
      <c r="F28" s="6">
        <f t="shared" si="0"/>
        <v>9190</v>
      </c>
      <c r="G28" s="7">
        <f t="shared" si="3"/>
        <v>-24</v>
      </c>
    </row>
    <row r="29" spans="1:7" x14ac:dyDescent="0.25">
      <c r="A29" s="5">
        <v>45477</v>
      </c>
      <c r="B29" s="6">
        <v>3643</v>
      </c>
      <c r="C29" s="6">
        <f t="shared" si="1"/>
        <v>-11</v>
      </c>
      <c r="D29" s="6">
        <v>5527</v>
      </c>
      <c r="E29" s="6">
        <f t="shared" si="2"/>
        <v>-9</v>
      </c>
      <c r="F29" s="6">
        <f t="shared" si="0"/>
        <v>9170</v>
      </c>
      <c r="G29" s="7">
        <f t="shared" si="3"/>
        <v>-20</v>
      </c>
    </row>
    <row r="30" spans="1:7" x14ac:dyDescent="0.25">
      <c r="A30" s="5">
        <v>45484</v>
      </c>
      <c r="B30" s="6">
        <v>3626</v>
      </c>
      <c r="C30" s="6">
        <f t="shared" si="1"/>
        <v>-17</v>
      </c>
      <c r="D30" s="6">
        <v>5517</v>
      </c>
      <c r="E30" s="6">
        <f t="shared" si="2"/>
        <v>-10</v>
      </c>
      <c r="F30" s="6">
        <f t="shared" si="0"/>
        <v>9143</v>
      </c>
      <c r="G30" s="7">
        <f t="shared" si="3"/>
        <v>-27</v>
      </c>
    </row>
    <row r="31" spans="1:7" x14ac:dyDescent="0.25">
      <c r="A31" s="5">
        <v>45491</v>
      </c>
      <c r="B31" s="6">
        <v>3604</v>
      </c>
      <c r="C31" s="6">
        <f t="shared" si="1"/>
        <v>-22</v>
      </c>
      <c r="D31" s="6">
        <v>5509</v>
      </c>
      <c r="E31" s="6">
        <f t="shared" si="2"/>
        <v>-8</v>
      </c>
      <c r="F31" s="6">
        <f t="shared" si="0"/>
        <v>9113</v>
      </c>
      <c r="G31" s="7">
        <f t="shared" si="3"/>
        <v>-30</v>
      </c>
    </row>
    <row r="32" spans="1:7" x14ac:dyDescent="0.25">
      <c r="A32" s="5">
        <v>45498</v>
      </c>
      <c r="B32" s="6">
        <v>3575</v>
      </c>
      <c r="C32" s="6">
        <f t="shared" si="1"/>
        <v>-29</v>
      </c>
      <c r="D32" s="6">
        <v>5496</v>
      </c>
      <c r="E32" s="6">
        <f t="shared" si="2"/>
        <v>-13</v>
      </c>
      <c r="F32" s="6">
        <f t="shared" si="0"/>
        <v>9071</v>
      </c>
      <c r="G32" s="7">
        <f t="shared" si="3"/>
        <v>-42</v>
      </c>
    </row>
    <row r="33" spans="1:7" x14ac:dyDescent="0.25">
      <c r="A33" s="5">
        <v>45506</v>
      </c>
      <c r="B33" s="1">
        <v>3549</v>
      </c>
      <c r="C33" s="6">
        <f t="shared" si="1"/>
        <v>-26</v>
      </c>
      <c r="D33" s="1">
        <v>5479</v>
      </c>
      <c r="E33" s="6">
        <f t="shared" si="2"/>
        <v>-17</v>
      </c>
      <c r="F33" s="6">
        <f t="shared" si="0"/>
        <v>9028</v>
      </c>
      <c r="G33" s="7">
        <f t="shared" si="3"/>
        <v>-43</v>
      </c>
    </row>
    <row r="34" spans="1:7" x14ac:dyDescent="0.25">
      <c r="A34" s="5">
        <v>45513</v>
      </c>
      <c r="B34" s="1">
        <v>3537</v>
      </c>
      <c r="C34" s="6">
        <f t="shared" si="1"/>
        <v>-12</v>
      </c>
      <c r="D34" s="1">
        <v>5471</v>
      </c>
      <c r="E34" s="6">
        <f t="shared" si="2"/>
        <v>-8</v>
      </c>
      <c r="F34" s="6">
        <f t="shared" si="0"/>
        <v>9008</v>
      </c>
      <c r="G34" s="7">
        <f t="shared" si="3"/>
        <v>-20</v>
      </c>
    </row>
    <row r="35" spans="1:7" x14ac:dyDescent="0.25">
      <c r="A35" s="5">
        <v>45520</v>
      </c>
      <c r="B35" s="1">
        <v>3519</v>
      </c>
      <c r="C35" s="6">
        <f t="shared" si="1"/>
        <v>-18</v>
      </c>
      <c r="D35" s="1">
        <v>5451</v>
      </c>
      <c r="E35" s="6">
        <f t="shared" si="2"/>
        <v>-20</v>
      </c>
      <c r="F35" s="6">
        <f t="shared" si="0"/>
        <v>8970</v>
      </c>
      <c r="G35" s="7">
        <f t="shared" si="3"/>
        <v>-38</v>
      </c>
    </row>
    <row r="36" spans="1:7" x14ac:dyDescent="0.25">
      <c r="A36" s="5">
        <v>45527</v>
      </c>
      <c r="B36" s="1">
        <v>3496</v>
      </c>
      <c r="C36" s="6">
        <f t="shared" si="1"/>
        <v>-23</v>
      </c>
      <c r="D36" s="1">
        <v>5842</v>
      </c>
      <c r="E36" s="6">
        <f t="shared" si="2"/>
        <v>391</v>
      </c>
      <c r="F36" s="6">
        <f t="shared" si="0"/>
        <v>9338</v>
      </c>
      <c r="G36" s="7">
        <f t="shared" si="3"/>
        <v>368</v>
      </c>
    </row>
    <row r="37" spans="1:7" x14ac:dyDescent="0.25">
      <c r="A37" s="5">
        <v>45534</v>
      </c>
      <c r="B37" s="1">
        <v>3481</v>
      </c>
      <c r="C37" s="6">
        <f t="shared" si="1"/>
        <v>-15</v>
      </c>
      <c r="D37" s="1">
        <v>5432</v>
      </c>
      <c r="E37" s="6">
        <f t="shared" si="2"/>
        <v>-410</v>
      </c>
      <c r="F37" s="6">
        <f t="shared" si="0"/>
        <v>8913</v>
      </c>
      <c r="G37" s="7">
        <f t="shared" si="3"/>
        <v>-425</v>
      </c>
    </row>
    <row r="38" spans="1:7" x14ac:dyDescent="0.25">
      <c r="A38" s="5">
        <v>45541</v>
      </c>
      <c r="B38" s="1">
        <v>3467</v>
      </c>
      <c r="C38" s="6">
        <f t="shared" si="1"/>
        <v>-14</v>
      </c>
      <c r="D38" s="1">
        <v>5422</v>
      </c>
      <c r="E38" s="6">
        <f t="shared" si="2"/>
        <v>-10</v>
      </c>
      <c r="F38" s="6">
        <f t="shared" si="0"/>
        <v>8889</v>
      </c>
      <c r="G38" s="7">
        <f t="shared" si="3"/>
        <v>-24</v>
      </c>
    </row>
    <row r="39" spans="1:7" x14ac:dyDescent="0.25">
      <c r="A39" s="5">
        <v>45548</v>
      </c>
      <c r="B39" s="1">
        <v>3456</v>
      </c>
      <c r="C39" s="6">
        <f t="shared" si="1"/>
        <v>-11</v>
      </c>
      <c r="D39" s="1">
        <v>5405</v>
      </c>
      <c r="E39" s="6">
        <f t="shared" si="2"/>
        <v>-17</v>
      </c>
      <c r="F39" s="6">
        <f t="shared" si="0"/>
        <v>8861</v>
      </c>
      <c r="G39" s="7">
        <f t="shared" si="3"/>
        <v>-28</v>
      </c>
    </row>
    <row r="40" spans="1:7" x14ac:dyDescent="0.25">
      <c r="A40" s="5">
        <v>45555</v>
      </c>
      <c r="B40" s="1">
        <v>3446</v>
      </c>
      <c r="C40" s="6">
        <f t="shared" si="1"/>
        <v>-10</v>
      </c>
      <c r="D40" s="1">
        <v>5381</v>
      </c>
      <c r="E40" s="6">
        <f t="shared" si="2"/>
        <v>-24</v>
      </c>
      <c r="F40" s="6">
        <f t="shared" si="0"/>
        <v>8827</v>
      </c>
      <c r="G40" s="7">
        <f t="shared" si="3"/>
        <v>-34</v>
      </c>
    </row>
    <row r="41" spans="1:7" x14ac:dyDescent="0.25">
      <c r="A41" s="5">
        <v>45562</v>
      </c>
      <c r="B41" s="1">
        <v>3434</v>
      </c>
      <c r="C41" s="6">
        <f t="shared" si="1"/>
        <v>-12</v>
      </c>
      <c r="D41" s="1">
        <v>5366</v>
      </c>
      <c r="E41" s="6">
        <f t="shared" si="2"/>
        <v>-15</v>
      </c>
      <c r="F41" s="6">
        <f t="shared" si="0"/>
        <v>8800</v>
      </c>
      <c r="G41" s="7">
        <f t="shared" si="3"/>
        <v>-27</v>
      </c>
    </row>
    <row r="42" spans="1:7" x14ac:dyDescent="0.25">
      <c r="A42" s="5">
        <v>45569</v>
      </c>
      <c r="B42" s="1">
        <v>3417</v>
      </c>
      <c r="C42" s="6">
        <f t="shared" si="1"/>
        <v>-17</v>
      </c>
      <c r="D42" s="1">
        <v>5343</v>
      </c>
      <c r="E42" s="6">
        <f t="shared" si="2"/>
        <v>-23</v>
      </c>
      <c r="F42" s="6">
        <f t="shared" si="0"/>
        <v>8760</v>
      </c>
      <c r="G42" s="7">
        <f t="shared" si="3"/>
        <v>-40</v>
      </c>
    </row>
    <row r="43" spans="1:7" x14ac:dyDescent="0.25">
      <c r="A43" s="5">
        <v>45576</v>
      </c>
      <c r="B43" s="1">
        <v>3421</v>
      </c>
      <c r="C43" s="6">
        <f t="shared" si="1"/>
        <v>4</v>
      </c>
      <c r="D43" s="1">
        <v>5366</v>
      </c>
      <c r="E43" s="6">
        <f t="shared" si="2"/>
        <v>23</v>
      </c>
      <c r="F43" s="6">
        <f t="shared" si="0"/>
        <v>8787</v>
      </c>
      <c r="G43" s="7">
        <f t="shared" si="3"/>
        <v>27</v>
      </c>
    </row>
    <row r="44" spans="1:7" x14ac:dyDescent="0.25">
      <c r="A44" s="11">
        <v>45583</v>
      </c>
      <c r="B44" s="12">
        <v>3403</v>
      </c>
      <c r="C44" s="6">
        <f t="shared" si="1"/>
        <v>-18</v>
      </c>
      <c r="D44" s="12">
        <v>5337</v>
      </c>
      <c r="E44" s="6">
        <f t="shared" si="2"/>
        <v>-29</v>
      </c>
      <c r="F44" s="6">
        <f t="shared" si="0"/>
        <v>8740</v>
      </c>
      <c r="G44" s="7">
        <f t="shared" si="3"/>
        <v>-47</v>
      </c>
    </row>
    <row r="45" spans="1:7" x14ac:dyDescent="0.25">
      <c r="A45" s="13">
        <v>45590</v>
      </c>
      <c r="B45" s="10">
        <v>3391</v>
      </c>
      <c r="C45" s="6">
        <f t="shared" si="1"/>
        <v>-12</v>
      </c>
      <c r="D45" s="10">
        <v>5315</v>
      </c>
      <c r="E45" s="6">
        <f t="shared" si="2"/>
        <v>-22</v>
      </c>
      <c r="F45" s="6">
        <f t="shared" si="0"/>
        <v>8706</v>
      </c>
      <c r="G45" s="7">
        <f t="shared" si="3"/>
        <v>-34</v>
      </c>
    </row>
    <row r="46" spans="1:7" x14ac:dyDescent="0.25">
      <c r="A46" s="14">
        <v>45597</v>
      </c>
      <c r="B46" s="15">
        <v>3374</v>
      </c>
      <c r="C46" s="16">
        <f t="shared" si="1"/>
        <v>-17</v>
      </c>
      <c r="D46" s="15">
        <v>5293</v>
      </c>
      <c r="E46" s="16">
        <f t="shared" si="2"/>
        <v>-22</v>
      </c>
      <c r="F46" s="16">
        <f t="shared" si="0"/>
        <v>8667</v>
      </c>
      <c r="G46" s="17">
        <f t="shared" si="3"/>
        <v>-39</v>
      </c>
    </row>
    <row r="47" spans="1:7" x14ac:dyDescent="0.25">
      <c r="A47" s="5">
        <v>45604</v>
      </c>
      <c r="B47" s="1">
        <v>3356</v>
      </c>
      <c r="C47" s="6">
        <f t="shared" si="1"/>
        <v>-18</v>
      </c>
      <c r="D47" s="1">
        <v>5262</v>
      </c>
      <c r="E47" s="6">
        <f t="shared" si="2"/>
        <v>-31</v>
      </c>
      <c r="F47" s="6">
        <f t="shared" si="0"/>
        <v>8618</v>
      </c>
      <c r="G47" s="7">
        <f t="shared" si="3"/>
        <v>-49</v>
      </c>
    </row>
    <row r="48" spans="1:7" x14ac:dyDescent="0.25">
      <c r="A48" s="5">
        <v>45611</v>
      </c>
      <c r="B48" s="1">
        <v>3221</v>
      </c>
      <c r="C48" s="6">
        <f t="shared" si="1"/>
        <v>-135</v>
      </c>
      <c r="D48" s="18">
        <v>5104</v>
      </c>
      <c r="E48" s="6">
        <f t="shared" si="2"/>
        <v>-158</v>
      </c>
      <c r="F48" s="6">
        <f t="shared" si="0"/>
        <v>8325</v>
      </c>
      <c r="G48" s="7">
        <f t="shared" si="3"/>
        <v>-293</v>
      </c>
    </row>
    <row r="49" spans="1:7" x14ac:dyDescent="0.25">
      <c r="A49" s="5">
        <v>45618</v>
      </c>
      <c r="B49" s="1">
        <v>3196</v>
      </c>
      <c r="C49" s="6">
        <f t="shared" si="1"/>
        <v>-25</v>
      </c>
      <c r="D49" s="1">
        <v>5087</v>
      </c>
      <c r="E49" s="6">
        <f t="shared" si="2"/>
        <v>-17</v>
      </c>
      <c r="F49" s="6">
        <f t="shared" si="0"/>
        <v>8283</v>
      </c>
      <c r="G49" s="7">
        <f t="shared" si="3"/>
        <v>-42</v>
      </c>
    </row>
    <row r="50" spans="1:7" x14ac:dyDescent="0.25">
      <c r="A50" s="5">
        <v>45625</v>
      </c>
      <c r="B50" s="1">
        <v>3181</v>
      </c>
      <c r="C50" s="6">
        <f t="shared" si="1"/>
        <v>-15</v>
      </c>
      <c r="D50" s="1">
        <v>5077</v>
      </c>
      <c r="E50" s="6">
        <f t="shared" si="2"/>
        <v>-10</v>
      </c>
      <c r="F50" s="6">
        <f t="shared" si="0"/>
        <v>8258</v>
      </c>
      <c r="G50" s="7">
        <f t="shared" si="3"/>
        <v>-25</v>
      </c>
    </row>
    <row r="51" spans="1:7" x14ac:dyDescent="0.25">
      <c r="A51" s="13">
        <v>45632</v>
      </c>
      <c r="B51" s="10">
        <v>3152</v>
      </c>
      <c r="C51" s="6">
        <f t="shared" si="1"/>
        <v>-29</v>
      </c>
      <c r="D51" s="10">
        <v>5062</v>
      </c>
      <c r="E51" s="6">
        <f t="shared" si="2"/>
        <v>-15</v>
      </c>
      <c r="F51" s="10">
        <f t="shared" si="0"/>
        <v>8214</v>
      </c>
      <c r="G51" s="7">
        <f t="shared" si="3"/>
        <v>-44</v>
      </c>
    </row>
    <row r="52" spans="1:7" x14ac:dyDescent="0.25">
      <c r="A52" s="13">
        <v>45639</v>
      </c>
      <c r="B52" s="10">
        <v>3120</v>
      </c>
      <c r="C52" s="6">
        <f t="shared" si="1"/>
        <v>-32</v>
      </c>
      <c r="D52" s="10">
        <v>5033</v>
      </c>
      <c r="E52" s="6">
        <f t="shared" si="2"/>
        <v>-29</v>
      </c>
      <c r="F52" s="10">
        <f t="shared" si="0"/>
        <v>8153</v>
      </c>
      <c r="G52" s="7">
        <f t="shared" si="3"/>
        <v>-61</v>
      </c>
    </row>
    <row r="53" spans="1:7" x14ac:dyDescent="0.25">
      <c r="A53" s="13">
        <v>45646</v>
      </c>
      <c r="B53" s="10">
        <v>3086</v>
      </c>
      <c r="C53" s="6">
        <f t="shared" si="1"/>
        <v>-34</v>
      </c>
      <c r="D53" s="10">
        <v>4997</v>
      </c>
      <c r="E53" s="6">
        <f t="shared" si="2"/>
        <v>-36</v>
      </c>
      <c r="F53" s="10">
        <f t="shared" si="0"/>
        <v>8083</v>
      </c>
      <c r="G53" s="7">
        <f t="shared" si="3"/>
        <v>-70</v>
      </c>
    </row>
  </sheetData>
  <mergeCells count="1">
    <mergeCell ref="B1:F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Staffing Manpower Data</vt:lpstr>
      <vt:lpstr>Chart 2025</vt:lpstr>
      <vt:lpstr>Chart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SHELTON, JENNIFER W 2d Lt USAF AFMC AFLCMC/WVB</dc:creator>
  <cp:lastModifiedBy>SHELTON, JENNIFER W 2d Lt USAF AFMC AFLCMC/WVB</cp:lastModifiedBy>
  <dcterms:created xsi:type="dcterms:W3CDTF">2025-04-28T18:07:15Z</dcterms:created>
  <dcterms:modified xsi:type="dcterms:W3CDTF">2025-04-28T18:10:12Z</dcterms:modified>
</cp:coreProperties>
</file>