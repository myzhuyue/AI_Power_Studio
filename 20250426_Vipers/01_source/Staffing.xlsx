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jennifer_shelton_4_us_af_mil/Documents/Desktop/Barge Status/"/>
    </mc:Choice>
  </mc:AlternateContent>
  <xr:revisionPtr revIDLastSave="0" documentId="8_{5BCA364E-B6A3-4716-A5FD-6C0ECFB496BF}" xr6:coauthVersionLast="47" xr6:coauthVersionMax="47" xr10:uidLastSave="{00000000-0000-0000-0000-000000000000}"/>
  <bookViews>
    <workbookView xWindow="-120" yWindow="90" windowWidth="29040" windowHeight="15510" xr2:uid="{9E0A856E-2102-4C9D-9998-462F5DECEF19}"/>
  </bookViews>
  <sheets>
    <sheet name="Staffing Manpower" sheetId="4" r:id="rId1"/>
    <sheet name="Chart 2025" sheetId="3" r:id="rId2"/>
    <sheet name="Chart 2024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B8" i="4"/>
  <c r="F11" i="4" s="1"/>
  <c r="C8" i="4"/>
  <c r="D8" i="4"/>
  <c r="E8" i="4"/>
  <c r="F8" i="4"/>
  <c r="J8" i="4"/>
  <c r="K8" i="4"/>
  <c r="L8" i="4"/>
  <c r="M8" i="4"/>
  <c r="Q27" i="3"/>
  <c r="W22" i="3"/>
  <c r="L17" i="3"/>
  <c r="N17" i="3" s="1"/>
  <c r="K17" i="3"/>
  <c r="I17" i="3"/>
  <c r="F17" i="3"/>
  <c r="E17" i="3"/>
  <c r="C17" i="3"/>
  <c r="L16" i="3"/>
  <c r="N16" i="3" s="1"/>
  <c r="K16" i="3"/>
  <c r="I16" i="3"/>
  <c r="G16" i="3"/>
  <c r="F16" i="3"/>
  <c r="G17" i="3" s="1"/>
  <c r="E16" i="3"/>
  <c r="C16" i="3"/>
  <c r="L15" i="3"/>
  <c r="M15" i="3" s="1"/>
  <c r="K15" i="3"/>
  <c r="I15" i="3"/>
  <c r="F15" i="3"/>
  <c r="G15" i="3" s="1"/>
  <c r="E15" i="3"/>
  <c r="C15" i="3"/>
  <c r="L14" i="3"/>
  <c r="M14" i="3" s="1"/>
  <c r="K14" i="3"/>
  <c r="I14" i="3"/>
  <c r="F14" i="3"/>
  <c r="N14" i="3" s="1"/>
  <c r="O14" i="3" s="1"/>
  <c r="E14" i="3"/>
  <c r="C14" i="3"/>
  <c r="L13" i="3"/>
  <c r="N13" i="3" s="1"/>
  <c r="O13" i="3" s="1"/>
  <c r="K13" i="3"/>
  <c r="I13" i="3"/>
  <c r="F13" i="3"/>
  <c r="E13" i="3"/>
  <c r="C13" i="3"/>
  <c r="N12" i="3"/>
  <c r="L12" i="3"/>
  <c r="K12" i="3"/>
  <c r="I12" i="3"/>
  <c r="F12" i="3"/>
  <c r="G13" i="3" s="1"/>
  <c r="E12" i="3"/>
  <c r="C12" i="3"/>
  <c r="L11" i="3"/>
  <c r="M12" i="3" s="1"/>
  <c r="K11" i="3"/>
  <c r="I11" i="3"/>
  <c r="F11" i="3"/>
  <c r="G11" i="3" s="1"/>
  <c r="E11" i="3"/>
  <c r="C11" i="3"/>
  <c r="L10" i="3"/>
  <c r="N10" i="3" s="1"/>
  <c r="K10" i="3"/>
  <c r="I10" i="3"/>
  <c r="F10" i="3"/>
  <c r="E10" i="3"/>
  <c r="C10" i="3"/>
  <c r="L9" i="3"/>
  <c r="M9" i="3" s="1"/>
  <c r="K9" i="3"/>
  <c r="I9" i="3"/>
  <c r="F9" i="3"/>
  <c r="G10" i="3" s="1"/>
  <c r="E9" i="3"/>
  <c r="C9" i="3"/>
  <c r="L8" i="3"/>
  <c r="M8" i="3" s="1"/>
  <c r="K8" i="3"/>
  <c r="S13" i="3" s="1"/>
  <c r="I8" i="3"/>
  <c r="F8" i="3"/>
  <c r="N8" i="3" s="1"/>
  <c r="E8" i="3"/>
  <c r="C8" i="3"/>
  <c r="L7" i="3"/>
  <c r="M7" i="3" s="1"/>
  <c r="K7" i="3"/>
  <c r="I7" i="3"/>
  <c r="F7" i="3"/>
  <c r="G7" i="3" s="1"/>
  <c r="E7" i="3"/>
  <c r="C7" i="3"/>
  <c r="L6" i="3"/>
  <c r="M6" i="3" s="1"/>
  <c r="K6" i="3"/>
  <c r="I6" i="3"/>
  <c r="F6" i="3"/>
  <c r="N6" i="3" s="1"/>
  <c r="E6" i="3"/>
  <c r="C6" i="3"/>
  <c r="L5" i="3"/>
  <c r="M5" i="3" s="1"/>
  <c r="K5" i="3"/>
  <c r="W23" i="3" s="1"/>
  <c r="I5" i="3"/>
  <c r="F5" i="3"/>
  <c r="G5" i="3" s="1"/>
  <c r="E5" i="3"/>
  <c r="C5" i="3"/>
  <c r="L4" i="3"/>
  <c r="K4" i="3"/>
  <c r="I4" i="3"/>
  <c r="F4" i="3"/>
  <c r="N4" i="3" s="1"/>
  <c r="E4" i="3"/>
  <c r="V23" i="3" s="1"/>
  <c r="C4" i="3"/>
  <c r="V22" i="3" s="1"/>
  <c r="L3" i="3"/>
  <c r="R5" i="3" s="1"/>
  <c r="F3" i="3"/>
  <c r="Q5" i="3" s="1"/>
  <c r="S5" i="3" s="1"/>
  <c r="F53" i="2"/>
  <c r="G53" i="2" s="1"/>
  <c r="E53" i="2"/>
  <c r="C53" i="2"/>
  <c r="F52" i="2"/>
  <c r="G52" i="2" s="1"/>
  <c r="E52" i="2"/>
  <c r="K22" i="2" s="1"/>
  <c r="C52" i="2"/>
  <c r="J22" i="2" s="1"/>
  <c r="G51" i="2"/>
  <c r="F51" i="2"/>
  <c r="E51" i="2"/>
  <c r="C51" i="2"/>
  <c r="F50" i="2"/>
  <c r="G50" i="2" s="1"/>
  <c r="E50" i="2"/>
  <c r="C50" i="2"/>
  <c r="F49" i="2"/>
  <c r="G49" i="2" s="1"/>
  <c r="E49" i="2"/>
  <c r="C49" i="2"/>
  <c r="G48" i="2"/>
  <c r="F48" i="2"/>
  <c r="E48" i="2"/>
  <c r="C48" i="2"/>
  <c r="F47" i="2"/>
  <c r="G47" i="2" s="1"/>
  <c r="E47" i="2"/>
  <c r="C47" i="2"/>
  <c r="F46" i="2"/>
  <c r="G46" i="2" s="1"/>
  <c r="E46" i="2"/>
  <c r="K21" i="2" s="1"/>
  <c r="C46" i="2"/>
  <c r="J21" i="2" s="1"/>
  <c r="G45" i="2"/>
  <c r="F45" i="2"/>
  <c r="E45" i="2"/>
  <c r="C45" i="2"/>
  <c r="F44" i="2"/>
  <c r="G44" i="2" s="1"/>
  <c r="E44" i="2"/>
  <c r="C44" i="2"/>
  <c r="F43" i="2"/>
  <c r="G43" i="2" s="1"/>
  <c r="E43" i="2"/>
  <c r="K20" i="2" s="1"/>
  <c r="C43" i="2"/>
  <c r="J20" i="2" s="1"/>
  <c r="G42" i="2"/>
  <c r="F42" i="2"/>
  <c r="E42" i="2"/>
  <c r="C42" i="2"/>
  <c r="F41" i="2"/>
  <c r="G41" i="2" s="1"/>
  <c r="E41" i="2"/>
  <c r="C41" i="2"/>
  <c r="F40" i="2"/>
  <c r="G40" i="2" s="1"/>
  <c r="E40" i="2"/>
  <c r="C40" i="2"/>
  <c r="G39" i="2"/>
  <c r="F39" i="2"/>
  <c r="E39" i="2"/>
  <c r="C39" i="2"/>
  <c r="F38" i="2"/>
  <c r="G38" i="2" s="1"/>
  <c r="E38" i="2"/>
  <c r="K19" i="2" s="1"/>
  <c r="C38" i="2"/>
  <c r="J19" i="2" s="1"/>
  <c r="F37" i="2"/>
  <c r="G37" i="2" s="1"/>
  <c r="E37" i="2"/>
  <c r="C37" i="2"/>
  <c r="G36" i="2"/>
  <c r="F36" i="2"/>
  <c r="E36" i="2"/>
  <c r="C36" i="2"/>
  <c r="F35" i="2"/>
  <c r="G35" i="2" s="1"/>
  <c r="E35" i="2"/>
  <c r="C35" i="2"/>
  <c r="F34" i="2"/>
  <c r="G34" i="2" s="1"/>
  <c r="E34" i="2"/>
  <c r="C34" i="2"/>
  <c r="J18" i="2" s="1"/>
  <c r="G33" i="2"/>
  <c r="F33" i="2"/>
  <c r="E33" i="2"/>
  <c r="C33" i="2"/>
  <c r="F32" i="2"/>
  <c r="G32" i="2" s="1"/>
  <c r="E32" i="2"/>
  <c r="C32" i="2"/>
  <c r="F31" i="2"/>
  <c r="G31" i="2" s="1"/>
  <c r="E31" i="2"/>
  <c r="K17" i="2" s="1"/>
  <c r="C31" i="2"/>
  <c r="J17" i="2" s="1"/>
  <c r="G30" i="2"/>
  <c r="F30" i="2"/>
  <c r="E30" i="2"/>
  <c r="C30" i="2"/>
  <c r="F29" i="2"/>
  <c r="G29" i="2" s="1"/>
  <c r="E29" i="2"/>
  <c r="C29" i="2"/>
  <c r="F28" i="2"/>
  <c r="G28" i="2" s="1"/>
  <c r="E28" i="2"/>
  <c r="C28" i="2"/>
  <c r="G27" i="2"/>
  <c r="F27" i="2"/>
  <c r="E27" i="2"/>
  <c r="C27" i="2"/>
  <c r="F26" i="2"/>
  <c r="G26" i="2" s="1"/>
  <c r="E26" i="2"/>
  <c r="C26" i="2"/>
  <c r="F25" i="2"/>
  <c r="G25" i="2" s="1"/>
  <c r="E25" i="2"/>
  <c r="K16" i="2" s="1"/>
  <c r="C25" i="2"/>
  <c r="J16" i="2" s="1"/>
  <c r="N24" i="2"/>
  <c r="F24" i="2"/>
  <c r="E24" i="2"/>
  <c r="C24" i="2"/>
  <c r="F23" i="2"/>
  <c r="G24" i="2" s="1"/>
  <c r="E23" i="2"/>
  <c r="C23" i="2"/>
  <c r="F22" i="2"/>
  <c r="G22" i="2" s="1"/>
  <c r="E22" i="2"/>
  <c r="C22" i="2"/>
  <c r="F21" i="2"/>
  <c r="G21" i="2" s="1"/>
  <c r="E21" i="2"/>
  <c r="C21" i="2"/>
  <c r="J15" i="2" s="1"/>
  <c r="F20" i="2"/>
  <c r="G20" i="2" s="1"/>
  <c r="E20" i="2"/>
  <c r="C20" i="2"/>
  <c r="F19" i="2"/>
  <c r="G19" i="2" s="1"/>
  <c r="E19" i="2"/>
  <c r="C19" i="2"/>
  <c r="K18" i="2"/>
  <c r="F18" i="2"/>
  <c r="G18" i="2" s="1"/>
  <c r="E18" i="2"/>
  <c r="C18" i="2"/>
  <c r="F17" i="2"/>
  <c r="G17" i="2" s="1"/>
  <c r="E17" i="2"/>
  <c r="C17" i="2"/>
  <c r="F16" i="2"/>
  <c r="G16" i="2" s="1"/>
  <c r="E16" i="2"/>
  <c r="K14" i="2" s="1"/>
  <c r="C16" i="2"/>
  <c r="J14" i="2" s="1"/>
  <c r="K15" i="2"/>
  <c r="F15" i="2"/>
  <c r="E15" i="2"/>
  <c r="C15" i="2"/>
  <c r="F14" i="2"/>
  <c r="G15" i="2" s="1"/>
  <c r="E14" i="2"/>
  <c r="C14" i="2"/>
  <c r="F13" i="2"/>
  <c r="G13" i="2" s="1"/>
  <c r="E13" i="2"/>
  <c r="C13" i="2"/>
  <c r="K12" i="2"/>
  <c r="F12" i="2"/>
  <c r="E12" i="2"/>
  <c r="K13" i="2" s="1"/>
  <c r="C12" i="2"/>
  <c r="J13" i="2" s="1"/>
  <c r="F11" i="2"/>
  <c r="G12" i="2" s="1"/>
  <c r="E11" i="2"/>
  <c r="C11" i="2"/>
  <c r="F10" i="2"/>
  <c r="G10" i="2" s="1"/>
  <c r="E10" i="2"/>
  <c r="C10" i="2"/>
  <c r="F9" i="2"/>
  <c r="G9" i="2" s="1"/>
  <c r="E9" i="2"/>
  <c r="C9" i="2"/>
  <c r="F8" i="2"/>
  <c r="G8" i="2" s="1"/>
  <c r="E8" i="2"/>
  <c r="C8" i="2"/>
  <c r="F7" i="2"/>
  <c r="G7" i="2" s="1"/>
  <c r="E7" i="2"/>
  <c r="C7" i="2"/>
  <c r="J12" i="2" s="1"/>
  <c r="F6" i="2"/>
  <c r="G6" i="2" s="1"/>
  <c r="E6" i="2"/>
  <c r="C6" i="2"/>
  <c r="F5" i="2"/>
  <c r="E5" i="2"/>
  <c r="C5" i="2"/>
  <c r="K4" i="2"/>
  <c r="J4" i="2"/>
  <c r="O11" i="2" s="1"/>
  <c r="O12" i="2" s="1"/>
  <c r="O13" i="2" s="1"/>
  <c r="I4" i="2"/>
  <c r="N11" i="2" s="1"/>
  <c r="F4" i="2"/>
  <c r="G4" i="2" s="1"/>
  <c r="E4" i="2"/>
  <c r="K11" i="2" s="1"/>
  <c r="C4" i="2"/>
  <c r="J11" i="2" s="1"/>
  <c r="F3" i="2"/>
  <c r="O4" i="3" l="1"/>
  <c r="O6" i="3"/>
  <c r="O17" i="3"/>
  <c r="N3" i="3"/>
  <c r="G9" i="3"/>
  <c r="M13" i="3"/>
  <c r="M17" i="3"/>
  <c r="G8" i="3"/>
  <c r="M10" i="3"/>
  <c r="G6" i="3"/>
  <c r="G4" i="3"/>
  <c r="N9" i="3"/>
  <c r="O9" i="3" s="1"/>
  <c r="N7" i="3"/>
  <c r="O7" i="3" s="1"/>
  <c r="G12" i="3"/>
  <c r="Q29" i="3" s="1"/>
  <c r="N15" i="3"/>
  <c r="O15" i="3" s="1"/>
  <c r="R27" i="3"/>
  <c r="S27" i="3" s="1"/>
  <c r="M4" i="3"/>
  <c r="G14" i="3"/>
  <c r="M16" i="3"/>
  <c r="N5" i="3"/>
  <c r="O5" i="3" s="1"/>
  <c r="M11" i="3"/>
  <c r="N11" i="3"/>
  <c r="O11" i="3" s="1"/>
  <c r="O3" i="2"/>
  <c r="P11" i="2"/>
  <c r="N12" i="2"/>
  <c r="G11" i="2"/>
  <c r="G14" i="2"/>
  <c r="G23" i="2"/>
  <c r="I6" i="2"/>
  <c r="J6" i="2"/>
  <c r="O16" i="2" s="1"/>
  <c r="O17" i="2" s="1"/>
  <c r="O18" i="2" s="1"/>
  <c r="G5" i="2"/>
  <c r="O16" i="3" l="1"/>
  <c r="R29" i="3"/>
  <c r="S29" i="3" s="1"/>
  <c r="O12" i="3"/>
  <c r="R12" i="3"/>
  <c r="Q7" i="3"/>
  <c r="O10" i="3"/>
  <c r="S12" i="3"/>
  <c r="R7" i="3"/>
  <c r="R13" i="3"/>
  <c r="O8" i="3"/>
  <c r="N16" i="2"/>
  <c r="K6" i="2"/>
  <c r="N13" i="2"/>
  <c r="P12" i="2"/>
  <c r="P13" i="2" s="1"/>
  <c r="W12" i="3" l="1"/>
  <c r="W13" i="3" s="1"/>
  <c r="W14" i="3" s="1"/>
  <c r="W17" i="3"/>
  <c r="W18" i="3" s="1"/>
  <c r="W19" i="3" s="1"/>
  <c r="S7" i="3"/>
  <c r="V17" i="3"/>
  <c r="V12" i="3"/>
  <c r="P16" i="2"/>
  <c r="N17" i="2"/>
  <c r="X12" i="3" l="1"/>
  <c r="V13" i="3"/>
  <c r="X17" i="3"/>
  <c r="V18" i="3"/>
  <c r="N18" i="2"/>
  <c r="P17" i="2"/>
  <c r="P18" i="2" s="1"/>
  <c r="X13" i="3" l="1"/>
  <c r="X14" i="3" s="1"/>
  <c r="V14" i="3"/>
  <c r="V19" i="3"/>
  <c r="X18" i="3"/>
  <c r="X19" i="3" s="1"/>
</calcChain>
</file>

<file path=xl/sharedStrings.xml><?xml version="1.0" encoding="utf-8"?>
<sst xmlns="http://schemas.openxmlformats.org/spreadsheetml/2006/main" count="107" uniqueCount="65">
  <si>
    <t>Balance to Go</t>
  </si>
  <si>
    <t>AC 1</t>
  </si>
  <si>
    <t>AC 1 Diff</t>
  </si>
  <si>
    <t>AC 2</t>
  </si>
  <si>
    <t>AC 2 Diff</t>
  </si>
  <si>
    <t>Total</t>
  </si>
  <si>
    <t>Difference</t>
  </si>
  <si>
    <t>total structures completed</t>
  </si>
  <si>
    <t>current weekly average</t>
  </si>
  <si>
    <t>Monthly Averages</t>
  </si>
  <si>
    <t>Years Remaining</t>
  </si>
  <si>
    <t>Jan</t>
  </si>
  <si>
    <t>Total Structures Completed</t>
  </si>
  <si>
    <t>Feb</t>
  </si>
  <si>
    <t>Total Year End BTG</t>
  </si>
  <si>
    <t>Mar</t>
  </si>
  <si>
    <t>Total Years</t>
  </si>
  <si>
    <t>Apr</t>
  </si>
  <si>
    <t>May</t>
  </si>
  <si>
    <t>Jun</t>
  </si>
  <si>
    <t>With 30% Increase in Production</t>
  </si>
  <si>
    <t>Jul</t>
  </si>
  <si>
    <t>Projected Year End</t>
  </si>
  <si>
    <t>Aug</t>
  </si>
  <si>
    <t xml:space="preserve">Total Years </t>
  </si>
  <si>
    <t>Sep</t>
  </si>
  <si>
    <t>Oct</t>
  </si>
  <si>
    <t>Nov</t>
  </si>
  <si>
    <t>Dec</t>
  </si>
  <si>
    <t>AC 1 BL</t>
  </si>
  <si>
    <t>AC 1 BL Diff</t>
  </si>
  <si>
    <t>AC 1 NBL</t>
  </si>
  <si>
    <t>AC 1 NBL Diff</t>
  </si>
  <si>
    <t>AC 1 Total</t>
  </si>
  <si>
    <t>AC 2 BL</t>
  </si>
  <si>
    <t>AC 2 BL Diff</t>
  </si>
  <si>
    <t>AC 2 NBL</t>
  </si>
  <si>
    <t>AC 2 NBL Diff</t>
  </si>
  <si>
    <t xml:space="preserve">  </t>
  </si>
  <si>
    <t>On Current Pace</t>
  </si>
  <si>
    <t>Projected Total Year End</t>
  </si>
  <si>
    <t>Average BL Complete</t>
  </si>
  <si>
    <t>Average NBL Complete</t>
  </si>
  <si>
    <t xml:space="preserve">Total </t>
  </si>
  <si>
    <t>-</t>
  </si>
  <si>
    <t>Week 5</t>
  </si>
  <si>
    <t>Interiors</t>
  </si>
  <si>
    <t>Week 4</t>
  </si>
  <si>
    <t>Avionics</t>
  </si>
  <si>
    <t>Week 3</t>
  </si>
  <si>
    <t>Electricians</t>
  </si>
  <si>
    <t>Week 2</t>
  </si>
  <si>
    <t>Generals</t>
  </si>
  <si>
    <t>Week 1</t>
  </si>
  <si>
    <t>Structures</t>
  </si>
  <si>
    <t>April</t>
  </si>
  <si>
    <t>March</t>
  </si>
  <si>
    <t>February</t>
  </si>
  <si>
    <t>January</t>
  </si>
  <si>
    <t>Attrition Totals</t>
  </si>
  <si>
    <t>Gap to Peak</t>
  </si>
  <si>
    <t>Peak Staffing</t>
  </si>
  <si>
    <t>Pipeline</t>
  </si>
  <si>
    <t>Current (On Floor)</t>
  </si>
  <si>
    <t>Current (In the Door)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</si>
</sst>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\-yy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C8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16" fontId="2" fillId="0" borderId="1" xfId="0" applyNumberFormat="1" applyFont="1" applyBorder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  <xf numFmtId="0" fontId="3" fillId="2" borderId="1" xfId="0" applyFont="1" applyFill="1" applyBorder="1"/>
    <xf numFmtId="0" fontId="3" fillId="0" borderId="0" xfId="0" applyFont="1"/>
    <xf numFmtId="1" fontId="2" fillId="0" borderId="1" xfId="0" applyNumberFormat="1" applyFont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3" fontId="2" fillId="0" borderId="2" xfId="0" applyNumberFormat="1" applyFont="1" applyBorder="1"/>
    <xf numFmtId="0" fontId="3" fillId="6" borderId="2" xfId="0" applyFont="1" applyFill="1" applyBorder="1"/>
    <xf numFmtId="2" fontId="3" fillId="6" borderId="2" xfId="0" applyNumberFormat="1" applyFont="1" applyFill="1" applyBorder="1"/>
    <xf numFmtId="3" fontId="2" fillId="0" borderId="1" xfId="0" applyNumberFormat="1" applyFont="1" applyBorder="1"/>
    <xf numFmtId="0" fontId="2" fillId="4" borderId="1" xfId="0" applyFont="1" applyFill="1" applyBorder="1"/>
    <xf numFmtId="2" fontId="3" fillId="4" borderId="1" xfId="0" applyNumberFormat="1" applyFont="1" applyFill="1" applyBorder="1"/>
    <xf numFmtId="16" fontId="2" fillId="0" borderId="3" xfId="0" applyNumberFormat="1" applyFont="1" applyBorder="1"/>
    <xf numFmtId="0" fontId="2" fillId="0" borderId="3" xfId="0" applyFont="1" applyBorder="1"/>
    <xf numFmtId="16" fontId="2" fillId="0" borderId="2" xfId="0" applyNumberFormat="1" applyFont="1" applyBorder="1"/>
    <xf numFmtId="16" fontId="2" fillId="0" borderId="4" xfId="0" applyNumberFormat="1" applyFont="1" applyBorder="1"/>
    <xf numFmtId="0" fontId="2" fillId="0" borderId="4" xfId="0" applyFont="1" applyBorder="1"/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/>
    </xf>
    <xf numFmtId="0" fontId="6" fillId="0" borderId="1" xfId="0" applyFont="1" applyBorder="1"/>
    <xf numFmtId="1" fontId="3" fillId="7" borderId="5" xfId="0" applyNumberFormat="1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168" fontId="2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0" fontId="3" fillId="2" borderId="8" xfId="0" applyFont="1" applyFill="1" applyBorder="1"/>
    <xf numFmtId="0" fontId="2" fillId="0" borderId="5" xfId="0" applyFont="1" applyBorder="1"/>
    <xf numFmtId="0" fontId="3" fillId="3" borderId="8" xfId="0" applyFont="1" applyFill="1" applyBorder="1"/>
    <xf numFmtId="16" fontId="2" fillId="3" borderId="1" xfId="0" applyNumberFormat="1" applyFont="1" applyFill="1" applyBorder="1"/>
    <xf numFmtId="1" fontId="2" fillId="3" borderId="1" xfId="0" applyNumberFormat="1" applyFont="1" applyFill="1" applyBorder="1"/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/>
    </xf>
    <xf numFmtId="3" fontId="2" fillId="8" borderId="2" xfId="0" applyNumberFormat="1" applyFont="1" applyFill="1" applyBorder="1"/>
    <xf numFmtId="1" fontId="2" fillId="0" borderId="3" xfId="0" applyNumberFormat="1" applyFont="1" applyBorder="1"/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10" xfId="0" applyFont="1" applyBorder="1"/>
    <xf numFmtId="1" fontId="2" fillId="0" borderId="2" xfId="0" applyNumberFormat="1" applyFont="1" applyBorder="1"/>
    <xf numFmtId="0" fontId="2" fillId="0" borderId="5" xfId="0" applyFont="1" applyBorder="1" applyAlignment="1">
      <alignment horizontal="right" vertical="center" wrapText="1"/>
    </xf>
    <xf numFmtId="0" fontId="2" fillId="0" borderId="11" xfId="0" applyFont="1" applyBorder="1"/>
    <xf numFmtId="1" fontId="2" fillId="0" borderId="4" xfId="0" applyNumberFormat="1" applyFont="1" applyBorder="1"/>
    <xf numFmtId="0" fontId="2" fillId="0" borderId="12" xfId="0" applyFont="1" applyBorder="1"/>
    <xf numFmtId="0" fontId="2" fillId="0" borderId="13" xfId="0" applyFont="1" applyBorder="1" applyAlignment="1">
      <alignment horizontal="right" vertical="center" wrapText="1"/>
    </xf>
    <xf numFmtId="0" fontId="2" fillId="0" borderId="7" xfId="0" applyFont="1" applyBorder="1"/>
    <xf numFmtId="0" fontId="2" fillId="0" borderId="7" xfId="0" applyFont="1" applyBorder="1" applyAlignment="1">
      <alignment horizontal="right" vertical="center" wrapText="1"/>
    </xf>
    <xf numFmtId="0" fontId="6" fillId="0" borderId="7" xfId="0" applyFont="1" applyBorder="1"/>
    <xf numFmtId="0" fontId="2" fillId="0" borderId="10" xfId="0" applyFont="1" applyBorder="1" applyAlignment="1">
      <alignment horizontal="right" vertical="center" wrapText="1"/>
    </xf>
    <xf numFmtId="1" fontId="2" fillId="0" borderId="0" xfId="0" applyNumberFormat="1" applyFon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3" xfId="0" applyFont="1" applyBorder="1"/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6E6D-BFEF-4D0A-8581-B8EDBFB735F7}">
  <dimension ref="A1:M12"/>
  <sheetViews>
    <sheetView tabSelected="1" workbookViewId="0">
      <selection activeCell="O2" sqref="O2"/>
    </sheetView>
  </sheetViews>
  <sheetFormatPr defaultColWidth="8.7109375" defaultRowHeight="12.75" x14ac:dyDescent="0.2"/>
  <cols>
    <col min="1" max="1" width="10.5703125" style="4" bestFit="1" customWidth="1"/>
    <col min="2" max="2" width="18.85546875" style="4" bestFit="1" customWidth="1"/>
    <col min="3" max="3" width="16.85546875" style="4" bestFit="1" customWidth="1"/>
    <col min="4" max="4" width="7.5703125" style="4" customWidth="1"/>
    <col min="5" max="5" width="12.28515625" style="4" bestFit="1" customWidth="1"/>
    <col min="6" max="6" width="11.42578125" style="4" customWidth="1"/>
    <col min="7" max="8" width="8.7109375" style="4"/>
    <col min="9" max="9" width="13.7109375" style="4" bestFit="1" customWidth="1"/>
    <col min="10" max="16384" width="8.7109375" style="4"/>
  </cols>
  <sheetData>
    <row r="1" spans="1:13" s="10" customFormat="1" x14ac:dyDescent="0.2">
      <c r="A1" s="79"/>
      <c r="B1" s="78" t="s">
        <v>64</v>
      </c>
      <c r="C1" s="78" t="s">
        <v>63</v>
      </c>
      <c r="D1" s="78" t="s">
        <v>62</v>
      </c>
      <c r="E1" s="78" t="s">
        <v>61</v>
      </c>
      <c r="F1" s="77" t="s">
        <v>60</v>
      </c>
      <c r="I1" s="76" t="s">
        <v>59</v>
      </c>
      <c r="J1" s="75" t="s">
        <v>58</v>
      </c>
      <c r="K1" s="75" t="s">
        <v>57</v>
      </c>
      <c r="L1" s="75" t="s">
        <v>56</v>
      </c>
      <c r="M1" s="74" t="s">
        <v>55</v>
      </c>
    </row>
    <row r="2" spans="1:13" x14ac:dyDescent="0.2">
      <c r="A2" s="73" t="s">
        <v>54</v>
      </c>
      <c r="B2" s="72">
        <v>304</v>
      </c>
      <c r="C2" s="72">
        <v>246</v>
      </c>
      <c r="D2" s="72">
        <v>22</v>
      </c>
      <c r="E2" s="72">
        <v>377</v>
      </c>
      <c r="F2" s="71">
        <f>E2-(B2+D2)</f>
        <v>51</v>
      </c>
      <c r="I2" s="70" t="s">
        <v>53</v>
      </c>
      <c r="J2" s="69">
        <v>0</v>
      </c>
      <c r="K2" s="69">
        <v>2</v>
      </c>
      <c r="L2" s="69">
        <v>2</v>
      </c>
      <c r="M2" s="68">
        <v>4</v>
      </c>
    </row>
    <row r="3" spans="1:13" x14ac:dyDescent="0.2">
      <c r="A3" s="73" t="s">
        <v>52</v>
      </c>
      <c r="B3" s="72">
        <v>13</v>
      </c>
      <c r="C3" s="72">
        <v>13</v>
      </c>
      <c r="D3" s="72">
        <v>20</v>
      </c>
      <c r="E3" s="72">
        <v>153</v>
      </c>
      <c r="F3" s="71">
        <f>E3-(B3+D3)</f>
        <v>120</v>
      </c>
      <c r="I3" s="70" t="s">
        <v>51</v>
      </c>
      <c r="J3" s="69">
        <v>2</v>
      </c>
      <c r="K3" s="69">
        <v>0</v>
      </c>
      <c r="L3" s="69">
        <v>0</v>
      </c>
      <c r="M3" s="68"/>
    </row>
    <row r="4" spans="1:13" x14ac:dyDescent="0.2">
      <c r="A4" s="73" t="s">
        <v>50</v>
      </c>
      <c r="B4" s="72">
        <v>19</v>
      </c>
      <c r="C4" s="72">
        <v>19</v>
      </c>
      <c r="D4" s="72">
        <v>8</v>
      </c>
      <c r="E4" s="72">
        <v>168</v>
      </c>
      <c r="F4" s="71">
        <f>E4-(B4+D4)</f>
        <v>141</v>
      </c>
      <c r="I4" s="70" t="s">
        <v>49</v>
      </c>
      <c r="J4" s="69">
        <v>5</v>
      </c>
      <c r="K4" s="69">
        <v>0</v>
      </c>
      <c r="L4" s="69">
        <v>0</v>
      </c>
      <c r="M4" s="68"/>
    </row>
    <row r="5" spans="1:13" x14ac:dyDescent="0.2">
      <c r="A5" s="73" t="s">
        <v>48</v>
      </c>
      <c r="B5" s="72">
        <v>7</v>
      </c>
      <c r="C5" s="72">
        <v>7</v>
      </c>
      <c r="D5" s="72">
        <v>0</v>
      </c>
      <c r="E5" s="72">
        <v>46</v>
      </c>
      <c r="F5" s="71">
        <f>E5-(B5+D5)</f>
        <v>39</v>
      </c>
      <c r="I5" s="70" t="s">
        <v>47</v>
      </c>
      <c r="J5" s="69">
        <v>3</v>
      </c>
      <c r="K5" s="69">
        <v>2</v>
      </c>
      <c r="L5" s="69">
        <v>0</v>
      </c>
      <c r="M5" s="68"/>
    </row>
    <row r="6" spans="1:13" x14ac:dyDescent="0.2">
      <c r="A6" s="73" t="s">
        <v>46</v>
      </c>
      <c r="B6" s="72">
        <v>0</v>
      </c>
      <c r="C6" s="72">
        <v>0</v>
      </c>
      <c r="D6" s="72">
        <v>0</v>
      </c>
      <c r="E6" s="72">
        <v>63</v>
      </c>
      <c r="F6" s="71">
        <f>E6-(B6+D6)</f>
        <v>63</v>
      </c>
      <c r="I6" s="70" t="s">
        <v>45</v>
      </c>
      <c r="J6" s="69">
        <v>1</v>
      </c>
      <c r="K6" s="69" t="s">
        <v>44</v>
      </c>
      <c r="L6" s="69">
        <v>0</v>
      </c>
      <c r="M6" s="68"/>
    </row>
    <row r="7" spans="1:13" x14ac:dyDescent="0.2">
      <c r="A7" s="73"/>
      <c r="B7" s="72"/>
      <c r="C7" s="72"/>
      <c r="D7" s="72"/>
      <c r="E7" s="72"/>
      <c r="F7" s="71"/>
      <c r="I7" s="70"/>
      <c r="J7" s="69"/>
      <c r="K7" s="69"/>
      <c r="L7" s="69"/>
      <c r="M7" s="68"/>
    </row>
    <row r="8" spans="1:13" ht="13.5" thickBot="1" x14ac:dyDescent="0.25">
      <c r="A8" s="67" t="s">
        <v>43</v>
      </c>
      <c r="B8" s="65">
        <f>SUM(B2:B6)</f>
        <v>343</v>
      </c>
      <c r="C8" s="66">
        <f>SUM(C2:C6)</f>
        <v>285</v>
      </c>
      <c r="D8" s="65">
        <f>SUM(D2:D6)</f>
        <v>50</v>
      </c>
      <c r="E8" s="65">
        <f>SUM(E2:E6)</f>
        <v>807</v>
      </c>
      <c r="F8" s="64">
        <f>SUM(F2:F6)</f>
        <v>414</v>
      </c>
      <c r="I8" s="63" t="s">
        <v>5</v>
      </c>
      <c r="J8" s="62">
        <f>SUM(J2:J6)</f>
        <v>11</v>
      </c>
      <c r="K8" s="62">
        <f>SUM(K2:K6)</f>
        <v>4</v>
      </c>
      <c r="L8" s="62">
        <f>SUM(L2:L6)</f>
        <v>2</v>
      </c>
      <c r="M8" s="61">
        <f>SUM(M2:M6)</f>
        <v>4</v>
      </c>
    </row>
    <row r="11" spans="1:13" x14ac:dyDescent="0.2">
      <c r="F11" s="4">
        <f>(B8+D8)/E8</f>
        <v>0.48698884758364314</v>
      </c>
    </row>
    <row r="12" spans="1:13" x14ac:dyDescent="0.2">
      <c r="D1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0A9B-D557-4D2D-8659-E3C8473C3FCE}">
  <dimension ref="A1:X54"/>
  <sheetViews>
    <sheetView workbookViewId="0">
      <pane xSplit="1" topLeftCell="B1" activePane="topRight" state="frozen"/>
      <selection pane="topRight" activeCell="A4" sqref="A4"/>
    </sheetView>
  </sheetViews>
  <sheetFormatPr defaultColWidth="8.7109375" defaultRowHeight="12.75" x14ac:dyDescent="0.2"/>
  <cols>
    <col min="1" max="1" width="9.85546875" style="4" bestFit="1" customWidth="1"/>
    <col min="2" max="2" width="8.7109375" style="60"/>
    <col min="3" max="3" width="11.28515625" style="60" bestFit="1" customWidth="1"/>
    <col min="4" max="4" width="8.7109375" style="60"/>
    <col min="5" max="5" width="12.5703125" style="60" bestFit="1" customWidth="1"/>
    <col min="6" max="6" width="9.7109375" style="4" bestFit="1" customWidth="1"/>
    <col min="7" max="7" width="8.7109375" style="4"/>
    <col min="8" max="8" width="7.7109375" style="4" bestFit="1" customWidth="1"/>
    <col min="9" max="9" width="11.28515625" style="4" bestFit="1" customWidth="1"/>
    <col min="10" max="10" width="9" style="4" bestFit="1" customWidth="1"/>
    <col min="11" max="11" width="12.5703125" style="4" bestFit="1" customWidth="1"/>
    <col min="12" max="14" width="8.7109375" style="4"/>
    <col min="15" max="15" width="9.7109375" style="4" customWidth="1"/>
    <col min="16" max="20" width="8.7109375" style="4"/>
    <col min="21" max="21" width="28.7109375" style="4" bestFit="1" customWidth="1"/>
    <col min="22" max="16384" width="8.7109375" style="4"/>
  </cols>
  <sheetData>
    <row r="1" spans="1:24" ht="12.95" customHeight="1" x14ac:dyDescent="0.2">
      <c r="A1" s="2"/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</row>
    <row r="2" spans="1:24" x14ac:dyDescent="0.2">
      <c r="A2" s="2"/>
      <c r="B2" s="35" t="s">
        <v>29</v>
      </c>
      <c r="C2" s="35" t="s">
        <v>30</v>
      </c>
      <c r="D2" s="35" t="s">
        <v>31</v>
      </c>
      <c r="E2" s="35" t="s">
        <v>32</v>
      </c>
      <c r="F2" s="5" t="s">
        <v>33</v>
      </c>
      <c r="G2" s="5" t="s">
        <v>2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</v>
      </c>
      <c r="M2" s="5" t="s">
        <v>4</v>
      </c>
      <c r="N2" s="5" t="s">
        <v>5</v>
      </c>
      <c r="O2" s="5" t="s">
        <v>6</v>
      </c>
    </row>
    <row r="3" spans="1:24" x14ac:dyDescent="0.2">
      <c r="A3" s="36">
        <v>45650</v>
      </c>
      <c r="B3" s="37">
        <v>534</v>
      </c>
      <c r="C3" s="37"/>
      <c r="D3" s="37">
        <v>2552</v>
      </c>
      <c r="E3" s="37"/>
      <c r="F3" s="7">
        <f t="shared" ref="F3:F12" si="0">B3+D3</f>
        <v>3086</v>
      </c>
      <c r="G3" s="8"/>
      <c r="H3" s="8">
        <v>707</v>
      </c>
      <c r="I3" s="8"/>
      <c r="J3" s="8">
        <v>4290</v>
      </c>
      <c r="K3" s="8"/>
      <c r="L3" s="7">
        <f t="shared" ref="L3:L12" si="1">H3+J3</f>
        <v>4997</v>
      </c>
      <c r="M3" s="8"/>
      <c r="N3" s="7">
        <f t="shared" ref="N3:N12" si="2">F3+L3</f>
        <v>8083</v>
      </c>
      <c r="O3" s="8"/>
    </row>
    <row r="4" spans="1:24" x14ac:dyDescent="0.2">
      <c r="A4" s="6">
        <v>45664</v>
      </c>
      <c r="B4" s="11">
        <v>380</v>
      </c>
      <c r="C4" s="11">
        <f t="shared" ref="C4:C12" si="3">B4-B3</f>
        <v>-154</v>
      </c>
      <c r="D4" s="11">
        <v>2679</v>
      </c>
      <c r="E4" s="11">
        <f t="shared" ref="E4:E12" si="4">D4-D3</f>
        <v>127</v>
      </c>
      <c r="F4" s="7">
        <f t="shared" si="0"/>
        <v>3059</v>
      </c>
      <c r="G4" s="7">
        <f t="shared" ref="G4:G12" si="5">F4-F3</f>
        <v>-27</v>
      </c>
      <c r="H4" s="7">
        <v>704</v>
      </c>
      <c r="I4" s="7">
        <f t="shared" ref="I4:I12" si="6">H4-H3</f>
        <v>-3</v>
      </c>
      <c r="J4" s="7">
        <v>4280</v>
      </c>
      <c r="K4" s="7">
        <f t="shared" ref="K4:K12" si="7">J4-J3</f>
        <v>-10</v>
      </c>
      <c r="L4" s="7">
        <f t="shared" si="1"/>
        <v>4984</v>
      </c>
      <c r="M4" s="7">
        <f t="shared" ref="M4:M12" si="8">L4-L3</f>
        <v>-13</v>
      </c>
      <c r="N4" s="7">
        <f t="shared" si="2"/>
        <v>8043</v>
      </c>
      <c r="O4" s="8">
        <f t="shared" ref="O4:O12" si="9">N4-N3</f>
        <v>-40</v>
      </c>
    </row>
    <row r="5" spans="1:24" x14ac:dyDescent="0.2">
      <c r="A5" s="6">
        <v>45671</v>
      </c>
      <c r="B5" s="11">
        <v>378</v>
      </c>
      <c r="C5" s="11">
        <f t="shared" si="3"/>
        <v>-2</v>
      </c>
      <c r="D5" s="11">
        <v>2663</v>
      </c>
      <c r="E5" s="11">
        <f t="shared" si="4"/>
        <v>-16</v>
      </c>
      <c r="F5" s="7">
        <f t="shared" si="0"/>
        <v>3041</v>
      </c>
      <c r="G5" s="7">
        <f t="shared" si="5"/>
        <v>-18</v>
      </c>
      <c r="H5" s="7">
        <v>698</v>
      </c>
      <c r="I5" s="7">
        <f t="shared" si="6"/>
        <v>-6</v>
      </c>
      <c r="J5" s="7">
        <v>4268</v>
      </c>
      <c r="K5" s="7">
        <f t="shared" si="7"/>
        <v>-12</v>
      </c>
      <c r="L5" s="7">
        <f t="shared" si="1"/>
        <v>4966</v>
      </c>
      <c r="M5" s="7">
        <f t="shared" si="8"/>
        <v>-18</v>
      </c>
      <c r="N5" s="7">
        <f t="shared" si="2"/>
        <v>8007</v>
      </c>
      <c r="O5" s="8">
        <f t="shared" si="9"/>
        <v>-36</v>
      </c>
      <c r="Q5" s="2">
        <f>F3-F16</f>
        <v>-1045</v>
      </c>
      <c r="R5" s="2">
        <f>L3-L16</f>
        <v>-657</v>
      </c>
      <c r="S5" s="2">
        <f>SUM(Q5:R5)</f>
        <v>-1702</v>
      </c>
      <c r="T5" s="9" t="s">
        <v>7</v>
      </c>
      <c r="U5" s="38"/>
      <c r="V5" s="10"/>
    </row>
    <row r="6" spans="1:24" x14ac:dyDescent="0.2">
      <c r="A6" s="6">
        <v>45678</v>
      </c>
      <c r="B6" s="11">
        <v>373</v>
      </c>
      <c r="C6" s="11">
        <f t="shared" si="3"/>
        <v>-5</v>
      </c>
      <c r="D6" s="11">
        <v>2646</v>
      </c>
      <c r="E6" s="11">
        <f t="shared" si="4"/>
        <v>-17</v>
      </c>
      <c r="F6" s="7">
        <f t="shared" si="0"/>
        <v>3019</v>
      </c>
      <c r="G6" s="7">
        <f t="shared" si="5"/>
        <v>-22</v>
      </c>
      <c r="H6" s="7">
        <v>691</v>
      </c>
      <c r="I6" s="7">
        <f t="shared" si="6"/>
        <v>-7</v>
      </c>
      <c r="J6" s="7">
        <v>4254</v>
      </c>
      <c r="K6" s="7">
        <f t="shared" si="7"/>
        <v>-14</v>
      </c>
      <c r="L6" s="7">
        <f t="shared" si="1"/>
        <v>4945</v>
      </c>
      <c r="M6" s="7">
        <f t="shared" si="8"/>
        <v>-21</v>
      </c>
      <c r="N6" s="7">
        <f t="shared" si="2"/>
        <v>7964</v>
      </c>
      <c r="O6" s="8">
        <f t="shared" si="9"/>
        <v>-43</v>
      </c>
      <c r="Q6" s="2"/>
      <c r="R6" s="2"/>
      <c r="S6" s="2"/>
      <c r="T6" s="2"/>
      <c r="U6" s="39"/>
    </row>
    <row r="7" spans="1:24" x14ac:dyDescent="0.2">
      <c r="A7" s="6">
        <v>45685</v>
      </c>
      <c r="B7" s="11">
        <v>370</v>
      </c>
      <c r="C7" s="11">
        <f t="shared" si="3"/>
        <v>-3</v>
      </c>
      <c r="D7" s="11">
        <v>2637</v>
      </c>
      <c r="E7" s="11">
        <f t="shared" si="4"/>
        <v>-9</v>
      </c>
      <c r="F7" s="7">
        <f t="shared" si="0"/>
        <v>3007</v>
      </c>
      <c r="G7" s="7">
        <f t="shared" si="5"/>
        <v>-12</v>
      </c>
      <c r="H7" s="7">
        <v>681</v>
      </c>
      <c r="I7" s="7">
        <f t="shared" si="6"/>
        <v>-10</v>
      </c>
      <c r="J7" s="7">
        <v>4244</v>
      </c>
      <c r="K7" s="7">
        <f t="shared" si="7"/>
        <v>-10</v>
      </c>
      <c r="L7" s="7">
        <f t="shared" si="1"/>
        <v>4925</v>
      </c>
      <c r="M7" s="7">
        <f t="shared" si="8"/>
        <v>-20</v>
      </c>
      <c r="N7" s="7">
        <f t="shared" si="2"/>
        <v>7932</v>
      </c>
      <c r="O7" s="8">
        <f t="shared" si="9"/>
        <v>-32</v>
      </c>
      <c r="Q7" s="11">
        <f>AVERAGE(G4:G54)</f>
        <v>70.714285714285708</v>
      </c>
      <c r="R7" s="11">
        <f>AVERAGE(M4:M54)</f>
        <v>40.642857142857146</v>
      </c>
      <c r="S7" s="11">
        <f>SUM(Q7,R7)</f>
        <v>111.35714285714286</v>
      </c>
      <c r="T7" s="12" t="s">
        <v>8</v>
      </c>
      <c r="U7" s="40"/>
      <c r="V7" s="10"/>
    </row>
    <row r="8" spans="1:24" x14ac:dyDescent="0.2">
      <c r="A8" s="6">
        <v>45692</v>
      </c>
      <c r="B8" s="11">
        <v>367</v>
      </c>
      <c r="C8" s="11">
        <f t="shared" si="3"/>
        <v>-3</v>
      </c>
      <c r="D8" s="11">
        <v>2606</v>
      </c>
      <c r="E8" s="11">
        <f t="shared" si="4"/>
        <v>-31</v>
      </c>
      <c r="F8" s="7">
        <f t="shared" si="0"/>
        <v>2973</v>
      </c>
      <c r="G8" s="7">
        <f t="shared" si="5"/>
        <v>-34</v>
      </c>
      <c r="H8" s="7">
        <v>671</v>
      </c>
      <c r="I8" s="7">
        <f t="shared" si="6"/>
        <v>-10</v>
      </c>
      <c r="J8" s="7">
        <v>4220</v>
      </c>
      <c r="K8" s="7">
        <f t="shared" si="7"/>
        <v>-24</v>
      </c>
      <c r="L8" s="7">
        <f t="shared" si="1"/>
        <v>4891</v>
      </c>
      <c r="M8" s="7">
        <f t="shared" si="8"/>
        <v>-34</v>
      </c>
      <c r="N8" s="7">
        <f t="shared" si="2"/>
        <v>7864</v>
      </c>
      <c r="O8" s="8">
        <f t="shared" si="9"/>
        <v>-68</v>
      </c>
    </row>
    <row r="9" spans="1:24" x14ac:dyDescent="0.2">
      <c r="A9" s="6">
        <v>45699</v>
      </c>
      <c r="B9" s="11">
        <v>360</v>
      </c>
      <c r="C9" s="11">
        <f t="shared" si="3"/>
        <v>-7</v>
      </c>
      <c r="D9" s="11">
        <v>2562</v>
      </c>
      <c r="E9" s="11">
        <f t="shared" si="4"/>
        <v>-44</v>
      </c>
      <c r="F9" s="7">
        <f t="shared" si="0"/>
        <v>2922</v>
      </c>
      <c r="G9" s="7">
        <f t="shared" si="5"/>
        <v>-51</v>
      </c>
      <c r="H9" s="7">
        <v>658</v>
      </c>
      <c r="I9" s="7">
        <f t="shared" si="6"/>
        <v>-13</v>
      </c>
      <c r="J9" s="7">
        <v>4188</v>
      </c>
      <c r="K9" s="7">
        <f t="shared" si="7"/>
        <v>-32</v>
      </c>
      <c r="L9" s="7">
        <f t="shared" si="1"/>
        <v>4846</v>
      </c>
      <c r="M9" s="7">
        <f t="shared" si="8"/>
        <v>-45</v>
      </c>
      <c r="N9" s="7">
        <f t="shared" si="2"/>
        <v>7768</v>
      </c>
      <c r="O9" s="8">
        <f t="shared" si="9"/>
        <v>-96</v>
      </c>
    </row>
    <row r="10" spans="1:24" ht="15" x14ac:dyDescent="0.2">
      <c r="A10" s="41">
        <v>45706</v>
      </c>
      <c r="B10" s="42">
        <v>355</v>
      </c>
      <c r="C10" s="42">
        <f t="shared" si="3"/>
        <v>-5</v>
      </c>
      <c r="D10" s="42">
        <v>4003</v>
      </c>
      <c r="E10" s="42">
        <f t="shared" si="4"/>
        <v>1441</v>
      </c>
      <c r="F10" s="43">
        <f t="shared" si="0"/>
        <v>4358</v>
      </c>
      <c r="G10" s="43">
        <f t="shared" si="5"/>
        <v>1436</v>
      </c>
      <c r="H10" s="43">
        <v>640</v>
      </c>
      <c r="I10" s="43">
        <f t="shared" si="6"/>
        <v>-18</v>
      </c>
      <c r="J10" s="43">
        <v>5486</v>
      </c>
      <c r="K10" s="43">
        <f t="shared" si="7"/>
        <v>1298</v>
      </c>
      <c r="L10" s="43">
        <f t="shared" si="1"/>
        <v>6126</v>
      </c>
      <c r="M10" s="43">
        <f t="shared" si="8"/>
        <v>1280</v>
      </c>
      <c r="N10" s="43">
        <f t="shared" si="2"/>
        <v>10484</v>
      </c>
      <c r="O10" s="44">
        <f t="shared" si="9"/>
        <v>2716</v>
      </c>
      <c r="Q10" s="2"/>
      <c r="R10" s="13" t="s">
        <v>9</v>
      </c>
      <c r="S10" s="14"/>
      <c r="U10" s="15"/>
      <c r="V10" s="16" t="s">
        <v>10</v>
      </c>
      <c r="W10" s="16"/>
      <c r="X10" s="16"/>
    </row>
    <row r="11" spans="1:24" x14ac:dyDescent="0.2">
      <c r="A11" s="6">
        <v>45713</v>
      </c>
      <c r="B11" s="11">
        <v>352</v>
      </c>
      <c r="C11" s="11">
        <f t="shared" si="3"/>
        <v>-3</v>
      </c>
      <c r="D11" s="11">
        <v>4000</v>
      </c>
      <c r="E11" s="11">
        <f t="shared" si="4"/>
        <v>-3</v>
      </c>
      <c r="F11" s="7">
        <f t="shared" si="0"/>
        <v>4352</v>
      </c>
      <c r="G11" s="7">
        <f t="shared" si="5"/>
        <v>-6</v>
      </c>
      <c r="H11" s="7">
        <v>625</v>
      </c>
      <c r="I11" s="7">
        <f t="shared" si="6"/>
        <v>-15</v>
      </c>
      <c r="J11" s="7">
        <v>5455</v>
      </c>
      <c r="K11" s="7">
        <f t="shared" si="7"/>
        <v>-31</v>
      </c>
      <c r="L11" s="7">
        <f t="shared" si="1"/>
        <v>6080</v>
      </c>
      <c r="M11" s="7">
        <f t="shared" si="8"/>
        <v>-46</v>
      </c>
      <c r="N11" s="7">
        <f t="shared" si="2"/>
        <v>10432</v>
      </c>
      <c r="O11" s="8">
        <f t="shared" si="9"/>
        <v>-52</v>
      </c>
      <c r="P11" s="4" t="s">
        <v>38</v>
      </c>
      <c r="Q11" s="2"/>
      <c r="R11" s="5" t="s">
        <v>1</v>
      </c>
      <c r="S11" s="5" t="s">
        <v>3</v>
      </c>
      <c r="U11" s="15"/>
      <c r="V11" s="17" t="s">
        <v>1</v>
      </c>
      <c r="W11" s="17" t="s">
        <v>3</v>
      </c>
      <c r="X11" s="17" t="s">
        <v>5</v>
      </c>
    </row>
    <row r="12" spans="1:24" x14ac:dyDescent="0.2">
      <c r="A12" s="6">
        <v>45721</v>
      </c>
      <c r="B12" s="11">
        <v>378</v>
      </c>
      <c r="C12" s="11">
        <f t="shared" si="3"/>
        <v>26</v>
      </c>
      <c r="D12" s="11">
        <v>3980</v>
      </c>
      <c r="E12" s="11">
        <f t="shared" si="4"/>
        <v>-20</v>
      </c>
      <c r="F12" s="7">
        <f t="shared" si="0"/>
        <v>4358</v>
      </c>
      <c r="G12" s="7">
        <f t="shared" si="5"/>
        <v>6</v>
      </c>
      <c r="H12" s="7">
        <v>652</v>
      </c>
      <c r="I12" s="7">
        <f t="shared" si="6"/>
        <v>27</v>
      </c>
      <c r="J12" s="7">
        <v>5411</v>
      </c>
      <c r="K12" s="7">
        <f t="shared" si="7"/>
        <v>-44</v>
      </c>
      <c r="L12" s="7">
        <f t="shared" si="1"/>
        <v>6063</v>
      </c>
      <c r="M12" s="7">
        <f t="shared" si="8"/>
        <v>-17</v>
      </c>
      <c r="N12" s="7">
        <f t="shared" si="2"/>
        <v>10421</v>
      </c>
      <c r="O12" s="8">
        <f t="shared" si="9"/>
        <v>-11</v>
      </c>
      <c r="Q12" s="2" t="s">
        <v>11</v>
      </c>
      <c r="R12" s="11">
        <f>AVERAGE(G4:G7)</f>
        <v>-19.75</v>
      </c>
      <c r="S12" s="11">
        <f>(AVERAGE(M4:M7))</f>
        <v>-18</v>
      </c>
      <c r="U12" s="15" t="s">
        <v>39</v>
      </c>
      <c r="V12" s="18">
        <f>Q7*52</f>
        <v>3677.1428571428569</v>
      </c>
      <c r="W12" s="18">
        <f>R7*52</f>
        <v>2113.4285714285716</v>
      </c>
      <c r="X12" s="18">
        <f>V12+W12</f>
        <v>5790.5714285714284</v>
      </c>
    </row>
    <row r="13" spans="1:24" x14ac:dyDescent="0.2">
      <c r="A13" s="6">
        <v>45728</v>
      </c>
      <c r="B13" s="11">
        <v>351</v>
      </c>
      <c r="C13" s="11">
        <f>B13-B12</f>
        <v>-27</v>
      </c>
      <c r="D13" s="11">
        <v>3933</v>
      </c>
      <c r="E13" s="11">
        <f>D13-D12</f>
        <v>-47</v>
      </c>
      <c r="F13" s="7">
        <f>B13+D13</f>
        <v>4284</v>
      </c>
      <c r="G13" s="7">
        <f>F13-F12</f>
        <v>-74</v>
      </c>
      <c r="H13" s="7">
        <v>601</v>
      </c>
      <c r="I13" s="7">
        <f>H13-H12</f>
        <v>-51</v>
      </c>
      <c r="J13" s="7">
        <v>5345</v>
      </c>
      <c r="K13" s="7">
        <f>J13-J12</f>
        <v>-66</v>
      </c>
      <c r="L13" s="7">
        <f>H13+J13</f>
        <v>5946</v>
      </c>
      <c r="M13" s="7">
        <f>L13-L12</f>
        <v>-117</v>
      </c>
      <c r="N13" s="7">
        <f>F13+L13</f>
        <v>10230</v>
      </c>
      <c r="O13" s="8">
        <f>N13-N12</f>
        <v>-191</v>
      </c>
      <c r="Q13" s="2" t="s">
        <v>13</v>
      </c>
      <c r="R13" s="11">
        <f>AVERAGE(G8:G11)</f>
        <v>336.25</v>
      </c>
      <c r="S13" s="11">
        <f>(AVERAGE(K8:K11))</f>
        <v>302.75</v>
      </c>
      <c r="U13" s="15" t="s">
        <v>40</v>
      </c>
      <c r="V13" s="45">
        <f>F4-V12</f>
        <v>-618.14285714285688</v>
      </c>
      <c r="W13" s="45">
        <f>L4-W12</f>
        <v>2870.5714285714284</v>
      </c>
      <c r="X13" s="45">
        <f>V13+W13</f>
        <v>2252.4285714285716</v>
      </c>
    </row>
    <row r="14" spans="1:24" x14ac:dyDescent="0.2">
      <c r="A14" s="6">
        <v>45735</v>
      </c>
      <c r="B14" s="11">
        <v>335</v>
      </c>
      <c r="C14" s="11">
        <f>B14-B13</f>
        <v>-16</v>
      </c>
      <c r="D14" s="11">
        <v>3901</v>
      </c>
      <c r="E14" s="11">
        <f>D14-D13</f>
        <v>-32</v>
      </c>
      <c r="F14" s="7">
        <f>B14+D14</f>
        <v>4236</v>
      </c>
      <c r="G14" s="7">
        <f>F14-F13</f>
        <v>-48</v>
      </c>
      <c r="H14" s="7">
        <v>567</v>
      </c>
      <c r="I14" s="7">
        <f>H14-H13</f>
        <v>-34</v>
      </c>
      <c r="J14" s="7">
        <v>5302</v>
      </c>
      <c r="K14" s="7">
        <f>J14-J13</f>
        <v>-43</v>
      </c>
      <c r="L14" s="7">
        <f>H14+J14</f>
        <v>5869</v>
      </c>
      <c r="M14" s="7">
        <f>L14-L13</f>
        <v>-77</v>
      </c>
      <c r="N14" s="7">
        <f>F14+L14</f>
        <v>10105</v>
      </c>
      <c r="O14" s="8">
        <f>N14-N13</f>
        <v>-125</v>
      </c>
      <c r="Q14" s="2" t="s">
        <v>15</v>
      </c>
      <c r="R14" s="11"/>
      <c r="S14" s="11"/>
      <c r="U14" s="19" t="s">
        <v>16</v>
      </c>
      <c r="V14" s="20">
        <f>V13/V12</f>
        <v>-0.16810411810411804</v>
      </c>
      <c r="W14" s="20">
        <f>W13/W12</f>
        <v>1.3582533459510611</v>
      </c>
      <c r="X14" s="20">
        <f>X13/X12</f>
        <v>0.38898208911037652</v>
      </c>
    </row>
    <row r="15" spans="1:24" x14ac:dyDescent="0.2">
      <c r="A15" s="6">
        <v>45742</v>
      </c>
      <c r="B15" s="11">
        <v>329</v>
      </c>
      <c r="C15" s="11">
        <f>B15-B14</f>
        <v>-6</v>
      </c>
      <c r="D15" s="11">
        <v>3861</v>
      </c>
      <c r="E15" s="11">
        <f>D15-D14</f>
        <v>-40</v>
      </c>
      <c r="F15" s="7">
        <f>B15+D15</f>
        <v>4190</v>
      </c>
      <c r="G15" s="7">
        <f>F15-F14</f>
        <v>-46</v>
      </c>
      <c r="H15" s="7">
        <v>543</v>
      </c>
      <c r="I15" s="7">
        <f>H15-H14</f>
        <v>-24</v>
      </c>
      <c r="J15" s="7">
        <v>5217</v>
      </c>
      <c r="K15" s="7">
        <f>J15-J14</f>
        <v>-85</v>
      </c>
      <c r="L15" s="7">
        <f>H15+J15</f>
        <v>5760</v>
      </c>
      <c r="M15" s="7">
        <f>L15-L14</f>
        <v>-109</v>
      </c>
      <c r="N15" s="7">
        <f>F15+L15</f>
        <v>9950</v>
      </c>
      <c r="O15" s="8">
        <f>N15-N14</f>
        <v>-155</v>
      </c>
      <c r="Q15" s="2" t="s">
        <v>17</v>
      </c>
      <c r="R15" s="11"/>
      <c r="S15" s="11"/>
    </row>
    <row r="16" spans="1:24" x14ac:dyDescent="0.2">
      <c r="A16" s="6">
        <v>45749</v>
      </c>
      <c r="B16" s="11">
        <v>319</v>
      </c>
      <c r="C16" s="11">
        <f>B16-B15</f>
        <v>-10</v>
      </c>
      <c r="D16" s="11">
        <v>3812</v>
      </c>
      <c r="E16" s="11">
        <f>D16-D15</f>
        <v>-49</v>
      </c>
      <c r="F16" s="7">
        <f>B16+D16</f>
        <v>4131</v>
      </c>
      <c r="G16" s="7">
        <f>F16-F15</f>
        <v>-59</v>
      </c>
      <c r="H16" s="7">
        <v>521</v>
      </c>
      <c r="I16" s="7">
        <f>H16-H15</f>
        <v>-22</v>
      </c>
      <c r="J16" s="7">
        <v>5133</v>
      </c>
      <c r="K16" s="7">
        <f>J16-J15</f>
        <v>-84</v>
      </c>
      <c r="L16" s="7">
        <f>H16+J16</f>
        <v>5654</v>
      </c>
      <c r="M16" s="7">
        <f>L16-L15</f>
        <v>-106</v>
      </c>
      <c r="N16" s="7">
        <f>F16+L16</f>
        <v>9785</v>
      </c>
      <c r="O16" s="8">
        <f>N16-N15</f>
        <v>-165</v>
      </c>
      <c r="Q16" s="2" t="s">
        <v>18</v>
      </c>
      <c r="R16" s="11"/>
      <c r="S16" s="11"/>
    </row>
    <row r="17" spans="1:24" x14ac:dyDescent="0.2">
      <c r="A17" s="6">
        <v>45756</v>
      </c>
      <c r="B17" s="11">
        <v>305</v>
      </c>
      <c r="C17" s="11">
        <f>B17-B16</f>
        <v>-14</v>
      </c>
      <c r="D17" s="11">
        <v>3771</v>
      </c>
      <c r="E17" s="11">
        <f>D17-D16</f>
        <v>-41</v>
      </c>
      <c r="F17" s="7">
        <f>B17+D17</f>
        <v>4076</v>
      </c>
      <c r="G17" s="7">
        <f>F17-F16</f>
        <v>-55</v>
      </c>
      <c r="H17" s="7">
        <v>505</v>
      </c>
      <c r="I17" s="7">
        <f>H17-H16</f>
        <v>-16</v>
      </c>
      <c r="J17" s="7">
        <v>5061</v>
      </c>
      <c r="K17" s="7">
        <f>J17-J16</f>
        <v>-72</v>
      </c>
      <c r="L17" s="7">
        <f>H17+J17</f>
        <v>5566</v>
      </c>
      <c r="M17" s="7">
        <f>L17-L16</f>
        <v>-88</v>
      </c>
      <c r="N17" s="7">
        <f>F17+L17</f>
        <v>9642</v>
      </c>
      <c r="O17" s="8">
        <f>N17-N16</f>
        <v>-143</v>
      </c>
      <c r="Q17" s="2" t="s">
        <v>19</v>
      </c>
      <c r="R17" s="11"/>
      <c r="S17" s="11"/>
      <c r="U17" s="2" t="s">
        <v>20</v>
      </c>
      <c r="V17" s="21">
        <f>(Q7*52)*1.3</f>
        <v>4780.2857142857138</v>
      </c>
      <c r="W17" s="21">
        <f>(R7*52)*1.3</f>
        <v>2747.457142857143</v>
      </c>
      <c r="X17" s="21">
        <f>V17+W17</f>
        <v>7527.7428571428572</v>
      </c>
    </row>
    <row r="18" spans="1:24" x14ac:dyDescent="0.2">
      <c r="A18" s="6"/>
      <c r="B18" s="11"/>
      <c r="C18" s="11"/>
      <c r="D18" s="11"/>
      <c r="E18" s="11"/>
      <c r="F18" s="7"/>
      <c r="G18" s="7"/>
      <c r="H18" s="7"/>
      <c r="I18" s="7"/>
      <c r="J18" s="7"/>
      <c r="K18" s="7"/>
      <c r="L18" s="7"/>
      <c r="M18" s="7"/>
      <c r="N18" s="7"/>
      <c r="O18" s="8"/>
      <c r="Q18" s="2" t="s">
        <v>21</v>
      </c>
      <c r="R18" s="11"/>
      <c r="S18" s="11"/>
      <c r="U18" s="2" t="s">
        <v>22</v>
      </c>
      <c r="V18" s="21">
        <f>F4-V17</f>
        <v>-1721.2857142857138</v>
      </c>
      <c r="W18" s="21">
        <f>L4-W17</f>
        <v>2236.542857142857</v>
      </c>
      <c r="X18" s="21">
        <f>V18+W18</f>
        <v>515.25714285714321</v>
      </c>
    </row>
    <row r="19" spans="1:24" x14ac:dyDescent="0.2">
      <c r="A19" s="6"/>
      <c r="B19" s="11"/>
      <c r="C19" s="11"/>
      <c r="D19" s="11"/>
      <c r="E19" s="11"/>
      <c r="F19" s="7"/>
      <c r="G19" s="7"/>
      <c r="H19" s="7"/>
      <c r="I19" s="7"/>
      <c r="J19" s="7"/>
      <c r="K19" s="7"/>
      <c r="L19" s="7"/>
      <c r="M19" s="7"/>
      <c r="N19" s="7"/>
      <c r="O19" s="8"/>
      <c r="Q19" s="2" t="s">
        <v>23</v>
      </c>
      <c r="R19" s="11"/>
      <c r="S19" s="11"/>
      <c r="U19" s="22" t="s">
        <v>24</v>
      </c>
      <c r="V19" s="23">
        <f>V18/V17</f>
        <v>-0.36008009084932152</v>
      </c>
      <c r="W19" s="23">
        <f t="shared" ref="W19:X19" si="10">W18/W17</f>
        <v>0.81404103534697003</v>
      </c>
      <c r="X19" s="23">
        <f t="shared" si="10"/>
        <v>6.84477608541358E-2</v>
      </c>
    </row>
    <row r="20" spans="1:24" x14ac:dyDescent="0.2">
      <c r="A20" s="6"/>
      <c r="B20" s="11"/>
      <c r="C20" s="11"/>
      <c r="D20" s="11"/>
      <c r="E20" s="11"/>
      <c r="F20" s="7"/>
      <c r="G20" s="7"/>
      <c r="H20" s="7"/>
      <c r="I20" s="7"/>
      <c r="J20" s="7"/>
      <c r="K20" s="7"/>
      <c r="L20" s="7"/>
      <c r="M20" s="7"/>
      <c r="N20" s="7"/>
      <c r="O20" s="8"/>
      <c r="Q20" s="2" t="s">
        <v>25</v>
      </c>
      <c r="R20" s="11"/>
      <c r="S20" s="11"/>
    </row>
    <row r="21" spans="1:24" x14ac:dyDescent="0.2">
      <c r="A21" s="6"/>
      <c r="B21" s="11"/>
      <c r="C21" s="11"/>
      <c r="D21" s="11"/>
      <c r="E21" s="11"/>
      <c r="F21" s="7"/>
      <c r="G21" s="7"/>
      <c r="H21" s="7"/>
      <c r="I21" s="7"/>
      <c r="J21" s="7"/>
      <c r="K21" s="7"/>
      <c r="L21" s="7"/>
      <c r="M21" s="7"/>
      <c r="N21" s="7"/>
      <c r="O21" s="8"/>
      <c r="Q21" s="2" t="s">
        <v>26</v>
      </c>
      <c r="R21" s="11"/>
      <c r="S21" s="11"/>
      <c r="U21" s="2"/>
      <c r="V21" s="5" t="s">
        <v>1</v>
      </c>
      <c r="W21" s="5" t="s">
        <v>3</v>
      </c>
    </row>
    <row r="22" spans="1:24" x14ac:dyDescent="0.2">
      <c r="A22" s="6"/>
      <c r="B22" s="11"/>
      <c r="C22" s="11"/>
      <c r="D22" s="11"/>
      <c r="E22" s="11"/>
      <c r="F22" s="7"/>
      <c r="G22" s="7"/>
      <c r="H22" s="7"/>
      <c r="I22" s="7"/>
      <c r="J22" s="7"/>
      <c r="K22" s="7"/>
      <c r="L22" s="7"/>
      <c r="M22" s="7"/>
      <c r="N22" s="7"/>
      <c r="O22" s="8"/>
      <c r="Q22" s="2" t="s">
        <v>27</v>
      </c>
      <c r="R22" s="11"/>
      <c r="S22" s="11"/>
      <c r="U22" s="2" t="s">
        <v>41</v>
      </c>
      <c r="V22" s="11">
        <f>AVERAGE(C4:C5)</f>
        <v>-78</v>
      </c>
      <c r="W22" s="2">
        <f>AVERAGE(I4:I5)</f>
        <v>-4.5</v>
      </c>
    </row>
    <row r="23" spans="1:24" x14ac:dyDescent="0.2">
      <c r="A23" s="6"/>
      <c r="B23" s="11"/>
      <c r="C23" s="11"/>
      <c r="D23" s="11"/>
      <c r="E23" s="11"/>
      <c r="F23" s="7"/>
      <c r="G23" s="7"/>
      <c r="H23" s="7"/>
      <c r="I23" s="7"/>
      <c r="J23" s="7"/>
      <c r="K23" s="7"/>
      <c r="L23" s="7"/>
      <c r="M23" s="7"/>
      <c r="N23" s="7"/>
      <c r="O23" s="8"/>
      <c r="Q23" s="2" t="s">
        <v>28</v>
      </c>
      <c r="R23" s="11"/>
      <c r="S23" s="11"/>
      <c r="U23" s="2" t="s">
        <v>42</v>
      </c>
      <c r="V23" s="11">
        <f>AVERAGE(E4:E5)</f>
        <v>55.5</v>
      </c>
      <c r="W23" s="2">
        <f>AVERAGE(K4:K5)</f>
        <v>-11</v>
      </c>
    </row>
    <row r="24" spans="1:24" x14ac:dyDescent="0.2">
      <c r="A24" s="6"/>
      <c r="B24" s="11"/>
      <c r="C24" s="11"/>
      <c r="D24" s="11"/>
      <c r="E24" s="11"/>
      <c r="F24" s="7"/>
      <c r="G24" s="7"/>
      <c r="H24" s="7"/>
      <c r="I24" s="7"/>
      <c r="J24" s="7"/>
      <c r="K24" s="7"/>
      <c r="L24" s="7"/>
      <c r="M24" s="7"/>
      <c r="N24" s="7"/>
      <c r="O24" s="8"/>
    </row>
    <row r="25" spans="1:24" x14ac:dyDescent="0.2">
      <c r="A25" s="6"/>
      <c r="B25" s="11"/>
      <c r="C25" s="11"/>
      <c r="D25" s="11"/>
      <c r="E25" s="11"/>
      <c r="F25" s="7"/>
      <c r="G25" s="7"/>
      <c r="H25" s="7"/>
      <c r="I25" s="7"/>
      <c r="J25" s="7"/>
      <c r="K25" s="7"/>
      <c r="L25" s="7"/>
      <c r="M25" s="7"/>
      <c r="N25" s="7"/>
      <c r="O25" s="8"/>
    </row>
    <row r="26" spans="1:24" x14ac:dyDescent="0.2">
      <c r="A26" s="6"/>
      <c r="B26" s="11"/>
      <c r="C26" s="11"/>
      <c r="D26" s="11"/>
      <c r="E26" s="11"/>
      <c r="F26" s="7"/>
      <c r="G26" s="7"/>
      <c r="H26" s="7"/>
      <c r="I26" s="7"/>
      <c r="J26" s="7"/>
      <c r="K26" s="7"/>
      <c r="L26" s="7"/>
      <c r="M26" s="7"/>
      <c r="N26" s="7"/>
      <c r="O26" s="8"/>
    </row>
    <row r="27" spans="1:24" x14ac:dyDescent="0.2">
      <c r="A27" s="6"/>
      <c r="B27" s="11"/>
      <c r="C27" s="11"/>
      <c r="D27" s="11"/>
      <c r="E27" s="11"/>
      <c r="F27" s="7"/>
      <c r="G27" s="7"/>
      <c r="H27" s="7"/>
      <c r="I27" s="7"/>
      <c r="J27" s="7"/>
      <c r="K27" s="7"/>
      <c r="L27" s="7"/>
      <c r="M27" s="7"/>
      <c r="N27" s="7"/>
      <c r="O27" s="8"/>
      <c r="Q27" s="2">
        <f>F10-F16</f>
        <v>227</v>
      </c>
      <c r="R27" s="2">
        <f>L10-L16</f>
        <v>472</v>
      </c>
      <c r="S27" s="2">
        <f>Q27+R27</f>
        <v>699</v>
      </c>
    </row>
    <row r="28" spans="1:24" x14ac:dyDescent="0.2">
      <c r="A28" s="6"/>
      <c r="B28" s="11"/>
      <c r="C28" s="11"/>
      <c r="D28" s="11"/>
      <c r="E28" s="11"/>
      <c r="F28" s="7"/>
      <c r="G28" s="7"/>
      <c r="H28" s="7"/>
      <c r="I28" s="7"/>
      <c r="J28" s="7"/>
      <c r="K28" s="7"/>
      <c r="L28" s="7"/>
      <c r="M28" s="7"/>
      <c r="N28" s="7"/>
      <c r="O28" s="8"/>
      <c r="Q28" s="2"/>
      <c r="R28" s="2"/>
      <c r="S28" s="2"/>
    </row>
    <row r="29" spans="1:24" x14ac:dyDescent="0.2">
      <c r="A29" s="6"/>
      <c r="B29" s="11"/>
      <c r="C29" s="11"/>
      <c r="D29" s="11"/>
      <c r="E29" s="11"/>
      <c r="F29" s="7"/>
      <c r="G29" s="7"/>
      <c r="H29" s="7"/>
      <c r="I29" s="7"/>
      <c r="J29" s="7"/>
      <c r="K29" s="7"/>
      <c r="L29" s="7"/>
      <c r="M29" s="7"/>
      <c r="N29" s="7"/>
      <c r="O29" s="8"/>
      <c r="Q29" s="2">
        <f>AVERAGE(G11:G16)</f>
        <v>-37.833333333333336</v>
      </c>
      <c r="R29" s="11">
        <f>AVERAGE(M11:M16)</f>
        <v>-78.666666666666671</v>
      </c>
      <c r="S29" s="2">
        <f>SUM(Q29:R29)</f>
        <v>-116.5</v>
      </c>
    </row>
    <row r="30" spans="1:24" x14ac:dyDescent="0.2">
      <c r="A30" s="6"/>
      <c r="B30" s="11"/>
      <c r="C30" s="11"/>
      <c r="D30" s="11"/>
      <c r="E30" s="11"/>
      <c r="F30" s="7"/>
      <c r="G30" s="7"/>
      <c r="H30" s="7"/>
      <c r="I30" s="7"/>
      <c r="J30" s="7"/>
      <c r="K30" s="7"/>
      <c r="L30" s="7"/>
      <c r="M30" s="7"/>
      <c r="N30" s="7"/>
      <c r="O30" s="8"/>
    </row>
    <row r="31" spans="1:24" x14ac:dyDescent="0.2">
      <c r="A31" s="6"/>
      <c r="B31" s="11"/>
      <c r="C31" s="11"/>
      <c r="D31" s="11"/>
      <c r="E31" s="11"/>
      <c r="F31" s="7"/>
      <c r="G31" s="7"/>
      <c r="H31" s="7"/>
      <c r="I31" s="7"/>
      <c r="J31" s="7"/>
      <c r="K31" s="7"/>
      <c r="L31" s="7"/>
      <c r="M31" s="7"/>
      <c r="N31" s="7"/>
      <c r="O31" s="8"/>
    </row>
    <row r="32" spans="1:24" x14ac:dyDescent="0.2">
      <c r="A32" s="6"/>
      <c r="B32" s="11"/>
      <c r="C32" s="11"/>
      <c r="D32" s="11"/>
      <c r="E32" s="11"/>
      <c r="F32" s="7"/>
      <c r="G32" s="7"/>
      <c r="H32" s="7"/>
      <c r="I32" s="7"/>
      <c r="J32" s="7"/>
      <c r="K32" s="7"/>
      <c r="L32" s="7"/>
      <c r="M32" s="7"/>
      <c r="N32" s="7"/>
      <c r="O32" s="8"/>
    </row>
    <row r="33" spans="1:15" x14ac:dyDescent="0.2">
      <c r="A33" s="6"/>
      <c r="B33" s="11"/>
      <c r="C33" s="11"/>
      <c r="D33" s="11"/>
      <c r="E33" s="11"/>
      <c r="F33" s="7"/>
      <c r="G33" s="7"/>
      <c r="H33" s="7"/>
      <c r="I33" s="7"/>
      <c r="J33" s="7"/>
      <c r="K33" s="7"/>
      <c r="L33" s="7"/>
      <c r="M33" s="7"/>
      <c r="N33" s="7"/>
      <c r="O33" s="8"/>
    </row>
    <row r="34" spans="1:15" x14ac:dyDescent="0.2">
      <c r="A34" s="6"/>
      <c r="B34" s="11"/>
      <c r="C34" s="11"/>
      <c r="D34" s="11"/>
      <c r="E34" s="11"/>
      <c r="F34" s="2"/>
      <c r="G34" s="7"/>
      <c r="H34" s="7"/>
      <c r="I34" s="7"/>
      <c r="J34" s="7"/>
      <c r="K34" s="7"/>
      <c r="L34" s="2"/>
      <c r="M34" s="7"/>
      <c r="N34" s="7"/>
      <c r="O34" s="8"/>
    </row>
    <row r="35" spans="1:15" x14ac:dyDescent="0.2">
      <c r="A35" s="6"/>
      <c r="B35" s="11"/>
      <c r="C35" s="11"/>
      <c r="D35" s="11"/>
      <c r="E35" s="11"/>
      <c r="F35" s="2"/>
      <c r="G35" s="7"/>
      <c r="H35" s="7"/>
      <c r="I35" s="7"/>
      <c r="J35" s="7"/>
      <c r="K35" s="7"/>
      <c r="L35" s="2"/>
      <c r="M35" s="7"/>
      <c r="N35" s="7"/>
      <c r="O35" s="8"/>
    </row>
    <row r="36" spans="1:15" x14ac:dyDescent="0.2">
      <c r="A36" s="6"/>
      <c r="B36" s="11"/>
      <c r="C36" s="11"/>
      <c r="D36" s="11"/>
      <c r="E36" s="11"/>
      <c r="F36" s="2"/>
      <c r="G36" s="7"/>
      <c r="H36" s="7"/>
      <c r="I36" s="7"/>
      <c r="J36" s="7"/>
      <c r="K36" s="7"/>
      <c r="L36" s="2"/>
      <c r="M36" s="7"/>
      <c r="N36" s="7"/>
      <c r="O36" s="8"/>
    </row>
    <row r="37" spans="1:15" x14ac:dyDescent="0.2">
      <c r="A37" s="6"/>
      <c r="B37" s="11"/>
      <c r="C37" s="11"/>
      <c r="D37" s="11"/>
      <c r="E37" s="11"/>
      <c r="F37" s="2"/>
      <c r="G37" s="7"/>
      <c r="H37" s="7"/>
      <c r="I37" s="7"/>
      <c r="J37" s="7"/>
      <c r="K37" s="7"/>
      <c r="L37" s="2"/>
      <c r="M37" s="7"/>
      <c r="N37" s="7"/>
      <c r="O37" s="8"/>
    </row>
    <row r="38" spans="1:15" x14ac:dyDescent="0.2">
      <c r="A38" s="6"/>
      <c r="B38" s="11"/>
      <c r="C38" s="11"/>
      <c r="D38" s="11"/>
      <c r="E38" s="11"/>
      <c r="F38" s="2"/>
      <c r="G38" s="7"/>
      <c r="H38" s="7"/>
      <c r="I38" s="7"/>
      <c r="J38" s="7"/>
      <c r="K38" s="7"/>
      <c r="L38" s="2"/>
      <c r="M38" s="7"/>
      <c r="N38" s="7"/>
      <c r="O38" s="8"/>
    </row>
    <row r="39" spans="1:15" x14ac:dyDescent="0.2">
      <c r="A39" s="6"/>
      <c r="B39" s="11"/>
      <c r="C39" s="11"/>
      <c r="D39" s="11"/>
      <c r="E39" s="11"/>
      <c r="F39" s="2"/>
      <c r="G39" s="7"/>
      <c r="H39" s="7"/>
      <c r="I39" s="7"/>
      <c r="J39" s="7"/>
      <c r="K39" s="7"/>
      <c r="L39" s="2"/>
      <c r="M39" s="7"/>
      <c r="N39" s="7"/>
      <c r="O39" s="8"/>
    </row>
    <row r="40" spans="1:15" x14ac:dyDescent="0.2">
      <c r="A40" s="6"/>
      <c r="B40" s="11"/>
      <c r="C40" s="11"/>
      <c r="D40" s="11"/>
      <c r="E40" s="11"/>
      <c r="F40" s="2"/>
      <c r="G40" s="7"/>
      <c r="H40" s="7"/>
      <c r="I40" s="7"/>
      <c r="J40" s="7"/>
      <c r="K40" s="7"/>
      <c r="L40" s="2"/>
      <c r="M40" s="7"/>
      <c r="N40" s="7"/>
      <c r="O40" s="8"/>
    </row>
    <row r="41" spans="1:15" x14ac:dyDescent="0.2">
      <c r="A41" s="6"/>
      <c r="B41" s="11"/>
      <c r="C41" s="11"/>
      <c r="D41" s="11"/>
      <c r="E41" s="11"/>
      <c r="F41" s="2"/>
      <c r="G41" s="7"/>
      <c r="H41" s="7"/>
      <c r="I41" s="7"/>
      <c r="J41" s="7"/>
      <c r="K41" s="7"/>
      <c r="L41" s="2"/>
      <c r="M41" s="7"/>
      <c r="N41" s="7"/>
      <c r="O41" s="8"/>
    </row>
    <row r="42" spans="1:15" x14ac:dyDescent="0.2">
      <c r="A42" s="6"/>
      <c r="B42" s="11"/>
      <c r="C42" s="11"/>
      <c r="D42" s="11"/>
      <c r="E42" s="11"/>
      <c r="F42" s="2"/>
      <c r="G42" s="7"/>
      <c r="H42" s="7"/>
      <c r="I42" s="7"/>
      <c r="J42" s="7"/>
      <c r="K42" s="7"/>
      <c r="L42" s="2"/>
      <c r="M42" s="7"/>
      <c r="N42" s="7"/>
      <c r="O42" s="8"/>
    </row>
    <row r="43" spans="1:15" x14ac:dyDescent="0.2">
      <c r="A43" s="6"/>
      <c r="B43" s="11"/>
      <c r="C43" s="11"/>
      <c r="D43" s="11"/>
      <c r="E43" s="11"/>
      <c r="F43" s="2"/>
      <c r="G43" s="7"/>
      <c r="H43" s="7"/>
      <c r="I43" s="7"/>
      <c r="J43" s="7"/>
      <c r="K43" s="7"/>
      <c r="L43" s="2"/>
      <c r="M43" s="7"/>
      <c r="N43" s="7"/>
      <c r="O43" s="8"/>
    </row>
    <row r="44" spans="1:15" x14ac:dyDescent="0.2">
      <c r="A44" s="6"/>
      <c r="B44" s="11"/>
      <c r="C44" s="11"/>
      <c r="D44" s="11"/>
      <c r="E44" s="11"/>
      <c r="F44" s="2"/>
      <c r="G44" s="7"/>
      <c r="H44" s="7"/>
      <c r="I44" s="7"/>
      <c r="J44" s="7"/>
      <c r="K44" s="29"/>
      <c r="L44" s="2"/>
      <c r="M44" s="7"/>
      <c r="N44" s="7"/>
      <c r="O44" s="8"/>
    </row>
    <row r="45" spans="1:15" x14ac:dyDescent="0.2">
      <c r="A45" s="24"/>
      <c r="B45" s="46"/>
      <c r="C45" s="46"/>
      <c r="D45" s="46"/>
      <c r="E45" s="46"/>
      <c r="F45" s="25"/>
      <c r="G45" s="7"/>
      <c r="H45" s="29"/>
      <c r="I45" s="29"/>
      <c r="J45" s="47"/>
      <c r="K45" s="48"/>
      <c r="L45" s="49"/>
      <c r="M45" s="7"/>
      <c r="N45" s="7"/>
      <c r="O45" s="8"/>
    </row>
    <row r="46" spans="1:15" x14ac:dyDescent="0.2">
      <c r="A46" s="26"/>
      <c r="B46" s="50"/>
      <c r="C46" s="50"/>
      <c r="D46" s="50"/>
      <c r="E46" s="50"/>
      <c r="F46" s="15"/>
      <c r="G46" s="7"/>
      <c r="H46" s="7"/>
      <c r="I46" s="7"/>
      <c r="J46" s="51"/>
      <c r="K46" s="48"/>
      <c r="L46" s="52"/>
      <c r="M46" s="7"/>
      <c r="N46" s="7"/>
      <c r="O46" s="8"/>
    </row>
    <row r="47" spans="1:15" x14ac:dyDescent="0.2">
      <c r="A47" s="27"/>
      <c r="B47" s="53"/>
      <c r="C47" s="53"/>
      <c r="D47" s="53"/>
      <c r="E47" s="53"/>
      <c r="F47" s="28"/>
      <c r="G47" s="29"/>
      <c r="H47" s="7"/>
      <c r="I47" s="7"/>
      <c r="J47" s="51"/>
      <c r="K47" s="48"/>
      <c r="L47" s="54"/>
      <c r="M47" s="29"/>
      <c r="N47" s="29"/>
      <c r="O47" s="30"/>
    </row>
    <row r="48" spans="1:15" x14ac:dyDescent="0.2">
      <c r="A48" s="6"/>
      <c r="B48" s="11"/>
      <c r="C48" s="11"/>
      <c r="D48" s="11"/>
      <c r="E48" s="11"/>
      <c r="F48" s="2"/>
      <c r="G48" s="7"/>
      <c r="H48" s="7"/>
      <c r="I48" s="7"/>
      <c r="J48" s="7"/>
      <c r="K48" s="55"/>
      <c r="L48" s="56"/>
      <c r="M48" s="7"/>
      <c r="N48" s="7"/>
      <c r="O48" s="8"/>
    </row>
    <row r="49" spans="1:15" x14ac:dyDescent="0.2">
      <c r="A49" s="6"/>
      <c r="B49" s="11"/>
      <c r="C49" s="11"/>
      <c r="D49" s="11"/>
      <c r="E49" s="11"/>
      <c r="F49" s="2"/>
      <c r="G49" s="7"/>
      <c r="H49" s="7"/>
      <c r="I49" s="7"/>
      <c r="J49" s="7"/>
      <c r="K49" s="57"/>
      <c r="L49" s="58"/>
      <c r="M49" s="7"/>
      <c r="N49" s="7"/>
      <c r="O49" s="8"/>
    </row>
    <row r="50" spans="1:15" x14ac:dyDescent="0.2">
      <c r="A50" s="6"/>
      <c r="B50" s="11"/>
      <c r="C50" s="11"/>
      <c r="D50" s="11"/>
      <c r="E50" s="11"/>
      <c r="F50" s="2"/>
      <c r="G50" s="7"/>
      <c r="H50" s="7"/>
      <c r="I50" s="7"/>
      <c r="J50" s="7"/>
      <c r="K50" s="57"/>
      <c r="L50" s="56"/>
      <c r="M50" s="7"/>
      <c r="N50" s="7"/>
      <c r="O50" s="8"/>
    </row>
    <row r="51" spans="1:15" x14ac:dyDescent="0.2">
      <c r="A51" s="6"/>
      <c r="B51" s="11"/>
      <c r="C51" s="11"/>
      <c r="D51" s="11"/>
      <c r="E51" s="11"/>
      <c r="F51" s="2"/>
      <c r="G51" s="7"/>
      <c r="H51" s="7"/>
      <c r="I51" s="7"/>
      <c r="J51" s="7"/>
      <c r="K51" s="59"/>
      <c r="L51" s="56"/>
      <c r="M51" s="7"/>
      <c r="N51" s="7"/>
      <c r="O51" s="8"/>
    </row>
    <row r="52" spans="1:15" x14ac:dyDescent="0.2">
      <c r="A52" s="26"/>
      <c r="B52" s="50"/>
      <c r="C52" s="50"/>
      <c r="D52" s="50"/>
      <c r="E52" s="50"/>
      <c r="F52" s="15"/>
      <c r="G52" s="7"/>
      <c r="H52" s="7"/>
      <c r="I52" s="7"/>
      <c r="J52" s="51"/>
      <c r="K52" s="48"/>
      <c r="L52" s="52"/>
      <c r="M52" s="7"/>
      <c r="N52" s="15"/>
      <c r="O52" s="8"/>
    </row>
    <row r="53" spans="1:15" x14ac:dyDescent="0.2">
      <c r="A53" s="26"/>
      <c r="B53" s="50"/>
      <c r="C53" s="50"/>
      <c r="D53" s="50"/>
      <c r="E53" s="50"/>
      <c r="F53" s="15"/>
      <c r="G53" s="7"/>
      <c r="H53" s="7"/>
      <c r="I53" s="7"/>
      <c r="J53" s="51"/>
      <c r="K53" s="48"/>
      <c r="L53" s="52"/>
      <c r="M53" s="7"/>
      <c r="N53" s="15"/>
      <c r="O53" s="8"/>
    </row>
    <row r="54" spans="1:15" x14ac:dyDescent="0.2">
      <c r="A54" s="26"/>
      <c r="B54" s="50"/>
      <c r="C54" s="50"/>
      <c r="D54" s="50"/>
      <c r="E54" s="50"/>
      <c r="F54" s="15"/>
      <c r="G54" s="7"/>
      <c r="H54" s="7"/>
      <c r="I54" s="7"/>
      <c r="J54" s="51"/>
      <c r="K54" s="48"/>
      <c r="L54" s="52"/>
      <c r="M54" s="7"/>
      <c r="N54" s="15"/>
      <c r="O54" s="8"/>
    </row>
  </sheetData>
  <mergeCells count="3">
    <mergeCell ref="B1:O1"/>
    <mergeCell ref="R10:S10"/>
    <mergeCell ref="V10:X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8124-5B86-4E87-BE8F-3A8E2CAD1FFF}">
  <dimension ref="A1:P53"/>
  <sheetViews>
    <sheetView workbookViewId="0">
      <selection activeCell="B38" sqref="B38"/>
    </sheetView>
  </sheetViews>
  <sheetFormatPr defaultColWidth="8.7109375" defaultRowHeight="12.75" x14ac:dyDescent="0.2"/>
  <cols>
    <col min="1" max="6" width="8.7109375" style="4"/>
    <col min="7" max="7" width="9.7109375" style="4" customWidth="1"/>
    <col min="8" max="12" width="8.7109375" style="4"/>
    <col min="13" max="13" width="28.7109375" style="4" bestFit="1" customWidth="1"/>
    <col min="14" max="16384" width="8.7109375" style="4"/>
  </cols>
  <sheetData>
    <row r="1" spans="1:16" x14ac:dyDescent="0.2">
      <c r="A1" s="2"/>
      <c r="B1" s="3" t="s">
        <v>0</v>
      </c>
      <c r="C1" s="3"/>
      <c r="D1" s="3"/>
      <c r="E1" s="3"/>
      <c r="F1" s="3"/>
      <c r="G1" s="2"/>
    </row>
    <row r="2" spans="1:16" x14ac:dyDescent="0.2">
      <c r="A2" s="2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16" x14ac:dyDescent="0.2">
      <c r="A3" s="6">
        <v>45295</v>
      </c>
      <c r="B3" s="7">
        <v>4080</v>
      </c>
      <c r="C3" s="7"/>
      <c r="D3" s="7">
        <v>5964</v>
      </c>
      <c r="E3" s="7"/>
      <c r="F3" s="7">
        <f>SUM(B3,D3)</f>
        <v>10044</v>
      </c>
      <c r="G3" s="8"/>
      <c r="I3" s="5" t="s">
        <v>1</v>
      </c>
      <c r="J3" s="5" t="s">
        <v>3</v>
      </c>
      <c r="K3" s="5" t="s">
        <v>5</v>
      </c>
      <c r="L3" s="2"/>
      <c r="M3" s="2"/>
      <c r="O3" s="4">
        <f>(N11*30%)+N11</f>
        <v>1292.2</v>
      </c>
    </row>
    <row r="4" spans="1:16" x14ac:dyDescent="0.2">
      <c r="A4" s="6">
        <v>45302</v>
      </c>
      <c r="B4" s="7">
        <v>4060</v>
      </c>
      <c r="C4" s="7">
        <f>B4-B3</f>
        <v>-20</v>
      </c>
      <c r="D4" s="7">
        <v>5949</v>
      </c>
      <c r="E4" s="7">
        <f>D4-D3</f>
        <v>-15</v>
      </c>
      <c r="F4" s="7">
        <f t="shared" ref="F4:F53" si="0">SUM(B4,D4)</f>
        <v>10009</v>
      </c>
      <c r="G4" s="8">
        <f>F4-F3</f>
        <v>-35</v>
      </c>
      <c r="I4" s="2">
        <f>B3-B53</f>
        <v>994</v>
      </c>
      <c r="J4" s="2">
        <f>D3-D53</f>
        <v>967</v>
      </c>
      <c r="K4" s="2">
        <f>F3-F53</f>
        <v>1961</v>
      </c>
      <c r="L4" s="9" t="s">
        <v>7</v>
      </c>
      <c r="M4" s="9"/>
      <c r="N4" s="10"/>
    </row>
    <row r="5" spans="1:16" x14ac:dyDescent="0.2">
      <c r="A5" s="6">
        <v>45309</v>
      </c>
      <c r="B5" s="7">
        <v>4041</v>
      </c>
      <c r="C5" s="7">
        <f t="shared" ref="C5:C53" si="1">B5-B4</f>
        <v>-19</v>
      </c>
      <c r="D5" s="7">
        <v>5935</v>
      </c>
      <c r="E5" s="7">
        <f t="shared" ref="E5:E53" si="2">D5-D4</f>
        <v>-14</v>
      </c>
      <c r="F5" s="7">
        <f t="shared" si="0"/>
        <v>9976</v>
      </c>
      <c r="G5" s="8">
        <f t="shared" ref="G5:G53" si="3">F5-F4</f>
        <v>-33</v>
      </c>
      <c r="I5" s="2"/>
      <c r="J5" s="2"/>
      <c r="K5" s="2"/>
      <c r="L5" s="2"/>
      <c r="M5" s="2"/>
    </row>
    <row r="6" spans="1:16" x14ac:dyDescent="0.2">
      <c r="A6" s="6">
        <v>45316</v>
      </c>
      <c r="B6" s="7">
        <v>4016</v>
      </c>
      <c r="C6" s="7">
        <f t="shared" si="1"/>
        <v>-25</v>
      </c>
      <c r="D6" s="7">
        <v>5922</v>
      </c>
      <c r="E6" s="7">
        <f t="shared" si="2"/>
        <v>-13</v>
      </c>
      <c r="F6" s="7">
        <f t="shared" si="0"/>
        <v>9938</v>
      </c>
      <c r="G6" s="8">
        <f t="shared" si="3"/>
        <v>-38</v>
      </c>
      <c r="I6" s="11">
        <f>ABS(AVERAGE(C4:C53))</f>
        <v>19.88</v>
      </c>
      <c r="J6" s="11">
        <f>ABS(AVERAGE(E4:E53))</f>
        <v>19.34</v>
      </c>
      <c r="K6" s="11">
        <f>SUM(I6,J6)</f>
        <v>39.22</v>
      </c>
      <c r="L6" s="12" t="s">
        <v>8</v>
      </c>
      <c r="M6" s="12"/>
      <c r="N6" s="10"/>
    </row>
    <row r="7" spans="1:16" x14ac:dyDescent="0.2">
      <c r="A7" s="6">
        <v>45323</v>
      </c>
      <c r="B7" s="7">
        <v>3986</v>
      </c>
      <c r="C7" s="7">
        <f t="shared" si="1"/>
        <v>-30</v>
      </c>
      <c r="D7" s="7">
        <v>5909</v>
      </c>
      <c r="E7" s="7">
        <f t="shared" si="2"/>
        <v>-13</v>
      </c>
      <c r="F7" s="7">
        <f t="shared" si="0"/>
        <v>9895</v>
      </c>
      <c r="G7" s="8">
        <f t="shared" si="3"/>
        <v>-43</v>
      </c>
    </row>
    <row r="8" spans="1:16" x14ac:dyDescent="0.2">
      <c r="A8" s="6">
        <v>45330</v>
      </c>
      <c r="B8" s="7">
        <v>3968</v>
      </c>
      <c r="C8" s="7">
        <f t="shared" si="1"/>
        <v>-18</v>
      </c>
      <c r="D8" s="7">
        <v>5899</v>
      </c>
      <c r="E8" s="7">
        <f t="shared" si="2"/>
        <v>-10</v>
      </c>
      <c r="F8" s="7">
        <f t="shared" si="0"/>
        <v>9867</v>
      </c>
      <c r="G8" s="8">
        <f t="shared" si="3"/>
        <v>-28</v>
      </c>
    </row>
    <row r="9" spans="1:16" ht="15" x14ac:dyDescent="0.2">
      <c r="A9" s="6">
        <v>45337</v>
      </c>
      <c r="B9" s="7">
        <v>3959</v>
      </c>
      <c r="C9" s="7">
        <f t="shared" si="1"/>
        <v>-9</v>
      </c>
      <c r="D9" s="7">
        <v>5893</v>
      </c>
      <c r="E9" s="7">
        <f t="shared" si="2"/>
        <v>-6</v>
      </c>
      <c r="F9" s="7">
        <f t="shared" si="0"/>
        <v>9852</v>
      </c>
      <c r="G9" s="8">
        <f t="shared" si="3"/>
        <v>-15</v>
      </c>
      <c r="I9" s="2"/>
      <c r="J9" s="13" t="s">
        <v>9</v>
      </c>
      <c r="K9" s="14"/>
      <c r="M9" s="15"/>
      <c r="N9" s="16" t="s">
        <v>10</v>
      </c>
      <c r="O9" s="16"/>
      <c r="P9" s="16"/>
    </row>
    <row r="10" spans="1:16" x14ac:dyDescent="0.2">
      <c r="A10" s="6">
        <v>45344</v>
      </c>
      <c r="B10" s="7">
        <v>3943</v>
      </c>
      <c r="C10" s="7">
        <f t="shared" si="1"/>
        <v>-16</v>
      </c>
      <c r="D10" s="7">
        <v>5866</v>
      </c>
      <c r="E10" s="7">
        <f t="shared" si="2"/>
        <v>-27</v>
      </c>
      <c r="F10" s="7">
        <f t="shared" si="0"/>
        <v>9809</v>
      </c>
      <c r="G10" s="8">
        <f t="shared" si="3"/>
        <v>-43</v>
      </c>
      <c r="I10" s="2"/>
      <c r="J10" s="5" t="s">
        <v>1</v>
      </c>
      <c r="K10" s="5" t="s">
        <v>3</v>
      </c>
      <c r="M10" s="15"/>
      <c r="N10" s="17" t="s">
        <v>1</v>
      </c>
      <c r="O10" s="17" t="s">
        <v>3</v>
      </c>
      <c r="P10" s="17" t="s">
        <v>5</v>
      </c>
    </row>
    <row r="11" spans="1:16" x14ac:dyDescent="0.2">
      <c r="A11" s="6">
        <v>45351</v>
      </c>
      <c r="B11" s="7">
        <v>3926</v>
      </c>
      <c r="C11" s="7">
        <f t="shared" si="1"/>
        <v>-17</v>
      </c>
      <c r="D11" s="7">
        <v>5847</v>
      </c>
      <c r="E11" s="7">
        <f t="shared" si="2"/>
        <v>-19</v>
      </c>
      <c r="F11" s="7">
        <f t="shared" si="0"/>
        <v>9773</v>
      </c>
      <c r="G11" s="8">
        <f t="shared" si="3"/>
        <v>-36</v>
      </c>
      <c r="I11" s="2" t="s">
        <v>11</v>
      </c>
      <c r="J11" s="11">
        <f>AVERAGE(C3:C6)</f>
        <v>-21.333333333333332</v>
      </c>
      <c r="K11" s="11">
        <f>AVERAGE(E3:E6)</f>
        <v>-14</v>
      </c>
      <c r="M11" s="15" t="s">
        <v>12</v>
      </c>
      <c r="N11" s="18">
        <f>I4</f>
        <v>994</v>
      </c>
      <c r="O11" s="18">
        <f>J4</f>
        <v>967</v>
      </c>
      <c r="P11" s="18">
        <f>N11+O11</f>
        <v>1961</v>
      </c>
    </row>
    <row r="12" spans="1:16" x14ac:dyDescent="0.2">
      <c r="A12" s="6">
        <v>45358</v>
      </c>
      <c r="B12" s="7">
        <v>3904</v>
      </c>
      <c r="C12" s="7">
        <f t="shared" si="1"/>
        <v>-22</v>
      </c>
      <c r="D12" s="7">
        <v>5819</v>
      </c>
      <c r="E12" s="7">
        <f t="shared" si="2"/>
        <v>-28</v>
      </c>
      <c r="F12" s="7">
        <f t="shared" si="0"/>
        <v>9723</v>
      </c>
      <c r="G12" s="8">
        <f t="shared" si="3"/>
        <v>-50</v>
      </c>
      <c r="I12" s="2" t="s">
        <v>13</v>
      </c>
      <c r="J12" s="11">
        <f>AVERAGE(C7:C11)</f>
        <v>-18</v>
      </c>
      <c r="K12" s="11">
        <f>AVERAGE(E7:E11)</f>
        <v>-15</v>
      </c>
      <c r="M12" s="15" t="s">
        <v>14</v>
      </c>
      <c r="N12" s="18">
        <f>B3-N11</f>
        <v>3086</v>
      </c>
      <c r="O12" s="18">
        <f>D3-O11</f>
        <v>4997</v>
      </c>
      <c r="P12" s="18">
        <f>N12+O12</f>
        <v>8083</v>
      </c>
    </row>
    <row r="13" spans="1:16" x14ac:dyDescent="0.2">
      <c r="A13" s="6">
        <v>45365</v>
      </c>
      <c r="B13" s="7">
        <v>3890</v>
      </c>
      <c r="C13" s="7">
        <f t="shared" si="1"/>
        <v>-14</v>
      </c>
      <c r="D13" s="7">
        <v>5807</v>
      </c>
      <c r="E13" s="7">
        <f t="shared" si="2"/>
        <v>-12</v>
      </c>
      <c r="F13" s="7">
        <f t="shared" si="0"/>
        <v>9697</v>
      </c>
      <c r="G13" s="8">
        <f t="shared" si="3"/>
        <v>-26</v>
      </c>
      <c r="I13" s="2" t="s">
        <v>15</v>
      </c>
      <c r="J13" s="11">
        <f>AVERAGE(C12:C15)</f>
        <v>-23</v>
      </c>
      <c r="K13" s="11">
        <f>AVERAGE(E12:E15)</f>
        <v>-30.5</v>
      </c>
      <c r="M13" s="19" t="s">
        <v>16</v>
      </c>
      <c r="N13" s="20">
        <f>N12/N11</f>
        <v>3.1046277665995974</v>
      </c>
      <c r="O13" s="20">
        <f>O12/O11</f>
        <v>5.1675284384694935</v>
      </c>
      <c r="P13" s="20">
        <f>P12/P11</f>
        <v>4.121876593574707</v>
      </c>
    </row>
    <row r="14" spans="1:16" x14ac:dyDescent="0.2">
      <c r="A14" s="6">
        <v>45372</v>
      </c>
      <c r="B14" s="7">
        <v>3842</v>
      </c>
      <c r="C14" s="7">
        <f t="shared" si="1"/>
        <v>-48</v>
      </c>
      <c r="D14" s="7">
        <v>5754</v>
      </c>
      <c r="E14" s="7">
        <f t="shared" si="2"/>
        <v>-53</v>
      </c>
      <c r="F14" s="7">
        <f t="shared" si="0"/>
        <v>9596</v>
      </c>
      <c r="G14" s="8">
        <f t="shared" si="3"/>
        <v>-101</v>
      </c>
      <c r="I14" s="2" t="s">
        <v>17</v>
      </c>
      <c r="J14" s="11">
        <f>AVERAGE(C16:C19)</f>
        <v>-13.75</v>
      </c>
      <c r="K14" s="11">
        <f>AVERAGE(E16:E19)</f>
        <v>29.25</v>
      </c>
    </row>
    <row r="15" spans="1:16" x14ac:dyDescent="0.2">
      <c r="A15" s="6">
        <v>45379</v>
      </c>
      <c r="B15" s="7">
        <v>3834</v>
      </c>
      <c r="C15" s="7">
        <f t="shared" si="1"/>
        <v>-8</v>
      </c>
      <c r="D15" s="7">
        <v>5725</v>
      </c>
      <c r="E15" s="7">
        <f t="shared" si="2"/>
        <v>-29</v>
      </c>
      <c r="F15" s="7">
        <f t="shared" si="0"/>
        <v>9559</v>
      </c>
      <c r="G15" s="8">
        <f t="shared" si="3"/>
        <v>-37</v>
      </c>
      <c r="I15" s="2" t="s">
        <v>18</v>
      </c>
      <c r="J15" s="11">
        <f>AVERAGE(C20:C24)</f>
        <v>-14</v>
      </c>
      <c r="K15" s="11">
        <f>AVERAGE(E20:E24)</f>
        <v>-48.4</v>
      </c>
    </row>
    <row r="16" spans="1:16" x14ac:dyDescent="0.2">
      <c r="A16" s="6">
        <v>45386</v>
      </c>
      <c r="B16" s="7">
        <v>3826</v>
      </c>
      <c r="C16" s="7">
        <f t="shared" si="1"/>
        <v>-8</v>
      </c>
      <c r="D16" s="7">
        <v>5706</v>
      </c>
      <c r="E16" s="7">
        <f t="shared" si="2"/>
        <v>-19</v>
      </c>
      <c r="F16" s="7">
        <f t="shared" si="0"/>
        <v>9532</v>
      </c>
      <c r="G16" s="8">
        <f t="shared" si="3"/>
        <v>-27</v>
      </c>
      <c r="I16" s="2" t="s">
        <v>19</v>
      </c>
      <c r="J16" s="11">
        <f>AVERAGE(C25:C28)</f>
        <v>-13.75</v>
      </c>
      <c r="K16" s="11">
        <f>AVERAGE(E25:E28)</f>
        <v>-16</v>
      </c>
      <c r="M16" s="2" t="s">
        <v>20</v>
      </c>
      <c r="N16" s="21">
        <f>(I6*52)*1.3</f>
        <v>1343.8880000000001</v>
      </c>
      <c r="O16" s="21">
        <f>(J6*52)*1.3</f>
        <v>1307.384</v>
      </c>
      <c r="P16" s="21">
        <f>N16+O16</f>
        <v>2651.2719999999999</v>
      </c>
    </row>
    <row r="17" spans="1:16" x14ac:dyDescent="0.2">
      <c r="A17" s="6">
        <v>45393</v>
      </c>
      <c r="B17" s="7">
        <v>3812</v>
      </c>
      <c r="C17" s="7">
        <f t="shared" si="1"/>
        <v>-14</v>
      </c>
      <c r="D17" s="7">
        <v>5695</v>
      </c>
      <c r="E17" s="7">
        <f t="shared" si="2"/>
        <v>-11</v>
      </c>
      <c r="F17" s="7">
        <f t="shared" si="0"/>
        <v>9507</v>
      </c>
      <c r="G17" s="8">
        <f t="shared" si="3"/>
        <v>-25</v>
      </c>
      <c r="I17" s="2" t="s">
        <v>21</v>
      </c>
      <c r="J17" s="11">
        <f>AVERAGE(C29:C32)</f>
        <v>-19.75</v>
      </c>
      <c r="K17" s="11">
        <f>AVERAGE(E29:E32)</f>
        <v>-10</v>
      </c>
      <c r="M17" s="2" t="s">
        <v>22</v>
      </c>
      <c r="N17" s="21">
        <f>B3-N16</f>
        <v>2736.1120000000001</v>
      </c>
      <c r="O17" s="21">
        <f>D3-O16</f>
        <v>4656.616</v>
      </c>
      <c r="P17" s="21">
        <f>N17+O17</f>
        <v>7392.7280000000001</v>
      </c>
    </row>
    <row r="18" spans="1:16" x14ac:dyDescent="0.2">
      <c r="A18" s="6">
        <v>45400</v>
      </c>
      <c r="B18" s="7">
        <v>3798</v>
      </c>
      <c r="C18" s="7">
        <f t="shared" si="1"/>
        <v>-14</v>
      </c>
      <c r="D18" s="7">
        <v>5680</v>
      </c>
      <c r="E18" s="7">
        <f t="shared" si="2"/>
        <v>-15</v>
      </c>
      <c r="F18" s="7">
        <f t="shared" si="0"/>
        <v>9478</v>
      </c>
      <c r="G18" s="8">
        <f t="shared" si="3"/>
        <v>-29</v>
      </c>
      <c r="I18" s="2" t="s">
        <v>23</v>
      </c>
      <c r="J18" s="11">
        <f>AVERAGE(C33:C37)</f>
        <v>-18.8</v>
      </c>
      <c r="K18" s="11">
        <f>AVERAGE(E33:E37)</f>
        <v>-12.8</v>
      </c>
      <c r="M18" s="22" t="s">
        <v>24</v>
      </c>
      <c r="N18" s="23">
        <f>N17/N16</f>
        <v>2.0359672829878677</v>
      </c>
      <c r="O18" s="23">
        <f t="shared" ref="O18:P18" si="4">O17/O16</f>
        <v>3.5617813894005126</v>
      </c>
      <c r="P18" s="23">
        <f t="shared" si="4"/>
        <v>2.7883702615197534</v>
      </c>
    </row>
    <row r="19" spans="1:16" x14ac:dyDescent="0.2">
      <c r="A19" s="6">
        <v>45407</v>
      </c>
      <c r="B19" s="7">
        <v>3779</v>
      </c>
      <c r="C19" s="7">
        <f t="shared" si="1"/>
        <v>-19</v>
      </c>
      <c r="D19" s="7">
        <v>5842</v>
      </c>
      <c r="E19" s="7">
        <f t="shared" si="2"/>
        <v>162</v>
      </c>
      <c r="F19" s="7">
        <f t="shared" si="0"/>
        <v>9621</v>
      </c>
      <c r="G19" s="8">
        <f t="shared" si="3"/>
        <v>143</v>
      </c>
      <c r="I19" s="2" t="s">
        <v>25</v>
      </c>
      <c r="J19" s="11">
        <f>AVERAGE(C38:C41)</f>
        <v>-11.75</v>
      </c>
      <c r="K19" s="11">
        <f>AVERAGE(E38:E41)</f>
        <v>-16.5</v>
      </c>
    </row>
    <row r="20" spans="1:16" x14ac:dyDescent="0.2">
      <c r="A20" s="6">
        <v>45414</v>
      </c>
      <c r="B20" s="7">
        <v>3763</v>
      </c>
      <c r="C20" s="7">
        <f t="shared" si="1"/>
        <v>-16</v>
      </c>
      <c r="D20" s="7">
        <v>5653</v>
      </c>
      <c r="E20" s="7">
        <f t="shared" si="2"/>
        <v>-189</v>
      </c>
      <c r="F20" s="7">
        <f t="shared" si="0"/>
        <v>9416</v>
      </c>
      <c r="G20" s="8">
        <f t="shared" si="3"/>
        <v>-205</v>
      </c>
      <c r="I20" s="2" t="s">
        <v>26</v>
      </c>
      <c r="J20" s="11">
        <f>AVERAGE(C42:C45)</f>
        <v>-10.75</v>
      </c>
      <c r="K20" s="11">
        <f>AVERAGE(E42:E45)</f>
        <v>-12.75</v>
      </c>
    </row>
    <row r="21" spans="1:16" x14ac:dyDescent="0.2">
      <c r="A21" s="6">
        <v>45421</v>
      </c>
      <c r="B21" s="7">
        <v>3749</v>
      </c>
      <c r="C21" s="7">
        <f t="shared" si="1"/>
        <v>-14</v>
      </c>
      <c r="D21" s="7">
        <v>5641</v>
      </c>
      <c r="E21" s="7">
        <f t="shared" si="2"/>
        <v>-12</v>
      </c>
      <c r="F21" s="7">
        <f t="shared" si="0"/>
        <v>9390</v>
      </c>
      <c r="G21" s="8">
        <f t="shared" si="3"/>
        <v>-26</v>
      </c>
      <c r="I21" s="2" t="s">
        <v>27</v>
      </c>
      <c r="J21" s="11">
        <f>AVERAGE(C46:C50)</f>
        <v>-42</v>
      </c>
      <c r="K21" s="11">
        <f>AVERAGE(E46:E50)</f>
        <v>-47.6</v>
      </c>
    </row>
    <row r="22" spans="1:16" x14ac:dyDescent="0.2">
      <c r="A22" s="6">
        <v>45428</v>
      </c>
      <c r="B22" s="7">
        <v>3736</v>
      </c>
      <c r="C22" s="7">
        <f t="shared" si="1"/>
        <v>-13</v>
      </c>
      <c r="D22" s="7">
        <v>5622</v>
      </c>
      <c r="E22" s="7">
        <f t="shared" si="2"/>
        <v>-19</v>
      </c>
      <c r="F22" s="7">
        <f t="shared" si="0"/>
        <v>9358</v>
      </c>
      <c r="G22" s="8">
        <f t="shared" si="3"/>
        <v>-32</v>
      </c>
      <c r="I22" s="2" t="s">
        <v>28</v>
      </c>
      <c r="J22" s="11">
        <f>AVERAGE(C51:C53)</f>
        <v>-31.666666666666668</v>
      </c>
      <c r="K22" s="11">
        <f>AVERAGE(E51:E53)</f>
        <v>-26.666666666666668</v>
      </c>
    </row>
    <row r="23" spans="1:16" x14ac:dyDescent="0.2">
      <c r="A23" s="6">
        <v>45435</v>
      </c>
      <c r="B23" s="7">
        <v>3716</v>
      </c>
      <c r="C23" s="7">
        <f t="shared" si="1"/>
        <v>-20</v>
      </c>
      <c r="D23" s="7">
        <v>5610</v>
      </c>
      <c r="E23" s="7">
        <f t="shared" si="2"/>
        <v>-12</v>
      </c>
      <c r="F23" s="7">
        <f t="shared" si="0"/>
        <v>9326</v>
      </c>
      <c r="G23" s="8">
        <f t="shared" si="3"/>
        <v>-32</v>
      </c>
    </row>
    <row r="24" spans="1:16" x14ac:dyDescent="0.2">
      <c r="A24" s="6">
        <v>45442</v>
      </c>
      <c r="B24" s="7">
        <v>3709</v>
      </c>
      <c r="C24" s="7">
        <f t="shared" si="1"/>
        <v>-7</v>
      </c>
      <c r="D24" s="7">
        <v>5600</v>
      </c>
      <c r="E24" s="7">
        <f t="shared" si="2"/>
        <v>-10</v>
      </c>
      <c r="F24" s="7">
        <f t="shared" si="0"/>
        <v>9309</v>
      </c>
      <c r="G24" s="8">
        <f t="shared" si="3"/>
        <v>-17</v>
      </c>
      <c r="N24" s="4">
        <f>B53/I4</f>
        <v>3.1046277665995974</v>
      </c>
    </row>
    <row r="25" spans="1:16" x14ac:dyDescent="0.2">
      <c r="A25" s="6">
        <v>45449</v>
      </c>
      <c r="B25" s="7">
        <v>3697</v>
      </c>
      <c r="C25" s="7">
        <f t="shared" si="1"/>
        <v>-12</v>
      </c>
      <c r="D25" s="7">
        <v>5600</v>
      </c>
      <c r="E25" s="7">
        <f t="shared" si="2"/>
        <v>0</v>
      </c>
      <c r="F25" s="7">
        <f t="shared" si="0"/>
        <v>9297</v>
      </c>
      <c r="G25" s="8">
        <f t="shared" si="3"/>
        <v>-12</v>
      </c>
    </row>
    <row r="26" spans="1:16" x14ac:dyDescent="0.2">
      <c r="A26" s="6">
        <v>45456</v>
      </c>
      <c r="B26" s="7">
        <v>3687</v>
      </c>
      <c r="C26" s="7">
        <f t="shared" si="1"/>
        <v>-10</v>
      </c>
      <c r="D26" s="7">
        <v>5575</v>
      </c>
      <c r="E26" s="7">
        <f t="shared" si="2"/>
        <v>-25</v>
      </c>
      <c r="F26" s="7">
        <f t="shared" si="0"/>
        <v>9262</v>
      </c>
      <c r="G26" s="8">
        <f t="shared" si="3"/>
        <v>-35</v>
      </c>
    </row>
    <row r="27" spans="1:16" x14ac:dyDescent="0.2">
      <c r="A27" s="6">
        <v>45463</v>
      </c>
      <c r="B27" s="7">
        <v>3664</v>
      </c>
      <c r="C27" s="7">
        <f t="shared" si="1"/>
        <v>-23</v>
      </c>
      <c r="D27" s="7">
        <v>5550</v>
      </c>
      <c r="E27" s="7">
        <f t="shared" si="2"/>
        <v>-25</v>
      </c>
      <c r="F27" s="7">
        <f t="shared" si="0"/>
        <v>9214</v>
      </c>
      <c r="G27" s="8">
        <f t="shared" si="3"/>
        <v>-48</v>
      </c>
    </row>
    <row r="28" spans="1:16" x14ac:dyDescent="0.2">
      <c r="A28" s="6">
        <v>45470</v>
      </c>
      <c r="B28" s="7">
        <v>3654</v>
      </c>
      <c r="C28" s="7">
        <f t="shared" si="1"/>
        <v>-10</v>
      </c>
      <c r="D28" s="7">
        <v>5536</v>
      </c>
      <c r="E28" s="7">
        <f t="shared" si="2"/>
        <v>-14</v>
      </c>
      <c r="F28" s="7">
        <f t="shared" si="0"/>
        <v>9190</v>
      </c>
      <c r="G28" s="8">
        <f t="shared" si="3"/>
        <v>-24</v>
      </c>
    </row>
    <row r="29" spans="1:16" x14ac:dyDescent="0.2">
      <c r="A29" s="6">
        <v>45477</v>
      </c>
      <c r="B29" s="7">
        <v>3643</v>
      </c>
      <c r="C29" s="7">
        <f t="shared" si="1"/>
        <v>-11</v>
      </c>
      <c r="D29" s="7">
        <v>5527</v>
      </c>
      <c r="E29" s="7">
        <f t="shared" si="2"/>
        <v>-9</v>
      </c>
      <c r="F29" s="7">
        <f t="shared" si="0"/>
        <v>9170</v>
      </c>
      <c r="G29" s="8">
        <f t="shared" si="3"/>
        <v>-20</v>
      </c>
    </row>
    <row r="30" spans="1:16" x14ac:dyDescent="0.2">
      <c r="A30" s="6">
        <v>45484</v>
      </c>
      <c r="B30" s="7">
        <v>3626</v>
      </c>
      <c r="C30" s="7">
        <f t="shared" si="1"/>
        <v>-17</v>
      </c>
      <c r="D30" s="7">
        <v>5517</v>
      </c>
      <c r="E30" s="7">
        <f t="shared" si="2"/>
        <v>-10</v>
      </c>
      <c r="F30" s="7">
        <f t="shared" si="0"/>
        <v>9143</v>
      </c>
      <c r="G30" s="8">
        <f t="shared" si="3"/>
        <v>-27</v>
      </c>
    </row>
    <row r="31" spans="1:16" x14ac:dyDescent="0.2">
      <c r="A31" s="6">
        <v>45491</v>
      </c>
      <c r="B31" s="7">
        <v>3604</v>
      </c>
      <c r="C31" s="7">
        <f t="shared" si="1"/>
        <v>-22</v>
      </c>
      <c r="D31" s="7">
        <v>5509</v>
      </c>
      <c r="E31" s="7">
        <f t="shared" si="2"/>
        <v>-8</v>
      </c>
      <c r="F31" s="7">
        <f t="shared" si="0"/>
        <v>9113</v>
      </c>
      <c r="G31" s="8">
        <f t="shared" si="3"/>
        <v>-30</v>
      </c>
    </row>
    <row r="32" spans="1:16" x14ac:dyDescent="0.2">
      <c r="A32" s="6">
        <v>45498</v>
      </c>
      <c r="B32" s="7">
        <v>3575</v>
      </c>
      <c r="C32" s="7">
        <f t="shared" si="1"/>
        <v>-29</v>
      </c>
      <c r="D32" s="7">
        <v>5496</v>
      </c>
      <c r="E32" s="7">
        <f t="shared" si="2"/>
        <v>-13</v>
      </c>
      <c r="F32" s="7">
        <f t="shared" si="0"/>
        <v>9071</v>
      </c>
      <c r="G32" s="8">
        <f t="shared" si="3"/>
        <v>-42</v>
      </c>
    </row>
    <row r="33" spans="1:7" x14ac:dyDescent="0.2">
      <c r="A33" s="6">
        <v>45506</v>
      </c>
      <c r="B33" s="2">
        <v>3549</v>
      </c>
      <c r="C33" s="7">
        <f t="shared" si="1"/>
        <v>-26</v>
      </c>
      <c r="D33" s="2">
        <v>5479</v>
      </c>
      <c r="E33" s="7">
        <f t="shared" si="2"/>
        <v>-17</v>
      </c>
      <c r="F33" s="7">
        <f t="shared" si="0"/>
        <v>9028</v>
      </c>
      <c r="G33" s="8">
        <f t="shared" si="3"/>
        <v>-43</v>
      </c>
    </row>
    <row r="34" spans="1:7" x14ac:dyDescent="0.2">
      <c r="A34" s="6">
        <v>45513</v>
      </c>
      <c r="B34" s="2">
        <v>3537</v>
      </c>
      <c r="C34" s="7">
        <f t="shared" si="1"/>
        <v>-12</v>
      </c>
      <c r="D34" s="2">
        <v>5471</v>
      </c>
      <c r="E34" s="7">
        <f t="shared" si="2"/>
        <v>-8</v>
      </c>
      <c r="F34" s="7">
        <f t="shared" si="0"/>
        <v>9008</v>
      </c>
      <c r="G34" s="8">
        <f t="shared" si="3"/>
        <v>-20</v>
      </c>
    </row>
    <row r="35" spans="1:7" x14ac:dyDescent="0.2">
      <c r="A35" s="6">
        <v>45520</v>
      </c>
      <c r="B35" s="2">
        <v>3519</v>
      </c>
      <c r="C35" s="7">
        <f t="shared" si="1"/>
        <v>-18</v>
      </c>
      <c r="D35" s="2">
        <v>5451</v>
      </c>
      <c r="E35" s="7">
        <f t="shared" si="2"/>
        <v>-20</v>
      </c>
      <c r="F35" s="7">
        <f t="shared" si="0"/>
        <v>8970</v>
      </c>
      <c r="G35" s="8">
        <f t="shared" si="3"/>
        <v>-38</v>
      </c>
    </row>
    <row r="36" spans="1:7" x14ac:dyDescent="0.2">
      <c r="A36" s="6">
        <v>45527</v>
      </c>
      <c r="B36" s="2">
        <v>3496</v>
      </c>
      <c r="C36" s="7">
        <f t="shared" si="1"/>
        <v>-23</v>
      </c>
      <c r="D36" s="2">
        <v>5842</v>
      </c>
      <c r="E36" s="7">
        <f t="shared" si="2"/>
        <v>391</v>
      </c>
      <c r="F36" s="7">
        <f t="shared" si="0"/>
        <v>9338</v>
      </c>
      <c r="G36" s="8">
        <f t="shared" si="3"/>
        <v>368</v>
      </c>
    </row>
    <row r="37" spans="1:7" x14ac:dyDescent="0.2">
      <c r="A37" s="6">
        <v>45534</v>
      </c>
      <c r="B37" s="2">
        <v>3481</v>
      </c>
      <c r="C37" s="7">
        <f t="shared" si="1"/>
        <v>-15</v>
      </c>
      <c r="D37" s="2">
        <v>5432</v>
      </c>
      <c r="E37" s="7">
        <f t="shared" si="2"/>
        <v>-410</v>
      </c>
      <c r="F37" s="7">
        <f t="shared" si="0"/>
        <v>8913</v>
      </c>
      <c r="G37" s="8">
        <f t="shared" si="3"/>
        <v>-425</v>
      </c>
    </row>
    <row r="38" spans="1:7" x14ac:dyDescent="0.2">
      <c r="A38" s="6">
        <v>45541</v>
      </c>
      <c r="B38" s="2">
        <v>3467</v>
      </c>
      <c r="C38" s="7">
        <f t="shared" si="1"/>
        <v>-14</v>
      </c>
      <c r="D38" s="2">
        <v>5422</v>
      </c>
      <c r="E38" s="7">
        <f t="shared" si="2"/>
        <v>-10</v>
      </c>
      <c r="F38" s="7">
        <f t="shared" si="0"/>
        <v>8889</v>
      </c>
      <c r="G38" s="8">
        <f t="shared" si="3"/>
        <v>-24</v>
      </c>
    </row>
    <row r="39" spans="1:7" x14ac:dyDescent="0.2">
      <c r="A39" s="6">
        <v>45548</v>
      </c>
      <c r="B39" s="2">
        <v>3456</v>
      </c>
      <c r="C39" s="7">
        <f t="shared" si="1"/>
        <v>-11</v>
      </c>
      <c r="D39" s="2">
        <v>5405</v>
      </c>
      <c r="E39" s="7">
        <f t="shared" si="2"/>
        <v>-17</v>
      </c>
      <c r="F39" s="7">
        <f t="shared" si="0"/>
        <v>8861</v>
      </c>
      <c r="G39" s="8">
        <f t="shared" si="3"/>
        <v>-28</v>
      </c>
    </row>
    <row r="40" spans="1:7" x14ac:dyDescent="0.2">
      <c r="A40" s="6">
        <v>45555</v>
      </c>
      <c r="B40" s="2">
        <v>3446</v>
      </c>
      <c r="C40" s="7">
        <f t="shared" si="1"/>
        <v>-10</v>
      </c>
      <c r="D40" s="2">
        <v>5381</v>
      </c>
      <c r="E40" s="7">
        <f t="shared" si="2"/>
        <v>-24</v>
      </c>
      <c r="F40" s="7">
        <f t="shared" si="0"/>
        <v>8827</v>
      </c>
      <c r="G40" s="8">
        <f t="shared" si="3"/>
        <v>-34</v>
      </c>
    </row>
    <row r="41" spans="1:7" x14ac:dyDescent="0.2">
      <c r="A41" s="6">
        <v>45562</v>
      </c>
      <c r="B41" s="2">
        <v>3434</v>
      </c>
      <c r="C41" s="7">
        <f t="shared" si="1"/>
        <v>-12</v>
      </c>
      <c r="D41" s="2">
        <v>5366</v>
      </c>
      <c r="E41" s="7">
        <f t="shared" si="2"/>
        <v>-15</v>
      </c>
      <c r="F41" s="7">
        <f t="shared" si="0"/>
        <v>8800</v>
      </c>
      <c r="G41" s="8">
        <f t="shared" si="3"/>
        <v>-27</v>
      </c>
    </row>
    <row r="42" spans="1:7" x14ac:dyDescent="0.2">
      <c r="A42" s="6">
        <v>45569</v>
      </c>
      <c r="B42" s="2">
        <v>3417</v>
      </c>
      <c r="C42" s="7">
        <f t="shared" si="1"/>
        <v>-17</v>
      </c>
      <c r="D42" s="2">
        <v>5343</v>
      </c>
      <c r="E42" s="7">
        <f t="shared" si="2"/>
        <v>-23</v>
      </c>
      <c r="F42" s="7">
        <f t="shared" si="0"/>
        <v>8760</v>
      </c>
      <c r="G42" s="8">
        <f t="shared" si="3"/>
        <v>-40</v>
      </c>
    </row>
    <row r="43" spans="1:7" x14ac:dyDescent="0.2">
      <c r="A43" s="6">
        <v>45576</v>
      </c>
      <c r="B43" s="2">
        <v>3421</v>
      </c>
      <c r="C43" s="7">
        <f t="shared" si="1"/>
        <v>4</v>
      </c>
      <c r="D43" s="2">
        <v>5366</v>
      </c>
      <c r="E43" s="7">
        <f t="shared" si="2"/>
        <v>23</v>
      </c>
      <c r="F43" s="7">
        <f t="shared" si="0"/>
        <v>8787</v>
      </c>
      <c r="G43" s="8">
        <f t="shared" si="3"/>
        <v>27</v>
      </c>
    </row>
    <row r="44" spans="1:7" x14ac:dyDescent="0.2">
      <c r="A44" s="24">
        <v>45583</v>
      </c>
      <c r="B44" s="25">
        <v>3403</v>
      </c>
      <c r="C44" s="7">
        <f t="shared" si="1"/>
        <v>-18</v>
      </c>
      <c r="D44" s="25">
        <v>5337</v>
      </c>
      <c r="E44" s="7">
        <f t="shared" si="2"/>
        <v>-29</v>
      </c>
      <c r="F44" s="7">
        <f t="shared" si="0"/>
        <v>8740</v>
      </c>
      <c r="G44" s="8">
        <f t="shared" si="3"/>
        <v>-47</v>
      </c>
    </row>
    <row r="45" spans="1:7" x14ac:dyDescent="0.2">
      <c r="A45" s="26">
        <v>45590</v>
      </c>
      <c r="B45" s="15">
        <v>3391</v>
      </c>
      <c r="C45" s="7">
        <f t="shared" si="1"/>
        <v>-12</v>
      </c>
      <c r="D45" s="15">
        <v>5315</v>
      </c>
      <c r="E45" s="7">
        <f t="shared" si="2"/>
        <v>-22</v>
      </c>
      <c r="F45" s="7">
        <f t="shared" si="0"/>
        <v>8706</v>
      </c>
      <c r="G45" s="8">
        <f t="shared" si="3"/>
        <v>-34</v>
      </c>
    </row>
    <row r="46" spans="1:7" x14ac:dyDescent="0.2">
      <c r="A46" s="27">
        <v>45597</v>
      </c>
      <c r="B46" s="28">
        <v>3374</v>
      </c>
      <c r="C46" s="29">
        <f t="shared" si="1"/>
        <v>-17</v>
      </c>
      <c r="D46" s="28">
        <v>5293</v>
      </c>
      <c r="E46" s="29">
        <f t="shared" si="2"/>
        <v>-22</v>
      </c>
      <c r="F46" s="29">
        <f t="shared" si="0"/>
        <v>8667</v>
      </c>
      <c r="G46" s="30">
        <f t="shared" si="3"/>
        <v>-39</v>
      </c>
    </row>
    <row r="47" spans="1:7" x14ac:dyDescent="0.2">
      <c r="A47" s="6">
        <v>45604</v>
      </c>
      <c r="B47" s="2">
        <v>3356</v>
      </c>
      <c r="C47" s="7">
        <f t="shared" si="1"/>
        <v>-18</v>
      </c>
      <c r="D47" s="2">
        <v>5262</v>
      </c>
      <c r="E47" s="7">
        <f t="shared" si="2"/>
        <v>-31</v>
      </c>
      <c r="F47" s="7">
        <f t="shared" si="0"/>
        <v>8618</v>
      </c>
      <c r="G47" s="8">
        <f t="shared" si="3"/>
        <v>-49</v>
      </c>
    </row>
    <row r="48" spans="1:7" x14ac:dyDescent="0.2">
      <c r="A48" s="6">
        <v>45611</v>
      </c>
      <c r="B48" s="2">
        <v>3221</v>
      </c>
      <c r="C48" s="7">
        <f t="shared" si="1"/>
        <v>-135</v>
      </c>
      <c r="D48" s="31">
        <v>5104</v>
      </c>
      <c r="E48" s="7">
        <f t="shared" si="2"/>
        <v>-158</v>
      </c>
      <c r="F48" s="7">
        <f t="shared" si="0"/>
        <v>8325</v>
      </c>
      <c r="G48" s="8">
        <f t="shared" si="3"/>
        <v>-293</v>
      </c>
    </row>
    <row r="49" spans="1:7" x14ac:dyDescent="0.2">
      <c r="A49" s="6">
        <v>45618</v>
      </c>
      <c r="B49" s="2">
        <v>3196</v>
      </c>
      <c r="C49" s="7">
        <f t="shared" si="1"/>
        <v>-25</v>
      </c>
      <c r="D49" s="2">
        <v>5087</v>
      </c>
      <c r="E49" s="7">
        <f t="shared" si="2"/>
        <v>-17</v>
      </c>
      <c r="F49" s="7">
        <f t="shared" si="0"/>
        <v>8283</v>
      </c>
      <c r="G49" s="8">
        <f t="shared" si="3"/>
        <v>-42</v>
      </c>
    </row>
    <row r="50" spans="1:7" x14ac:dyDescent="0.2">
      <c r="A50" s="6">
        <v>45625</v>
      </c>
      <c r="B50" s="2">
        <v>3181</v>
      </c>
      <c r="C50" s="7">
        <f t="shared" si="1"/>
        <v>-15</v>
      </c>
      <c r="D50" s="2">
        <v>5077</v>
      </c>
      <c r="E50" s="7">
        <f t="shared" si="2"/>
        <v>-10</v>
      </c>
      <c r="F50" s="7">
        <f t="shared" si="0"/>
        <v>8258</v>
      </c>
      <c r="G50" s="8">
        <f t="shared" si="3"/>
        <v>-25</v>
      </c>
    </row>
    <row r="51" spans="1:7" x14ac:dyDescent="0.2">
      <c r="A51" s="26">
        <v>45632</v>
      </c>
      <c r="B51" s="15">
        <v>3152</v>
      </c>
      <c r="C51" s="7">
        <f t="shared" si="1"/>
        <v>-29</v>
      </c>
      <c r="D51" s="15">
        <v>5062</v>
      </c>
      <c r="E51" s="7">
        <f t="shared" si="2"/>
        <v>-15</v>
      </c>
      <c r="F51" s="15">
        <f t="shared" si="0"/>
        <v>8214</v>
      </c>
      <c r="G51" s="8">
        <f t="shared" si="3"/>
        <v>-44</v>
      </c>
    </row>
    <row r="52" spans="1:7" x14ac:dyDescent="0.2">
      <c r="A52" s="26">
        <v>45639</v>
      </c>
      <c r="B52" s="15">
        <v>3120</v>
      </c>
      <c r="C52" s="7">
        <f t="shared" si="1"/>
        <v>-32</v>
      </c>
      <c r="D52" s="15">
        <v>5033</v>
      </c>
      <c r="E52" s="7">
        <f t="shared" si="2"/>
        <v>-29</v>
      </c>
      <c r="F52" s="15">
        <f t="shared" si="0"/>
        <v>8153</v>
      </c>
      <c r="G52" s="8">
        <f t="shared" si="3"/>
        <v>-61</v>
      </c>
    </row>
    <row r="53" spans="1:7" x14ac:dyDescent="0.2">
      <c r="A53" s="26">
        <v>45646</v>
      </c>
      <c r="B53" s="15">
        <v>3086</v>
      </c>
      <c r="C53" s="7">
        <f t="shared" si="1"/>
        <v>-34</v>
      </c>
      <c r="D53" s="15">
        <v>4997</v>
      </c>
      <c r="E53" s="7">
        <f t="shared" si="2"/>
        <v>-36</v>
      </c>
      <c r="F53" s="15">
        <f t="shared" si="0"/>
        <v>8083</v>
      </c>
      <c r="G53" s="8">
        <f t="shared" si="3"/>
        <v>-70</v>
      </c>
    </row>
  </sheetData>
  <mergeCells count="3">
    <mergeCell ref="B1:F1"/>
    <mergeCell ref="J9:K9"/>
    <mergeCell ref="N9:P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89EE-23B2-4E8A-8ACF-CE443CAD4494}">
  <dimension ref="A1"/>
  <sheetViews>
    <sheetView workbookViewId="0"/>
  </sheetViews>
  <sheetFormatPr defaultRowHeight="15" x14ac:dyDescent="0.25"/>
  <sheetData>
    <row r="1" spans="1:1" x14ac:dyDescent="0.25">
      <c r="A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Staffing Manpower</vt:lpstr>
      <vt:lpstr>Chart 2025</vt:lpstr>
      <vt:lpstr>Chart 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SHELTON, JENNIFER W 2d Lt USAF AFMC AFLCMC/WVB</cp:lastModifiedBy>
  <dcterms:created xsi:type="dcterms:W3CDTF">2025-04-22T19:24:00Z</dcterms:created>
  <dcterms:modified xsi:type="dcterms:W3CDTF">2025-04-22T19:28:48Z</dcterms:modified>
</cp:coreProperties>
</file>