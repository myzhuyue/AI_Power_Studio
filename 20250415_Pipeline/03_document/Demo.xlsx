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phie.zhong\Documents\"/>
    </mc:Choice>
  </mc:AlternateContent>
  <xr:revisionPtr revIDLastSave="0" documentId="13_ncr:1_{5149907A-6A20-4F98-8DBC-10994BC103C4}" xr6:coauthVersionLast="47" xr6:coauthVersionMax="47" xr10:uidLastSave="{00000000-0000-0000-0000-000000000000}"/>
  <bookViews>
    <workbookView xWindow="-120" yWindow="-120" windowWidth="29040" windowHeight="15840" activeTab="1" xr2:uid="{3A76B84E-487A-4E32-B511-82C9E5AA7762}"/>
  </bookViews>
  <sheets>
    <sheet name="Sheet1" sheetId="1" r:id="rId1"/>
    <sheet name="Rev Samp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7" i="2" l="1"/>
  <c r="X36" i="2"/>
  <c r="X35" i="2"/>
  <c r="X34" i="2"/>
  <c r="X23" i="2"/>
  <c r="X24" i="2" s="1"/>
  <c r="X25" i="2" s="1"/>
  <c r="X26" i="2" s="1"/>
  <c r="X27" i="2" s="1"/>
  <c r="X28" i="2" s="1"/>
  <c r="X29" i="2" s="1"/>
  <c r="Y12" i="2" l="1"/>
  <c r="AA12" i="2" s="1"/>
  <c r="AA10" i="2"/>
  <c r="AA11" i="2"/>
  <c r="AA13" i="2"/>
  <c r="AA14" i="2"/>
  <c r="AA9" i="2"/>
</calcChain>
</file>

<file path=xl/sharedStrings.xml><?xml version="1.0" encoding="utf-8"?>
<sst xmlns="http://schemas.openxmlformats.org/spreadsheetml/2006/main" count="74" uniqueCount="41">
  <si>
    <t>SEM</t>
  </si>
  <si>
    <t>TEM</t>
  </si>
  <si>
    <t>SDB</t>
  </si>
  <si>
    <t>DTS</t>
  </si>
  <si>
    <t>XPS</t>
  </si>
  <si>
    <t>Spectra</t>
  </si>
  <si>
    <t>Backlog</t>
  </si>
  <si>
    <t>B2B</t>
  </si>
  <si>
    <t>Revenue roll up bridge</t>
  </si>
  <si>
    <t>Push out</t>
  </si>
  <si>
    <t>Pull in</t>
  </si>
  <si>
    <t>Amt increase</t>
  </si>
  <si>
    <t>Amt decrease</t>
  </si>
  <si>
    <t>Cancelled</t>
  </si>
  <si>
    <t>New created</t>
  </si>
  <si>
    <t>Increase</t>
  </si>
  <si>
    <t>Decrease</t>
  </si>
  <si>
    <t>Revenue</t>
  </si>
  <si>
    <t>LW Roll up</t>
  </si>
  <si>
    <t>Amt incrase</t>
  </si>
  <si>
    <t>CW Roll up</t>
  </si>
  <si>
    <t>OPP</t>
  </si>
  <si>
    <t>Owner</t>
  </si>
  <si>
    <t>Rev Amt</t>
  </si>
  <si>
    <t>Model</t>
  </si>
  <si>
    <t>Memo:</t>
  </si>
  <si>
    <t>How to deal with manual adjustment</t>
  </si>
  <si>
    <t>How to add training, account adj value in roll up</t>
  </si>
  <si>
    <t>Revenue risk level·</t>
  </si>
  <si>
    <t>Super high</t>
  </si>
  <si>
    <t>High</t>
  </si>
  <si>
    <t>Medium</t>
  </si>
  <si>
    <t>Low</t>
  </si>
  <si>
    <t>Rev amt</t>
  </si>
  <si>
    <t>Risk</t>
  </si>
  <si>
    <t>Account</t>
  </si>
  <si>
    <t>OPP ID</t>
  </si>
  <si>
    <t>CDM Notes</t>
  </si>
  <si>
    <t xml:space="preserve">Account </t>
  </si>
  <si>
    <t>LW BY   20250407</t>
  </si>
  <si>
    <t>CW BY 20250414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</si>
</sst>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165" fontId="0" fillId="2" borderId="0" xfId="1" applyNumberFormat="1" applyFont="1" applyFill="1"/>
    <xf numFmtId="165" fontId="0" fillId="2" borderId="0" xfId="0" applyNumberFormat="1" applyFill="1"/>
    <xf numFmtId="164" fontId="1" fillId="2" borderId="0" xfId="1" applyNumberFormat="1" applyFont="1" applyFill="1" applyAlignment="1">
      <alignment horizontal="right"/>
    </xf>
    <xf numFmtId="164" fontId="1" fillId="2" borderId="0" xfId="1" quotePrefix="1" applyNumberFormat="1" applyFont="1" applyFill="1" applyAlignment="1">
      <alignment horizontal="right"/>
    </xf>
    <xf numFmtId="165" fontId="1" fillId="2" borderId="0" xfId="1" quotePrefix="1" applyNumberFormat="1" applyFont="1" applyFill="1" applyAlignment="1">
      <alignment horizontal="right"/>
    </xf>
    <xf numFmtId="165" fontId="1" fillId="2" borderId="0" xfId="1" applyNumberFormat="1" applyFont="1" applyFill="1" applyAlignment="1">
      <alignment horizontal="right"/>
    </xf>
    <xf numFmtId="0" fontId="2" fillId="3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Rev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'Rev Sample'!$Y$8</c:f>
              <c:strCache>
                <c:ptCount val="1"/>
                <c:pt idx="0">
                  <c:v>Backlog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'Rev Sample'!$X$9:$X$14</c:f>
              <c:strCache>
                <c:ptCount val="6"/>
                <c:pt idx="0">
                  <c:v>Spectra</c:v>
                </c:pt>
                <c:pt idx="1">
                  <c:v>SEM</c:v>
                </c:pt>
                <c:pt idx="2">
                  <c:v>TEM</c:v>
                </c:pt>
                <c:pt idx="3">
                  <c:v>SDB</c:v>
                </c:pt>
                <c:pt idx="4">
                  <c:v>DTS</c:v>
                </c:pt>
                <c:pt idx="5">
                  <c:v>XPS</c:v>
                </c:pt>
              </c:strCache>
            </c:strRef>
          </c:cat>
          <c:val>
            <c:numRef>
              <c:f>'Rev Sample'!$Y$9:$Y$14</c:f>
              <c:numCache>
                <c:formatCode>_(* #,##0_);_(* \(#,##0\);_(* "-"??_);_(@_)</c:formatCode>
                <c:ptCount val="6"/>
                <c:pt idx="0">
                  <c:v>6063</c:v>
                </c:pt>
                <c:pt idx="1">
                  <c:v>8980</c:v>
                </c:pt>
                <c:pt idx="2">
                  <c:v>6985</c:v>
                </c:pt>
                <c:pt idx="3">
                  <c:v>4564</c:v>
                </c:pt>
                <c:pt idx="4">
                  <c:v>3202</c:v>
                </c:pt>
                <c:pt idx="5">
                  <c:v>5012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C4-4D7C-8838-85017A9174F3}"/>
            </c:ext>
          </c:extLst>
        </c:ser>
        <c:ser>
          <c:idx val="1"/>
          <c:order val="1"/>
          <c:tx>
            <c:strRef>
              <c:f>'Rev Sample'!$Z$8</c:f>
              <c:strCache>
                <c:ptCount val="1"/>
                <c:pt idx="0">
                  <c:v>B2B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'Rev Sample'!$X$9:$X$14</c:f>
              <c:strCache>
                <c:ptCount val="6"/>
                <c:pt idx="0">
                  <c:v>Spectra</c:v>
                </c:pt>
                <c:pt idx="1">
                  <c:v>SEM</c:v>
                </c:pt>
                <c:pt idx="2">
                  <c:v>TEM</c:v>
                </c:pt>
                <c:pt idx="3">
                  <c:v>SDB</c:v>
                </c:pt>
                <c:pt idx="4">
                  <c:v>DTS</c:v>
                </c:pt>
                <c:pt idx="5">
                  <c:v>XPS</c:v>
                </c:pt>
              </c:strCache>
            </c:strRef>
          </c:cat>
          <c:val>
            <c:numRef>
              <c:f>'Rev Sample'!$Z$9:$Z$14</c:f>
              <c:numCache>
                <c:formatCode>_(* #,##0_);_(* \(#,##0\);_(* "-"??_);_(@_)</c:formatCode>
                <c:ptCount val="6"/>
                <c:pt idx="0">
                  <c:v>0</c:v>
                </c:pt>
                <c:pt idx="1">
                  <c:v>2653</c:v>
                </c:pt>
                <c:pt idx="2">
                  <c:v>2142</c:v>
                </c:pt>
                <c:pt idx="3">
                  <c:v>3256</c:v>
                </c:pt>
                <c:pt idx="4">
                  <c:v>1250</c:v>
                </c:pt>
                <c:pt idx="5">
                  <c:v>1233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C4-4D7C-8838-85017A917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25105087"/>
        <c:axId val="2125098847"/>
      </c:barChart>
      <c:catAx>
        <c:axId val="2125105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098847"/>
        <c:crosses val="autoZero"/>
        <c:auto val="1"/>
        <c:lblAlgn val="ctr"/>
        <c:lblOffset val="100"/>
        <c:noMultiLvlLbl val="0"/>
      </c:catAx>
      <c:valAx>
        <c:axId val="212509884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crossAx val="2125105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b="1">
                <a:solidFill>
                  <a:schemeClr val="bg1"/>
                </a:solidFill>
              </a:rPr>
              <a:t>Revenue Roll up Bridge vs LW</a:t>
            </a:r>
            <a:endParaRPr lang="en-US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 Sample'!$X$21</c:f>
              <c:strCache>
                <c:ptCount val="1"/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B65-475F-BECD-AB734F8D07C5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B65-475F-BECD-AB734F8D07C5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B65-475F-BECD-AB734F8D07C5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B65-475F-BECD-AB734F8D07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 Sample'!$W$22:$W$29</c:f>
              <c:strCache>
                <c:ptCount val="8"/>
                <c:pt idx="0">
                  <c:v>LW Roll up</c:v>
                </c:pt>
                <c:pt idx="1">
                  <c:v>New created</c:v>
                </c:pt>
                <c:pt idx="2">
                  <c:v>Cancelled</c:v>
                </c:pt>
                <c:pt idx="3">
                  <c:v>Pull in</c:v>
                </c:pt>
                <c:pt idx="4">
                  <c:v>Push out</c:v>
                </c:pt>
                <c:pt idx="5">
                  <c:v>Amt incrase</c:v>
                </c:pt>
                <c:pt idx="6">
                  <c:v>Amt decrease</c:v>
                </c:pt>
                <c:pt idx="7">
                  <c:v>CW Roll up</c:v>
                </c:pt>
              </c:strCache>
            </c:strRef>
          </c:cat>
          <c:val>
            <c:numRef>
              <c:f>'Rev Sample'!$X$22:$X$29</c:f>
              <c:numCache>
                <c:formatCode>_(* #,##0_);_(* \(#,##0\);_(* "-"??_);_(@_)</c:formatCode>
                <c:ptCount val="8"/>
                <c:pt idx="0">
                  <c:v>51280</c:v>
                </c:pt>
                <c:pt idx="1">
                  <c:v>51280</c:v>
                </c:pt>
                <c:pt idx="2">
                  <c:v>51880</c:v>
                </c:pt>
                <c:pt idx="3">
                  <c:v>51880</c:v>
                </c:pt>
                <c:pt idx="4">
                  <c:v>45460</c:v>
                </c:pt>
                <c:pt idx="5">
                  <c:v>45460</c:v>
                </c:pt>
                <c:pt idx="6">
                  <c:v>45340</c:v>
                </c:pt>
                <c:pt idx="7">
                  <c:v>45340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65-475F-BECD-AB734F8D07C5}"/>
            </c:ext>
          </c:extLst>
        </c:ser>
        <c:ser>
          <c:idx val="1"/>
          <c:order val="1"/>
          <c:tx>
            <c:strRef>
              <c:f>'Rev Sample'!$Y$21</c:f>
              <c:strCache>
                <c:ptCount val="1"/>
                <c:pt idx="0">
                  <c:v> Increase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 Sample'!$W$22:$W$29</c:f>
              <c:strCache>
                <c:ptCount val="8"/>
                <c:pt idx="0">
                  <c:v>LW Roll up</c:v>
                </c:pt>
                <c:pt idx="1">
                  <c:v>New created</c:v>
                </c:pt>
                <c:pt idx="2">
                  <c:v>Cancelled</c:v>
                </c:pt>
                <c:pt idx="3">
                  <c:v>Pull in</c:v>
                </c:pt>
                <c:pt idx="4">
                  <c:v>Push out</c:v>
                </c:pt>
                <c:pt idx="5">
                  <c:v>Amt incrase</c:v>
                </c:pt>
                <c:pt idx="6">
                  <c:v>Amt decrease</c:v>
                </c:pt>
                <c:pt idx="7">
                  <c:v>CW Roll up</c:v>
                </c:pt>
              </c:strCache>
            </c:strRef>
          </c:cat>
          <c:val>
            <c:numRef>
              <c:f>'Rev Sample'!$Y$22:$Y$29</c:f>
              <c:numCache>
                <c:formatCode>_(* #,##0_);_(* \(#,##0\);_(* "-"??_);_(@_)</c:formatCode>
                <c:ptCount val="8"/>
                <c:pt idx="1">
                  <c:v>2500</c:v>
                </c:pt>
                <c:pt idx="3">
                  <c:v>2580</c:v>
                </c:pt>
                <c:pt idx="5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65-475F-BECD-AB734F8D07C5}"/>
            </c:ext>
          </c:extLst>
        </c:ser>
        <c:ser>
          <c:idx val="2"/>
          <c:order val="2"/>
          <c:tx>
            <c:strRef>
              <c:f>'Rev Sample'!$Z$21</c:f>
              <c:strCache>
                <c:ptCount val="1"/>
                <c:pt idx="0">
                  <c:v> Decrease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 Sample'!$W$22:$W$29</c:f>
              <c:strCache>
                <c:ptCount val="8"/>
                <c:pt idx="0">
                  <c:v>LW Roll up</c:v>
                </c:pt>
                <c:pt idx="1">
                  <c:v>New created</c:v>
                </c:pt>
                <c:pt idx="2">
                  <c:v>Cancelled</c:v>
                </c:pt>
                <c:pt idx="3">
                  <c:v>Pull in</c:v>
                </c:pt>
                <c:pt idx="4">
                  <c:v>Push out</c:v>
                </c:pt>
                <c:pt idx="5">
                  <c:v>Amt incrase</c:v>
                </c:pt>
                <c:pt idx="6">
                  <c:v>Amt decrease</c:v>
                </c:pt>
                <c:pt idx="7">
                  <c:v>CW Roll up</c:v>
                </c:pt>
              </c:strCache>
            </c:strRef>
          </c:cat>
          <c:val>
            <c:numRef>
              <c:f>'Rev Sample'!$Z$22:$Z$29</c:f>
              <c:numCache>
                <c:formatCode>_(* #,##0_);_(* \(#,##0\);_(* "-"??_);_(@_)</c:formatCode>
                <c:ptCount val="8"/>
                <c:pt idx="1">
                  <c:v>0</c:v>
                </c:pt>
                <c:pt idx="2">
                  <c:v>1900</c:v>
                </c:pt>
                <c:pt idx="4">
                  <c:v>9000</c:v>
                </c:pt>
                <c:pt idx="6">
                  <c:v>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65-475F-BECD-AB734F8D0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11881423"/>
        <c:axId val="2111884783"/>
      </c:barChart>
      <c:catAx>
        <c:axId val="211188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884783"/>
        <c:crosses val="autoZero"/>
        <c:auto val="1"/>
        <c:lblAlgn val="ctr"/>
        <c:lblOffset val="100"/>
        <c:noMultiLvlLbl val="0"/>
      </c:catAx>
      <c:valAx>
        <c:axId val="2111884783"/>
        <c:scaling>
          <c:orientation val="minMax"/>
          <c:max val="55000"/>
          <c:min val="30000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211188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b="1">
                <a:solidFill>
                  <a:schemeClr val="bg1"/>
                </a:solidFill>
              </a:rPr>
              <a:t>Revenge by risk level</a:t>
            </a:r>
            <a:endParaRPr lang="en-US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'Rev Sample'!$W$34</c:f>
              <c:strCache>
                <c:ptCount val="1"/>
                <c:pt idx="0">
                  <c:v>Super high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'Rev Sample'!$X$34</c:f>
              <c:numCache>
                <c:formatCode>_(* #,##0_);_(* \(#,##0\);_(* "-"??_);_(@_)</c:formatCode>
                <c:ptCount val="1"/>
                <c:pt idx="0">
                  <c:v>4534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F6-4B8E-9182-2A3AC2FB60C4}"/>
            </c:ext>
          </c:extLst>
        </c:ser>
        <c:ser>
          <c:idx val="1"/>
          <c:order val="1"/>
          <c:tx>
            <c:strRef>
              <c:f>'Rev Sample'!$W$35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'Rev Sample'!$X$35</c:f>
              <c:numCache>
                <c:formatCode>_(* #,##0_);_(* \(#,##0\);_(* "-"??_);_(@_)</c:formatCode>
                <c:ptCount val="1"/>
                <c:pt idx="0">
                  <c:v>13602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F6-4B8E-9182-2A3AC2FB60C4}"/>
            </c:ext>
          </c:extLst>
        </c:ser>
        <c:ser>
          <c:idx val="2"/>
          <c:order val="2"/>
          <c:tx>
            <c:strRef>
              <c:f>'Rev Sample'!$W$36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'Rev Sample'!$X$36</c:f>
              <c:numCache>
                <c:formatCode>_(* #,##0_);_(* \(#,##0\);_(* "-"??_);_(@_)</c:formatCode>
                <c:ptCount val="1"/>
                <c:pt idx="0">
                  <c:v>22670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F6-4B8E-9182-2A3AC2FB60C4}"/>
            </c:ext>
          </c:extLst>
        </c:ser>
        <c:ser>
          <c:idx val="3"/>
          <c:order val="3"/>
          <c:tx>
            <c:strRef>
              <c:f>'Rev Sample'!$W$37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'Rev Sample'!$X$37</c:f>
              <c:numCache>
                <c:formatCode>_(* #,##0_);_(* \(#,##0\);_(* "-"??_);_(@_)</c:formatCode>
                <c:ptCount val="1"/>
                <c:pt idx="0">
                  <c:v>4534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F6-4B8E-9182-2A3AC2FB6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3609071"/>
        <c:axId val="503605711"/>
      </c:barChart>
      <c:catAx>
        <c:axId val="50360907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03605711"/>
        <c:crosses val="autoZero"/>
        <c:auto val="1"/>
        <c:lblAlgn val="ctr"/>
        <c:lblOffset val="100"/>
        <c:noMultiLvlLbl val="0"/>
      </c:catAx>
      <c:valAx>
        <c:axId val="503605711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503609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114300</xdr:rowOff>
    </xdr:from>
    <xdr:to>
      <xdr:col>13</xdr:col>
      <xdr:colOff>141949</xdr:colOff>
      <xdr:row>20</xdr:row>
      <xdr:rowOff>94776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94BF40-E859-9CAE-DE9E-7D4FC5AE4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0" y="114300"/>
          <a:ext cx="7409524" cy="37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21</xdr:row>
      <xdr:rowOff>28575</xdr:rowOff>
    </xdr:from>
    <xdr:to>
      <xdr:col>13</xdr:col>
      <xdr:colOff>199093</xdr:colOff>
      <xdr:row>43</xdr:row>
      <xdr:rowOff>113765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8D42A0-E502-A090-9688-B3B999D94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2475" y="4029075"/>
          <a:ext cx="7457143" cy="42761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426243</xdr:colOff>
      <xdr:row>4</xdr:row>
      <xdr:rowOff>42864</xdr:rowOff>
    </xdr:from>
    <xdr:to>
      <xdr:col>5</xdr:col>
      <xdr:colOff>473868</xdr:colOff>
      <xdr:row>7</xdr:row>
      <xdr:rowOff>61913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27F8927-419E-3516-DEE1-41F4D6EC3CC8}"/>
            </a:ext>
          </a:extLst>
        </xdr:cNvPr>
        <xdr:cNvSpPr/>
      </xdr:nvSpPr>
      <xdr:spPr>
        <a:xfrm>
          <a:off x="652462" y="816770"/>
          <a:ext cx="2476500" cy="590549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QTD</a:t>
          </a:r>
          <a:r>
            <a:rPr lang="en-US" sz="1100" baseline="0"/>
            <a:t> </a:t>
          </a:r>
          <a:r>
            <a:rPr lang="en-US" altLang="zh-CN" sz="1100" baseline="0"/>
            <a:t>REVENUE</a:t>
          </a:r>
          <a:endParaRPr lang="en-US" sz="1100" baseline="0"/>
        </a:p>
        <a:p>
          <a:pPr algn="l"/>
          <a:r>
            <a:rPr lang="en-US" sz="1100" baseline="0"/>
            <a:t>                        </a:t>
          </a:r>
          <a:r>
            <a:rPr lang="en-US" sz="2000" baseline="0"/>
            <a:t>$1,020 K </a:t>
          </a:r>
          <a:r>
            <a:rPr lang="en-US" sz="900" baseline="0"/>
            <a:t>+2.4% </a:t>
          </a:r>
          <a:r>
            <a:rPr lang="en-US" altLang="zh-CN" sz="900" baseline="0"/>
            <a:t>vs LW</a:t>
          </a:r>
          <a:r>
            <a:rPr lang="en-US" sz="900" baseline="0"/>
            <a:t> </a:t>
          </a:r>
        </a:p>
        <a:p>
          <a:pPr algn="l"/>
          <a:endParaRPr lang="en-US" sz="1100"/>
        </a:p>
      </xdr:txBody>
    </xdr:sp>
    <xdr:clientData/>
  </xdr:twoCellAnchor>
  <xdr:twoCellAnchor>
    <xdr:from>
      <xdr:col>1</xdr:col>
      <xdr:colOff>369092</xdr:colOff>
      <xdr:row>17</xdr:row>
      <xdr:rowOff>85725</xdr:rowOff>
    </xdr:from>
    <xdr:to>
      <xdr:col>5</xdr:col>
      <xdr:colOff>440530</xdr:colOff>
      <xdr:row>20</xdr:row>
      <xdr:rowOff>104775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4C299E0-E08B-4D8A-A59F-743AADEC14E1}"/>
            </a:ext>
          </a:extLst>
        </xdr:cNvPr>
        <xdr:cNvSpPr/>
      </xdr:nvSpPr>
      <xdr:spPr>
        <a:xfrm>
          <a:off x="595311" y="3336131"/>
          <a:ext cx="2500313" cy="59055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TARGET</a:t>
          </a:r>
        </a:p>
        <a:p>
          <a:pPr algn="l"/>
          <a:r>
            <a:rPr lang="en-US" sz="1100" baseline="0"/>
            <a:t>                        </a:t>
          </a:r>
          <a:r>
            <a:rPr lang="en-US" sz="2000" baseline="0"/>
            <a:t>$55,020 K</a:t>
          </a:r>
          <a:endParaRPr lang="en-US" sz="1100" baseline="0"/>
        </a:p>
        <a:p>
          <a:pPr algn="l"/>
          <a:endParaRPr lang="en-US" sz="1100"/>
        </a:p>
      </xdr:txBody>
    </xdr:sp>
    <xdr:clientData/>
  </xdr:twoCellAnchor>
  <xdr:twoCellAnchor>
    <xdr:from>
      <xdr:col>1</xdr:col>
      <xdr:colOff>335756</xdr:colOff>
      <xdr:row>20</xdr:row>
      <xdr:rowOff>171450</xdr:rowOff>
    </xdr:from>
    <xdr:to>
      <xdr:col>5</xdr:col>
      <xdr:colOff>440532</xdr:colOff>
      <xdr:row>24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CC776CA-DBC2-4DA8-9554-385AC5E8471F}"/>
            </a:ext>
          </a:extLst>
        </xdr:cNvPr>
        <xdr:cNvSpPr/>
      </xdr:nvSpPr>
      <xdr:spPr>
        <a:xfrm>
          <a:off x="561975" y="3993356"/>
          <a:ext cx="2533651" cy="59055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Gap (Hedge) Vs. </a:t>
          </a:r>
          <a:r>
            <a:rPr lang="en-US" altLang="zh-CN" sz="1100" baseline="0"/>
            <a:t>Target</a:t>
          </a:r>
          <a:endParaRPr lang="en-US" sz="1100" baseline="0"/>
        </a:p>
        <a:p>
          <a:pPr algn="l"/>
          <a:r>
            <a:rPr lang="en-US" sz="1100" baseline="0"/>
            <a:t>                        </a:t>
          </a:r>
          <a:r>
            <a:rPr lang="en-US" sz="2000" baseline="0"/>
            <a:t>$9,680 K </a:t>
          </a:r>
          <a:r>
            <a:rPr lang="en-US" sz="9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-6.2% vs LW </a:t>
          </a:r>
          <a:endParaRPr lang="en-US" sz="900" baseline="0"/>
        </a:p>
        <a:p>
          <a:pPr algn="l"/>
          <a:endParaRPr lang="en-US" sz="1100"/>
        </a:p>
      </xdr:txBody>
    </xdr:sp>
    <xdr:clientData/>
  </xdr:twoCellAnchor>
  <xdr:twoCellAnchor>
    <xdr:from>
      <xdr:col>1</xdr:col>
      <xdr:colOff>404812</xdr:colOff>
      <xdr:row>7</xdr:row>
      <xdr:rowOff>100013</xdr:rowOff>
    </xdr:from>
    <xdr:to>
      <xdr:col>5</xdr:col>
      <xdr:colOff>481012</xdr:colOff>
      <xdr:row>10</xdr:row>
      <xdr:rowOff>119062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BC00A4F-B425-49E6-A505-E4C9838C7800}"/>
            </a:ext>
          </a:extLst>
        </xdr:cNvPr>
        <xdr:cNvSpPr/>
      </xdr:nvSpPr>
      <xdr:spPr>
        <a:xfrm>
          <a:off x="631031" y="1445419"/>
          <a:ext cx="2505075" cy="590549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SLOTTED BACKLOG</a:t>
          </a:r>
        </a:p>
        <a:p>
          <a:pPr algn="l"/>
          <a:r>
            <a:rPr lang="en-US" sz="1100" baseline="0"/>
            <a:t>                        </a:t>
          </a:r>
          <a:r>
            <a:rPr lang="en-US" sz="2000" baseline="0"/>
            <a:t>$34,000 K</a:t>
          </a:r>
          <a:r>
            <a:rPr lang="en-US" sz="9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+1.4% vs LW </a:t>
          </a:r>
          <a:r>
            <a:rPr lang="en-US" sz="1400" baseline="0"/>
            <a:t> </a:t>
          </a:r>
          <a:endParaRPr lang="en-US" sz="1100"/>
        </a:p>
      </xdr:txBody>
    </xdr:sp>
    <xdr:clientData/>
  </xdr:twoCellAnchor>
  <xdr:twoCellAnchor>
    <xdr:from>
      <xdr:col>1</xdr:col>
      <xdr:colOff>395288</xdr:colOff>
      <xdr:row>10</xdr:row>
      <xdr:rowOff>152399</xdr:rowOff>
    </xdr:from>
    <xdr:to>
      <xdr:col>5</xdr:col>
      <xdr:colOff>452438</xdr:colOff>
      <xdr:row>13</xdr:row>
      <xdr:rowOff>171448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657D51F9-E8C1-481B-BF9B-21E66F3908E7}"/>
            </a:ext>
          </a:extLst>
        </xdr:cNvPr>
        <xdr:cNvSpPr/>
      </xdr:nvSpPr>
      <xdr:spPr>
        <a:xfrm>
          <a:off x="621507" y="2069305"/>
          <a:ext cx="2486025" cy="590549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B2B RESERVED</a:t>
          </a:r>
        </a:p>
        <a:p>
          <a:pPr algn="l"/>
          <a:r>
            <a:rPr lang="en-US" sz="1100" baseline="0"/>
            <a:t>                        </a:t>
          </a:r>
          <a:r>
            <a:rPr lang="en-US" sz="2000" baseline="0"/>
            <a:t>$10,320 K </a:t>
          </a:r>
          <a:r>
            <a:rPr lang="en-US" sz="9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+5.4% vs LW </a:t>
          </a:r>
          <a:endParaRPr lang="en-US" sz="1100"/>
        </a:p>
      </xdr:txBody>
    </xdr:sp>
    <xdr:clientData/>
  </xdr:twoCellAnchor>
  <xdr:twoCellAnchor>
    <xdr:from>
      <xdr:col>0</xdr:col>
      <xdr:colOff>196455</xdr:colOff>
      <xdr:row>23</xdr:row>
      <xdr:rowOff>146447</xdr:rowOff>
    </xdr:from>
    <xdr:to>
      <xdr:col>6</xdr:col>
      <xdr:colOff>428626</xdr:colOff>
      <xdr:row>35</xdr:row>
      <xdr:rowOff>71439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184F47F-0212-735D-3A0A-C6EA9B0157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339326</xdr:colOff>
      <xdr:row>4</xdr:row>
      <xdr:rowOff>146448</xdr:rowOff>
    </xdr:from>
    <xdr:to>
      <xdr:col>20</xdr:col>
      <xdr:colOff>11906</xdr:colOff>
      <xdr:row>21</xdr:row>
      <xdr:rowOff>154782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DBEB836-ECC9-C738-7E97-6CA87B98BE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291703</xdr:colOff>
      <xdr:row>36</xdr:row>
      <xdr:rowOff>95250</xdr:rowOff>
    </xdr:from>
    <xdr:to>
      <xdr:col>8</xdr:col>
      <xdr:colOff>523875</xdr:colOff>
      <xdr:row>47</xdr:row>
      <xdr:rowOff>79772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F21AEBA-B2A8-8B1F-E7F2-33DAADBD73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369094</xdr:colOff>
      <xdr:row>14</xdr:row>
      <xdr:rowOff>23812</xdr:rowOff>
    </xdr:from>
    <xdr:to>
      <xdr:col>5</xdr:col>
      <xdr:colOff>426244</xdr:colOff>
      <xdr:row>17</xdr:row>
      <xdr:rowOff>42861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AB75875-1045-4E96-B8EA-AC19B4DCDFCA}"/>
            </a:ext>
          </a:extLst>
        </xdr:cNvPr>
        <xdr:cNvSpPr/>
      </xdr:nvSpPr>
      <xdr:spPr>
        <a:xfrm>
          <a:off x="595313" y="2702718"/>
          <a:ext cx="2486025" cy="590549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OTHER REVENUE  (SERVICE,PS, ADJ)</a:t>
          </a:r>
        </a:p>
        <a:p>
          <a:pPr algn="l"/>
          <a:r>
            <a:rPr lang="en-US" sz="1100" baseline="0"/>
            <a:t>                        </a:t>
          </a:r>
          <a:r>
            <a:rPr lang="en-US" sz="2000" baseline="0"/>
            <a:t>$2,500 K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CBA42-A665-456B-A3CE-B0DEFC6BD422}">
  <dimension ref="A1"/>
  <sheetViews>
    <sheetView topLeftCell="A4" workbookViewId="0">
      <selection activeCell="T27" sqref="T27"/>
    </sheetView>
  </sheetViews>
  <sheetFormatPr defaultRowHeight="15" x14ac:dyDescent="0.25"/>
  <cols>
    <col min="1" max="4" width="9.140625" style="1"/>
    <col min="5" max="5" width="10.42578125" style="1" customWidth="1"/>
    <col min="6" max="16384" width="9.140625" style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C982E-5E4D-43FB-B0E5-C031A91F1A87}">
  <dimension ref="B4:AA53"/>
  <sheetViews>
    <sheetView tabSelected="1" zoomScale="80" zoomScaleNormal="80" workbookViewId="0">
      <selection activeCell="G15" sqref="G15"/>
    </sheetView>
  </sheetViews>
  <sheetFormatPr defaultRowHeight="15" x14ac:dyDescent="0.25"/>
  <cols>
    <col min="1" max="1" width="3.42578125" style="1" customWidth="1"/>
    <col min="2" max="13" width="9.140625" style="1"/>
    <col min="14" max="14" width="4.140625" style="1" customWidth="1"/>
    <col min="15" max="20" width="9.140625" style="1"/>
    <col min="21" max="21" width="6.7109375" style="1" customWidth="1"/>
    <col min="22" max="22" width="9.140625" style="1"/>
    <col min="23" max="23" width="15.7109375" style="1" customWidth="1"/>
    <col min="24" max="24" width="11" style="1" customWidth="1"/>
    <col min="25" max="25" width="11.5703125" style="1" customWidth="1"/>
    <col min="26" max="26" width="12.5703125" style="1" customWidth="1"/>
    <col min="27" max="16384" width="9.140625" style="1"/>
  </cols>
  <sheetData>
    <row r="4" spans="2:27" ht="15.75" thickBot="1" x14ac:dyDescent="0.3">
      <c r="B4" s="1" t="s">
        <v>39</v>
      </c>
      <c r="D4" s="1" t="s">
        <v>40</v>
      </c>
    </row>
    <row r="5" spans="2:27" x14ac:dyDescent="0.25"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4"/>
    </row>
    <row r="6" spans="2:27" x14ac:dyDescent="0.25"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  <row r="7" spans="2:27" x14ac:dyDescent="0.25"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7"/>
    </row>
    <row r="8" spans="2:27" x14ac:dyDescent="0.25"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7"/>
      <c r="Y8" s="1" t="s">
        <v>6</v>
      </c>
      <c r="Z8" s="1" t="s">
        <v>7</v>
      </c>
    </row>
    <row r="9" spans="2:27" x14ac:dyDescent="0.25">
      <c r="B9" s="5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7"/>
      <c r="X9" s="1" t="s">
        <v>5</v>
      </c>
      <c r="Y9" s="11">
        <v>6063</v>
      </c>
      <c r="Z9" s="11">
        <v>0</v>
      </c>
      <c r="AA9" s="12">
        <f>SUM(Y9:Z9)</f>
        <v>6063</v>
      </c>
    </row>
    <row r="10" spans="2:27" x14ac:dyDescent="0.25"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7"/>
      <c r="X10" s="1" t="s">
        <v>0</v>
      </c>
      <c r="Y10" s="11">
        <v>8980</v>
      </c>
      <c r="Z10" s="11">
        <v>2653</v>
      </c>
      <c r="AA10" s="12">
        <f t="shared" ref="AA10:AA14" si="0">SUM(Y10:Z10)</f>
        <v>11633</v>
      </c>
    </row>
    <row r="11" spans="2:27" x14ac:dyDescent="0.25"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7"/>
      <c r="X11" s="1" t="s">
        <v>1</v>
      </c>
      <c r="Y11" s="11">
        <v>6985</v>
      </c>
      <c r="Z11" s="11">
        <v>2142</v>
      </c>
      <c r="AA11" s="12">
        <f t="shared" si="0"/>
        <v>9127</v>
      </c>
    </row>
    <row r="12" spans="2:27" x14ac:dyDescent="0.25"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7"/>
      <c r="X12" s="1" t="s">
        <v>2</v>
      </c>
      <c r="Y12" s="11">
        <f>10369-5805</f>
        <v>4564</v>
      </c>
      <c r="Z12" s="11">
        <v>3256</v>
      </c>
      <c r="AA12" s="12">
        <f t="shared" si="0"/>
        <v>7820</v>
      </c>
    </row>
    <row r="13" spans="2:27" x14ac:dyDescent="0.25">
      <c r="B13" s="5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7"/>
      <c r="X13" s="1" t="s">
        <v>3</v>
      </c>
      <c r="Y13" s="11">
        <v>3202</v>
      </c>
      <c r="Z13" s="11">
        <v>1250</v>
      </c>
      <c r="AA13" s="12">
        <f t="shared" si="0"/>
        <v>4452</v>
      </c>
    </row>
    <row r="14" spans="2:27" x14ac:dyDescent="0.25"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7"/>
      <c r="X14" s="1" t="s">
        <v>4</v>
      </c>
      <c r="Y14" s="11">
        <v>5012</v>
      </c>
      <c r="Z14" s="11">
        <v>1233</v>
      </c>
      <c r="AA14" s="12">
        <f t="shared" si="0"/>
        <v>6245</v>
      </c>
    </row>
    <row r="15" spans="2:27" x14ac:dyDescent="0.25">
      <c r="B15" s="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7"/>
    </row>
    <row r="16" spans="2:27" x14ac:dyDescent="0.25"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7"/>
    </row>
    <row r="17" spans="2:26" x14ac:dyDescent="0.25"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7"/>
    </row>
    <row r="18" spans="2:26" x14ac:dyDescent="0.25"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7"/>
      <c r="X18" s="1" t="s">
        <v>8</v>
      </c>
    </row>
    <row r="19" spans="2:26" x14ac:dyDescent="0.25"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7"/>
    </row>
    <row r="20" spans="2:26" x14ac:dyDescent="0.25"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7"/>
    </row>
    <row r="21" spans="2:26" x14ac:dyDescent="0.25"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7"/>
      <c r="W21" s="1" t="s">
        <v>17</v>
      </c>
      <c r="X21" s="13"/>
      <c r="Y21" s="14" t="s">
        <v>15</v>
      </c>
      <c r="Z21" s="15" t="s">
        <v>16</v>
      </c>
    </row>
    <row r="22" spans="2:26" x14ac:dyDescent="0.25"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7"/>
      <c r="W22" s="1" t="s">
        <v>18</v>
      </c>
      <c r="X22" s="16">
        <v>51280</v>
      </c>
      <c r="Y22" s="16"/>
      <c r="Z22" s="16"/>
    </row>
    <row r="23" spans="2:26" x14ac:dyDescent="0.25"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7"/>
      <c r="W23" s="1" t="s">
        <v>14</v>
      </c>
      <c r="X23" s="16">
        <f>X22</f>
        <v>51280</v>
      </c>
      <c r="Y23" s="11">
        <v>2500</v>
      </c>
      <c r="Z23" s="16">
        <v>0</v>
      </c>
    </row>
    <row r="24" spans="2:26" x14ac:dyDescent="0.25">
      <c r="B24" s="5"/>
      <c r="C24" s="6"/>
      <c r="D24" s="6"/>
      <c r="E24" s="6"/>
      <c r="F24" s="6"/>
      <c r="G24" s="6"/>
      <c r="H24" s="17" t="s">
        <v>9</v>
      </c>
      <c r="I24" s="6"/>
      <c r="J24" s="6"/>
      <c r="K24" s="6"/>
      <c r="L24" s="6"/>
      <c r="M24" s="6"/>
      <c r="N24" s="17"/>
      <c r="O24" s="17" t="s">
        <v>14</v>
      </c>
      <c r="P24" s="6"/>
      <c r="Q24" s="6"/>
      <c r="R24" s="6"/>
      <c r="S24" s="6"/>
      <c r="T24" s="6"/>
      <c r="U24" s="7"/>
      <c r="W24" s="1" t="s">
        <v>13</v>
      </c>
      <c r="X24" s="16">
        <f>X23+Y23-Z24</f>
        <v>51880</v>
      </c>
      <c r="Y24" s="16"/>
      <c r="Z24" s="16">
        <v>1900</v>
      </c>
    </row>
    <row r="25" spans="2:26" x14ac:dyDescent="0.25"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7"/>
      <c r="W25" s="1" t="s">
        <v>10</v>
      </c>
      <c r="X25" s="16">
        <f t="shared" ref="X25:X29" si="1">X24+Y24-Z25</f>
        <v>51880</v>
      </c>
      <c r="Y25" s="16">
        <v>2580</v>
      </c>
      <c r="Z25" s="16"/>
    </row>
    <row r="26" spans="2:26" x14ac:dyDescent="0.25">
      <c r="B26" s="5"/>
      <c r="C26" s="6"/>
      <c r="D26" s="6"/>
      <c r="E26" s="6"/>
      <c r="F26" s="6"/>
      <c r="G26" s="6"/>
      <c r="H26" s="6" t="s">
        <v>36</v>
      </c>
      <c r="I26" s="6" t="s">
        <v>35</v>
      </c>
      <c r="J26" s="6"/>
      <c r="K26" s="6" t="s">
        <v>24</v>
      </c>
      <c r="L26" s="6" t="s">
        <v>22</v>
      </c>
      <c r="M26" s="6" t="s">
        <v>23</v>
      </c>
      <c r="N26" s="6"/>
      <c r="O26" s="6" t="s">
        <v>36</v>
      </c>
      <c r="P26" s="6" t="s">
        <v>35</v>
      </c>
      <c r="Q26" s="6"/>
      <c r="R26" s="6" t="s">
        <v>24</v>
      </c>
      <c r="S26" s="6" t="s">
        <v>22</v>
      </c>
      <c r="T26" s="6" t="s">
        <v>23</v>
      </c>
      <c r="U26" s="7"/>
      <c r="W26" s="1" t="s">
        <v>9</v>
      </c>
      <c r="X26" s="16">
        <f t="shared" si="1"/>
        <v>45460</v>
      </c>
      <c r="Y26" s="16"/>
      <c r="Z26" s="16">
        <v>9000</v>
      </c>
    </row>
    <row r="27" spans="2:26" x14ac:dyDescent="0.25"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7"/>
      <c r="W27" s="1" t="s">
        <v>19</v>
      </c>
      <c r="X27" s="16">
        <f t="shared" si="1"/>
        <v>45460</v>
      </c>
      <c r="Y27" s="16">
        <v>220</v>
      </c>
      <c r="Z27" s="16"/>
    </row>
    <row r="28" spans="2:26" x14ac:dyDescent="0.25"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7"/>
      <c r="W28" s="1" t="s">
        <v>12</v>
      </c>
      <c r="X28" s="16">
        <f t="shared" si="1"/>
        <v>45340</v>
      </c>
      <c r="Y28" s="16"/>
      <c r="Z28" s="16">
        <v>340</v>
      </c>
    </row>
    <row r="29" spans="2:26" x14ac:dyDescent="0.25">
      <c r="B29" s="5"/>
      <c r="C29" s="6"/>
      <c r="D29" s="6"/>
      <c r="E29" s="6"/>
      <c r="F29" s="6"/>
      <c r="G29" s="6"/>
      <c r="H29" s="17" t="s">
        <v>10</v>
      </c>
      <c r="I29" s="6"/>
      <c r="J29" s="6"/>
      <c r="K29" s="6"/>
      <c r="L29" s="6"/>
      <c r="M29" s="6"/>
      <c r="N29" s="17"/>
      <c r="O29" s="17" t="s">
        <v>13</v>
      </c>
      <c r="P29" s="6"/>
      <c r="Q29" s="6"/>
      <c r="R29" s="6"/>
      <c r="S29" s="6"/>
      <c r="T29" s="6"/>
      <c r="U29" s="7"/>
      <c r="W29" s="1" t="s">
        <v>20</v>
      </c>
      <c r="X29" s="16">
        <f t="shared" si="1"/>
        <v>45340</v>
      </c>
      <c r="Y29" s="16"/>
      <c r="Z29" s="16"/>
    </row>
    <row r="30" spans="2:26" x14ac:dyDescent="0.25"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7"/>
      <c r="X30" s="16"/>
      <c r="Y30" s="16"/>
      <c r="Z30" s="16"/>
    </row>
    <row r="31" spans="2:26" x14ac:dyDescent="0.25">
      <c r="B31" s="5"/>
      <c r="C31" s="6"/>
      <c r="D31" s="6"/>
      <c r="E31" s="6"/>
      <c r="F31" s="6"/>
      <c r="G31" s="6"/>
      <c r="H31" s="6" t="s">
        <v>36</v>
      </c>
      <c r="I31" s="6" t="s">
        <v>35</v>
      </c>
      <c r="J31" s="6"/>
      <c r="K31" s="6" t="s">
        <v>24</v>
      </c>
      <c r="L31" s="6" t="s">
        <v>22</v>
      </c>
      <c r="M31" s="6" t="s">
        <v>23</v>
      </c>
      <c r="N31" s="6"/>
      <c r="O31" s="6" t="s">
        <v>36</v>
      </c>
      <c r="P31" s="6" t="s">
        <v>35</v>
      </c>
      <c r="Q31" s="6"/>
      <c r="R31" s="6" t="s">
        <v>24</v>
      </c>
      <c r="S31" s="6" t="s">
        <v>22</v>
      </c>
      <c r="T31" s="6" t="s">
        <v>23</v>
      </c>
      <c r="U31" s="7"/>
      <c r="X31" s="12"/>
      <c r="Y31" s="12"/>
      <c r="Z31" s="12"/>
    </row>
    <row r="32" spans="2:26" x14ac:dyDescent="0.25"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7"/>
      <c r="W32" s="1" t="s">
        <v>28</v>
      </c>
    </row>
    <row r="33" spans="2:24" x14ac:dyDescent="0.25">
      <c r="B33" s="5"/>
      <c r="C33" s="6"/>
      <c r="D33" s="6"/>
      <c r="E33" s="6"/>
      <c r="F33" s="6"/>
      <c r="G33" s="6"/>
      <c r="H33" s="17" t="s">
        <v>11</v>
      </c>
      <c r="I33" s="6"/>
      <c r="J33" s="6"/>
      <c r="K33" s="6"/>
      <c r="L33" s="6"/>
      <c r="M33" s="6"/>
      <c r="N33" s="17"/>
      <c r="O33" s="17" t="s">
        <v>12</v>
      </c>
      <c r="P33" s="6"/>
      <c r="Q33" s="6"/>
      <c r="R33" s="6"/>
      <c r="S33" s="6"/>
      <c r="T33" s="6"/>
      <c r="U33" s="7"/>
      <c r="X33" s="1" t="s">
        <v>33</v>
      </c>
    </row>
    <row r="34" spans="2:24" x14ac:dyDescent="0.25"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7"/>
      <c r="W34" s="1" t="s">
        <v>29</v>
      </c>
      <c r="X34" s="11">
        <f>45340*0.1</f>
        <v>4534</v>
      </c>
    </row>
    <row r="35" spans="2:24" x14ac:dyDescent="0.25">
      <c r="B35" s="5"/>
      <c r="C35" s="6"/>
      <c r="D35" s="6"/>
      <c r="E35" s="6"/>
      <c r="F35" s="6"/>
      <c r="G35" s="6"/>
      <c r="H35" s="6" t="s">
        <v>36</v>
      </c>
      <c r="I35" s="6" t="s">
        <v>35</v>
      </c>
      <c r="J35" s="6"/>
      <c r="K35" s="6" t="s">
        <v>24</v>
      </c>
      <c r="L35" s="6" t="s">
        <v>22</v>
      </c>
      <c r="M35" s="6" t="s">
        <v>23</v>
      </c>
      <c r="N35" s="6"/>
      <c r="O35" s="6" t="s">
        <v>36</v>
      </c>
      <c r="P35" s="6" t="s">
        <v>35</v>
      </c>
      <c r="Q35" s="6"/>
      <c r="R35" s="6" t="s">
        <v>24</v>
      </c>
      <c r="S35" s="6" t="s">
        <v>22</v>
      </c>
      <c r="T35" s="6" t="s">
        <v>23</v>
      </c>
      <c r="U35" s="7"/>
      <c r="W35" s="1" t="s">
        <v>30</v>
      </c>
      <c r="X35" s="11">
        <f>45340*0.3</f>
        <v>13602</v>
      </c>
    </row>
    <row r="36" spans="2:24" x14ac:dyDescent="0.25"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7"/>
      <c r="W36" s="1" t="s">
        <v>31</v>
      </c>
      <c r="X36" s="11">
        <f>45340*0.5</f>
        <v>22670</v>
      </c>
    </row>
    <row r="37" spans="2:24" x14ac:dyDescent="0.25">
      <c r="B37" s="5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7"/>
      <c r="W37" s="1" t="s">
        <v>32</v>
      </c>
      <c r="X37" s="11">
        <f>X34</f>
        <v>4534</v>
      </c>
    </row>
    <row r="38" spans="2:24" x14ac:dyDescent="0.25"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7"/>
    </row>
    <row r="39" spans="2:24" x14ac:dyDescent="0.25">
      <c r="B39" s="5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7"/>
    </row>
    <row r="40" spans="2:24" x14ac:dyDescent="0.25">
      <c r="B40" s="5"/>
      <c r="C40" s="6"/>
      <c r="D40" s="6"/>
      <c r="E40" s="6"/>
      <c r="F40" s="6"/>
      <c r="G40" s="6"/>
      <c r="H40" s="6"/>
      <c r="I40" s="6"/>
      <c r="J40" s="6"/>
      <c r="K40" s="6" t="s">
        <v>21</v>
      </c>
      <c r="L40" s="6" t="s">
        <v>38</v>
      </c>
      <c r="M40" s="6"/>
      <c r="N40" s="6" t="s">
        <v>24</v>
      </c>
      <c r="O40" s="6" t="s">
        <v>22</v>
      </c>
      <c r="P40" s="6" t="s">
        <v>23</v>
      </c>
      <c r="Q40" s="6" t="s">
        <v>34</v>
      </c>
      <c r="R40" s="6" t="s">
        <v>37</v>
      </c>
      <c r="S40" s="6"/>
      <c r="T40" s="6"/>
      <c r="U40" s="7"/>
    </row>
    <row r="41" spans="2:24" x14ac:dyDescent="0.25">
      <c r="B41" s="5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7"/>
    </row>
    <row r="42" spans="2:24" x14ac:dyDescent="0.25"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7"/>
    </row>
    <row r="43" spans="2:24" x14ac:dyDescent="0.25">
      <c r="B43" s="5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7"/>
    </row>
    <row r="44" spans="2:24" x14ac:dyDescent="0.25"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7"/>
    </row>
    <row r="45" spans="2:24" x14ac:dyDescent="0.25">
      <c r="B45" s="5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7"/>
    </row>
    <row r="46" spans="2:24" x14ac:dyDescent="0.25"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7"/>
    </row>
    <row r="47" spans="2:24" x14ac:dyDescent="0.25">
      <c r="B47" s="5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7"/>
    </row>
    <row r="48" spans="2:24" ht="15.75" thickBot="1" x14ac:dyDescent="0.3">
      <c r="B48" s="8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10"/>
    </row>
    <row r="50" spans="2:2" x14ac:dyDescent="0.25">
      <c r="B50" s="1" t="s">
        <v>25</v>
      </c>
    </row>
    <row r="52" spans="2:2" x14ac:dyDescent="0.25">
      <c r="B52" s="1" t="s">
        <v>26</v>
      </c>
    </row>
    <row r="53" spans="2:2" x14ac:dyDescent="0.25">
      <c r="B53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Rev Sample</vt:lpstr>
    </vt:vector>
  </TitlesOfParts>
  <Company>Thermo Fisher Scientific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Zhong, Sophie</dc:creator>
  <cp:lastModifiedBy>Zhong, Sophie</cp:lastModifiedBy>
  <dcterms:created xsi:type="dcterms:W3CDTF">2025-04-15T05:32:19Z</dcterms:created>
  <dcterms:modified xsi:type="dcterms:W3CDTF">2025-04-15T09:25:20Z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